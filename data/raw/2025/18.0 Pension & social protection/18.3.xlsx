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fileserver\ST4\Dissemination\Publications\Statistical Year Book\YEARBOOK 2025\Final\Pension\"/>
    </mc:Choice>
  </mc:AlternateContent>
  <xr:revisionPtr revIDLastSave="0" documentId="13_ncr:1_{A1E1EB7E-1E8D-432E-B833-C963CE1AD993}" xr6:coauthVersionLast="47" xr6:coauthVersionMax="47" xr10:uidLastSave="{00000000-0000-0000-0000-000000000000}"/>
  <bookViews>
    <workbookView xWindow="-120" yWindow="-120" windowWidth="29040" windowHeight="15720" tabRatio="752" xr2:uid="{00000000-000D-0000-FFFF-FFFF00000000}"/>
  </bookViews>
  <sheets>
    <sheet name="18.3" sheetId="3" r:id="rId1"/>
  </sheets>
  <definedNames>
    <definedName name="_xlnm.Print_Area" localSheetId="0">'18.3'!$A$1:$AC$37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fkOimQmwXAp2X4Idi2I5zrAWog9iQuypB84L36zwUFs="/>
    </ext>
  </extLst>
</workbook>
</file>

<file path=xl/calcChain.xml><?xml version="1.0" encoding="utf-8"?>
<calcChain xmlns="http://schemas.openxmlformats.org/spreadsheetml/2006/main">
  <c r="AK27" i="3" l="1"/>
  <c r="AL27" i="3"/>
  <c r="AK28" i="3"/>
  <c r="AL28" i="3"/>
  <c r="AL26" i="3"/>
  <c r="AK26" i="3"/>
  <c r="AL25" i="3"/>
  <c r="AK25" i="3"/>
  <c r="W16" i="3"/>
  <c r="W15" i="3"/>
  <c r="W14" i="3"/>
  <c r="W13" i="3"/>
  <c r="T13" i="3"/>
  <c r="U13" i="3"/>
  <c r="S13" i="3"/>
  <c r="U12" i="3"/>
  <c r="T12" i="3"/>
  <c r="S12" i="3"/>
  <c r="H12" i="3"/>
  <c r="Y12" i="3" s="1"/>
  <c r="E12" i="3"/>
  <c r="X12" i="3" s="1"/>
  <c r="B12" i="3"/>
  <c r="W12" i="3" s="1"/>
  <c r="V12" i="3"/>
  <c r="V11" i="3"/>
  <c r="U11" i="3"/>
  <c r="T11" i="3"/>
  <c r="H11" i="3"/>
  <c r="Y11" i="3" s="1"/>
  <c r="E11" i="3"/>
  <c r="Z11" i="3" s="1"/>
  <c r="B11" i="3"/>
  <c r="W11" i="3" s="1"/>
  <c r="M11" i="3"/>
  <c r="L11" i="3"/>
  <c r="Y10" i="3"/>
  <c r="X10" i="3"/>
  <c r="W10" i="3"/>
  <c r="V10" i="3"/>
  <c r="U10" i="3"/>
  <c r="S10" i="3"/>
  <c r="H10" i="3"/>
  <c r="Z10" i="3" s="1"/>
  <c r="E10" i="3"/>
  <c r="B10" i="3"/>
  <c r="T10" i="3"/>
  <c r="J9" i="3"/>
  <c r="H9" i="3" s="1"/>
  <c r="I9" i="3"/>
  <c r="G9" i="3"/>
  <c r="F9" i="3"/>
  <c r="E9" i="3" s="1"/>
  <c r="D9" i="3"/>
  <c r="C9" i="3"/>
  <c r="B9" i="3" l="1"/>
  <c r="P10" i="3" s="1"/>
  <c r="O9" i="3"/>
  <c r="O11" i="3"/>
  <c r="R9" i="3"/>
  <c r="Z9" i="3"/>
  <c r="R12" i="3"/>
  <c r="Y9" i="3"/>
  <c r="M13" i="3"/>
  <c r="O10" i="3"/>
  <c r="M10" i="3"/>
  <c r="M12" i="3"/>
  <c r="M9" i="3"/>
  <c r="T9" i="3"/>
  <c r="K11" i="3"/>
  <c r="K13" i="3"/>
  <c r="K10" i="3"/>
  <c r="K9" i="3"/>
  <c r="K12" i="3"/>
  <c r="Q9" i="3"/>
  <c r="Q10" i="3"/>
  <c r="L12" i="3"/>
  <c r="L13" i="3"/>
  <c r="L10" i="3"/>
  <c r="L9" i="3"/>
  <c r="X9" i="3"/>
  <c r="S9" i="3"/>
  <c r="N10" i="3"/>
  <c r="R10" i="3"/>
  <c r="Z12" i="3"/>
  <c r="Q11" i="3"/>
  <c r="O12" i="3"/>
  <c r="V9" i="3"/>
  <c r="R11" i="3"/>
  <c r="P12" i="3"/>
  <c r="S11" i="3"/>
  <c r="Q12" i="3"/>
  <c r="X11" i="3"/>
  <c r="W9" i="3" l="1"/>
  <c r="P9" i="3"/>
  <c r="P11" i="3"/>
  <c r="N11" i="3"/>
  <c r="N9" i="3"/>
  <c r="N12" i="3"/>
  <c r="U9" i="3"/>
</calcChain>
</file>

<file path=xl/sharedStrings.xml><?xml version="1.0" encoding="utf-8"?>
<sst xmlns="http://schemas.openxmlformats.org/spreadsheetml/2006/main" count="50" uniqueCount="33">
  <si>
    <t>Type of pension</t>
  </si>
  <si>
    <t>އިންސައްތަ</t>
  </si>
  <si>
    <t>އަންހެނުންގެ އިން ސައްތަ</t>
  </si>
  <si>
    <t>ޕެންޝަންގެ ބާވަތް</t>
  </si>
  <si>
    <t>% share</t>
  </si>
  <si>
    <t>% share of females</t>
  </si>
  <si>
    <t>% change</t>
  </si>
  <si>
    <t>ޖުމްލަ</t>
  </si>
  <si>
    <t>ފިރިހެން</t>
  </si>
  <si>
    <t>އަންހެން</t>
  </si>
  <si>
    <t>Total</t>
  </si>
  <si>
    <t>Male</t>
  </si>
  <si>
    <t>Female</t>
  </si>
  <si>
    <t>2023-2024</t>
  </si>
  <si>
    <t>Basic Pension</t>
  </si>
  <si>
    <t>އަސާސީ ޕެންޝަން</t>
  </si>
  <si>
    <t>Retirement Pension</t>
  </si>
  <si>
    <t>ރިޓަޔަރމަންޓް ޕެންޝަން</t>
  </si>
  <si>
    <t>Other Pension</t>
  </si>
  <si>
    <t>އެހެނިހެން ޕެންޝަން</t>
  </si>
  <si>
    <t>މަޢުލޫމާތު ދެއްވި ފަރާތް: މޯލްޑިވްސް ޕެންޝަން އެޑްމިނިސްޓްރޭޝަން</t>
  </si>
  <si>
    <r>
      <rPr>
        <b/>
        <sz val="9"/>
        <color rgb="FF000000"/>
        <rFont val="Calibri"/>
        <family val="2"/>
      </rPr>
      <t xml:space="preserve">Benficiaries (end year)     </t>
    </r>
    <r>
      <rPr>
        <b/>
        <sz val="9"/>
        <color rgb="FF000000"/>
        <rFont val="Faruma"/>
      </rPr>
      <t>ޕެންޝަން ލިބޭ މީހުންގެ އަދަދު</t>
    </r>
  </si>
  <si>
    <r>
      <rPr>
        <sz val="11"/>
        <color rgb="FF000000"/>
        <rFont val="Calibri"/>
        <family val="2"/>
      </rPr>
      <t>Senior Citizen Allowance</t>
    </r>
    <r>
      <rPr>
        <vertAlign val="superscript"/>
        <sz val="11"/>
        <color rgb="FF000000"/>
        <rFont val="Calibri"/>
        <family val="2"/>
      </rPr>
      <t>1_/</t>
    </r>
  </si>
  <si>
    <r>
      <rPr>
        <vertAlign val="superscript"/>
        <sz val="11"/>
        <color rgb="FF000000"/>
        <rFont val="Faruma"/>
      </rPr>
      <t>1_/</t>
    </r>
    <r>
      <rPr>
        <sz val="11"/>
        <color rgb="FF000000"/>
        <rFont val="Faruma"/>
      </rPr>
      <t>ސީނިއަރ ސިޓިޒަން އެލަވަންސް</t>
    </r>
  </si>
  <si>
    <t xml:space="preserve">Note: </t>
  </si>
  <si>
    <t>1_/ Those pensioners receiving less than 5,000 mvr is given the balance amount to reach 5,000 mvr under this scheme. Senior Citizen Allowance was introduced in February 2014 and discontinued on March 2019.</t>
  </si>
  <si>
    <t>2_/ Payment for some MRPS pensioners was processed for two months in November which accounts for the decrease in MRPS pensioners processed in December 2016.  </t>
  </si>
  <si>
    <t>Source: Maldives Pension Administration</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</si>
  <si>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</si>
  <si>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beneficiaries</t>
  </si>
  <si>
    <t>ބަދަލުވި އިން ސައްތަ</t>
  </si>
  <si>
    <t>TABLE   18.3:  NUMBER OF BENFICIARIES BY PENSION SCHEME AND SEX, 2022 - 2024</t>
  </si>
  <si>
    <t>ތާވަލު 18.3: އެކި ޕެންޝަން ސްކީމްތަކުން ޕެންޝަން ލިބޭ މީހުންގެ އަދަދު، 2022 - 2024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</si>
</sst>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1" x14ac:knownFonts="1">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vertAlign val="superscript"/>
      <sz val="10"/>
      <color rgb="FF000000"/>
      <name val="Faruma"/>
    </font>
    <font>
      <sz val="9"/>
      <color rgb="FF000000"/>
      <name val="Faruma"/>
    </font>
    <font>
      <b/>
      <sz val="9"/>
      <color rgb="FF000000"/>
      <name val="Calibri"/>
      <family val="2"/>
    </font>
    <font>
      <b/>
      <sz val="9"/>
      <color rgb="FF262626"/>
      <name val="Faruma"/>
    </font>
    <font>
      <sz val="11"/>
      <color rgb="FF212529"/>
      <name val="Arial"/>
      <family val="2"/>
    </font>
    <font>
      <sz val="10"/>
      <color theme="1"/>
      <name val="Calibri"/>
      <family val="2"/>
    </font>
    <font>
      <i/>
      <sz val="11"/>
      <color rgb="FF000000"/>
      <name val="Calibri"/>
      <family val="2"/>
    </font>
    <font>
      <vertAlign val="superscript"/>
      <sz val="11"/>
      <color rgb="FF000000"/>
      <name val="Calibri"/>
      <family val="2"/>
    </font>
    <font>
      <b/>
      <sz val="9"/>
      <color rgb="FF000000"/>
      <name val="Faruma"/>
    </font>
    <font>
      <vertAlign val="superscript"/>
      <sz val="11"/>
      <color rgb="FF000000"/>
      <name val="Faruma"/>
    </font>
    <font>
      <sz val="11"/>
      <color rgb="FF000000"/>
      <name val="Calibri"/>
      <family val="2"/>
    </font>
    <font>
      <b/>
      <sz val="12"/>
      <color rgb="FF000000"/>
      <name val="Calibri"/>
      <family val="2"/>
    </font>
  </fonts>
  <fills count="5">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E2EFD9"/>
      </patternFill>
    </fill>
  </fills>
  <borders count="43">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top style="hair">
        <color rgb="FF000000"/>
      </top>
      <bottom/>
      <diagonal/>
    </border>
    <border>
      <left/>
      <right style="hair">
        <color rgb="FF000000"/>
      </right>
      <top style="hair">
        <color rgb="FF000000"/>
      </top>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diagonal/>
    </border>
    <border>
      <left style="hair">
        <color rgb="FF000000"/>
      </left>
      <right/>
      <top/>
      <bottom/>
      <diagonal/>
    </border>
    <border>
      <left style="hair">
        <color rgb="FF000000"/>
      </left>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style="hair">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top style="thin">
        <color rgb="FF000000"/>
      </top>
      <bottom/>
      <diagonal/>
    </border>
    <border>
      <left style="hair">
        <color rgb="FF000000"/>
      </left>
      <right/>
      <top style="thin">
        <color rgb="FF000000"/>
      </top>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top/>
      <bottom/>
      <diagonal/>
    </border>
    <border>
      <left/>
      <right style="hair">
        <color rgb="FF000000"/>
      </right>
      <top/>
      <bottom/>
      <diagonal/>
    </border>
    <border>
      <left/>
      <right/>
      <top/>
      <bottom/>
      <diagonal/>
    </border>
    <border>
      <left style="hair">
        <color rgb="FF000000"/>
      </left>
      <right/>
      <top/>
      <bottom/>
      <diagonal/>
    </border>
    <border>
      <left style="thin">
        <color rgb="FF000000"/>
      </left>
      <right/>
      <top/>
      <bottom/>
      <diagonal/>
    </border>
    <border>
      <left style="hair">
        <color rgb="FF000000"/>
      </left>
      <right/>
      <top/>
      <bottom style="hair">
        <color rgb="FF000000"/>
      </bottom>
      <diagonal/>
    </border>
    <border>
      <left style="thin">
        <color rgb="FF000000"/>
      </left>
      <right/>
      <top/>
      <bottom style="thin">
        <color rgb="FF000000"/>
      </bottom>
      <diagonal/>
    </border>
    <border>
      <left/>
      <right style="hair">
        <color rgb="FF000000"/>
      </right>
      <top style="thin">
        <color rgb="FF000000"/>
      </top>
      <bottom/>
      <diagonal/>
    </border>
    <border>
      <left style="thin">
        <color indexed="64"/>
      </left>
      <right/>
      <top style="thin">
        <color rgb="FF000000"/>
      </top>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s>
  <cellStyleXfs count="1">
    <xf numFmtId="0" fontId="0" fillId="0" borderId="0"/>
  </cellStyleXfs>
  <cellXfs count="95">
    <xf numFmtId="0" fontId="0" fillId="0" borderId="0" xfId="0"/>
    <xf numFmtId="0" fontId="3" fillId="2" borderId="2" xfId="0" applyFont="1" applyFill="1" applyBorder="1"/>
    <xf numFmtId="0" fontId="4" fillId="2" borderId="2" xfId="0" applyFont="1" applyFill="1" applyBorder="1"/>
    <xf numFmtId="0" fontId="5" fillId="2" borderId="2" xfId="0" applyFont="1" applyFill="1" applyBorder="1" applyAlignment="1">
      <alignment horizontal="right" vertical="center"/>
    </xf>
    <xf numFmtId="0" fontId="5" fillId="2" borderId="7" xfId="0" applyFont="1" applyFill="1" applyBorder="1" applyAlignment="1">
      <alignment horizontal="right" vertical="center"/>
    </xf>
    <xf numFmtId="1" fontId="4" fillId="2" borderId="2" xfId="0" applyNumberFormat="1" applyFont="1" applyFill="1" applyBorder="1" applyAlignment="1">
      <alignment horizontal="center" vertical="center"/>
    </xf>
    <xf numFmtId="164" fontId="3" fillId="2" borderId="2" xfId="0" applyNumberFormat="1" applyFont="1" applyFill="1" applyBorder="1" applyAlignment="1">
      <alignment horizontal="center" vertical="center"/>
    </xf>
    <xf numFmtId="1" fontId="3" fillId="2" borderId="2" xfId="0" applyNumberFormat="1" applyFont="1" applyFill="1" applyBorder="1" applyAlignment="1">
      <alignment horizontal="center" vertical="center"/>
    </xf>
    <xf numFmtId="0" fontId="6" fillId="2" borderId="2" xfId="0" applyFont="1" applyFill="1" applyBorder="1"/>
    <xf numFmtId="0" fontId="3" fillId="2" borderId="9" xfId="0" applyFont="1" applyFill="1" applyBorder="1"/>
    <xf numFmtId="1" fontId="3" fillId="2" borderId="9" xfId="0" applyNumberFormat="1" applyFont="1" applyFill="1" applyBorder="1" applyAlignment="1">
      <alignment horizontal="center" vertical="center"/>
    </xf>
    <xf numFmtId="0" fontId="7" fillId="2" borderId="2" xfId="0" applyFont="1" applyFill="1" applyBorder="1" applyAlignment="1">
      <alignment vertical="center"/>
    </xf>
    <xf numFmtId="0" fontId="8" fillId="2" borderId="2" xfId="0" applyFont="1" applyFill="1" applyBorder="1" applyAlignment="1">
      <alignment vertical="center"/>
    </xf>
    <xf numFmtId="0" fontId="9" fillId="2" borderId="2" xfId="0" applyFont="1" applyFill="1" applyBorder="1" applyAlignment="1">
      <alignment horizontal="left" vertical="center"/>
    </xf>
    <xf numFmtId="0" fontId="4" fillId="2" borderId="2" xfId="0" applyFont="1" applyFill="1" applyBorder="1" applyAlignment="1">
      <alignment horizontal="center"/>
    </xf>
    <xf numFmtId="164" fontId="3" fillId="2" borderId="2" xfId="0" applyNumberFormat="1" applyFont="1" applyFill="1" applyBorder="1"/>
    <xf numFmtId="3" fontId="4" fillId="2" borderId="2" xfId="0" applyNumberFormat="1" applyFont="1" applyFill="1" applyBorder="1" applyAlignment="1">
      <alignment horizontal="right" vertical="center"/>
    </xf>
    <xf numFmtId="0" fontId="1" fillId="2" borderId="2" xfId="0" applyFont="1" applyFill="1" applyBorder="1" applyAlignment="1">
      <alignment vertical="center"/>
    </xf>
    <xf numFmtId="3" fontId="3" fillId="2" borderId="2" xfId="0" applyNumberFormat="1" applyFont="1" applyFill="1" applyBorder="1" applyAlignment="1">
      <alignment horizontal="right" vertical="center"/>
    </xf>
    <xf numFmtId="3" fontId="3" fillId="2" borderId="9" xfId="0" applyNumberFormat="1" applyFont="1" applyFill="1" applyBorder="1" applyAlignment="1">
      <alignment horizontal="right" vertical="center"/>
    </xf>
    <xf numFmtId="0" fontId="6" fillId="2" borderId="9" xfId="0" applyFont="1" applyFill="1" applyBorder="1" applyAlignment="1">
      <alignment horizontal="right" vertical="center"/>
    </xf>
    <xf numFmtId="0" fontId="10" fillId="2" borderId="2" xfId="0" applyFont="1" applyFill="1" applyBorder="1" applyAlignment="1">
      <alignment vertical="center"/>
    </xf>
    <xf numFmtId="3" fontId="12" fillId="2" borderId="2" xfId="0" applyNumberFormat="1" applyFont="1" applyFill="1" applyBorder="1" applyAlignment="1">
      <alignment horizontal="right"/>
    </xf>
    <xf numFmtId="0" fontId="5" fillId="2" borderId="35" xfId="0" applyFont="1" applyFill="1" applyBorder="1" applyAlignment="1">
      <alignment horizontal="right" vertical="center"/>
    </xf>
    <xf numFmtId="0" fontId="4" fillId="2" borderId="36" xfId="0" applyFont="1" applyFill="1" applyBorder="1" applyAlignment="1">
      <alignment horizontal="center" vertical="center"/>
    </xf>
    <xf numFmtId="0" fontId="4" fillId="2" borderId="9" xfId="0" applyFont="1" applyFill="1" applyBorder="1" applyAlignment="1">
      <alignment horizontal="right"/>
    </xf>
    <xf numFmtId="0" fontId="4" fillId="2" borderId="37" xfId="0" applyFont="1" applyFill="1" applyBorder="1" applyAlignment="1">
      <alignment horizontal="right"/>
    </xf>
    <xf numFmtId="0" fontId="4" fillId="2" borderId="10" xfId="0" applyFont="1" applyFill="1" applyBorder="1" applyAlignment="1">
      <alignment horizontal="right"/>
    </xf>
    <xf numFmtId="1" fontId="4" fillId="2" borderId="14" xfId="0" applyNumberFormat="1" applyFont="1" applyFill="1" applyBorder="1" applyAlignment="1">
      <alignment horizontal="center" vertical="center"/>
    </xf>
    <xf numFmtId="1" fontId="4" fillId="2" borderId="6" xfId="0" applyNumberFormat="1" applyFont="1" applyFill="1" applyBorder="1" applyAlignment="1">
      <alignment vertical="center"/>
    </xf>
    <xf numFmtId="1" fontId="4" fillId="2" borderId="12" xfId="0" applyNumberFormat="1" applyFont="1" applyFill="1" applyBorder="1" applyAlignment="1">
      <alignment vertical="center"/>
    </xf>
    <xf numFmtId="1" fontId="4" fillId="2" borderId="12" xfId="0" applyNumberFormat="1" applyFont="1" applyFill="1" applyBorder="1" applyAlignment="1">
      <alignment horizontal="center" vertical="center"/>
    </xf>
    <xf numFmtId="0" fontId="4" fillId="2" borderId="14" xfId="0" applyFont="1" applyFill="1" applyBorder="1" applyAlignment="1">
      <alignment horizontal="center"/>
    </xf>
    <xf numFmtId="3" fontId="4" fillId="2" borderId="35" xfId="0" applyNumberFormat="1" applyFont="1" applyFill="1" applyBorder="1" applyAlignment="1">
      <alignment horizontal="right" vertical="center"/>
    </xf>
    <xf numFmtId="37" fontId="4" fillId="2" borderId="17" xfId="0" applyNumberFormat="1" applyFont="1" applyFill="1" applyBorder="1" applyAlignment="1">
      <alignment horizontal="right" vertical="center"/>
    </xf>
    <xf numFmtId="37" fontId="4" fillId="2" borderId="4" xfId="0" applyNumberFormat="1" applyFont="1" applyFill="1" applyBorder="1" applyAlignment="1">
      <alignment horizontal="right" vertical="center"/>
    </xf>
    <xf numFmtId="37" fontId="4" fillId="2" borderId="2" xfId="0" applyNumberFormat="1" applyFont="1" applyFill="1" applyBorder="1" applyAlignment="1">
      <alignment horizontal="right" vertical="center"/>
    </xf>
    <xf numFmtId="37" fontId="4" fillId="2" borderId="15" xfId="0" applyNumberFormat="1" applyFont="1" applyFill="1" applyBorder="1" applyAlignment="1">
      <alignment horizontal="right" vertical="center"/>
    </xf>
    <xf numFmtId="3" fontId="4" fillId="2" borderId="16" xfId="0" applyNumberFormat="1" applyFont="1" applyFill="1" applyBorder="1" applyAlignment="1">
      <alignment horizontal="center" vertical="center"/>
    </xf>
    <xf numFmtId="3" fontId="3" fillId="2" borderId="35" xfId="0" applyNumberFormat="1" applyFont="1" applyFill="1" applyBorder="1" applyAlignment="1">
      <alignment horizontal="right" vertical="center"/>
    </xf>
    <xf numFmtId="37" fontId="3" fillId="2" borderId="16" xfId="0" applyNumberFormat="1" applyFont="1" applyFill="1" applyBorder="1" applyAlignment="1">
      <alignment horizontal="right" vertical="center"/>
    </xf>
    <xf numFmtId="37" fontId="3" fillId="2" borderId="2" xfId="0" applyNumberFormat="1" applyFont="1" applyFill="1" applyBorder="1" applyAlignment="1">
      <alignment horizontal="right" vertical="center"/>
    </xf>
    <xf numFmtId="3" fontId="3" fillId="2" borderId="16" xfId="0" applyNumberFormat="1" applyFont="1" applyFill="1" applyBorder="1" applyAlignment="1">
      <alignment horizontal="center" vertical="center"/>
    </xf>
    <xf numFmtId="0" fontId="6" fillId="2" borderId="2" xfId="0" applyFont="1" applyFill="1" applyBorder="1" applyAlignment="1">
      <alignment vertical="center"/>
    </xf>
    <xf numFmtId="0" fontId="13" fillId="2" borderId="2" xfId="0" applyFont="1" applyFill="1" applyBorder="1" applyAlignment="1">
      <alignment vertical="center" wrapText="1"/>
    </xf>
    <xf numFmtId="3" fontId="3" fillId="2" borderId="37" xfId="0" applyNumberFormat="1" applyFont="1" applyFill="1" applyBorder="1" applyAlignment="1">
      <alignment horizontal="right" vertical="center"/>
    </xf>
    <xf numFmtId="3" fontId="3" fillId="2" borderId="10" xfId="0" applyNumberFormat="1" applyFont="1" applyFill="1" applyBorder="1" applyAlignment="1">
      <alignment horizontal="right" vertical="center"/>
    </xf>
    <xf numFmtId="37" fontId="3" fillId="2" borderId="11" xfId="0" applyNumberFormat="1" applyFont="1" applyFill="1" applyBorder="1" applyAlignment="1">
      <alignment horizontal="right" vertical="center"/>
    </xf>
    <xf numFmtId="37" fontId="3" fillId="2" borderId="9" xfId="0" applyNumberFormat="1" applyFont="1" applyFill="1" applyBorder="1" applyAlignment="1">
      <alignment horizontal="right" vertical="center"/>
    </xf>
    <xf numFmtId="3" fontId="3" fillId="2" borderId="11" xfId="0" applyNumberFormat="1" applyFont="1" applyFill="1" applyBorder="1" applyAlignment="1">
      <alignment horizontal="center" vertical="center"/>
    </xf>
    <xf numFmtId="0" fontId="6" fillId="2" borderId="9" xfId="0" applyFont="1" applyFill="1" applyBorder="1" applyAlignment="1">
      <alignment vertical="center"/>
    </xf>
    <xf numFmtId="0" fontId="3" fillId="2" borderId="9" xfId="0" applyFont="1" applyFill="1" applyBorder="1" applyAlignment="1">
      <alignment vertical="center"/>
    </xf>
    <xf numFmtId="164" fontId="14" fillId="2" borderId="37" xfId="0" applyNumberFormat="1" applyFont="1" applyFill="1" applyBorder="1" applyAlignment="1">
      <alignment horizontal="right" vertical="center"/>
    </xf>
    <xf numFmtId="164" fontId="14" fillId="2" borderId="9" xfId="0" applyNumberFormat="1" applyFont="1" applyFill="1" applyBorder="1" applyAlignment="1">
      <alignment horizontal="right" vertical="center"/>
    </xf>
    <xf numFmtId="164" fontId="14" fillId="2" borderId="10" xfId="0" applyNumberFormat="1" applyFont="1" applyFill="1" applyBorder="1" applyAlignment="1">
      <alignment horizontal="right" vertical="center"/>
    </xf>
    <xf numFmtId="164" fontId="14" fillId="2" borderId="9" xfId="0" applyNumberFormat="1" applyFont="1" applyFill="1" applyBorder="1" applyAlignment="1">
      <alignment horizontal="center" vertical="center"/>
    </xf>
    <xf numFmtId="1" fontId="4" fillId="2" borderId="15" xfId="0" applyNumberFormat="1" applyFont="1" applyFill="1" applyBorder="1" applyAlignment="1">
      <alignment horizontal="center" vertical="center"/>
    </xf>
    <xf numFmtId="0" fontId="15" fillId="2" borderId="2" xfId="0" applyFont="1" applyFill="1" applyBorder="1"/>
    <xf numFmtId="0" fontId="8" fillId="2" borderId="2" xfId="0" applyFont="1" applyFill="1" applyBorder="1"/>
    <xf numFmtId="0" fontId="0" fillId="3" borderId="0" xfId="0" applyFill="1"/>
    <xf numFmtId="1" fontId="4" fillId="4" borderId="13" xfId="0" applyNumberFormat="1" applyFont="1" applyFill="1" applyBorder="1" applyAlignment="1">
      <alignment vertical="center"/>
    </xf>
    <xf numFmtId="3" fontId="3" fillId="4" borderId="2" xfId="0" applyNumberFormat="1" applyFont="1" applyFill="1" applyBorder="1" applyAlignment="1">
      <alignment horizontal="right" vertical="center"/>
    </xf>
    <xf numFmtId="3" fontId="3" fillId="4" borderId="9" xfId="0" applyNumberFormat="1" applyFont="1" applyFill="1" applyBorder="1" applyAlignment="1">
      <alignment horizontal="right" vertical="center"/>
    </xf>
    <xf numFmtId="3" fontId="3" fillId="4" borderId="10" xfId="0" applyNumberFormat="1" applyFont="1" applyFill="1" applyBorder="1" applyAlignment="1">
      <alignment horizontal="right" vertical="center"/>
    </xf>
    <xf numFmtId="37" fontId="19" fillId="2" borderId="15" xfId="0" applyNumberFormat="1" applyFont="1" applyFill="1" applyBorder="1" applyAlignment="1">
      <alignment horizontal="right" vertical="center"/>
    </xf>
    <xf numFmtId="37" fontId="19" fillId="2" borderId="10" xfId="0" applyNumberFormat="1" applyFont="1" applyFill="1" applyBorder="1" applyAlignment="1">
      <alignment horizontal="right" vertical="center"/>
    </xf>
    <xf numFmtId="0" fontId="2" fillId="3" borderId="25" xfId="0" applyFont="1" applyFill="1" applyBorder="1"/>
    <xf numFmtId="0" fontId="11" fillId="2" borderId="39" xfId="0" applyFont="1" applyFill="1" applyBorder="1" applyAlignment="1">
      <alignment vertical="center"/>
    </xf>
    <xf numFmtId="0" fontId="2" fillId="3" borderId="38" xfId="0" applyFont="1" applyFill="1" applyBorder="1"/>
    <xf numFmtId="0" fontId="1"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4" fillId="2" borderId="28" xfId="0" applyFont="1" applyFill="1" applyBorder="1" applyAlignment="1">
      <alignment horizontal="center"/>
    </xf>
    <xf numFmtId="0" fontId="2" fillId="3" borderId="27" xfId="0" applyFont="1" applyFill="1" applyBorder="1"/>
    <xf numFmtId="0" fontId="2" fillId="3" borderId="29" xfId="0" applyFont="1" applyFill="1" applyBorder="1"/>
    <xf numFmtId="0" fontId="4" fillId="2" borderId="20" xfId="0" applyFont="1" applyFill="1" applyBorder="1" applyAlignment="1">
      <alignment horizontal="center" vertical="center"/>
    </xf>
    <xf numFmtId="0" fontId="2" fillId="3" borderId="18" xfId="0" applyFont="1" applyFill="1" applyBorder="1"/>
    <xf numFmtId="0" fontId="2" fillId="3" borderId="19" xfId="0" applyFont="1" applyFill="1" applyBorder="1"/>
    <xf numFmtId="0" fontId="11" fillId="2" borderId="20" xfId="0" applyFont="1" applyFill="1" applyBorder="1" applyAlignment="1">
      <alignment horizontal="center" vertical="center" wrapText="1"/>
    </xf>
    <xf numFmtId="0" fontId="2" fillId="3" borderId="21" xfId="0" applyFont="1" applyFill="1" applyBorder="1"/>
    <xf numFmtId="0" fontId="5" fillId="2" borderId="22" xfId="0" applyFont="1" applyFill="1" applyBorder="1" applyAlignment="1">
      <alignment horizontal="center" vertical="center" wrapText="1"/>
    </xf>
    <xf numFmtId="0" fontId="2" fillId="3" borderId="23" xfId="0" applyFont="1" applyFill="1" applyBorder="1"/>
    <xf numFmtId="0" fontId="2" fillId="3" borderId="24" xfId="0" applyFont="1" applyFill="1" applyBorder="1"/>
    <xf numFmtId="0" fontId="2" fillId="3" borderId="30" xfId="0" applyFont="1" applyFill="1" applyBorder="1"/>
    <xf numFmtId="0" fontId="2" fillId="3" borderId="31" xfId="0" applyFont="1" applyFill="1" applyBorder="1"/>
    <xf numFmtId="0" fontId="2" fillId="3" borderId="32" xfId="0" applyFont="1" applyFill="1" applyBorder="1"/>
    <xf numFmtId="0" fontId="2" fillId="3" borderId="25" xfId="0" applyFont="1" applyFill="1" applyBorder="1"/>
    <xf numFmtId="0" fontId="2" fillId="3" borderId="33" xfId="0" applyFont="1" applyFill="1" applyBorder="1"/>
    <xf numFmtId="0" fontId="5" fillId="2" borderId="26" xfId="0" applyFont="1" applyFill="1" applyBorder="1" applyAlignment="1">
      <alignment horizontal="center" vertical="center" wrapText="1"/>
    </xf>
    <xf numFmtId="0" fontId="2" fillId="3" borderId="34" xfId="0" applyFont="1" applyFill="1" applyBorder="1"/>
    <xf numFmtId="0" fontId="1" fillId="2" borderId="3" xfId="0" applyFont="1" applyFill="1" applyBorder="1" applyAlignment="1">
      <alignment horizontal="right" vertical="center"/>
    </xf>
    <xf numFmtId="0" fontId="2" fillId="3" borderId="5" xfId="0" applyFont="1" applyFill="1" applyBorder="1"/>
    <xf numFmtId="0" fontId="2" fillId="3" borderId="8" xfId="0" applyFont="1" applyFill="1" applyBorder="1"/>
    <xf numFmtId="0" fontId="4" fillId="2" borderId="40" xfId="0" applyFont="1" applyFill="1" applyBorder="1" applyAlignment="1">
      <alignment horizontal="left" vertical="center"/>
    </xf>
    <xf numFmtId="0" fontId="2" fillId="3" borderId="41" xfId="0" applyFont="1" applyFill="1" applyBorder="1"/>
    <xf numFmtId="0" fontId="2" fillId="3" borderId="42" xfId="0" applyFont="1" applyFill="1" applyBorder="1"/>
  </cellXfs>
  <cellStyles count="1">
    <cellStyle name="Normal" xfId="0" builtinId="0"/>
  </cellStyles>
  <dxfs count="0"/>
  <tableStyles count="0" defaultTableStyle="TableStyleMedium2" defaultPivotStyle="PivotStyleLight16"/>
  <colors>
    <mruColors>
      <color rgb="FF003399"/>
      <color rgb="FF9BC2E6"/>
      <color rgb="FF7E5400"/>
      <color rgb="FF33CCCC"/>
      <color rgb="FFAEAAAA"/>
      <color rgb="FFF7F7F7"/>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5" Type="http://schemas.openxmlformats.org/officeDocument/2006/relationships/sharedStrings" Target="sharedStrings.xml"/><Relationship Id="rId1" Type="http://schemas.openxmlformats.org/officeDocument/2006/relationships/worksheet" Target="worksheets/sheet1.xml"/><Relationship Id="rId24" Type="http://schemas.openxmlformats.org/officeDocument/2006/relationships/styles" Target="styles.xml"/><Relationship Id="rId23" Type="http://schemas.openxmlformats.org/officeDocument/2006/relationships/theme" Target="theme/theme1.xml"/><Relationship Id="rId22"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000" b="1" i="0">
                <a:solidFill>
                  <a:srgbClr val="757575"/>
                </a:solidFill>
                <a:latin typeface="Calibri"/>
              </a:defRPr>
            </a:pPr>
            <a:r>
              <a:rPr lang="en-US" sz="1000" b="1" i="0">
                <a:solidFill>
                  <a:srgbClr val="757575"/>
                </a:solidFill>
                <a:latin typeface="Calibri"/>
              </a:rPr>
              <a:t>Figure 18.5: Number of beneficiaries under different pension schemes by sex, 202</a:t>
            </a:r>
            <a:r>
              <a:rPr lang="dv-MV" sz="1000" b="1" i="0">
                <a:solidFill>
                  <a:srgbClr val="757575"/>
                </a:solidFill>
                <a:latin typeface="Calibri"/>
              </a:rPr>
              <a:t>4</a:t>
            </a:r>
            <a:endParaRPr lang="en-US" sz="1000" b="1" i="0">
              <a:solidFill>
                <a:srgbClr val="757575"/>
              </a:solidFill>
              <a:latin typeface="Calibri"/>
            </a:endParaRPr>
          </a:p>
        </c:rich>
      </c:tx>
      <c:layout>
        <c:manualLayout>
          <c:xMode val="edge"/>
          <c:yMode val="edge"/>
          <c:x val="0.21348797250859106"/>
          <c:y val="7.3394495412844041E-2"/>
        </c:manualLayout>
      </c:layout>
      <c:overlay val="0"/>
    </c:title>
    <c:autoTitleDeleted val="0"/>
    <c:plotArea>
      <c:layout>
        <c:manualLayout>
          <c:layoutTarget val="inner"/>
          <c:xMode val="edge"/>
          <c:yMode val="edge"/>
          <c:x val="9.564615634385909E-2"/>
          <c:y val="0.20151733326912116"/>
          <c:w val="0.88323010525746126"/>
          <c:h val="0.68532061932625399"/>
        </c:manualLayout>
      </c:layout>
      <c:barChart>
        <c:barDir val="col"/>
        <c:grouping val="clustered"/>
        <c:varyColors val="1"/>
        <c:ser>
          <c:idx val="0"/>
          <c:order val="0"/>
          <c:tx>
            <c:v>Male</c:v>
          </c:tx>
          <c:spPr>
            <a:solidFill>
              <a:srgbClr val="003399"/>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'18.3'!$AJ$26:$AJ$28</c:f>
              <c:strCache>
                <c:ptCount val="3"/>
                <c:pt idx="0">
                  <c:v>Basic Pension</c:v>
                </c:pt>
                <c:pt idx="1">
                  <c:v>Retirement Pension</c:v>
                </c:pt>
                <c:pt idx="2">
                  <c:v>Other Pension</c:v>
                </c:pt>
              </c:strCache>
            </c:strRef>
          </c:cat>
          <c:val>
            <c:numRef>
              <c:f>'18.3'!$AK$26:$AK$28</c:f>
              <c:numCache>
                <c:formatCode>_(* #,##0_);_(* \(#,##0\);_(* "-"??_);_(@_)</c:formatCode>
                <c:ptCount val="3"/>
                <c:pt idx="0">
                  <c:v>11886</c:v>
                </c:pt>
                <c:pt idx="1">
                  <c:v>1667</c:v>
                </c:pt>
                <c:pt idx="2">
                  <c:v>4939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10D-46F7-88CB-1E868DF94F70}"/>
            </c:ext>
          </c:extLst>
        </c:ser>
        <c:ser>
          <c:idx val="1"/>
          <c:order val="1"/>
          <c:tx>
            <c:v>Female</c:v>
          </c:tx>
          <c:spPr>
            <a:solidFill>
              <a:srgbClr val="9BC2E6"/>
            </a:solidFill>
            <a:ln cmpd="sng">
              <a:noFill/>
            </a:ln>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'18.3'!$AJ$26:$AJ$28</c:f>
              <c:strCache>
                <c:ptCount val="3"/>
                <c:pt idx="0">
                  <c:v>Basic Pension</c:v>
                </c:pt>
                <c:pt idx="1">
                  <c:v>Retirement Pension</c:v>
                </c:pt>
                <c:pt idx="2">
                  <c:v>Other Pension</c:v>
                </c:pt>
              </c:strCache>
            </c:strRef>
          </c:cat>
          <c:val>
            <c:numRef>
              <c:f>'18.3'!$AL$26:$AL$28</c:f>
              <c:numCache>
                <c:formatCode>_(* #,##0_);_(* \(#,##0\);_(* "-"??_);_(@_)</c:formatCode>
                <c:ptCount val="3"/>
                <c:pt idx="0">
                  <c:v>11925</c:v>
                </c:pt>
                <c:pt idx="1">
                  <c:v>499</c:v>
                </c:pt>
                <c:pt idx="2">
                  <c:v>2332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D10D-46F7-88CB-1E868DF94F70}"/>
            </c:ext>
          </c:extLst>
        </c:ser>
        <c:dLbls>
          <c:showLegendKey val="0"/>
          <c:showVal val="0"/>
          <c:showCatName val="0"/>
          <c:showSerName val="0"/>
          <c:showPercent val="0"/>
          <c:showBubbleSize val="0"/>
        </c:dLbls>
        <c:gapWidth val="150"/>
        <c:axId val="1515009474"/>
        <c:axId val="97596992"/>
      </c:barChart>
      <c:catAx>
        <c:axId val="151500947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97596992"/>
        <c:crosses val="autoZero"/>
        <c:auto val="1"/>
        <c:lblAlgn val="ctr"/>
        <c:lblOffset val="100"/>
        <c:noMultiLvlLbl val="1"/>
      </c:catAx>
      <c:valAx>
        <c:axId val="9759699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lang="en-US" b="1" i="0">
                    <a:solidFill>
                      <a:srgbClr val="000000"/>
                    </a:solidFill>
                    <a:latin typeface="+mn-lt"/>
                  </a:rPr>
                  <a:t>number of persons</a:t>
                </a:r>
              </a:p>
            </c:rich>
          </c:tx>
          <c:layout>
            <c:manualLayout>
              <c:xMode val="edge"/>
              <c:yMode val="edge"/>
              <c:x val="8.5798360256514345E-3"/>
              <c:y val="0.2818804530167674"/>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1515009474"/>
        <c:crosses val="autoZero"/>
        <c:crossBetween val="between"/>
      </c:valAx>
      <c:spPr>
        <a:solidFill>
          <a:srgbClr val="F7F7F7"/>
        </a:solidFill>
        <a:ln>
          <a:solidFill>
            <a:schemeClr val="bg2">
              <a:lumMod val="85000"/>
            </a:schemeClr>
          </a:solidFill>
        </a:ln>
      </c:spPr>
    </c:plotArea>
    <c:legend>
      <c:legendPos val="r"/>
      <c:layout>
        <c:manualLayout>
          <c:xMode val="edge"/>
          <c:yMode val="edge"/>
          <c:x val="0.61923600400465406"/>
          <c:y val="0.21976385979275523"/>
          <c:w val="0.23664975512081612"/>
          <c:h val="7.750086285085922E-2"/>
        </c:manualLayout>
      </c:layout>
      <c:overlay val="0"/>
      <c:txPr>
        <a:bodyPr/>
        <a:lstStyle/>
        <a:p>
          <a:pPr lvl="0">
            <a:defRPr sz="12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57150</xdr:colOff>
      <xdr:row>18</xdr:row>
      <xdr:rowOff>152400</xdr:rowOff>
    </xdr:from>
    <xdr:ext cx="7391400" cy="3114675"/>
    <xdr:graphicFrame macro="">
      <xdr:nvGraphicFramePr>
        <xdr:cNvPr id="335629217" name="Chart 5">
          <a:extLst>
            <a:ext uri="{FF2B5EF4-FFF2-40B4-BE49-F238E27FC236}">
              <a16:creationId xmlns:a16="http://schemas.microsoft.com/office/drawing/2014/main" id="{00000000-0008-0000-0200-0000A14B0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L1000"/>
  <sheetViews>
    <sheetView tabSelected="1" topLeftCell="B1" zoomScaleNormal="100" workbookViewId="0">
      <selection activeCell="AI5" sqref="AI5"/>
    </sheetView>
  </sheetViews>
  <sheetFormatPr defaultColWidth="14.42578125" defaultRowHeight="15" customHeight="1" x14ac:dyDescent="0.25"/>
  <cols>
    <col min="1" max="1" width="21.28515625" style="59" customWidth="1"/>
    <col min="2" max="9" width="9.7109375" style="59" customWidth="1"/>
    <col min="10" max="10" width="11.7109375" style="59" customWidth="1"/>
    <col min="11" max="11" width="0.42578125" style="59" customWidth="1"/>
    <col min="12" max="15" width="9" style="59" hidden="1" customWidth="1"/>
    <col min="16" max="17" width="9" style="59" customWidth="1"/>
    <col min="18" max="18" width="10.7109375" style="59" customWidth="1"/>
    <col min="19" max="20" width="10.5703125" style="59" hidden="1" customWidth="1"/>
    <col min="21" max="22" width="11.140625" style="59" hidden="1" customWidth="1"/>
    <col min="23" max="25" width="11.140625" style="59" customWidth="1"/>
    <col min="26" max="26" width="13.140625" style="59" customWidth="1"/>
    <col min="27" max="27" width="21.140625" style="59" customWidth="1"/>
    <col min="28" max="28" width="1.140625" style="59" customWidth="1"/>
    <col min="29" max="29" width="1.7109375" style="59" customWidth="1"/>
    <col min="30" max="30" width="1.85546875" style="59" customWidth="1"/>
    <col min="31" max="34" width="8" style="59" customWidth="1"/>
    <col min="35" max="35" width="44.42578125" style="59" customWidth="1"/>
    <col min="36" max="38" width="15.140625" style="59" customWidth="1"/>
    <col min="39" max="16384" width="14.42578125" style="59"/>
  </cols>
  <sheetData>
    <row r="1" spans="1:3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6"/>
      <c r="AG1" s="6"/>
      <c r="AH1" s="6"/>
      <c r="AI1" s="1"/>
      <c r="AJ1" s="1"/>
      <c r="AK1" s="1"/>
      <c r="AL1" s="1"/>
    </row>
    <row r="2" spans="1:38" ht="21.75" customHeight="1" x14ac:dyDescent="0.25">
      <c r="A2" s="69" t="s">
        <v>32</v>
      </c>
      <c r="B2" s="69"/>
      <c r="C2" s="69"/>
      <c r="D2" s="69"/>
      <c r="E2" s="69"/>
      <c r="F2" s="69"/>
      <c r="G2" s="69"/>
      <c r="H2" s="69"/>
      <c r="I2" s="69"/>
      <c r="J2" s="69"/>
      <c r="K2" s="69"/>
      <c r="L2" s="69"/>
      <c r="M2" s="69"/>
      <c r="N2" s="69"/>
      <c r="O2" s="69"/>
      <c r="P2" s="69"/>
      <c r="Q2" s="69"/>
      <c r="R2" s="69"/>
      <c r="S2" s="69"/>
      <c r="T2" s="69"/>
      <c r="U2" s="69"/>
      <c r="V2" s="69"/>
      <c r="W2" s="69"/>
      <c r="X2" s="69"/>
      <c r="Y2" s="69"/>
      <c r="Z2" s="69"/>
      <c r="AA2" s="69"/>
      <c r="AB2" s="1"/>
      <c r="AC2" s="1"/>
      <c r="AD2" s="1"/>
      <c r="AE2" s="1"/>
      <c r="AF2" s="1"/>
      <c r="AG2" s="1"/>
      <c r="AH2" s="1"/>
      <c r="AI2" s="1"/>
      <c r="AJ2" s="1"/>
      <c r="AK2" s="1"/>
      <c r="AL2" s="1"/>
    </row>
    <row r="3" spans="1:38" ht="15.75" customHeight="1" x14ac:dyDescent="0.25">
      <c r="A3" s="70" t="s">
        <v>31</v>
      </c>
      <c r="B3" s="70"/>
      <c r="C3" s="70"/>
      <c r="D3" s="70"/>
      <c r="E3" s="70"/>
      <c r="F3" s="70"/>
      <c r="G3" s="70"/>
      <c r="H3" s="70"/>
      <c r="I3" s="70"/>
      <c r="J3" s="70"/>
      <c r="K3" s="70"/>
      <c r="L3" s="70"/>
      <c r="M3" s="70"/>
      <c r="N3" s="70"/>
      <c r="O3" s="70"/>
      <c r="P3" s="70"/>
      <c r="Q3" s="70"/>
      <c r="R3" s="70"/>
      <c r="S3" s="70"/>
      <c r="T3" s="70"/>
      <c r="U3" s="70"/>
      <c r="V3" s="70"/>
      <c r="W3" s="70"/>
      <c r="X3" s="70"/>
      <c r="Y3" s="70"/>
      <c r="Z3" s="70"/>
      <c r="AA3" s="70"/>
      <c r="AB3" s="1"/>
      <c r="AC3" s="1"/>
      <c r="AD3" s="1"/>
      <c r="AE3" s="1"/>
      <c r="AF3" s="1"/>
      <c r="AG3" s="1"/>
      <c r="AH3" s="1"/>
      <c r="AI3" s="1"/>
      <c r="AJ3" s="1"/>
      <c r="AK3" s="1"/>
      <c r="AL3" s="1"/>
    </row>
    <row r="4" spans="1:38" ht="5.25" customHeight="1" x14ac:dyDescent="0.45">
      <c r="A4" s="1"/>
      <c r="B4" s="1"/>
      <c r="C4" s="14"/>
      <c r="D4" s="22"/>
      <c r="E4" s="22"/>
      <c r="F4" s="22"/>
      <c r="G4" s="22"/>
      <c r="H4" s="22"/>
      <c r="I4" s="22"/>
      <c r="J4" s="22"/>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ht="17.25" customHeight="1" x14ac:dyDescent="0.25">
      <c r="A5" s="92" t="s">
        <v>0</v>
      </c>
      <c r="B5" s="67" t="s">
        <v>21</v>
      </c>
      <c r="C5" s="66"/>
      <c r="D5" s="66"/>
      <c r="E5" s="66"/>
      <c r="F5" s="66"/>
      <c r="G5" s="66"/>
      <c r="H5" s="66"/>
      <c r="I5" s="66"/>
      <c r="J5" s="68"/>
      <c r="K5" s="79" t="s">
        <v>1</v>
      </c>
      <c r="L5" s="80"/>
      <c r="M5" s="80"/>
      <c r="N5" s="80"/>
      <c r="O5" s="80"/>
      <c r="P5" s="80"/>
      <c r="Q5" s="80"/>
      <c r="R5" s="81"/>
      <c r="S5" s="79" t="s">
        <v>2</v>
      </c>
      <c r="T5" s="80"/>
      <c r="U5" s="80"/>
      <c r="V5" s="80"/>
      <c r="W5" s="80"/>
      <c r="X5" s="80"/>
      <c r="Y5" s="85"/>
      <c r="Z5" s="87" t="s">
        <v>30</v>
      </c>
      <c r="AA5" s="89" t="s">
        <v>3</v>
      </c>
      <c r="AB5" s="1"/>
      <c r="AC5" s="1"/>
      <c r="AD5" s="1"/>
      <c r="AE5" s="1"/>
      <c r="AF5" s="1"/>
      <c r="AG5" s="1"/>
      <c r="AH5" s="1"/>
      <c r="AI5" s="1"/>
      <c r="AJ5" s="1"/>
      <c r="AK5" s="1"/>
      <c r="AL5" s="1"/>
    </row>
    <row r="6" spans="1:38" ht="12.75" customHeight="1" x14ac:dyDescent="0.25">
      <c r="A6" s="93"/>
      <c r="B6" s="71">
        <v>2022</v>
      </c>
      <c r="C6" s="72"/>
      <c r="D6" s="73"/>
      <c r="E6" s="71">
        <v>2023</v>
      </c>
      <c r="F6" s="72"/>
      <c r="G6" s="73"/>
      <c r="H6" s="71">
        <v>2024</v>
      </c>
      <c r="I6" s="72"/>
      <c r="J6" s="73"/>
      <c r="K6" s="82"/>
      <c r="L6" s="83"/>
      <c r="M6" s="83"/>
      <c r="N6" s="83"/>
      <c r="O6" s="83"/>
      <c r="P6" s="83"/>
      <c r="Q6" s="83"/>
      <c r="R6" s="84"/>
      <c r="S6" s="82"/>
      <c r="T6" s="83"/>
      <c r="U6" s="83"/>
      <c r="V6" s="83"/>
      <c r="W6" s="83"/>
      <c r="X6" s="83"/>
      <c r="Y6" s="86"/>
      <c r="Z6" s="88"/>
      <c r="AA6" s="90"/>
      <c r="AB6" s="1"/>
      <c r="AC6" s="1"/>
      <c r="AD6" s="1"/>
      <c r="AE6" s="1"/>
      <c r="AF6" s="1"/>
      <c r="AG6" s="1"/>
      <c r="AH6" s="1"/>
      <c r="AI6" s="1"/>
      <c r="AJ6" s="1"/>
      <c r="AK6" s="1"/>
      <c r="AL6" s="1"/>
    </row>
    <row r="7" spans="1:38" ht="16.5" customHeight="1" x14ac:dyDescent="0.25">
      <c r="A7" s="93"/>
      <c r="B7" s="23" t="s">
        <v>7</v>
      </c>
      <c r="C7" s="3" t="s">
        <v>8</v>
      </c>
      <c r="D7" s="4" t="s">
        <v>9</v>
      </c>
      <c r="E7" s="23" t="s">
        <v>7</v>
      </c>
      <c r="F7" s="3" t="s">
        <v>8</v>
      </c>
      <c r="G7" s="4" t="s">
        <v>9</v>
      </c>
      <c r="H7" s="23" t="s">
        <v>7</v>
      </c>
      <c r="I7" s="3" t="s">
        <v>8</v>
      </c>
      <c r="J7" s="4" t="s">
        <v>9</v>
      </c>
      <c r="K7" s="74" t="s">
        <v>4</v>
      </c>
      <c r="L7" s="75"/>
      <c r="M7" s="75"/>
      <c r="N7" s="75"/>
      <c r="O7" s="75"/>
      <c r="P7" s="75"/>
      <c r="Q7" s="75"/>
      <c r="R7" s="76"/>
      <c r="S7" s="77" t="s">
        <v>5</v>
      </c>
      <c r="T7" s="75"/>
      <c r="U7" s="75"/>
      <c r="V7" s="75"/>
      <c r="W7" s="75"/>
      <c r="X7" s="75"/>
      <c r="Y7" s="78"/>
      <c r="Z7" s="24" t="s">
        <v>6</v>
      </c>
      <c r="AA7" s="90"/>
      <c r="AB7" s="1"/>
      <c r="AC7" s="1"/>
      <c r="AD7" s="1"/>
      <c r="AE7" s="1"/>
      <c r="AF7" s="1"/>
      <c r="AG7" s="1"/>
      <c r="AH7" s="1"/>
      <c r="AI7" s="1"/>
      <c r="AJ7" s="1"/>
      <c r="AK7" s="1"/>
      <c r="AL7" s="1"/>
    </row>
    <row r="8" spans="1:38" ht="13.5" customHeight="1" x14ac:dyDescent="0.25">
      <c r="A8" s="94"/>
      <c r="B8" s="26" t="s">
        <v>10</v>
      </c>
      <c r="C8" s="25" t="s">
        <v>11</v>
      </c>
      <c r="D8" s="27" t="s">
        <v>12</v>
      </c>
      <c r="E8" s="26" t="s">
        <v>10</v>
      </c>
      <c r="F8" s="25" t="s">
        <v>11</v>
      </c>
      <c r="G8" s="27" t="s">
        <v>12</v>
      </c>
      <c r="H8" s="26" t="s">
        <v>10</v>
      </c>
      <c r="I8" s="25" t="s">
        <v>11</v>
      </c>
      <c r="J8" s="27" t="s">
        <v>12</v>
      </c>
      <c r="K8" s="28">
        <v>2016</v>
      </c>
      <c r="L8" s="29">
        <v>2017</v>
      </c>
      <c r="M8" s="30">
        <v>2018</v>
      </c>
      <c r="N8" s="29">
        <v>2020</v>
      </c>
      <c r="O8" s="30">
        <v>2021</v>
      </c>
      <c r="P8" s="30">
        <v>2022</v>
      </c>
      <c r="Q8" s="30">
        <v>2023</v>
      </c>
      <c r="R8" s="60">
        <v>2024</v>
      </c>
      <c r="S8" s="31">
        <v>2017</v>
      </c>
      <c r="T8" s="31">
        <v>2018</v>
      </c>
      <c r="U8" s="31">
        <v>2020</v>
      </c>
      <c r="V8" s="31">
        <v>2021</v>
      </c>
      <c r="W8" s="31">
        <v>2022</v>
      </c>
      <c r="X8" s="31">
        <v>2023</v>
      </c>
      <c r="Y8" s="31">
        <v>2024</v>
      </c>
      <c r="Z8" s="32" t="s">
        <v>13</v>
      </c>
      <c r="AA8" s="91"/>
      <c r="AB8" s="1"/>
      <c r="AC8" s="1"/>
      <c r="AD8" s="1"/>
      <c r="AE8" s="1"/>
      <c r="AF8" s="1"/>
      <c r="AG8" s="1"/>
      <c r="AH8" s="1"/>
      <c r="AI8" s="1"/>
      <c r="AJ8" s="1"/>
      <c r="AK8" s="1"/>
      <c r="AL8" s="1"/>
    </row>
    <row r="9" spans="1:38" ht="21" customHeight="1" x14ac:dyDescent="0.25">
      <c r="A9" s="2" t="s">
        <v>10</v>
      </c>
      <c r="B9" s="33">
        <f>C9+D9</f>
        <v>29448</v>
      </c>
      <c r="C9" s="16">
        <f t="shared" ref="C9:D9" si="0">SUM(C10:C13)</f>
        <v>16534</v>
      </c>
      <c r="D9" s="16">
        <f t="shared" si="0"/>
        <v>12914</v>
      </c>
      <c r="E9" s="33">
        <f>F9+G9</f>
        <v>31133</v>
      </c>
      <c r="F9" s="16">
        <f t="shared" ref="F9:G9" si="1">SUM(F10:F13)</f>
        <v>17401</v>
      </c>
      <c r="G9" s="16">
        <f t="shared" si="1"/>
        <v>13732</v>
      </c>
      <c r="H9" s="33">
        <f>I9+J9</f>
        <v>33248</v>
      </c>
      <c r="I9" s="16">
        <f t="shared" ref="I9:J9" si="2">SUM(I10:I13)</f>
        <v>18492</v>
      </c>
      <c r="J9" s="16">
        <f t="shared" si="2"/>
        <v>14756</v>
      </c>
      <c r="K9" s="34" t="e">
        <f>#REF!/#REF!*100</f>
        <v>#REF!</v>
      </c>
      <c r="L9" s="35" t="e">
        <f>#REF!/#REF!*100</f>
        <v>#REF!</v>
      </c>
      <c r="M9" s="35" t="e">
        <f>#REF!/#REF!*100</f>
        <v>#REF!</v>
      </c>
      <c r="N9" s="35" t="e">
        <f>#REF!/#REF!*100</f>
        <v>#REF!</v>
      </c>
      <c r="O9" s="35" t="e">
        <f>#REF!/#REF!*100</f>
        <v>#REF!</v>
      </c>
      <c r="P9" s="36">
        <f t="shared" ref="P9:P12" si="3">B9/$B$9*100</f>
        <v>100</v>
      </c>
      <c r="Q9" s="36">
        <f t="shared" ref="Q9:Q12" si="4">E9/$E$9*100</f>
        <v>100</v>
      </c>
      <c r="R9" s="37">
        <f t="shared" ref="R9:R12" si="5">H9/$H$9*100</f>
        <v>100</v>
      </c>
      <c r="S9" s="5" t="e">
        <f>#REF!/#REF!*100</f>
        <v>#REF!</v>
      </c>
      <c r="T9" s="5" t="e">
        <f>#REF!/#REF!*100</f>
        <v>#REF!</v>
      </c>
      <c r="U9" s="5" t="e">
        <f>#REF!/#REF!*100</f>
        <v>#REF!</v>
      </c>
      <c r="V9" s="5" t="e">
        <f>#REF!/#REF!*100</f>
        <v>#REF!</v>
      </c>
      <c r="W9" s="5">
        <f t="shared" ref="W9:W16" si="6">D9/B9*100</f>
        <v>43.853572398804673</v>
      </c>
      <c r="X9" s="5">
        <f t="shared" ref="X9:X12" si="7">G9/E9*100</f>
        <v>44.107538624610541</v>
      </c>
      <c r="Y9" s="7">
        <f t="shared" ref="Y9:Y12" si="8">J9/H9*100</f>
        <v>44.381616939364775</v>
      </c>
      <c r="Z9" s="38">
        <f t="shared" ref="Z9:Z12" si="9">((H9-E9)/E9)*100</f>
        <v>6.7934346192143389</v>
      </c>
      <c r="AA9" s="17" t="s">
        <v>7</v>
      </c>
      <c r="AB9" s="2"/>
      <c r="AC9" s="2"/>
      <c r="AD9" s="2"/>
      <c r="AE9" s="2"/>
      <c r="AF9" s="2"/>
      <c r="AG9" s="2"/>
      <c r="AH9" s="2"/>
      <c r="AI9" s="1"/>
      <c r="AJ9" s="1"/>
      <c r="AK9" s="1"/>
      <c r="AL9" s="1"/>
    </row>
    <row r="10" spans="1:38" ht="21" customHeight="1" x14ac:dyDescent="0.25">
      <c r="A10" s="1" t="s">
        <v>14</v>
      </c>
      <c r="B10" s="39">
        <f t="shared" ref="B10:B12" si="10">SUM(C10:D10)</f>
        <v>20593</v>
      </c>
      <c r="C10" s="18">
        <v>10272</v>
      </c>
      <c r="D10" s="18">
        <v>10321</v>
      </c>
      <c r="E10" s="39">
        <f t="shared" ref="E10:E12" si="11">SUM(F10:G10)</f>
        <v>22023</v>
      </c>
      <c r="F10" s="18">
        <v>10983</v>
      </c>
      <c r="G10" s="18">
        <v>11040</v>
      </c>
      <c r="H10" s="39">
        <f t="shared" ref="H10:H12" si="12">SUM(I10:J10)</f>
        <v>23811</v>
      </c>
      <c r="I10" s="61">
        <v>11886</v>
      </c>
      <c r="J10" s="61">
        <v>11925</v>
      </c>
      <c r="K10" s="40" t="e">
        <f>#REF!/#REF!*100</f>
        <v>#REF!</v>
      </c>
      <c r="L10" s="41" t="e">
        <f>#REF!/#REF!*100</f>
        <v>#REF!</v>
      </c>
      <c r="M10" s="41" t="e">
        <f>#REF!/#REF!*100</f>
        <v>#REF!</v>
      </c>
      <c r="N10" s="41" t="e">
        <f>#REF!/#REF!*100</f>
        <v>#REF!</v>
      </c>
      <c r="O10" s="41" t="e">
        <f>#REF!/#REF!*100</f>
        <v>#REF!</v>
      </c>
      <c r="P10" s="41">
        <f t="shared" si="3"/>
        <v>69.930046183102405</v>
      </c>
      <c r="Q10" s="41">
        <f t="shared" si="4"/>
        <v>70.738444737095691</v>
      </c>
      <c r="R10" s="64">
        <f t="shared" si="5"/>
        <v>71.616337824831561</v>
      </c>
      <c r="S10" s="7" t="e">
        <f>#REF!/#REF!*100</f>
        <v>#REF!</v>
      </c>
      <c r="T10" s="7" t="e">
        <f>#REF!/#REF!*100</f>
        <v>#REF!</v>
      </c>
      <c r="U10" s="7" t="e">
        <f>#REF!/#REF!*100</f>
        <v>#REF!</v>
      </c>
      <c r="V10" s="7" t="e">
        <f>#REF!/#REF!*100</f>
        <v>#REF!</v>
      </c>
      <c r="W10" s="7">
        <f t="shared" si="6"/>
        <v>50.118972466372071</v>
      </c>
      <c r="X10" s="7">
        <f t="shared" si="7"/>
        <v>50.129410162103262</v>
      </c>
      <c r="Y10" s="7">
        <f t="shared" si="8"/>
        <v>50.081894922514806</v>
      </c>
      <c r="Z10" s="42">
        <f t="shared" si="9"/>
        <v>8.118784906688461</v>
      </c>
      <c r="AA10" s="43" t="s">
        <v>15</v>
      </c>
      <c r="AB10" s="1"/>
      <c r="AC10" s="1"/>
      <c r="AD10" s="1"/>
      <c r="AE10" s="1"/>
      <c r="AF10" s="1"/>
      <c r="AG10" s="1"/>
      <c r="AH10" s="1"/>
      <c r="AI10" s="1"/>
      <c r="AJ10" s="1"/>
      <c r="AK10" s="1"/>
      <c r="AL10" s="1"/>
    </row>
    <row r="11" spans="1:38" ht="21" customHeight="1" x14ac:dyDescent="0.25">
      <c r="A11" s="1" t="s">
        <v>16</v>
      </c>
      <c r="B11" s="39">
        <f t="shared" si="10"/>
        <v>1666</v>
      </c>
      <c r="C11" s="18">
        <v>1309</v>
      </c>
      <c r="D11" s="18">
        <v>357</v>
      </c>
      <c r="E11" s="39">
        <f t="shared" si="11"/>
        <v>1869</v>
      </c>
      <c r="F11" s="18">
        <v>1458</v>
      </c>
      <c r="G11" s="18">
        <v>411</v>
      </c>
      <c r="H11" s="39">
        <f t="shared" si="12"/>
        <v>2166</v>
      </c>
      <c r="I11" s="61">
        <v>1667</v>
      </c>
      <c r="J11" s="61">
        <v>499</v>
      </c>
      <c r="K11" s="40" t="e">
        <f>#REF!/#REF!*100</f>
        <v>#REF!</v>
      </c>
      <c r="L11" s="41" t="e">
        <f>#REF!/#REF!*100</f>
        <v>#REF!</v>
      </c>
      <c r="M11" s="41" t="e">
        <f>#REF!/#REF!*100</f>
        <v>#REF!</v>
      </c>
      <c r="N11" s="41" t="e">
        <f>#REF!/#REF!*100</f>
        <v>#REF!</v>
      </c>
      <c r="O11" s="41" t="e">
        <f>#REF!/#REF!*100</f>
        <v>#REF!</v>
      </c>
      <c r="P11" s="41">
        <f t="shared" si="3"/>
        <v>5.6574300461831024</v>
      </c>
      <c r="Q11" s="41">
        <f t="shared" si="4"/>
        <v>6.0032762663411816</v>
      </c>
      <c r="R11" s="64">
        <f t="shared" si="5"/>
        <v>6.5146775745909533</v>
      </c>
      <c r="S11" s="7" t="e">
        <f>#REF!/#REF!*100</f>
        <v>#REF!</v>
      </c>
      <c r="T11" s="7" t="e">
        <f>#REF!/#REF!*100</f>
        <v>#REF!</v>
      </c>
      <c r="U11" s="7" t="e">
        <f>#REF!/#REF!*100</f>
        <v>#REF!</v>
      </c>
      <c r="V11" s="7" t="e">
        <f>#REF!/#REF!*100</f>
        <v>#REF!</v>
      </c>
      <c r="W11" s="7">
        <f t="shared" si="6"/>
        <v>21.428571428571427</v>
      </c>
      <c r="X11" s="7">
        <f t="shared" si="7"/>
        <v>21.990369181380416</v>
      </c>
      <c r="Y11" s="7">
        <f t="shared" si="8"/>
        <v>23.037857802400737</v>
      </c>
      <c r="Z11" s="42">
        <f t="shared" si="9"/>
        <v>15.890850722311397</v>
      </c>
      <c r="AA11" s="43" t="s">
        <v>17</v>
      </c>
      <c r="AB11" s="1"/>
      <c r="AC11" s="1"/>
      <c r="AD11" s="1"/>
      <c r="AE11" s="1"/>
      <c r="AF11" s="44"/>
      <c r="AG11" s="44"/>
      <c r="AH11" s="44"/>
      <c r="AI11" s="1"/>
      <c r="AJ11" s="1"/>
      <c r="AK11" s="1"/>
      <c r="AL11" s="1"/>
    </row>
    <row r="12" spans="1:38" ht="21" customHeight="1" x14ac:dyDescent="0.25">
      <c r="A12" s="9" t="s">
        <v>18</v>
      </c>
      <c r="B12" s="45">
        <f t="shared" si="10"/>
        <v>7189</v>
      </c>
      <c r="C12" s="19">
        <v>4953</v>
      </c>
      <c r="D12" s="46">
        <v>2236</v>
      </c>
      <c r="E12" s="45">
        <f t="shared" si="11"/>
        <v>7241</v>
      </c>
      <c r="F12" s="19">
        <v>4960</v>
      </c>
      <c r="G12" s="46">
        <v>2281</v>
      </c>
      <c r="H12" s="45">
        <f t="shared" si="12"/>
        <v>7271</v>
      </c>
      <c r="I12" s="62">
        <v>4939</v>
      </c>
      <c r="J12" s="63">
        <v>2332</v>
      </c>
      <c r="K12" s="47" t="e">
        <f>#REF!/#REF!*100</f>
        <v>#REF!</v>
      </c>
      <c r="L12" s="48" t="e">
        <f>#REF!/#REF!*100</f>
        <v>#REF!</v>
      </c>
      <c r="M12" s="48" t="e">
        <f>#REF!/#REF!*100</f>
        <v>#REF!</v>
      </c>
      <c r="N12" s="48" t="e">
        <f>#REF!/#REF!*100</f>
        <v>#REF!</v>
      </c>
      <c r="O12" s="48" t="e">
        <f>#REF!/#REF!*100</f>
        <v>#REF!</v>
      </c>
      <c r="P12" s="48">
        <f t="shared" si="3"/>
        <v>24.412523770714483</v>
      </c>
      <c r="Q12" s="48">
        <f t="shared" si="4"/>
        <v>23.258278996563135</v>
      </c>
      <c r="R12" s="65">
        <f t="shared" si="5"/>
        <v>21.86898460057748</v>
      </c>
      <c r="S12" s="10" t="e">
        <f>#REF!/#REF!*100</f>
        <v>#REF!</v>
      </c>
      <c r="T12" s="10" t="e">
        <f>#REF!/#REF!*100</f>
        <v>#REF!</v>
      </c>
      <c r="U12" s="10" t="e">
        <f>#REF!/#REF!*100</f>
        <v>#REF!</v>
      </c>
      <c r="V12" s="10" t="e">
        <f>#REF!/#REF!*100</f>
        <v>#REF!</v>
      </c>
      <c r="W12" s="10">
        <f t="shared" si="6"/>
        <v>31.103074141048825</v>
      </c>
      <c r="X12" s="10">
        <f t="shared" si="7"/>
        <v>31.501173871012288</v>
      </c>
      <c r="Y12" s="10">
        <f t="shared" si="8"/>
        <v>32.072617246596067</v>
      </c>
      <c r="Z12" s="49">
        <f t="shared" si="9"/>
        <v>0.41430741610274824</v>
      </c>
      <c r="AA12" s="50" t="s">
        <v>19</v>
      </c>
      <c r="AB12" s="1"/>
      <c r="AC12" s="1"/>
      <c r="AD12" s="1"/>
      <c r="AE12" s="1"/>
      <c r="AF12" s="44"/>
      <c r="AG12" s="44"/>
      <c r="AH12" s="44"/>
      <c r="AI12" s="1"/>
      <c r="AJ12" s="1"/>
      <c r="AK12" s="1"/>
      <c r="AL12" s="1"/>
    </row>
    <row r="13" spans="1:38" ht="21" hidden="1" customHeight="1" x14ac:dyDescent="0.25">
      <c r="A13" s="51" t="s">
        <v>22</v>
      </c>
      <c r="B13" s="52">
        <v>0</v>
      </c>
      <c r="C13" s="53">
        <v>0</v>
      </c>
      <c r="D13" s="53">
        <v>0</v>
      </c>
      <c r="E13" s="53"/>
      <c r="F13" s="53"/>
      <c r="G13" s="53"/>
      <c r="H13" s="53"/>
      <c r="I13" s="53"/>
      <c r="J13" s="53"/>
      <c r="K13" s="47" t="e">
        <f>#REF!/#REF!*100</f>
        <v>#REF!</v>
      </c>
      <c r="L13" s="48" t="e">
        <f>#REF!/#REF!*100</f>
        <v>#REF!</v>
      </c>
      <c r="M13" s="48" t="e">
        <f>#REF!/#REF!*100</f>
        <v>#REF!</v>
      </c>
      <c r="N13" s="53">
        <v>0</v>
      </c>
      <c r="O13" s="53"/>
      <c r="P13" s="54">
        <v>0</v>
      </c>
      <c r="Q13" s="53"/>
      <c r="R13" s="53"/>
      <c r="S13" s="10" t="e">
        <f>#REF!/#REF!*100</f>
        <v>#REF!</v>
      </c>
      <c r="T13" s="10" t="e">
        <f>#REF!/#REF!*100</f>
        <v>#REF!</v>
      </c>
      <c r="U13" s="10" t="e">
        <f>#REF!/#REF!*100</f>
        <v>#REF!</v>
      </c>
      <c r="V13" s="55">
        <v>0</v>
      </c>
      <c r="W13" s="56" t="e">
        <f t="shared" si="6"/>
        <v>#DIV/0!</v>
      </c>
      <c r="X13" s="5"/>
      <c r="Y13" s="5"/>
      <c r="Z13" s="53"/>
      <c r="AA13" s="20" t="s">
        <v>23</v>
      </c>
      <c r="AB13" s="1"/>
      <c r="AC13" s="1"/>
      <c r="AD13" s="1"/>
      <c r="AE13" s="1"/>
      <c r="AF13" s="1"/>
      <c r="AG13" s="1"/>
      <c r="AH13" s="1"/>
      <c r="AI13" s="1"/>
      <c r="AJ13" s="1"/>
      <c r="AK13" s="1"/>
      <c r="AL13" s="1"/>
    </row>
    <row r="14" spans="1:38" ht="17.25" hidden="1" customHeight="1" x14ac:dyDescent="0.25">
      <c r="A14" s="57" t="s">
        <v>24</v>
      </c>
      <c r="B14" s="1"/>
      <c r="C14" s="1"/>
      <c r="D14" s="1"/>
      <c r="E14" s="1"/>
      <c r="F14" s="1"/>
      <c r="G14" s="1"/>
      <c r="H14" s="1"/>
      <c r="I14" s="1"/>
      <c r="J14" s="1"/>
      <c r="K14" s="1"/>
      <c r="L14" s="1"/>
      <c r="M14" s="1"/>
      <c r="N14" s="1"/>
      <c r="O14" s="1"/>
      <c r="P14" s="1"/>
      <c r="Q14" s="1"/>
      <c r="R14" s="1"/>
      <c r="S14" s="1"/>
      <c r="T14" s="1"/>
      <c r="U14" s="1"/>
      <c r="V14" s="1"/>
      <c r="W14" s="56" t="e">
        <f t="shared" si="6"/>
        <v>#DIV/0!</v>
      </c>
      <c r="X14" s="5"/>
      <c r="Y14" s="5"/>
      <c r="Z14" s="1"/>
      <c r="AA14" s="1"/>
      <c r="AB14" s="21"/>
      <c r="AC14" s="1"/>
      <c r="AD14" s="1"/>
      <c r="AE14" s="44"/>
      <c r="AF14" s="1"/>
      <c r="AG14" s="1"/>
      <c r="AH14" s="1"/>
      <c r="AI14" s="1"/>
      <c r="AJ14" s="1"/>
      <c r="AK14" s="1"/>
      <c r="AL14" s="1"/>
    </row>
    <row r="15" spans="1:38" ht="17.25" hidden="1" customHeight="1" x14ac:dyDescent="0.25">
      <c r="A15" s="11" t="s">
        <v>25</v>
      </c>
      <c r="B15" s="1"/>
      <c r="C15" s="1"/>
      <c r="D15" s="1"/>
      <c r="E15" s="1"/>
      <c r="F15" s="1"/>
      <c r="G15" s="1"/>
      <c r="H15" s="1"/>
      <c r="I15" s="1"/>
      <c r="J15" s="1"/>
      <c r="K15" s="1"/>
      <c r="L15" s="1"/>
      <c r="M15" s="1"/>
      <c r="N15" s="1"/>
      <c r="O15" s="1"/>
      <c r="P15" s="1"/>
      <c r="Q15" s="1"/>
      <c r="R15" s="1"/>
      <c r="S15" s="1"/>
      <c r="T15" s="1"/>
      <c r="U15" s="1"/>
      <c r="V15" s="1"/>
      <c r="W15" s="56" t="e">
        <f t="shared" si="6"/>
        <v>#DIV/0!</v>
      </c>
      <c r="X15" s="5"/>
      <c r="Y15" s="5"/>
      <c r="Z15" s="1"/>
      <c r="AA15" s="1"/>
      <c r="AB15" s="21"/>
      <c r="AC15" s="1"/>
      <c r="AD15" s="1"/>
      <c r="AE15" s="44"/>
      <c r="AF15" s="1"/>
      <c r="AG15" s="1"/>
      <c r="AH15" s="1"/>
      <c r="AI15" s="1"/>
      <c r="AJ15" s="1"/>
      <c r="AK15" s="1"/>
      <c r="AL15" s="1"/>
    </row>
    <row r="16" spans="1:38" ht="17.25" hidden="1" customHeight="1" x14ac:dyDescent="0.25">
      <c r="A16" s="11" t="s">
        <v>26</v>
      </c>
      <c r="B16" s="1"/>
      <c r="C16" s="1"/>
      <c r="D16" s="1"/>
      <c r="E16" s="1"/>
      <c r="F16" s="1"/>
      <c r="G16" s="1"/>
      <c r="H16" s="1"/>
      <c r="I16" s="1"/>
      <c r="J16" s="1"/>
      <c r="K16" s="1"/>
      <c r="L16" s="1"/>
      <c r="M16" s="1"/>
      <c r="N16" s="1"/>
      <c r="O16" s="1"/>
      <c r="P16" s="1"/>
      <c r="Q16" s="1"/>
      <c r="R16" s="1"/>
      <c r="S16" s="1"/>
      <c r="T16" s="1"/>
      <c r="U16" s="1"/>
      <c r="V16" s="1"/>
      <c r="W16" s="56" t="e">
        <f t="shared" si="6"/>
        <v>#DIV/0!</v>
      </c>
      <c r="X16" s="5"/>
      <c r="Y16" s="5"/>
      <c r="Z16" s="1"/>
      <c r="AA16" s="1"/>
      <c r="AB16" s="21"/>
      <c r="AC16" s="1"/>
      <c r="AD16" s="1"/>
      <c r="AE16" s="1"/>
      <c r="AF16" s="1"/>
      <c r="AG16" s="1"/>
      <c r="AH16" s="1"/>
      <c r="AI16" s="1"/>
      <c r="AJ16" s="1"/>
      <c r="AK16" s="1"/>
      <c r="AL16" s="1"/>
    </row>
    <row r="17" spans="1:38" ht="19.5" customHeight="1" x14ac:dyDescent="0.5">
      <c r="A17" s="11" t="s">
        <v>27</v>
      </c>
      <c r="B17" s="1"/>
      <c r="C17" s="1"/>
      <c r="D17" s="1"/>
      <c r="E17" s="1"/>
      <c r="F17" s="1"/>
      <c r="G17" s="1"/>
      <c r="H17" s="1"/>
      <c r="I17" s="1"/>
      <c r="J17" s="1"/>
      <c r="K17" s="1"/>
      <c r="L17" s="1"/>
      <c r="M17" s="1"/>
      <c r="N17" s="1"/>
      <c r="O17" s="1"/>
      <c r="P17" s="1"/>
      <c r="Q17" s="1"/>
      <c r="R17" s="1"/>
      <c r="S17" s="1"/>
      <c r="T17" s="1"/>
      <c r="U17" s="1"/>
      <c r="V17" s="1"/>
      <c r="W17" s="1"/>
      <c r="X17" s="1"/>
      <c r="Y17" s="1"/>
      <c r="Z17" s="1"/>
      <c r="AA17" s="58" t="s">
        <v>20</v>
      </c>
      <c r="AB17" s="1"/>
      <c r="AC17" s="1"/>
      <c r="AD17" s="1"/>
      <c r="AE17" s="1"/>
      <c r="AF17" s="1"/>
      <c r="AG17" s="1"/>
      <c r="AH17" s="1"/>
      <c r="AI17" s="1"/>
      <c r="AJ17" s="1"/>
      <c r="AK17" s="1"/>
      <c r="AL17" s="1"/>
    </row>
    <row r="18" spans="1:38" ht="18" hidden="1" customHeight="1" x14ac:dyDescent="0.55000000000000004">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12" t="s">
        <v>28</v>
      </c>
      <c r="AC18" s="8"/>
      <c r="AD18" s="8"/>
      <c r="AE18" s="8"/>
      <c r="AF18" s="8"/>
      <c r="AG18" s="8"/>
      <c r="AH18" s="8"/>
      <c r="AI18" s="8"/>
      <c r="AJ18" s="8"/>
      <c r="AK18" s="8"/>
      <c r="AL18" s="8"/>
    </row>
    <row r="19" spans="1:38"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x14ac:dyDescent="0.25">
      <c r="A20" s="1"/>
      <c r="B20" s="1"/>
      <c r="C20" s="15"/>
      <c r="D20" s="15"/>
      <c r="E20" s="15"/>
      <c r="F20" s="15"/>
      <c r="G20" s="15"/>
      <c r="H20" s="15"/>
      <c r="I20" s="15"/>
      <c r="J20" s="15"/>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spans="1:38" ht="15.75" customHeight="1" x14ac:dyDescent="0.25">
      <c r="A21" s="1"/>
      <c r="B21" s="1"/>
      <c r="C21" s="15"/>
      <c r="D21" s="15"/>
      <c r="E21" s="15"/>
      <c r="F21" s="15"/>
      <c r="G21" s="15"/>
      <c r="H21" s="15"/>
      <c r="I21" s="15"/>
      <c r="J21" s="15"/>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spans="1:38"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t="s">
        <v>29</v>
      </c>
      <c r="AL23" s="1"/>
    </row>
    <row r="24" spans="1:38"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t="e">
        <f>#REF!</f>
        <v>#REF!</v>
      </c>
      <c r="AL25" s="1" t="e">
        <f>#REF!</f>
        <v>#REF!</v>
      </c>
    </row>
    <row r="26" spans="1:38"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t="s">
        <v>14</v>
      </c>
      <c r="AK26" s="6">
        <f>I10</f>
        <v>11886</v>
      </c>
      <c r="AL26" s="6">
        <f>J10</f>
        <v>11925</v>
      </c>
    </row>
    <row r="27" spans="1:38"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t="s">
        <v>16</v>
      </c>
      <c r="AK27" s="6">
        <f t="shared" ref="AK27:AL27" si="13">I11</f>
        <v>1667</v>
      </c>
      <c r="AL27" s="6">
        <f t="shared" si="13"/>
        <v>499</v>
      </c>
    </row>
    <row r="28" spans="1:38"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t="s">
        <v>18</v>
      </c>
      <c r="AK28" s="6">
        <f t="shared" ref="AK28:AL28" si="14">I12</f>
        <v>4939</v>
      </c>
      <c r="AL28" s="6">
        <f t="shared" si="14"/>
        <v>2332</v>
      </c>
    </row>
    <row r="29" spans="1:38"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9"/>
      <c r="AK29" s="6"/>
      <c r="AL29" s="6"/>
    </row>
    <row r="30" spans="1:38"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3"/>
      <c r="AE30" s="1"/>
      <c r="AF30" s="1"/>
      <c r="AG30" s="1"/>
      <c r="AH30" s="1"/>
      <c r="AI30" s="1"/>
      <c r="AJ30" s="1"/>
      <c r="AK30" s="1"/>
      <c r="AL30" s="1"/>
    </row>
    <row r="31" spans="1:3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spans="1:38"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spans="1:38"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spans="1:38"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12">
    <mergeCell ref="A2:AA2"/>
    <mergeCell ref="A3:AA3"/>
    <mergeCell ref="E6:G6"/>
    <mergeCell ref="H6:J6"/>
    <mergeCell ref="K7:R7"/>
    <mergeCell ref="S7:Y7"/>
    <mergeCell ref="K5:R6"/>
    <mergeCell ref="S5:Y6"/>
    <mergeCell ref="Z5:Z6"/>
    <mergeCell ref="AA5:AA8"/>
    <mergeCell ref="B6:D6"/>
    <mergeCell ref="A5:A8"/>
  </mergeCells>
  <pageMargins left="0.7" right="0.7" top="0.75" bottom="0.75" header="0" footer="0"/>
  <pageSetup paperSize="9" scale="62" orientation="landscape" r:id="rId1"/>
  <colBreaks count="1" manualBreakCount="1">
    <brk id="2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18.3</vt:lpstr>
      <vt:lpstr>'18.3'!Print_Area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2025-06-16T03:31:30Z</cp:lastPrinted>
  <dcterms:created xsi:type="dcterms:W3CDTF">2025-05-19T08:29:05Z</dcterms:created>
  <dcterms:modified xsi:type="dcterms:W3CDTF">2025-06-16T03:31:37Z</dcterms:modified>
</cp:coreProperties>
</file>