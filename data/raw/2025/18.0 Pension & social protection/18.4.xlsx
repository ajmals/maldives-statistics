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ension\"/>
    </mc:Choice>
  </mc:AlternateContent>
  <xr:revisionPtr revIDLastSave="0" documentId="13_ncr:1_{E12D0C3D-2CE2-4788-BAE1-89EDD216EE49}" xr6:coauthVersionLast="47" xr6:coauthVersionMax="47" xr10:uidLastSave="{00000000-0000-0000-0000-000000000000}"/>
  <bookViews>
    <workbookView xWindow="-120" yWindow="-120" windowWidth="29040" windowHeight="15720" tabRatio="752" xr2:uid="{00000000-000D-0000-FFFF-FFFF00000000}"/>
  </bookViews>
  <sheets>
    <sheet name="18.4" sheetId="4" r:id="rId1"/>
  </sheets>
  <definedNames>
    <definedName name="_xlnm.Print_Area" localSheetId="0">'18.4'!$A$1:$P$39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2" roundtripDataChecksum="fkOimQmwXAp2X4Idi2I5zrAWog9iQuypB84L36zwUFs="/>
    </ext>
  </extLst>
</workbook>
</file>

<file path=xl/calcChain.xml><?xml version="1.0" encoding="utf-8"?>
<calcChain xmlns="http://schemas.openxmlformats.org/spreadsheetml/2006/main">
  <c r="J19" i="4" l="1"/>
  <c r="F19" i="4"/>
  <c r="B19" i="4"/>
  <c r="J18" i="4"/>
  <c r="F18" i="4"/>
  <c r="B18" i="4"/>
  <c r="J17" i="4"/>
  <c r="F17" i="4"/>
  <c r="B17" i="4"/>
  <c r="J16" i="4"/>
  <c r="F16" i="4"/>
  <c r="B16" i="4"/>
  <c r="J15" i="4"/>
  <c r="F15" i="4"/>
  <c r="B15" i="4"/>
  <c r="J14" i="4"/>
  <c r="F14" i="4"/>
  <c r="B14" i="4"/>
  <c r="J13" i="4"/>
  <c r="F13" i="4"/>
  <c r="B13" i="4"/>
  <c r="J12" i="4"/>
  <c r="F12" i="4"/>
  <c r="B12" i="4"/>
  <c r="J11" i="4"/>
  <c r="F11" i="4"/>
  <c r="B11" i="4"/>
  <c r="J10" i="4"/>
  <c r="F10" i="4"/>
  <c r="B10" i="4"/>
  <c r="J9" i="4"/>
  <c r="F9" i="4"/>
  <c r="B9" i="4"/>
  <c r="J8" i="4"/>
  <c r="F8" i="4"/>
  <c r="B8" i="4"/>
</calcChain>
</file>

<file path=xl/sharedStrings.xml><?xml version="1.0" encoding="utf-8"?>
<sst xmlns="http://schemas.openxmlformats.org/spreadsheetml/2006/main" count="42" uniqueCount="34">
  <si>
    <t>Total</t>
  </si>
  <si>
    <t>Month</t>
  </si>
  <si>
    <t>މަސް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</si>
  <si>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</si>
  <si>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</si>
  <si>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</si>
  <si>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</si>
  <si>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</si>
  <si>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</si>
  <si>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</si>
  <si>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</si>
  <si>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</si>
  <si>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</si>
  <si>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</si>
  <si>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</si>
  <si>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</si>
  <si>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</si>
  <si>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</si>
  <si>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</si>
  <si>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</si>
  <si>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</si>
  <si>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</si>
  <si>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</si>
  <si>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</si>
  <si>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</si>
  <si>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</si>
  <si>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</si>
  <si>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މަޢުލޫމާތު ދެއްވި ފަރާތް: މޯލްޑިވްސް ޕެންޝަން އެޑްމިނިސްޓްރޭޝަން</t>
  </si>
  <si>
    <t>Source: Maldives Pension Administration</t>
  </si>
  <si>
    <t>65-69</t>
  </si>
  <si>
    <t>70-74</t>
  </si>
  <si>
    <t>75 &amp; over</t>
  </si>
  <si>
    <t>TABLE   18.4: NUMBER OF BENEFICIARIES OF BASIC PENSION SCHEME BY AGE, 2022 - 2024</t>
  </si>
  <si>
    <t>ތާވަލު  18.4 : އަސާސީ ޕެންޝަން ލިބޭ މީހުންގެ އަދަދު އަދި ޢުމުރުފުރާތައް، 2022 - 2024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</si>
</sst>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i/>
      <sz val="10"/>
      <color rgb="FF000000"/>
      <name val="Calibri"/>
      <family val="2"/>
    </font>
    <font>
      <sz val="10"/>
      <color rgb="FF000000"/>
      <name val="Faruma"/>
    </font>
    <font>
      <sz val="9"/>
      <color rgb="FF000000"/>
      <name val="Calibri"/>
      <family val="2"/>
    </font>
    <font>
      <i/>
      <sz val="9"/>
      <color rgb="FF000000"/>
      <name val="Calibri"/>
      <family val="2"/>
    </font>
    <font>
      <sz val="9"/>
      <color rgb="FF000000"/>
      <name val="Faruma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 style="hair">
        <color rgb="FF000000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2" borderId="4" xfId="0" applyFont="1" applyFill="1" applyBorder="1"/>
    <xf numFmtId="0" fontId="4" fillId="2" borderId="12" xfId="0" applyFont="1" applyFill="1" applyBorder="1" applyAlignment="1">
      <alignment horizontal="right" vertical="center"/>
    </xf>
    <xf numFmtId="0" fontId="4" fillId="2" borderId="14" xfId="0" applyFont="1" applyFill="1" applyBorder="1" applyAlignment="1">
      <alignment horizontal="right" vertical="center"/>
    </xf>
    <xf numFmtId="0" fontId="4" fillId="2" borderId="15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left" vertical="center"/>
    </xf>
    <xf numFmtId="3" fontId="3" fillId="2" borderId="4" xfId="0" applyNumberFormat="1" applyFont="1" applyFill="1" applyBorder="1" applyAlignment="1">
      <alignment vertical="center"/>
    </xf>
    <xf numFmtId="3" fontId="3" fillId="2" borderId="16" xfId="0" applyNumberFormat="1" applyFont="1" applyFill="1" applyBorder="1" applyAlignment="1">
      <alignment vertical="center"/>
    </xf>
    <xf numFmtId="0" fontId="5" fillId="2" borderId="4" xfId="0" applyFont="1" applyFill="1" applyBorder="1" applyAlignment="1">
      <alignment horizontal="right" vertical="center"/>
    </xf>
    <xf numFmtId="3" fontId="3" fillId="2" borderId="4" xfId="0" applyNumberFormat="1" applyFont="1" applyFill="1" applyBorder="1"/>
    <xf numFmtId="0" fontId="5" fillId="2" borderId="4" xfId="0" applyFont="1" applyFill="1" applyBorder="1" applyAlignment="1">
      <alignment horizontal="right"/>
    </xf>
    <xf numFmtId="0" fontId="3" fillId="2" borderId="12" xfId="0" applyFont="1" applyFill="1" applyBorder="1" applyAlignment="1">
      <alignment horizontal="left" vertical="center"/>
    </xf>
    <xf numFmtId="3" fontId="3" fillId="2" borderId="12" xfId="0" applyNumberFormat="1" applyFont="1" applyFill="1" applyBorder="1" applyAlignment="1">
      <alignment vertical="center"/>
    </xf>
    <xf numFmtId="3" fontId="3" fillId="2" borderId="14" xfId="0" applyNumberFormat="1" applyFont="1" applyFill="1" applyBorder="1" applyAlignment="1">
      <alignment vertical="center"/>
    </xf>
    <xf numFmtId="0" fontId="5" fillId="2" borderId="12" xfId="0" applyFont="1" applyFill="1" applyBorder="1" applyAlignment="1">
      <alignment horizontal="right" vertical="center"/>
    </xf>
    <xf numFmtId="0" fontId="8" fillId="2" borderId="4" xfId="0" applyFont="1" applyFill="1" applyBorder="1"/>
    <xf numFmtId="0" fontId="9" fillId="2" borderId="4" xfId="0" applyFont="1" applyFill="1" applyBorder="1"/>
    <xf numFmtId="0" fontId="10" fillId="2" borderId="4" xfId="0" applyFont="1" applyFill="1" applyBorder="1"/>
    <xf numFmtId="0" fontId="7" fillId="2" borderId="4" xfId="0" applyFont="1" applyFill="1" applyBorder="1"/>
    <xf numFmtId="14" fontId="3" fillId="2" borderId="4" xfId="0" applyNumberFormat="1" applyFont="1" applyFill="1" applyBorder="1"/>
    <xf numFmtId="0" fontId="6" fillId="2" borderId="4" xfId="0" applyFont="1" applyFill="1" applyBorder="1"/>
    <xf numFmtId="0" fontId="0" fillId="3" borderId="0" xfId="0" applyFill="1"/>
    <xf numFmtId="3" fontId="3" fillId="4" borderId="4" xfId="0" applyNumberFormat="1" applyFont="1" applyFill="1" applyBorder="1" applyAlignment="1">
      <alignment vertical="center"/>
    </xf>
    <xf numFmtId="3" fontId="3" fillId="4" borderId="12" xfId="0" applyNumberFormat="1" applyFont="1" applyFill="1" applyBorder="1" applyAlignment="1">
      <alignment vertical="center"/>
    </xf>
    <xf numFmtId="0" fontId="3" fillId="2" borderId="18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right" vertical="center"/>
    </xf>
    <xf numFmtId="0" fontId="2" fillId="3" borderId="7" xfId="0" applyFont="1" applyFill="1" applyBorder="1"/>
    <xf numFmtId="0" fontId="2" fillId="3" borderId="11" xfId="0" applyFont="1" applyFill="1" applyBorder="1"/>
    <xf numFmtId="0" fontId="2" fillId="3" borderId="18" xfId="0" applyFont="1" applyFill="1" applyBorder="1"/>
    <xf numFmtId="0" fontId="2" fillId="3" borderId="8" xfId="0" applyFont="1" applyFill="1" applyBorder="1"/>
    <xf numFmtId="0" fontId="2" fillId="3" borderId="9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left" vertical="center"/>
    </xf>
    <xf numFmtId="0" fontId="2" fillId="3" borderId="13" xfId="0" applyFont="1" applyFill="1" applyBorder="1"/>
    <xf numFmtId="0" fontId="4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99"/>
      <color rgb="FF9BC2E6"/>
      <color rgb="FF7E5400"/>
      <color rgb="FF33CCCC"/>
      <color rgb="FFAEAAAA"/>
      <color rgb="FFF7F7F7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alcChain" Target="calcChain.xml"/><Relationship Id="rId2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4" Type="http://schemas.openxmlformats.org/officeDocument/2006/relationships/styles" Target="styles.xml"/><Relationship Id="rId23" Type="http://schemas.openxmlformats.org/officeDocument/2006/relationships/theme" Target="theme/theme1.xml"/><Relationship Id="rId22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26946031746031746"/>
          <c:y val="0.18825876177242551"/>
          <c:w val="0.42592592592592593"/>
          <c:h val="0.8333333333333334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1FFFF"/>
              </a:solidFill>
            </c:spPr>
            <c:extLst>
              <c:ext xmlns:c16="http://schemas.microsoft.com/office/drawing/2014/chart" uri="{C3380CC4-5D6E-409C-BE32-E72D297353CC}">
                <c16:uniqueId val="{00000001-8E01-4DDE-A023-DEEB4507AEF5}"/>
              </c:ext>
            </c:extLst>
          </c:dPt>
          <c:dPt>
            <c:idx val="1"/>
            <c:bubble3D val="0"/>
            <c:spPr>
              <a:solidFill>
                <a:srgbClr val="003399"/>
              </a:solidFill>
            </c:spPr>
            <c:extLst>
              <c:ext xmlns:c16="http://schemas.microsoft.com/office/drawing/2014/chart" uri="{C3380CC4-5D6E-409C-BE32-E72D297353CC}">
                <c16:uniqueId val="{00000004-8E01-4DDE-A023-DEEB4507AEF5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b="0" i="0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8E01-4DDE-A023-DEEB4507AEF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8E01-4DDE-A023-DEEB4507AEF5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 lvl="0">
                    <a:defRPr b="0" i="0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8E01-4DDE-A023-DEEB4507AE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'18.4'!$K$7:$M$7</c:f>
              <c:strCache>
                <c:ptCount val="3"/>
                <c:pt idx="0">
                  <c:v>65-69</c:v>
                </c:pt>
                <c:pt idx="1">
                  <c:v>70-74</c:v>
                </c:pt>
                <c:pt idx="2">
                  <c:v>75 &amp; over</c:v>
                </c:pt>
              </c:strCache>
            </c:strRef>
          </c:cat>
          <c:val>
            <c:numRef>
              <c:f>'18.4'!$K$19:$M$19</c:f>
              <c:numCache>
                <c:formatCode>#,##0</c:formatCode>
                <c:ptCount val="3"/>
                <c:pt idx="0">
                  <c:v>9456</c:v>
                </c:pt>
                <c:pt idx="1">
                  <c:v>5742</c:v>
                </c:pt>
                <c:pt idx="2">
                  <c:v>8613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01-4DDE-A023-DEEB4507A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174625</xdr:colOff>
      <xdr:row>20</xdr:row>
      <xdr:rowOff>114300</xdr:rowOff>
    </xdr:from>
    <xdr:ext cx="6410325" cy="3381375"/>
    <xdr:graphicFrame macro="">
      <xdr:nvGraphicFramePr>
        <xdr:cNvPr id="430546625" name="Chart 6">
          <a:extLst>
            <a:ext uri="{FF2B5EF4-FFF2-40B4-BE49-F238E27FC236}">
              <a16:creationId xmlns:a16="http://schemas.microsoft.com/office/drawing/2014/main" id="{00000000-0008-0000-0300-0000C19EA9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571499</xdr:colOff>
      <xdr:row>21</xdr:row>
      <xdr:rowOff>107950</xdr:rowOff>
    </xdr:from>
    <xdr:ext cx="5762625" cy="276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2000249" y="5680075"/>
          <a:ext cx="5762625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263"/>
            <a:buFont typeface="Consolas"/>
            <a:buNone/>
          </a:pPr>
          <a:r>
            <a:rPr lang="en-US" sz="1050" b="1" i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Figure 18.6: Percentage share of beneficiaries of basic pension scheme by age group, </a:t>
          </a:r>
          <a:r>
            <a:rPr lang="dv-MV" sz="1050" b="1" i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2024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latin typeface="Consolas"/>
            <a:ea typeface="Consolas"/>
            <a:cs typeface="Consolas"/>
            <a:sym typeface="Consolas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AK1000"/>
  <sheetViews>
    <sheetView tabSelected="1" zoomScaleNormal="100" workbookViewId="0">
      <selection activeCell="M27" sqref="M27"/>
    </sheetView>
  </sheetViews>
  <sheetFormatPr defaultColWidth="14.42578125" defaultRowHeight="15" customHeight="1" x14ac:dyDescent="0.25"/>
  <cols>
    <col min="1" max="1" width="10.85546875" style="21" customWidth="1"/>
    <col min="2" max="13" width="10.5703125" style="21" customWidth="1"/>
    <col min="14" max="14" width="14.5703125" style="21" customWidth="1"/>
    <col min="15" max="15" width="3.28515625" style="21" customWidth="1"/>
    <col min="16" max="37" width="8" style="21" customWidth="1"/>
    <col min="38" max="16384" width="14.42578125" style="21"/>
  </cols>
  <sheetData>
    <row r="1" spans="1:3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6.5" customHeight="1" x14ac:dyDescent="0.25">
      <c r="A2" s="33" t="s">
        <v>33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14.25" customHeight="1" x14ac:dyDescent="0.25">
      <c r="A3" s="35" t="s">
        <v>32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2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6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21" customHeight="1" x14ac:dyDescent="0.25">
      <c r="A5" s="36" t="s">
        <v>1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25" t="s">
        <v>2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25">
      <c r="A6" s="28"/>
      <c r="B6" s="34">
        <v>2022</v>
      </c>
      <c r="C6" s="29"/>
      <c r="D6" s="29"/>
      <c r="E6" s="30"/>
      <c r="F6" s="34">
        <v>2023</v>
      </c>
      <c r="G6" s="29"/>
      <c r="H6" s="29"/>
      <c r="I6" s="30"/>
      <c r="J6" s="34">
        <v>2024</v>
      </c>
      <c r="K6" s="29"/>
      <c r="L6" s="29"/>
      <c r="M6" s="30"/>
      <c r="N6" s="26"/>
      <c r="O6" s="1"/>
      <c r="P6" s="1"/>
      <c r="Q6" s="19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25">
      <c r="A7" s="37"/>
      <c r="B7" s="3" t="s">
        <v>0</v>
      </c>
      <c r="C7" s="2" t="s">
        <v>29</v>
      </c>
      <c r="D7" s="2" t="s">
        <v>30</v>
      </c>
      <c r="E7" s="4" t="s">
        <v>31</v>
      </c>
      <c r="F7" s="3" t="s">
        <v>0</v>
      </c>
      <c r="G7" s="2" t="s">
        <v>29</v>
      </c>
      <c r="H7" s="2" t="s">
        <v>30</v>
      </c>
      <c r="I7" s="4" t="s">
        <v>31</v>
      </c>
      <c r="J7" s="3" t="s">
        <v>0</v>
      </c>
      <c r="K7" s="2" t="s">
        <v>29</v>
      </c>
      <c r="L7" s="2" t="s">
        <v>30</v>
      </c>
      <c r="M7" s="4" t="s">
        <v>31</v>
      </c>
      <c r="N7" s="27"/>
      <c r="O7" s="1"/>
      <c r="P7" s="1"/>
      <c r="Q7" s="19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ht="24.75" customHeight="1" x14ac:dyDescent="0.25">
      <c r="A8" s="24" t="s">
        <v>3</v>
      </c>
      <c r="B8" s="7">
        <f t="shared" ref="B8:B19" si="0">SUM(C8:E8)</f>
        <v>19823</v>
      </c>
      <c r="C8" s="6">
        <v>6770</v>
      </c>
      <c r="D8" s="6">
        <v>4771</v>
      </c>
      <c r="E8" s="6">
        <v>8282</v>
      </c>
      <c r="F8" s="7">
        <f t="shared" ref="F8:F19" si="1">SUM(G8:I8)</f>
        <v>21175</v>
      </c>
      <c r="G8" s="6">
        <v>7830</v>
      </c>
      <c r="H8" s="6">
        <v>5021</v>
      </c>
      <c r="I8" s="6">
        <v>8324</v>
      </c>
      <c r="J8" s="7">
        <f t="shared" ref="J8:J19" si="2">SUM(K8:M8)</f>
        <v>22600</v>
      </c>
      <c r="K8" s="22">
        <v>8857</v>
      </c>
      <c r="L8" s="22">
        <v>5348</v>
      </c>
      <c r="M8" s="22">
        <v>8395</v>
      </c>
      <c r="N8" s="8" t="s">
        <v>4</v>
      </c>
      <c r="O8" s="1"/>
      <c r="P8" s="1"/>
      <c r="Q8" s="19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ht="24.75" customHeight="1" x14ac:dyDescent="0.25">
      <c r="A9" s="5" t="s">
        <v>5</v>
      </c>
      <c r="B9" s="7">
        <f t="shared" si="0"/>
        <v>19904</v>
      </c>
      <c r="C9" s="6">
        <v>6876</v>
      </c>
      <c r="D9" s="6">
        <v>4792</v>
      </c>
      <c r="E9" s="6">
        <v>8236</v>
      </c>
      <c r="F9" s="7">
        <f t="shared" si="1"/>
        <v>21321</v>
      </c>
      <c r="G9" s="6">
        <v>7969</v>
      </c>
      <c r="H9" s="6">
        <v>5041</v>
      </c>
      <c r="I9" s="6">
        <v>8311</v>
      </c>
      <c r="J9" s="7">
        <f t="shared" si="2"/>
        <v>22742</v>
      </c>
      <c r="K9" s="22">
        <v>9015</v>
      </c>
      <c r="L9" s="22">
        <v>5362</v>
      </c>
      <c r="M9" s="22">
        <v>8365</v>
      </c>
      <c r="N9" s="8" t="s">
        <v>6</v>
      </c>
      <c r="O9" s="1"/>
      <c r="P9" s="1"/>
      <c r="Q9" s="19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ht="24.75" customHeight="1" x14ac:dyDescent="0.25">
      <c r="A10" s="5" t="s">
        <v>7</v>
      </c>
      <c r="B10" s="7">
        <f t="shared" si="0"/>
        <v>19981</v>
      </c>
      <c r="C10" s="6">
        <v>7039</v>
      </c>
      <c r="D10" s="6">
        <v>4778</v>
      </c>
      <c r="E10" s="6">
        <v>8164</v>
      </c>
      <c r="F10" s="7">
        <f t="shared" si="1"/>
        <v>21409</v>
      </c>
      <c r="G10" s="6">
        <v>8126</v>
      </c>
      <c r="H10" s="6">
        <v>5031</v>
      </c>
      <c r="I10" s="6">
        <v>8252</v>
      </c>
      <c r="J10" s="7">
        <f t="shared" si="2"/>
        <v>22930</v>
      </c>
      <c r="K10" s="22">
        <v>9174</v>
      </c>
      <c r="L10" s="22">
        <v>5436</v>
      </c>
      <c r="M10" s="22">
        <v>8320</v>
      </c>
      <c r="N10" s="8" t="s">
        <v>8</v>
      </c>
      <c r="O10" s="1"/>
      <c r="P10" s="1"/>
      <c r="Q10" s="19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ht="24.75" customHeight="1" x14ac:dyDescent="0.25">
      <c r="A11" s="5" t="s">
        <v>9</v>
      </c>
      <c r="B11" s="7">
        <f t="shared" si="0"/>
        <v>20120</v>
      </c>
      <c r="C11" s="6">
        <v>7140</v>
      </c>
      <c r="D11" s="6">
        <v>4813</v>
      </c>
      <c r="E11" s="6">
        <v>8167</v>
      </c>
      <c r="F11" s="7">
        <f t="shared" si="1"/>
        <v>21497</v>
      </c>
      <c r="G11" s="6">
        <v>8182</v>
      </c>
      <c r="H11" s="6">
        <v>5112</v>
      </c>
      <c r="I11" s="6">
        <v>8203</v>
      </c>
      <c r="J11" s="7">
        <f t="shared" si="2"/>
        <v>23031</v>
      </c>
      <c r="K11" s="22">
        <v>9295</v>
      </c>
      <c r="L11" s="22">
        <v>5409</v>
      </c>
      <c r="M11" s="22">
        <v>8327</v>
      </c>
      <c r="N11" s="8" t="s">
        <v>10</v>
      </c>
      <c r="O11" s="1"/>
      <c r="P11" s="1"/>
      <c r="Q11" s="19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ht="24.75" customHeight="1" x14ac:dyDescent="0.25">
      <c r="A12" s="5" t="s">
        <v>11</v>
      </c>
      <c r="B12" s="7">
        <f t="shared" si="0"/>
        <v>20199</v>
      </c>
      <c r="C12" s="6">
        <v>7284</v>
      </c>
      <c r="D12" s="6">
        <v>4807</v>
      </c>
      <c r="E12" s="6">
        <v>8108</v>
      </c>
      <c r="F12" s="7">
        <f t="shared" si="1"/>
        <v>21505</v>
      </c>
      <c r="G12" s="6">
        <v>8291</v>
      </c>
      <c r="H12" s="6">
        <v>5057</v>
      </c>
      <c r="I12" s="6">
        <v>8157</v>
      </c>
      <c r="J12" s="7">
        <f t="shared" si="2"/>
        <v>23140</v>
      </c>
      <c r="K12" s="22">
        <v>9390</v>
      </c>
      <c r="L12" s="22">
        <v>5484</v>
      </c>
      <c r="M12" s="22">
        <v>8266</v>
      </c>
      <c r="N12" s="8" t="s">
        <v>12</v>
      </c>
      <c r="O12" s="1"/>
      <c r="P12" s="1"/>
      <c r="Q12" s="19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ht="24.75" customHeight="1" x14ac:dyDescent="0.25">
      <c r="A13" s="5" t="s">
        <v>13</v>
      </c>
      <c r="B13" s="7">
        <f t="shared" si="0"/>
        <v>20323</v>
      </c>
      <c r="C13" s="6">
        <v>7332</v>
      </c>
      <c r="D13" s="6">
        <v>4862</v>
      </c>
      <c r="E13" s="6">
        <v>8129</v>
      </c>
      <c r="F13" s="7">
        <f t="shared" si="1"/>
        <v>21598</v>
      </c>
      <c r="G13" s="6">
        <v>8341</v>
      </c>
      <c r="H13" s="6">
        <v>5109</v>
      </c>
      <c r="I13" s="6">
        <v>8148</v>
      </c>
      <c r="J13" s="7">
        <f t="shared" si="2"/>
        <v>23286</v>
      </c>
      <c r="K13" s="22">
        <v>9525</v>
      </c>
      <c r="L13" s="22">
        <v>5458</v>
      </c>
      <c r="M13" s="22">
        <v>8303</v>
      </c>
      <c r="N13" s="8" t="s">
        <v>14</v>
      </c>
      <c r="O13" s="1"/>
      <c r="P13" s="1"/>
      <c r="Q13" s="19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ht="24.75" customHeight="1" x14ac:dyDescent="0.25">
      <c r="A14" s="5" t="s">
        <v>15</v>
      </c>
      <c r="B14" s="7">
        <f t="shared" si="0"/>
        <v>20383</v>
      </c>
      <c r="C14" s="6">
        <v>7443</v>
      </c>
      <c r="D14" s="6">
        <v>4858</v>
      </c>
      <c r="E14" s="6">
        <v>8082</v>
      </c>
      <c r="F14" s="7">
        <f t="shared" si="1"/>
        <v>21693</v>
      </c>
      <c r="G14" s="6">
        <v>8507</v>
      </c>
      <c r="H14" s="6">
        <v>5073</v>
      </c>
      <c r="I14" s="6">
        <v>8113</v>
      </c>
      <c r="J14" s="7">
        <f t="shared" si="2"/>
        <v>23429</v>
      </c>
      <c r="K14" s="22">
        <v>9681</v>
      </c>
      <c r="L14" s="22">
        <v>5496</v>
      </c>
      <c r="M14" s="22">
        <v>8252</v>
      </c>
      <c r="N14" s="8" t="s">
        <v>16</v>
      </c>
      <c r="O14" s="1"/>
      <c r="P14" s="1"/>
      <c r="Q14" s="19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ht="24.75" customHeight="1" x14ac:dyDescent="0.25">
      <c r="A15" s="5" t="s">
        <v>17</v>
      </c>
      <c r="B15" s="7">
        <f t="shared" si="0"/>
        <v>20433</v>
      </c>
      <c r="C15" s="6">
        <v>7520</v>
      </c>
      <c r="D15" s="6">
        <v>4879</v>
      </c>
      <c r="E15" s="6">
        <v>8034</v>
      </c>
      <c r="F15" s="7">
        <f t="shared" si="1"/>
        <v>21805</v>
      </c>
      <c r="G15" s="6">
        <v>8610</v>
      </c>
      <c r="H15" s="6">
        <v>5090</v>
      </c>
      <c r="I15" s="6">
        <v>8105</v>
      </c>
      <c r="J15" s="7">
        <f t="shared" si="2"/>
        <v>23559</v>
      </c>
      <c r="K15" s="22">
        <v>9324</v>
      </c>
      <c r="L15" s="22">
        <v>5983</v>
      </c>
      <c r="M15" s="22">
        <v>8252</v>
      </c>
      <c r="N15" s="8" t="s">
        <v>18</v>
      </c>
      <c r="O15" s="1"/>
      <c r="P15" s="1"/>
      <c r="Q15" s="19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ht="24.75" customHeight="1" x14ac:dyDescent="0.25">
      <c r="A16" s="5" t="s">
        <v>19</v>
      </c>
      <c r="B16" s="7">
        <f t="shared" si="0"/>
        <v>20487</v>
      </c>
      <c r="C16" s="6">
        <v>7154</v>
      </c>
      <c r="D16" s="6">
        <v>4962</v>
      </c>
      <c r="E16" s="6">
        <v>8371</v>
      </c>
      <c r="F16" s="7">
        <f t="shared" si="1"/>
        <v>21852</v>
      </c>
      <c r="G16" s="6">
        <v>8146</v>
      </c>
      <c r="H16" s="6">
        <v>5260</v>
      </c>
      <c r="I16" s="6">
        <v>8446</v>
      </c>
      <c r="J16" s="7">
        <f t="shared" si="2"/>
        <v>23657</v>
      </c>
      <c r="K16" s="22">
        <v>9397</v>
      </c>
      <c r="L16" s="22">
        <v>5604</v>
      </c>
      <c r="M16" s="22">
        <v>8656</v>
      </c>
      <c r="N16" s="8" t="s">
        <v>20</v>
      </c>
      <c r="O16" s="1"/>
      <c r="P16" s="1"/>
      <c r="Q16" s="19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ht="24.75" customHeight="1" x14ac:dyDescent="0.25">
      <c r="A17" s="5" t="s">
        <v>21</v>
      </c>
      <c r="B17" s="7">
        <f t="shared" si="0"/>
        <v>20538</v>
      </c>
      <c r="C17" s="6">
        <v>7217</v>
      </c>
      <c r="D17" s="6">
        <v>4965</v>
      </c>
      <c r="E17" s="6">
        <v>8356</v>
      </c>
      <c r="F17" s="7">
        <f t="shared" si="1"/>
        <v>21928</v>
      </c>
      <c r="G17" s="6">
        <v>8182</v>
      </c>
      <c r="H17" s="6">
        <v>5306</v>
      </c>
      <c r="I17" s="6">
        <v>8440</v>
      </c>
      <c r="J17" s="7">
        <f t="shared" si="2"/>
        <v>23718</v>
      </c>
      <c r="K17" s="22">
        <v>9405</v>
      </c>
      <c r="L17" s="22">
        <v>5659</v>
      </c>
      <c r="M17" s="22">
        <v>8654</v>
      </c>
      <c r="N17" s="8" t="s">
        <v>22</v>
      </c>
      <c r="O17" s="1"/>
      <c r="P17" s="1"/>
      <c r="Q17" s="19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ht="24.75" customHeight="1" x14ac:dyDescent="0.55000000000000004">
      <c r="A18" s="5" t="s">
        <v>23</v>
      </c>
      <c r="B18" s="7">
        <f t="shared" si="0"/>
        <v>20574</v>
      </c>
      <c r="C18" s="6">
        <v>7227</v>
      </c>
      <c r="D18" s="6">
        <v>4999</v>
      </c>
      <c r="E18" s="6">
        <v>8348</v>
      </c>
      <c r="F18" s="7">
        <f t="shared" si="1"/>
        <v>21975</v>
      </c>
      <c r="G18" s="6">
        <v>8242</v>
      </c>
      <c r="H18" s="6">
        <v>5314</v>
      </c>
      <c r="I18" s="6">
        <v>8419</v>
      </c>
      <c r="J18" s="7">
        <f t="shared" si="2"/>
        <v>23774</v>
      </c>
      <c r="K18" s="22">
        <v>9445</v>
      </c>
      <c r="L18" s="22">
        <v>5696</v>
      </c>
      <c r="M18" s="22">
        <v>8633</v>
      </c>
      <c r="N18" s="10" t="s">
        <v>24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ht="24.75" customHeight="1" x14ac:dyDescent="0.25">
      <c r="A19" s="11" t="s">
        <v>25</v>
      </c>
      <c r="B19" s="13">
        <f t="shared" si="0"/>
        <v>20593</v>
      </c>
      <c r="C19" s="12">
        <v>7257</v>
      </c>
      <c r="D19" s="12">
        <v>5003</v>
      </c>
      <c r="E19" s="12">
        <v>8333</v>
      </c>
      <c r="F19" s="13">
        <f t="shared" si="1"/>
        <v>22023</v>
      </c>
      <c r="G19" s="12">
        <v>8296</v>
      </c>
      <c r="H19" s="12">
        <v>5324</v>
      </c>
      <c r="I19" s="12">
        <v>8403</v>
      </c>
      <c r="J19" s="13">
        <f t="shared" si="2"/>
        <v>23811</v>
      </c>
      <c r="K19" s="23">
        <v>9456</v>
      </c>
      <c r="L19" s="23">
        <v>5742</v>
      </c>
      <c r="M19" s="23">
        <v>8613</v>
      </c>
      <c r="N19" s="14" t="s">
        <v>26</v>
      </c>
      <c r="O19" s="1"/>
      <c r="P19" s="9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ht="17.25" customHeight="1" x14ac:dyDescent="0.45">
      <c r="A20" s="16" t="s">
        <v>28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7" t="s">
        <v>27</v>
      </c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</row>
    <row r="21" spans="1:37" ht="18.75" customHeight="1" x14ac:dyDescent="0.5">
      <c r="A21" s="20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8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ht="17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7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1:37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1:37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1:37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1:37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1:37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1:37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1:37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1:37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1:37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1:37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1:37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1:37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37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1:37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37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7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37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1:37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1:37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1:37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1:37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1:37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1:37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1:37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1:37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1:37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1:37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1:37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1:37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1:37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1:37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1:37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1:37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1:37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1:37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1:37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1:37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1:37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1:37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1:37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1:37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1:37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1:37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1:37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1:37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1:37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1:37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1:37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1:37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1:37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1:37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1:37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1:37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1:37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1:37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1:37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1:37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1:37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1:37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1:37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1:37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1:37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1:37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1:37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1:37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1:37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1:37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1:37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1:37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1:37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1:37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1:37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1:37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1:37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1:37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1:37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1:37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1:37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1:37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1:37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1:37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1:37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1:37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1:37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1:37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1:37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1:37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1:37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1:37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1:37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1:37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1:37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1:37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1:37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1:37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1:37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1:37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1:37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1:37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1:37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1:37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1:37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1:37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1:37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1:37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1:37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1:37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1:37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1:37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1:37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1:37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1:37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1:37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1:37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1:37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1:37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1:37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1:37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1:37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1:37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1:37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1:37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1:37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1:37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1:37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1:37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1:37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1:37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1:37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1:37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1:37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1:37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1:37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1:37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1:37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1:37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1:37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1:37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1:37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1:37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1:37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1:37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1:37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1:37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1:37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1:37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1:37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1:37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1:37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1:37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1:37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1:37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1:37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1:37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1:37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1:37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1:37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1:37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1:37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1:37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1:37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1:37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1:37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1:37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1:37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1:37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1:37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1:37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1:37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1:37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1:37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1:37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1:37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1:37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1:37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1:37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1:37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1:37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1:37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1:37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1:37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1:37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1:37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1:37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1:37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1:37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1:37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1:37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1:37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1:37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1:37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1:37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1:37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37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37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37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1:37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1:37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1:37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1:37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1:37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1:37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1:37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1:37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1:37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1:37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1:37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1:37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37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1:37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1:37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1:37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1:37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1:37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1:37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1:37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1:37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1:37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1:37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1:37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1:37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1:37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1:37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1:37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1:37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1:37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1:37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1:37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1:37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1:37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1:37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1:37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1:37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1:37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1:37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1:37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1:37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1:37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1:37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1:37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1:37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1:37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1:37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1:37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1:37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1:37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1:37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1:37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1:37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1:37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1:37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1:37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1:37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1:37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1:37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1:37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1:37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1:37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1:37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1:37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1:37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1:37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1:37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1:37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1:37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1:37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1:37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1:37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1:37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1:37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1:37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1:37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1:37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1:37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1:37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1:37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1:37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1:37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1:37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1:37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1:37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1:37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1:37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1:37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1:37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1:37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1:37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1:37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1:37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1:37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1:37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1:37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1:37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1:37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1:37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1:37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1:37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1:37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1:37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1:37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1:37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1:37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1:37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1:37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1:37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1:37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1:37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1:37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1:37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1:37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1:37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1:37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1:37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1:37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1:37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1:37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1:37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1:37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1:37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1:37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1:37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1:37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1:37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1:37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1:37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1:37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1:37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1:37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1:37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1:37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1:37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1:37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1:37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1:37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1:37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1:37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1:37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1:37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1:37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1:37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1:37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1:37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1:37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1:37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1:37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1:37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1:37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1:37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1:37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1:37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1:37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1:37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1:37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1:37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1:37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1:37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1:37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1:37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1:37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1:37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1:37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1:37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1:37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1:37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1:37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1:37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1:37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1:37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1:37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1:37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1:37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1:37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1:37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1:37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1:37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1:37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1:37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1:37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1:37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1:37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1:37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1:37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1:37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1:37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1:37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1:37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1:37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1:37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1:37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1:37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1:37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1:37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1:37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1:37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1:37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1:37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1:37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1:37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1:37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1:37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1:37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1:37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1:37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1:37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1:37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1:37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1:37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1:37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1:37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1:37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1:37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1:37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1:37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1:37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1:37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1:37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1:37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1:37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1:37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1:37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1:37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1:37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1:37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1:37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1:37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1:37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1:37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1:37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1:37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1:37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1:37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1:37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1:37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1:37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1:37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1:37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1:37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1:37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1:37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1:37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1:37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1:37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1:37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1:37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1:37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1:37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1:37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1:37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1:37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1:37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1:37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1:37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1:37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1:37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1:37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1:37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1:37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1:37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1:37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1:37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1:37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1:37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1:37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1:37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1:37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1:37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1:37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1:37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1:37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1:37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1:37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1:37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1:37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1:37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1:37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1:37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1:37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1:37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1:37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1:37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1:37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1:37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1:37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1:37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1:37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1:37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1:37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1:37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1:37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1:37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1:37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1:37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1:37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1:37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1:37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1:37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1:37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1:37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1:37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1:37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1:37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1:37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1:37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1:37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1:37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1:37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1:37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1:37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1:37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1:37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1:37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1:37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1:37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1:37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1:37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1:37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1:37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1:37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1:37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1:37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1:37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1:37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1:37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1:37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1:37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1:37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1:37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1:37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1:37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1:37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1:37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1:37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1:37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1:37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1:37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1:37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1:37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1:37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1:37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1:37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1:37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1:37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1:37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1:37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1:37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1:37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1:37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1:37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1:37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1:37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1:37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1:37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1:37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1:37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1:37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1:37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1:37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1:37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1:37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1:37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1:37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1:37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1:37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1:37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1:37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1:37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1:37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1:37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1:37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1:37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1:37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1:37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1:37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1:37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1:37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1:37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1:37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1:37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1:37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1:37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1:37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1:37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1:37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1:37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1:37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1:37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1:37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1:37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1:37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1:37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1:37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1:37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1:37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1:37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1:37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1:37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1:37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1:37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1:37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1:37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1:37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1:37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1:37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1:37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1:37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1:37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1:37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1:37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1:37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1:37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1:37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1:37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1:37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1:37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1:37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1:37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1:37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1:37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1:37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1:37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1:37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1:37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1:37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1:37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1:37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1:37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1:37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1:37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1:37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1:37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1:37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1:37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1:37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1:37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1:37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1:37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1:37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1:37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1:37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1:37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1:37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1:37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1:37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1:37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1:37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1:37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1:37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1:37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1:37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1:37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1:37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1:37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1:37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1:37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1:37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1:37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1:37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1:37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1:37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1:37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1:37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1:37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1:37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1:37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1:37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1:37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1:37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1:37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1:37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1:37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1:37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1:37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1:37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1:37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1:37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1:37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1:37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1:37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1:37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1:37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1:37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1:37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1:37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1:37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1:37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1:37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1:37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1:37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1:37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1:37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1:37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1:37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1:37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1:37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1:37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1:37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1:37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1:37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1:37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1:37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1:37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1:37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1:37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1:37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1:37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1:37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1:37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1:37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1:37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1:37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1:37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1:37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1:37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1:37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1:37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1:37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1:37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1:37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1:37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1:37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1:37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1:37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1:37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1:37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1:37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1:37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1:37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1:37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1:37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1:37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1:37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1:37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1:37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1:37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1:37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1:37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1:37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1:37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1:37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1:37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1:37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1:37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1:37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1:37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1:37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1:37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1:37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1:37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1:37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1:37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1:37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1:37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1:37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1:37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1:37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1:37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1:37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1:37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1:37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1:37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spans="1:37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spans="1:37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spans="1:37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spans="1:37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spans="1:37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spans="1:37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spans="1:37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spans="1:37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spans="1:37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spans="1:37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spans="1:37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spans="1:37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spans="1:37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spans="1:37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spans="1:37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spans="1:37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spans="1:37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spans="1:37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spans="1:37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spans="1:37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spans="1:37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spans="1:37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spans="1:37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spans="1:37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spans="1:37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spans="1:37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spans="1:37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spans="1:37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spans="1:37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spans="1:37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spans="1:37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spans="1:37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spans="1:37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spans="1:37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spans="1:37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spans="1:37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spans="1:37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spans="1:37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spans="1:37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spans="1:37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spans="1:37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spans="1:37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spans="1:37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spans="1:37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spans="1:37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spans="1:37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 count="8">
    <mergeCell ref="F6:I6"/>
    <mergeCell ref="A2:N2"/>
    <mergeCell ref="A3:N3"/>
    <mergeCell ref="A5:A7"/>
    <mergeCell ref="N5:N7"/>
    <mergeCell ref="J6:M6"/>
    <mergeCell ref="B5:M5"/>
    <mergeCell ref="B6:E6"/>
  </mergeCells>
  <pageMargins left="0.7" right="0.7" top="0.75" bottom="0.75" header="0" footer="0"/>
  <pageSetup paperSize="9" scale="69" orientation="landscape" r:id="rId1"/>
  <rowBreaks count="1" manualBreakCount="1">
    <brk id="39" max="16383" man="1"/>
  </rowBreaks>
  <colBreaks count="1" manualBreakCount="1">
    <brk id="1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18.4</vt:lpstr>
      <vt:lpstr>'18.4'!Print_Area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2025-06-16T03:34:46Z</cp:lastPrinted>
  <dcterms:created xsi:type="dcterms:W3CDTF">2025-05-19T08:29:05Z</dcterms:created>
  <dcterms:modified xsi:type="dcterms:W3CDTF">2025-06-16T03:35:04Z</dcterms:modified>
</cp:coreProperties>
</file>