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35" yWindow="-150" windowWidth="20550" windowHeight="12255" tabRatio="914"/>
  </bookViews>
  <sheets>
    <sheet name="17.4" sheetId="31" r:id="rId1"/>
  </sheets>
  <externalReferences>
    <externalReference r:id="rId2"/>
    <externalReference r:id="rId3"/>
    <externalReference r:id="rId4"/>
  </externalReferences>
  <definedNames>
    <definedName name="bec">#REF!</definedName>
    <definedName name="ctry">'[1]CTRY monthly'!$B$100:$N$115</definedName>
    <definedName name="moomina">#REF!</definedName>
    <definedName name="_xlnm.Print_Area" localSheetId="0">'17.4'!$A$1:$O$96</definedName>
    <definedName name="Print_Area_MI">#REF!</definedName>
    <definedName name="total">'[2]4'!#REF!</definedName>
  </definedNames>
  <calcPr calcId="144525"/>
</workbook>
</file>

<file path=xl/calcChain.xml><?xml version="1.0" encoding="utf-8"?>
<calcChain xmlns="http://schemas.openxmlformats.org/spreadsheetml/2006/main">
  <c r="N87" i="31" l="1"/>
  <c r="M87" i="31" l="1"/>
  <c r="M88" i="31"/>
  <c r="M72" i="31"/>
  <c r="M73" i="31"/>
  <c r="M74" i="31"/>
  <c r="M75" i="31"/>
  <c r="M76" i="31"/>
  <c r="M77" i="31"/>
  <c r="M78" i="31"/>
  <c r="M79" i="31"/>
  <c r="M80" i="31"/>
  <c r="M81" i="31"/>
  <c r="M82" i="31"/>
  <c r="M83" i="31"/>
  <c r="M84" i="31"/>
  <c r="M85" i="31"/>
  <c r="M86" i="31"/>
  <c r="L87" i="31"/>
  <c r="L88" i="31"/>
  <c r="L72" i="31"/>
  <c r="L73" i="31"/>
  <c r="L74" i="31"/>
  <c r="L75" i="31"/>
  <c r="L76" i="31"/>
  <c r="L77" i="31"/>
  <c r="L78" i="31"/>
  <c r="L79" i="31"/>
  <c r="L80" i="31"/>
  <c r="L81" i="31"/>
  <c r="L82" i="31"/>
  <c r="L83" i="31"/>
  <c r="L84" i="31"/>
  <c r="L85" i="31"/>
  <c r="L86" i="31"/>
  <c r="K87" i="31"/>
  <c r="K88" i="31"/>
  <c r="K72" i="31"/>
  <c r="K73" i="31"/>
  <c r="K74" i="31"/>
  <c r="K75" i="31"/>
  <c r="K76" i="31"/>
  <c r="K77" i="31"/>
  <c r="K78" i="31"/>
  <c r="K79" i="31"/>
  <c r="K80" i="31"/>
  <c r="K81" i="31"/>
  <c r="K82" i="31"/>
  <c r="K83" i="31"/>
  <c r="K84" i="31"/>
  <c r="K85" i="31"/>
  <c r="K86" i="31"/>
  <c r="J87" i="31"/>
  <c r="J88" i="31"/>
  <c r="J72" i="31"/>
  <c r="J73" i="31"/>
  <c r="J74" i="31"/>
  <c r="J75" i="31"/>
  <c r="J76" i="31"/>
  <c r="J77" i="31"/>
  <c r="J78" i="31"/>
  <c r="J79" i="31"/>
  <c r="J80" i="31"/>
  <c r="J81" i="31"/>
  <c r="J82" i="31"/>
  <c r="J83" i="31"/>
  <c r="J84" i="31"/>
  <c r="J85" i="31"/>
  <c r="J86" i="31"/>
  <c r="I87" i="31"/>
  <c r="I88" i="31"/>
  <c r="I72" i="31"/>
  <c r="I73" i="31"/>
  <c r="I74" i="31"/>
  <c r="I75" i="31"/>
  <c r="I76" i="31"/>
  <c r="I77" i="31"/>
  <c r="I78" i="31"/>
  <c r="I79" i="31"/>
  <c r="I80" i="31"/>
  <c r="I81" i="31"/>
  <c r="I82" i="31"/>
  <c r="I83" i="31"/>
  <c r="I84" i="31"/>
  <c r="I85" i="31"/>
  <c r="I86" i="31"/>
  <c r="H87" i="31"/>
  <c r="H88" i="31"/>
  <c r="H72" i="31"/>
  <c r="H73" i="31"/>
  <c r="H74" i="31"/>
  <c r="H75" i="31"/>
  <c r="H76" i="31"/>
  <c r="H77" i="31"/>
  <c r="H78" i="31"/>
  <c r="H79" i="31"/>
  <c r="H80" i="31"/>
  <c r="H81" i="31"/>
  <c r="H82" i="31"/>
  <c r="H83" i="31"/>
  <c r="H84" i="31"/>
  <c r="H85" i="31"/>
  <c r="H86" i="31"/>
  <c r="G87" i="31"/>
  <c r="G88" i="31"/>
  <c r="G72" i="31"/>
  <c r="G73" i="31"/>
  <c r="G74" i="31"/>
  <c r="G75" i="31"/>
  <c r="G76" i="31"/>
  <c r="G77" i="31"/>
  <c r="G78" i="31"/>
  <c r="G79" i="31"/>
  <c r="G80" i="31"/>
  <c r="G81" i="31"/>
  <c r="G82" i="31"/>
  <c r="G83" i="31"/>
  <c r="G84" i="31"/>
  <c r="G85" i="31"/>
  <c r="G86" i="31"/>
  <c r="F87" i="31"/>
  <c r="F88" i="31"/>
  <c r="F72" i="31"/>
  <c r="F73" i="31"/>
  <c r="F74" i="31"/>
  <c r="F75" i="31"/>
  <c r="F76" i="31"/>
  <c r="F77" i="31"/>
  <c r="F78" i="31"/>
  <c r="F79" i="31"/>
  <c r="F80" i="31"/>
  <c r="F81" i="31"/>
  <c r="F82" i="31"/>
  <c r="F83" i="31"/>
  <c r="F84" i="31"/>
  <c r="F85" i="31"/>
  <c r="F86" i="31"/>
  <c r="E87" i="31"/>
  <c r="E88" i="31"/>
  <c r="E72" i="31"/>
  <c r="E73" i="31"/>
  <c r="E74" i="31"/>
  <c r="E75" i="31"/>
  <c r="E76" i="31"/>
  <c r="E77" i="31"/>
  <c r="E78" i="31"/>
  <c r="E79" i="31"/>
  <c r="E80" i="31"/>
  <c r="E81" i="31"/>
  <c r="E82" i="31"/>
  <c r="E83" i="31"/>
  <c r="E84" i="31"/>
  <c r="E85" i="31"/>
  <c r="E86" i="31"/>
  <c r="D87" i="31"/>
  <c r="D88" i="31"/>
  <c r="D72" i="31"/>
  <c r="D73" i="31"/>
  <c r="D74" i="31"/>
  <c r="D75" i="31"/>
  <c r="D76" i="31"/>
  <c r="D77" i="31"/>
  <c r="D78" i="31"/>
  <c r="D79" i="31"/>
  <c r="D80" i="31"/>
  <c r="D81" i="31"/>
  <c r="D82" i="31"/>
  <c r="D83" i="31"/>
  <c r="D84" i="31"/>
  <c r="D85" i="31"/>
  <c r="D86" i="31"/>
  <c r="C87" i="31"/>
  <c r="C88" i="31"/>
  <c r="C72" i="31"/>
  <c r="C73" i="31"/>
  <c r="C74" i="31"/>
  <c r="C75" i="31"/>
  <c r="C76" i="31"/>
  <c r="C77" i="31"/>
  <c r="C78" i="31"/>
  <c r="C79" i="31"/>
  <c r="C80" i="31"/>
  <c r="C81" i="31"/>
  <c r="C82" i="31"/>
  <c r="C83" i="31"/>
  <c r="C84" i="31"/>
  <c r="C85" i="31"/>
  <c r="C86" i="31"/>
  <c r="B87" i="31"/>
  <c r="B88" i="31"/>
  <c r="B72" i="31"/>
  <c r="B73" i="31"/>
  <c r="B74" i="31"/>
  <c r="B75" i="31"/>
  <c r="B76" i="31"/>
  <c r="B77" i="31"/>
  <c r="B78" i="31"/>
  <c r="B79" i="31"/>
  <c r="B80" i="31"/>
  <c r="B81" i="31"/>
  <c r="B82" i="31"/>
  <c r="B83" i="31"/>
  <c r="B84" i="31"/>
  <c r="B85" i="31"/>
  <c r="B86" i="31"/>
  <c r="N88" i="31"/>
  <c r="N81" i="31" l="1"/>
  <c r="N83" i="31"/>
  <c r="N79" i="31"/>
  <c r="N77" i="31"/>
  <c r="N76" i="31"/>
  <c r="N86" i="31"/>
  <c r="N85" i="31"/>
  <c r="N84" i="31"/>
  <c r="N82" i="31"/>
  <c r="N80" i="31"/>
  <c r="N75" i="31"/>
  <c r="N78" i="31"/>
  <c r="N74" i="31"/>
  <c r="N73" i="31"/>
  <c r="N72" i="31"/>
  <c r="N10" i="31" l="1"/>
  <c r="N11" i="31"/>
  <c r="N12" i="31"/>
  <c r="N13" i="31"/>
  <c r="N14" i="31"/>
  <c r="N15" i="31"/>
  <c r="N16" i="31"/>
  <c r="N17" i="31"/>
  <c r="N18" i="31"/>
  <c r="N19" i="31"/>
  <c r="N20" i="31"/>
  <c r="N21" i="31"/>
  <c r="N22" i="31"/>
  <c r="N23" i="31"/>
  <c r="N24" i="31"/>
  <c r="N25" i="31"/>
  <c r="N9" i="31"/>
</calcChain>
</file>

<file path=xl/sharedStrings.xml><?xml version="1.0" encoding="utf-8"?>
<sst xmlns="http://schemas.openxmlformats.org/spreadsheetml/2006/main" count="268" uniqueCount="76">
  <si>
    <t>cCrWm</t>
  </si>
  <si>
    <t>cnUj</t>
  </si>
  <si>
    <t>Mar</t>
  </si>
  <si>
    <t>Jun</t>
  </si>
  <si>
    <t>Sep</t>
  </si>
  <si>
    <t>Dec</t>
  </si>
  <si>
    <t>Fish Index</t>
  </si>
  <si>
    <t>uDnwgcnim eguhwm</t>
  </si>
  <si>
    <t>Clothing and footwear</t>
  </si>
  <si>
    <t>Education</t>
  </si>
  <si>
    <t>cmIluAwt</t>
  </si>
  <si>
    <t>wlcmuj</t>
  </si>
  <si>
    <t>clIrcpEa</t>
  </si>
  <si>
    <t>Em</t>
  </si>
  <si>
    <t>iawluj</t>
  </si>
  <si>
    <t>cjErwvea</t>
  </si>
  <si>
    <t>Jan</t>
  </si>
  <si>
    <t>Feb</t>
  </si>
  <si>
    <t>Apr</t>
  </si>
  <si>
    <t>May</t>
  </si>
  <si>
    <t>Jul</t>
  </si>
  <si>
    <t>Aug</t>
  </si>
  <si>
    <t>Oct</t>
  </si>
  <si>
    <t>Nov</t>
  </si>
  <si>
    <t>cSwa ejcaWr - cawtiawb uDnwgiawm</t>
  </si>
  <si>
    <t>cawtctwvWb egutwfcnud</t>
  </si>
  <si>
    <t>cnWviawf iaWTUb idwa unuawncnwa</t>
  </si>
  <si>
    <t>cawtctwvWb egulet idwa csEg ,uTcnwrwk ,cnef ,ilukegEg</t>
  </si>
  <si>
    <t>Health</t>
  </si>
  <si>
    <t>ctwmcdiK IHcaiB</t>
  </si>
  <si>
    <t xml:space="preserve">Transport </t>
  </si>
  <si>
    <t xml:space="preserve"> urutwfurutwd</t>
  </si>
  <si>
    <t>Communication</t>
  </si>
  <si>
    <t>ctwmudiK ItWlwBWvum</t>
  </si>
  <si>
    <t>Recreation and culture</t>
  </si>
  <si>
    <t>cawtcawtcnwk IfWqws iaWrwviLuk</t>
  </si>
  <si>
    <t>Hotels, cafés and restaurants</t>
  </si>
  <si>
    <t xml:space="preserve">  cTcnwrOTcser idwa Efek ,WToh</t>
  </si>
  <si>
    <t>Miscellaneous goods and services</t>
  </si>
  <si>
    <t xml:space="preserve">Furnishing,  household equipment &amp; routine maintenance </t>
  </si>
  <si>
    <t xml:space="preserve">Tobacco </t>
  </si>
  <si>
    <t>cnurukctWmWrwm  iaWCcaekwt  ELugcneg Wfih ,cnixem,rwCInrwf</t>
  </si>
  <si>
    <t xml:space="preserve"> Wnwmihuncswm uDnwgcnim wlcmuj</t>
  </si>
  <si>
    <t>Food and beverages including fish</t>
  </si>
  <si>
    <t>Food and beverages excluding fish</t>
  </si>
  <si>
    <t xml:space="preserve"> cniaubIrWycawt iaWaWnWk</t>
  </si>
  <si>
    <t>(Wnwmihuncswm) cniaubIrWycawt iaWaWnWk</t>
  </si>
  <si>
    <t>cTcswgOa</t>
  </si>
  <si>
    <t>Irwaurcbef</t>
  </si>
  <si>
    <t>Irwaunej</t>
  </si>
  <si>
    <t>(Index - base: June 2012=100)</t>
  </si>
  <si>
    <t>(cnegiawlwbcSwa 100 IkwDnwgcnim eg 2012 cnUj)</t>
  </si>
  <si>
    <t>Housing, water, electricity, gas and other fuel</t>
  </si>
  <si>
    <t xml:space="preserve">  Actual rentals for housing</t>
  </si>
  <si>
    <t>All groups CPI (Total)</t>
  </si>
  <si>
    <t>Total excluding fish</t>
  </si>
  <si>
    <t xml:space="preserve"> ilukegEg</t>
  </si>
  <si>
    <t>ctwmcdiK iaWlwdum cnehinehea</t>
  </si>
  <si>
    <t>Major Groups - Republic</t>
  </si>
  <si>
    <t>Jan-Dec</t>
  </si>
  <si>
    <t>Monthly CPI</t>
  </si>
  <si>
    <t>iawa.Ip.Is eguhwmcswm</t>
  </si>
  <si>
    <t>Note:</t>
  </si>
  <si>
    <t>Prior to June 2004,  the food and non-beverages category includes tobacco &amp; narcotics category</t>
  </si>
  <si>
    <t>Prior to January 1996, the fish category seperately is not available</t>
  </si>
  <si>
    <t>Prior to June 2004, the transport category includes communication category</t>
  </si>
  <si>
    <t>Prior to June 2004, the recreation &amp; cultute category includes education category</t>
  </si>
  <si>
    <t xml:space="preserve">Prior to June 1996, the housing, water. Electricity, gas and other fuels category includes only rent </t>
  </si>
  <si>
    <t>na- Not available</t>
  </si>
  <si>
    <t xml:space="preserve">Source:  National  Bureau of Statistics   </t>
  </si>
  <si>
    <t>Table 17.4 :   CPI GROUPS, by months,  Republic, 2013 - 2016</t>
  </si>
  <si>
    <t>2016 - 2013 ,cSwaejcaWr ,uDnwgcnim egugwa egurWzWb uhwmcswmikea : 17.4 ulwvWt</t>
  </si>
  <si>
    <t>urwbcmeTcpes</t>
  </si>
  <si>
    <t>urwbOTckoa</t>
  </si>
  <si>
    <t>urwbcmevon</t>
  </si>
  <si>
    <t>urwbcmesiD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</si>
</sst>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5" formatCode="_-* #,##0.00\ _ރ_._-;_-* #,##0.00\ _ރ_.\-;_-* &quot;-&quot;??\ _ރ_._-;_-@_-"/>
    <numFmt numFmtId="166" formatCode="0.0"/>
    <numFmt numFmtId="167" formatCode="General_)"/>
    <numFmt numFmtId="169" formatCode="0.00_)"/>
  </numFmts>
  <fonts count="2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9"/>
      <name val="Arial"/>
      <family val="2"/>
    </font>
    <font>
      <b/>
      <sz val="9"/>
      <name val="A_Randhoo"/>
    </font>
    <font>
      <sz val="9"/>
      <name val="A_Randhoo"/>
    </font>
    <font>
      <sz val="10"/>
      <name val="Arial"/>
      <family val="2"/>
    </font>
    <font>
      <b/>
      <sz val="10"/>
      <name val="A_Randhoo"/>
    </font>
    <font>
      <b/>
      <i/>
      <sz val="16"/>
      <name val="Helv"/>
    </font>
    <font>
      <b/>
      <sz val="9"/>
      <name val="Times New Roman"/>
      <family val="1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_Randhoo"/>
    </font>
    <font>
      <b/>
      <sz val="9"/>
      <color theme="1"/>
      <name val="A_Randhoo"/>
    </font>
    <font>
      <b/>
      <sz val="11"/>
      <color theme="1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0" fontId="2" fillId="0" borderId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9" fontId="10" fillId="0" borderId="0"/>
    <xf numFmtId="0" fontId="2" fillId="0" borderId="0"/>
    <xf numFmtId="0" fontId="2" fillId="0" borderId="0"/>
    <xf numFmtId="167" fontId="3" fillId="0" borderId="0"/>
    <xf numFmtId="167" fontId="3" fillId="0" borderId="0"/>
    <xf numFmtId="167" fontId="3" fillId="0" borderId="0"/>
    <xf numFmtId="9" fontId="8" fillId="0" borderId="0" applyFont="0" applyFill="0" applyBorder="0" applyAlignment="0" applyProtection="0"/>
    <xf numFmtId="0" fontId="1" fillId="0" borderId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</cellStyleXfs>
  <cellXfs count="59">
    <xf numFmtId="0" fontId="0" fillId="0" borderId="0" xfId="0"/>
    <xf numFmtId="167" fontId="6" fillId="2" borderId="0" xfId="8" applyFont="1" applyFill="1" applyBorder="1" applyAlignment="1">
      <alignment horizontal="right" vertical="center" wrapText="1"/>
    </xf>
    <xf numFmtId="167" fontId="7" fillId="2" borderId="0" xfId="8" applyFont="1" applyFill="1" applyAlignment="1">
      <alignment horizontal="right" vertical="center"/>
    </xf>
    <xf numFmtId="0" fontId="0" fillId="2" borderId="0" xfId="0" applyFill="1"/>
    <xf numFmtId="0" fontId="8" fillId="2" borderId="0" xfId="5" applyFont="1" applyFill="1"/>
    <xf numFmtId="2" fontId="0" fillId="2" borderId="0" xfId="0" applyNumberFormat="1" applyFill="1"/>
    <xf numFmtId="0" fontId="13" fillId="2" borderId="1" xfId="5" applyFont="1" applyFill="1" applyBorder="1" applyAlignment="1">
      <alignment horizontal="left"/>
    </xf>
    <xf numFmtId="0" fontId="12" fillId="2" borderId="3" xfId="5" applyFont="1" applyFill="1" applyBorder="1" applyAlignment="1">
      <alignment vertical="center"/>
    </xf>
    <xf numFmtId="0" fontId="8" fillId="2" borderId="3" xfId="5" applyFont="1" applyFill="1" applyBorder="1"/>
    <xf numFmtId="167" fontId="6" fillId="2" borderId="3" xfId="8" applyFont="1" applyFill="1" applyBorder="1" applyAlignment="1">
      <alignment horizontal="right" vertical="center"/>
    </xf>
    <xf numFmtId="0" fontId="5" fillId="2" borderId="1" xfId="5" applyFont="1" applyFill="1" applyBorder="1" applyAlignment="1">
      <alignment horizontal="right"/>
    </xf>
    <xf numFmtId="167" fontId="15" fillId="2" borderId="0" xfId="7" applyFont="1" applyFill="1" applyAlignment="1">
      <alignment vertical="center" wrapText="1"/>
    </xf>
    <xf numFmtId="166" fontId="15" fillId="2" borderId="0" xfId="6" applyNumberFormat="1" applyFont="1" applyFill="1" applyBorder="1" applyAlignment="1">
      <alignment horizontal="right" vertical="center"/>
    </xf>
    <xf numFmtId="166" fontId="15" fillId="2" borderId="0" xfId="5" applyNumberFormat="1" applyFont="1" applyFill="1" applyBorder="1" applyAlignment="1">
      <alignment horizontal="right" vertical="center"/>
    </xf>
    <xf numFmtId="166" fontId="15" fillId="2" borderId="0" xfId="5" applyNumberFormat="1" applyFont="1" applyFill="1" applyAlignment="1">
      <alignment horizontal="right" vertical="center"/>
    </xf>
    <xf numFmtId="166" fontId="15" fillId="2" borderId="0" xfId="7" applyNumberFormat="1" applyFont="1" applyFill="1" applyBorder="1" applyAlignment="1">
      <alignment horizontal="right" vertical="center"/>
    </xf>
    <xf numFmtId="0" fontId="8" fillId="2" borderId="0" xfId="5" applyFont="1" applyFill="1" applyAlignment="1">
      <alignment vertical="center"/>
    </xf>
    <xf numFmtId="167" fontId="15" fillId="2" borderId="0" xfId="7" applyFont="1" applyFill="1" applyAlignment="1">
      <alignment vertical="center"/>
    </xf>
    <xf numFmtId="167" fontId="7" fillId="2" borderId="0" xfId="8" applyFont="1" applyFill="1" applyAlignment="1">
      <alignment horizontal="right" vertical="center" indent="1"/>
    </xf>
    <xf numFmtId="0" fontId="15" fillId="2" borderId="0" xfId="6" applyFont="1" applyFill="1" applyAlignment="1">
      <alignment vertical="center"/>
    </xf>
    <xf numFmtId="167" fontId="15" fillId="2" borderId="0" xfId="7" applyFont="1" applyFill="1" applyBorder="1" applyAlignment="1">
      <alignment vertical="center" wrapText="1"/>
    </xf>
    <xf numFmtId="167" fontId="7" fillId="2" borderId="0" xfId="9" applyFont="1" applyFill="1" applyAlignment="1">
      <alignment horizontal="right" vertical="center"/>
    </xf>
    <xf numFmtId="167" fontId="16" fillId="2" borderId="0" xfId="7" applyFont="1" applyFill="1" applyBorder="1" applyAlignment="1">
      <alignment vertical="center"/>
    </xf>
    <xf numFmtId="166" fontId="16" fillId="2" borderId="0" xfId="6" applyNumberFormat="1" applyFont="1" applyFill="1" applyBorder="1" applyAlignment="1">
      <alignment horizontal="right" vertical="center"/>
    </xf>
    <xf numFmtId="166" fontId="16" fillId="2" borderId="0" xfId="5" applyNumberFormat="1" applyFont="1" applyFill="1" applyBorder="1" applyAlignment="1">
      <alignment horizontal="right" vertical="center"/>
    </xf>
    <xf numFmtId="166" fontId="16" fillId="2" borderId="0" xfId="7" applyNumberFormat="1" applyFont="1" applyFill="1" applyBorder="1" applyAlignment="1">
      <alignment horizontal="right" vertical="center"/>
    </xf>
    <xf numFmtId="167" fontId="6" fillId="2" borderId="0" xfId="8" applyFont="1" applyFill="1" applyBorder="1" applyAlignment="1">
      <alignment horizontal="right" vertical="center"/>
    </xf>
    <xf numFmtId="0" fontId="4" fillId="2" borderId="0" xfId="5" applyFont="1" applyFill="1" applyAlignment="1">
      <alignment vertical="center"/>
    </xf>
    <xf numFmtId="167" fontId="16" fillId="2" borderId="2" xfId="7" applyFont="1" applyFill="1" applyBorder="1" applyAlignment="1">
      <alignment vertical="center"/>
    </xf>
    <xf numFmtId="166" fontId="16" fillId="2" borderId="2" xfId="7" applyNumberFormat="1" applyFont="1" applyFill="1" applyBorder="1" applyAlignment="1">
      <alignment horizontal="right" vertical="center"/>
    </xf>
    <xf numFmtId="167" fontId="6" fillId="2" borderId="2" xfId="9" applyFont="1" applyFill="1" applyBorder="1" applyAlignment="1">
      <alignment horizontal="right" vertical="center"/>
    </xf>
    <xf numFmtId="0" fontId="8" fillId="2" borderId="0" xfId="5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19" fillId="2" borderId="0" xfId="0" applyFont="1" applyFill="1" applyAlignment="1">
      <alignment horizontal="left" vertical="center" indent="1"/>
    </xf>
    <xf numFmtId="0" fontId="12" fillId="2" borderId="2" xfId="5" applyFont="1" applyFill="1" applyBorder="1" applyAlignment="1">
      <alignment horizontal="right" vertical="center"/>
    </xf>
    <xf numFmtId="17" fontId="12" fillId="2" borderId="2" xfId="5" applyNumberFormat="1" applyFont="1" applyFill="1" applyBorder="1" applyAlignment="1">
      <alignment horizontal="right" vertical="center"/>
    </xf>
    <xf numFmtId="0" fontId="11" fillId="2" borderId="2" xfId="5" applyFont="1" applyFill="1" applyBorder="1" applyAlignment="1">
      <alignment horizontal="right" vertical="center"/>
    </xf>
    <xf numFmtId="0" fontId="19" fillId="2" borderId="0" xfId="0" applyFont="1" applyFill="1" applyAlignment="1">
      <alignment vertical="center"/>
    </xf>
    <xf numFmtId="0" fontId="20" fillId="2" borderId="0" xfId="0" applyFont="1" applyFill="1"/>
    <xf numFmtId="0" fontId="20" fillId="2" borderId="0" xfId="5" applyFont="1" applyFill="1"/>
    <xf numFmtId="0" fontId="16" fillId="2" borderId="0" xfId="5" applyFont="1" applyFill="1" applyBorder="1" applyAlignment="1">
      <alignment horizontal="left" vertical="center"/>
    </xf>
    <xf numFmtId="0" fontId="9" fillId="2" borderId="0" xfId="5" applyFont="1" applyFill="1" applyBorder="1" applyAlignment="1">
      <alignment horizontal="right" vertical="center"/>
    </xf>
    <xf numFmtId="0" fontId="20" fillId="2" borderId="0" xfId="0" applyFont="1" applyFill="1" applyAlignment="1">
      <alignment vertical="center"/>
    </xf>
    <xf numFmtId="166" fontId="5" fillId="2" borderId="0" xfId="0" applyNumberFormat="1" applyFont="1" applyFill="1" applyAlignment="1">
      <alignment vertical="center"/>
    </xf>
    <xf numFmtId="166" fontId="16" fillId="2" borderId="2" xfId="6" applyNumberFormat="1" applyFont="1" applyFill="1" applyBorder="1" applyAlignment="1">
      <alignment horizontal="right" vertical="center"/>
    </xf>
    <xf numFmtId="167" fontId="14" fillId="2" borderId="0" xfId="9" applyFont="1" applyFill="1" applyBorder="1" applyAlignment="1" applyProtection="1">
      <alignment horizontal="left" vertical="center"/>
    </xf>
    <xf numFmtId="167" fontId="23" fillId="2" borderId="0" xfId="9" applyFont="1" applyFill="1" applyAlignment="1">
      <alignment vertical="center"/>
    </xf>
    <xf numFmtId="0" fontId="4" fillId="2" borderId="0" xfId="0" applyFont="1" applyFill="1"/>
    <xf numFmtId="2" fontId="4" fillId="2" borderId="0" xfId="0" applyNumberFormat="1" applyFont="1" applyFill="1"/>
    <xf numFmtId="0" fontId="4" fillId="2" borderId="0" xfId="5" applyFont="1" applyFill="1" applyBorder="1" applyAlignment="1">
      <alignment vertical="center"/>
    </xf>
    <xf numFmtId="167" fontId="12" fillId="2" borderId="0" xfId="9" applyFont="1" applyFill="1" applyBorder="1" applyAlignment="1" applyProtection="1">
      <alignment horizontal="center" vertical="center"/>
    </xf>
    <xf numFmtId="167" fontId="12" fillId="2" borderId="0" xfId="9" applyFont="1" applyFill="1" applyBorder="1" applyAlignment="1" applyProtection="1">
      <alignment horizontal="center" vertical="center"/>
    </xf>
    <xf numFmtId="2" fontId="15" fillId="2" borderId="0" xfId="6" applyNumberFormat="1" applyFont="1" applyFill="1" applyBorder="1" applyAlignment="1">
      <alignment horizontal="right" vertical="center"/>
    </xf>
    <xf numFmtId="167" fontId="21" fillId="2" borderId="0" xfId="9" applyFont="1" applyFill="1" applyAlignment="1">
      <alignment horizontal="center" vertical="center"/>
    </xf>
    <xf numFmtId="167" fontId="22" fillId="2" borderId="0" xfId="9" applyFont="1" applyFill="1" applyAlignment="1">
      <alignment horizontal="center" vertical="center" wrapText="1"/>
    </xf>
    <xf numFmtId="167" fontId="17" fillId="2" borderId="2" xfId="9" applyFont="1" applyFill="1" applyBorder="1" applyAlignment="1" applyProtection="1">
      <alignment horizontal="center" vertical="center"/>
    </xf>
    <xf numFmtId="167" fontId="16" fillId="2" borderId="4" xfId="9" applyFont="1" applyFill="1" applyBorder="1" applyAlignment="1" applyProtection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167" fontId="23" fillId="2" borderId="0" xfId="9" applyFont="1" applyFill="1" applyAlignment="1">
      <alignment horizontal="center" vertical="center"/>
    </xf>
  </cellXfs>
  <cellStyles count="17">
    <cellStyle name="1" xfId="1"/>
    <cellStyle name="Comma 2" xfId="2"/>
    <cellStyle name="Comma 2 2" xfId="12"/>
    <cellStyle name="Comma 3" xfId="3"/>
    <cellStyle name="Comma 3 2" xfId="13"/>
    <cellStyle name="Normal" xfId="0" builtinId="0"/>
    <cellStyle name="Normal - Style1" xfId="4"/>
    <cellStyle name="Normal 2" xfId="11"/>
    <cellStyle name="Normal 3" xfId="15"/>
    <cellStyle name="Normal 4" xfId="16"/>
    <cellStyle name="Normal_17 Prices_done" xfId="5"/>
    <cellStyle name="Normal_CPI new tables" xfId="6"/>
    <cellStyle name="Normal_Dec97" xfId="7"/>
    <cellStyle name="Normal_XII-11(Commerce)" xfId="8"/>
    <cellStyle name="Normal_XII-12 (Commerce)" xfId="9"/>
    <cellStyle name="Percent 2" xfId="10"/>
    <cellStyle name="Percent 2 2" xfId="14"/>
  </cellStyles>
  <dxfs count="0"/>
  <tableStyles count="0" defaultTableStyle="TableStyleMedium9" defaultPivotStyle="PivotStyleLight16"/>
  <colors>
    <mruColors>
      <color rgb="FFFCD5B5"/>
      <color rgb="FFFDEADA"/>
      <color rgb="FFFAC090"/>
      <color rgb="FFFFA143"/>
      <color rgb="FF953735"/>
      <color rgb="FFCC6600"/>
      <color rgb="FF996633"/>
      <color rgb="FFE3B7C5"/>
      <color rgb="FF73F3DE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a\c\Dev%20Outlook\worki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/Statistical%20%20Year%20Book/Yearbook2004/tables%20-%20graphs(recived)/Foreign%20Trade%20&amp;%20BOP%20-%20XI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2\PES\STI\CPI%20(consumer%20price%20index)\Rebasing%202010\Documentation\Writeup\Tables\2016\Annual\Graphs%20&amp;%20tables%20used_annual%202016-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RY monthly"/>
      <sheetName val="ext monthly"/>
      <sheetName val="Import"/>
      <sheetName val="mOnthly imp"/>
      <sheetName val="NATIONAL CALLS"/>
    </sheetNames>
    <sheetDataSet>
      <sheetData sheetId="0" refreshError="1">
        <row r="100">
          <cell r="B100" t="str">
            <v>AU</v>
          </cell>
          <cell r="C100">
            <v>6700795.71</v>
          </cell>
          <cell r="D100">
            <v>5275014.01</v>
          </cell>
          <cell r="E100">
            <v>6077435.3799999999</v>
          </cell>
          <cell r="F100">
            <v>5005831.58</v>
          </cell>
          <cell r="G100">
            <v>5479537.8399999999</v>
          </cell>
        </row>
        <row r="101">
          <cell r="B101" t="str">
            <v>CN</v>
          </cell>
          <cell r="C101">
            <v>2908001.12</v>
          </cell>
          <cell r="D101">
            <v>15711768.279999999</v>
          </cell>
          <cell r="E101">
            <v>1121143.2</v>
          </cell>
          <cell r="F101">
            <v>626416.43999999994</v>
          </cell>
          <cell r="G101">
            <v>777865.95</v>
          </cell>
        </row>
        <row r="102">
          <cell r="B102" t="str">
            <v>EU</v>
          </cell>
          <cell r="C102">
            <v>38720700.050000101</v>
          </cell>
          <cell r="D102">
            <v>31907375.350000001</v>
          </cell>
          <cell r="E102">
            <v>42944361.799999997</v>
          </cell>
          <cell r="F102">
            <v>23848010.579999998</v>
          </cell>
          <cell r="G102">
            <v>35095860.829999998</v>
          </cell>
        </row>
        <row r="103">
          <cell r="B103" t="str">
            <v>HK</v>
          </cell>
          <cell r="C103">
            <v>9502221.4000000004</v>
          </cell>
          <cell r="D103">
            <v>3333004.83</v>
          </cell>
          <cell r="E103">
            <v>4361142.53</v>
          </cell>
          <cell r="F103">
            <v>1409733.32</v>
          </cell>
          <cell r="G103">
            <v>8014935.0300000003</v>
          </cell>
        </row>
        <row r="104">
          <cell r="B104" t="str">
            <v>ID</v>
          </cell>
          <cell r="C104">
            <v>7946077.1500000004</v>
          </cell>
          <cell r="D104">
            <v>5631474.8399999999</v>
          </cell>
          <cell r="E104">
            <v>8958264.8000000007</v>
          </cell>
          <cell r="F104">
            <v>17153200.850000001</v>
          </cell>
          <cell r="G104">
            <v>10811501.18</v>
          </cell>
        </row>
        <row r="105">
          <cell r="B105" t="str">
            <v>IN</v>
          </cell>
          <cell r="C105">
            <v>32942324.510000002</v>
          </cell>
          <cell r="D105">
            <v>37965330.589999899</v>
          </cell>
          <cell r="E105">
            <v>42908855.030000001</v>
          </cell>
          <cell r="F105">
            <v>30957830.27</v>
          </cell>
          <cell r="G105">
            <v>26418991.16</v>
          </cell>
        </row>
        <row r="106">
          <cell r="B106" t="str">
            <v>JA</v>
          </cell>
          <cell r="C106">
            <v>8862453.8000000007</v>
          </cell>
          <cell r="D106">
            <v>7744271.6200000001</v>
          </cell>
          <cell r="E106">
            <v>20316563.219999999</v>
          </cell>
          <cell r="F106">
            <v>26963926.699999999</v>
          </cell>
          <cell r="G106">
            <v>9377332.6700000092</v>
          </cell>
        </row>
        <row r="107">
          <cell r="B107" t="str">
            <v>MA</v>
          </cell>
          <cell r="C107">
            <v>28203628.43</v>
          </cell>
          <cell r="D107">
            <v>37066061.68</v>
          </cell>
          <cell r="E107">
            <v>33995178.200000003</v>
          </cell>
          <cell r="F107">
            <v>74560501.710000098</v>
          </cell>
          <cell r="G107">
            <v>19808373.460000001</v>
          </cell>
        </row>
        <row r="108">
          <cell r="B108" t="str">
            <v>NW</v>
          </cell>
          <cell r="C108">
            <v>732452.34</v>
          </cell>
          <cell r="D108">
            <v>153170.29</v>
          </cell>
          <cell r="E108">
            <v>218683.84</v>
          </cell>
          <cell r="F108">
            <v>331450.82</v>
          </cell>
          <cell r="G108">
            <v>133288.07999999999</v>
          </cell>
        </row>
        <row r="109">
          <cell r="B109" t="str">
            <v>NZ</v>
          </cell>
          <cell r="C109">
            <v>5922.29</v>
          </cell>
          <cell r="D109">
            <v>887198.9</v>
          </cell>
          <cell r="E109">
            <v>2038686.32</v>
          </cell>
          <cell r="F109">
            <v>12337282.560000001</v>
          </cell>
          <cell r="G109">
            <v>5591747.2199999997</v>
          </cell>
        </row>
        <row r="110">
          <cell r="B110" t="str">
            <v>OC</v>
          </cell>
          <cell r="C110">
            <v>11896489.140000001</v>
          </cell>
          <cell r="D110">
            <v>10445010.869999999</v>
          </cell>
          <cell r="E110">
            <v>18618942.84</v>
          </cell>
          <cell r="F110">
            <v>13066912.029999999</v>
          </cell>
          <cell r="G110">
            <v>10570553.970000001</v>
          </cell>
        </row>
        <row r="111">
          <cell r="B111" t="str">
            <v>SI</v>
          </cell>
          <cell r="C111">
            <v>109722703.73999999</v>
          </cell>
          <cell r="D111">
            <v>94510408.769999996</v>
          </cell>
          <cell r="E111">
            <v>132314517.25</v>
          </cell>
          <cell r="F111">
            <v>97605368.640000105</v>
          </cell>
          <cell r="G111">
            <v>92523386.769999996</v>
          </cell>
        </row>
        <row r="112">
          <cell r="B112" t="str">
            <v>SL</v>
          </cell>
          <cell r="C112">
            <v>53661084.200000003</v>
          </cell>
          <cell r="D112">
            <v>32474432.68</v>
          </cell>
          <cell r="E112">
            <v>53027602.509999998</v>
          </cell>
          <cell r="F112">
            <v>37529154.869999997</v>
          </cell>
          <cell r="G112">
            <v>59066954.340000004</v>
          </cell>
        </row>
        <row r="113">
          <cell r="B113" t="str">
            <v>TH</v>
          </cell>
          <cell r="C113">
            <v>11280404.949999999</v>
          </cell>
          <cell r="D113">
            <v>9639860.7899999991</v>
          </cell>
          <cell r="E113">
            <v>30835744.469999999</v>
          </cell>
          <cell r="F113">
            <v>8527904.3900000006</v>
          </cell>
          <cell r="G113">
            <v>10075283.800000001</v>
          </cell>
        </row>
        <row r="114">
          <cell r="B114" t="str">
            <v>UA</v>
          </cell>
          <cell r="C114">
            <v>25924170.59</v>
          </cell>
          <cell r="D114">
            <v>30497447.039999999</v>
          </cell>
          <cell r="E114">
            <v>64394124.799999997</v>
          </cell>
          <cell r="F114">
            <v>28289890.5</v>
          </cell>
          <cell r="G114">
            <v>29577940.41</v>
          </cell>
        </row>
        <row r="115">
          <cell r="B115" t="str">
            <v>US</v>
          </cell>
          <cell r="C115">
            <v>24778140.66</v>
          </cell>
          <cell r="D115">
            <v>20823064.620000001</v>
          </cell>
          <cell r="E115">
            <v>6118069.8700000001</v>
          </cell>
          <cell r="F115">
            <v>3783808.72</v>
          </cell>
          <cell r="G115">
            <v>9151612.0899999999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ublic data"/>
      <sheetName val="Chnages in rep."/>
      <sheetName val="Republi in  points contribution"/>
      <sheetName val="graph"/>
      <sheetName val="Male"/>
      <sheetName val="Male , month on month &amp; monthly"/>
      <sheetName val="Male contribution"/>
      <sheetName val="Atolls"/>
      <sheetName val="Atolls month on month"/>
      <sheetName val="Atolls contribution"/>
      <sheetName val="graph (monthly n MnM)"/>
      <sheetName val="Annual"/>
      <sheetName val="annual work"/>
      <sheetName val="Annual CPI 2016"/>
      <sheetName val="Rep 2016"/>
      <sheetName val="Male 2016"/>
      <sheetName val="Atolls 2016"/>
      <sheetName val="Sheet5"/>
    </sheetNames>
    <sheetDataSet>
      <sheetData sheetId="0">
        <row r="3">
          <cell r="OC3">
            <v>106.91958868829052</v>
          </cell>
        </row>
        <row r="4">
          <cell r="OC4">
            <v>107.04157551050889</v>
          </cell>
        </row>
        <row r="38">
          <cell r="OC38">
            <v>104.05962917920893</v>
          </cell>
        </row>
        <row r="156">
          <cell r="OC156">
            <v>122.18459773517431</v>
          </cell>
        </row>
        <row r="167">
          <cell r="OC167">
            <v>100.99558210523537</v>
          </cell>
        </row>
        <row r="207">
          <cell r="OC207">
            <v>108.10803524718015</v>
          </cell>
        </row>
        <row r="209">
          <cell r="OC209">
            <v>116.59514145414504</v>
          </cell>
        </row>
        <row r="240">
          <cell r="OC240">
            <v>97.499129166170533</v>
          </cell>
        </row>
        <row r="292">
          <cell r="OC292">
            <v>125.81722828813672</v>
          </cell>
        </row>
        <row r="322">
          <cell r="OC322">
            <v>101.34706519435288</v>
          </cell>
        </row>
        <row r="348">
          <cell r="OC348">
            <v>99.79368976091358</v>
          </cell>
        </row>
        <row r="360">
          <cell r="OC360">
            <v>100.69713942933714</v>
          </cell>
        </row>
        <row r="405">
          <cell r="OC405">
            <v>124.80292719209795</v>
          </cell>
        </row>
        <row r="421">
          <cell r="OC421">
            <v>123.14673548135868</v>
          </cell>
        </row>
        <row r="438">
          <cell r="OC438">
            <v>98.469134997835681</v>
          </cell>
        </row>
        <row r="484">
          <cell r="OC484">
            <v>107.1902747590181</v>
          </cell>
        </row>
        <row r="485">
          <cell r="OC485">
            <v>108.34446887815083</v>
          </cell>
        </row>
      </sheetData>
      <sheetData sheetId="1">
        <row r="3">
          <cell r="NM3">
            <v>106.40071755950871</v>
          </cell>
          <cell r="NN3">
            <v>106.63038619744921</v>
          </cell>
          <cell r="NO3">
            <v>106.062411174174</v>
          </cell>
          <cell r="NP3">
            <v>105.86893022730047</v>
          </cell>
          <cell r="NQ3">
            <v>105.93595093311723</v>
          </cell>
          <cell r="NR3">
            <v>106.16673824347546</v>
          </cell>
          <cell r="NS3">
            <v>106.44633482430255</v>
          </cell>
          <cell r="NT3">
            <v>106.34650731154315</v>
          </cell>
          <cell r="NU3">
            <v>106.75036802647057</v>
          </cell>
          <cell r="NV3">
            <v>108.78521616648365</v>
          </cell>
          <cell r="NW3">
            <v>108.6699796816679</v>
          </cell>
          <cell r="NX3">
            <v>108.97152391399352</v>
          </cell>
        </row>
        <row r="4">
          <cell r="NM4">
            <v>106.69567188406033</v>
          </cell>
          <cell r="NN4">
            <v>106.32861637396752</v>
          </cell>
          <cell r="NO4">
            <v>106.22409698520447</v>
          </cell>
          <cell r="NP4">
            <v>106.05536508120319</v>
          </cell>
          <cell r="NQ4">
            <v>106.00271740670937</v>
          </cell>
          <cell r="NR4">
            <v>106.30705421586372</v>
          </cell>
          <cell r="NS4">
            <v>106.63732880279971</v>
          </cell>
          <cell r="NT4">
            <v>106.88931976180494</v>
          </cell>
          <cell r="NU4">
            <v>106.96097813269472</v>
          </cell>
          <cell r="NV4">
            <v>109.33424405019518</v>
          </cell>
          <cell r="NW4">
            <v>109.32782738869956</v>
          </cell>
          <cell r="NX4">
            <v>109.52007702501452</v>
          </cell>
        </row>
        <row r="5">
          <cell r="NM5">
            <v>105.48100556258261</v>
          </cell>
          <cell r="NN5">
            <v>107.18890464838381</v>
          </cell>
          <cell r="NO5">
            <v>104.92534085086224</v>
          </cell>
          <cell r="NP5">
            <v>104.62763693274307</v>
          </cell>
          <cell r="NQ5">
            <v>105.00040203020284</v>
          </cell>
          <cell r="NR5">
            <v>105.5058172310701</v>
          </cell>
          <cell r="NS5">
            <v>105.38477187932992</v>
          </cell>
          <cell r="NT5">
            <v>104.66885965465767</v>
          </cell>
          <cell r="NU5">
            <v>106.29762096656296</v>
          </cell>
          <cell r="NV5">
            <v>112.21889827771116</v>
          </cell>
          <cell r="NW5">
            <v>111.31030290493474</v>
          </cell>
          <cell r="NX5">
            <v>111.88934518706554</v>
          </cell>
        </row>
        <row r="6">
          <cell r="NM6">
            <v>106.44078427698152</v>
          </cell>
          <cell r="NN6">
            <v>106.03984762069598</v>
          </cell>
          <cell r="NO6">
            <v>105.17492961542654</v>
          </cell>
          <cell r="NP6">
            <v>104.94593922446937</v>
          </cell>
          <cell r="NQ6">
            <v>104.89985575796824</v>
          </cell>
          <cell r="NR6">
            <v>105.86479693486402</v>
          </cell>
          <cell r="NS6">
            <v>105.80264996696059</v>
          </cell>
          <cell r="NT6">
            <v>106.44168687088121</v>
          </cell>
          <cell r="NU6">
            <v>107.0720630626256</v>
          </cell>
          <cell r="NV6">
            <v>116.25369723782394</v>
          </cell>
          <cell r="NW6">
            <v>115.50081717597779</v>
          </cell>
          <cell r="NX6">
            <v>115.69655879313525</v>
          </cell>
        </row>
        <row r="7">
          <cell r="NM7">
            <v>103.28434949897733</v>
          </cell>
          <cell r="NN7">
            <v>109.81876406225896</v>
          </cell>
          <cell r="NO7">
            <v>104.35410430970681</v>
          </cell>
          <cell r="NP7">
            <v>103.89913498881545</v>
          </cell>
          <cell r="NQ7">
            <v>105.23052338553575</v>
          </cell>
          <cell r="NR7">
            <v>104.6842164482856</v>
          </cell>
          <cell r="NS7">
            <v>104.42836971988416</v>
          </cell>
          <cell r="NT7">
            <v>100.61137057324943</v>
          </cell>
          <cell r="NU7">
            <v>104.52514685278548</v>
          </cell>
          <cell r="NV7">
            <v>102.98440967300114</v>
          </cell>
          <cell r="NW7">
            <v>101.71942696133134</v>
          </cell>
          <cell r="NX7">
            <v>103.17573367667575</v>
          </cell>
        </row>
        <row r="8">
          <cell r="NM8">
            <v>121.88718960216394</v>
          </cell>
          <cell r="NN8">
            <v>121.89766249218469</v>
          </cell>
          <cell r="NO8">
            <v>121.9372509450354</v>
          </cell>
          <cell r="NP8">
            <v>121.94561488782901</v>
          </cell>
          <cell r="NQ8">
            <v>122.35097081009513</v>
          </cell>
          <cell r="NR8">
            <v>122.04918172836094</v>
          </cell>
          <cell r="NS8">
            <v>122.01542386807137</v>
          </cell>
          <cell r="NT8">
            <v>122.18086645427454</v>
          </cell>
          <cell r="NU8">
            <v>122.42970337571218</v>
          </cell>
          <cell r="NV8">
            <v>122.50923101847108</v>
          </cell>
          <cell r="NW8">
            <v>122.44672077236744</v>
          </cell>
          <cell r="NX8">
            <v>122.56535686752591</v>
          </cell>
        </row>
        <row r="9">
          <cell r="NM9">
            <v>101.09010951860198</v>
          </cell>
          <cell r="NN9">
            <v>101.06822205137452</v>
          </cell>
          <cell r="NO9">
            <v>100.97960179428145</v>
          </cell>
          <cell r="NP9">
            <v>100.88070590234088</v>
          </cell>
          <cell r="NQ9">
            <v>101.13278622505824</v>
          </cell>
          <cell r="NR9">
            <v>101.41008834871749</v>
          </cell>
          <cell r="NS9">
            <v>101.56799911475512</v>
          </cell>
          <cell r="NT9">
            <v>100.86435411938893</v>
          </cell>
          <cell r="NU9">
            <v>100.70655857198788</v>
          </cell>
          <cell r="NV9">
            <v>100.81017832595245</v>
          </cell>
          <cell r="NW9">
            <v>100.74457806290398</v>
          </cell>
          <cell r="NX9">
            <v>100.69180322746162</v>
          </cell>
        </row>
        <row r="10">
          <cell r="NM10">
            <v>108.36055373462274</v>
          </cell>
          <cell r="NN10">
            <v>107.28118714892253</v>
          </cell>
          <cell r="NO10">
            <v>107.29663225350892</v>
          </cell>
          <cell r="NP10">
            <v>107.32378637109318</v>
          </cell>
          <cell r="NQ10">
            <v>107.60176741998026</v>
          </cell>
          <cell r="NR10">
            <v>107.67257848922625</v>
          </cell>
          <cell r="NS10">
            <v>107.98077540362419</v>
          </cell>
          <cell r="NT10">
            <v>108.24770976511873</v>
          </cell>
          <cell r="NU10">
            <v>108.33259731716004</v>
          </cell>
          <cell r="NV10">
            <v>108.67003620067761</v>
          </cell>
          <cell r="NW10">
            <v>109.07814119351566</v>
          </cell>
          <cell r="NX10">
            <v>109.45065766871167</v>
          </cell>
        </row>
        <row r="11">
          <cell r="NM11">
            <v>113.97248964002806</v>
          </cell>
          <cell r="NN11">
            <v>114.50451124927262</v>
          </cell>
          <cell r="NO11">
            <v>114.94398752112168</v>
          </cell>
          <cell r="NP11">
            <v>115.42697574160088</v>
          </cell>
          <cell r="NQ11">
            <v>116.09722470552043</v>
          </cell>
          <cell r="NR11">
            <v>116.4319378629214</v>
          </cell>
          <cell r="NS11">
            <v>116.97948608557621</v>
          </cell>
          <cell r="NT11">
            <v>117.61129721014137</v>
          </cell>
          <cell r="NU11">
            <v>117.78405534356747</v>
          </cell>
          <cell r="NV11">
            <v>118.01741740061064</v>
          </cell>
          <cell r="NW11">
            <v>118.65676641914334</v>
          </cell>
          <cell r="NX11">
            <v>118.71554827023621</v>
          </cell>
        </row>
        <row r="12">
          <cell r="NM12">
            <v>96.460774817896521</v>
          </cell>
          <cell r="NN12">
            <v>96.661972706400761</v>
          </cell>
          <cell r="NO12">
            <v>96.918860985943255</v>
          </cell>
          <cell r="NP12">
            <v>95.827899490214349</v>
          </cell>
          <cell r="NQ12">
            <v>95.048563202998054</v>
          </cell>
          <cell r="NR12">
            <v>96.322208698128307</v>
          </cell>
          <cell r="NS12">
            <v>97.766893928983748</v>
          </cell>
          <cell r="NT12">
            <v>98.007757799884175</v>
          </cell>
          <cell r="NU12">
            <v>98.459538547355024</v>
          </cell>
          <cell r="NV12">
            <v>99.413253966261692</v>
          </cell>
          <cell r="NW12">
            <v>99.425074250063503</v>
          </cell>
          <cell r="NX12">
            <v>99.676751599917182</v>
          </cell>
        </row>
        <row r="13">
          <cell r="NM13">
            <v>125.09902602792579</v>
          </cell>
          <cell r="NN13">
            <v>125.18517194286531</v>
          </cell>
          <cell r="NO13">
            <v>125.65341804996341</v>
          </cell>
          <cell r="NP13">
            <v>125.84980679174986</v>
          </cell>
          <cell r="NQ13">
            <v>125.90682328025476</v>
          </cell>
          <cell r="NR13">
            <v>125.93132036583214</v>
          </cell>
          <cell r="NS13">
            <v>125.9726881863762</v>
          </cell>
          <cell r="NT13">
            <v>126.25559100462326</v>
          </cell>
          <cell r="NU13">
            <v>125.96565542244646</v>
          </cell>
          <cell r="NV13">
            <v>125.98799311372866</v>
          </cell>
          <cell r="NW13">
            <v>125.99723945717639</v>
          </cell>
          <cell r="NX13">
            <v>126.00200581469828</v>
          </cell>
        </row>
        <row r="14">
          <cell r="NM14">
            <v>102.24116952558717</v>
          </cell>
          <cell r="NN14">
            <v>101.93002143812276</v>
          </cell>
          <cell r="NO14">
            <v>101.77092765300445</v>
          </cell>
          <cell r="NP14">
            <v>101.7344083817882</v>
          </cell>
          <cell r="NQ14">
            <v>100.80740419660835</v>
          </cell>
          <cell r="NR14">
            <v>100.14041026213231</v>
          </cell>
          <cell r="NS14">
            <v>100.08885905537983</v>
          </cell>
          <cell r="NT14">
            <v>100.08885905537983</v>
          </cell>
          <cell r="NU14">
            <v>100.08885905537983</v>
          </cell>
          <cell r="NV14">
            <v>101.430093072776</v>
          </cell>
          <cell r="NW14">
            <v>102.92157333282107</v>
          </cell>
          <cell r="NX14">
            <v>102.92219730325488</v>
          </cell>
        </row>
        <row r="15">
          <cell r="NM15">
            <v>100.4034041194092</v>
          </cell>
          <cell r="NN15">
            <v>100.38388108461848</v>
          </cell>
          <cell r="NO15">
            <v>100.38291261131701</v>
          </cell>
          <cell r="NP15">
            <v>100.38291261131701</v>
          </cell>
          <cell r="NQ15">
            <v>100.03269726153447</v>
          </cell>
          <cell r="NR15">
            <v>99.692368066812946</v>
          </cell>
          <cell r="NS15">
            <v>99.692368066812946</v>
          </cell>
          <cell r="NT15">
            <v>99.692368066812946</v>
          </cell>
          <cell r="NU15">
            <v>99.091176579552197</v>
          </cell>
          <cell r="NV15">
            <v>99.25672955425857</v>
          </cell>
          <cell r="NW15">
            <v>99.25672955425857</v>
          </cell>
          <cell r="NX15">
            <v>99.25672955425857</v>
          </cell>
        </row>
        <row r="16">
          <cell r="NM16">
            <v>100.17454791868752</v>
          </cell>
          <cell r="NN16">
            <v>100.10298138036555</v>
          </cell>
          <cell r="NO16">
            <v>100.66577023360061</v>
          </cell>
          <cell r="NP16">
            <v>98.852364546817881</v>
          </cell>
          <cell r="NQ16">
            <v>99.056416361500752</v>
          </cell>
          <cell r="NR16">
            <v>99.151666512204997</v>
          </cell>
          <cell r="NS16">
            <v>102.32617647133503</v>
          </cell>
          <cell r="NT16">
            <v>102.35947261429955</v>
          </cell>
          <cell r="NU16">
            <v>101.43061341638303</v>
          </cell>
          <cell r="NV16">
            <v>101.42611891096485</v>
          </cell>
          <cell r="NW16">
            <v>101.41518607013697</v>
          </cell>
          <cell r="NX16">
            <v>101.40435871574891</v>
          </cell>
        </row>
        <row r="17">
          <cell r="NM17">
            <v>124.40362732378387</v>
          </cell>
          <cell r="NN17">
            <v>124.40362732378387</v>
          </cell>
          <cell r="NO17">
            <v>124.91587470599681</v>
          </cell>
          <cell r="NP17">
            <v>124.87911077240121</v>
          </cell>
          <cell r="NQ17">
            <v>124.87911077240121</v>
          </cell>
          <cell r="NR17">
            <v>124.87911077240121</v>
          </cell>
          <cell r="NS17">
            <v>124.87911077240121</v>
          </cell>
          <cell r="NT17">
            <v>124.87911077240121</v>
          </cell>
          <cell r="NU17">
            <v>124.87911077240121</v>
          </cell>
          <cell r="NV17">
            <v>124.87911077240121</v>
          </cell>
          <cell r="NW17">
            <v>124.87911077240121</v>
          </cell>
          <cell r="NX17">
            <v>124.87911077240121</v>
          </cell>
        </row>
        <row r="18">
          <cell r="NM18">
            <v>121.74055464674666</v>
          </cell>
          <cell r="NN18">
            <v>121.78393899786738</v>
          </cell>
          <cell r="NO18">
            <v>121.8113572438992</v>
          </cell>
          <cell r="NP18">
            <v>123.63127170654869</v>
          </cell>
          <cell r="NQ18">
            <v>123.63127170654869</v>
          </cell>
          <cell r="NR18">
            <v>123.7342028087177</v>
          </cell>
          <cell r="NS18">
            <v>121.81959238140819</v>
          </cell>
          <cell r="NT18">
            <v>121.81959283811511</v>
          </cell>
          <cell r="NU18">
            <v>121.8872993049861</v>
          </cell>
          <cell r="NV18">
            <v>125.31492371445513</v>
          </cell>
          <cell r="NW18">
            <v>125.2509877483465</v>
          </cell>
          <cell r="NX18">
            <v>125.3358326786649</v>
          </cell>
        </row>
        <row r="19">
          <cell r="NM19">
            <v>98.470368168556647</v>
          </cell>
          <cell r="NN19">
            <v>98.387001246684576</v>
          </cell>
          <cell r="NO19">
            <v>98.2925971777629</v>
          </cell>
          <cell r="NP19">
            <v>98.478314844662677</v>
          </cell>
          <cell r="NQ19">
            <v>98.461522758420188</v>
          </cell>
          <cell r="NR19">
            <v>98.444033239198149</v>
          </cell>
          <cell r="NS19">
            <v>98.54743449471178</v>
          </cell>
          <cell r="NT19">
            <v>98.926174459473131</v>
          </cell>
          <cell r="NU19">
            <v>98.532611348284675</v>
          </cell>
          <cell r="NV19">
            <v>98.506817339409096</v>
          </cell>
          <cell r="NW19">
            <v>98.115405771927044</v>
          </cell>
          <cell r="NX19">
            <v>98.467339124937325</v>
          </cell>
        </row>
      </sheetData>
      <sheetData sheetId="2"/>
      <sheetData sheetId="3"/>
      <sheetData sheetId="4">
        <row r="3">
          <cell r="OC3">
            <v>108.23342334232696</v>
          </cell>
        </row>
      </sheetData>
      <sheetData sheetId="5">
        <row r="3">
          <cell r="NN3">
            <v>107.80747544854762</v>
          </cell>
        </row>
      </sheetData>
      <sheetData sheetId="6"/>
      <sheetData sheetId="7">
        <row r="3">
          <cell r="OF3">
            <v>0.24242056068641826</v>
          </cell>
        </row>
      </sheetData>
      <sheetData sheetId="8">
        <row r="3">
          <cell r="NN3">
            <v>105.1974803361735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97"/>
  <sheetViews>
    <sheetView tabSelected="1" zoomScaleNormal="100" zoomScaleSheetLayoutView="100" workbookViewId="0">
      <selection activeCell="O65" sqref="O65"/>
    </sheetView>
  </sheetViews>
  <sheetFormatPr defaultColWidth="9.140625" defaultRowHeight="15.75" customHeight="1" x14ac:dyDescent="0.2"/>
  <cols>
    <col min="1" max="1" width="36.7109375" style="3" customWidth="1"/>
    <col min="2" max="6" width="9.140625" style="3" customWidth="1"/>
    <col min="7" max="9" width="9.140625" style="3"/>
    <col min="10" max="13" width="11" style="3" customWidth="1"/>
    <col min="14" max="14" width="10.28515625" style="3" customWidth="1"/>
    <col min="15" max="15" width="35" style="3" bestFit="1" customWidth="1"/>
    <col min="16" max="16384" width="9.140625" style="3"/>
  </cols>
  <sheetData>
    <row r="1" spans="1:24" s="38" customFormat="1" ht="19.5" customHeight="1" x14ac:dyDescent="0.2">
      <c r="A1" s="58" t="s">
        <v>71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46"/>
      <c r="Q1" s="53"/>
      <c r="R1" s="53"/>
      <c r="S1" s="53"/>
      <c r="T1" s="53"/>
      <c r="U1" s="53"/>
      <c r="V1" s="53"/>
      <c r="W1" s="53"/>
      <c r="X1" s="53"/>
    </row>
    <row r="2" spans="1:24" s="42" customFormat="1" ht="15.75" customHeight="1" x14ac:dyDescent="0.2">
      <c r="A2" s="57" t="s">
        <v>70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</row>
    <row r="3" spans="1:24" s="39" customFormat="1" ht="15.75" customHeight="1" x14ac:dyDescent="0.2">
      <c r="A3" s="54" t="s">
        <v>51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</row>
    <row r="4" spans="1:24" s="39" customFormat="1" ht="15.75" customHeight="1" x14ac:dyDescent="0.2">
      <c r="A4" s="55" t="s">
        <v>50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</row>
    <row r="5" spans="1:24" s="4" customFormat="1" ht="15.75" customHeight="1" x14ac:dyDescent="0.2">
      <c r="A5" s="50"/>
      <c r="B5" s="56">
        <v>2013</v>
      </c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0"/>
    </row>
    <row r="6" spans="1:24" s="4" customFormat="1" ht="15.75" customHeight="1" x14ac:dyDescent="0.2">
      <c r="A6" s="6"/>
      <c r="B6" s="7" t="s">
        <v>60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9" t="s">
        <v>61</v>
      </c>
      <c r="O6" s="10"/>
    </row>
    <row r="7" spans="1:24" s="4" customFormat="1" ht="15.75" customHeight="1" x14ac:dyDescent="0.2">
      <c r="A7" s="40" t="s">
        <v>58</v>
      </c>
      <c r="B7" s="1" t="s">
        <v>49</v>
      </c>
      <c r="C7" s="1" t="s">
        <v>48</v>
      </c>
      <c r="D7" s="1" t="s">
        <v>0</v>
      </c>
      <c r="E7" s="1" t="s">
        <v>12</v>
      </c>
      <c r="F7" s="1" t="s">
        <v>13</v>
      </c>
      <c r="G7" s="1" t="s">
        <v>1</v>
      </c>
      <c r="H7" s="1" t="s">
        <v>14</v>
      </c>
      <c r="I7" s="1" t="s">
        <v>47</v>
      </c>
      <c r="J7" s="1" t="s">
        <v>72</v>
      </c>
      <c r="K7" s="1" t="s">
        <v>73</v>
      </c>
      <c r="L7" s="1" t="s">
        <v>74</v>
      </c>
      <c r="M7" s="1" t="s">
        <v>75</v>
      </c>
      <c r="N7" s="1" t="s">
        <v>15</v>
      </c>
      <c r="O7" s="41" t="s">
        <v>24</v>
      </c>
    </row>
    <row r="8" spans="1:24" s="4" customFormat="1" ht="15.75" customHeight="1" x14ac:dyDescent="0.2">
      <c r="A8" s="34"/>
      <c r="B8" s="35" t="s">
        <v>16</v>
      </c>
      <c r="C8" s="34" t="s">
        <v>17</v>
      </c>
      <c r="D8" s="34" t="s">
        <v>2</v>
      </c>
      <c r="E8" s="34" t="s">
        <v>18</v>
      </c>
      <c r="F8" s="34" t="s">
        <v>19</v>
      </c>
      <c r="G8" s="34" t="s">
        <v>3</v>
      </c>
      <c r="H8" s="34" t="s">
        <v>20</v>
      </c>
      <c r="I8" s="34" t="s">
        <v>21</v>
      </c>
      <c r="J8" s="34" t="s">
        <v>4</v>
      </c>
      <c r="K8" s="34" t="s">
        <v>22</v>
      </c>
      <c r="L8" s="34" t="s">
        <v>23</v>
      </c>
      <c r="M8" s="34" t="s">
        <v>5</v>
      </c>
      <c r="N8" s="34" t="s">
        <v>59</v>
      </c>
      <c r="O8" s="36"/>
    </row>
    <row r="9" spans="1:24" s="16" customFormat="1" ht="15.75" customHeight="1" x14ac:dyDescent="0.2">
      <c r="A9" s="11" t="s">
        <v>43</v>
      </c>
      <c r="B9" s="12">
        <v>102.35523081478345</v>
      </c>
      <c r="C9" s="12">
        <v>100.92309079114062</v>
      </c>
      <c r="D9" s="13">
        <v>101.80704500661459</v>
      </c>
      <c r="E9" s="14">
        <v>102.26857709816029</v>
      </c>
      <c r="F9" s="14">
        <v>103.17950873727446</v>
      </c>
      <c r="G9" s="14">
        <v>103.72904138356017</v>
      </c>
      <c r="H9" s="14">
        <v>106.55535980744877</v>
      </c>
      <c r="I9" s="15">
        <v>106.79477101362731</v>
      </c>
      <c r="J9" s="15">
        <v>108.59767084643427</v>
      </c>
      <c r="K9" s="15">
        <v>109.50786275924206</v>
      </c>
      <c r="L9" s="15">
        <v>108.49482062137069</v>
      </c>
      <c r="M9" s="15">
        <v>107.67483978511184</v>
      </c>
      <c r="N9" s="15">
        <f>AVERAGE(B9:M9)</f>
        <v>105.15731822206406</v>
      </c>
      <c r="O9" s="2" t="s">
        <v>45</v>
      </c>
    </row>
    <row r="10" spans="1:24" s="16" customFormat="1" ht="15.75" customHeight="1" x14ac:dyDescent="0.2">
      <c r="A10" s="11" t="s">
        <v>44</v>
      </c>
      <c r="B10" s="12">
        <v>102.0141351354801</v>
      </c>
      <c r="C10" s="12">
        <v>102.50773771637054</v>
      </c>
      <c r="D10" s="13">
        <v>102.63101856682525</v>
      </c>
      <c r="E10" s="14">
        <v>102.23348117099157</v>
      </c>
      <c r="F10" s="14">
        <v>103.78004297348193</v>
      </c>
      <c r="G10" s="14">
        <v>104.00919124695325</v>
      </c>
      <c r="H10" s="14">
        <v>106.32575816219881</v>
      </c>
      <c r="I10" s="15">
        <v>106.00868822840043</v>
      </c>
      <c r="J10" s="15">
        <v>107.67130617196254</v>
      </c>
      <c r="K10" s="15">
        <v>108.32972470979509</v>
      </c>
      <c r="L10" s="15">
        <v>110.51539014492981</v>
      </c>
      <c r="M10" s="15">
        <v>109.5927899593698</v>
      </c>
      <c r="N10" s="15">
        <f t="shared" ref="N10:N25" si="0">AVERAGE(B10:M10)</f>
        <v>105.46827201556327</v>
      </c>
      <c r="O10" s="2" t="s">
        <v>46</v>
      </c>
    </row>
    <row r="11" spans="1:24" s="16" customFormat="1" ht="15.75" customHeight="1" x14ac:dyDescent="0.2">
      <c r="A11" s="17" t="s">
        <v>6</v>
      </c>
      <c r="B11" s="12">
        <v>103.13590023469295</v>
      </c>
      <c r="C11" s="12">
        <v>97.29629200433898</v>
      </c>
      <c r="D11" s="13">
        <v>99.921207687935535</v>
      </c>
      <c r="E11" s="14">
        <v>102.34890153135147</v>
      </c>
      <c r="F11" s="14">
        <v>101.80505944851947</v>
      </c>
      <c r="G11" s="14">
        <v>103.08785932054059</v>
      </c>
      <c r="H11" s="14">
        <v>107.08085160955451</v>
      </c>
      <c r="I11" s="15">
        <v>108.59388730028718</v>
      </c>
      <c r="J11" s="15">
        <v>110.7178518306132</v>
      </c>
      <c r="K11" s="15">
        <v>112.20428022636916</v>
      </c>
      <c r="L11" s="15">
        <v>103.87032100570453</v>
      </c>
      <c r="M11" s="15">
        <v>103.28520619898339</v>
      </c>
      <c r="N11" s="15">
        <f t="shared" si="0"/>
        <v>104.44563486657425</v>
      </c>
      <c r="O11" s="2" t="s">
        <v>7</v>
      </c>
    </row>
    <row r="12" spans="1:24" s="16" customFormat="1" ht="15.75" customHeight="1" x14ac:dyDescent="0.2">
      <c r="A12" s="17" t="s">
        <v>40</v>
      </c>
      <c r="B12" s="12">
        <v>98.35047558844775</v>
      </c>
      <c r="C12" s="12">
        <v>98.309157938700466</v>
      </c>
      <c r="D12" s="13">
        <v>98.28948892536134</v>
      </c>
      <c r="E12" s="14">
        <v>98.064018878070527</v>
      </c>
      <c r="F12" s="14">
        <v>97.738413225041739</v>
      </c>
      <c r="G12" s="14">
        <v>98.055317692543071</v>
      </c>
      <c r="H12" s="14">
        <v>98.032707227466545</v>
      </c>
      <c r="I12" s="15">
        <v>97.994811084418075</v>
      </c>
      <c r="J12" s="15">
        <v>97.982566235180414</v>
      </c>
      <c r="K12" s="15">
        <v>98.288763753205302</v>
      </c>
      <c r="L12" s="15">
        <v>98.16164617896915</v>
      </c>
      <c r="M12" s="15">
        <v>96.802217737697262</v>
      </c>
      <c r="N12" s="15">
        <f t="shared" si="0"/>
        <v>98.00579870542515</v>
      </c>
      <c r="O12" s="2" t="s">
        <v>25</v>
      </c>
    </row>
    <row r="13" spans="1:24" s="16" customFormat="1" ht="15.75" customHeight="1" x14ac:dyDescent="0.2">
      <c r="A13" s="17" t="s">
        <v>8</v>
      </c>
      <c r="B13" s="12">
        <v>100.64191726524612</v>
      </c>
      <c r="C13" s="12">
        <v>101.26640984630693</v>
      </c>
      <c r="D13" s="13">
        <v>101.37271303093875</v>
      </c>
      <c r="E13" s="14">
        <v>101.24928219356502</v>
      </c>
      <c r="F13" s="14">
        <v>101.26805667428232</v>
      </c>
      <c r="G13" s="14">
        <v>101.21922605893761</v>
      </c>
      <c r="H13" s="14">
        <v>101.07965443100748</v>
      </c>
      <c r="I13" s="15">
        <v>101.16430189275891</v>
      </c>
      <c r="J13" s="15">
        <v>100.97203696477165</v>
      </c>
      <c r="K13" s="15">
        <v>102.851092996387</v>
      </c>
      <c r="L13" s="15">
        <v>102.41258858323141</v>
      </c>
      <c r="M13" s="15">
        <v>102.81306553027522</v>
      </c>
      <c r="N13" s="15">
        <f t="shared" si="0"/>
        <v>101.52586212230904</v>
      </c>
      <c r="O13" s="2" t="s">
        <v>26</v>
      </c>
    </row>
    <row r="14" spans="1:24" s="16" customFormat="1" ht="15.75" customHeight="1" x14ac:dyDescent="0.2">
      <c r="A14" s="17" t="s">
        <v>52</v>
      </c>
      <c r="B14" s="12">
        <v>101.70355600311082</v>
      </c>
      <c r="C14" s="12">
        <v>102.03673104716157</v>
      </c>
      <c r="D14" s="13">
        <v>103.0517248576176</v>
      </c>
      <c r="E14" s="14">
        <v>103.1220003916319</v>
      </c>
      <c r="F14" s="14">
        <v>103.03356907082618</v>
      </c>
      <c r="G14" s="14">
        <v>103.17945571632021</v>
      </c>
      <c r="H14" s="14">
        <v>103.43665983737182</v>
      </c>
      <c r="I14" s="15">
        <v>103.55455859557084</v>
      </c>
      <c r="J14" s="15">
        <v>103.73541413325809</v>
      </c>
      <c r="K14" s="15">
        <v>104.47683900262707</v>
      </c>
      <c r="L14" s="15">
        <v>105.3135492627915</v>
      </c>
      <c r="M14" s="15">
        <v>105.56282260390131</v>
      </c>
      <c r="N14" s="15">
        <f t="shared" si="0"/>
        <v>103.51724004351574</v>
      </c>
      <c r="O14" s="2" t="s">
        <v>27</v>
      </c>
    </row>
    <row r="15" spans="1:24" s="16" customFormat="1" ht="15.75" customHeight="1" x14ac:dyDescent="0.2">
      <c r="A15" s="17" t="s">
        <v>53</v>
      </c>
      <c r="B15" s="12">
        <v>102.47576791394417</v>
      </c>
      <c r="C15" s="12">
        <v>102.7733868038067</v>
      </c>
      <c r="D15" s="13">
        <v>102.97471635590868</v>
      </c>
      <c r="E15" s="14">
        <v>103.08114682007623</v>
      </c>
      <c r="F15" s="14">
        <v>103.36162596353773</v>
      </c>
      <c r="G15" s="14">
        <v>103.67713491968654</v>
      </c>
      <c r="H15" s="14">
        <v>103.87743917729767</v>
      </c>
      <c r="I15" s="15">
        <v>104.17173686965837</v>
      </c>
      <c r="J15" s="15">
        <v>104.63022001606757</v>
      </c>
      <c r="K15" s="15">
        <v>105.68849769537805</v>
      </c>
      <c r="L15" s="15">
        <v>106.03403774160735</v>
      </c>
      <c r="M15" s="15">
        <v>106.32999175191709</v>
      </c>
      <c r="N15" s="15">
        <f t="shared" si="0"/>
        <v>104.08964183574052</v>
      </c>
      <c r="O15" s="18" t="s">
        <v>56</v>
      </c>
    </row>
    <row r="16" spans="1:24" s="16" customFormat="1" ht="25.5" customHeight="1" x14ac:dyDescent="0.2">
      <c r="A16" s="11" t="s">
        <v>39</v>
      </c>
      <c r="B16" s="12">
        <v>98.353369337193044</v>
      </c>
      <c r="C16" s="12">
        <v>98.760190770286655</v>
      </c>
      <c r="D16" s="13">
        <v>98.798694493698108</v>
      </c>
      <c r="E16" s="14">
        <v>98.882702160581829</v>
      </c>
      <c r="F16" s="14">
        <v>97.839783511860645</v>
      </c>
      <c r="G16" s="14">
        <v>92.858089271470888</v>
      </c>
      <c r="H16" s="14">
        <v>96.42077412480424</v>
      </c>
      <c r="I16" s="15">
        <v>97.205645266257918</v>
      </c>
      <c r="J16" s="15">
        <v>96.286896733881321</v>
      </c>
      <c r="K16" s="15">
        <v>96.166217607316582</v>
      </c>
      <c r="L16" s="15">
        <v>96.534548786044311</v>
      </c>
      <c r="M16" s="15">
        <v>96.250776719330617</v>
      </c>
      <c r="N16" s="15">
        <f t="shared" si="0"/>
        <v>97.029807398560521</v>
      </c>
      <c r="O16" s="2" t="s">
        <v>41</v>
      </c>
    </row>
    <row r="17" spans="1:29" s="16" customFormat="1" ht="15.75" customHeight="1" x14ac:dyDescent="0.2">
      <c r="A17" s="19" t="s">
        <v>28</v>
      </c>
      <c r="B17" s="12">
        <v>107.5612744216817</v>
      </c>
      <c r="C17" s="12">
        <v>107.60917749805724</v>
      </c>
      <c r="D17" s="13">
        <v>107.67619852735103</v>
      </c>
      <c r="E17" s="14">
        <v>107.84725123974864</v>
      </c>
      <c r="F17" s="14">
        <v>107.92660122616746</v>
      </c>
      <c r="G17" s="14">
        <v>107.98119150168921</v>
      </c>
      <c r="H17" s="14">
        <v>107.91348877492793</v>
      </c>
      <c r="I17" s="15">
        <v>107.92198364889963</v>
      </c>
      <c r="J17" s="15">
        <v>116.39106132760902</v>
      </c>
      <c r="K17" s="15">
        <v>116.73259328173134</v>
      </c>
      <c r="L17" s="15">
        <v>117.0998030890008</v>
      </c>
      <c r="M17" s="15">
        <v>116.45768492753517</v>
      </c>
      <c r="N17" s="15">
        <f t="shared" si="0"/>
        <v>110.75985912203326</v>
      </c>
      <c r="O17" s="2" t="s">
        <v>29</v>
      </c>
    </row>
    <row r="18" spans="1:29" s="16" customFormat="1" ht="15.75" customHeight="1" x14ac:dyDescent="0.2">
      <c r="A18" s="19" t="s">
        <v>30</v>
      </c>
      <c r="B18" s="12">
        <v>101.61002734895511</v>
      </c>
      <c r="C18" s="12">
        <v>101.58651404409495</v>
      </c>
      <c r="D18" s="13">
        <v>101.84549541284601</v>
      </c>
      <c r="E18" s="14">
        <v>101.7435030651591</v>
      </c>
      <c r="F18" s="14">
        <v>101.16271799074863</v>
      </c>
      <c r="G18" s="14">
        <v>101.22150298908261</v>
      </c>
      <c r="H18" s="14">
        <v>101.73770654777712</v>
      </c>
      <c r="I18" s="15">
        <v>101.95550296408102</v>
      </c>
      <c r="J18" s="15">
        <v>102.05873183120588</v>
      </c>
      <c r="K18" s="15">
        <v>102.02290700258291</v>
      </c>
      <c r="L18" s="15">
        <v>104.14378969890042</v>
      </c>
      <c r="M18" s="15">
        <v>105.06552922107844</v>
      </c>
      <c r="N18" s="15">
        <f t="shared" si="0"/>
        <v>102.17949400970934</v>
      </c>
      <c r="O18" s="2" t="s">
        <v>31</v>
      </c>
    </row>
    <row r="19" spans="1:29" s="16" customFormat="1" ht="15.75" customHeight="1" x14ac:dyDescent="0.2">
      <c r="A19" s="19" t="s">
        <v>32</v>
      </c>
      <c r="B19" s="12">
        <v>99.911828613481234</v>
      </c>
      <c r="C19" s="12">
        <v>100.00327891647423</v>
      </c>
      <c r="D19" s="13">
        <v>99.858895219300464</v>
      </c>
      <c r="E19" s="14">
        <v>99.028326847350982</v>
      </c>
      <c r="F19" s="14">
        <v>99.028326847350982</v>
      </c>
      <c r="G19" s="14">
        <v>99.028326847350982</v>
      </c>
      <c r="H19" s="14">
        <v>99.028326847350982</v>
      </c>
      <c r="I19" s="15">
        <v>98.036529843940315</v>
      </c>
      <c r="J19" s="15">
        <v>98.060889602099294</v>
      </c>
      <c r="K19" s="15">
        <v>98.799874220083325</v>
      </c>
      <c r="L19" s="15">
        <v>98.770521088665987</v>
      </c>
      <c r="M19" s="15">
        <v>99.054656129594079</v>
      </c>
      <c r="N19" s="15">
        <f t="shared" si="0"/>
        <v>99.050815085253589</v>
      </c>
      <c r="O19" s="2" t="s">
        <v>33</v>
      </c>
    </row>
    <row r="20" spans="1:29" s="16" customFormat="1" ht="15.75" customHeight="1" x14ac:dyDescent="0.2">
      <c r="A20" s="20" t="s">
        <v>34</v>
      </c>
      <c r="B20" s="12">
        <v>97.049417100064801</v>
      </c>
      <c r="C20" s="12">
        <v>98.354586311401135</v>
      </c>
      <c r="D20" s="13">
        <v>98.396159563866931</v>
      </c>
      <c r="E20" s="14">
        <v>98.451300149936543</v>
      </c>
      <c r="F20" s="14">
        <v>97.900389373267004</v>
      </c>
      <c r="G20" s="14">
        <v>97.531494617222577</v>
      </c>
      <c r="H20" s="14">
        <v>97.562343749065803</v>
      </c>
      <c r="I20" s="15">
        <v>98.550207362446542</v>
      </c>
      <c r="J20" s="15">
        <v>98.950005125322733</v>
      </c>
      <c r="K20" s="15">
        <v>100.7166550299988</v>
      </c>
      <c r="L20" s="15">
        <v>101.94582034193851</v>
      </c>
      <c r="M20" s="15">
        <v>100.52856628121495</v>
      </c>
      <c r="N20" s="15">
        <f t="shared" si="0"/>
        <v>98.82807875047888</v>
      </c>
      <c r="O20" s="21" t="s">
        <v>35</v>
      </c>
    </row>
    <row r="21" spans="1:29" s="16" customFormat="1" ht="15.75" customHeight="1" x14ac:dyDescent="0.2">
      <c r="A21" s="17" t="s">
        <v>9</v>
      </c>
      <c r="B21" s="12">
        <v>105.70189353634692</v>
      </c>
      <c r="C21" s="12">
        <v>105.70189353634692</v>
      </c>
      <c r="D21" s="13">
        <v>105.70193185911501</v>
      </c>
      <c r="E21" s="14">
        <v>105.70193185911499</v>
      </c>
      <c r="F21" s="14">
        <v>105.70193185911499</v>
      </c>
      <c r="G21" s="14">
        <v>105.70193185911499</v>
      </c>
      <c r="H21" s="14">
        <v>105.70193185911499</v>
      </c>
      <c r="I21" s="15">
        <v>105.70193185911499</v>
      </c>
      <c r="J21" s="15">
        <v>105.80383814953936</v>
      </c>
      <c r="K21" s="15">
        <v>105.78014400779554</v>
      </c>
      <c r="L21" s="15">
        <v>105.7597132319612</v>
      </c>
      <c r="M21" s="15">
        <v>106.05385065007339</v>
      </c>
      <c r="N21" s="15">
        <f t="shared" si="0"/>
        <v>105.75107702222947</v>
      </c>
      <c r="O21" s="21" t="s">
        <v>10</v>
      </c>
    </row>
    <row r="22" spans="1:29" s="16" customFormat="1" ht="15.75" customHeight="1" x14ac:dyDescent="0.2">
      <c r="A22" s="17" t="s">
        <v>36</v>
      </c>
      <c r="B22" s="12">
        <v>115.35109197991446</v>
      </c>
      <c r="C22" s="12">
        <v>115.35221808099628</v>
      </c>
      <c r="D22" s="13">
        <v>115.4743732981436</v>
      </c>
      <c r="E22" s="14">
        <v>115.69465202393276</v>
      </c>
      <c r="F22" s="14">
        <v>115.83658079689259</v>
      </c>
      <c r="G22" s="14">
        <v>115.83658079689259</v>
      </c>
      <c r="H22" s="14">
        <v>115.82952605752854</v>
      </c>
      <c r="I22" s="15">
        <v>115.78752066845593</v>
      </c>
      <c r="J22" s="15">
        <v>115.72709989388849</v>
      </c>
      <c r="K22" s="15">
        <v>114.65835977828124</v>
      </c>
      <c r="L22" s="15">
        <v>114.2597731123452</v>
      </c>
      <c r="M22" s="15">
        <v>121.34124888242363</v>
      </c>
      <c r="N22" s="15">
        <f t="shared" si="0"/>
        <v>115.92908544747458</v>
      </c>
      <c r="O22" s="21" t="s">
        <v>37</v>
      </c>
    </row>
    <row r="23" spans="1:29" s="16" customFormat="1" ht="15.75" customHeight="1" x14ac:dyDescent="0.2">
      <c r="A23" s="20" t="s">
        <v>38</v>
      </c>
      <c r="B23" s="12">
        <v>99.487067505859358</v>
      </c>
      <c r="C23" s="12">
        <v>99.378689849885106</v>
      </c>
      <c r="D23" s="13">
        <v>99.340219351823762</v>
      </c>
      <c r="E23" s="14">
        <v>99.323350387458774</v>
      </c>
      <c r="F23" s="14">
        <v>99.434658680729243</v>
      </c>
      <c r="G23" s="14">
        <v>99.120305347287683</v>
      </c>
      <c r="H23" s="14">
        <v>99.054788978949944</v>
      </c>
      <c r="I23" s="15">
        <v>98.968718451980649</v>
      </c>
      <c r="J23" s="15">
        <v>98.426573462254964</v>
      </c>
      <c r="K23" s="15">
        <v>98.290907809794845</v>
      </c>
      <c r="L23" s="15">
        <v>98.637831504367938</v>
      </c>
      <c r="M23" s="15">
        <v>98.730063167481305</v>
      </c>
      <c r="N23" s="15">
        <f t="shared" si="0"/>
        <v>99.01609787482279</v>
      </c>
      <c r="O23" s="21" t="s">
        <v>57</v>
      </c>
    </row>
    <row r="24" spans="1:29" s="27" customFormat="1" ht="15.75" customHeight="1" x14ac:dyDescent="0.2">
      <c r="A24" s="22" t="s">
        <v>54</v>
      </c>
      <c r="B24" s="23">
        <v>101.82326041829094</v>
      </c>
      <c r="C24" s="23">
        <v>101.61695886850373</v>
      </c>
      <c r="D24" s="24">
        <v>102.12566814142265</v>
      </c>
      <c r="E24" s="24">
        <v>102.24323827834799</v>
      </c>
      <c r="F24" s="24">
        <v>102.34106701439609</v>
      </c>
      <c r="G24" s="24">
        <v>102.06719267346149</v>
      </c>
      <c r="H24" s="24">
        <v>103.25634477540279</v>
      </c>
      <c r="I24" s="25">
        <v>103.43085978874505</v>
      </c>
      <c r="J24" s="25">
        <v>104.3457858782799</v>
      </c>
      <c r="K24" s="25">
        <v>104.94594055432941</v>
      </c>
      <c r="L24" s="25">
        <v>105.07383775862121</v>
      </c>
      <c r="M24" s="25">
        <v>105.04357464879853</v>
      </c>
      <c r="N24" s="25">
        <f t="shared" si="0"/>
        <v>103.19281073321666</v>
      </c>
      <c r="O24" s="26" t="s">
        <v>11</v>
      </c>
    </row>
    <row r="25" spans="1:29" s="31" customFormat="1" ht="15.75" customHeight="1" x14ac:dyDescent="0.2">
      <c r="A25" s="28" t="s">
        <v>55</v>
      </c>
      <c r="B25" s="29">
        <v>101.69902323484328</v>
      </c>
      <c r="C25" s="29">
        <v>102.02589624424968</v>
      </c>
      <c r="D25" s="29">
        <v>102.33431331151466</v>
      </c>
      <c r="E25" s="29">
        <v>102.23323758753919</v>
      </c>
      <c r="F25" s="29">
        <v>102.39179842560193</v>
      </c>
      <c r="G25" s="29">
        <v>101.97058982179753</v>
      </c>
      <c r="H25" s="29">
        <v>102.89436736833802</v>
      </c>
      <c r="I25" s="29">
        <v>102.94219565706059</v>
      </c>
      <c r="J25" s="29">
        <v>103.74269010381967</v>
      </c>
      <c r="K25" s="29">
        <v>104.25896179131125</v>
      </c>
      <c r="L25" s="29">
        <v>105.1877467912027</v>
      </c>
      <c r="M25" s="29">
        <v>105.20999862964869</v>
      </c>
      <c r="N25" s="29">
        <f t="shared" si="0"/>
        <v>103.07423491391059</v>
      </c>
      <c r="O25" s="30" t="s">
        <v>42</v>
      </c>
    </row>
    <row r="26" spans="1:29" s="4" customFormat="1" ht="15.75" customHeight="1" x14ac:dyDescent="0.2">
      <c r="A26" s="50"/>
      <c r="B26" s="56">
        <v>2014</v>
      </c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0"/>
    </row>
    <row r="27" spans="1:29" s="4" customFormat="1" ht="15.75" customHeight="1" x14ac:dyDescent="0.2">
      <c r="A27" s="6"/>
      <c r="B27" s="7" t="s">
        <v>60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9" t="s">
        <v>61</v>
      </c>
      <c r="O27" s="10"/>
    </row>
    <row r="28" spans="1:29" s="4" customFormat="1" ht="15.75" customHeight="1" x14ac:dyDescent="0.2">
      <c r="A28" s="40" t="s">
        <v>58</v>
      </c>
      <c r="B28" s="1" t="s">
        <v>49</v>
      </c>
      <c r="C28" s="1" t="s">
        <v>48</v>
      </c>
      <c r="D28" s="1" t="s">
        <v>0</v>
      </c>
      <c r="E28" s="1" t="s">
        <v>12</v>
      </c>
      <c r="F28" s="1" t="s">
        <v>13</v>
      </c>
      <c r="G28" s="1" t="s">
        <v>1</v>
      </c>
      <c r="H28" s="1" t="s">
        <v>14</v>
      </c>
      <c r="I28" s="1" t="s">
        <v>47</v>
      </c>
      <c r="J28" s="1" t="s">
        <v>72</v>
      </c>
      <c r="K28" s="1" t="s">
        <v>73</v>
      </c>
      <c r="L28" s="1" t="s">
        <v>74</v>
      </c>
      <c r="M28" s="1" t="s">
        <v>75</v>
      </c>
      <c r="N28" s="1" t="s">
        <v>15</v>
      </c>
      <c r="O28" s="41" t="s">
        <v>24</v>
      </c>
    </row>
    <row r="29" spans="1:29" s="4" customFormat="1" ht="15.75" customHeight="1" x14ac:dyDescent="0.2">
      <c r="A29" s="34"/>
      <c r="B29" s="35" t="s">
        <v>16</v>
      </c>
      <c r="C29" s="34" t="s">
        <v>17</v>
      </c>
      <c r="D29" s="34" t="s">
        <v>2</v>
      </c>
      <c r="E29" s="34" t="s">
        <v>18</v>
      </c>
      <c r="F29" s="34" t="s">
        <v>19</v>
      </c>
      <c r="G29" s="34" t="s">
        <v>3</v>
      </c>
      <c r="H29" s="34" t="s">
        <v>20</v>
      </c>
      <c r="I29" s="34" t="s">
        <v>21</v>
      </c>
      <c r="J29" s="34" t="s">
        <v>4</v>
      </c>
      <c r="K29" s="34" t="s">
        <v>22</v>
      </c>
      <c r="L29" s="34" t="s">
        <v>23</v>
      </c>
      <c r="M29" s="34" t="s">
        <v>5</v>
      </c>
      <c r="N29" s="34" t="s">
        <v>59</v>
      </c>
      <c r="O29" s="36"/>
    </row>
    <row r="30" spans="1:29" s="16" customFormat="1" ht="15.75" customHeight="1" x14ac:dyDescent="0.2">
      <c r="A30" s="11" t="s">
        <v>43</v>
      </c>
      <c r="B30" s="12">
        <v>106.31758708742608</v>
      </c>
      <c r="C30" s="12">
        <v>105.71811814833734</v>
      </c>
      <c r="D30" s="12">
        <v>103.29294427915477</v>
      </c>
      <c r="E30" s="12">
        <v>103.91473403628198</v>
      </c>
      <c r="F30" s="12">
        <v>106.40885316595418</v>
      </c>
      <c r="G30" s="12">
        <v>106.98245669518508</v>
      </c>
      <c r="H30" s="12">
        <v>108.10660832534157</v>
      </c>
      <c r="I30" s="12">
        <v>106.16368185683064</v>
      </c>
      <c r="J30" s="12">
        <v>106.02899544024046</v>
      </c>
      <c r="K30" s="12">
        <v>106.92113423815023</v>
      </c>
      <c r="L30" s="12">
        <v>105.34570058715734</v>
      </c>
      <c r="M30" s="12">
        <v>105.78118214240111</v>
      </c>
      <c r="N30" s="12">
        <v>105.91516633353841</v>
      </c>
      <c r="O30" s="2" t="s">
        <v>45</v>
      </c>
      <c r="Q30" s="3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spans="1:29" s="16" customFormat="1" ht="15.75" customHeight="1" x14ac:dyDescent="0.2">
      <c r="A31" s="11" t="s">
        <v>44</v>
      </c>
      <c r="B31" s="12">
        <v>106.86420086445194</v>
      </c>
      <c r="C31" s="12">
        <v>105.01409247417877</v>
      </c>
      <c r="D31" s="12">
        <v>103.74568801545161</v>
      </c>
      <c r="E31" s="12">
        <v>104.69338948718891</v>
      </c>
      <c r="F31" s="12">
        <v>106.70165836727112</v>
      </c>
      <c r="G31" s="12">
        <v>106.16413579437854</v>
      </c>
      <c r="H31" s="12">
        <v>107.2448167203728</v>
      </c>
      <c r="I31" s="12">
        <v>106.03971634054275</v>
      </c>
      <c r="J31" s="12">
        <v>105.66839601028398</v>
      </c>
      <c r="K31" s="12">
        <v>106.17409164121399</v>
      </c>
      <c r="L31" s="12">
        <v>105.56182971482025</v>
      </c>
      <c r="M31" s="12">
        <v>105.4445019680865</v>
      </c>
      <c r="N31" s="12">
        <v>105.77637644985344</v>
      </c>
      <c r="O31" s="2" t="s">
        <v>46</v>
      </c>
      <c r="Q31" s="3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spans="1:29" s="16" customFormat="1" ht="15.75" customHeight="1" x14ac:dyDescent="0.2">
      <c r="A32" s="17" t="s">
        <v>6</v>
      </c>
      <c r="B32" s="12">
        <v>105.0665461446125</v>
      </c>
      <c r="C32" s="12">
        <v>107.32942942548203</v>
      </c>
      <c r="D32" s="12">
        <v>102.2567447274502</v>
      </c>
      <c r="E32" s="12">
        <v>102.13261677109</v>
      </c>
      <c r="F32" s="12">
        <v>105.73870669231536</v>
      </c>
      <c r="G32" s="12">
        <v>108.85535671032822</v>
      </c>
      <c r="H32" s="12">
        <v>110.0790002175754</v>
      </c>
      <c r="I32" s="12">
        <v>106.44740309272241</v>
      </c>
      <c r="J32" s="12">
        <v>106.85430330804707</v>
      </c>
      <c r="K32" s="12">
        <v>108.6308988179569</v>
      </c>
      <c r="L32" s="12">
        <v>104.85104348372313</v>
      </c>
      <c r="M32" s="12">
        <v>106.5517457476455</v>
      </c>
      <c r="N32" s="12">
        <v>106.23281626157906</v>
      </c>
      <c r="O32" s="2" t="s">
        <v>7</v>
      </c>
      <c r="Q32" s="3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spans="1:29" s="16" customFormat="1" ht="15.75" customHeight="1" x14ac:dyDescent="0.2">
      <c r="A33" s="17" t="s">
        <v>40</v>
      </c>
      <c r="B33" s="12">
        <v>97.6025498122942</v>
      </c>
      <c r="C33" s="12">
        <v>97.576769060968573</v>
      </c>
      <c r="D33" s="12">
        <v>97.496296960332245</v>
      </c>
      <c r="E33" s="12">
        <v>97.391068408279637</v>
      </c>
      <c r="F33" s="12">
        <v>97.430589181763366</v>
      </c>
      <c r="G33" s="12">
        <v>97.459336287389164</v>
      </c>
      <c r="H33" s="12">
        <v>97.664074680511106</v>
      </c>
      <c r="I33" s="12">
        <v>99.701776938668118</v>
      </c>
      <c r="J33" s="12">
        <v>104.44537627286536</v>
      </c>
      <c r="K33" s="12">
        <v>105.39600384053396</v>
      </c>
      <c r="L33" s="12">
        <v>104.96043387693594</v>
      </c>
      <c r="M33" s="12">
        <v>105.09635311487092</v>
      </c>
      <c r="N33" s="12">
        <v>100.18505236961772</v>
      </c>
      <c r="O33" s="2" t="s">
        <v>25</v>
      </c>
      <c r="Q33" s="3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spans="1:29" s="16" customFormat="1" ht="15.75" customHeight="1" x14ac:dyDescent="0.2">
      <c r="A34" s="17" t="s">
        <v>8</v>
      </c>
      <c r="B34" s="12">
        <v>102.96581855789135</v>
      </c>
      <c r="C34" s="12">
        <v>102.77102028475612</v>
      </c>
      <c r="D34" s="12">
        <v>102.04208931617971</v>
      </c>
      <c r="E34" s="12">
        <v>102.07446809678498</v>
      </c>
      <c r="F34" s="12">
        <v>102.18392392956027</v>
      </c>
      <c r="G34" s="12">
        <v>101.58955065132129</v>
      </c>
      <c r="H34" s="12">
        <v>102.15621480058731</v>
      </c>
      <c r="I34" s="12">
        <v>102.3811110898595</v>
      </c>
      <c r="J34" s="12">
        <v>102.65207979478888</v>
      </c>
      <c r="K34" s="12">
        <v>102.80837137848903</v>
      </c>
      <c r="L34" s="12">
        <v>102.95489092417553</v>
      </c>
      <c r="M34" s="12">
        <v>103.00378883181119</v>
      </c>
      <c r="N34" s="12">
        <v>102.46527730468375</v>
      </c>
      <c r="O34" s="2" t="s">
        <v>26</v>
      </c>
      <c r="Q34" s="3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spans="1:29" s="16" customFormat="1" ht="15.75" customHeight="1" x14ac:dyDescent="0.2">
      <c r="A35" s="17" t="s">
        <v>52</v>
      </c>
      <c r="B35" s="12">
        <v>105.78776553827002</v>
      </c>
      <c r="C35" s="12">
        <v>105.98598857333334</v>
      </c>
      <c r="D35" s="12">
        <v>106.13401246984009</v>
      </c>
      <c r="E35" s="12">
        <v>106.31764496877378</v>
      </c>
      <c r="F35" s="12">
        <v>106.68180686825696</v>
      </c>
      <c r="G35" s="12">
        <v>106.73468515298934</v>
      </c>
      <c r="H35" s="12">
        <v>106.74207739159645</v>
      </c>
      <c r="I35" s="12">
        <v>106.99255691478592</v>
      </c>
      <c r="J35" s="12">
        <v>107.25413401777975</v>
      </c>
      <c r="K35" s="12">
        <v>107.06883604192602</v>
      </c>
      <c r="L35" s="12">
        <v>107.21622763226769</v>
      </c>
      <c r="M35" s="12">
        <v>107.37093702257656</v>
      </c>
      <c r="N35" s="12">
        <v>106.69055604936631</v>
      </c>
      <c r="O35" s="2" t="s">
        <v>27</v>
      </c>
      <c r="Q35" s="3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spans="1:29" s="16" customFormat="1" ht="15.75" customHeight="1" x14ac:dyDescent="0.2">
      <c r="A36" s="17" t="s">
        <v>53</v>
      </c>
      <c r="B36" s="12">
        <v>106.74206391697112</v>
      </c>
      <c r="C36" s="12">
        <v>107.02242503703755</v>
      </c>
      <c r="D36" s="12">
        <v>107.31159750659178</v>
      </c>
      <c r="E36" s="12">
        <v>107.65737682357265</v>
      </c>
      <c r="F36" s="12">
        <v>108.27462116375757</v>
      </c>
      <c r="G36" s="12">
        <v>108.39222773267431</v>
      </c>
      <c r="H36" s="12">
        <v>108.42388836225815</v>
      </c>
      <c r="I36" s="12">
        <v>108.92366169172024</v>
      </c>
      <c r="J36" s="12">
        <v>109.44876845649675</v>
      </c>
      <c r="K36" s="12">
        <v>109.83361263031108</v>
      </c>
      <c r="L36" s="12">
        <v>110.12167245520455</v>
      </c>
      <c r="M36" s="12">
        <v>110.41713315632261</v>
      </c>
      <c r="N36" s="12">
        <v>108.54742074440985</v>
      </c>
      <c r="O36" s="18" t="s">
        <v>56</v>
      </c>
      <c r="Q36" s="3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spans="1:29" s="16" customFormat="1" ht="25.5" customHeight="1" x14ac:dyDescent="0.2">
      <c r="A37" s="11" t="s">
        <v>39</v>
      </c>
      <c r="B37" s="12">
        <v>96.748780101000278</v>
      </c>
      <c r="C37" s="12">
        <v>96.716077480633388</v>
      </c>
      <c r="D37" s="12">
        <v>96.93341435077005</v>
      </c>
      <c r="E37" s="12">
        <v>96.912819676002741</v>
      </c>
      <c r="F37" s="12">
        <v>96.139857243345787</v>
      </c>
      <c r="G37" s="12">
        <v>93.001408382523806</v>
      </c>
      <c r="H37" s="12">
        <v>93.205469288917271</v>
      </c>
      <c r="I37" s="12">
        <v>96.933463967069628</v>
      </c>
      <c r="J37" s="12">
        <v>96.706664986193957</v>
      </c>
      <c r="K37" s="12">
        <v>96.4913834012075</v>
      </c>
      <c r="L37" s="12">
        <v>96.539545930872052</v>
      </c>
      <c r="M37" s="12">
        <v>96.040647322640652</v>
      </c>
      <c r="N37" s="12">
        <v>96.030794344264748</v>
      </c>
      <c r="O37" s="2" t="s">
        <v>41</v>
      </c>
      <c r="Q37" s="3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s="16" customFormat="1" ht="15.75" customHeight="1" x14ac:dyDescent="0.2">
      <c r="A38" s="19" t="s">
        <v>28</v>
      </c>
      <c r="B38" s="12">
        <v>121.02908732780611</v>
      </c>
      <c r="C38" s="12">
        <v>121.0896994081161</v>
      </c>
      <c r="D38" s="12">
        <v>121.110869390221</v>
      </c>
      <c r="E38" s="12">
        <v>120.97995383841547</v>
      </c>
      <c r="F38" s="12">
        <v>121.01413761591094</v>
      </c>
      <c r="G38" s="12">
        <v>121.05887550531696</v>
      </c>
      <c r="H38" s="12">
        <v>121.05402561036209</v>
      </c>
      <c r="I38" s="12">
        <v>121.10801877500793</v>
      </c>
      <c r="J38" s="12">
        <v>121.35541420246976</v>
      </c>
      <c r="K38" s="12">
        <v>120.720666731767</v>
      </c>
      <c r="L38" s="12">
        <v>120.72668313666381</v>
      </c>
      <c r="M38" s="12">
        <v>120.71543099505936</v>
      </c>
      <c r="N38" s="12">
        <v>120.99690521142638</v>
      </c>
      <c r="O38" s="2" t="s">
        <v>29</v>
      </c>
      <c r="Q38" s="3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spans="1:29" s="16" customFormat="1" ht="15.75" customHeight="1" x14ac:dyDescent="0.2">
      <c r="A39" s="19" t="s">
        <v>30</v>
      </c>
      <c r="B39" s="12">
        <v>105.56659581764241</v>
      </c>
      <c r="C39" s="12">
        <v>105.56134703032096</v>
      </c>
      <c r="D39" s="12">
        <v>105.64171503016343</v>
      </c>
      <c r="E39" s="12">
        <v>105.7012067888493</v>
      </c>
      <c r="F39" s="12">
        <v>105.81834670624697</v>
      </c>
      <c r="G39" s="12">
        <v>105.8172648093944</v>
      </c>
      <c r="H39" s="12">
        <v>106.23449931257331</v>
      </c>
      <c r="I39" s="12">
        <v>106.27077109478314</v>
      </c>
      <c r="J39" s="12">
        <v>105.91057505114371</v>
      </c>
      <c r="K39" s="12">
        <v>104.07693058904982</v>
      </c>
      <c r="L39" s="12">
        <v>104.19797280479557</v>
      </c>
      <c r="M39" s="12">
        <v>103.75816693788538</v>
      </c>
      <c r="N39" s="12">
        <v>105.37961599773739</v>
      </c>
      <c r="O39" s="2" t="s">
        <v>31</v>
      </c>
      <c r="Q39" s="3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spans="1:29" s="16" customFormat="1" ht="15.75" customHeight="1" x14ac:dyDescent="0.2">
      <c r="A40" s="19" t="s">
        <v>32</v>
      </c>
      <c r="B40" s="12">
        <v>99.557393992602911</v>
      </c>
      <c r="C40" s="12">
        <v>98.671368079053551</v>
      </c>
      <c r="D40" s="12">
        <v>98.510759780934691</v>
      </c>
      <c r="E40" s="12">
        <v>96.972686935090806</v>
      </c>
      <c r="F40" s="12">
        <v>101.40052247193118</v>
      </c>
      <c r="G40" s="12">
        <v>101.40052247193118</v>
      </c>
      <c r="H40" s="12">
        <v>101.3507611416975</v>
      </c>
      <c r="I40" s="12">
        <v>101.11792950752546</v>
      </c>
      <c r="J40" s="12">
        <v>101.11792950752546</v>
      </c>
      <c r="K40" s="12">
        <v>101.11792950752546</v>
      </c>
      <c r="L40" s="12">
        <v>101.11792950752546</v>
      </c>
      <c r="M40" s="12">
        <v>101.11792950752546</v>
      </c>
      <c r="N40" s="12">
        <v>100.28780520090577</v>
      </c>
      <c r="O40" s="2" t="s">
        <v>33</v>
      </c>
      <c r="Q40" s="3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spans="1:29" s="16" customFormat="1" ht="15.75" customHeight="1" x14ac:dyDescent="0.2">
      <c r="A41" s="20" t="s">
        <v>34</v>
      </c>
      <c r="B41" s="12">
        <v>101.28570537021132</v>
      </c>
      <c r="C41" s="12">
        <v>100.94269029520912</v>
      </c>
      <c r="D41" s="12">
        <v>102.08545394913057</v>
      </c>
      <c r="E41" s="12">
        <v>103.0634985609742</v>
      </c>
      <c r="F41" s="12">
        <v>102.89517532358572</v>
      </c>
      <c r="G41" s="12">
        <v>102.79568099066553</v>
      </c>
      <c r="H41" s="12">
        <v>103.6625841087978</v>
      </c>
      <c r="I41" s="12">
        <v>102.97034293649315</v>
      </c>
      <c r="J41" s="12">
        <v>101.9218650908489</v>
      </c>
      <c r="K41" s="12">
        <v>101.26290747242003</v>
      </c>
      <c r="L41" s="12">
        <v>101.17918164481297</v>
      </c>
      <c r="M41" s="12">
        <v>102.3390440339967</v>
      </c>
      <c r="N41" s="12">
        <v>102.2003441480955</v>
      </c>
      <c r="O41" s="21" t="s">
        <v>35</v>
      </c>
      <c r="Q41" s="3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spans="1:29" s="16" customFormat="1" ht="15.75" customHeight="1" x14ac:dyDescent="0.2">
      <c r="A42" s="17" t="s">
        <v>9</v>
      </c>
      <c r="B42" s="12">
        <v>107.17771914244641</v>
      </c>
      <c r="C42" s="12">
        <v>109.45927916569289</v>
      </c>
      <c r="D42" s="12">
        <v>109.45927916569289</v>
      </c>
      <c r="E42" s="12">
        <v>109.45927916569289</v>
      </c>
      <c r="F42" s="12">
        <v>112.44500405254904</v>
      </c>
      <c r="G42" s="12">
        <v>111.26029696535808</v>
      </c>
      <c r="H42" s="12">
        <v>111.26029696535808</v>
      </c>
      <c r="I42" s="12">
        <v>111.26029696535808</v>
      </c>
      <c r="J42" s="12">
        <v>111.26029696535808</v>
      </c>
      <c r="K42" s="12">
        <v>111.26029696535808</v>
      </c>
      <c r="L42" s="12">
        <v>111.26029696535808</v>
      </c>
      <c r="M42" s="12">
        <v>111.26029696535808</v>
      </c>
      <c r="N42" s="12">
        <v>110.56855328746506</v>
      </c>
      <c r="O42" s="21" t="s">
        <v>10</v>
      </c>
      <c r="Q42" s="3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spans="1:29" s="16" customFormat="1" ht="15.75" customHeight="1" x14ac:dyDescent="0.2">
      <c r="A43" s="17" t="s">
        <v>36</v>
      </c>
      <c r="B43" s="12">
        <v>121.47378675257031</v>
      </c>
      <c r="C43" s="12">
        <v>121.34756043659684</v>
      </c>
      <c r="D43" s="12">
        <v>121.35302333827977</v>
      </c>
      <c r="E43" s="12">
        <v>121.27484724646152</v>
      </c>
      <c r="F43" s="12">
        <v>121.30215495052947</v>
      </c>
      <c r="G43" s="12">
        <v>121.337851369197</v>
      </c>
      <c r="H43" s="12">
        <v>121.33963098683164</v>
      </c>
      <c r="I43" s="12">
        <v>121.36769053756105</v>
      </c>
      <c r="J43" s="12">
        <v>121.40147760625371</v>
      </c>
      <c r="K43" s="12">
        <v>121.25014590659293</v>
      </c>
      <c r="L43" s="12">
        <v>121.25014590659293</v>
      </c>
      <c r="M43" s="12">
        <v>121.24693691746927</v>
      </c>
      <c r="N43" s="12">
        <v>121.3287709962447</v>
      </c>
      <c r="O43" s="21" t="s">
        <v>37</v>
      </c>
      <c r="Q43" s="3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s="16" customFormat="1" ht="15.75" customHeight="1" x14ac:dyDescent="0.2">
      <c r="A44" s="20" t="s">
        <v>38</v>
      </c>
      <c r="B44" s="12">
        <v>98.896451587633919</v>
      </c>
      <c r="C44" s="12">
        <v>98.803173378390952</v>
      </c>
      <c r="D44" s="12">
        <v>98.725995918875014</v>
      </c>
      <c r="E44" s="12">
        <v>98.832681941195176</v>
      </c>
      <c r="F44" s="12">
        <v>98.795446797153915</v>
      </c>
      <c r="G44" s="12">
        <v>98.782400511067578</v>
      </c>
      <c r="H44" s="12">
        <v>98.855661763796874</v>
      </c>
      <c r="I44" s="12">
        <v>98.937160229850193</v>
      </c>
      <c r="J44" s="12">
        <v>99.027941053134711</v>
      </c>
      <c r="K44" s="12">
        <v>99.007349826839629</v>
      </c>
      <c r="L44" s="12">
        <v>99.012721314248466</v>
      </c>
      <c r="M44" s="12">
        <v>99.034632777296025</v>
      </c>
      <c r="N44" s="12">
        <v>98.892634758290214</v>
      </c>
      <c r="O44" s="21" t="s">
        <v>57</v>
      </c>
      <c r="Q44" s="3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s="27" customFormat="1" ht="15.75" customHeight="1" x14ac:dyDescent="0.2">
      <c r="A45" s="22" t="s">
        <v>54</v>
      </c>
      <c r="B45" s="23">
        <v>105.15896985278053</v>
      </c>
      <c r="C45" s="23">
        <v>105.01355186464795</v>
      </c>
      <c r="D45" s="23">
        <v>104.39801712089321</v>
      </c>
      <c r="E45" s="23">
        <v>104.59296064304696</v>
      </c>
      <c r="F45" s="23">
        <v>105.60752384285271</v>
      </c>
      <c r="G45" s="23">
        <v>105.45481378593364</v>
      </c>
      <c r="H45" s="23">
        <v>105.89024984877231</v>
      </c>
      <c r="I45" s="23">
        <v>105.74086822284956</v>
      </c>
      <c r="J45" s="23">
        <v>105.8090548036067</v>
      </c>
      <c r="K45" s="23">
        <v>105.85453303952553</v>
      </c>
      <c r="L45" s="23">
        <v>105.44398185358602</v>
      </c>
      <c r="M45" s="23">
        <v>105.60147673005247</v>
      </c>
      <c r="N45" s="23">
        <v>105.38050013404563</v>
      </c>
      <c r="O45" s="26" t="s">
        <v>11</v>
      </c>
      <c r="Q45" s="47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</row>
    <row r="46" spans="1:29" s="49" customFormat="1" ht="16.5" customHeight="1" x14ac:dyDescent="0.2">
      <c r="A46" s="28" t="s">
        <v>55</v>
      </c>
      <c r="B46" s="44">
        <v>105.16771746278215</v>
      </c>
      <c r="C46" s="44">
        <v>104.794361419735</v>
      </c>
      <c r="D46" s="44">
        <v>104.60068174208726</v>
      </c>
      <c r="E46" s="44">
        <v>104.82582436479679</v>
      </c>
      <c r="F46" s="44">
        <v>105.59510780341041</v>
      </c>
      <c r="G46" s="44">
        <v>105.13296321440554</v>
      </c>
      <c r="H46" s="44">
        <v>105.49379794971924</v>
      </c>
      <c r="I46" s="44">
        <v>105.67399694472451</v>
      </c>
      <c r="J46" s="44">
        <v>105.71012535733213</v>
      </c>
      <c r="K46" s="44">
        <v>105.59175884951341</v>
      </c>
      <c r="L46" s="44">
        <v>105.50010158430668</v>
      </c>
      <c r="M46" s="44">
        <v>105.51153679010233</v>
      </c>
      <c r="N46" s="44">
        <v>105.29983112357628</v>
      </c>
      <c r="O46" s="30" t="s">
        <v>42</v>
      </c>
      <c r="Q46" s="47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</row>
    <row r="47" spans="1:29" s="4" customFormat="1" ht="15.75" customHeight="1" x14ac:dyDescent="0.2">
      <c r="A47" s="50"/>
      <c r="B47" s="56">
        <v>2015</v>
      </c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0"/>
    </row>
    <row r="48" spans="1:29" s="4" customFormat="1" ht="15.75" customHeight="1" x14ac:dyDescent="0.2">
      <c r="A48" s="6"/>
      <c r="B48" s="7" t="s">
        <v>60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9" t="s">
        <v>61</v>
      </c>
      <c r="O48" s="10"/>
    </row>
    <row r="49" spans="1:29" s="4" customFormat="1" ht="15.75" customHeight="1" x14ac:dyDescent="0.2">
      <c r="A49" s="40" t="s">
        <v>58</v>
      </c>
      <c r="B49" s="1" t="s">
        <v>49</v>
      </c>
      <c r="C49" s="1" t="s">
        <v>48</v>
      </c>
      <c r="D49" s="1" t="s">
        <v>0</v>
      </c>
      <c r="E49" s="1" t="s">
        <v>12</v>
      </c>
      <c r="F49" s="1" t="s">
        <v>13</v>
      </c>
      <c r="G49" s="1" t="s">
        <v>1</v>
      </c>
      <c r="H49" s="1" t="s">
        <v>14</v>
      </c>
      <c r="I49" s="1" t="s">
        <v>47</v>
      </c>
      <c r="J49" s="1" t="s">
        <v>72</v>
      </c>
      <c r="K49" s="1" t="s">
        <v>73</v>
      </c>
      <c r="L49" s="1" t="s">
        <v>74</v>
      </c>
      <c r="M49" s="1" t="s">
        <v>75</v>
      </c>
      <c r="N49" s="1" t="s">
        <v>15</v>
      </c>
      <c r="O49" s="41" t="s">
        <v>24</v>
      </c>
    </row>
    <row r="50" spans="1:29" s="4" customFormat="1" ht="15.75" customHeight="1" x14ac:dyDescent="0.2">
      <c r="A50" s="34"/>
      <c r="B50" s="35" t="s">
        <v>16</v>
      </c>
      <c r="C50" s="34" t="s">
        <v>17</v>
      </c>
      <c r="D50" s="34" t="s">
        <v>2</v>
      </c>
      <c r="E50" s="34" t="s">
        <v>18</v>
      </c>
      <c r="F50" s="34" t="s">
        <v>19</v>
      </c>
      <c r="G50" s="34" t="s">
        <v>3</v>
      </c>
      <c r="H50" s="34" t="s">
        <v>20</v>
      </c>
      <c r="I50" s="34" t="s">
        <v>21</v>
      </c>
      <c r="J50" s="34" t="s">
        <v>4</v>
      </c>
      <c r="K50" s="34" t="s">
        <v>22</v>
      </c>
      <c r="L50" s="34" t="s">
        <v>23</v>
      </c>
      <c r="M50" s="34" t="s">
        <v>5</v>
      </c>
      <c r="N50" s="34" t="s">
        <v>59</v>
      </c>
      <c r="O50" s="36"/>
    </row>
    <row r="51" spans="1:29" s="16" customFormat="1" ht="15.75" customHeight="1" x14ac:dyDescent="0.2">
      <c r="A51" s="11" t="s">
        <v>43</v>
      </c>
      <c r="B51" s="12">
        <v>105.0602739482481</v>
      </c>
      <c r="C51" s="12">
        <v>104.86187476268142</v>
      </c>
      <c r="D51" s="12">
        <v>104.06961068785094</v>
      </c>
      <c r="E51" s="12">
        <v>104.84597200495379</v>
      </c>
      <c r="F51" s="12">
        <v>106.29515996319527</v>
      </c>
      <c r="G51" s="12">
        <v>108.07688907155077</v>
      </c>
      <c r="H51" s="12">
        <v>107.00270549325546</v>
      </c>
      <c r="I51" s="12">
        <v>107.57666338228667</v>
      </c>
      <c r="J51" s="12">
        <v>107.46304061853701</v>
      </c>
      <c r="K51" s="12">
        <v>107.37180460525754</v>
      </c>
      <c r="L51" s="12">
        <v>108.21375705493733</v>
      </c>
      <c r="M51" s="12">
        <v>106.29362600489323</v>
      </c>
      <c r="N51" s="52">
        <v>106.42761479980396</v>
      </c>
      <c r="O51" s="2" t="s">
        <v>45</v>
      </c>
      <c r="Q51" s="3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spans="1:29" s="16" customFormat="1" ht="15.75" customHeight="1" x14ac:dyDescent="0.2">
      <c r="A52" s="11" t="s">
        <v>44</v>
      </c>
      <c r="B52" s="12">
        <v>105.10544961155392</v>
      </c>
      <c r="C52" s="12">
        <v>104.58903054835932</v>
      </c>
      <c r="D52" s="12">
        <v>104.50180113848212</v>
      </c>
      <c r="E52" s="12">
        <v>103.94349245216745</v>
      </c>
      <c r="F52" s="12">
        <v>106.68107530172104</v>
      </c>
      <c r="G52" s="12">
        <v>108.27854557374501</v>
      </c>
      <c r="H52" s="12">
        <v>107.34032153092625</v>
      </c>
      <c r="I52" s="12">
        <v>107.85440820752562</v>
      </c>
      <c r="J52" s="12">
        <v>108.72105386260702</v>
      </c>
      <c r="K52" s="12">
        <v>108.96915151955474</v>
      </c>
      <c r="L52" s="12">
        <v>107.72332754806094</v>
      </c>
      <c r="M52" s="12">
        <v>107.03920328045251</v>
      </c>
      <c r="N52" s="12">
        <v>106.72890504792964</v>
      </c>
      <c r="O52" s="2" t="s">
        <v>46</v>
      </c>
      <c r="Q52" s="3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spans="1:29" s="16" customFormat="1" ht="15.75" customHeight="1" x14ac:dyDescent="0.2">
      <c r="A53" s="17" t="s">
        <v>6</v>
      </c>
      <c r="B53" s="12">
        <v>104.95687991247793</v>
      </c>
      <c r="C53" s="12">
        <v>105.48633630659656</v>
      </c>
      <c r="D53" s="12">
        <v>103.08045166633022</v>
      </c>
      <c r="E53" s="12">
        <v>106.91148684933094</v>
      </c>
      <c r="F53" s="12">
        <v>105.41191129796337</v>
      </c>
      <c r="G53" s="12">
        <v>107.61535562465849</v>
      </c>
      <c r="H53" s="12">
        <v>106.2299999672902</v>
      </c>
      <c r="I53" s="12">
        <v>106.94098575645167</v>
      </c>
      <c r="J53" s="12">
        <v>104.58381191797878</v>
      </c>
      <c r="K53" s="12">
        <v>103.71593921427547</v>
      </c>
      <c r="L53" s="12">
        <v>109.3362084428344</v>
      </c>
      <c r="M53" s="12">
        <v>104.58721512218332</v>
      </c>
      <c r="N53" s="12">
        <v>105.73804850653096</v>
      </c>
      <c r="O53" s="2" t="s">
        <v>7</v>
      </c>
      <c r="Q53" s="3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spans="1:29" s="16" customFormat="1" ht="15.75" customHeight="1" x14ac:dyDescent="0.2">
      <c r="A54" s="17" t="s">
        <v>40</v>
      </c>
      <c r="B54" s="12">
        <v>104.85612870244701</v>
      </c>
      <c r="C54" s="12">
        <v>104.76402133461296</v>
      </c>
      <c r="D54" s="12">
        <v>104.4431247964275</v>
      </c>
      <c r="E54" s="12">
        <v>119.80310028587245</v>
      </c>
      <c r="F54" s="12">
        <v>122.35941994479083</v>
      </c>
      <c r="G54" s="12">
        <v>122.59596627434775</v>
      </c>
      <c r="H54" s="12">
        <v>122.56327109750755</v>
      </c>
      <c r="I54" s="12">
        <v>121.25681787196383</v>
      </c>
      <c r="J54" s="12">
        <v>121.31380903009151</v>
      </c>
      <c r="K54" s="12">
        <v>121.81346984559947</v>
      </c>
      <c r="L54" s="12">
        <v>121.76603359122298</v>
      </c>
      <c r="M54" s="12">
        <v>122.0280568163203</v>
      </c>
      <c r="N54" s="12">
        <v>117.46360163260034</v>
      </c>
      <c r="O54" s="2" t="s">
        <v>25</v>
      </c>
      <c r="Q54" s="3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spans="1:29" s="16" customFormat="1" ht="15.75" customHeight="1" x14ac:dyDescent="0.2">
      <c r="A55" s="17" t="s">
        <v>8</v>
      </c>
      <c r="B55" s="12">
        <v>102.64328708834029</v>
      </c>
      <c r="C55" s="12">
        <v>101.76607939976726</v>
      </c>
      <c r="D55" s="12">
        <v>101.51421205720162</v>
      </c>
      <c r="E55" s="12">
        <v>101.55217718425425</v>
      </c>
      <c r="F55" s="12">
        <v>101.74507589738278</v>
      </c>
      <c r="G55" s="12">
        <v>101.68737251311171</v>
      </c>
      <c r="H55" s="12">
        <v>101.64045832590203</v>
      </c>
      <c r="I55" s="12">
        <v>101.08288447370157</v>
      </c>
      <c r="J55" s="12">
        <v>101.29495994187158</v>
      </c>
      <c r="K55" s="12">
        <v>101.37168410149229</v>
      </c>
      <c r="L55" s="12">
        <v>101.15772837319653</v>
      </c>
      <c r="M55" s="12">
        <v>101.03148845398252</v>
      </c>
      <c r="N55" s="12">
        <v>101.54061731751705</v>
      </c>
      <c r="O55" s="2" t="s">
        <v>26</v>
      </c>
      <c r="Q55" s="3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spans="1:29" s="16" customFormat="1" ht="15.75" customHeight="1" x14ac:dyDescent="0.2">
      <c r="A56" s="17" t="s">
        <v>52</v>
      </c>
      <c r="B56" s="12">
        <v>106.83873069241612</v>
      </c>
      <c r="C56" s="12">
        <v>107.01765357245452</v>
      </c>
      <c r="D56" s="12">
        <v>106.96207790271455</v>
      </c>
      <c r="E56" s="12">
        <v>107.3989167035453</v>
      </c>
      <c r="F56" s="12">
        <v>107.72438609528464</v>
      </c>
      <c r="G56" s="12">
        <v>107.81111654917882</v>
      </c>
      <c r="H56" s="12">
        <v>108.14183118732882</v>
      </c>
      <c r="I56" s="12">
        <v>108.22081658770651</v>
      </c>
      <c r="J56" s="12">
        <v>108.23624887213948</v>
      </c>
      <c r="K56" s="12">
        <v>108.2893235687267</v>
      </c>
      <c r="L56" s="12">
        <v>108.37933881419633</v>
      </c>
      <c r="M56" s="12">
        <v>108.40602228997616</v>
      </c>
      <c r="N56" s="12">
        <v>107.78553856963902</v>
      </c>
      <c r="O56" s="2" t="s">
        <v>27</v>
      </c>
      <c r="Q56" s="3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spans="1:29" s="16" customFormat="1" ht="15.75" customHeight="1" x14ac:dyDescent="0.2">
      <c r="A57" s="17" t="s">
        <v>53</v>
      </c>
      <c r="B57" s="12">
        <v>110.99601494524522</v>
      </c>
      <c r="C57" s="12">
        <v>111.19787615361582</v>
      </c>
      <c r="D57" s="12">
        <v>110.87411910825551</v>
      </c>
      <c r="E57" s="12">
        <v>111.3914702738206</v>
      </c>
      <c r="F57" s="12">
        <v>112.05347179450717</v>
      </c>
      <c r="G57" s="12">
        <v>112.2406169406153</v>
      </c>
      <c r="H57" s="12">
        <v>112.8887456913095</v>
      </c>
      <c r="I57" s="12">
        <v>113.16315369884779</v>
      </c>
      <c r="J57" s="12">
        <v>113.21079468888074</v>
      </c>
      <c r="K57" s="12">
        <v>113.30216273475357</v>
      </c>
      <c r="L57" s="12">
        <v>113.49333627073537</v>
      </c>
      <c r="M57" s="12">
        <v>113.61877602532633</v>
      </c>
      <c r="N57" s="12">
        <v>112.36921152715941</v>
      </c>
      <c r="O57" s="18" t="s">
        <v>56</v>
      </c>
      <c r="Q57" s="3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spans="1:29" s="16" customFormat="1" ht="22.5" customHeight="1" x14ac:dyDescent="0.2">
      <c r="A58" s="11" t="s">
        <v>39</v>
      </c>
      <c r="B58" s="12">
        <v>96.512473002405116</v>
      </c>
      <c r="C58" s="12">
        <v>97.947574498683352</v>
      </c>
      <c r="D58" s="12">
        <v>97.920279863400069</v>
      </c>
      <c r="E58" s="12">
        <v>97.876930337394555</v>
      </c>
      <c r="F58" s="12">
        <v>93.079716256755646</v>
      </c>
      <c r="G58" s="12">
        <v>96.037779888475143</v>
      </c>
      <c r="H58" s="12">
        <v>96.657906975127489</v>
      </c>
      <c r="I58" s="12">
        <v>97.146628908485496</v>
      </c>
      <c r="J58" s="12">
        <v>96.923400342466607</v>
      </c>
      <c r="K58" s="12">
        <v>96.87680116072633</v>
      </c>
      <c r="L58" s="12">
        <v>96.319168525158787</v>
      </c>
      <c r="M58" s="12">
        <v>96.132057935408653</v>
      </c>
      <c r="N58" s="12">
        <v>96.619226474540611</v>
      </c>
      <c r="O58" s="2" t="s">
        <v>41</v>
      </c>
      <c r="Q58" s="3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spans="1:29" s="16" customFormat="1" ht="15.75" customHeight="1" x14ac:dyDescent="0.2">
      <c r="A59" s="19" t="s">
        <v>28</v>
      </c>
      <c r="B59" s="12">
        <v>120.67004289344877</v>
      </c>
      <c r="C59" s="12">
        <v>122.35651284809448</v>
      </c>
      <c r="D59" s="12">
        <v>122.4070330480821</v>
      </c>
      <c r="E59" s="12">
        <v>122.35373172847233</v>
      </c>
      <c r="F59" s="12">
        <v>122.31920872433598</v>
      </c>
      <c r="G59" s="12">
        <v>124.17213710890816</v>
      </c>
      <c r="H59" s="12">
        <v>124.20965867173251</v>
      </c>
      <c r="I59" s="12">
        <v>124.80398290344044</v>
      </c>
      <c r="J59" s="12">
        <v>124.81248356683692</v>
      </c>
      <c r="K59" s="12">
        <v>125.05820679587102</v>
      </c>
      <c r="L59" s="12">
        <v>125.06311078439413</v>
      </c>
      <c r="M59" s="12">
        <v>124.81922419207697</v>
      </c>
      <c r="N59" s="12">
        <v>123.58711110547449</v>
      </c>
      <c r="O59" s="2" t="s">
        <v>29</v>
      </c>
      <c r="Q59" s="3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spans="1:29" s="16" customFormat="1" ht="15.75" customHeight="1" x14ac:dyDescent="0.2">
      <c r="A60" s="19" t="s">
        <v>30</v>
      </c>
      <c r="B60" s="12">
        <v>101.95879497863454</v>
      </c>
      <c r="C60" s="12">
        <v>101.92568265024272</v>
      </c>
      <c r="D60" s="12">
        <v>103.36746733636753</v>
      </c>
      <c r="E60" s="12">
        <v>104.32177987913499</v>
      </c>
      <c r="F60" s="12">
        <v>103.34079378634846</v>
      </c>
      <c r="G60" s="12">
        <v>103.09766488769068</v>
      </c>
      <c r="H60" s="12">
        <v>103.2869180657457</v>
      </c>
      <c r="I60" s="12">
        <v>103.082922667478</v>
      </c>
      <c r="J60" s="12">
        <v>102.81853243047762</v>
      </c>
      <c r="K60" s="12">
        <v>102.54620721762099</v>
      </c>
      <c r="L60" s="12">
        <v>102.58793762303365</v>
      </c>
      <c r="M60" s="12">
        <v>102.815386975953</v>
      </c>
      <c r="N60" s="12">
        <v>102.92917404156066</v>
      </c>
      <c r="O60" s="2" t="s">
        <v>31</v>
      </c>
      <c r="Q60" s="3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spans="1:29" s="16" customFormat="1" ht="15.75" customHeight="1" x14ac:dyDescent="0.2">
      <c r="A61" s="19" t="s">
        <v>32</v>
      </c>
      <c r="B61" s="12">
        <v>100.88024398026597</v>
      </c>
      <c r="C61" s="12">
        <v>100.88024398026597</v>
      </c>
      <c r="D61" s="12">
        <v>100.68773654328795</v>
      </c>
      <c r="E61" s="12">
        <v>100.47356353772223</v>
      </c>
      <c r="F61" s="12">
        <v>100.47356353772223</v>
      </c>
      <c r="G61" s="12">
        <v>100.47356353772223</v>
      </c>
      <c r="H61" s="12">
        <v>100.47356353772223</v>
      </c>
      <c r="I61" s="12">
        <v>100.58790024404281</v>
      </c>
      <c r="J61" s="12">
        <v>100.49343319531117</v>
      </c>
      <c r="K61" s="12">
        <v>100.49343319531117</v>
      </c>
      <c r="L61" s="12">
        <v>100.4034041194092</v>
      </c>
      <c r="M61" s="12">
        <v>100.37319132535066</v>
      </c>
      <c r="N61" s="12">
        <v>100.55782006117782</v>
      </c>
      <c r="O61" s="2" t="s">
        <v>33</v>
      </c>
      <c r="Q61" s="3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spans="1:29" s="16" customFormat="1" ht="15.75" customHeight="1" x14ac:dyDescent="0.2">
      <c r="A62" s="20" t="s">
        <v>34</v>
      </c>
      <c r="B62" s="12">
        <v>102.33641068511949</v>
      </c>
      <c r="C62" s="12">
        <v>101.94935217162049</v>
      </c>
      <c r="D62" s="12">
        <v>102.8444319515676</v>
      </c>
      <c r="E62" s="12">
        <v>102.95012242599086</v>
      </c>
      <c r="F62" s="12">
        <v>101.82399120996725</v>
      </c>
      <c r="G62" s="12">
        <v>101.73949754042761</v>
      </c>
      <c r="H62" s="12">
        <v>102.55945487676264</v>
      </c>
      <c r="I62" s="12">
        <v>102.28120400194865</v>
      </c>
      <c r="J62" s="12">
        <v>102.18557899110831</v>
      </c>
      <c r="K62" s="12">
        <v>102.07528639317158</v>
      </c>
      <c r="L62" s="12">
        <v>100.22291598862948</v>
      </c>
      <c r="M62" s="12">
        <v>100.50742443560405</v>
      </c>
      <c r="N62" s="12">
        <v>101.95630588932649</v>
      </c>
      <c r="O62" s="21" t="s">
        <v>35</v>
      </c>
      <c r="Q62" s="3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spans="1:29" s="16" customFormat="1" ht="15.75" customHeight="1" x14ac:dyDescent="0.2">
      <c r="A63" s="17" t="s">
        <v>9</v>
      </c>
      <c r="B63" s="12">
        <v>115.78120173412759</v>
      </c>
      <c r="C63" s="12">
        <v>115.78120173412759</v>
      </c>
      <c r="D63" s="12">
        <v>119.65290971328466</v>
      </c>
      <c r="E63" s="12">
        <v>119.65290971328466</v>
      </c>
      <c r="F63" s="12">
        <v>119.65290971328466</v>
      </c>
      <c r="G63" s="12">
        <v>119.65290971328466</v>
      </c>
      <c r="H63" s="12">
        <v>119.65290971328466</v>
      </c>
      <c r="I63" s="12">
        <v>119.65290971328466</v>
      </c>
      <c r="J63" s="12">
        <v>119.65290971328466</v>
      </c>
      <c r="K63" s="12">
        <v>119.65290971328466</v>
      </c>
      <c r="L63" s="12">
        <v>119.65290971328466</v>
      </c>
      <c r="M63" s="12">
        <v>119.65290971328466</v>
      </c>
      <c r="N63" s="12">
        <v>119.00762505009182</v>
      </c>
      <c r="O63" s="21" t="s">
        <v>10</v>
      </c>
      <c r="Q63" s="3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spans="1:29" s="16" customFormat="1" ht="15.75" customHeight="1" x14ac:dyDescent="0.2">
      <c r="A64" s="17" t="s">
        <v>36</v>
      </c>
      <c r="B64" s="12">
        <v>121.3374091540156</v>
      </c>
      <c r="C64" s="12">
        <v>121.3374091540156</v>
      </c>
      <c r="D64" s="12">
        <v>120.70209607923516</v>
      </c>
      <c r="E64" s="12">
        <v>120.82688293405351</v>
      </c>
      <c r="F64" s="12">
        <v>120.83322681194169</v>
      </c>
      <c r="G64" s="12">
        <v>120.82788481300273</v>
      </c>
      <c r="H64" s="12">
        <v>121.15750539102228</v>
      </c>
      <c r="I64" s="12">
        <v>121.1513406333668</v>
      </c>
      <c r="J64" s="12">
        <v>121.14689511476949</v>
      </c>
      <c r="K64" s="12">
        <v>121.14429118099848</v>
      </c>
      <c r="L64" s="12">
        <v>121.14461566291962</v>
      </c>
      <c r="M64" s="12">
        <v>121.1192912676651</v>
      </c>
      <c r="N64" s="12">
        <v>121.06073734975051</v>
      </c>
      <c r="O64" s="21" t="s">
        <v>37</v>
      </c>
      <c r="Q64" s="3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spans="1:29" s="16" customFormat="1" ht="15.75" customHeight="1" x14ac:dyDescent="0.2">
      <c r="A65" s="20" t="s">
        <v>38</v>
      </c>
      <c r="B65" s="12">
        <v>99.127171326656722</v>
      </c>
      <c r="C65" s="12">
        <v>98.89616497176398</v>
      </c>
      <c r="D65" s="12">
        <v>98.726832874594919</v>
      </c>
      <c r="E65" s="12">
        <v>98.613758101291467</v>
      </c>
      <c r="F65" s="12">
        <v>98.82143544208995</v>
      </c>
      <c r="G65" s="12">
        <v>99.036576364352214</v>
      </c>
      <c r="H65" s="12">
        <v>98.789147148049523</v>
      </c>
      <c r="I65" s="12">
        <v>98.481413480430234</v>
      </c>
      <c r="J65" s="12">
        <v>98.731151545385515</v>
      </c>
      <c r="K65" s="12">
        <v>98.567802113281473</v>
      </c>
      <c r="L65" s="12">
        <v>98.644596853807514</v>
      </c>
      <c r="M65" s="12">
        <v>98.39121610199301</v>
      </c>
      <c r="N65" s="12">
        <v>98.735605526974709</v>
      </c>
      <c r="O65" s="21" t="s">
        <v>57</v>
      </c>
      <c r="Q65" s="3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spans="1:29" s="27" customFormat="1" ht="15.75" customHeight="1" x14ac:dyDescent="0.2">
      <c r="A66" s="22" t="s">
        <v>54</v>
      </c>
      <c r="B66" s="23">
        <v>105.30480193359342</v>
      </c>
      <c r="C66" s="23">
        <v>105.43217364780411</v>
      </c>
      <c r="D66" s="23">
        <v>105.35756355895435</v>
      </c>
      <c r="E66" s="23">
        <v>106.06388213106912</v>
      </c>
      <c r="F66" s="23">
        <v>106.10127795050008</v>
      </c>
      <c r="G66" s="23">
        <v>106.98715425252276</v>
      </c>
      <c r="H66" s="23">
        <v>106.85657855404348</v>
      </c>
      <c r="I66" s="23">
        <v>107.01969350992501</v>
      </c>
      <c r="J66" s="23">
        <v>106.97557619963439</v>
      </c>
      <c r="K66" s="23">
        <v>106.95325296574117</v>
      </c>
      <c r="L66" s="23">
        <v>107.06489578214516</v>
      </c>
      <c r="M66" s="23">
        <v>106.50307845458552</v>
      </c>
      <c r="N66" s="23">
        <v>106.38499407837655</v>
      </c>
      <c r="O66" s="26" t="s">
        <v>11</v>
      </c>
      <c r="Q66" s="47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</row>
    <row r="67" spans="1:29" s="49" customFormat="1" ht="15.75" customHeight="1" x14ac:dyDescent="0.2">
      <c r="A67" s="28" t="s">
        <v>55</v>
      </c>
      <c r="B67" s="44">
        <v>105.3377316462401</v>
      </c>
      <c r="C67" s="44">
        <v>105.42704732442702</v>
      </c>
      <c r="D67" s="44">
        <v>105.57308495667485</v>
      </c>
      <c r="E67" s="44">
        <v>105.98365904050151</v>
      </c>
      <c r="F67" s="44">
        <v>106.16652431146184</v>
      </c>
      <c r="G67" s="44">
        <v>106.92769699079952</v>
      </c>
      <c r="H67" s="44">
        <v>106.91588222429178</v>
      </c>
      <c r="I67" s="44">
        <v>107.02714294844176</v>
      </c>
      <c r="J67" s="44">
        <v>107.20194908129653</v>
      </c>
      <c r="K67" s="44">
        <v>107.2596544152421</v>
      </c>
      <c r="L67" s="44">
        <v>106.8499232632813</v>
      </c>
      <c r="M67" s="44">
        <v>106.68440882512125</v>
      </c>
      <c r="N67" s="44">
        <v>106.44622541898161</v>
      </c>
      <c r="O67" s="30" t="s">
        <v>42</v>
      </c>
      <c r="Q67" s="47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</row>
    <row r="68" spans="1:29" s="32" customFormat="1" ht="15.75" customHeight="1" x14ac:dyDescent="0.2">
      <c r="A68" s="51"/>
      <c r="B68" s="56">
        <v>2016</v>
      </c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1"/>
    </row>
    <row r="69" spans="1:29" s="32" customFormat="1" ht="15.75" customHeight="1" x14ac:dyDescent="0.2">
      <c r="A69" s="6"/>
      <c r="B69" s="7" t="s">
        <v>60</v>
      </c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9" t="s">
        <v>61</v>
      </c>
      <c r="O69" s="10"/>
    </row>
    <row r="70" spans="1:29" s="32" customFormat="1" ht="15.75" customHeight="1" x14ac:dyDescent="0.2">
      <c r="A70" s="40" t="s">
        <v>58</v>
      </c>
      <c r="B70" s="1" t="s">
        <v>49</v>
      </c>
      <c r="C70" s="1" t="s">
        <v>48</v>
      </c>
      <c r="D70" s="1" t="s">
        <v>0</v>
      </c>
      <c r="E70" s="1" t="s">
        <v>12</v>
      </c>
      <c r="F70" s="1" t="s">
        <v>13</v>
      </c>
      <c r="G70" s="1" t="s">
        <v>1</v>
      </c>
      <c r="H70" s="1" t="s">
        <v>14</v>
      </c>
      <c r="I70" s="1" t="s">
        <v>47</v>
      </c>
      <c r="J70" s="1" t="s">
        <v>72</v>
      </c>
      <c r="K70" s="1" t="s">
        <v>73</v>
      </c>
      <c r="L70" s="1" t="s">
        <v>74</v>
      </c>
      <c r="M70" s="1" t="s">
        <v>75</v>
      </c>
      <c r="N70" s="1" t="s">
        <v>15</v>
      </c>
      <c r="O70" s="41" t="s">
        <v>24</v>
      </c>
      <c r="Q70" s="43"/>
    </row>
    <row r="71" spans="1:29" s="32" customFormat="1" ht="15.75" customHeight="1" x14ac:dyDescent="0.2">
      <c r="A71" s="34"/>
      <c r="B71" s="35" t="s">
        <v>16</v>
      </c>
      <c r="C71" s="34" t="s">
        <v>17</v>
      </c>
      <c r="D71" s="34" t="s">
        <v>2</v>
      </c>
      <c r="E71" s="34" t="s">
        <v>18</v>
      </c>
      <c r="F71" s="34" t="s">
        <v>19</v>
      </c>
      <c r="G71" s="34" t="s">
        <v>3</v>
      </c>
      <c r="H71" s="34" t="s">
        <v>20</v>
      </c>
      <c r="I71" s="34" t="s">
        <v>21</v>
      </c>
      <c r="J71" s="34" t="s">
        <v>4</v>
      </c>
      <c r="K71" s="34" t="s">
        <v>22</v>
      </c>
      <c r="L71" s="34" t="s">
        <v>23</v>
      </c>
      <c r="M71" s="34" t="s">
        <v>5</v>
      </c>
      <c r="N71" s="34" t="s">
        <v>59</v>
      </c>
      <c r="O71" s="36"/>
      <c r="Q71" s="43"/>
    </row>
    <row r="72" spans="1:29" s="32" customFormat="1" ht="15.75" customHeight="1" x14ac:dyDescent="0.2">
      <c r="A72" s="11" t="s">
        <v>43</v>
      </c>
      <c r="B72" s="12">
        <f>'[3]Chnages in rep.'!$NM$5</f>
        <v>105.48100556258261</v>
      </c>
      <c r="C72" s="12">
        <f>'[3]Chnages in rep.'!$NN$5</f>
        <v>107.18890464838381</v>
      </c>
      <c r="D72" s="12">
        <f>'[3]Chnages in rep.'!$NO$5</f>
        <v>104.92534085086224</v>
      </c>
      <c r="E72" s="12">
        <f>'[3]Chnages in rep.'!$NP$5</f>
        <v>104.62763693274307</v>
      </c>
      <c r="F72" s="12">
        <f>'[3]Chnages in rep.'!$NQ$5</f>
        <v>105.00040203020284</v>
      </c>
      <c r="G72" s="12">
        <f>'[3]Chnages in rep.'!$NR$5</f>
        <v>105.5058172310701</v>
      </c>
      <c r="H72" s="12">
        <f>'[3]Chnages in rep.'!$NS$5</f>
        <v>105.38477187932992</v>
      </c>
      <c r="I72" s="12">
        <f>'[3]Chnages in rep.'!$NT$5</f>
        <v>104.66885965465767</v>
      </c>
      <c r="J72" s="12">
        <f>'[3]Chnages in rep.'!$NU$5</f>
        <v>106.29762096656296</v>
      </c>
      <c r="K72" s="12">
        <f>'[3]Chnages in rep.'!$NV$5</f>
        <v>112.21889827771116</v>
      </c>
      <c r="L72" s="12">
        <f>'[3]Chnages in rep.'!$NW$5</f>
        <v>111.31030290493474</v>
      </c>
      <c r="M72" s="12">
        <f>'[3]Chnages in rep.'!$NX$5</f>
        <v>111.88934518706554</v>
      </c>
      <c r="N72" s="12">
        <f>'[3]Republic data'!$OC$4</f>
        <v>107.04157551050889</v>
      </c>
      <c r="O72" s="2" t="s">
        <v>45</v>
      </c>
      <c r="Q72" s="43"/>
    </row>
    <row r="73" spans="1:29" s="32" customFormat="1" ht="15.75" customHeight="1" x14ac:dyDescent="0.2">
      <c r="A73" s="11" t="s">
        <v>44</v>
      </c>
      <c r="B73" s="12">
        <f>'[3]Chnages in rep.'!$NM$6</f>
        <v>106.44078427698152</v>
      </c>
      <c r="C73" s="12">
        <f>'[3]Chnages in rep.'!$NN$6</f>
        <v>106.03984762069598</v>
      </c>
      <c r="D73" s="12">
        <f>'[3]Chnages in rep.'!$NO$6</f>
        <v>105.17492961542654</v>
      </c>
      <c r="E73" s="12">
        <f>'[3]Chnages in rep.'!$NP$6</f>
        <v>104.94593922446937</v>
      </c>
      <c r="F73" s="12">
        <f>'[3]Chnages in rep.'!$NQ$6</f>
        <v>104.89985575796824</v>
      </c>
      <c r="G73" s="12">
        <f>'[3]Chnages in rep.'!$NR$6</f>
        <v>105.86479693486402</v>
      </c>
      <c r="H73" s="12">
        <f>'[3]Chnages in rep.'!$NS$6</f>
        <v>105.80264996696059</v>
      </c>
      <c r="I73" s="12">
        <f>'[3]Chnages in rep.'!$NT$6</f>
        <v>106.44168687088121</v>
      </c>
      <c r="J73" s="12">
        <f>'[3]Chnages in rep.'!$NU$6</f>
        <v>107.0720630626256</v>
      </c>
      <c r="K73" s="12">
        <f>'[3]Chnages in rep.'!$NV$6</f>
        <v>116.25369723782394</v>
      </c>
      <c r="L73" s="12">
        <f>'[3]Chnages in rep.'!$NW$6</f>
        <v>115.50081717597779</v>
      </c>
      <c r="M73" s="12">
        <f>'[3]Chnages in rep.'!$NX$6</f>
        <v>115.69655879313525</v>
      </c>
      <c r="N73" s="12">
        <f>'[3]Republic data'!$OC$485</f>
        <v>108.34446887815083</v>
      </c>
      <c r="O73" s="2" t="s">
        <v>46</v>
      </c>
      <c r="Q73" s="43"/>
    </row>
    <row r="74" spans="1:29" s="32" customFormat="1" ht="15.75" customHeight="1" x14ac:dyDescent="0.2">
      <c r="A74" s="17" t="s">
        <v>6</v>
      </c>
      <c r="B74" s="12">
        <f>'[3]Chnages in rep.'!$NM$7</f>
        <v>103.28434949897733</v>
      </c>
      <c r="C74" s="12">
        <f>'[3]Chnages in rep.'!$NN$7</f>
        <v>109.81876406225896</v>
      </c>
      <c r="D74" s="12">
        <f>'[3]Chnages in rep.'!$NO$7</f>
        <v>104.35410430970681</v>
      </c>
      <c r="E74" s="12">
        <f>'[3]Chnages in rep.'!$NP$7</f>
        <v>103.89913498881545</v>
      </c>
      <c r="F74" s="12">
        <f>'[3]Chnages in rep.'!$NQ$7</f>
        <v>105.23052338553575</v>
      </c>
      <c r="G74" s="12">
        <f>'[3]Chnages in rep.'!$NR$7</f>
        <v>104.6842164482856</v>
      </c>
      <c r="H74" s="12">
        <f>'[3]Chnages in rep.'!$NS$7</f>
        <v>104.42836971988416</v>
      </c>
      <c r="I74" s="12">
        <f>'[3]Chnages in rep.'!$NT$7</f>
        <v>100.61137057324943</v>
      </c>
      <c r="J74" s="12">
        <f>'[3]Chnages in rep.'!$NU$7</f>
        <v>104.52514685278548</v>
      </c>
      <c r="K74" s="12">
        <f>'[3]Chnages in rep.'!$NV$7</f>
        <v>102.98440967300114</v>
      </c>
      <c r="L74" s="12">
        <f>'[3]Chnages in rep.'!$NW$7</f>
        <v>101.71942696133134</v>
      </c>
      <c r="M74" s="12">
        <f>'[3]Chnages in rep.'!$NX$7</f>
        <v>103.17573367667575</v>
      </c>
      <c r="N74" s="12">
        <f>'[3]Republic data'!$OC$38</f>
        <v>104.05962917920893</v>
      </c>
      <c r="O74" s="2" t="s">
        <v>7</v>
      </c>
      <c r="Q74" s="43"/>
    </row>
    <row r="75" spans="1:29" s="32" customFormat="1" ht="15.75" customHeight="1" x14ac:dyDescent="0.2">
      <c r="A75" s="17" t="s">
        <v>40</v>
      </c>
      <c r="B75" s="12">
        <f>'[3]Chnages in rep.'!$NM$8</f>
        <v>121.88718960216394</v>
      </c>
      <c r="C75" s="12">
        <f>'[3]Chnages in rep.'!$NN$8</f>
        <v>121.89766249218469</v>
      </c>
      <c r="D75" s="12">
        <f>'[3]Chnages in rep.'!$NO$8</f>
        <v>121.9372509450354</v>
      </c>
      <c r="E75" s="12">
        <f>'[3]Chnages in rep.'!$NP$8</f>
        <v>121.94561488782901</v>
      </c>
      <c r="F75" s="12">
        <f>'[3]Chnages in rep.'!$NQ$8</f>
        <v>122.35097081009513</v>
      </c>
      <c r="G75" s="12">
        <f>'[3]Chnages in rep.'!$NR$8</f>
        <v>122.04918172836094</v>
      </c>
      <c r="H75" s="12">
        <f>'[3]Chnages in rep.'!$NS$8</f>
        <v>122.01542386807137</v>
      </c>
      <c r="I75" s="12">
        <f>'[3]Chnages in rep.'!$NT$8</f>
        <v>122.18086645427454</v>
      </c>
      <c r="J75" s="12">
        <f>'[3]Chnages in rep.'!$NU$8</f>
        <v>122.42970337571218</v>
      </c>
      <c r="K75" s="12">
        <f>'[3]Chnages in rep.'!$NV$8</f>
        <v>122.50923101847108</v>
      </c>
      <c r="L75" s="12">
        <f>'[3]Chnages in rep.'!$NW$8</f>
        <v>122.44672077236744</v>
      </c>
      <c r="M75" s="12">
        <f>'[3]Chnages in rep.'!$NX$8</f>
        <v>122.56535686752591</v>
      </c>
      <c r="N75" s="12">
        <f>'[3]Republic data'!$OC$156</f>
        <v>122.18459773517431</v>
      </c>
      <c r="O75" s="2" t="s">
        <v>25</v>
      </c>
      <c r="Q75" s="43"/>
    </row>
    <row r="76" spans="1:29" ht="15.75" customHeight="1" x14ac:dyDescent="0.2">
      <c r="A76" s="17" t="s">
        <v>8</v>
      </c>
      <c r="B76" s="12">
        <f>'[3]Chnages in rep.'!$NM$9</f>
        <v>101.09010951860198</v>
      </c>
      <c r="C76" s="12">
        <f>'[3]Chnages in rep.'!$NN$9</f>
        <v>101.06822205137452</v>
      </c>
      <c r="D76" s="12">
        <f>'[3]Chnages in rep.'!$NO$9</f>
        <v>100.97960179428145</v>
      </c>
      <c r="E76" s="12">
        <f>'[3]Chnages in rep.'!$NP$9</f>
        <v>100.88070590234088</v>
      </c>
      <c r="F76" s="12">
        <f>'[3]Chnages in rep.'!$NQ$9</f>
        <v>101.13278622505824</v>
      </c>
      <c r="G76" s="12">
        <f>'[3]Chnages in rep.'!$NR$9</f>
        <v>101.41008834871749</v>
      </c>
      <c r="H76" s="12">
        <f>'[3]Chnages in rep.'!$NS$9</f>
        <v>101.56799911475512</v>
      </c>
      <c r="I76" s="12">
        <f>'[3]Chnages in rep.'!$NT$9</f>
        <v>100.86435411938893</v>
      </c>
      <c r="J76" s="12">
        <f>'[3]Chnages in rep.'!$NU$9</f>
        <v>100.70655857198788</v>
      </c>
      <c r="K76" s="12">
        <f>'[3]Chnages in rep.'!$NV$9</f>
        <v>100.81017832595245</v>
      </c>
      <c r="L76" s="12">
        <f>'[3]Chnages in rep.'!$NW$9</f>
        <v>100.74457806290398</v>
      </c>
      <c r="M76" s="12">
        <f>'[3]Chnages in rep.'!$NX$9</f>
        <v>100.69180322746162</v>
      </c>
      <c r="N76" s="12">
        <f>'[3]Republic data'!$OC$167</f>
        <v>100.99558210523537</v>
      </c>
      <c r="O76" s="2" t="s">
        <v>26</v>
      </c>
      <c r="Q76" s="43"/>
    </row>
    <row r="77" spans="1:29" ht="15.75" customHeight="1" x14ac:dyDescent="0.2">
      <c r="A77" s="17" t="s">
        <v>52</v>
      </c>
      <c r="B77" s="12">
        <f>'[3]Chnages in rep.'!$NM$10</f>
        <v>108.36055373462274</v>
      </c>
      <c r="C77" s="12">
        <f>'[3]Chnages in rep.'!$NN$10</f>
        <v>107.28118714892253</v>
      </c>
      <c r="D77" s="12">
        <f>'[3]Chnages in rep.'!$NO$10</f>
        <v>107.29663225350892</v>
      </c>
      <c r="E77" s="12">
        <f>'[3]Chnages in rep.'!$NP$10</f>
        <v>107.32378637109318</v>
      </c>
      <c r="F77" s="12">
        <f>'[3]Chnages in rep.'!$NQ$10</f>
        <v>107.60176741998026</v>
      </c>
      <c r="G77" s="12">
        <f>'[3]Chnages in rep.'!$NR$10</f>
        <v>107.67257848922625</v>
      </c>
      <c r="H77" s="12">
        <f>'[3]Chnages in rep.'!$NS$10</f>
        <v>107.98077540362419</v>
      </c>
      <c r="I77" s="12">
        <f>'[3]Chnages in rep.'!$NT$10</f>
        <v>108.24770976511873</v>
      </c>
      <c r="J77" s="12">
        <f>'[3]Chnages in rep.'!$NU$10</f>
        <v>108.33259731716004</v>
      </c>
      <c r="K77" s="12">
        <f>'[3]Chnages in rep.'!$NV$10</f>
        <v>108.67003620067761</v>
      </c>
      <c r="L77" s="12">
        <f>'[3]Chnages in rep.'!$NW$10</f>
        <v>109.07814119351566</v>
      </c>
      <c r="M77" s="12">
        <f>'[3]Chnages in rep.'!$NX$10</f>
        <v>109.45065766871167</v>
      </c>
      <c r="N77" s="12">
        <f>'[3]Republic data'!$OC$207</f>
        <v>108.10803524718015</v>
      </c>
      <c r="O77" s="2" t="s">
        <v>27</v>
      </c>
      <c r="Q77" s="43"/>
    </row>
    <row r="78" spans="1:29" ht="15.75" customHeight="1" x14ac:dyDescent="0.2">
      <c r="A78" s="17" t="s">
        <v>53</v>
      </c>
      <c r="B78" s="12">
        <f>'[3]Chnages in rep.'!$NM$11</f>
        <v>113.97248964002806</v>
      </c>
      <c r="C78" s="12">
        <f>'[3]Chnages in rep.'!$NN$11</f>
        <v>114.50451124927262</v>
      </c>
      <c r="D78" s="12">
        <f>'[3]Chnages in rep.'!$NO$11</f>
        <v>114.94398752112168</v>
      </c>
      <c r="E78" s="12">
        <f>'[3]Chnages in rep.'!$NP$11</f>
        <v>115.42697574160088</v>
      </c>
      <c r="F78" s="12">
        <f>'[3]Chnages in rep.'!$NQ$11</f>
        <v>116.09722470552043</v>
      </c>
      <c r="G78" s="12">
        <f>'[3]Chnages in rep.'!$NR$11</f>
        <v>116.4319378629214</v>
      </c>
      <c r="H78" s="12">
        <f>'[3]Chnages in rep.'!$NS$11</f>
        <v>116.97948608557621</v>
      </c>
      <c r="I78" s="12">
        <f>'[3]Chnages in rep.'!$NT$11</f>
        <v>117.61129721014137</v>
      </c>
      <c r="J78" s="12">
        <f>'[3]Chnages in rep.'!$NU$11</f>
        <v>117.78405534356747</v>
      </c>
      <c r="K78" s="12">
        <f>'[3]Chnages in rep.'!$NV$11</f>
        <v>118.01741740061064</v>
      </c>
      <c r="L78" s="12">
        <f>'[3]Chnages in rep.'!$NW$11</f>
        <v>118.65676641914334</v>
      </c>
      <c r="M78" s="12">
        <f>'[3]Chnages in rep.'!$NX$11</f>
        <v>118.71554827023621</v>
      </c>
      <c r="N78" s="12">
        <f>'[3]Republic data'!$OC$209</f>
        <v>116.59514145414504</v>
      </c>
      <c r="O78" s="18" t="s">
        <v>56</v>
      </c>
      <c r="Q78" s="43"/>
    </row>
    <row r="79" spans="1:29" ht="27" customHeight="1" x14ac:dyDescent="0.2">
      <c r="A79" s="11" t="s">
        <v>39</v>
      </c>
      <c r="B79" s="12">
        <f>'[3]Chnages in rep.'!$NM$12</f>
        <v>96.460774817896521</v>
      </c>
      <c r="C79" s="12">
        <f>'[3]Chnages in rep.'!$NN$12</f>
        <v>96.661972706400761</v>
      </c>
      <c r="D79" s="12">
        <f>'[3]Chnages in rep.'!$NO$12</f>
        <v>96.918860985943255</v>
      </c>
      <c r="E79" s="12">
        <f>'[3]Chnages in rep.'!$NP$12</f>
        <v>95.827899490214349</v>
      </c>
      <c r="F79" s="12">
        <f>'[3]Chnages in rep.'!$NQ$12</f>
        <v>95.048563202998054</v>
      </c>
      <c r="G79" s="12">
        <f>'[3]Chnages in rep.'!$NR$12</f>
        <v>96.322208698128307</v>
      </c>
      <c r="H79" s="12">
        <f>'[3]Chnages in rep.'!$NS$12</f>
        <v>97.766893928983748</v>
      </c>
      <c r="I79" s="12">
        <f>'[3]Chnages in rep.'!$NT$12</f>
        <v>98.007757799884175</v>
      </c>
      <c r="J79" s="12">
        <f>'[3]Chnages in rep.'!$NU$12</f>
        <v>98.459538547355024</v>
      </c>
      <c r="K79" s="12">
        <f>'[3]Chnages in rep.'!$NV$12</f>
        <v>99.413253966261692</v>
      </c>
      <c r="L79" s="12">
        <f>'[3]Chnages in rep.'!$NW$12</f>
        <v>99.425074250063503</v>
      </c>
      <c r="M79" s="12">
        <f>'[3]Chnages in rep.'!$NX$12</f>
        <v>99.676751599917182</v>
      </c>
      <c r="N79" s="12">
        <f>'[3]Republic data'!$OC$240</f>
        <v>97.499129166170533</v>
      </c>
      <c r="O79" s="2" t="s">
        <v>41</v>
      </c>
      <c r="Q79" s="43"/>
    </row>
    <row r="80" spans="1:29" ht="16.5" customHeight="1" x14ac:dyDescent="0.2">
      <c r="A80" s="19" t="s">
        <v>28</v>
      </c>
      <c r="B80" s="12">
        <f>'[3]Chnages in rep.'!$NM$13</f>
        <v>125.09902602792579</v>
      </c>
      <c r="C80" s="12">
        <f>'[3]Chnages in rep.'!$NN$13</f>
        <v>125.18517194286531</v>
      </c>
      <c r="D80" s="12">
        <f>'[3]Chnages in rep.'!$NO$13</f>
        <v>125.65341804996341</v>
      </c>
      <c r="E80" s="12">
        <f>'[3]Chnages in rep.'!$NP$13</f>
        <v>125.84980679174986</v>
      </c>
      <c r="F80" s="12">
        <f>'[3]Chnages in rep.'!$NQ$13</f>
        <v>125.90682328025476</v>
      </c>
      <c r="G80" s="12">
        <f>'[3]Chnages in rep.'!$NR$13</f>
        <v>125.93132036583214</v>
      </c>
      <c r="H80" s="12">
        <f>'[3]Chnages in rep.'!$NS$13</f>
        <v>125.9726881863762</v>
      </c>
      <c r="I80" s="12">
        <f>'[3]Chnages in rep.'!$NT$13</f>
        <v>126.25559100462326</v>
      </c>
      <c r="J80" s="12">
        <f>'[3]Chnages in rep.'!$NU$13</f>
        <v>125.96565542244646</v>
      </c>
      <c r="K80" s="12">
        <f>'[3]Chnages in rep.'!$NV$13</f>
        <v>125.98799311372866</v>
      </c>
      <c r="L80" s="12">
        <f>'[3]Chnages in rep.'!$NW$13</f>
        <v>125.99723945717639</v>
      </c>
      <c r="M80" s="12">
        <f>'[3]Chnages in rep.'!$NX$13</f>
        <v>126.00200581469828</v>
      </c>
      <c r="N80" s="12">
        <f>'[3]Republic data'!$OC$292</f>
        <v>125.81722828813672</v>
      </c>
      <c r="O80" s="2" t="s">
        <v>29</v>
      </c>
      <c r="Q80" s="43"/>
    </row>
    <row r="81" spans="1:17" ht="16.5" customHeight="1" x14ac:dyDescent="0.2">
      <c r="A81" s="19" t="s">
        <v>30</v>
      </c>
      <c r="B81" s="12">
        <f>'[3]Chnages in rep.'!$NM$14</f>
        <v>102.24116952558717</v>
      </c>
      <c r="C81" s="12">
        <f>'[3]Chnages in rep.'!$NN$14</f>
        <v>101.93002143812276</v>
      </c>
      <c r="D81" s="12">
        <f>'[3]Chnages in rep.'!$NO$14</f>
        <v>101.77092765300445</v>
      </c>
      <c r="E81" s="12">
        <f>'[3]Chnages in rep.'!$NP$14</f>
        <v>101.7344083817882</v>
      </c>
      <c r="F81" s="12">
        <f>'[3]Chnages in rep.'!$NQ$14</f>
        <v>100.80740419660835</v>
      </c>
      <c r="G81" s="12">
        <f>'[3]Chnages in rep.'!$NR$14</f>
        <v>100.14041026213231</v>
      </c>
      <c r="H81" s="12">
        <f>'[3]Chnages in rep.'!$NS$14</f>
        <v>100.08885905537983</v>
      </c>
      <c r="I81" s="12">
        <f>'[3]Chnages in rep.'!$NT$14</f>
        <v>100.08885905537983</v>
      </c>
      <c r="J81" s="12">
        <f>'[3]Chnages in rep.'!$NU$14</f>
        <v>100.08885905537983</v>
      </c>
      <c r="K81" s="12">
        <f>'[3]Chnages in rep.'!$NV$14</f>
        <v>101.430093072776</v>
      </c>
      <c r="L81" s="12">
        <f>'[3]Chnages in rep.'!$NW$14</f>
        <v>102.92157333282107</v>
      </c>
      <c r="M81" s="12">
        <f>'[3]Chnages in rep.'!$NX$14</f>
        <v>102.92219730325488</v>
      </c>
      <c r="N81" s="12">
        <f>'[3]Republic data'!$OC$322</f>
        <v>101.34706519435288</v>
      </c>
      <c r="O81" s="2" t="s">
        <v>31</v>
      </c>
      <c r="Q81" s="43"/>
    </row>
    <row r="82" spans="1:17" ht="15.75" customHeight="1" x14ac:dyDescent="0.2">
      <c r="A82" s="19" t="s">
        <v>32</v>
      </c>
      <c r="B82" s="12">
        <f>'[3]Chnages in rep.'!$NM$15</f>
        <v>100.4034041194092</v>
      </c>
      <c r="C82" s="12">
        <f>'[3]Chnages in rep.'!$NN$15</f>
        <v>100.38388108461848</v>
      </c>
      <c r="D82" s="12">
        <f>'[3]Chnages in rep.'!$NO$15</f>
        <v>100.38291261131701</v>
      </c>
      <c r="E82" s="12">
        <f>'[3]Chnages in rep.'!$NP$15</f>
        <v>100.38291261131701</v>
      </c>
      <c r="F82" s="12">
        <f>'[3]Chnages in rep.'!$NQ$15</f>
        <v>100.03269726153447</v>
      </c>
      <c r="G82" s="12">
        <f>'[3]Chnages in rep.'!$NR$15</f>
        <v>99.692368066812946</v>
      </c>
      <c r="H82" s="12">
        <f>'[3]Chnages in rep.'!$NS$15</f>
        <v>99.692368066812946</v>
      </c>
      <c r="I82" s="12">
        <f>'[3]Chnages in rep.'!$NT$15</f>
        <v>99.692368066812946</v>
      </c>
      <c r="J82" s="12">
        <f>'[3]Chnages in rep.'!$NU$15</f>
        <v>99.091176579552197</v>
      </c>
      <c r="K82" s="12">
        <f>'[3]Chnages in rep.'!$NV$15</f>
        <v>99.25672955425857</v>
      </c>
      <c r="L82" s="12">
        <f>'[3]Chnages in rep.'!$NW$15</f>
        <v>99.25672955425857</v>
      </c>
      <c r="M82" s="12">
        <f>'[3]Chnages in rep.'!$NX$15</f>
        <v>99.25672955425857</v>
      </c>
      <c r="N82" s="12">
        <f>'[3]Republic data'!$OC$348</f>
        <v>99.79368976091358</v>
      </c>
      <c r="O82" s="2" t="s">
        <v>33</v>
      </c>
      <c r="Q82" s="43"/>
    </row>
    <row r="83" spans="1:17" ht="15.75" customHeight="1" x14ac:dyDescent="0.2">
      <c r="A83" s="20" t="s">
        <v>34</v>
      </c>
      <c r="B83" s="12">
        <f>'[3]Chnages in rep.'!$NM$16</f>
        <v>100.17454791868752</v>
      </c>
      <c r="C83" s="12">
        <f>'[3]Chnages in rep.'!$NN$16</f>
        <v>100.10298138036555</v>
      </c>
      <c r="D83" s="12">
        <f>'[3]Chnages in rep.'!$NO$16</f>
        <v>100.66577023360061</v>
      </c>
      <c r="E83" s="12">
        <f>'[3]Chnages in rep.'!$NP$16</f>
        <v>98.852364546817881</v>
      </c>
      <c r="F83" s="12">
        <f>'[3]Chnages in rep.'!$NQ$16</f>
        <v>99.056416361500752</v>
      </c>
      <c r="G83" s="12">
        <f>'[3]Chnages in rep.'!$NR$16</f>
        <v>99.151666512204997</v>
      </c>
      <c r="H83" s="12">
        <f>'[3]Chnages in rep.'!$NS$16</f>
        <v>102.32617647133503</v>
      </c>
      <c r="I83" s="12">
        <f>'[3]Chnages in rep.'!$NT$16</f>
        <v>102.35947261429955</v>
      </c>
      <c r="J83" s="12">
        <f>'[3]Chnages in rep.'!$NU$16</f>
        <v>101.43061341638303</v>
      </c>
      <c r="K83" s="12">
        <f>'[3]Chnages in rep.'!$NV$16</f>
        <v>101.42611891096485</v>
      </c>
      <c r="L83" s="12">
        <f>'[3]Chnages in rep.'!$NW$16</f>
        <v>101.41518607013697</v>
      </c>
      <c r="M83" s="12">
        <f>'[3]Chnages in rep.'!$NX$16</f>
        <v>101.40435871574891</v>
      </c>
      <c r="N83" s="12">
        <f>'[3]Republic data'!$OC$360</f>
        <v>100.69713942933714</v>
      </c>
      <c r="O83" s="21" t="s">
        <v>35</v>
      </c>
      <c r="Q83" s="43"/>
    </row>
    <row r="84" spans="1:17" ht="15.75" customHeight="1" x14ac:dyDescent="0.2">
      <c r="A84" s="17" t="s">
        <v>9</v>
      </c>
      <c r="B84" s="12">
        <f>'[3]Chnages in rep.'!$NM$17</f>
        <v>124.40362732378387</v>
      </c>
      <c r="C84" s="12">
        <f>'[3]Chnages in rep.'!$NN$17</f>
        <v>124.40362732378387</v>
      </c>
      <c r="D84" s="12">
        <f>'[3]Chnages in rep.'!$NO$17</f>
        <v>124.91587470599681</v>
      </c>
      <c r="E84" s="12">
        <f>'[3]Chnages in rep.'!$NP$17</f>
        <v>124.87911077240121</v>
      </c>
      <c r="F84" s="12">
        <f>'[3]Chnages in rep.'!$NQ$17</f>
        <v>124.87911077240121</v>
      </c>
      <c r="G84" s="12">
        <f>'[3]Chnages in rep.'!$NR$17</f>
        <v>124.87911077240121</v>
      </c>
      <c r="H84" s="12">
        <f>'[3]Chnages in rep.'!$NS$17</f>
        <v>124.87911077240121</v>
      </c>
      <c r="I84" s="12">
        <f>'[3]Chnages in rep.'!$NT$17</f>
        <v>124.87911077240121</v>
      </c>
      <c r="J84" s="12">
        <f>'[3]Chnages in rep.'!$NU$17</f>
        <v>124.87911077240121</v>
      </c>
      <c r="K84" s="12">
        <f>'[3]Chnages in rep.'!$NV$17</f>
        <v>124.87911077240121</v>
      </c>
      <c r="L84" s="12">
        <f>'[3]Chnages in rep.'!$NW$17</f>
        <v>124.87911077240121</v>
      </c>
      <c r="M84" s="12">
        <f>'[3]Chnages in rep.'!$NX$17</f>
        <v>124.87911077240121</v>
      </c>
      <c r="N84" s="12">
        <f>'[3]Republic data'!$OC$405</f>
        <v>124.80292719209795</v>
      </c>
      <c r="O84" s="21" t="s">
        <v>10</v>
      </c>
      <c r="Q84" s="43"/>
    </row>
    <row r="85" spans="1:17" ht="15.75" customHeight="1" x14ac:dyDescent="0.2">
      <c r="A85" s="17" t="s">
        <v>36</v>
      </c>
      <c r="B85" s="12">
        <f>'[3]Chnages in rep.'!$NM$18</f>
        <v>121.74055464674666</v>
      </c>
      <c r="C85" s="12">
        <f>'[3]Chnages in rep.'!$NN$18</f>
        <v>121.78393899786738</v>
      </c>
      <c r="D85" s="12">
        <f>'[3]Chnages in rep.'!$NO$18</f>
        <v>121.8113572438992</v>
      </c>
      <c r="E85" s="12">
        <f>'[3]Chnages in rep.'!$NP$18</f>
        <v>123.63127170654869</v>
      </c>
      <c r="F85" s="12">
        <f>'[3]Chnages in rep.'!$NQ$18</f>
        <v>123.63127170654869</v>
      </c>
      <c r="G85" s="12">
        <f>'[3]Chnages in rep.'!$NR$18</f>
        <v>123.7342028087177</v>
      </c>
      <c r="H85" s="12">
        <f>'[3]Chnages in rep.'!$NS$18</f>
        <v>121.81959238140819</v>
      </c>
      <c r="I85" s="12">
        <f>'[3]Chnages in rep.'!$NT$18</f>
        <v>121.81959283811511</v>
      </c>
      <c r="J85" s="12">
        <f>'[3]Chnages in rep.'!$NU$18</f>
        <v>121.8872993049861</v>
      </c>
      <c r="K85" s="12">
        <f>'[3]Chnages in rep.'!$NV$18</f>
        <v>125.31492371445513</v>
      </c>
      <c r="L85" s="12">
        <f>'[3]Chnages in rep.'!$NW$18</f>
        <v>125.2509877483465</v>
      </c>
      <c r="M85" s="12">
        <f>'[3]Chnages in rep.'!$NX$18</f>
        <v>125.3358326786649</v>
      </c>
      <c r="N85" s="12">
        <f>'[3]Republic data'!$OC$421</f>
        <v>123.14673548135868</v>
      </c>
      <c r="O85" s="21" t="s">
        <v>37</v>
      </c>
      <c r="Q85" s="43"/>
    </row>
    <row r="86" spans="1:17" ht="15.75" customHeight="1" x14ac:dyDescent="0.2">
      <c r="A86" s="20" t="s">
        <v>38</v>
      </c>
      <c r="B86" s="12">
        <f>'[3]Chnages in rep.'!$NM$19</f>
        <v>98.470368168556647</v>
      </c>
      <c r="C86" s="12">
        <f>'[3]Chnages in rep.'!$NN$19</f>
        <v>98.387001246684576</v>
      </c>
      <c r="D86" s="12">
        <f>'[3]Chnages in rep.'!$NO$19</f>
        <v>98.2925971777629</v>
      </c>
      <c r="E86" s="12">
        <f>'[3]Chnages in rep.'!$NP$19</f>
        <v>98.478314844662677</v>
      </c>
      <c r="F86" s="12">
        <f>'[3]Chnages in rep.'!$NQ$19</f>
        <v>98.461522758420188</v>
      </c>
      <c r="G86" s="12">
        <f>'[3]Chnages in rep.'!$NR$19</f>
        <v>98.444033239198149</v>
      </c>
      <c r="H86" s="12">
        <f>'[3]Chnages in rep.'!$NS$19</f>
        <v>98.54743449471178</v>
      </c>
      <c r="I86" s="12">
        <f>'[3]Chnages in rep.'!$NT$19</f>
        <v>98.926174459473131</v>
      </c>
      <c r="J86" s="12">
        <f>'[3]Chnages in rep.'!$NU$19</f>
        <v>98.532611348284675</v>
      </c>
      <c r="K86" s="12">
        <f>'[3]Chnages in rep.'!$NV$19</f>
        <v>98.506817339409096</v>
      </c>
      <c r="L86" s="12">
        <f>'[3]Chnages in rep.'!$NW$19</f>
        <v>98.115405771927044</v>
      </c>
      <c r="M86" s="12">
        <f>'[3]Chnages in rep.'!$NX$19</f>
        <v>98.467339124937325</v>
      </c>
      <c r="N86" s="12">
        <f>'[3]Republic data'!$OC$438</f>
        <v>98.469134997835681</v>
      </c>
      <c r="O86" s="21" t="s">
        <v>57</v>
      </c>
      <c r="Q86" s="43"/>
    </row>
    <row r="87" spans="1:17" ht="15.75" customHeight="1" x14ac:dyDescent="0.2">
      <c r="A87" s="22" t="s">
        <v>54</v>
      </c>
      <c r="B87" s="23">
        <f>'[3]Chnages in rep.'!$NM$3</f>
        <v>106.40071755950871</v>
      </c>
      <c r="C87" s="23">
        <f>'[3]Chnages in rep.'!$NN$3</f>
        <v>106.63038619744921</v>
      </c>
      <c r="D87" s="23">
        <f>'[3]Chnages in rep.'!$NO$3</f>
        <v>106.062411174174</v>
      </c>
      <c r="E87" s="23">
        <f>'[3]Chnages in rep.'!$NP$3</f>
        <v>105.86893022730047</v>
      </c>
      <c r="F87" s="23">
        <f>'[3]Chnages in rep.'!$NQ$3</f>
        <v>105.93595093311723</v>
      </c>
      <c r="G87" s="23">
        <f>'[3]Chnages in rep.'!$NR$3</f>
        <v>106.16673824347546</v>
      </c>
      <c r="H87" s="23">
        <f>'[3]Chnages in rep.'!$NS$3</f>
        <v>106.44633482430255</v>
      </c>
      <c r="I87" s="23">
        <f>'[3]Chnages in rep.'!$NT$3</f>
        <v>106.34650731154315</v>
      </c>
      <c r="J87" s="23">
        <f>'[3]Chnages in rep.'!$NU$3</f>
        <v>106.75036802647057</v>
      </c>
      <c r="K87" s="23">
        <f>'[3]Chnages in rep.'!$NV$3</f>
        <v>108.78521616648365</v>
      </c>
      <c r="L87" s="23">
        <f>'[3]Chnages in rep.'!$NW$3</f>
        <v>108.6699796816679</v>
      </c>
      <c r="M87" s="23">
        <f>'[3]Chnages in rep.'!$NX$3</f>
        <v>108.97152391399352</v>
      </c>
      <c r="N87" s="23">
        <f>'[3]Republic data'!$OC$3</f>
        <v>106.91958868829052</v>
      </c>
      <c r="O87" s="26" t="s">
        <v>11</v>
      </c>
      <c r="Q87" s="43"/>
    </row>
    <row r="88" spans="1:17" ht="15.75" customHeight="1" x14ac:dyDescent="0.2">
      <c r="A88" s="28" t="s">
        <v>55</v>
      </c>
      <c r="B88" s="44">
        <f>'[3]Chnages in rep.'!$NM$4</f>
        <v>106.69567188406033</v>
      </c>
      <c r="C88" s="44">
        <f>'[3]Chnages in rep.'!$NN$4</f>
        <v>106.32861637396752</v>
      </c>
      <c r="D88" s="44">
        <f>'[3]Chnages in rep.'!$NO$4</f>
        <v>106.22409698520447</v>
      </c>
      <c r="E88" s="44">
        <f>'[3]Chnages in rep.'!$NP$4</f>
        <v>106.05536508120319</v>
      </c>
      <c r="F88" s="44">
        <f>'[3]Chnages in rep.'!$NQ$4</f>
        <v>106.00271740670937</v>
      </c>
      <c r="G88" s="44">
        <f>'[3]Chnages in rep.'!$NR$4</f>
        <v>106.30705421586372</v>
      </c>
      <c r="H88" s="44">
        <f>'[3]Chnages in rep.'!$NS$4</f>
        <v>106.63732880279971</v>
      </c>
      <c r="I88" s="44">
        <f>'[3]Chnages in rep.'!$NT$4</f>
        <v>106.88931976180494</v>
      </c>
      <c r="J88" s="44">
        <f>'[3]Chnages in rep.'!$NU$4</f>
        <v>106.96097813269472</v>
      </c>
      <c r="K88" s="44">
        <f>'[3]Chnages in rep.'!$NV$4</f>
        <v>109.33424405019518</v>
      </c>
      <c r="L88" s="44">
        <f>'[3]Chnages in rep.'!$NW$4</f>
        <v>109.32782738869956</v>
      </c>
      <c r="M88" s="44">
        <f>'[3]Chnages in rep.'!$NX$4</f>
        <v>109.52007702501452</v>
      </c>
      <c r="N88" s="44">
        <f>'[3]Republic data'!$OC$484</f>
        <v>107.1902747590181</v>
      </c>
      <c r="O88" s="30" t="s">
        <v>42</v>
      </c>
      <c r="Q88" s="43"/>
    </row>
    <row r="89" spans="1:17" ht="15.75" customHeight="1" x14ac:dyDescent="0.2">
      <c r="A89" s="37" t="s">
        <v>62</v>
      </c>
      <c r="B89" s="37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Q89" s="43"/>
    </row>
    <row r="90" spans="1:17" ht="15.75" customHeight="1" x14ac:dyDescent="0.2">
      <c r="A90" s="33" t="s">
        <v>63</v>
      </c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Q90" s="43"/>
    </row>
    <row r="91" spans="1:17" ht="15.75" customHeight="1" x14ac:dyDescent="0.2">
      <c r="A91" s="33" t="s">
        <v>64</v>
      </c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Q91" s="43"/>
    </row>
    <row r="92" spans="1:17" ht="15.75" customHeight="1" x14ac:dyDescent="0.2">
      <c r="A92" s="33" t="s">
        <v>65</v>
      </c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Q92" s="43"/>
    </row>
    <row r="93" spans="1:17" ht="15.75" customHeight="1" x14ac:dyDescent="0.2">
      <c r="A93" s="33" t="s">
        <v>66</v>
      </c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Q93" s="43"/>
    </row>
    <row r="94" spans="1:17" ht="15.75" customHeight="1" x14ac:dyDescent="0.2">
      <c r="A94" s="33" t="s">
        <v>67</v>
      </c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Q94" s="43"/>
    </row>
    <row r="95" spans="1:17" ht="15.75" customHeight="1" x14ac:dyDescent="0.2">
      <c r="A95" s="33" t="s">
        <v>68</v>
      </c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Q95" s="43"/>
    </row>
    <row r="96" spans="1:17" ht="15.75" customHeight="1" x14ac:dyDescent="0.2">
      <c r="A96" s="45" t="s">
        <v>69</v>
      </c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Q96" s="43"/>
    </row>
    <row r="97" spans="17:17" ht="15.75" customHeight="1" x14ac:dyDescent="0.2">
      <c r="Q97" s="43"/>
    </row>
  </sheetData>
  <mergeCells count="9">
    <mergeCell ref="B68:N68"/>
    <mergeCell ref="B47:N47"/>
    <mergeCell ref="B26:N26"/>
    <mergeCell ref="B5:N5"/>
    <mergeCell ref="Q1:X1"/>
    <mergeCell ref="A2:O2"/>
    <mergeCell ref="A3:O3"/>
    <mergeCell ref="A4:O4"/>
    <mergeCell ref="A1:O1"/>
  </mergeCells>
  <pageMargins left="0.43" right="0.7" top="0.47" bottom="0.14000000000000001" header="0.3" footer="0.04"/>
  <pageSetup paperSize="9" scale="69" orientation="landscape" horizontalDpi="4294967295" verticalDpi="4294967295" r:id="rId1"/>
  <rowBreaks count="1" manualBreakCount="1">
    <brk id="46" max="14" man="1"/>
  </rowBreaks>
  <colBreaks count="1" manualBreakCount="1">
    <brk id="1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17.4</vt:lpstr>
      <vt:lpstr>'17.4'!Print_Area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Fathimath Shifaza</cp:lastModifiedBy>
  <cp:lastPrinted>2017-06-05T06:20:21Z</cp:lastPrinted>
  <dcterms:created xsi:type="dcterms:W3CDTF">2007-02-08T08:33:33Z</dcterms:created>
  <dcterms:modified xsi:type="dcterms:W3CDTF">2017-06-05T06:21:35Z</dcterms:modified>
</cp:coreProperties>
</file>