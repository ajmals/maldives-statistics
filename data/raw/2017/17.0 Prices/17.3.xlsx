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3" sheetId="34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'17.3'!$A$1:$R$51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Q30" i="34" l="1"/>
  <c r="Q31" i="34"/>
  <c r="Q32" i="34"/>
  <c r="Q34" i="34"/>
  <c r="Q35" i="34"/>
  <c r="Q36" i="34"/>
  <c r="Q37" i="34"/>
  <c r="Q38" i="34"/>
  <c r="Q39" i="34"/>
  <c r="Q40" i="34"/>
  <c r="Q41" i="34"/>
  <c r="Q28" i="34" l="1"/>
  <c r="Q42" i="34" l="1"/>
  <c r="Q29" i="34" l="1"/>
  <c r="Q33" i="34"/>
  <c r="Q43" i="34"/>
  <c r="Q27" i="34" l="1"/>
</calcChain>
</file>

<file path=xl/sharedStrings.xml><?xml version="1.0" encoding="utf-8"?>
<sst xmlns="http://schemas.openxmlformats.org/spreadsheetml/2006/main" count="208" uniqueCount="51">
  <si>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</si>
  <si>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</si>
  <si>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</si>
  <si>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</si>
  <si>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</si>
  <si>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</si>
  <si>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</si>
  <si>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</si>
  <si>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</si>
  <si>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</si>
  <si>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</si>
  <si>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</si>
  <si>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</si>
  <si>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</si>
  <si>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</si>
  <si>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</si>
  <si>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</si>
  <si>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</si>
  <si>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</si>
  <si>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</si>
  <si>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</si>
  <si>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</si>
  <si>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</si>
  <si>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</si>
  <si>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</si>
  <si>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</si>
  <si>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</si>
  <si>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</si>
  <si>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</si>
  <si>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</si>
  <si>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</si>
  <si>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</si>
  <si>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</si>
  <si>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</si>
  <si>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</si>
  <si>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</si>
  <si>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</si>
  <si>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</si>
  <si>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na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</si>
  <si>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</si>
  <si>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</si>
  <si>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</si>
  <si>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</si>
  <si>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</si>
  <si>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</si>
  <si>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Prior to June 1996, the Housing, Water. Electricity,Gas and other fuels category includes only rent </t>
  </si>
  <si>
    <t xml:space="preserve">Source:  National  Bureau of Statistics   </t>
  </si>
  <si>
    <t>Table 17.3 :  INFLATION RATES, REPUBLIC,  1985 - 2016</t>
  </si>
  <si>
    <t>2016 - 1985 ,cSwaejcaWr ,cTEr cnwxElcfcnia : 17.3 ulwvWt</t>
  </si>
  <si>
    <t xml:space="preserve"> (wtcawscnia) cTEr cnwxElcfcnia</t>
  </si>
  <si>
    <r>
      <t>Inflation rates</t>
    </r>
    <r>
      <rPr>
        <b/>
        <i/>
        <sz val="9"/>
        <rFont val="Calibri"/>
        <family val="2"/>
        <scheme val="minor"/>
      </rPr>
      <t xml:space="preserve"> (in percentage)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</si>
</sst>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Faruma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b/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48">
    <xf numFmtId="0" fontId="0" fillId="0" borderId="0" xfId="0"/>
    <xf numFmtId="167" fontId="12" fillId="0" borderId="0" xfId="9" applyFont="1" applyFill="1" applyBorder="1" applyAlignment="1" applyProtection="1">
      <alignment horizontal="left" vertical="center"/>
    </xf>
    <xf numFmtId="167" fontId="7" fillId="2" borderId="0" xfId="8" applyFont="1" applyFill="1" applyAlignment="1">
      <alignment horizontal="right" vertical="center"/>
    </xf>
    <xf numFmtId="0" fontId="0" fillId="2" borderId="0" xfId="0" applyFill="1"/>
    <xf numFmtId="0" fontId="8" fillId="2" borderId="0" xfId="5" applyFont="1" applyFill="1"/>
    <xf numFmtId="0" fontId="11" fillId="2" borderId="3" xfId="5" applyFont="1" applyFill="1" applyBorder="1" applyAlignment="1">
      <alignment vertical="center"/>
    </xf>
    <xf numFmtId="0" fontId="8" fillId="2" borderId="3" xfId="5" applyFont="1" applyFill="1" applyBorder="1"/>
    <xf numFmtId="167" fontId="6" fillId="2" borderId="3" xfId="8" applyFont="1" applyFill="1" applyBorder="1" applyAlignment="1">
      <alignment horizontal="right" vertical="center"/>
    </xf>
    <xf numFmtId="0" fontId="5" fillId="2" borderId="1" xfId="5" applyFont="1" applyFill="1" applyBorder="1" applyAlignment="1">
      <alignment horizontal="right"/>
    </xf>
    <xf numFmtId="0" fontId="11" fillId="2" borderId="2" xfId="5" applyNumberFormat="1" applyFont="1" applyFill="1" applyBorder="1" applyAlignment="1">
      <alignment horizontal="right" vertical="center"/>
    </xf>
    <xf numFmtId="167" fontId="13" fillId="2" borderId="0" xfId="7" applyFont="1" applyFill="1" applyAlignment="1">
      <alignment vertical="center" wrapText="1"/>
    </xf>
    <xf numFmtId="166" fontId="13" fillId="2" borderId="0" xfId="6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167" fontId="13" fillId="2" borderId="0" xfId="7" applyFont="1" applyFill="1" applyAlignment="1">
      <alignment vertical="center"/>
    </xf>
    <xf numFmtId="167" fontId="7" fillId="2" borderId="0" xfId="8" applyFont="1" applyFill="1" applyAlignment="1">
      <alignment horizontal="right" vertical="center" indent="1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6" fontId="14" fillId="2" borderId="0" xfId="6" applyNumberFormat="1" applyFont="1" applyFill="1" applyBorder="1" applyAlignment="1">
      <alignment horizontal="right" vertical="center"/>
    </xf>
    <xf numFmtId="167" fontId="6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4" fillId="2" borderId="2" xfId="7" applyFont="1" applyFill="1" applyBorder="1" applyAlignment="1">
      <alignment vertical="center"/>
    </xf>
    <xf numFmtId="166" fontId="14" fillId="2" borderId="2" xfId="7" applyNumberFormat="1" applyFont="1" applyFill="1" applyBorder="1" applyAlignment="1">
      <alignment horizontal="right" vertical="center"/>
    </xf>
    <xf numFmtId="167" fontId="6" fillId="2" borderId="2" xfId="9" applyFont="1" applyFill="1" applyBorder="1" applyAlignment="1">
      <alignment horizontal="right" vertical="center"/>
    </xf>
    <xf numFmtId="0" fontId="18" fillId="2" borderId="0" xfId="0" applyFont="1" applyFill="1"/>
    <xf numFmtId="0" fontId="5" fillId="2" borderId="0" xfId="0" applyFont="1" applyFill="1"/>
    <xf numFmtId="0" fontId="18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9" fillId="2" borderId="0" xfId="0" applyFont="1" applyFill="1"/>
    <xf numFmtId="0" fontId="19" fillId="2" borderId="0" xfId="5" applyFont="1" applyFill="1"/>
    <xf numFmtId="167" fontId="20" fillId="2" borderId="0" xfId="9" applyFont="1" applyFill="1" applyAlignment="1">
      <alignment horizontal="center" vertical="center"/>
    </xf>
    <xf numFmtId="167" fontId="11" fillId="2" borderId="0" xfId="9" applyFont="1" applyFill="1" applyBorder="1" applyAlignment="1" applyProtection="1">
      <alignment horizontal="center" vertical="center"/>
    </xf>
    <xf numFmtId="0" fontId="9" fillId="2" borderId="0" xfId="5" applyFont="1" applyFill="1" applyBorder="1" applyAlignment="1">
      <alignment horizontal="right" vertical="center"/>
    </xf>
    <xf numFmtId="167" fontId="11" fillId="2" borderId="0" xfId="9" applyFont="1" applyFill="1" applyBorder="1" applyAlignment="1" applyProtection="1">
      <alignment horizontal="center" vertical="center"/>
    </xf>
    <xf numFmtId="166" fontId="5" fillId="2" borderId="0" xfId="0" applyNumberFormat="1" applyFont="1" applyFill="1" applyAlignment="1">
      <alignment horizontal="left" vertical="center" indent="1"/>
    </xf>
    <xf numFmtId="166" fontId="14" fillId="2" borderId="2" xfId="6" applyNumberFormat="1" applyFont="1" applyFill="1" applyBorder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7" fontId="11" fillId="2" borderId="0" xfId="9" applyFont="1" applyFill="1" applyBorder="1" applyAlignment="1" applyProtection="1">
      <alignment horizontal="center" vertical="center"/>
    </xf>
    <xf numFmtId="0" fontId="16" fillId="2" borderId="3" xfId="5" applyFont="1" applyFill="1" applyBorder="1"/>
    <xf numFmtId="0" fontId="9" fillId="2" borderId="2" xfId="5" applyFont="1" applyFill="1" applyBorder="1" applyAlignment="1">
      <alignment horizontal="right" vertical="center"/>
    </xf>
    <xf numFmtId="167" fontId="20" fillId="2" borderId="0" xfId="9" applyFont="1" applyFill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167" fontId="21" fillId="2" borderId="0" xfId="9" applyFont="1" applyFill="1" applyAlignment="1">
      <alignment horizontal="center" vertical="center" wrapText="1"/>
    </xf>
    <xf numFmtId="167" fontId="15" fillId="2" borderId="2" xfId="9" applyFont="1" applyFill="1" applyBorder="1" applyAlignment="1" applyProtection="1">
      <alignment horizontal="center" vertical="center"/>
    </xf>
    <xf numFmtId="0" fontId="14" fillId="2" borderId="1" xfId="5" applyFont="1" applyFill="1" applyBorder="1" applyAlignment="1">
      <alignment horizontal="left" vertical="center"/>
    </xf>
    <xf numFmtId="0" fontId="14" fillId="2" borderId="2" xfId="5" applyFont="1" applyFill="1" applyBorder="1" applyAlignment="1">
      <alignment horizontal="left" vertical="center"/>
    </xf>
    <xf numFmtId="167" fontId="11" fillId="2" borderId="4" xfId="9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>
        <row r="3">
          <cell r="OC3">
            <v>106.91958868829052</v>
          </cell>
          <cell r="OF3">
            <v>0.50250941361158485</v>
          </cell>
        </row>
        <row r="4">
          <cell r="OF4">
            <v>0.57688102083264248</v>
          </cell>
        </row>
        <row r="38">
          <cell r="OF38">
            <v>-1.587337151600976</v>
          </cell>
        </row>
        <row r="156">
          <cell r="OF156">
            <v>4.0191140378448287</v>
          </cell>
        </row>
        <row r="167">
          <cell r="OF167">
            <v>-0.53676570684748626</v>
          </cell>
        </row>
        <row r="207">
          <cell r="OF207">
            <v>0.29920217667491755</v>
          </cell>
        </row>
        <row r="209">
          <cell r="OF209">
            <v>3.7607542756177725</v>
          </cell>
        </row>
        <row r="240">
          <cell r="OF240">
            <v>0.91069109507078139</v>
          </cell>
        </row>
        <row r="292">
          <cell r="OF292">
            <v>1.804490098291045</v>
          </cell>
        </row>
        <row r="322">
          <cell r="OF322">
            <v>-1.5370849537459153</v>
          </cell>
        </row>
        <row r="348">
          <cell r="OF348">
            <v>-0.75989147318363814</v>
          </cell>
        </row>
        <row r="360">
          <cell r="OF360">
            <v>-1.2350059655517276</v>
          </cell>
        </row>
        <row r="405">
          <cell r="OF405">
            <v>4.8696897695142072</v>
          </cell>
        </row>
        <row r="421">
          <cell r="OF421">
            <v>1.7231004678103012</v>
          </cell>
        </row>
        <row r="438">
          <cell r="OF438">
            <v>-0.2698829137845582</v>
          </cell>
        </row>
        <row r="484">
          <cell r="OF484">
            <v>0.69899081635618199</v>
          </cell>
        </row>
        <row r="485">
          <cell r="OF485">
            <v>1.513707865264502</v>
          </cell>
        </row>
      </sheetData>
      <sheetData sheetId="1">
        <row r="3">
          <cell r="NM3">
            <v>106.40071755950871</v>
          </cell>
        </row>
      </sheetData>
      <sheetData sheetId="2"/>
      <sheetData sheetId="3"/>
      <sheetData sheetId="4">
        <row r="3">
          <cell r="OC3">
            <v>108.23342334232696</v>
          </cell>
        </row>
      </sheetData>
      <sheetData sheetId="5">
        <row r="3">
          <cell r="NN3">
            <v>107.80747544854762</v>
          </cell>
        </row>
      </sheetData>
      <sheetData sheetId="6"/>
      <sheetData sheetId="7">
        <row r="3">
          <cell r="OF3">
            <v>0.24242056068641826</v>
          </cell>
        </row>
      </sheetData>
      <sheetData sheetId="8">
        <row r="3">
          <cell r="NN3">
            <v>105.1974803361735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59"/>
  <sheetViews>
    <sheetView tabSelected="1" zoomScaleNormal="100" workbookViewId="0">
      <selection activeCell="R26" sqref="R26"/>
    </sheetView>
  </sheetViews>
  <sheetFormatPr defaultColWidth="9.140625" defaultRowHeight="12.75" x14ac:dyDescent="0.2"/>
  <cols>
    <col min="1" max="1" width="36.7109375" style="3" customWidth="1"/>
    <col min="2" max="17" width="7.28515625" style="3" customWidth="1"/>
    <col min="18" max="18" width="35" style="3" bestFit="1" customWidth="1"/>
    <col min="19" max="16384" width="9.140625" style="3"/>
  </cols>
  <sheetData>
    <row r="1" spans="1:27" s="29" customFormat="1" ht="19.5" x14ac:dyDescent="0.2">
      <c r="A1" s="41" t="s">
        <v>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31"/>
      <c r="T1" s="41"/>
      <c r="U1" s="41"/>
      <c r="V1" s="41"/>
      <c r="W1" s="41"/>
      <c r="X1" s="41"/>
      <c r="Y1" s="41"/>
      <c r="Z1" s="41"/>
      <c r="AA1" s="41"/>
    </row>
    <row r="2" spans="1:27" s="29" customFormat="1" ht="12.75" customHeight="1" x14ac:dyDescent="0.25">
      <c r="A2" s="42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27" s="30" customFormat="1" ht="15" customHeight="1" x14ac:dyDescent="0.2">
      <c r="A3" s="43" t="s">
        <v>30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</row>
    <row r="4" spans="1:27" s="30" customFormat="1" x14ac:dyDescent="0.2">
      <c r="A4" s="44" t="s">
        <v>29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27" s="4" customFormat="1" ht="16.5" customHeight="1" x14ac:dyDescent="0.5">
      <c r="A5" s="45" t="s">
        <v>37</v>
      </c>
      <c r="B5" s="5" t="s">
        <v>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39"/>
      <c r="P5" s="7"/>
      <c r="Q5" s="7" t="s">
        <v>49</v>
      </c>
      <c r="R5" s="8"/>
    </row>
    <row r="6" spans="1:27" s="4" customFormat="1" ht="15.75" x14ac:dyDescent="0.2">
      <c r="A6" s="46"/>
      <c r="B6" s="9">
        <v>1985</v>
      </c>
      <c r="C6" s="9">
        <v>1986</v>
      </c>
      <c r="D6" s="9">
        <v>1987</v>
      </c>
      <c r="E6" s="9">
        <v>1988</v>
      </c>
      <c r="F6" s="9">
        <v>1989</v>
      </c>
      <c r="G6" s="9">
        <v>1990</v>
      </c>
      <c r="H6" s="9">
        <v>1991</v>
      </c>
      <c r="I6" s="9">
        <v>1992</v>
      </c>
      <c r="J6" s="9">
        <v>1993</v>
      </c>
      <c r="K6" s="9">
        <v>1994</v>
      </c>
      <c r="L6" s="9">
        <v>1995</v>
      </c>
      <c r="M6" s="9">
        <v>1996</v>
      </c>
      <c r="N6" s="9">
        <v>1997</v>
      </c>
      <c r="O6" s="9">
        <v>1998</v>
      </c>
      <c r="P6" s="9">
        <v>1999</v>
      </c>
      <c r="Q6" s="9">
        <v>2000</v>
      </c>
      <c r="R6" s="33" t="s">
        <v>6</v>
      </c>
    </row>
    <row r="7" spans="1:27" s="12" customFormat="1" ht="15" x14ac:dyDescent="0.2">
      <c r="A7" s="10" t="s">
        <v>25</v>
      </c>
      <c r="B7" s="11"/>
      <c r="C7" s="11">
        <v>10.294326392989994</v>
      </c>
      <c r="D7" s="11">
        <v>13.084393549750883</v>
      </c>
      <c r="E7" s="11">
        <v>1.9508179231662703</v>
      </c>
      <c r="F7" s="11">
        <v>2.8347811581561633</v>
      </c>
      <c r="G7" s="11">
        <v>6.5139575153940532</v>
      </c>
      <c r="H7" s="11">
        <v>13.355515886250524</v>
      </c>
      <c r="I7" s="11">
        <v>14.610491817526716</v>
      </c>
      <c r="J7" s="11">
        <v>19.51261468546679</v>
      </c>
      <c r="K7" s="11">
        <v>4.8645182405227194</v>
      </c>
      <c r="L7" s="11">
        <v>2.2789332145523034</v>
      </c>
      <c r="M7" s="11">
        <v>17.683769391764837</v>
      </c>
      <c r="N7" s="11">
        <v>19.487942702459058</v>
      </c>
      <c r="O7" s="11">
        <v>-4.7361381030903482</v>
      </c>
      <c r="P7" s="11">
        <v>4.2068436318072999</v>
      </c>
      <c r="Q7" s="11">
        <v>-4.8025202463151668</v>
      </c>
      <c r="R7" s="2" t="s">
        <v>27</v>
      </c>
    </row>
    <row r="8" spans="1:27" s="12" customFormat="1" ht="15" x14ac:dyDescent="0.2">
      <c r="A8" s="10" t="s">
        <v>26</v>
      </c>
      <c r="B8" s="11"/>
      <c r="C8" s="11" t="s">
        <v>38</v>
      </c>
      <c r="D8" s="11" t="s">
        <v>38</v>
      </c>
      <c r="E8" s="11" t="s">
        <v>38</v>
      </c>
      <c r="F8" s="11" t="s">
        <v>38</v>
      </c>
      <c r="G8" s="11" t="s">
        <v>38</v>
      </c>
      <c r="H8" s="11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11" t="s">
        <v>38</v>
      </c>
      <c r="N8" s="11">
        <v>3.525346129302398</v>
      </c>
      <c r="O8" s="11">
        <v>3.9022485823394293</v>
      </c>
      <c r="P8" s="11">
        <v>5.0694260957611759</v>
      </c>
      <c r="Q8" s="11">
        <v>-10.488527005730408</v>
      </c>
      <c r="R8" s="2" t="s">
        <v>28</v>
      </c>
    </row>
    <row r="9" spans="1:27" s="12" customFormat="1" ht="15" x14ac:dyDescent="0.2">
      <c r="A9" s="13" t="s">
        <v>0</v>
      </c>
      <c r="B9" s="11"/>
      <c r="C9" s="11" t="s">
        <v>38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11" t="s">
        <v>38</v>
      </c>
      <c r="N9" s="11">
        <v>95.277928863905714</v>
      </c>
      <c r="O9" s="11">
        <v>-26.48096972795312</v>
      </c>
      <c r="P9" s="11">
        <v>1.1381805419862223</v>
      </c>
      <c r="Q9" s="11">
        <v>16.211888726152111</v>
      </c>
      <c r="R9" s="2" t="s">
        <v>1</v>
      </c>
    </row>
    <row r="10" spans="1:27" s="12" customFormat="1" ht="15" x14ac:dyDescent="0.2">
      <c r="A10" s="13" t="s">
        <v>22</v>
      </c>
      <c r="B10" s="11"/>
      <c r="C10" s="11" t="s">
        <v>38</v>
      </c>
      <c r="D10" s="11" t="s">
        <v>38</v>
      </c>
      <c r="E10" s="11" t="s">
        <v>38</v>
      </c>
      <c r="F10" s="11" t="s">
        <v>38</v>
      </c>
      <c r="G10" s="11" t="s">
        <v>38</v>
      </c>
      <c r="H10" s="11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11" t="s">
        <v>38</v>
      </c>
      <c r="N10" s="11" t="s">
        <v>38</v>
      </c>
      <c r="O10" s="11" t="s">
        <v>38</v>
      </c>
      <c r="P10" s="11" t="s">
        <v>38</v>
      </c>
      <c r="Q10" s="11" t="s">
        <v>38</v>
      </c>
      <c r="R10" s="2" t="s">
        <v>7</v>
      </c>
    </row>
    <row r="11" spans="1:27" s="12" customFormat="1" ht="15" x14ac:dyDescent="0.2">
      <c r="A11" s="13" t="s">
        <v>2</v>
      </c>
      <c r="B11" s="11"/>
      <c r="C11" s="11">
        <v>16.750354829860537</v>
      </c>
      <c r="D11" s="11">
        <v>3.5040403730832503</v>
      </c>
      <c r="E11" s="11">
        <v>10.005231106329649</v>
      </c>
      <c r="F11" s="11">
        <v>9.4855276616361941</v>
      </c>
      <c r="G11" s="11">
        <v>-17.45201842230346</v>
      </c>
      <c r="H11" s="11">
        <v>0.84383996823189644</v>
      </c>
      <c r="I11" s="11">
        <v>12.21401850758026</v>
      </c>
      <c r="J11" s="11">
        <v>28.450612789177686</v>
      </c>
      <c r="K11" s="11">
        <v>-0.77518320959995002</v>
      </c>
      <c r="L11" s="11">
        <v>-19.23844660728793</v>
      </c>
      <c r="M11" s="11">
        <v>-0.77813384243002881</v>
      </c>
      <c r="N11" s="11">
        <v>4.2111634823719823</v>
      </c>
      <c r="O11" s="11">
        <v>7.7049747043593131</v>
      </c>
      <c r="P11" s="11">
        <v>-2.9808233729433309</v>
      </c>
      <c r="Q11" s="11">
        <v>-2.8564108420813805</v>
      </c>
      <c r="R11" s="2" t="s">
        <v>8</v>
      </c>
    </row>
    <row r="12" spans="1:27" s="12" customFormat="1" ht="15" x14ac:dyDescent="0.2">
      <c r="A12" s="13" t="s">
        <v>31</v>
      </c>
      <c r="B12" s="11"/>
      <c r="C12" s="11">
        <v>-3.4800463304201279</v>
      </c>
      <c r="D12" s="11">
        <v>15.147548137238864</v>
      </c>
      <c r="E12" s="11">
        <v>57.891994315490301</v>
      </c>
      <c r="F12" s="11">
        <v>25.006750472533046</v>
      </c>
      <c r="G12" s="11">
        <v>23.203571257140144</v>
      </c>
      <c r="H12" s="11">
        <v>20.773756184984627</v>
      </c>
      <c r="I12" s="11">
        <v>45.970837768960294</v>
      </c>
      <c r="J12" s="11">
        <v>28.176001944772857</v>
      </c>
      <c r="K12" s="11">
        <v>3.4500594837842069</v>
      </c>
      <c r="L12" s="11">
        <v>0.76333333333333808</v>
      </c>
      <c r="M12" s="11">
        <v>-0.54335240993749201</v>
      </c>
      <c r="N12" s="11">
        <v>-1.7060888810262576</v>
      </c>
      <c r="O12" s="11">
        <v>-0.92047423581387289</v>
      </c>
      <c r="P12" s="11">
        <v>6.1522952352015103</v>
      </c>
      <c r="Q12" s="11">
        <v>2.8638835775561811</v>
      </c>
      <c r="R12" s="2" t="s">
        <v>9</v>
      </c>
    </row>
    <row r="13" spans="1:27" s="12" customFormat="1" ht="15" x14ac:dyDescent="0.2">
      <c r="A13" s="13" t="s">
        <v>32</v>
      </c>
      <c r="B13" s="11"/>
      <c r="C13" s="11" t="s">
        <v>38</v>
      </c>
      <c r="D13" s="11" t="s">
        <v>38</v>
      </c>
      <c r="E13" s="11" t="s">
        <v>38</v>
      </c>
      <c r="F13" s="11" t="s">
        <v>38</v>
      </c>
      <c r="G13" s="11" t="s">
        <v>38</v>
      </c>
      <c r="H13" s="11" t="s">
        <v>38</v>
      </c>
      <c r="I13" s="11" t="s">
        <v>38</v>
      </c>
      <c r="J13" s="11" t="s">
        <v>38</v>
      </c>
      <c r="K13" s="11" t="s">
        <v>38</v>
      </c>
      <c r="L13" s="11" t="s">
        <v>38</v>
      </c>
      <c r="M13" s="11" t="s">
        <v>38</v>
      </c>
      <c r="N13" s="11" t="s">
        <v>38</v>
      </c>
      <c r="O13" s="11" t="s">
        <v>38</v>
      </c>
      <c r="P13" s="11" t="s">
        <v>38</v>
      </c>
      <c r="Q13" s="11" t="s">
        <v>38</v>
      </c>
      <c r="R13" s="14" t="s">
        <v>35</v>
      </c>
    </row>
    <row r="14" spans="1:27" s="12" customFormat="1" ht="25.5" x14ac:dyDescent="0.2">
      <c r="A14" s="10" t="s">
        <v>21</v>
      </c>
      <c r="B14" s="11"/>
      <c r="C14" s="11">
        <v>10.214026538589604</v>
      </c>
      <c r="D14" s="11">
        <v>3.0281824543546332</v>
      </c>
      <c r="E14" s="11">
        <v>10.691571472676742</v>
      </c>
      <c r="F14" s="11">
        <v>24.43449641592057</v>
      </c>
      <c r="G14" s="11">
        <v>-1.5690317953086064</v>
      </c>
      <c r="H14" s="11">
        <v>11.659284730208253</v>
      </c>
      <c r="I14" s="11">
        <v>21.625011471748913</v>
      </c>
      <c r="J14" s="11">
        <v>13.323104783942853</v>
      </c>
      <c r="K14" s="11">
        <v>-1.0283727296267475</v>
      </c>
      <c r="L14" s="11">
        <v>-5.302186507194917</v>
      </c>
      <c r="M14" s="11">
        <v>2.9838493235029517</v>
      </c>
      <c r="N14" s="11">
        <v>-3.2532776503976679</v>
      </c>
      <c r="O14" s="11">
        <v>4.9495353537627906</v>
      </c>
      <c r="P14" s="11">
        <v>4.1211224934067481</v>
      </c>
      <c r="Q14" s="11">
        <v>-0.17557110839790946</v>
      </c>
      <c r="R14" s="2" t="s">
        <v>23</v>
      </c>
    </row>
    <row r="15" spans="1:27" s="12" customFormat="1" ht="15" x14ac:dyDescent="0.2">
      <c r="A15" s="15" t="s">
        <v>10</v>
      </c>
      <c r="B15" s="11"/>
      <c r="C15" s="11">
        <v>13.883149872988998</v>
      </c>
      <c r="D15" s="11">
        <v>2.2632643349988157</v>
      </c>
      <c r="E15" s="11">
        <v>23.670205031263649</v>
      </c>
      <c r="F15" s="11">
        <v>-11.461762769259732</v>
      </c>
      <c r="G15" s="11">
        <v>16.127490039840641</v>
      </c>
      <c r="H15" s="11">
        <v>34.394583962307323</v>
      </c>
      <c r="I15" s="11">
        <v>23.357726344452011</v>
      </c>
      <c r="J15" s="11">
        <v>40.756018486583436</v>
      </c>
      <c r="K15" s="11">
        <v>3.757828810020869</v>
      </c>
      <c r="L15" s="11">
        <v>16.155146843502322</v>
      </c>
      <c r="M15" s="11">
        <v>7.6852386490245284</v>
      </c>
      <c r="N15" s="11">
        <v>-1.0965540024450493</v>
      </c>
      <c r="O15" s="11">
        <v>-2.5617213591290211</v>
      </c>
      <c r="P15" s="11">
        <v>-5.5649148496746399</v>
      </c>
      <c r="Q15" s="11">
        <v>6.9701712669708149</v>
      </c>
      <c r="R15" s="2" t="s">
        <v>11</v>
      </c>
    </row>
    <row r="16" spans="1:27" s="12" customFormat="1" ht="15" x14ac:dyDescent="0.2">
      <c r="A16" s="15" t="s">
        <v>12</v>
      </c>
      <c r="B16" s="11"/>
      <c r="C16" s="11">
        <v>0.68690593673712552</v>
      </c>
      <c r="D16" s="11">
        <v>2.2684773216749665</v>
      </c>
      <c r="E16" s="11">
        <v>2.2433795712484494</v>
      </c>
      <c r="F16" s="11">
        <v>3.1130132340063454</v>
      </c>
      <c r="G16" s="11">
        <v>-1.4843964929488251</v>
      </c>
      <c r="H16" s="11">
        <v>40.668026517083142</v>
      </c>
      <c r="I16" s="11">
        <v>1.673614887318009</v>
      </c>
      <c r="J16" s="11">
        <v>2.7674963496213678</v>
      </c>
      <c r="K16" s="11">
        <v>0.58815754692045363</v>
      </c>
      <c r="L16" s="11">
        <v>0.3802312594441748</v>
      </c>
      <c r="M16" s="11">
        <v>18.607390923742773</v>
      </c>
      <c r="N16" s="11">
        <v>0.61650241052308985</v>
      </c>
      <c r="O16" s="11">
        <v>-1.4787038847622669</v>
      </c>
      <c r="P16" s="11">
        <v>-0.73455960115158536</v>
      </c>
      <c r="Q16" s="11">
        <v>3.3470158580086506</v>
      </c>
      <c r="R16" s="2" t="s">
        <v>13</v>
      </c>
    </row>
    <row r="17" spans="1:18" s="12" customFormat="1" ht="15" x14ac:dyDescent="0.2">
      <c r="A17" s="15" t="s">
        <v>14</v>
      </c>
      <c r="B17" s="11"/>
      <c r="C17" s="11" t="s">
        <v>38</v>
      </c>
      <c r="D17" s="11" t="s">
        <v>38</v>
      </c>
      <c r="E17" s="11" t="s">
        <v>38</v>
      </c>
      <c r="F17" s="11" t="s">
        <v>38</v>
      </c>
      <c r="G17" s="11" t="s">
        <v>38</v>
      </c>
      <c r="H17" s="11" t="s">
        <v>38</v>
      </c>
      <c r="I17" s="11" t="s">
        <v>38</v>
      </c>
      <c r="J17" s="11" t="s">
        <v>38</v>
      </c>
      <c r="K17" s="11" t="s">
        <v>38</v>
      </c>
      <c r="L17" s="11" t="s">
        <v>38</v>
      </c>
      <c r="M17" s="11" t="s">
        <v>38</v>
      </c>
      <c r="N17" s="11" t="s">
        <v>38</v>
      </c>
      <c r="O17" s="11" t="s">
        <v>38</v>
      </c>
      <c r="P17" s="11" t="s">
        <v>38</v>
      </c>
      <c r="Q17" s="11" t="s">
        <v>38</v>
      </c>
      <c r="R17" s="2" t="s">
        <v>15</v>
      </c>
    </row>
    <row r="18" spans="1:18" s="12" customFormat="1" ht="15" x14ac:dyDescent="0.2">
      <c r="A18" s="16" t="s">
        <v>16</v>
      </c>
      <c r="B18" s="11"/>
      <c r="C18" s="11">
        <v>-6.9005969016600055E-3</v>
      </c>
      <c r="D18" s="11">
        <v>3.2003726579483249</v>
      </c>
      <c r="E18" s="11">
        <v>7.1752177474630807</v>
      </c>
      <c r="F18" s="11">
        <v>3.177400988940704</v>
      </c>
      <c r="G18" s="11">
        <v>-1.0461705923260567</v>
      </c>
      <c r="H18" s="11">
        <v>35.238488098511908</v>
      </c>
      <c r="I18" s="11">
        <v>-1.1489058846123168</v>
      </c>
      <c r="J18" s="11">
        <v>18.643002445658354</v>
      </c>
      <c r="K18" s="11">
        <v>6.7755141357222382</v>
      </c>
      <c r="L18" s="11">
        <v>2.1091755451109195</v>
      </c>
      <c r="M18" s="11">
        <v>3.9271294406601376</v>
      </c>
      <c r="N18" s="11">
        <v>2.9615303410190918E-2</v>
      </c>
      <c r="O18" s="11">
        <v>-0.44340031814228409</v>
      </c>
      <c r="P18" s="11">
        <v>3.1117750371837616</v>
      </c>
      <c r="Q18" s="11">
        <v>8.750153753667167E-2</v>
      </c>
      <c r="R18" s="17" t="s">
        <v>17</v>
      </c>
    </row>
    <row r="19" spans="1:18" s="12" customFormat="1" ht="15" x14ac:dyDescent="0.2">
      <c r="A19" s="13" t="s">
        <v>3</v>
      </c>
      <c r="B19" s="11"/>
      <c r="C19" s="11" t="s">
        <v>38</v>
      </c>
      <c r="D19" s="11" t="s">
        <v>38</v>
      </c>
      <c r="E19" s="11" t="s">
        <v>38</v>
      </c>
      <c r="F19" s="11" t="s">
        <v>38</v>
      </c>
      <c r="G19" s="11" t="s">
        <v>38</v>
      </c>
      <c r="H19" s="11" t="s">
        <v>38</v>
      </c>
      <c r="I19" s="11" t="s">
        <v>38</v>
      </c>
      <c r="J19" s="11" t="s">
        <v>38</v>
      </c>
      <c r="K19" s="11" t="s">
        <v>38</v>
      </c>
      <c r="L19" s="11" t="s">
        <v>38</v>
      </c>
      <c r="M19" s="11" t="s">
        <v>38</v>
      </c>
      <c r="N19" s="11">
        <v>3.7106603367113022</v>
      </c>
      <c r="O19" s="11">
        <v>-0.80111444503186968</v>
      </c>
      <c r="P19" s="11">
        <v>7.5087992403904735</v>
      </c>
      <c r="Q19" s="11">
        <v>1.5556176127648369</v>
      </c>
      <c r="R19" s="17" t="s">
        <v>4</v>
      </c>
    </row>
    <row r="20" spans="1:18" s="12" customFormat="1" ht="15" x14ac:dyDescent="0.2">
      <c r="A20" s="13" t="s">
        <v>18</v>
      </c>
      <c r="B20" s="11"/>
      <c r="C20" s="11" t="s">
        <v>38</v>
      </c>
      <c r="D20" s="11" t="s">
        <v>38</v>
      </c>
      <c r="E20" s="11" t="s">
        <v>38</v>
      </c>
      <c r="F20" s="11" t="s">
        <v>38</v>
      </c>
      <c r="G20" s="11" t="s">
        <v>38</v>
      </c>
      <c r="H20" s="11" t="s">
        <v>38</v>
      </c>
      <c r="I20" s="11" t="s">
        <v>38</v>
      </c>
      <c r="J20" s="11" t="s">
        <v>38</v>
      </c>
      <c r="K20" s="11" t="s">
        <v>38</v>
      </c>
      <c r="L20" s="11" t="s">
        <v>38</v>
      </c>
      <c r="M20" s="11" t="s">
        <v>38</v>
      </c>
      <c r="N20" s="11" t="s">
        <v>38</v>
      </c>
      <c r="O20" s="11" t="s">
        <v>38</v>
      </c>
      <c r="P20" s="11" t="s">
        <v>38</v>
      </c>
      <c r="Q20" s="11" t="s">
        <v>38</v>
      </c>
      <c r="R20" s="17" t="s">
        <v>19</v>
      </c>
    </row>
    <row r="21" spans="1:18" s="12" customFormat="1" ht="15" x14ac:dyDescent="0.2">
      <c r="A21" s="16" t="s">
        <v>20</v>
      </c>
      <c r="B21" s="11"/>
      <c r="C21" s="11" t="s">
        <v>38</v>
      </c>
      <c r="D21" s="11" t="s">
        <v>38</v>
      </c>
      <c r="E21" s="11" t="s">
        <v>38</v>
      </c>
      <c r="F21" s="11" t="s">
        <v>38</v>
      </c>
      <c r="G21" s="11" t="s">
        <v>38</v>
      </c>
      <c r="H21" s="11" t="s">
        <v>38</v>
      </c>
      <c r="I21" s="11" t="s">
        <v>38</v>
      </c>
      <c r="J21" s="11" t="s">
        <v>38</v>
      </c>
      <c r="K21" s="11" t="s">
        <v>38</v>
      </c>
      <c r="L21" s="11" t="s">
        <v>38</v>
      </c>
      <c r="M21" s="11" t="s">
        <v>38</v>
      </c>
      <c r="N21" s="11">
        <v>1.5945953647144684</v>
      </c>
      <c r="O21" s="11">
        <v>-1.2494277688276934</v>
      </c>
      <c r="P21" s="11">
        <v>-1.2054207849115817</v>
      </c>
      <c r="Q21" s="11">
        <v>-1.9383325819744002E-3</v>
      </c>
      <c r="R21" s="17" t="s">
        <v>36</v>
      </c>
    </row>
    <row r="22" spans="1:18" s="21" customFormat="1" ht="15" x14ac:dyDescent="0.2">
      <c r="A22" s="18" t="s">
        <v>33</v>
      </c>
      <c r="B22" s="19"/>
      <c r="C22" s="19">
        <v>9.7221932767854966</v>
      </c>
      <c r="D22" s="19">
        <v>9.7040723294332221</v>
      </c>
      <c r="E22" s="19">
        <v>6.4563602680194787</v>
      </c>
      <c r="F22" s="19">
        <v>7.1658588947077329</v>
      </c>
      <c r="G22" s="19">
        <v>3.6499119771747468</v>
      </c>
      <c r="H22" s="19">
        <v>14.713677028273553</v>
      </c>
      <c r="I22" s="19">
        <v>16.855997753554753</v>
      </c>
      <c r="J22" s="19">
        <v>20.127359314924888</v>
      </c>
      <c r="K22" s="19">
        <v>3.3861009829149413</v>
      </c>
      <c r="L22" s="19">
        <v>5.488861331715067</v>
      </c>
      <c r="M22" s="19">
        <v>6.2412459147601851</v>
      </c>
      <c r="N22" s="19">
        <v>7.5728346707260252</v>
      </c>
      <c r="O22" s="19">
        <v>-1.4042523381680105</v>
      </c>
      <c r="P22" s="19">
        <v>2.9537083606913761</v>
      </c>
      <c r="Q22" s="19">
        <v>-1.1747568117595253</v>
      </c>
      <c r="R22" s="20" t="s">
        <v>5</v>
      </c>
    </row>
    <row r="23" spans="1:18" s="37" customFormat="1" ht="15" x14ac:dyDescent="0.2">
      <c r="A23" s="22" t="s">
        <v>34</v>
      </c>
      <c r="B23" s="23"/>
      <c r="C23" s="19">
        <v>5.4159045379322146</v>
      </c>
      <c r="D23" s="19">
        <v>7.4974386092474532</v>
      </c>
      <c r="E23" s="19">
        <v>9.8015403298949977</v>
      </c>
      <c r="F23" s="19">
        <v>10.080221764878839</v>
      </c>
      <c r="G23" s="19">
        <v>-2.472433133656371</v>
      </c>
      <c r="H23" s="19">
        <v>12.309116753387306</v>
      </c>
      <c r="I23" s="19">
        <v>18.96844011983001</v>
      </c>
      <c r="J23" s="19">
        <v>16.34816217376871</v>
      </c>
      <c r="K23" s="19">
        <v>2.6642507214281297</v>
      </c>
      <c r="L23" s="19">
        <v>-0.16260295463458307</v>
      </c>
      <c r="M23" s="19">
        <v>3.2761795637762381</v>
      </c>
      <c r="N23" s="19">
        <v>1.9835370729223145</v>
      </c>
      <c r="O23" s="19">
        <v>1.9483991002530399</v>
      </c>
      <c r="P23" s="36">
        <v>3.1287769208774519</v>
      </c>
      <c r="Q23" s="36">
        <v>-2.8187121690851136</v>
      </c>
      <c r="R23" s="24" t="s">
        <v>24</v>
      </c>
    </row>
    <row r="24" spans="1:18" s="4" customFormat="1" x14ac:dyDescent="0.2">
      <c r="A24" s="32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34"/>
      <c r="Q24" s="38"/>
      <c r="R24" s="32"/>
    </row>
    <row r="25" spans="1:18" s="4" customFormat="1" ht="15" x14ac:dyDescent="0.2">
      <c r="A25" s="45" t="s">
        <v>37</v>
      </c>
      <c r="B25" s="5" t="s">
        <v>50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 t="s">
        <v>49</v>
      </c>
      <c r="R25" s="8"/>
    </row>
    <row r="26" spans="1:18" s="4" customFormat="1" ht="15.75" x14ac:dyDescent="0.2">
      <c r="A26" s="46"/>
      <c r="B26" s="9">
        <v>2001</v>
      </c>
      <c r="C26" s="9">
        <v>2002</v>
      </c>
      <c r="D26" s="9">
        <v>2003</v>
      </c>
      <c r="E26" s="9">
        <v>2004</v>
      </c>
      <c r="F26" s="9">
        <v>2005</v>
      </c>
      <c r="G26" s="9">
        <v>2006</v>
      </c>
      <c r="H26" s="9">
        <v>2007</v>
      </c>
      <c r="I26" s="9">
        <v>2008</v>
      </c>
      <c r="J26" s="9">
        <v>2009</v>
      </c>
      <c r="K26" s="9">
        <v>2010</v>
      </c>
      <c r="L26" s="9">
        <v>2011</v>
      </c>
      <c r="M26" s="9">
        <v>2012</v>
      </c>
      <c r="N26" s="9">
        <v>2013</v>
      </c>
      <c r="O26" s="9">
        <v>2014</v>
      </c>
      <c r="P26" s="9">
        <v>2015</v>
      </c>
      <c r="Q26" s="9">
        <v>2016</v>
      </c>
      <c r="R26" s="40" t="s">
        <v>6</v>
      </c>
    </row>
    <row r="27" spans="1:18" s="12" customFormat="1" ht="15" x14ac:dyDescent="0.2">
      <c r="A27" s="10" t="s">
        <v>25</v>
      </c>
      <c r="B27" s="11">
        <v>2.0702899914630146</v>
      </c>
      <c r="C27" s="11">
        <v>3.5870473783747414</v>
      </c>
      <c r="D27" s="11">
        <v>-6.0781576269677391</v>
      </c>
      <c r="E27" s="11">
        <v>15.961085756113302</v>
      </c>
      <c r="F27" s="11">
        <v>7.7614884988357336</v>
      </c>
      <c r="G27" s="11">
        <v>4.0040603928979568</v>
      </c>
      <c r="H27" s="11">
        <v>16.175476195736561</v>
      </c>
      <c r="I27" s="11">
        <v>19.06997559778134</v>
      </c>
      <c r="J27" s="11">
        <v>0.51800124800001068</v>
      </c>
      <c r="K27" s="11">
        <v>7.4773586354862198</v>
      </c>
      <c r="L27" s="11">
        <v>19.930030687092536</v>
      </c>
      <c r="M27" s="11">
        <v>17.634692979256638</v>
      </c>
      <c r="N27" s="11">
        <v>7.1645196795428578</v>
      </c>
      <c r="O27" s="11">
        <v>0.72068033332113313</v>
      </c>
      <c r="P27" s="11">
        <v>0.48</v>
      </c>
      <c r="Q27" s="11">
        <f>'[3]Republic data'!$OF$4</f>
        <v>0.57688102083264248</v>
      </c>
      <c r="R27" s="2" t="s">
        <v>27</v>
      </c>
    </row>
    <row r="28" spans="1:18" s="12" customFormat="1" ht="15" x14ac:dyDescent="0.2">
      <c r="A28" s="10" t="s">
        <v>26</v>
      </c>
      <c r="B28" s="11">
        <v>10.222830821171481</v>
      </c>
      <c r="C28" s="11">
        <v>5.8670673964565045</v>
      </c>
      <c r="D28" s="11">
        <v>-5.6792479363186104</v>
      </c>
      <c r="E28" s="11">
        <v>9.5299146267019186</v>
      </c>
      <c r="F28" s="11">
        <v>6.872086661977872</v>
      </c>
      <c r="G28" s="11">
        <v>5.9692759239071469</v>
      </c>
      <c r="H28" s="11">
        <v>10.375688007298667</v>
      </c>
      <c r="I28" s="11">
        <v>21.326781498906744</v>
      </c>
      <c r="J28" s="11">
        <v>2.9263641937929075</v>
      </c>
      <c r="K28" s="11">
        <v>7.4281734816285638</v>
      </c>
      <c r="L28" s="11">
        <v>12.576874371432133</v>
      </c>
      <c r="M28" s="11">
        <v>5.5197534722386976</v>
      </c>
      <c r="N28" s="11">
        <v>5.4399952276129371</v>
      </c>
      <c r="O28" s="11">
        <v>0.29212997274166153</v>
      </c>
      <c r="P28" s="11">
        <v>0.9</v>
      </c>
      <c r="Q28" s="11">
        <f>'[3]Republic data'!$OF$485</f>
        <v>1.513707865264502</v>
      </c>
      <c r="R28" s="2" t="s">
        <v>28</v>
      </c>
    </row>
    <row r="29" spans="1:18" s="12" customFormat="1" ht="15" x14ac:dyDescent="0.2">
      <c r="A29" s="13" t="s">
        <v>0</v>
      </c>
      <c r="B29" s="11">
        <v>-21.137347669710195</v>
      </c>
      <c r="C29" s="11">
        <v>-5.4844043548732735</v>
      </c>
      <c r="D29" s="11">
        <v>-7.8559053378839057</v>
      </c>
      <c r="E29" s="11">
        <v>42.021194048251886</v>
      </c>
      <c r="F29" s="11">
        <v>10.071770397341018</v>
      </c>
      <c r="G29" s="11">
        <v>-5.9187164013414284</v>
      </c>
      <c r="H29" s="11">
        <v>49.160127749023744</v>
      </c>
      <c r="I29" s="11">
        <v>9.5723585772459643</v>
      </c>
      <c r="J29" s="11">
        <v>-10.704716695281002</v>
      </c>
      <c r="K29" s="11">
        <v>7.7415436979054508</v>
      </c>
      <c r="L29" s="11">
        <v>59.310693397590896</v>
      </c>
      <c r="M29" s="11">
        <v>63.483884571050076</v>
      </c>
      <c r="N29" s="11">
        <v>11.377696665183112</v>
      </c>
      <c r="O29" s="11">
        <v>1.7111116202107146</v>
      </c>
      <c r="P29" s="11">
        <v>-0.47</v>
      </c>
      <c r="Q29" s="11">
        <f>'[3]Republic data'!$OF$38</f>
        <v>-1.587337151600976</v>
      </c>
      <c r="R29" s="2" t="s">
        <v>1</v>
      </c>
    </row>
    <row r="30" spans="1:18" s="12" customFormat="1" ht="15" x14ac:dyDescent="0.2">
      <c r="A30" s="13" t="s">
        <v>22</v>
      </c>
      <c r="B30" s="11" t="s">
        <v>38</v>
      </c>
      <c r="C30" s="11" t="s">
        <v>38</v>
      </c>
      <c r="D30" s="11" t="s">
        <v>38</v>
      </c>
      <c r="E30" s="11" t="s">
        <v>38</v>
      </c>
      <c r="F30" s="11">
        <v>2.9764661920507418</v>
      </c>
      <c r="G30" s="11">
        <v>4.5357872960675838</v>
      </c>
      <c r="H30" s="11">
        <v>1.2140926379113903</v>
      </c>
      <c r="I30" s="11">
        <v>3.4172918173254407</v>
      </c>
      <c r="J30" s="11">
        <v>-1.8047971191563317</v>
      </c>
      <c r="K30" s="11">
        <v>-0.33098719728800186</v>
      </c>
      <c r="L30" s="11">
        <v>27.237456728340014</v>
      </c>
      <c r="M30" s="11">
        <v>57.463099963913479</v>
      </c>
      <c r="N30" s="11">
        <v>-3.1981081203778738</v>
      </c>
      <c r="O30" s="11">
        <v>2.2235966575230304</v>
      </c>
      <c r="P30" s="11">
        <v>17.25</v>
      </c>
      <c r="Q30" s="11">
        <f>'[3]Republic data'!$OF$156</f>
        <v>4.0191140378448287</v>
      </c>
      <c r="R30" s="2" t="s">
        <v>7</v>
      </c>
    </row>
    <row r="31" spans="1:18" s="12" customFormat="1" ht="15" x14ac:dyDescent="0.2">
      <c r="A31" s="13" t="s">
        <v>2</v>
      </c>
      <c r="B31" s="11">
        <v>-1.0185891369580813</v>
      </c>
      <c r="C31" s="11">
        <v>-3.8493111846027994</v>
      </c>
      <c r="D31" s="11">
        <v>-0.20801379702115597</v>
      </c>
      <c r="E31" s="11">
        <v>-3.5183325833350154</v>
      </c>
      <c r="F31" s="11">
        <v>4.2882736377095831</v>
      </c>
      <c r="G31" s="11">
        <v>0.58454283304287813</v>
      </c>
      <c r="H31" s="11">
        <v>-1.4382618148192972</v>
      </c>
      <c r="I31" s="11">
        <v>2.5995208096581068</v>
      </c>
      <c r="J31" s="11">
        <v>3.2144481051176621</v>
      </c>
      <c r="K31" s="11">
        <v>2.964536511071425</v>
      </c>
      <c r="L31" s="11">
        <v>12.886329227564453</v>
      </c>
      <c r="M31" s="11">
        <v>20.123944147898555</v>
      </c>
      <c r="N31" s="11">
        <v>3.2196569918212292</v>
      </c>
      <c r="O31" s="11">
        <v>0.92529643456067401</v>
      </c>
      <c r="P31" s="11">
        <v>-0.9</v>
      </c>
      <c r="Q31" s="11">
        <f>'[3]Republic data'!$OF$167</f>
        <v>-0.53676570684748626</v>
      </c>
      <c r="R31" s="2" t="s">
        <v>8</v>
      </c>
    </row>
    <row r="32" spans="1:18" s="12" customFormat="1" ht="15" x14ac:dyDescent="0.2">
      <c r="A32" s="13" t="s">
        <v>31</v>
      </c>
      <c r="B32" s="11">
        <v>1.6825881718925739</v>
      </c>
      <c r="C32" s="11">
        <v>-1.4090786045192538</v>
      </c>
      <c r="D32" s="11">
        <v>-0.90242278795625852</v>
      </c>
      <c r="E32" s="11">
        <v>-1.8940885520424056</v>
      </c>
      <c r="F32" s="11">
        <v>1.95750620624211</v>
      </c>
      <c r="G32" s="11">
        <v>2.7129749867123021</v>
      </c>
      <c r="H32" s="11">
        <v>3.7957338156620946</v>
      </c>
      <c r="I32" s="11">
        <v>11.038058741487667</v>
      </c>
      <c r="J32" s="11">
        <v>7.8226503445376405</v>
      </c>
      <c r="K32" s="11">
        <v>7.5863764884965379</v>
      </c>
      <c r="L32" s="11">
        <v>2.9105461966824064</v>
      </c>
      <c r="M32" s="11">
        <v>3.5902994022661616</v>
      </c>
      <c r="N32" s="11">
        <v>3.5671075601708901</v>
      </c>
      <c r="O32" s="11">
        <v>3.0654951817847831</v>
      </c>
      <c r="P32" s="11">
        <v>1.03</v>
      </c>
      <c r="Q32" s="11">
        <f>'[3]Republic data'!$OF$207</f>
        <v>0.29920217667491755</v>
      </c>
      <c r="R32" s="2" t="s">
        <v>9</v>
      </c>
    </row>
    <row r="33" spans="1:21" s="12" customFormat="1" ht="15" x14ac:dyDescent="0.2">
      <c r="A33" s="13" t="s">
        <v>32</v>
      </c>
      <c r="B33" s="11" t="s">
        <v>38</v>
      </c>
      <c r="C33" s="11" t="s">
        <v>38</v>
      </c>
      <c r="D33" s="11" t="s">
        <v>38</v>
      </c>
      <c r="E33" s="11" t="s">
        <v>38</v>
      </c>
      <c r="F33" s="11">
        <v>1.0784663410912776</v>
      </c>
      <c r="G33" s="11">
        <v>4.9387162775366811</v>
      </c>
      <c r="H33" s="11">
        <v>4.1709002118446969</v>
      </c>
      <c r="I33" s="11">
        <v>11.147917494810278</v>
      </c>
      <c r="J33" s="11">
        <v>14.293661831909432</v>
      </c>
      <c r="K33" s="11">
        <v>6.4176111999628915</v>
      </c>
      <c r="L33" s="11">
        <v>4.4629098215598351</v>
      </c>
      <c r="M33" s="11">
        <v>5.2226910121369263</v>
      </c>
      <c r="N33" s="11">
        <v>4.0162307161919708</v>
      </c>
      <c r="O33" s="11">
        <v>4.2826344966235608</v>
      </c>
      <c r="P33" s="11">
        <v>3.52</v>
      </c>
      <c r="Q33" s="11">
        <f>'[3]Republic data'!$OF$209</f>
        <v>3.7607542756177725</v>
      </c>
      <c r="R33" s="14" t="s">
        <v>35</v>
      </c>
    </row>
    <row r="34" spans="1:21" s="12" customFormat="1" ht="25.5" x14ac:dyDescent="0.2">
      <c r="A34" s="10" t="s">
        <v>21</v>
      </c>
      <c r="B34" s="11">
        <v>-3.7580322648567144</v>
      </c>
      <c r="C34" s="11">
        <v>-1.5622894735577431</v>
      </c>
      <c r="D34" s="11">
        <v>-1.8661866507738933</v>
      </c>
      <c r="E34" s="11">
        <v>-0.84274779777748776</v>
      </c>
      <c r="F34" s="11">
        <v>4.1168394760109139</v>
      </c>
      <c r="G34" s="11">
        <v>3.213890232395622</v>
      </c>
      <c r="H34" s="11">
        <v>5.1106173917798703</v>
      </c>
      <c r="I34" s="11">
        <v>3.6136421496361759</v>
      </c>
      <c r="J34" s="11">
        <v>10.935347848409126</v>
      </c>
      <c r="K34" s="11">
        <v>5.9837247199728161</v>
      </c>
      <c r="L34" s="11">
        <v>4.1996929206882916</v>
      </c>
      <c r="M34" s="11">
        <v>17.763223772182023</v>
      </c>
      <c r="N34" s="11">
        <v>-1.6475850992391683</v>
      </c>
      <c r="O34" s="11">
        <v>-1.0295939784691344</v>
      </c>
      <c r="P34" s="11">
        <v>0.61</v>
      </c>
      <c r="Q34" s="11">
        <f>'[3]Republic data'!$OF$240</f>
        <v>0.91069109507078139</v>
      </c>
      <c r="R34" s="2" t="s">
        <v>23</v>
      </c>
    </row>
    <row r="35" spans="1:21" s="12" customFormat="1" ht="15" x14ac:dyDescent="0.2">
      <c r="A35" s="15" t="s">
        <v>10</v>
      </c>
      <c r="B35" s="11">
        <v>0.45346310086766817</v>
      </c>
      <c r="C35" s="11">
        <v>0.29854101126873811</v>
      </c>
      <c r="D35" s="11">
        <v>-1.8495015601820874</v>
      </c>
      <c r="E35" s="11">
        <v>0.11892223660947554</v>
      </c>
      <c r="F35" s="11">
        <v>0.25400572602429783</v>
      </c>
      <c r="G35" s="11">
        <v>12.186454979558036</v>
      </c>
      <c r="H35" s="11">
        <v>9.171221740296609</v>
      </c>
      <c r="I35" s="11">
        <v>20.167056356000312</v>
      </c>
      <c r="J35" s="11">
        <v>2.2516739135324482</v>
      </c>
      <c r="K35" s="11">
        <v>4.6580366770973214</v>
      </c>
      <c r="L35" s="11">
        <v>10.564831357913839</v>
      </c>
      <c r="M35" s="11">
        <v>-24.238470313532279</v>
      </c>
      <c r="N35" s="11">
        <v>7.4144631248009185</v>
      </c>
      <c r="O35" s="11">
        <v>9.2425596877241603</v>
      </c>
      <c r="P35" s="11">
        <v>2.14</v>
      </c>
      <c r="Q35" s="11">
        <f>'[3]Republic data'!$OF$292</f>
        <v>1.804490098291045</v>
      </c>
      <c r="R35" s="2" t="s">
        <v>11</v>
      </c>
    </row>
    <row r="36" spans="1:21" s="12" customFormat="1" ht="15" x14ac:dyDescent="0.2">
      <c r="A36" s="15" t="s">
        <v>12</v>
      </c>
      <c r="B36" s="11">
        <v>0.22446487332323795</v>
      </c>
      <c r="C36" s="11">
        <v>1.0084242384439612</v>
      </c>
      <c r="D36" s="11">
        <v>-2.2183691127794058</v>
      </c>
      <c r="E36" s="11">
        <v>2.7011355036151707</v>
      </c>
      <c r="F36" s="11">
        <v>11.882084849923547</v>
      </c>
      <c r="G36" s="11">
        <v>4.9437220813252525</v>
      </c>
      <c r="H36" s="11">
        <v>4.7476501851773767</v>
      </c>
      <c r="I36" s="11">
        <v>21.13127469360645</v>
      </c>
      <c r="J36" s="11">
        <v>0.9830680740005926</v>
      </c>
      <c r="K36" s="11">
        <v>3.3243849280613746</v>
      </c>
      <c r="L36" s="11">
        <v>13.742810077858314</v>
      </c>
      <c r="M36" s="11">
        <v>9.0675817332974695</v>
      </c>
      <c r="N36" s="11">
        <v>2.2257660038646376</v>
      </c>
      <c r="O36" s="11">
        <v>3.1318632168250593</v>
      </c>
      <c r="P36" s="11">
        <v>-2.33</v>
      </c>
      <c r="Q36" s="11">
        <f>'[3]Republic data'!$OF$322</f>
        <v>-1.5370849537459153</v>
      </c>
      <c r="R36" s="2" t="s">
        <v>13</v>
      </c>
    </row>
    <row r="37" spans="1:21" s="12" customFormat="1" ht="15" x14ac:dyDescent="0.2">
      <c r="A37" s="15" t="s">
        <v>14</v>
      </c>
      <c r="B37" s="11" t="s">
        <v>38</v>
      </c>
      <c r="C37" s="11" t="s">
        <v>38</v>
      </c>
      <c r="D37" s="11" t="s">
        <v>38</v>
      </c>
      <c r="E37" s="11" t="s">
        <v>38</v>
      </c>
      <c r="F37" s="11">
        <v>-13.856448908822571</v>
      </c>
      <c r="G37" s="11">
        <v>-9.6310805041280538</v>
      </c>
      <c r="H37" s="11">
        <v>-9.204562818398788</v>
      </c>
      <c r="I37" s="11">
        <v>-3.6454104361621664</v>
      </c>
      <c r="J37" s="11">
        <v>-0.74859490096600423</v>
      </c>
      <c r="K37" s="11">
        <v>0.22824001348027423</v>
      </c>
      <c r="L37" s="11">
        <v>0.23566525609173272</v>
      </c>
      <c r="M37" s="11">
        <v>-0.61048717612200987</v>
      </c>
      <c r="N37" s="11">
        <v>-0.95441631143169392</v>
      </c>
      <c r="O37" s="11">
        <v>1.2488439540729646</v>
      </c>
      <c r="P37" s="11">
        <v>0.27</v>
      </c>
      <c r="Q37" s="11">
        <f>'[3]Republic data'!$OF$348</f>
        <v>-0.75989147318363814</v>
      </c>
      <c r="R37" s="2" t="s">
        <v>15</v>
      </c>
    </row>
    <row r="38" spans="1:21" s="12" customFormat="1" ht="15" x14ac:dyDescent="0.2">
      <c r="A38" s="16" t="s">
        <v>16</v>
      </c>
      <c r="B38" s="11">
        <v>-2.4129614884588202</v>
      </c>
      <c r="C38" s="11">
        <v>1.8502463038881922</v>
      </c>
      <c r="D38" s="11">
        <v>-3.2619736435057778E-2</v>
      </c>
      <c r="E38" s="11">
        <v>-2.7964444244027886</v>
      </c>
      <c r="F38" s="11">
        <v>-8.1938596097578262</v>
      </c>
      <c r="G38" s="11">
        <v>-2.8362343286717828</v>
      </c>
      <c r="H38" s="11">
        <v>1.8437242398265274</v>
      </c>
      <c r="I38" s="11">
        <v>-6.7757277534156728</v>
      </c>
      <c r="J38" s="11">
        <v>5.0068671011621158</v>
      </c>
      <c r="K38" s="11">
        <v>5.7426544875852192</v>
      </c>
      <c r="L38" s="11">
        <v>-2.1257419297341262</v>
      </c>
      <c r="M38" s="11">
        <v>1.6741499290480188</v>
      </c>
      <c r="N38" s="11">
        <v>-0.70700876663770673</v>
      </c>
      <c r="O38" s="11">
        <v>3.4122543312117948</v>
      </c>
      <c r="P38" s="11">
        <v>-0.24</v>
      </c>
      <c r="Q38" s="11">
        <f>'[3]Republic data'!$OF$360</f>
        <v>-1.2350059655517276</v>
      </c>
      <c r="R38" s="17" t="s">
        <v>17</v>
      </c>
    </row>
    <row r="39" spans="1:21" s="12" customFormat="1" ht="15" x14ac:dyDescent="0.2">
      <c r="A39" s="13" t="s">
        <v>3</v>
      </c>
      <c r="B39" s="11">
        <v>0.46302924184178362</v>
      </c>
      <c r="C39" s="11">
        <v>0.42449656800627178</v>
      </c>
      <c r="D39" s="11">
        <v>2.4324674143695768</v>
      </c>
      <c r="E39" s="11">
        <v>0.90506650393464838</v>
      </c>
      <c r="F39" s="11">
        <v>1.7943584277365865</v>
      </c>
      <c r="G39" s="11">
        <v>4.7867563932744384</v>
      </c>
      <c r="H39" s="11">
        <v>2.2989329656564639</v>
      </c>
      <c r="I39" s="11">
        <v>1.8313574510049113</v>
      </c>
      <c r="J39" s="11">
        <v>35.093040743102691</v>
      </c>
      <c r="K39" s="11">
        <v>9.4434460037209114</v>
      </c>
      <c r="L39" s="11">
        <v>18.335674258768186</v>
      </c>
      <c r="M39" s="11">
        <v>16.928808630538718</v>
      </c>
      <c r="N39" s="11">
        <v>5.4673982564548584</v>
      </c>
      <c r="O39" s="11">
        <v>4.5554867154903089</v>
      </c>
      <c r="P39" s="11">
        <v>7.63</v>
      </c>
      <c r="Q39" s="11">
        <f>'[3]Republic data'!$OF$405</f>
        <v>4.8696897695142072</v>
      </c>
      <c r="R39" s="17" t="s">
        <v>4</v>
      </c>
    </row>
    <row r="40" spans="1:21" s="12" customFormat="1" ht="15" x14ac:dyDescent="0.2">
      <c r="A40" s="13" t="s">
        <v>18</v>
      </c>
      <c r="B40" s="11" t="s">
        <v>38</v>
      </c>
      <c r="C40" s="11" t="s">
        <v>38</v>
      </c>
      <c r="D40" s="11" t="s">
        <v>38</v>
      </c>
      <c r="E40" s="11" t="s">
        <v>38</v>
      </c>
      <c r="F40" s="11">
        <v>-3.3140830676386179</v>
      </c>
      <c r="G40" s="11">
        <v>6.4277088560314333</v>
      </c>
      <c r="H40" s="11">
        <v>16.735195226800649</v>
      </c>
      <c r="I40" s="11">
        <v>15.631370480092976</v>
      </c>
      <c r="J40" s="11">
        <v>2.5709274386180203</v>
      </c>
      <c r="K40" s="11">
        <v>3.2289501598796955</v>
      </c>
      <c r="L40" s="11">
        <v>15.615446813799583</v>
      </c>
      <c r="M40" s="11">
        <v>27.663520524615027</v>
      </c>
      <c r="N40" s="11">
        <v>11.937344418790063</v>
      </c>
      <c r="O40" s="11">
        <v>4.6577487676434881</v>
      </c>
      <c r="P40" s="11">
        <v>-0.22</v>
      </c>
      <c r="Q40" s="11">
        <f>'[3]Republic data'!$OF$421</f>
        <v>1.7231004678103012</v>
      </c>
      <c r="R40" s="17" t="s">
        <v>19</v>
      </c>
    </row>
    <row r="41" spans="1:21" s="12" customFormat="1" ht="15" x14ac:dyDescent="0.2">
      <c r="A41" s="16" t="s">
        <v>20</v>
      </c>
      <c r="B41" s="11">
        <v>0.49152072150913106</v>
      </c>
      <c r="C41" s="11">
        <v>-1.1874482216004734</v>
      </c>
      <c r="D41" s="11">
        <v>-0.4184686725497655</v>
      </c>
      <c r="E41" s="11">
        <v>3.4393372793048327</v>
      </c>
      <c r="F41" s="11">
        <v>0.46498900973657165</v>
      </c>
      <c r="G41" s="11">
        <v>0.59564964401652709</v>
      </c>
      <c r="H41" s="11">
        <v>2.3210172421548769</v>
      </c>
      <c r="I41" s="11">
        <v>6.3155814469713745</v>
      </c>
      <c r="J41" s="11">
        <v>7.1009516149332708</v>
      </c>
      <c r="K41" s="11">
        <v>4.9251410881160362</v>
      </c>
      <c r="L41" s="11">
        <v>7.4159799576327012</v>
      </c>
      <c r="M41" s="11">
        <v>15.997512018815229</v>
      </c>
      <c r="N41" s="11">
        <v>-1.5743493056381008</v>
      </c>
      <c r="O41" s="11">
        <v>-0.12468994353691532</v>
      </c>
      <c r="P41" s="11">
        <v>-0.16</v>
      </c>
      <c r="Q41" s="11">
        <f>'[3]Republic data'!$OF$438</f>
        <v>-0.2698829137845582</v>
      </c>
      <c r="R41" s="17" t="s">
        <v>36</v>
      </c>
    </row>
    <row r="42" spans="1:21" s="21" customFormat="1" ht="15" x14ac:dyDescent="0.2">
      <c r="A42" s="18" t="s">
        <v>33</v>
      </c>
      <c r="B42" s="19">
        <v>0.67257737006249929</v>
      </c>
      <c r="C42" s="19">
        <v>4.178672399047878</v>
      </c>
      <c r="D42" s="19">
        <v>-1.2606511345035321</v>
      </c>
      <c r="E42" s="19">
        <v>-1.6854121245946319</v>
      </c>
      <c r="F42" s="19">
        <v>1.3002750093099813</v>
      </c>
      <c r="G42" s="19">
        <v>2.7384213160209558</v>
      </c>
      <c r="H42" s="19">
        <v>6.7947735393016462</v>
      </c>
      <c r="I42" s="19">
        <v>12.041458350510826</v>
      </c>
      <c r="J42" s="19">
        <v>4.5301765913279723</v>
      </c>
      <c r="K42" s="19">
        <v>6.1498853675017617</v>
      </c>
      <c r="L42" s="19">
        <v>11.273414605593723</v>
      </c>
      <c r="M42" s="19">
        <v>10.884695658563071</v>
      </c>
      <c r="N42" s="19">
        <v>3.8056300091942941</v>
      </c>
      <c r="O42" s="19">
        <v>2.1200017571813001</v>
      </c>
      <c r="P42" s="19">
        <v>0.95</v>
      </c>
      <c r="Q42" s="19">
        <f>'[3]Republic data'!$OF$3</f>
        <v>0.50250941361158485</v>
      </c>
      <c r="R42" s="20" t="s">
        <v>5</v>
      </c>
    </row>
    <row r="43" spans="1:21" s="37" customFormat="1" ht="15" x14ac:dyDescent="0.2">
      <c r="A43" s="22" t="s">
        <v>34</v>
      </c>
      <c r="B43" s="36">
        <v>3.1385985500386626</v>
      </c>
      <c r="C43" s="36">
        <v>1.4815717109034843</v>
      </c>
      <c r="D43" s="36">
        <v>-2.4689046110127344</v>
      </c>
      <c r="E43" s="36">
        <v>2.4491138988479433</v>
      </c>
      <c r="F43" s="36">
        <v>1.9958483190067433</v>
      </c>
      <c r="G43" s="36">
        <v>3.1636206483085294</v>
      </c>
      <c r="H43" s="36">
        <v>4.8971688380553768</v>
      </c>
      <c r="I43" s="36">
        <v>12.198719890881261</v>
      </c>
      <c r="J43" s="36">
        <v>5.4778013745765852</v>
      </c>
      <c r="K43" s="36">
        <v>6.0660718068332953</v>
      </c>
      <c r="L43" s="36">
        <v>8.7038439608470028</v>
      </c>
      <c r="M43" s="36">
        <v>9.2302595645133998</v>
      </c>
      <c r="N43" s="36">
        <v>2.9288314724869702</v>
      </c>
      <c r="O43" s="36">
        <v>2.159216812546938</v>
      </c>
      <c r="P43" s="36">
        <v>1.0900000000000001</v>
      </c>
      <c r="Q43" s="36">
        <f>'[3]Republic data'!$OF$484</f>
        <v>0.69899081635618199</v>
      </c>
      <c r="R43" s="24" t="s">
        <v>24</v>
      </c>
    </row>
    <row r="44" spans="1:21" s="26" customFormat="1" ht="12" x14ac:dyDescent="0.2">
      <c r="A44" s="25" t="s">
        <v>39</v>
      </c>
      <c r="B44" s="25"/>
    </row>
    <row r="45" spans="1:21" s="28" customFormat="1" ht="14.25" customHeight="1" x14ac:dyDescent="0.2">
      <c r="A45" s="27" t="s">
        <v>40</v>
      </c>
    </row>
    <row r="46" spans="1:21" s="28" customFormat="1" ht="14.25" customHeight="1" x14ac:dyDescent="0.2">
      <c r="A46" s="27" t="s">
        <v>41</v>
      </c>
      <c r="U46" s="35"/>
    </row>
    <row r="47" spans="1:21" s="28" customFormat="1" ht="14.25" customHeight="1" x14ac:dyDescent="0.2">
      <c r="A47" s="27" t="s">
        <v>42</v>
      </c>
      <c r="U47" s="35"/>
    </row>
    <row r="48" spans="1:21" s="28" customFormat="1" ht="14.25" customHeight="1" x14ac:dyDescent="0.2">
      <c r="A48" s="27" t="s">
        <v>43</v>
      </c>
      <c r="U48" s="35"/>
    </row>
    <row r="49" spans="1:21" s="28" customFormat="1" ht="14.25" customHeight="1" x14ac:dyDescent="0.2">
      <c r="A49" s="27" t="s">
        <v>45</v>
      </c>
      <c r="U49" s="35"/>
    </row>
    <row r="50" spans="1:21" s="28" customFormat="1" ht="14.25" customHeight="1" x14ac:dyDescent="0.2">
      <c r="A50" s="27" t="s">
        <v>44</v>
      </c>
      <c r="U50" s="35"/>
    </row>
    <row r="51" spans="1:21" s="26" customFormat="1" ht="12" x14ac:dyDescent="0.2">
      <c r="A51" s="1" t="s">
        <v>46</v>
      </c>
      <c r="U51" s="35"/>
    </row>
    <row r="52" spans="1:21" x14ac:dyDescent="0.2">
      <c r="U52" s="35"/>
    </row>
    <row r="53" spans="1:21" x14ac:dyDescent="0.2">
      <c r="U53" s="35"/>
    </row>
    <row r="54" spans="1:21" x14ac:dyDescent="0.2">
      <c r="U54" s="35"/>
    </row>
    <row r="55" spans="1:21" x14ac:dyDescent="0.2">
      <c r="U55" s="35"/>
    </row>
    <row r="56" spans="1:21" x14ac:dyDescent="0.2">
      <c r="U56" s="35"/>
    </row>
    <row r="57" spans="1:21" x14ac:dyDescent="0.2">
      <c r="U57" s="35"/>
    </row>
    <row r="58" spans="1:21" x14ac:dyDescent="0.2">
      <c r="U58" s="35"/>
    </row>
    <row r="59" spans="1:21" x14ac:dyDescent="0.2">
      <c r="U59" s="35"/>
    </row>
  </sheetData>
  <mergeCells count="8">
    <mergeCell ref="A25:A26"/>
    <mergeCell ref="B24:O24"/>
    <mergeCell ref="A1:R1"/>
    <mergeCell ref="T1:AA1"/>
    <mergeCell ref="A2:R2"/>
    <mergeCell ref="A3:R3"/>
    <mergeCell ref="A4:R4"/>
    <mergeCell ref="A5:A6"/>
  </mergeCells>
  <pageMargins left="0.21" right="0.23" top="0.44" bottom="0.19" header="0.3" footer="7.0000000000000007E-2"/>
  <pageSetup paperSize="9" scale="72" orientation="landscape" horizontalDpi="4294967295" verticalDpi="4294967295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2017-06-05T06:17:15Z</cp:lastPrinted>
  <dcterms:created xsi:type="dcterms:W3CDTF">2007-02-08T08:33:33Z</dcterms:created>
  <dcterms:modified xsi:type="dcterms:W3CDTF">2017-06-05T06:19:24Z</dcterms:modified>
</cp:coreProperties>
</file>