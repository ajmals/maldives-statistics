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0" windowWidth="20550" windowHeight="12255" tabRatio="914"/>
  </bookViews>
  <sheets>
    <sheet name="17.5" sheetId="10" r:id="rId1"/>
  </sheets>
  <externalReferences>
    <externalReference r:id="rId2"/>
    <externalReference r:id="rId3"/>
    <externalReference r:id="rId4"/>
    <externalReference r:id="rId5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'17.5'!$A$1:$X$91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AB23" i="10" l="1"/>
  <c r="AC26" i="10"/>
  <c r="AB26" i="10"/>
  <c r="AC25" i="10"/>
  <c r="AB25" i="10"/>
  <c r="W43" i="10" l="1"/>
  <c r="W42" i="10"/>
  <c r="W41" i="10"/>
  <c r="W40" i="10"/>
  <c r="W39" i="10"/>
  <c r="W38" i="10"/>
  <c r="W37" i="10"/>
  <c r="W36" i="10"/>
  <c r="W35" i="10"/>
  <c r="W34" i="10"/>
  <c r="W33" i="10"/>
  <c r="W32" i="10"/>
  <c r="W31" i="10"/>
  <c r="W44" i="10"/>
  <c r="W29" i="10"/>
  <c r="W45" i="10"/>
  <c r="W30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44" i="10"/>
  <c r="AI11" i="10" s="1"/>
  <c r="M45" i="10"/>
  <c r="M30" i="10"/>
  <c r="M29" i="10"/>
  <c r="W23" i="10"/>
  <c r="W22" i="10"/>
  <c r="W21" i="10"/>
  <c r="W20" i="10"/>
  <c r="W19" i="10"/>
  <c r="W18" i="10"/>
  <c r="W17" i="10"/>
  <c r="W16" i="10"/>
  <c r="W15" i="10"/>
  <c r="W14" i="10"/>
  <c r="W13" i="10"/>
  <c r="W12" i="10"/>
  <c r="W11" i="10"/>
  <c r="W10" i="10"/>
  <c r="W8" i="10"/>
  <c r="W24" i="10"/>
  <c r="W9" i="10"/>
  <c r="M24" i="10" l="1"/>
  <c r="M23" i="10"/>
  <c r="AI10" i="10" s="1"/>
  <c r="M17" i="10" l="1"/>
  <c r="M19" i="10"/>
  <c r="M15" i="10"/>
  <c r="M13" i="10"/>
  <c r="M12" i="10"/>
  <c r="M22" i="10"/>
  <c r="M21" i="10"/>
  <c r="M20" i="10"/>
  <c r="M18" i="10"/>
  <c r="M16" i="10"/>
  <c r="M11" i="10"/>
  <c r="M14" i="10"/>
  <c r="M10" i="10"/>
  <c r="M9" i="10"/>
  <c r="M8" i="10"/>
  <c r="AB20" i="10" l="1"/>
  <c r="AB19" i="10"/>
  <c r="AB24" i="10"/>
  <c r="V10" i="10" l="1"/>
  <c r="V9" i="10"/>
  <c r="V14" i="10"/>
  <c r="V8" i="10"/>
  <c r="AH11" i="10" l="1"/>
  <c r="AH10" i="10"/>
  <c r="AC24" i="10"/>
  <c r="AC23" i="10"/>
  <c r="AC22" i="10"/>
  <c r="AC20" i="10"/>
  <c r="AC19" i="10"/>
  <c r="AC17" i="10"/>
  <c r="AB22" i="10"/>
  <c r="AB21" i="10"/>
  <c r="AB18" i="10"/>
  <c r="AB17" i="10"/>
  <c r="AF11" i="10" l="1"/>
  <c r="AG11" i="10"/>
  <c r="AF10" i="10"/>
  <c r="AG10" i="10"/>
  <c r="B44" i="10" l="1"/>
  <c r="B45" i="10" s="1"/>
  <c r="B30" i="10"/>
  <c r="B23" i="10" l="1"/>
  <c r="B24" i="10" s="1"/>
  <c r="B9" i="10"/>
  <c r="AE10" i="10" l="1"/>
  <c r="AE11" i="10"/>
  <c r="AD11" i="10"/>
  <c r="AC11" i="10"/>
  <c r="AB10" i="10"/>
  <c r="AC21" i="10" l="1"/>
  <c r="AC18" i="10"/>
  <c r="AB11" i="10"/>
  <c r="AD10" i="10"/>
  <c r="AC10" i="10"/>
</calcChain>
</file>

<file path=xl/sharedStrings.xml><?xml version="1.0" encoding="utf-8"?>
<sst xmlns="http://schemas.openxmlformats.org/spreadsheetml/2006/main" count="133" uniqueCount="58">
  <si>
    <t xml:space="preserve">  % urwvcnim ivurutia eruvcSwrwhwaIruk</t>
  </si>
  <si>
    <t>Base weights</t>
  </si>
  <si>
    <t>Fish Index</t>
  </si>
  <si>
    <t>uDnwgcnim eguhwm</t>
  </si>
  <si>
    <t>Clothing and footwear</t>
  </si>
  <si>
    <t>Education</t>
  </si>
  <si>
    <t>cmIluAwt</t>
  </si>
  <si>
    <t>wlcmuj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</si>
  <si>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</si>
  <si>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</si>
  <si>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</si>
  <si>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</si>
  <si>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</si>
  <si>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</si>
  <si>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</si>
  <si>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</si>
  <si>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</si>
  <si>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</si>
  <si>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</si>
  <si>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</si>
  <si>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</si>
  <si>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</si>
  <si>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</si>
  <si>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Major Groups - Male'</t>
  </si>
  <si>
    <t xml:space="preserve"> cSwa elWm - cawtiawb uDnwgiawm</t>
  </si>
  <si>
    <t>Male'</t>
  </si>
  <si>
    <t>Percentage change over previous year</t>
  </si>
  <si>
    <t xml:space="preserve">Furnishing,  household equipment &amp; routine maintenance </t>
  </si>
  <si>
    <t xml:space="preserve">Tobacco </t>
  </si>
  <si>
    <t xml:space="preserve"> cSwCcaekwt   WviawfWLwawDnwk  cnwdurwb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</si>
  <si>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</si>
  <si>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</si>
  <si>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</si>
  <si>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</si>
  <si>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</si>
  <si>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</si>
  <si>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Including fish</t>
  </si>
  <si>
    <t>Excluding fish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</si>
  <si>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</si>
  <si>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</si>
  <si>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</si>
  <si>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</si>
  <si>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</si>
  <si>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</si>
  <si>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                                   ilukegEg</t>
  </si>
  <si>
    <t>ctwmcdiK iaWlwdum cnehinehea</t>
  </si>
  <si>
    <t>Republic</t>
  </si>
  <si>
    <t>Major Groups - Republic</t>
  </si>
  <si>
    <t>Major Groups - Atolls</t>
  </si>
  <si>
    <t xml:space="preserve"> cSwkwtuLotwa - cawtiawb uDnwgiawm</t>
  </si>
  <si>
    <t>Total inflation rates 2009-2012</t>
  </si>
  <si>
    <t>Total national inflation rates 2007-2012</t>
  </si>
  <si>
    <t>Note: The series for the Republic prior to June 2012 is linked to previously published series for Male'. Hence, CPI for Male' and Republic prior to June 2012 is the same.</t>
  </si>
  <si>
    <t xml:space="preserve">Source:  National  Bureau of Statistics   </t>
  </si>
  <si>
    <t>މަޢުލޫމާތު ދެއްވި ފަރާތް: ނޭޝަނަލް ބިއުރޯ އޮފް ސްޓެޓިސްޓިކްސް</t>
  </si>
  <si>
    <t>Table 17.5 :  CONSUMER PRICE INDEX, 2006 - 2016</t>
  </si>
  <si>
    <t>2016 - 2006 ,uDnwgcnim egugwa egurWzWb : 17.5 ulwvWt</t>
  </si>
  <si>
    <t xml:space="preserve"> cSwCcaekwt   WviawfWLwawDnwk  cnwdurub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</si>
</sst>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8" formatCode="0.00_);[Red]\(0.00\)"/>
    <numFmt numFmtId="169" formatCode="0.00_)"/>
    <numFmt numFmtId="170" formatCode="_(* #,##0.0_);_(* \(#,##0.0\);_(* &quot;-&quot;??_);_(@_)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Courier"/>
      <family val="3"/>
    </font>
    <font>
      <sz val="10"/>
      <name val="Courier"/>
      <family val="3"/>
    </font>
    <font>
      <sz val="8"/>
      <name val="Arial"/>
      <family val="2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Times New Roman"/>
      <family val="1"/>
    </font>
    <font>
      <u/>
      <sz val="10"/>
      <name val="Courier"/>
      <family val="3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6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9">
    <xf numFmtId="0" fontId="0" fillId="0" borderId="0"/>
    <xf numFmtId="0" fontId="2" fillId="0" borderId="0"/>
    <xf numFmtId="16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169" fontId="14" fillId="0" borderId="0"/>
    <xf numFmtId="0" fontId="2" fillId="0" borderId="0"/>
    <xf numFmtId="0" fontId="2" fillId="0" borderId="0"/>
    <xf numFmtId="167" fontId="4" fillId="0" borderId="0"/>
    <xf numFmtId="0" fontId="2" fillId="0" borderId="0"/>
    <xf numFmtId="167" fontId="4" fillId="0" borderId="0"/>
    <xf numFmtId="167" fontId="4" fillId="0" borderId="0"/>
    <xf numFmtId="9" fontId="12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146">
    <xf numFmtId="0" fontId="0" fillId="0" borderId="0" xfId="0"/>
    <xf numFmtId="167" fontId="11" fillId="2" borderId="0" xfId="10" applyFont="1" applyFill="1" applyAlignment="1">
      <alignment horizontal="right" vertical="center"/>
    </xf>
    <xf numFmtId="167" fontId="6" fillId="2" borderId="0" xfId="11" applyFont="1" applyFill="1" applyAlignment="1">
      <alignment vertical="center"/>
    </xf>
    <xf numFmtId="0" fontId="12" fillId="2" borderId="0" xfId="6" applyFont="1" applyFill="1"/>
    <xf numFmtId="0" fontId="18" fillId="2" borderId="1" xfId="6" applyFont="1" applyFill="1" applyBorder="1" applyAlignment="1">
      <alignment horizontal="left"/>
    </xf>
    <xf numFmtId="0" fontId="8" fillId="2" borderId="1" xfId="6" applyFont="1" applyFill="1" applyBorder="1" applyAlignment="1">
      <alignment horizontal="right"/>
    </xf>
    <xf numFmtId="167" fontId="20" fillId="2" borderId="0" xfId="8" applyFont="1" applyFill="1" applyAlignment="1">
      <alignment vertical="center" wrapText="1"/>
    </xf>
    <xf numFmtId="166" fontId="20" fillId="2" borderId="0" xfId="7" applyNumberFormat="1" applyFont="1" applyFill="1" applyBorder="1" applyAlignment="1">
      <alignment horizontal="right" vertical="center"/>
    </xf>
    <xf numFmtId="166" fontId="20" fillId="2" borderId="0" xfId="6" applyNumberFormat="1" applyFont="1" applyFill="1" applyBorder="1" applyAlignment="1">
      <alignment horizontal="right" vertical="center"/>
    </xf>
    <xf numFmtId="166" fontId="20" fillId="2" borderId="0" xfId="6" applyNumberFormat="1" applyFont="1" applyFill="1" applyAlignment="1">
      <alignment horizontal="right" vertical="center"/>
    </xf>
    <xf numFmtId="166" fontId="20" fillId="2" borderId="0" xfId="8" applyNumberFormat="1" applyFont="1" applyFill="1" applyBorder="1" applyAlignment="1">
      <alignment horizontal="right" vertical="center"/>
    </xf>
    <xf numFmtId="0" fontId="12" fillId="2" borderId="0" xfId="6" applyFont="1" applyFill="1" applyAlignment="1">
      <alignment vertical="center"/>
    </xf>
    <xf numFmtId="167" fontId="20" fillId="2" borderId="0" xfId="8" applyFont="1" applyFill="1" applyAlignment="1">
      <alignment vertical="center"/>
    </xf>
    <xf numFmtId="0" fontId="20" fillId="2" borderId="0" xfId="7" applyFont="1" applyFill="1" applyAlignment="1">
      <alignment vertical="center"/>
    </xf>
    <xf numFmtId="167" fontId="20" fillId="2" borderId="0" xfId="8" applyFont="1" applyFill="1" applyBorder="1" applyAlignment="1">
      <alignment vertical="center" wrapText="1"/>
    </xf>
    <xf numFmtId="167" fontId="11" fillId="2" borderId="0" xfId="11" applyFont="1" applyFill="1" applyAlignment="1">
      <alignment horizontal="right" vertical="center"/>
    </xf>
    <xf numFmtId="167" fontId="21" fillId="2" borderId="0" xfId="8" applyFont="1" applyFill="1" applyBorder="1" applyAlignment="1">
      <alignment vertical="center"/>
    </xf>
    <xf numFmtId="166" fontId="21" fillId="2" borderId="0" xfId="7" applyNumberFormat="1" applyFont="1" applyFill="1" applyBorder="1" applyAlignment="1">
      <alignment horizontal="right" vertical="center"/>
    </xf>
    <xf numFmtId="166" fontId="21" fillId="2" borderId="0" xfId="6" applyNumberFormat="1" applyFont="1" applyFill="1" applyBorder="1" applyAlignment="1">
      <alignment horizontal="right" vertical="center"/>
    </xf>
    <xf numFmtId="166" fontId="21" fillId="2" borderId="0" xfId="8" applyNumberFormat="1" applyFont="1" applyFill="1" applyBorder="1" applyAlignment="1">
      <alignment horizontal="right" vertical="center"/>
    </xf>
    <xf numFmtId="167" fontId="9" fillId="2" borderId="0" xfId="10" applyFont="1" applyFill="1" applyBorder="1" applyAlignment="1">
      <alignment horizontal="right" vertical="center"/>
    </xf>
    <xf numFmtId="0" fontId="7" fillId="2" borderId="0" xfId="6" applyFont="1" applyFill="1" applyAlignment="1">
      <alignment vertical="center"/>
    </xf>
    <xf numFmtId="167" fontId="21" fillId="2" borderId="2" xfId="8" applyFont="1" applyFill="1" applyBorder="1" applyAlignment="1">
      <alignment vertical="center"/>
    </xf>
    <xf numFmtId="166" fontId="21" fillId="2" borderId="2" xfId="8" applyNumberFormat="1" applyFont="1" applyFill="1" applyBorder="1" applyAlignment="1">
      <alignment horizontal="right" vertical="center"/>
    </xf>
    <xf numFmtId="167" fontId="9" fillId="2" borderId="2" xfId="11" applyFont="1" applyFill="1" applyBorder="1" applyAlignment="1">
      <alignment horizontal="right" vertical="center"/>
    </xf>
    <xf numFmtId="0" fontId="12" fillId="2" borderId="0" xfId="6" applyFont="1" applyFill="1" applyBorder="1" applyAlignment="1">
      <alignment vertical="center"/>
    </xf>
    <xf numFmtId="0" fontId="17" fillId="2" borderId="2" xfId="6" applyFont="1" applyFill="1" applyBorder="1" applyAlignment="1">
      <alignment horizontal="right" vertical="center"/>
    </xf>
    <xf numFmtId="0" fontId="15" fillId="2" borderId="2" xfId="6" applyFont="1" applyFill="1" applyBorder="1" applyAlignment="1">
      <alignment horizontal="right" vertical="center"/>
    </xf>
    <xf numFmtId="0" fontId="10" fillId="2" borderId="0" xfId="6" applyFont="1" applyFill="1" applyAlignment="1">
      <alignment vertical="center"/>
    </xf>
    <xf numFmtId="0" fontId="8" fillId="2" borderId="0" xfId="6" applyFont="1" applyFill="1" applyAlignment="1">
      <alignment vertical="center"/>
    </xf>
    <xf numFmtId="0" fontId="17" fillId="2" borderId="0" xfId="6" applyFont="1" applyFill="1" applyBorder="1" applyAlignment="1">
      <alignment horizontal="left" vertical="center"/>
    </xf>
    <xf numFmtId="0" fontId="8" fillId="2" borderId="0" xfId="6" applyFont="1" applyFill="1" applyBorder="1" applyAlignment="1">
      <alignment vertical="center"/>
    </xf>
    <xf numFmtId="167" fontId="11" fillId="2" borderId="0" xfId="10" applyFont="1" applyFill="1" applyAlignment="1">
      <alignment horizontal="center" vertical="center"/>
    </xf>
    <xf numFmtId="166" fontId="21" fillId="2" borderId="2" xfId="6" applyNumberFormat="1" applyFont="1" applyFill="1" applyBorder="1" applyAlignment="1">
      <alignment horizontal="right" vertical="center"/>
    </xf>
    <xf numFmtId="167" fontId="9" fillId="2" borderId="0" xfId="11" applyFont="1" applyFill="1" applyBorder="1" applyAlignment="1">
      <alignment horizontal="right" vertical="center"/>
    </xf>
    <xf numFmtId="166" fontId="12" fillId="2" borderId="0" xfId="6" applyNumberFormat="1" applyFont="1" applyFill="1" applyAlignment="1">
      <alignment vertical="center"/>
    </xf>
    <xf numFmtId="0" fontId="21" fillId="2" borderId="0" xfId="6" applyFont="1" applyFill="1" applyBorder="1" applyAlignment="1">
      <alignment horizontal="left" vertical="center"/>
    </xf>
    <xf numFmtId="0" fontId="13" fillId="2" borderId="0" xfId="6" applyFont="1" applyFill="1" applyBorder="1" applyAlignment="1">
      <alignment horizontal="right" vertical="center"/>
    </xf>
    <xf numFmtId="167" fontId="7" fillId="2" borderId="0" xfId="11" applyFont="1" applyFill="1" applyAlignment="1" applyProtection="1">
      <alignment vertical="center"/>
    </xf>
    <xf numFmtId="0" fontId="22" fillId="2" borderId="5" xfId="6" applyFont="1" applyFill="1" applyBorder="1" applyAlignment="1">
      <alignment horizontal="right" vertical="center"/>
    </xf>
    <xf numFmtId="0" fontId="22" fillId="2" borderId="2" xfId="6" applyFont="1" applyFill="1" applyBorder="1" applyAlignment="1">
      <alignment horizontal="right" vertical="center"/>
    </xf>
    <xf numFmtId="166" fontId="20" fillId="2" borderId="0" xfId="7" applyNumberFormat="1" applyFont="1" applyFill="1" applyAlignment="1">
      <alignment horizontal="center" vertical="center"/>
    </xf>
    <xf numFmtId="166" fontId="20" fillId="2" borderId="3" xfId="8" applyNumberFormat="1" applyFont="1" applyFill="1" applyBorder="1" applyAlignment="1">
      <alignment horizontal="right" vertical="center"/>
    </xf>
    <xf numFmtId="0" fontId="2" fillId="2" borderId="0" xfId="6" applyFont="1" applyFill="1" applyAlignment="1">
      <alignment vertical="center"/>
    </xf>
    <xf numFmtId="166" fontId="20" fillId="2" borderId="4" xfId="8" applyNumberFormat="1" applyFont="1" applyFill="1" applyBorder="1" applyAlignment="1">
      <alignment horizontal="right" vertical="center"/>
    </xf>
    <xf numFmtId="170" fontId="12" fillId="2" borderId="0" xfId="6" applyNumberFormat="1" applyFont="1" applyFill="1" applyAlignment="1">
      <alignment vertical="center"/>
    </xf>
    <xf numFmtId="167" fontId="11" fillId="2" borderId="0" xfId="10" applyFont="1" applyFill="1" applyAlignment="1">
      <alignment horizontal="right" vertical="center" wrapText="1"/>
    </xf>
    <xf numFmtId="166" fontId="21" fillId="2" borderId="0" xfId="8" applyNumberFormat="1" applyFont="1" applyFill="1" applyBorder="1" applyAlignment="1">
      <alignment horizontal="center" vertical="center"/>
    </xf>
    <xf numFmtId="166" fontId="21" fillId="2" borderId="4" xfId="8" applyNumberFormat="1" applyFont="1" applyFill="1" applyBorder="1" applyAlignment="1">
      <alignment horizontal="right" vertical="center"/>
    </xf>
    <xf numFmtId="166" fontId="7" fillId="2" borderId="0" xfId="6" applyNumberFormat="1" applyFont="1" applyFill="1" applyAlignment="1">
      <alignment vertical="center"/>
    </xf>
    <xf numFmtId="166" fontId="21" fillId="2" borderId="2" xfId="8" applyNumberFormat="1" applyFont="1" applyFill="1" applyBorder="1" applyAlignment="1">
      <alignment horizontal="center" vertical="center"/>
    </xf>
    <xf numFmtId="166" fontId="21" fillId="2" borderId="5" xfId="8" applyNumberFormat="1" applyFont="1" applyFill="1" applyBorder="1" applyAlignment="1">
      <alignment horizontal="right" vertical="center"/>
    </xf>
    <xf numFmtId="3" fontId="20" fillId="2" borderId="0" xfId="9" applyNumberFormat="1" applyFont="1" applyFill="1" applyAlignment="1" applyProtection="1">
      <alignment horizontal="left" vertical="center"/>
    </xf>
    <xf numFmtId="3" fontId="10" fillId="2" borderId="0" xfId="9" applyNumberFormat="1" applyFont="1" applyFill="1" applyAlignment="1" applyProtection="1">
      <alignment horizontal="center" vertical="center"/>
    </xf>
    <xf numFmtId="3" fontId="11" fillId="2" borderId="0" xfId="9" applyNumberFormat="1" applyFont="1" applyFill="1" applyAlignment="1" applyProtection="1">
      <alignment horizontal="right" vertical="center"/>
    </xf>
    <xf numFmtId="3" fontId="10" fillId="2" borderId="0" xfId="9" applyNumberFormat="1" applyFont="1" applyFill="1" applyBorder="1" applyAlignment="1" applyProtection="1">
      <alignment horizontal="center" vertical="center"/>
    </xf>
    <xf numFmtId="3" fontId="8" fillId="2" borderId="0" xfId="9" applyNumberFormat="1" applyFont="1" applyFill="1"/>
    <xf numFmtId="3" fontId="16" fillId="2" borderId="0" xfId="4" applyNumberFormat="1" applyFont="1" applyFill="1" applyAlignment="1" applyProtection="1"/>
    <xf numFmtId="0" fontId="8" fillId="2" borderId="1" xfId="6" applyFont="1" applyFill="1" applyBorder="1"/>
    <xf numFmtId="0" fontId="10" fillId="2" borderId="0" xfId="6" applyFont="1" applyFill="1" applyBorder="1"/>
    <xf numFmtId="0" fontId="21" fillId="2" borderId="2" xfId="6" applyFont="1" applyFill="1" applyBorder="1" applyAlignment="1">
      <alignment horizontal="left" vertical="top"/>
    </xf>
    <xf numFmtId="0" fontId="21" fillId="2" borderId="2" xfId="6" applyFont="1" applyFill="1" applyBorder="1" applyAlignment="1">
      <alignment horizontal="center" vertical="top"/>
    </xf>
    <xf numFmtId="0" fontId="21" fillId="2" borderId="2" xfId="6" applyFont="1" applyFill="1" applyBorder="1" applyAlignment="1">
      <alignment horizontal="right" vertical="top"/>
    </xf>
    <xf numFmtId="0" fontId="21" fillId="2" borderId="5" xfId="6" applyFont="1" applyFill="1" applyBorder="1" applyAlignment="1">
      <alignment horizontal="right" vertical="center"/>
    </xf>
    <xf numFmtId="0" fontId="21" fillId="2" borderId="2" xfId="6" applyFont="1" applyFill="1" applyBorder="1" applyAlignment="1">
      <alignment horizontal="right" vertical="center"/>
    </xf>
    <xf numFmtId="2" fontId="8" fillId="2" borderId="0" xfId="6" applyNumberFormat="1" applyFont="1" applyFill="1" applyAlignment="1">
      <alignment vertical="center"/>
    </xf>
    <xf numFmtId="2" fontId="8" fillId="2" borderId="1" xfId="6" applyNumberFormat="1" applyFont="1" applyFill="1" applyBorder="1" applyAlignment="1">
      <alignment vertical="center"/>
    </xf>
    <xf numFmtId="168" fontId="10" fillId="2" borderId="0" xfId="8" applyNumberFormat="1" applyFont="1" applyFill="1" applyAlignment="1">
      <alignment vertical="center"/>
    </xf>
    <xf numFmtId="168" fontId="8" fillId="2" borderId="0" xfId="6" applyNumberFormat="1" applyFont="1" applyFill="1" applyBorder="1" applyAlignment="1">
      <alignment vertical="center"/>
    </xf>
    <xf numFmtId="2" fontId="8" fillId="2" borderId="0" xfId="6" applyNumberFormat="1" applyFont="1" applyFill="1" applyBorder="1" applyAlignment="1">
      <alignment vertical="center"/>
    </xf>
    <xf numFmtId="0" fontId="8" fillId="2" borderId="0" xfId="6" applyFont="1" applyFill="1"/>
    <xf numFmtId="166" fontId="20" fillId="2" borderId="0" xfId="7" applyNumberFormat="1" applyFont="1" applyFill="1" applyBorder="1" applyAlignment="1">
      <alignment horizontal="center" vertical="center"/>
    </xf>
    <xf numFmtId="168" fontId="8" fillId="2" borderId="0" xfId="6" applyNumberFormat="1" applyFont="1" applyFill="1" applyAlignment="1">
      <alignment vertical="center"/>
    </xf>
    <xf numFmtId="166" fontId="21" fillId="2" borderId="0" xfId="7" applyNumberFormat="1" applyFont="1" applyFill="1" applyBorder="1" applyAlignment="1">
      <alignment horizontal="center" vertical="center"/>
    </xf>
    <xf numFmtId="2" fontId="10" fillId="2" borderId="0" xfId="6" applyNumberFormat="1" applyFont="1" applyFill="1" applyAlignment="1">
      <alignment vertical="center"/>
    </xf>
    <xf numFmtId="2" fontId="10" fillId="2" borderId="0" xfId="6" applyNumberFormat="1" applyFont="1" applyFill="1" applyBorder="1" applyAlignment="1">
      <alignment vertical="center"/>
    </xf>
    <xf numFmtId="168" fontId="10" fillId="2" borderId="0" xfId="6" applyNumberFormat="1" applyFont="1" applyFill="1" applyAlignment="1">
      <alignment vertical="center"/>
    </xf>
    <xf numFmtId="0" fontId="12" fillId="2" borderId="0" xfId="6" applyFont="1" applyFill="1" applyBorder="1"/>
    <xf numFmtId="168" fontId="10" fillId="2" borderId="0" xfId="8" applyNumberFormat="1" applyFont="1" applyFill="1" applyBorder="1" applyAlignment="1">
      <alignment vertical="center"/>
    </xf>
    <xf numFmtId="0" fontId="10" fillId="2" borderId="0" xfId="6" applyFont="1" applyFill="1" applyBorder="1" applyAlignment="1">
      <alignment vertical="center"/>
    </xf>
    <xf numFmtId="168" fontId="10" fillId="2" borderId="0" xfId="6" applyNumberFormat="1" applyFont="1" applyFill="1" applyBorder="1" applyAlignment="1">
      <alignment vertical="center"/>
    </xf>
    <xf numFmtId="167" fontId="25" fillId="2" borderId="0" xfId="8" applyFont="1" applyFill="1" applyBorder="1" applyAlignment="1">
      <alignment horizontal="left" vertical="center" indent="1"/>
    </xf>
    <xf numFmtId="0" fontId="12" fillId="2" borderId="0" xfId="6" applyFont="1" applyFill="1" applyAlignment="1">
      <alignment horizontal="center"/>
    </xf>
    <xf numFmtId="0" fontId="13" fillId="2" borderId="1" xfId="6" applyFont="1" applyFill="1" applyBorder="1" applyAlignment="1"/>
    <xf numFmtId="0" fontId="12" fillId="2" borderId="1" xfId="6" applyFont="1" applyFill="1" applyBorder="1"/>
    <xf numFmtId="0" fontId="13" fillId="2" borderId="0" xfId="6" applyNumberFormat="1" applyFont="1" applyFill="1" applyBorder="1" applyAlignment="1">
      <alignment horizontal="right" vertical="center"/>
    </xf>
    <xf numFmtId="0" fontId="17" fillId="2" borderId="2" xfId="6" applyFont="1" applyFill="1" applyBorder="1" applyAlignment="1">
      <alignment horizontal="left" vertical="top"/>
    </xf>
    <xf numFmtId="0" fontId="17" fillId="2" borderId="2" xfId="6" applyFont="1" applyFill="1" applyBorder="1" applyAlignment="1">
      <alignment horizontal="center" vertical="top"/>
    </xf>
    <xf numFmtId="0" fontId="17" fillId="2" borderId="2" xfId="6" applyFont="1" applyFill="1" applyBorder="1" applyAlignment="1">
      <alignment horizontal="right" vertical="top"/>
    </xf>
    <xf numFmtId="167" fontId="18" fillId="2" borderId="0" xfId="8" applyFont="1" applyFill="1" applyAlignment="1">
      <alignment vertical="center" wrapText="1"/>
    </xf>
    <xf numFmtId="166" fontId="18" fillId="2" borderId="0" xfId="7" applyNumberFormat="1" applyFont="1" applyFill="1" applyAlignment="1">
      <alignment horizontal="center" vertical="center"/>
    </xf>
    <xf numFmtId="166" fontId="18" fillId="2" borderId="0" xfId="7" applyNumberFormat="1" applyFont="1" applyFill="1" applyBorder="1" applyAlignment="1">
      <alignment horizontal="right" vertical="center"/>
    </xf>
    <xf numFmtId="166" fontId="18" fillId="2" borderId="0" xfId="6" applyNumberFormat="1" applyFont="1" applyFill="1" applyBorder="1" applyAlignment="1">
      <alignment horizontal="right" vertical="center"/>
    </xf>
    <xf numFmtId="166" fontId="18" fillId="2" borderId="0" xfId="8" applyNumberFormat="1" applyFont="1" applyFill="1" applyBorder="1" applyAlignment="1">
      <alignment horizontal="right" vertical="center"/>
    </xf>
    <xf numFmtId="167" fontId="18" fillId="2" borderId="0" xfId="8" applyFont="1" applyFill="1" applyAlignment="1">
      <alignment vertical="center"/>
    </xf>
    <xf numFmtId="167" fontId="18" fillId="2" borderId="0" xfId="8" applyFont="1" applyFill="1" applyBorder="1" applyAlignment="1">
      <alignment vertical="center" wrapText="1"/>
    </xf>
    <xf numFmtId="166" fontId="18" fillId="2" borderId="0" xfId="7" applyNumberFormat="1" applyFont="1" applyFill="1" applyBorder="1" applyAlignment="1">
      <alignment horizontal="center" vertical="center"/>
    </xf>
    <xf numFmtId="167" fontId="17" fillId="2" borderId="0" xfId="8" applyFont="1" applyFill="1" applyBorder="1" applyAlignment="1">
      <alignment vertical="center"/>
    </xf>
    <xf numFmtId="166" fontId="17" fillId="2" borderId="0" xfId="7" applyNumberFormat="1" applyFont="1" applyFill="1" applyBorder="1" applyAlignment="1">
      <alignment horizontal="center" vertical="center"/>
    </xf>
    <xf numFmtId="166" fontId="17" fillId="2" borderId="0" xfId="7" applyNumberFormat="1" applyFont="1" applyFill="1" applyBorder="1" applyAlignment="1">
      <alignment horizontal="right" vertical="center"/>
    </xf>
    <xf numFmtId="166" fontId="17" fillId="2" borderId="0" xfId="6" applyNumberFormat="1" applyFont="1" applyFill="1" applyBorder="1" applyAlignment="1">
      <alignment horizontal="right" vertical="center"/>
    </xf>
    <xf numFmtId="166" fontId="17" fillId="2" borderId="0" xfId="8" applyNumberFormat="1" applyFont="1" applyFill="1" applyBorder="1" applyAlignment="1">
      <alignment horizontal="right" vertical="center"/>
    </xf>
    <xf numFmtId="167" fontId="17" fillId="2" borderId="2" xfId="8" applyFont="1" applyFill="1" applyBorder="1" applyAlignment="1">
      <alignment vertical="center"/>
    </xf>
    <xf numFmtId="166" fontId="17" fillId="2" borderId="2" xfId="8" applyNumberFormat="1" applyFont="1" applyFill="1" applyBorder="1" applyAlignment="1">
      <alignment horizontal="center" vertical="center"/>
    </xf>
    <xf numFmtId="166" fontId="17" fillId="2" borderId="2" xfId="8" applyNumberFormat="1" applyFont="1" applyFill="1" applyBorder="1" applyAlignment="1">
      <alignment horizontal="right" vertical="center"/>
    </xf>
    <xf numFmtId="167" fontId="24" fillId="2" borderId="0" xfId="11" applyFont="1" applyFill="1" applyBorder="1" applyAlignment="1" applyProtection="1">
      <alignment horizontal="left" vertical="center"/>
    </xf>
    <xf numFmtId="0" fontId="20" fillId="2" borderId="0" xfId="6" applyFont="1" applyFill="1"/>
    <xf numFmtId="166" fontId="12" fillId="2" borderId="0" xfId="6" applyNumberFormat="1" applyFont="1" applyFill="1"/>
    <xf numFmtId="0" fontId="23" fillId="2" borderId="0" xfId="6" applyFont="1" applyFill="1"/>
    <xf numFmtId="167" fontId="26" fillId="2" borderId="0" xfId="11" applyFont="1" applyFill="1" applyAlignment="1">
      <alignment horizontal="right" vertical="center"/>
    </xf>
    <xf numFmtId="2" fontId="12" fillId="2" borderId="0" xfId="6" applyNumberFormat="1" applyFont="1" applyFill="1"/>
    <xf numFmtId="167" fontId="19" fillId="2" borderId="0" xfId="11" applyFont="1" applyFill="1" applyBorder="1" applyAlignment="1" applyProtection="1">
      <alignment horizontal="left" vertical="center"/>
    </xf>
    <xf numFmtId="0" fontId="7" fillId="2" borderId="0" xfId="6" applyFont="1" applyFill="1"/>
    <xf numFmtId="166" fontId="20" fillId="2" borderId="1" xfId="6" applyNumberFormat="1" applyFont="1" applyFill="1" applyBorder="1" applyAlignment="1">
      <alignment horizontal="right" vertical="center"/>
    </xf>
    <xf numFmtId="166" fontId="7" fillId="2" borderId="0" xfId="6" applyNumberFormat="1" applyFont="1" applyFill="1"/>
    <xf numFmtId="0" fontId="7" fillId="2" borderId="0" xfId="6" applyFont="1" applyFill="1" applyBorder="1"/>
    <xf numFmtId="0" fontId="9" fillId="2" borderId="1" xfId="6" applyFont="1" applyFill="1" applyBorder="1" applyAlignment="1">
      <alignment horizontal="center" wrapText="1"/>
    </xf>
    <xf numFmtId="0" fontId="17" fillId="2" borderId="0" xfId="6" applyFont="1" applyFill="1" applyBorder="1" applyAlignment="1">
      <alignment horizontal="center" vertical="top" wrapText="1"/>
    </xf>
    <xf numFmtId="166" fontId="10" fillId="2" borderId="0" xfId="9" applyNumberFormat="1" applyFont="1" applyFill="1" applyAlignment="1" applyProtection="1">
      <alignment horizontal="center" vertical="center"/>
    </xf>
    <xf numFmtId="166" fontId="17" fillId="2" borderId="2" xfId="6" applyNumberFormat="1" applyFont="1" applyFill="1" applyBorder="1" applyAlignment="1">
      <alignment horizontal="right" vertical="center"/>
    </xf>
    <xf numFmtId="0" fontId="9" fillId="2" borderId="1" xfId="6" applyFont="1" applyFill="1" applyBorder="1" applyAlignment="1">
      <alignment horizontal="center" wrapText="1"/>
    </xf>
    <xf numFmtId="0" fontId="17" fillId="2" borderId="0" xfId="6" applyFont="1" applyFill="1" applyBorder="1" applyAlignment="1">
      <alignment horizontal="center" vertical="top" wrapText="1"/>
    </xf>
    <xf numFmtId="0" fontId="8" fillId="2" borderId="9" xfId="6" applyFont="1" applyFill="1" applyBorder="1" applyAlignment="1">
      <alignment horizontal="center"/>
    </xf>
    <xf numFmtId="0" fontId="17" fillId="2" borderId="7" xfId="6" applyFont="1" applyFill="1" applyBorder="1" applyAlignment="1">
      <alignment horizontal="right" vertical="center"/>
    </xf>
    <xf numFmtId="166" fontId="20" fillId="2" borderId="9" xfId="6" applyNumberFormat="1" applyFont="1" applyFill="1" applyBorder="1" applyAlignment="1">
      <alignment horizontal="right" vertical="center"/>
    </xf>
    <xf numFmtId="166" fontId="20" fillId="2" borderId="10" xfId="6" applyNumberFormat="1" applyFont="1" applyFill="1" applyBorder="1" applyAlignment="1">
      <alignment horizontal="right" vertical="center"/>
    </xf>
    <xf numFmtId="166" fontId="21" fillId="2" borderId="10" xfId="6" applyNumberFormat="1" applyFont="1" applyFill="1" applyBorder="1" applyAlignment="1">
      <alignment horizontal="right" vertical="center"/>
    </xf>
    <xf numFmtId="166" fontId="21" fillId="2" borderId="7" xfId="8" applyNumberFormat="1" applyFont="1" applyFill="1" applyBorder="1" applyAlignment="1">
      <alignment horizontal="right" vertical="center"/>
    </xf>
    <xf numFmtId="0" fontId="10" fillId="2" borderId="11" xfId="6" applyFont="1" applyFill="1" applyBorder="1" applyAlignment="1">
      <alignment horizontal="center"/>
    </xf>
    <xf numFmtId="167" fontId="6" fillId="2" borderId="0" xfId="11" applyFont="1" applyFill="1" applyAlignment="1">
      <alignment horizontal="center" vertical="center"/>
    </xf>
    <xf numFmtId="167" fontId="27" fillId="2" borderId="0" xfId="11" applyFont="1" applyFill="1" applyAlignment="1" applyProtection="1">
      <alignment horizontal="center" vertical="center"/>
    </xf>
    <xf numFmtId="0" fontId="9" fillId="2" borderId="1" xfId="6" applyFont="1" applyFill="1" applyBorder="1" applyAlignment="1">
      <alignment horizontal="center" wrapText="1"/>
    </xf>
    <xf numFmtId="0" fontId="9" fillId="2" borderId="1" xfId="6" applyFont="1" applyFill="1" applyBorder="1" applyAlignment="1">
      <alignment horizontal="center" vertical="center" wrapText="1"/>
    </xf>
    <xf numFmtId="0" fontId="9" fillId="2" borderId="6" xfId="6" applyFont="1" applyFill="1" applyBorder="1" applyAlignment="1">
      <alignment horizontal="center" vertical="center" wrapText="1"/>
    </xf>
    <xf numFmtId="167" fontId="21" fillId="2" borderId="2" xfId="11" applyFont="1" applyFill="1" applyBorder="1" applyAlignment="1" applyProtection="1">
      <alignment horizontal="center" vertical="center"/>
    </xf>
    <xf numFmtId="167" fontId="13" fillId="2" borderId="0" xfId="11" applyFont="1" applyFill="1" applyAlignment="1">
      <alignment horizontal="center" vertical="center" wrapText="1"/>
    </xf>
    <xf numFmtId="0" fontId="13" fillId="2" borderId="3" xfId="6" applyFont="1" applyFill="1" applyBorder="1" applyAlignment="1">
      <alignment horizontal="center" vertical="center"/>
    </xf>
    <xf numFmtId="0" fontId="13" fillId="2" borderId="1" xfId="6" applyFont="1" applyFill="1" applyBorder="1" applyAlignment="1">
      <alignment horizontal="center" vertical="center"/>
    </xf>
    <xf numFmtId="0" fontId="9" fillId="2" borderId="6" xfId="6" applyFont="1" applyFill="1" applyBorder="1" applyAlignment="1">
      <alignment horizontal="center" wrapText="1"/>
    </xf>
    <xf numFmtId="0" fontId="9" fillId="2" borderId="11" xfId="6" applyFont="1" applyFill="1" applyBorder="1" applyAlignment="1">
      <alignment horizontal="center" wrapText="1"/>
    </xf>
    <xf numFmtId="0" fontId="17" fillId="2" borderId="8" xfId="6" applyFont="1" applyFill="1" applyBorder="1" applyAlignment="1">
      <alignment horizontal="center" vertical="center" wrapText="1"/>
    </xf>
    <xf numFmtId="0" fontId="17" fillId="2" borderId="6" xfId="6" applyFont="1" applyFill="1" applyBorder="1" applyAlignment="1">
      <alignment horizontal="center" vertical="center" wrapText="1"/>
    </xf>
    <xf numFmtId="0" fontId="9" fillId="2" borderId="0" xfId="6" applyFont="1" applyFill="1" applyBorder="1" applyAlignment="1">
      <alignment horizontal="center" wrapText="1"/>
    </xf>
    <xf numFmtId="0" fontId="17" fillId="2" borderId="0" xfId="6" applyFont="1" applyFill="1" applyBorder="1" applyAlignment="1">
      <alignment horizontal="center" vertical="top" wrapText="1"/>
    </xf>
    <xf numFmtId="0" fontId="8" fillId="2" borderId="1" xfId="6" applyFont="1" applyFill="1" applyBorder="1" applyAlignment="1">
      <alignment horizontal="center"/>
    </xf>
    <xf numFmtId="0" fontId="10" fillId="2" borderId="6" xfId="6" applyFont="1" applyFill="1" applyBorder="1" applyAlignment="1">
      <alignment horizontal="center"/>
    </xf>
  </cellXfs>
  <cellStyles count="19">
    <cellStyle name="1" xfId="1"/>
    <cellStyle name="Comma 2" xfId="2"/>
    <cellStyle name="Comma 2 2" xfId="14"/>
    <cellStyle name="Comma 3" xfId="3"/>
    <cellStyle name="Comma 3 2" xfId="15"/>
    <cellStyle name="Hyperlink" xfId="4" builtinId="8"/>
    <cellStyle name="Normal" xfId="0" builtinId="0"/>
    <cellStyle name="Normal - Style1" xfId="5"/>
    <cellStyle name="Normal 2" xfId="13"/>
    <cellStyle name="Normal 3" xfId="17"/>
    <cellStyle name="Normal 4" xfId="18"/>
    <cellStyle name="Normal_17 Prices_done" xfId="6"/>
    <cellStyle name="Normal_CPI new tables" xfId="7"/>
    <cellStyle name="Normal_Dec97" xfId="8"/>
    <cellStyle name="Normal_II-15(Population)" xfId="9"/>
    <cellStyle name="Normal_XII-11(Commerce)" xfId="10"/>
    <cellStyle name="Normal_XII-12 (Commerce)" xfId="11"/>
    <cellStyle name="Percent 2" xfId="12"/>
    <cellStyle name="Percent 2 2" xfId="16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97487862083047E-2"/>
          <c:y val="0.16191904298815241"/>
          <c:w val="0.89786554764173832"/>
          <c:h val="0.6921002603758196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'17.5'!$AA$10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numRef>
              <c:f>'17.5'!$AG$9:$AI$9</c:f>
              <c:numCache>
                <c:formatCode>General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'17.5'!$AG$10:$AI$10</c:f>
              <c:numCache>
                <c:formatCode>_(* #,##0.0_);_(* \(#,##0.0\);_(* "-"??_);_(@_)</c:formatCode>
                <c:ptCount val="3"/>
                <c:pt idx="0">
                  <c:v>105.38050013404563</c:v>
                </c:pt>
                <c:pt idx="1">
                  <c:v>106.38499407837655</c:v>
                </c:pt>
                <c:pt idx="2">
                  <c:v>106.91958868829052</c:v>
                </c:pt>
              </c:numCache>
            </c:numRef>
          </c:val>
        </c:ser>
        <c:ser>
          <c:idx val="3"/>
          <c:order val="1"/>
          <c:tx>
            <c:strRef>
              <c:f>'17.5'!$AA$11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numRef>
              <c:f>'17.5'!$AG$9:$AI$9</c:f>
              <c:numCache>
                <c:formatCode>General</c:formatCode>
                <c:ptCount val="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</c:numCache>
            </c:numRef>
          </c:cat>
          <c:val>
            <c:numRef>
              <c:f>'17.5'!$AG$11:$AI$11</c:f>
              <c:numCache>
                <c:formatCode>_(* #,##0.0_);_(* \(#,##0.0\);_(* "-"??_);_(@_)</c:formatCode>
                <c:ptCount val="3"/>
                <c:pt idx="0">
                  <c:v>105.92043432963987</c:v>
                </c:pt>
                <c:pt idx="1">
                  <c:v>107.37293678888472</c:v>
                </c:pt>
                <c:pt idx="2">
                  <c:v>108.23342334232696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350912"/>
        <c:axId val="45352448"/>
      </c:barChart>
      <c:catAx>
        <c:axId val="4535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5352448"/>
        <c:crosses val="autoZero"/>
        <c:auto val="1"/>
        <c:lblAlgn val="ctr"/>
        <c:lblOffset val="100"/>
        <c:noMultiLvlLbl val="0"/>
      </c:catAx>
      <c:valAx>
        <c:axId val="45352448"/>
        <c:scaling>
          <c:orientation val="minMax"/>
        </c:scaling>
        <c:delete val="0"/>
        <c:axPos val="l"/>
        <c:majorGridlines>
          <c:spPr>
            <a:ln w="3175">
              <a:solidFill>
                <a:srgbClr val="FCD5B5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solidFill>
              <a:srgbClr val="953735"/>
            </a:solidFill>
          </a:ln>
        </c:spPr>
        <c:crossAx val="45350912"/>
        <c:crosses val="autoZero"/>
        <c:crossBetween val="between"/>
      </c:valAx>
      <c:spPr>
        <a:solidFill>
          <a:srgbClr val="FDEAD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1564702096274497"/>
          <c:y val="0.24674097257845626"/>
          <c:w val="0.27715526102150817"/>
          <c:h val="4.423063187080771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784609716954511E-2"/>
          <c:y val="0.17800015339585945"/>
          <c:w val="0.90067274875771441"/>
          <c:h val="0.65526220549382963"/>
        </c:manualLayout>
      </c:layout>
      <c:lineChart>
        <c:grouping val="standard"/>
        <c:varyColors val="0"/>
        <c:ser>
          <c:idx val="0"/>
          <c:order val="0"/>
          <c:tx>
            <c:strRef>
              <c:f>'17.5'!$AB$16</c:f>
              <c:strCache>
                <c:ptCount val="1"/>
                <c:pt idx="0">
                  <c:v>Including fish</c:v>
                </c:pt>
              </c:strCache>
            </c:strRef>
          </c:tx>
          <c:spPr>
            <a:ln>
              <a:solidFill>
                <a:srgbClr val="FAC090"/>
              </a:solidFill>
            </a:ln>
          </c:spPr>
          <c:marker>
            <c:symbol val="diamond"/>
            <c:size val="6"/>
            <c:spPr>
              <a:solidFill>
                <a:srgbClr val="FAC090"/>
              </a:solidFill>
              <a:ln>
                <a:solidFill>
                  <a:srgbClr val="00B050"/>
                </a:solidFill>
              </a:ln>
            </c:spPr>
          </c:marker>
          <c:cat>
            <c:numRef>
              <c:f>'17.5'!$AA$20:$AA$26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'17.5'!$AB$20:$AB$26</c:f>
              <c:numCache>
                <c:formatCode>0.0</c:formatCode>
                <c:ptCount val="7"/>
                <c:pt idx="0">
                  <c:v>80.568542845421106</c:v>
                </c:pt>
                <c:pt idx="1">
                  <c:v>89.651368722070842</c:v>
                </c:pt>
                <c:pt idx="2">
                  <c:v>99.409647361204449</c:v>
                </c:pt>
                <c:pt idx="3">
                  <c:v>103.19281073321666</c:v>
                </c:pt>
                <c:pt idx="4">
                  <c:v>105.38050013404563</c:v>
                </c:pt>
                <c:pt idx="5">
                  <c:v>106.38499407837655</c:v>
                </c:pt>
                <c:pt idx="6">
                  <c:v>106.91958868829052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'17.5'!$AC$16</c:f>
              <c:strCache>
                <c:ptCount val="1"/>
                <c:pt idx="0">
                  <c:v>Excluding fish</c:v>
                </c:pt>
              </c:strCache>
            </c:strRef>
          </c:tx>
          <c:spPr>
            <a:ln>
              <a:solidFill>
                <a:srgbClr val="953735"/>
              </a:solidFill>
            </a:ln>
          </c:spPr>
          <c:marker>
            <c:symbol val="square"/>
            <c:size val="5"/>
            <c:spPr>
              <a:solidFill>
                <a:srgbClr val="953735"/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marker>
          <c:cat>
            <c:numRef>
              <c:f>'17.5'!$AA$20:$AA$26</c:f>
              <c:numCache>
                <c:formatCode>General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'17.5'!$AC$20:$AC$26</c:f>
              <c:numCache>
                <c:formatCode>_(* #,##0.0_);_(* \(#,##0.0\);_(* "-"??_);_(@_)</c:formatCode>
                <c:ptCount val="7"/>
                <c:pt idx="0">
                  <c:v>84.338371332150743</c:v>
                </c:pt>
                <c:pt idx="1">
                  <c:v>91.679051572020867</c:v>
                </c:pt>
                <c:pt idx="2">
                  <c:v>100.14126599840249</c:v>
                </c:pt>
                <c:pt idx="3" formatCode="0.0">
                  <c:v>103.07423491391059</c:v>
                </c:pt>
                <c:pt idx="4" formatCode="0.0">
                  <c:v>105.29983112357628</c:v>
                </c:pt>
                <c:pt idx="5" formatCode="0.0">
                  <c:v>106.44622541898161</c:v>
                </c:pt>
                <c:pt idx="6" formatCode="0.0">
                  <c:v>107.1902747590181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64736"/>
        <c:axId val="45366656"/>
      </c:lineChart>
      <c:catAx>
        <c:axId val="4536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5366656"/>
        <c:crosses val="autoZero"/>
        <c:auto val="1"/>
        <c:lblAlgn val="ctr"/>
        <c:lblOffset val="100"/>
        <c:noMultiLvlLbl val="0"/>
      </c:catAx>
      <c:valAx>
        <c:axId val="45366656"/>
        <c:scaling>
          <c:orientation val="minMax"/>
          <c:max val="110"/>
          <c:min val="60"/>
        </c:scaling>
        <c:delete val="0"/>
        <c:axPos val="l"/>
        <c:majorGridlines>
          <c:spPr>
            <a:ln>
              <a:solidFill>
                <a:srgbClr val="FCD5B5"/>
              </a:solidFill>
            </a:ln>
          </c:spPr>
        </c:majorGridlines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5364736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2171042715676726"/>
          <c:y val="0.58025468566125371"/>
          <c:w val="0.49414443284706638"/>
          <c:h val="5.7346522182892136E-2"/>
        </c:manualLayout>
      </c:layout>
      <c:overlay val="0"/>
      <c:txPr>
        <a:bodyPr/>
        <a:lstStyle/>
        <a:p>
          <a:pPr>
            <a:defRPr lang="en-AU"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</c:spPr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31745" name="Text 10"/>
        <xdr:cNvSpPr txBox="1">
          <a:spLocks noChangeArrowheads="1"/>
        </xdr:cNvSpPr>
      </xdr:nvSpPr>
      <xdr:spPr bwMode="auto">
        <a:xfrm>
          <a:off x="3752850" y="54102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271803</xdr:colOff>
      <xdr:row>70</xdr:row>
      <xdr:rowOff>246255</xdr:rowOff>
    </xdr:from>
    <xdr:to>
      <xdr:col>9</xdr:col>
      <xdr:colOff>23232</xdr:colOff>
      <xdr:row>89</xdr:row>
      <xdr:rowOff>11615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371082</xdr:colOff>
      <xdr:row>71</xdr:row>
      <xdr:rowOff>697</xdr:rowOff>
    </xdr:from>
    <xdr:to>
      <xdr:col>23</xdr:col>
      <xdr:colOff>635619</xdr:colOff>
      <xdr:row>89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49</xdr:row>
      <xdr:rowOff>0</xdr:rowOff>
    </xdr:from>
    <xdr:to>
      <xdr:col>2</xdr:col>
      <xdr:colOff>0</xdr:colOff>
      <xdr:row>49</xdr:row>
      <xdr:rowOff>0</xdr:rowOff>
    </xdr:to>
    <xdr:sp macro="" textlink="">
      <xdr:nvSpPr>
        <xdr:cNvPr id="6" name="Text 10"/>
        <xdr:cNvSpPr txBox="1">
          <a:spLocks noChangeArrowheads="1"/>
        </xdr:cNvSpPr>
      </xdr:nvSpPr>
      <xdr:spPr bwMode="auto">
        <a:xfrm>
          <a:off x="2976563" y="5298281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1190707</xdr:colOff>
      <xdr:row>71</xdr:row>
      <xdr:rowOff>58244</xdr:rowOff>
    </xdr:from>
    <xdr:to>
      <xdr:col>7</xdr:col>
      <xdr:colOff>197246</xdr:colOff>
      <xdr:row>72</xdr:row>
      <xdr:rowOff>121436</xdr:rowOff>
    </xdr:to>
    <xdr:sp macro="" textlink="">
      <xdr:nvSpPr>
        <xdr:cNvPr id="7" name="TextBox 6"/>
        <xdr:cNvSpPr txBox="1"/>
      </xdr:nvSpPr>
      <xdr:spPr>
        <a:xfrm>
          <a:off x="1190707" y="9966567"/>
          <a:ext cx="4605380" cy="2258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      Figure 17.2</a:t>
          </a:r>
          <a:r>
            <a:rPr lang="en-US" sz="12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2013 - 2016</a:t>
          </a:r>
          <a:endParaRPr lang="en-US" sz="1100" b="1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1771650</xdr:colOff>
      <xdr:row>73</xdr:row>
      <xdr:rowOff>0</xdr:rowOff>
    </xdr:from>
    <xdr:to>
      <xdr:col>7</xdr:col>
      <xdr:colOff>152400</xdr:colOff>
      <xdr:row>73</xdr:row>
      <xdr:rowOff>19050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771650" y="10382250"/>
          <a:ext cx="3952875" cy="1905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190500</xdr:colOff>
      <xdr:row>73</xdr:row>
      <xdr:rowOff>19050</xdr:rowOff>
    </xdr:from>
    <xdr:to>
      <xdr:col>20</xdr:col>
      <xdr:colOff>447675</xdr:colOff>
      <xdr:row>73</xdr:row>
      <xdr:rowOff>19050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8734425" y="10401300"/>
          <a:ext cx="372427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0.15725</cdr:x>
      <cdr:y>0.03417</cdr:y>
    </cdr:from>
    <cdr:to>
      <cdr:x>0.82438</cdr:x>
      <cdr:y>0.14435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1132008" y="102024"/>
          <a:ext cx="4802459" cy="328969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 Figure 17.3: </a:t>
          </a:r>
          <a:r>
            <a:rPr lang="en-US" sz="1100" b="1">
              <a:latin typeface="Consolas" pitchFamily="49" charset="0"/>
              <a:cs typeface="Consolas" pitchFamily="49" charset="0"/>
            </a:rPr>
            <a:t>Consumer Price Index, 2010 - 2016</a:t>
          </a: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T2/PES/STI/CPI%20(consumer%20price%20index)/Rebasing%202010/Documentation/Writeup/Tables/2015/Annual/Graphs%20&amp;%20tables%20used_annual%202015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>
        <row r="3">
          <cell r="OC3">
            <v>106.91958868829052</v>
          </cell>
          <cell r="OF3">
            <v>0.50250941361158485</v>
          </cell>
        </row>
        <row r="4">
          <cell r="OC4">
            <v>107.04157551050889</v>
          </cell>
          <cell r="OF4">
            <v>0.57688102083264248</v>
          </cell>
        </row>
        <row r="38">
          <cell r="OC38">
            <v>104.05962917920893</v>
          </cell>
          <cell r="OF38">
            <v>-1.587337151600976</v>
          </cell>
        </row>
        <row r="156">
          <cell r="OC156">
            <v>122.18459773517431</v>
          </cell>
          <cell r="OF156">
            <v>4.0191140378448287</v>
          </cell>
        </row>
        <row r="167">
          <cell r="OC167">
            <v>100.99558210523537</v>
          </cell>
          <cell r="OF167">
            <v>-0.53676570684748626</v>
          </cell>
        </row>
        <row r="207">
          <cell r="OC207">
            <v>108.10803524718015</v>
          </cell>
          <cell r="OF207">
            <v>0.29920217667491755</v>
          </cell>
        </row>
        <row r="209">
          <cell r="OC209">
            <v>116.59514145414504</v>
          </cell>
          <cell r="OF209">
            <v>3.7607542756177725</v>
          </cell>
        </row>
        <row r="240">
          <cell r="OC240">
            <v>97.499129166170533</v>
          </cell>
          <cell r="OF240">
            <v>0.91069109507078139</v>
          </cell>
        </row>
        <row r="292">
          <cell r="OC292">
            <v>125.81722828813672</v>
          </cell>
          <cell r="OF292">
            <v>1.804490098291045</v>
          </cell>
        </row>
        <row r="322">
          <cell r="OC322">
            <v>101.34706519435288</v>
          </cell>
          <cell r="OF322">
            <v>-1.5370849537459153</v>
          </cell>
        </row>
        <row r="348">
          <cell r="OC348">
            <v>99.79368976091358</v>
          </cell>
          <cell r="OF348">
            <v>-0.75989147318363814</v>
          </cell>
        </row>
        <row r="360">
          <cell r="OC360">
            <v>100.69713942933714</v>
          </cell>
          <cell r="OF360">
            <v>-1.2350059655517276</v>
          </cell>
        </row>
        <row r="405">
          <cell r="OC405">
            <v>124.80292719209795</v>
          </cell>
          <cell r="OF405">
            <v>4.8696897695142072</v>
          </cell>
        </row>
        <row r="421">
          <cell r="OC421">
            <v>123.14673548135868</v>
          </cell>
          <cell r="OF421">
            <v>1.7231004678103012</v>
          </cell>
        </row>
        <row r="438">
          <cell r="OC438">
            <v>98.469134997835681</v>
          </cell>
          <cell r="OF438">
            <v>-0.2698829137845582</v>
          </cell>
        </row>
        <row r="484">
          <cell r="OC484">
            <v>107.1902747590181</v>
          </cell>
          <cell r="OF484">
            <v>0.69899081635618199</v>
          </cell>
        </row>
        <row r="485">
          <cell r="OC485">
            <v>108.34446887815083</v>
          </cell>
          <cell r="OF485">
            <v>1.513707865264502</v>
          </cell>
        </row>
      </sheetData>
      <sheetData sheetId="1">
        <row r="3">
          <cell r="NM3">
            <v>106.40071755950871</v>
          </cell>
        </row>
      </sheetData>
      <sheetData sheetId="2"/>
      <sheetData sheetId="3"/>
      <sheetData sheetId="4">
        <row r="3">
          <cell r="OC3">
            <v>108.23342334232696</v>
          </cell>
          <cell r="OF3">
            <v>0.80139984913900619</v>
          </cell>
        </row>
        <row r="4">
          <cell r="OC4">
            <v>106.21438956055287</v>
          </cell>
          <cell r="OF4">
            <v>-1.1492198098441153</v>
          </cell>
        </row>
        <row r="38">
          <cell r="OC38">
            <v>101.29406507957015</v>
          </cell>
          <cell r="OF38">
            <v>-4.6933532157458995</v>
          </cell>
        </row>
        <row r="156">
          <cell r="OC156">
            <v>119.42144298997056</v>
          </cell>
          <cell r="OF156">
            <v>2.7676857673750721</v>
          </cell>
        </row>
        <row r="167">
          <cell r="OC167">
            <v>98.190748488110202</v>
          </cell>
          <cell r="OF167">
            <v>-0.83209932707477563</v>
          </cell>
        </row>
        <row r="207">
          <cell r="OC207">
            <v>111.78087632908641</v>
          </cell>
          <cell r="OF207">
            <v>1.9772462101365074</v>
          </cell>
        </row>
        <row r="209">
          <cell r="OC209">
            <v>117.41374229948713</v>
          </cell>
          <cell r="OF209">
            <v>3.8750283815151443</v>
          </cell>
        </row>
        <row r="240">
          <cell r="OC240">
            <v>96.196125798305104</v>
          </cell>
          <cell r="OF240">
            <v>1.6650761540538461</v>
          </cell>
        </row>
        <row r="292">
          <cell r="OC292">
            <v>128.61309538574685</v>
          </cell>
          <cell r="OF292">
            <v>0.98661137085298556</v>
          </cell>
        </row>
        <row r="322">
          <cell r="OC322">
            <v>107.44337348085035</v>
          </cell>
          <cell r="OF322">
            <v>9.8757790685599645E-2</v>
          </cell>
        </row>
        <row r="348">
          <cell r="OC348">
            <v>95.751607847297137</v>
          </cell>
          <cell r="OF348">
            <v>-0.48061759014536021</v>
          </cell>
        </row>
        <row r="360">
          <cell r="OC360">
            <v>100.46158690929978</v>
          </cell>
          <cell r="OF360">
            <v>-0.58954023954889134</v>
          </cell>
        </row>
        <row r="405">
          <cell r="OC405">
            <v>125.51210025739101</v>
          </cell>
          <cell r="OF405">
            <v>6.971229819200242</v>
          </cell>
        </row>
        <row r="421">
          <cell r="OC421">
            <v>127.6536356791524</v>
          </cell>
          <cell r="OF421">
            <v>1.4533403825192304</v>
          </cell>
        </row>
        <row r="438">
          <cell r="OC438">
            <v>97.897045106929454</v>
          </cell>
          <cell r="OF438">
            <v>-0.45507264100809186</v>
          </cell>
        </row>
        <row r="484">
          <cell r="OC484">
            <v>108.80768335920361</v>
          </cell>
          <cell r="OF484">
            <v>1.2511160314853997</v>
          </cell>
        </row>
        <row r="485">
          <cell r="OC485">
            <v>108.54418419912565</v>
          </cell>
          <cell r="OF485">
            <v>0.50222431219935082</v>
          </cell>
        </row>
      </sheetData>
      <sheetData sheetId="5">
        <row r="3">
          <cell r="NN3">
            <v>107.80747544854762</v>
          </cell>
        </row>
      </sheetData>
      <sheetData sheetId="6"/>
      <sheetData sheetId="7">
        <row r="3">
          <cell r="OF3">
            <v>0.24242056068641826</v>
          </cell>
        </row>
      </sheetData>
      <sheetData sheetId="8">
        <row r="3">
          <cell r="NN3">
            <v>105.1974803361735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graph"/>
      <sheetName val="Male"/>
      <sheetName val="Male , month on month &amp; monthly"/>
      <sheetName val="Atolls"/>
      <sheetName val="Atolls month on month"/>
      <sheetName val="graph (monthly n MnM)"/>
      <sheetName val="Annual"/>
      <sheetName val="annual work"/>
      <sheetName val="Annual CPI 2015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C13">
            <v>0.48382916630824724</v>
          </cell>
          <cell r="P13">
            <v>0.90051165491358276</v>
          </cell>
          <cell r="Q13">
            <v>-0.46573909311584671</v>
          </cell>
          <cell r="R13">
            <v>3.5208490045548935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236"/>
  <sheetViews>
    <sheetView showGridLines="0" tabSelected="1" zoomScaleNormal="100" zoomScaleSheetLayoutView="100" workbookViewId="0">
      <pane xSplit="7" ySplit="19" topLeftCell="H20" activePane="bottomRight" state="frozen"/>
      <selection pane="topRight" activeCell="H1" sqref="H1"/>
      <selection pane="bottomLeft" activeCell="A20" sqref="A20"/>
      <selection pane="bottomRight" activeCell="B26" sqref="B26:B27"/>
    </sheetView>
  </sheetViews>
  <sheetFormatPr defaultColWidth="9.140625" defaultRowHeight="12.75" x14ac:dyDescent="0.2"/>
  <cols>
    <col min="1" max="1" width="35.28515625" style="106" customWidth="1"/>
    <col min="2" max="2" width="11.140625" style="82" customWidth="1"/>
    <col min="3" max="23" width="7.42578125" style="3" customWidth="1"/>
    <col min="24" max="24" width="36.5703125" style="3" customWidth="1"/>
    <col min="25" max="25" width="9.140625" style="3" customWidth="1"/>
    <col min="26" max="36" width="9.140625" style="3"/>
    <col min="37" max="37" width="36" style="3" customWidth="1"/>
    <col min="38" max="16384" width="9.140625" style="3"/>
  </cols>
  <sheetData>
    <row r="1" spans="1:35" ht="19.5" x14ac:dyDescent="0.2">
      <c r="A1" s="129" t="s">
        <v>56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2"/>
    </row>
    <row r="2" spans="1:35" ht="15.75" x14ac:dyDescent="0.2">
      <c r="A2" s="130" t="s">
        <v>55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38"/>
    </row>
    <row r="3" spans="1:35" ht="15" customHeight="1" x14ac:dyDescent="0.2">
      <c r="A3" s="135" t="s">
        <v>39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</row>
    <row r="4" spans="1:35" x14ac:dyDescent="0.2">
      <c r="A4" s="134" t="s">
        <v>38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</row>
    <row r="5" spans="1:35" ht="16.5" customHeight="1" x14ac:dyDescent="0.4">
      <c r="A5" s="4"/>
      <c r="B5" s="132" t="s">
        <v>57</v>
      </c>
      <c r="C5" s="131"/>
      <c r="D5" s="131"/>
      <c r="E5" s="131"/>
      <c r="F5" s="131"/>
      <c r="G5" s="131"/>
      <c r="H5" s="131"/>
      <c r="I5" s="131"/>
      <c r="J5" s="116"/>
      <c r="K5" s="116"/>
      <c r="L5" s="116"/>
      <c r="M5" s="120"/>
      <c r="N5" s="136" t="s">
        <v>0</v>
      </c>
      <c r="O5" s="137"/>
      <c r="P5" s="137"/>
      <c r="Q5" s="137"/>
      <c r="R5" s="137"/>
      <c r="S5" s="137"/>
      <c r="T5" s="137"/>
      <c r="U5" s="137"/>
      <c r="V5" s="137"/>
      <c r="W5" s="137"/>
      <c r="X5" s="5"/>
    </row>
    <row r="6" spans="1:35" ht="27.75" customHeight="1" x14ac:dyDescent="0.4">
      <c r="A6" s="36" t="s">
        <v>47</v>
      </c>
      <c r="B6" s="133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9"/>
      <c r="N6" s="140" t="s">
        <v>26</v>
      </c>
      <c r="O6" s="141"/>
      <c r="P6" s="141"/>
      <c r="Q6" s="141"/>
      <c r="R6" s="141"/>
      <c r="S6" s="141"/>
      <c r="T6" s="141"/>
      <c r="U6" s="141"/>
      <c r="V6" s="141"/>
      <c r="W6" s="141"/>
      <c r="X6" s="37" t="s">
        <v>8</v>
      </c>
    </row>
    <row r="7" spans="1:35" x14ac:dyDescent="0.2">
      <c r="A7" s="26"/>
      <c r="B7" s="26" t="s">
        <v>1</v>
      </c>
      <c r="C7" s="26">
        <v>2006</v>
      </c>
      <c r="D7" s="26">
        <v>2007</v>
      </c>
      <c r="E7" s="26">
        <v>2008</v>
      </c>
      <c r="F7" s="26">
        <v>2009</v>
      </c>
      <c r="G7" s="26">
        <v>2010</v>
      </c>
      <c r="H7" s="26">
        <v>2011</v>
      </c>
      <c r="I7" s="26">
        <v>2012</v>
      </c>
      <c r="J7" s="26">
        <v>2013</v>
      </c>
      <c r="K7" s="26">
        <v>2014</v>
      </c>
      <c r="L7" s="26">
        <v>2015</v>
      </c>
      <c r="M7" s="26">
        <v>2016</v>
      </c>
      <c r="N7" s="39">
        <v>2007</v>
      </c>
      <c r="O7" s="40">
        <v>2008</v>
      </c>
      <c r="P7" s="40">
        <v>2009</v>
      </c>
      <c r="Q7" s="40">
        <v>2010</v>
      </c>
      <c r="R7" s="40">
        <v>2011</v>
      </c>
      <c r="S7" s="40">
        <v>2012</v>
      </c>
      <c r="T7" s="40">
        <v>2013</v>
      </c>
      <c r="U7" s="40">
        <v>2014</v>
      </c>
      <c r="V7" s="26">
        <v>2015</v>
      </c>
      <c r="W7" s="26">
        <v>2016</v>
      </c>
      <c r="X7" s="27"/>
      <c r="Z7" s="11"/>
    </row>
    <row r="8" spans="1:35" s="11" customFormat="1" ht="15" x14ac:dyDescent="0.2">
      <c r="A8" s="6" t="s">
        <v>32</v>
      </c>
      <c r="B8" s="41">
        <v>28.43529313839241</v>
      </c>
      <c r="C8" s="7">
        <v>46.54226956659236</v>
      </c>
      <c r="D8" s="7">
        <v>54.070703301292049</v>
      </c>
      <c r="E8" s="8">
        <v>64.381973226397193</v>
      </c>
      <c r="F8" s="9">
        <v>64.715472651196961</v>
      </c>
      <c r="G8" s="9">
        <v>69.554480633976965</v>
      </c>
      <c r="H8" s="9">
        <v>83.416709968576413</v>
      </c>
      <c r="I8" s="9">
        <v>98.126990664931839</v>
      </c>
      <c r="J8" s="9">
        <v>105.15731822206406</v>
      </c>
      <c r="K8" s="9">
        <v>105.91516633353841</v>
      </c>
      <c r="L8" s="113">
        <v>106.42761479980396</v>
      </c>
      <c r="M8" s="124">
        <f>'[3]Republic data'!$OC$4</f>
        <v>107.04157551050889</v>
      </c>
      <c r="N8" s="42">
        <v>16.175476195736561</v>
      </c>
      <c r="O8" s="10">
        <v>19.06997559778134</v>
      </c>
      <c r="P8" s="10">
        <v>0.51800124800001068</v>
      </c>
      <c r="Q8" s="10">
        <v>7.4773586354862198</v>
      </c>
      <c r="R8" s="10">
        <v>19.930030687092536</v>
      </c>
      <c r="S8" s="10">
        <v>17.634692979256638</v>
      </c>
      <c r="T8" s="10">
        <v>7.1645196795428578</v>
      </c>
      <c r="U8" s="10">
        <v>0.72068033332113313</v>
      </c>
      <c r="V8" s="10">
        <f>'[4]annual work'!$C$13</f>
        <v>0.48382916630824724</v>
      </c>
      <c r="W8" s="10">
        <f>'[3]Republic data'!$OF$4</f>
        <v>0.57688102083264248</v>
      </c>
      <c r="X8" s="1" t="s">
        <v>34</v>
      </c>
      <c r="AA8" s="43" t="s">
        <v>50</v>
      </c>
    </row>
    <row r="9" spans="1:35" s="11" customFormat="1" ht="15" x14ac:dyDescent="0.2">
      <c r="A9" s="6" t="s">
        <v>33</v>
      </c>
      <c r="B9" s="41">
        <f>B8-B10</f>
        <v>19.788959216936362</v>
      </c>
      <c r="C9" s="7">
        <v>56.866771691184077</v>
      </c>
      <c r="D9" s="7">
        <v>62.767090501684173</v>
      </c>
      <c r="E9" s="8">
        <v>76.153290746199403</v>
      </c>
      <c r="F9" s="9">
        <v>78.381813378991197</v>
      </c>
      <c r="G9" s="9">
        <v>84.204150454829019</v>
      </c>
      <c r="H9" s="9">
        <v>94.794400673064558</v>
      </c>
      <c r="I9" s="9">
        <v>100.0268178957039</v>
      </c>
      <c r="J9" s="9">
        <v>105.46827201556327</v>
      </c>
      <c r="K9" s="9">
        <v>105.77637644985344</v>
      </c>
      <c r="L9" s="8">
        <v>106.72890504792964</v>
      </c>
      <c r="M9" s="125">
        <f>'[3]Republic data'!$OC$485</f>
        <v>108.34446887815083</v>
      </c>
      <c r="N9" s="44">
        <v>10.375688007298667</v>
      </c>
      <c r="O9" s="10">
        <v>21.326781498906744</v>
      </c>
      <c r="P9" s="10">
        <v>2.9263641937929075</v>
      </c>
      <c r="Q9" s="10">
        <v>7.4281734816285638</v>
      </c>
      <c r="R9" s="10">
        <v>12.576874371432133</v>
      </c>
      <c r="S9" s="10">
        <v>5.5197534722386976</v>
      </c>
      <c r="T9" s="10">
        <v>5.4399952276129371</v>
      </c>
      <c r="U9" s="10">
        <v>0.29212997274166153</v>
      </c>
      <c r="V9" s="10">
        <f>'[4]annual work'!$P$13</f>
        <v>0.90051165491358276</v>
      </c>
      <c r="W9" s="10">
        <f>'[3]Republic data'!$OF$485</f>
        <v>1.513707865264502</v>
      </c>
      <c r="X9" s="1" t="s">
        <v>35</v>
      </c>
      <c r="AA9" s="43"/>
      <c r="AB9" s="11">
        <v>2009</v>
      </c>
      <c r="AC9" s="11">
        <v>2010</v>
      </c>
      <c r="AD9" s="11">
        <v>2011</v>
      </c>
      <c r="AE9" s="11">
        <v>2012</v>
      </c>
      <c r="AF9" s="11">
        <v>2013</v>
      </c>
      <c r="AG9" s="11">
        <v>2014</v>
      </c>
      <c r="AH9" s="11">
        <v>2015</v>
      </c>
      <c r="AI9" s="11">
        <v>2016</v>
      </c>
    </row>
    <row r="10" spans="1:35" s="11" customFormat="1" ht="15" x14ac:dyDescent="0.2">
      <c r="A10" s="12" t="s">
        <v>2</v>
      </c>
      <c r="B10" s="41">
        <v>8.646333921456046</v>
      </c>
      <c r="C10" s="7">
        <v>22.898483196595674</v>
      </c>
      <c r="D10" s="7">
        <v>34.155406788630842</v>
      </c>
      <c r="E10" s="8">
        <v>37.424884799955599</v>
      </c>
      <c r="F10" s="9">
        <v>33.418656908585071</v>
      </c>
      <c r="G10" s="9">
        <v>36.005776836416281</v>
      </c>
      <c r="H10" s="9">
        <v>57.361052741283949</v>
      </c>
      <c r="I10" s="9">
        <v>93.7760772522998</v>
      </c>
      <c r="J10" s="9">
        <v>104.44563486657425</v>
      </c>
      <c r="K10" s="9">
        <v>106.23281626157906</v>
      </c>
      <c r="L10" s="8">
        <v>105.73804850653096</v>
      </c>
      <c r="M10" s="125">
        <f>'[3]Republic data'!$OC$38</f>
        <v>104.05962917920893</v>
      </c>
      <c r="N10" s="44">
        <v>49.160127749023744</v>
      </c>
      <c r="O10" s="10">
        <v>9.5723585772459643</v>
      </c>
      <c r="P10" s="10">
        <v>-10.704716695281002</v>
      </c>
      <c r="Q10" s="10">
        <v>7.7415436979054508</v>
      </c>
      <c r="R10" s="10">
        <v>59.310693397590896</v>
      </c>
      <c r="S10" s="10">
        <v>63.483884571050076</v>
      </c>
      <c r="T10" s="10">
        <v>11.377696665183112</v>
      </c>
      <c r="U10" s="10">
        <v>1.7111116202107146</v>
      </c>
      <c r="V10" s="10">
        <f>'[4]annual work'!$Q$13</f>
        <v>-0.46573909311584671</v>
      </c>
      <c r="W10" s="10">
        <f>'[3]Republic data'!$OF$38</f>
        <v>-1.587337151600976</v>
      </c>
      <c r="X10" s="1" t="s">
        <v>3</v>
      </c>
      <c r="AA10" s="43" t="s">
        <v>46</v>
      </c>
      <c r="AB10" s="35">
        <f t="shared" ref="AB10:AI10" si="0">F23</f>
        <v>75.900734670117231</v>
      </c>
      <c r="AC10" s="45">
        <f t="shared" si="0"/>
        <v>80.568542845421106</v>
      </c>
      <c r="AD10" s="45">
        <f t="shared" si="0"/>
        <v>89.651368722070842</v>
      </c>
      <c r="AE10" s="45">
        <f t="shared" si="0"/>
        <v>99.409647361204449</v>
      </c>
      <c r="AF10" s="45">
        <f t="shared" si="0"/>
        <v>103.19281073321666</v>
      </c>
      <c r="AG10" s="45">
        <f t="shared" si="0"/>
        <v>105.38050013404563</v>
      </c>
      <c r="AH10" s="45">
        <f t="shared" si="0"/>
        <v>106.38499407837655</v>
      </c>
      <c r="AI10" s="45">
        <f t="shared" si="0"/>
        <v>106.91958868829052</v>
      </c>
    </row>
    <row r="11" spans="1:35" s="11" customFormat="1" ht="15" x14ac:dyDescent="0.2">
      <c r="A11" s="12" t="s">
        <v>28</v>
      </c>
      <c r="B11" s="41">
        <v>2.254164063270403</v>
      </c>
      <c r="C11" s="7">
        <v>49.327553362016907</v>
      </c>
      <c r="D11" s="7">
        <v>49.926435555846972</v>
      </c>
      <c r="E11" s="8">
        <v>51.632567552779186</v>
      </c>
      <c r="F11" s="9">
        <v>50.700704461040182</v>
      </c>
      <c r="G11" s="9">
        <v>50.532891620339313</v>
      </c>
      <c r="H11" s="9">
        <v>64.296766109008189</v>
      </c>
      <c r="I11" s="9">
        <v>101.2436810917912</v>
      </c>
      <c r="J11" s="9">
        <v>98.00579870542515</v>
      </c>
      <c r="K11" s="9">
        <v>100.18505236961772</v>
      </c>
      <c r="L11" s="8">
        <v>117.46360163260034</v>
      </c>
      <c r="M11" s="125">
        <f>'[3]Republic data'!$OC$156</f>
        <v>122.18459773517431</v>
      </c>
      <c r="N11" s="44">
        <v>1.2140926379113903</v>
      </c>
      <c r="O11" s="10">
        <v>3.4172918173254407</v>
      </c>
      <c r="P11" s="10">
        <v>-1.8047971191563317</v>
      </c>
      <c r="Q11" s="10">
        <v>-0.33098719728800186</v>
      </c>
      <c r="R11" s="10">
        <v>27.237456728340014</v>
      </c>
      <c r="S11" s="10">
        <v>57.463099963913479</v>
      </c>
      <c r="T11" s="10">
        <v>-3.1981081203778738</v>
      </c>
      <c r="U11" s="10">
        <v>2.2235966575230304</v>
      </c>
      <c r="V11" s="10">
        <v>17.246633958163748</v>
      </c>
      <c r="W11" s="10">
        <f>'[3]Republic data'!$OF$156</f>
        <v>4.0191140378448287</v>
      </c>
      <c r="X11" s="1" t="s">
        <v>9</v>
      </c>
      <c r="AA11" s="43" t="s">
        <v>25</v>
      </c>
      <c r="AB11" s="35">
        <f t="shared" ref="AB11:AI11" si="1">F44</f>
        <v>75.900734670117231</v>
      </c>
      <c r="AC11" s="45">
        <f t="shared" si="1"/>
        <v>80.568542845421106</v>
      </c>
      <c r="AD11" s="45">
        <f t="shared" si="1"/>
        <v>89.651368722070842</v>
      </c>
      <c r="AE11" s="45">
        <f t="shared" si="1"/>
        <v>99.415139330518244</v>
      </c>
      <c r="AF11" s="45">
        <f t="shared" si="1"/>
        <v>103.38895723436703</v>
      </c>
      <c r="AG11" s="45">
        <f t="shared" si="1"/>
        <v>105.92043432963987</v>
      </c>
      <c r="AH11" s="45">
        <f t="shared" si="1"/>
        <v>107.37293678888472</v>
      </c>
      <c r="AI11" s="45">
        <f t="shared" si="1"/>
        <v>108.23342334232696</v>
      </c>
    </row>
    <row r="12" spans="1:35" s="11" customFormat="1" ht="15" x14ac:dyDescent="0.2">
      <c r="A12" s="12" t="s">
        <v>4</v>
      </c>
      <c r="B12" s="41">
        <v>3.890313123952799</v>
      </c>
      <c r="C12" s="7">
        <v>67.493428550865232</v>
      </c>
      <c r="D12" s="7">
        <v>66.522696340505789</v>
      </c>
      <c r="E12" s="8">
        <v>68.251967675022911</v>
      </c>
      <c r="F12" s="9">
        <v>70.445891756658199</v>
      </c>
      <c r="G12" s="9">
        <v>72.534285938334179</v>
      </c>
      <c r="H12" s="9">
        <v>81.881292827210913</v>
      </c>
      <c r="I12" s="9">
        <v>98.359038463336105</v>
      </c>
      <c r="J12" s="9">
        <v>101.52586212230904</v>
      </c>
      <c r="K12" s="9">
        <v>102.46527730468375</v>
      </c>
      <c r="L12" s="8">
        <v>101.54061731751705</v>
      </c>
      <c r="M12" s="125">
        <f>'[3]Republic data'!$OC$167</f>
        <v>100.99558210523537</v>
      </c>
      <c r="N12" s="44">
        <v>-1.4382618148192972</v>
      </c>
      <c r="O12" s="10">
        <v>2.5995208096581068</v>
      </c>
      <c r="P12" s="10">
        <v>3.2144481051176621</v>
      </c>
      <c r="Q12" s="10">
        <v>2.964536511071425</v>
      </c>
      <c r="R12" s="10">
        <v>12.886329227564453</v>
      </c>
      <c r="S12" s="10">
        <v>20.123944147898555</v>
      </c>
      <c r="T12" s="10">
        <v>3.2196569918212292</v>
      </c>
      <c r="U12" s="10">
        <v>0.92529643456067401</v>
      </c>
      <c r="V12" s="10">
        <v>-0.90241300418013592</v>
      </c>
      <c r="W12" s="10">
        <f>'[3]Republic data'!$OF$167</f>
        <v>-0.53676570684748626</v>
      </c>
      <c r="X12" s="1" t="s">
        <v>10</v>
      </c>
      <c r="AA12" s="43"/>
      <c r="AB12" s="35"/>
      <c r="AC12" s="35"/>
      <c r="AD12" s="35"/>
      <c r="AE12" s="35"/>
    </row>
    <row r="13" spans="1:35" s="11" customFormat="1" ht="15" x14ac:dyDescent="0.2">
      <c r="A13" s="12" t="s">
        <v>40</v>
      </c>
      <c r="B13" s="41">
        <v>23.290469082093963</v>
      </c>
      <c r="C13" s="7">
        <v>70.128284933346336</v>
      </c>
      <c r="D13" s="7">
        <v>72.790167958905229</v>
      </c>
      <c r="E13" s="8">
        <v>80.824789456236729</v>
      </c>
      <c r="F13" s="9">
        <v>87.147430127106858</v>
      </c>
      <c r="G13" s="9">
        <v>93.758762276598645</v>
      </c>
      <c r="H13" s="9">
        <v>96.487654366096692</v>
      </c>
      <c r="I13" s="9">
        <v>99.951850044063292</v>
      </c>
      <c r="J13" s="9">
        <v>103.51724004351574</v>
      </c>
      <c r="K13" s="9">
        <v>106.69055604936631</v>
      </c>
      <c r="L13" s="8">
        <v>107.78553856963902</v>
      </c>
      <c r="M13" s="125">
        <f>'[3]Republic data'!$OC$207</f>
        <v>108.10803524718015</v>
      </c>
      <c r="N13" s="44">
        <v>3.7957338156620946</v>
      </c>
      <c r="O13" s="10">
        <v>11.038058741487667</v>
      </c>
      <c r="P13" s="10">
        <v>7.8226503445376405</v>
      </c>
      <c r="Q13" s="10">
        <v>7.5863764884965379</v>
      </c>
      <c r="R13" s="10">
        <v>2.9105461966824064</v>
      </c>
      <c r="S13" s="10">
        <v>3.5902994022661616</v>
      </c>
      <c r="T13" s="10">
        <v>3.5671075601708901</v>
      </c>
      <c r="U13" s="10">
        <v>3.0654951817847831</v>
      </c>
      <c r="V13" s="10">
        <v>1.0263162559262184</v>
      </c>
      <c r="W13" s="10">
        <f>'[3]Republic data'!$OF$207</f>
        <v>0.29920217667491755</v>
      </c>
      <c r="X13" s="1" t="s">
        <v>11</v>
      </c>
    </row>
    <row r="14" spans="1:35" s="11" customFormat="1" ht="15" x14ac:dyDescent="0.2">
      <c r="A14" s="12" t="s">
        <v>41</v>
      </c>
      <c r="B14" s="41">
        <v>11.680398408355288</v>
      </c>
      <c r="C14" s="7">
        <v>64.647461828276832</v>
      </c>
      <c r="D14" s="7">
        <v>67.343842950624648</v>
      </c>
      <c r="E14" s="8">
        <v>74.851279000594886</v>
      </c>
      <c r="F14" s="9">
        <v>85.550267697798958</v>
      </c>
      <c r="G14" s="9">
        <v>91.040551259171139</v>
      </c>
      <c r="H14" s="9">
        <v>95.103608962918898</v>
      </c>
      <c r="I14" s="9">
        <v>100.07057660044312</v>
      </c>
      <c r="J14" s="9">
        <v>104.08964183574052</v>
      </c>
      <c r="K14" s="9">
        <v>108.54742074440985</v>
      </c>
      <c r="L14" s="8">
        <v>112.36921152715941</v>
      </c>
      <c r="M14" s="125">
        <f>'[3]Republic data'!$OC$209</f>
        <v>116.59514145414504</v>
      </c>
      <c r="N14" s="44">
        <v>4.1709002118446969</v>
      </c>
      <c r="O14" s="10">
        <v>11.147917494810278</v>
      </c>
      <c r="P14" s="10">
        <v>14.293661831909432</v>
      </c>
      <c r="Q14" s="10">
        <v>6.4176111999628915</v>
      </c>
      <c r="R14" s="10">
        <v>4.4629098215598351</v>
      </c>
      <c r="S14" s="10">
        <v>5.2226910121369263</v>
      </c>
      <c r="T14" s="10">
        <v>4.0162307161919708</v>
      </c>
      <c r="U14" s="10">
        <v>4.2826344966235608</v>
      </c>
      <c r="V14" s="10">
        <f>'[4]annual work'!$R$13</f>
        <v>3.5208490045548935</v>
      </c>
      <c r="W14" s="10">
        <f>'[3]Republic data'!$OF$209</f>
        <v>3.7607542756177725</v>
      </c>
      <c r="X14" s="32" t="s">
        <v>44</v>
      </c>
    </row>
    <row r="15" spans="1:35" s="11" customFormat="1" ht="25.5" x14ac:dyDescent="0.2">
      <c r="A15" s="6" t="s">
        <v>27</v>
      </c>
      <c r="B15" s="41">
        <v>8.7141649537725758</v>
      </c>
      <c r="C15" s="7">
        <v>62.787235480784801</v>
      </c>
      <c r="D15" s="7">
        <v>65.996050857083574</v>
      </c>
      <c r="E15" s="8">
        <v>68.380911967950468</v>
      </c>
      <c r="F15" s="9">
        <v>75.858602553560274</v>
      </c>
      <c r="G15" s="9">
        <v>80.397772506783596</v>
      </c>
      <c r="H15" s="9">
        <v>83.774232067142066</v>
      </c>
      <c r="I15" s="9">
        <v>98.65523637265558</v>
      </c>
      <c r="J15" s="9">
        <v>97.029807398560521</v>
      </c>
      <c r="K15" s="9">
        <v>96.030794344264748</v>
      </c>
      <c r="L15" s="8">
        <v>96.619226474540611</v>
      </c>
      <c r="M15" s="125">
        <f>'[3]Republic data'!$OC$240</f>
        <v>97.499129166170533</v>
      </c>
      <c r="N15" s="44">
        <v>5.1106173917798703</v>
      </c>
      <c r="O15" s="10">
        <v>3.6136421496361759</v>
      </c>
      <c r="P15" s="10">
        <v>10.935347848409126</v>
      </c>
      <c r="Q15" s="10">
        <v>5.9837247199728161</v>
      </c>
      <c r="R15" s="10">
        <v>4.1996929206882916</v>
      </c>
      <c r="S15" s="10">
        <v>17.763223772182023</v>
      </c>
      <c r="T15" s="10">
        <v>-1.6475850992391683</v>
      </c>
      <c r="U15" s="10">
        <v>-1.0295939784691344</v>
      </c>
      <c r="V15" s="10">
        <v>0.61275358003014535</v>
      </c>
      <c r="W15" s="10">
        <f>'[3]Republic data'!$OF$240</f>
        <v>0.91069109507078139</v>
      </c>
      <c r="X15" s="1" t="s">
        <v>30</v>
      </c>
      <c r="AA15" s="43" t="s">
        <v>51</v>
      </c>
    </row>
    <row r="16" spans="1:35" s="11" customFormat="1" ht="18.75" customHeight="1" x14ac:dyDescent="0.2">
      <c r="A16" s="13" t="s">
        <v>12</v>
      </c>
      <c r="B16" s="41">
        <v>5.4197286759786749</v>
      </c>
      <c r="C16" s="7">
        <v>87.683380878679159</v>
      </c>
      <c r="D16" s="7">
        <v>95.725018168451655</v>
      </c>
      <c r="E16" s="8">
        <v>115.02993652927483</v>
      </c>
      <c r="F16" s="9">
        <v>117.62003560285746</v>
      </c>
      <c r="G16" s="9">
        <v>123.09882000085349</v>
      </c>
      <c r="H16" s="9">
        <v>136.10400273752558</v>
      </c>
      <c r="I16" s="9">
        <v>103.11447443846129</v>
      </c>
      <c r="J16" s="9">
        <v>110.75985912203326</v>
      </c>
      <c r="K16" s="9">
        <v>120.99690521142638</v>
      </c>
      <c r="L16" s="8">
        <v>123.58711110547449</v>
      </c>
      <c r="M16" s="125">
        <f>'[3]Republic data'!$OC$292</f>
        <v>125.81722828813672</v>
      </c>
      <c r="N16" s="44">
        <v>9.171221740296609</v>
      </c>
      <c r="O16" s="10">
        <v>20.167056356000312</v>
      </c>
      <c r="P16" s="10">
        <v>2.2516739135324482</v>
      </c>
      <c r="Q16" s="10">
        <v>4.6580366770973214</v>
      </c>
      <c r="R16" s="10">
        <v>10.564831357913839</v>
      </c>
      <c r="S16" s="10">
        <v>-24.238470313532279</v>
      </c>
      <c r="T16" s="10">
        <v>7.4144631248009185</v>
      </c>
      <c r="U16" s="10">
        <v>9.2425596877241603</v>
      </c>
      <c r="V16" s="10">
        <v>2.140720780851435</v>
      </c>
      <c r="W16" s="10">
        <f>'[3]Republic data'!$OF$292</f>
        <v>1.804490098291045</v>
      </c>
      <c r="X16" s="1" t="s">
        <v>13</v>
      </c>
      <c r="AB16" s="43" t="s">
        <v>36</v>
      </c>
      <c r="AC16" s="43" t="s">
        <v>37</v>
      </c>
    </row>
    <row r="17" spans="1:43" s="11" customFormat="1" ht="15" x14ac:dyDescent="0.2">
      <c r="A17" s="13" t="s">
        <v>14</v>
      </c>
      <c r="B17" s="41">
        <v>5.4378723050111919</v>
      </c>
      <c r="C17" s="7">
        <v>60.859975065826738</v>
      </c>
      <c r="D17" s="7">
        <v>63.749393784738366</v>
      </c>
      <c r="E17" s="8">
        <v>77.220453300900303</v>
      </c>
      <c r="F17" s="9">
        <v>77.979582923899997</v>
      </c>
      <c r="G17" s="9">
        <v>80.571924425587255</v>
      </c>
      <c r="H17" s="9">
        <v>91.644770975471246</v>
      </c>
      <c r="I17" s="9">
        <v>99.95473548796538</v>
      </c>
      <c r="J17" s="9">
        <v>102.17949400970934</v>
      </c>
      <c r="K17" s="9">
        <v>105.37961599773739</v>
      </c>
      <c r="L17" s="8">
        <v>102.92917404156066</v>
      </c>
      <c r="M17" s="125">
        <f>'[3]Republic data'!$OC$322</f>
        <v>101.34706519435288</v>
      </c>
      <c r="N17" s="44">
        <v>4.7476501851773767</v>
      </c>
      <c r="O17" s="10">
        <v>21.13127469360645</v>
      </c>
      <c r="P17" s="10">
        <v>0.9830680740005926</v>
      </c>
      <c r="Q17" s="10">
        <v>3.3243849280613746</v>
      </c>
      <c r="R17" s="10">
        <v>13.742810077858314</v>
      </c>
      <c r="S17" s="10">
        <v>9.0675817332974695</v>
      </c>
      <c r="T17" s="10">
        <v>2.2257660038646376</v>
      </c>
      <c r="U17" s="10">
        <v>3.1318632168250593</v>
      </c>
      <c r="V17" s="10">
        <v>-2.3253472058859526</v>
      </c>
      <c r="W17" s="10">
        <f>'[3]Republic data'!$OF$322</f>
        <v>-1.5370849537459153</v>
      </c>
      <c r="X17" s="1" t="s">
        <v>15</v>
      </c>
      <c r="AA17" s="11">
        <v>2007</v>
      </c>
      <c r="AB17" s="35">
        <f>D23</f>
        <v>64.807540880908348</v>
      </c>
      <c r="AC17" s="35">
        <f>D24</f>
        <v>67.18924401230818</v>
      </c>
      <c r="AD17" s="35"/>
    </row>
    <row r="18" spans="1:43" s="11" customFormat="1" ht="15" x14ac:dyDescent="0.2">
      <c r="A18" s="13" t="s">
        <v>16</v>
      </c>
      <c r="B18" s="41">
        <v>4.7510307288693099</v>
      </c>
      <c r="C18" s="7">
        <v>115.34450273124089</v>
      </c>
      <c r="D18" s="7">
        <v>104.72754551977413</v>
      </c>
      <c r="E18" s="8">
        <v>100.9097966458598</v>
      </c>
      <c r="F18" s="9">
        <v>100.15439105359373</v>
      </c>
      <c r="G18" s="9">
        <v>100.38298344923554</v>
      </c>
      <c r="H18" s="9">
        <v>100.6195512642537</v>
      </c>
      <c r="I18" s="9">
        <v>100.00528180711392</v>
      </c>
      <c r="J18" s="9">
        <v>99.050815085253589</v>
      </c>
      <c r="K18" s="9">
        <v>100.28780520090577</v>
      </c>
      <c r="L18" s="8">
        <v>100.55782006117782</v>
      </c>
      <c r="M18" s="125">
        <f>'[3]Republic data'!$OC$348</f>
        <v>99.79368976091358</v>
      </c>
      <c r="N18" s="44">
        <v>-9.204562818398788</v>
      </c>
      <c r="O18" s="10">
        <v>-3.6454104361621664</v>
      </c>
      <c r="P18" s="10">
        <v>-0.74859490096600423</v>
      </c>
      <c r="Q18" s="10">
        <v>0.22824001348027423</v>
      </c>
      <c r="R18" s="10">
        <v>0.23566525609173272</v>
      </c>
      <c r="S18" s="10">
        <v>-0.61048717612200987</v>
      </c>
      <c r="T18" s="10">
        <v>-0.95441631143169392</v>
      </c>
      <c r="U18" s="10">
        <v>1.2488439540729646</v>
      </c>
      <c r="V18" s="10">
        <v>0.26923997362504615</v>
      </c>
      <c r="W18" s="10">
        <f>'[3]Republic data'!$OF$348</f>
        <v>-0.75989147318363814</v>
      </c>
      <c r="X18" s="1" t="s">
        <v>17</v>
      </c>
      <c r="AA18" s="11">
        <v>2008</v>
      </c>
      <c r="AB18" s="35">
        <f>E23</f>
        <v>72.611313924073201</v>
      </c>
      <c r="AC18" s="35">
        <f>E24</f>
        <v>75.385471686170362</v>
      </c>
      <c r="AD18" s="35"/>
    </row>
    <row r="19" spans="1:43" s="11" customFormat="1" ht="15" x14ac:dyDescent="0.2">
      <c r="A19" s="14" t="s">
        <v>18</v>
      </c>
      <c r="B19" s="41">
        <v>5.1031994041341724</v>
      </c>
      <c r="C19" s="7">
        <v>94.874945972791352</v>
      </c>
      <c r="D19" s="7">
        <v>96.624178349214034</v>
      </c>
      <c r="E19" s="8">
        <v>90.077187080296483</v>
      </c>
      <c r="F19" s="9">
        <v>94.587232125872092</v>
      </c>
      <c r="G19" s="9">
        <v>100.01905005623114</v>
      </c>
      <c r="H19" s="9">
        <v>97.89290317146407</v>
      </c>
      <c r="I19" s="9">
        <v>99.531777140452178</v>
      </c>
      <c r="J19" s="9">
        <v>98.82807875047888</v>
      </c>
      <c r="K19" s="9">
        <v>102.2003441480955</v>
      </c>
      <c r="L19" s="8">
        <v>101.95630588932649</v>
      </c>
      <c r="M19" s="125">
        <f>'[3]Republic data'!$OC$360</f>
        <v>100.69713942933714</v>
      </c>
      <c r="N19" s="44">
        <v>1.8437242398265274</v>
      </c>
      <c r="O19" s="10">
        <v>-6.7757277534156728</v>
      </c>
      <c r="P19" s="10">
        <v>5.0068671011621158</v>
      </c>
      <c r="Q19" s="10">
        <v>5.7426544875852192</v>
      </c>
      <c r="R19" s="10">
        <v>-2.1257419297341262</v>
      </c>
      <c r="S19" s="10">
        <v>1.6741499290480188</v>
      </c>
      <c r="T19" s="10">
        <v>-0.70700876663770673</v>
      </c>
      <c r="U19" s="10">
        <v>3.4122543312117948</v>
      </c>
      <c r="V19" s="10">
        <v>-0.2387841849293415</v>
      </c>
      <c r="W19" s="10">
        <f>'[3]Republic data'!$OF$360</f>
        <v>-1.2350059655517276</v>
      </c>
      <c r="X19" s="15" t="s">
        <v>19</v>
      </c>
      <c r="AA19" s="11">
        <v>2009</v>
      </c>
      <c r="AB19" s="35">
        <f>F23</f>
        <v>75.900734670117231</v>
      </c>
      <c r="AC19" s="35">
        <f>F24</f>
        <v>79.51493809042644</v>
      </c>
      <c r="AD19" s="35"/>
    </row>
    <row r="20" spans="1:43" s="11" customFormat="1" ht="15" x14ac:dyDescent="0.2">
      <c r="A20" s="12" t="s">
        <v>5</v>
      </c>
      <c r="B20" s="41">
        <v>2.4983461177360984</v>
      </c>
      <c r="C20" s="7">
        <v>47.049388033467601</v>
      </c>
      <c r="D20" s="7">
        <v>48.13102192510862</v>
      </c>
      <c r="E20" s="8">
        <v>49.012472981378899</v>
      </c>
      <c r="F20" s="9">
        <v>66.212440093936394</v>
      </c>
      <c r="G20" s="9">
        <v>72.465176121953334</v>
      </c>
      <c r="H20" s="9">
        <v>85.752154766717368</v>
      </c>
      <c r="I20" s="9">
        <v>100.26897294373833</v>
      </c>
      <c r="J20" s="9">
        <v>105.75107702222947</v>
      </c>
      <c r="K20" s="9">
        <v>110.56855328746506</v>
      </c>
      <c r="L20" s="8">
        <v>119.00762505009182</v>
      </c>
      <c r="M20" s="125">
        <f>'[3]Republic data'!$OC$405</f>
        <v>124.80292719209795</v>
      </c>
      <c r="N20" s="44">
        <v>2.2989329656564639</v>
      </c>
      <c r="O20" s="10">
        <v>1.8313574510049113</v>
      </c>
      <c r="P20" s="10">
        <v>35.093040743102691</v>
      </c>
      <c r="Q20" s="10">
        <v>9.4434460037209114</v>
      </c>
      <c r="R20" s="10">
        <v>18.335674258768186</v>
      </c>
      <c r="S20" s="10">
        <v>16.928808630538718</v>
      </c>
      <c r="T20" s="10">
        <v>5.4673982564548584</v>
      </c>
      <c r="U20" s="10">
        <v>4.5554867154903089</v>
      </c>
      <c r="V20" s="10">
        <v>7.6324339169801414</v>
      </c>
      <c r="W20" s="10">
        <f>'[3]Republic data'!$OF$405</f>
        <v>4.8696897695142072</v>
      </c>
      <c r="X20" s="15" t="s">
        <v>6</v>
      </c>
      <c r="AA20" s="11">
        <v>2010</v>
      </c>
      <c r="AB20" s="35">
        <f>G23</f>
        <v>80.568542845421106</v>
      </c>
      <c r="AC20" s="45">
        <f>G24</f>
        <v>84.338371332150743</v>
      </c>
      <c r="AD20" s="35"/>
    </row>
    <row r="21" spans="1:43" s="11" customFormat="1" ht="15" x14ac:dyDescent="0.2">
      <c r="A21" s="12" t="s">
        <v>20</v>
      </c>
      <c r="B21" s="41">
        <v>3.0243474234302665</v>
      </c>
      <c r="C21" s="7">
        <v>49.094342913656533</v>
      </c>
      <c r="D21" s="7">
        <v>57.310377045571919</v>
      </c>
      <c r="E21" s="8">
        <v>66.268774405103429</v>
      </c>
      <c r="F21" s="9">
        <v>67.972496509520113</v>
      </c>
      <c r="G21" s="9">
        <v>70.167294544238487</v>
      </c>
      <c r="H21" s="9">
        <v>81.124231104476152</v>
      </c>
      <c r="I21" s="9">
        <v>103.56604942649903</v>
      </c>
      <c r="J21" s="9">
        <v>115.92908544747458</v>
      </c>
      <c r="K21" s="9">
        <v>121.3287709962447</v>
      </c>
      <c r="L21" s="8">
        <v>121.06073734975051</v>
      </c>
      <c r="M21" s="125">
        <f>'[3]Republic data'!$OC$421</f>
        <v>123.14673548135868</v>
      </c>
      <c r="N21" s="44">
        <v>16.735195226800649</v>
      </c>
      <c r="O21" s="10">
        <v>15.631370480092976</v>
      </c>
      <c r="P21" s="10">
        <v>2.5709274386180203</v>
      </c>
      <c r="Q21" s="10">
        <v>3.2289501598796955</v>
      </c>
      <c r="R21" s="10">
        <v>15.615446813799583</v>
      </c>
      <c r="S21" s="10">
        <v>27.663520524615027</v>
      </c>
      <c r="T21" s="10">
        <v>11.937344418790063</v>
      </c>
      <c r="U21" s="10">
        <v>4.6577487676434881</v>
      </c>
      <c r="V21" s="10">
        <v>-0.22091515828713826</v>
      </c>
      <c r="W21" s="10">
        <f>'[3]Republic data'!$OF$421</f>
        <v>1.7231004678103012</v>
      </c>
      <c r="X21" s="15" t="s">
        <v>21</v>
      </c>
      <c r="AA21" s="11">
        <v>2011</v>
      </c>
      <c r="AB21" s="35">
        <f>H23</f>
        <v>89.651368722070842</v>
      </c>
      <c r="AC21" s="45">
        <f>H24</f>
        <v>91.679051572020867</v>
      </c>
      <c r="AD21" s="35"/>
    </row>
    <row r="22" spans="1:43" s="11" customFormat="1" ht="15" x14ac:dyDescent="0.2">
      <c r="A22" s="14" t="s">
        <v>22</v>
      </c>
      <c r="B22" s="41">
        <v>7.1810709833581452</v>
      </c>
      <c r="C22" s="7">
        <v>66.045812015945941</v>
      </c>
      <c r="D22" s="7">
        <v>67.578746700557247</v>
      </c>
      <c r="E22" s="8">
        <v>71.846737489273423</v>
      </c>
      <c r="F22" s="9">
        <v>76.948539555294857</v>
      </c>
      <c r="G22" s="9">
        <v>80.738363693637908</v>
      </c>
      <c r="H22" s="9">
        <v>86.725904563278689</v>
      </c>
      <c r="I22" s="9">
        <v>100.59989156921542</v>
      </c>
      <c r="J22" s="9">
        <v>99.01609787482279</v>
      </c>
      <c r="K22" s="9">
        <v>98.892634758290214</v>
      </c>
      <c r="L22" s="8">
        <v>98.735605526974709</v>
      </c>
      <c r="M22" s="125">
        <f>'[3]Republic data'!$OC$438</f>
        <v>98.469134997835681</v>
      </c>
      <c r="N22" s="44">
        <v>2.3210172421548769</v>
      </c>
      <c r="O22" s="10">
        <v>6.3155814469713745</v>
      </c>
      <c r="P22" s="10">
        <v>7.1009516149332708</v>
      </c>
      <c r="Q22" s="10">
        <v>4.9251410881160362</v>
      </c>
      <c r="R22" s="10">
        <v>7.4159799576327012</v>
      </c>
      <c r="S22" s="10">
        <v>15.997512018815229</v>
      </c>
      <c r="T22" s="10">
        <v>-1.5743493056381008</v>
      </c>
      <c r="U22" s="10">
        <v>-0.12468994353691532</v>
      </c>
      <c r="V22" s="10">
        <v>-0.15878758989413821</v>
      </c>
      <c r="W22" s="10">
        <f>'[3]Republic data'!$OF$438</f>
        <v>-0.2698829137845582</v>
      </c>
      <c r="X22" s="46" t="s">
        <v>45</v>
      </c>
      <c r="AA22" s="11">
        <v>2012</v>
      </c>
      <c r="AB22" s="35">
        <f>I23</f>
        <v>99.409647361204449</v>
      </c>
      <c r="AC22" s="45">
        <f>I24</f>
        <v>100.14126599840249</v>
      </c>
    </row>
    <row r="23" spans="1:43" s="21" customFormat="1" ht="15" x14ac:dyDescent="0.2">
      <c r="A23" s="16" t="s">
        <v>42</v>
      </c>
      <c r="B23" s="47">
        <f>SUM(B8,B12:B13,B11,B15:B22)</f>
        <v>100.00000000000003</v>
      </c>
      <c r="C23" s="17">
        <v>60.684187749186492</v>
      </c>
      <c r="D23" s="17">
        <v>64.807540880908348</v>
      </c>
      <c r="E23" s="18">
        <v>72.611313924073201</v>
      </c>
      <c r="F23" s="18">
        <v>75.900734670117231</v>
      </c>
      <c r="G23" s="18">
        <v>80.568542845421106</v>
      </c>
      <c r="H23" s="18">
        <v>89.651368722070842</v>
      </c>
      <c r="I23" s="18">
        <v>99.409647361204449</v>
      </c>
      <c r="J23" s="18">
        <v>103.19281073321666</v>
      </c>
      <c r="K23" s="18">
        <v>105.38050013404563</v>
      </c>
      <c r="L23" s="18">
        <v>106.38499407837655</v>
      </c>
      <c r="M23" s="126">
        <f>'[3]Republic data'!$OC$3</f>
        <v>106.91958868829052</v>
      </c>
      <c r="N23" s="48">
        <v>6.7947735393016462</v>
      </c>
      <c r="O23" s="19">
        <v>12.041458350510826</v>
      </c>
      <c r="P23" s="19">
        <v>4.5301765913279723</v>
      </c>
      <c r="Q23" s="19">
        <v>6.1498853675017617</v>
      </c>
      <c r="R23" s="19">
        <v>11.273414605593723</v>
      </c>
      <c r="S23" s="19">
        <v>10.884695658563071</v>
      </c>
      <c r="T23" s="19">
        <v>3.8056300091942941</v>
      </c>
      <c r="U23" s="19">
        <v>2.1200017571813001</v>
      </c>
      <c r="V23" s="19">
        <v>0.95</v>
      </c>
      <c r="W23" s="19">
        <f>'[3]Republic data'!$OF$3</f>
        <v>0.50250941361158485</v>
      </c>
      <c r="X23" s="20" t="s">
        <v>7</v>
      </c>
      <c r="AA23" s="21">
        <v>2013</v>
      </c>
      <c r="AB23" s="49">
        <f>J23</f>
        <v>103.19281073321666</v>
      </c>
      <c r="AC23" s="49">
        <f>J24</f>
        <v>103.07423491391059</v>
      </c>
    </row>
    <row r="24" spans="1:43" s="25" customFormat="1" ht="15" x14ac:dyDescent="0.2">
      <c r="A24" s="22" t="s">
        <v>43</v>
      </c>
      <c r="B24" s="50">
        <f>B23-B10</f>
        <v>91.353666078543981</v>
      </c>
      <c r="C24" s="23">
        <v>64.052485645287277</v>
      </c>
      <c r="D24" s="23">
        <v>67.18924401230818</v>
      </c>
      <c r="E24" s="23">
        <v>75.385471686170362</v>
      </c>
      <c r="F24" s="23">
        <v>79.51493809042644</v>
      </c>
      <c r="G24" s="23">
        <v>84.338371332150743</v>
      </c>
      <c r="H24" s="23">
        <v>91.679051572020867</v>
      </c>
      <c r="I24" s="23">
        <v>100.14126599840249</v>
      </c>
      <c r="J24" s="23">
        <v>103.07423491391059</v>
      </c>
      <c r="K24" s="23">
        <v>105.29983112357628</v>
      </c>
      <c r="L24" s="23">
        <v>106.44622541898161</v>
      </c>
      <c r="M24" s="127">
        <f>'[3]Republic data'!$OC$484</f>
        <v>107.1902747590181</v>
      </c>
      <c r="N24" s="51">
        <v>4.8971688380553768</v>
      </c>
      <c r="O24" s="23">
        <v>12.198719890881261</v>
      </c>
      <c r="P24" s="23">
        <v>5.4778013745765852</v>
      </c>
      <c r="Q24" s="23">
        <v>6.0660718068332953</v>
      </c>
      <c r="R24" s="23">
        <v>8.7038439608470028</v>
      </c>
      <c r="S24" s="23">
        <v>9.2302595645133998</v>
      </c>
      <c r="T24" s="23">
        <v>2.9288314724869702</v>
      </c>
      <c r="U24" s="23">
        <v>2.159216812546938</v>
      </c>
      <c r="V24" s="23">
        <v>1.0900000000000001</v>
      </c>
      <c r="W24" s="23">
        <f>'[3]Republic data'!$OF$484</f>
        <v>0.69899081635618199</v>
      </c>
      <c r="X24" s="24" t="s">
        <v>31</v>
      </c>
      <c r="AA24" s="21">
        <v>2014</v>
      </c>
      <c r="AB24" s="49">
        <f>K23</f>
        <v>105.38050013404563</v>
      </c>
      <c r="AC24" s="49">
        <f>K24</f>
        <v>105.29983112357628</v>
      </c>
    </row>
    <row r="25" spans="1:43" s="56" customFormat="1" ht="15.75" customHeight="1" x14ac:dyDescent="0.2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118"/>
      <c r="M25" s="118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4"/>
      <c r="Y25" s="55"/>
      <c r="Z25" s="53"/>
      <c r="AA25" s="21">
        <v>2015</v>
      </c>
      <c r="AB25" s="49">
        <f>L23</f>
        <v>106.38499407837655</v>
      </c>
      <c r="AC25" s="49">
        <f>L24</f>
        <v>106.44622541898161</v>
      </c>
    </row>
    <row r="26" spans="1:43" ht="21" customHeight="1" x14ac:dyDescent="0.2">
      <c r="A26" s="4"/>
      <c r="B26" s="131" t="s">
        <v>29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22"/>
      <c r="N26" s="136" t="s">
        <v>0</v>
      </c>
      <c r="O26" s="137"/>
      <c r="P26" s="137"/>
      <c r="Q26" s="137"/>
      <c r="R26" s="137"/>
      <c r="S26" s="137"/>
      <c r="T26" s="137"/>
      <c r="U26" s="137"/>
      <c r="V26" s="137"/>
      <c r="W26" s="137"/>
      <c r="X26" s="5"/>
      <c r="AA26" s="21">
        <v>2016</v>
      </c>
      <c r="AB26" s="49">
        <f>M23</f>
        <v>106.91958868829052</v>
      </c>
      <c r="AC26" s="49">
        <f>M24</f>
        <v>107.1902747590181</v>
      </c>
    </row>
    <row r="27" spans="1:43" ht="28.5" customHeight="1" x14ac:dyDescent="0.2">
      <c r="A27" s="30" t="s">
        <v>23</v>
      </c>
      <c r="B27" s="138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28"/>
      <c r="N27" s="140" t="s">
        <v>26</v>
      </c>
      <c r="O27" s="141"/>
      <c r="P27" s="141"/>
      <c r="Q27" s="141"/>
      <c r="R27" s="141"/>
      <c r="S27" s="141"/>
      <c r="T27" s="141"/>
      <c r="U27" s="141"/>
      <c r="V27" s="141"/>
      <c r="W27" s="141"/>
      <c r="X27" s="37" t="s">
        <v>24</v>
      </c>
    </row>
    <row r="28" spans="1:43" x14ac:dyDescent="0.2">
      <c r="A28" s="60"/>
      <c r="B28" s="61" t="s">
        <v>1</v>
      </c>
      <c r="C28" s="62">
        <v>2006</v>
      </c>
      <c r="D28" s="62">
        <v>2007</v>
      </c>
      <c r="E28" s="62">
        <v>2008</v>
      </c>
      <c r="F28" s="62">
        <v>2009</v>
      </c>
      <c r="G28" s="62">
        <v>2010</v>
      </c>
      <c r="H28" s="62">
        <v>2011</v>
      </c>
      <c r="I28" s="62">
        <v>2012</v>
      </c>
      <c r="J28" s="62">
        <v>2013</v>
      </c>
      <c r="K28" s="62">
        <v>2014</v>
      </c>
      <c r="L28" s="119">
        <v>2015</v>
      </c>
      <c r="M28" s="123">
        <v>2016</v>
      </c>
      <c r="N28" s="63">
        <v>2007</v>
      </c>
      <c r="O28" s="64">
        <v>2008</v>
      </c>
      <c r="P28" s="64">
        <v>2009</v>
      </c>
      <c r="Q28" s="64">
        <v>2010</v>
      </c>
      <c r="R28" s="64">
        <v>2011</v>
      </c>
      <c r="S28" s="64">
        <v>2012</v>
      </c>
      <c r="T28" s="64">
        <v>2013</v>
      </c>
      <c r="U28" s="40">
        <v>2014</v>
      </c>
      <c r="V28" s="26">
        <v>2015</v>
      </c>
      <c r="W28" s="26">
        <v>2016</v>
      </c>
      <c r="X28" s="27"/>
      <c r="AB28" s="107"/>
    </row>
    <row r="29" spans="1:43" s="29" customFormat="1" ht="18" customHeight="1" x14ac:dyDescent="0.2">
      <c r="A29" s="6" t="s">
        <v>32</v>
      </c>
      <c r="B29" s="41">
        <v>23.78411261195577</v>
      </c>
      <c r="C29" s="7">
        <v>46.54226956659236</v>
      </c>
      <c r="D29" s="7">
        <v>54.070703301292049</v>
      </c>
      <c r="E29" s="8">
        <v>64.381973226397193</v>
      </c>
      <c r="F29" s="9">
        <v>64.715472651196961</v>
      </c>
      <c r="G29" s="9">
        <v>69.554480633976965</v>
      </c>
      <c r="H29" s="9">
        <v>83.416709968576413</v>
      </c>
      <c r="I29" s="9">
        <v>98.167408450774488</v>
      </c>
      <c r="J29" s="9">
        <v>105.5418979724201</v>
      </c>
      <c r="K29" s="9">
        <v>106.60711823254361</v>
      </c>
      <c r="L29" s="113">
        <v>107.44921725072059</v>
      </c>
      <c r="M29" s="124">
        <f>[3]Male!$OC$4</f>
        <v>106.21438956055287</v>
      </c>
      <c r="N29" s="44">
        <v>16.175476195736561</v>
      </c>
      <c r="O29" s="10">
        <v>19.06997559778134</v>
      </c>
      <c r="P29" s="10">
        <v>0.51800124800001068</v>
      </c>
      <c r="Q29" s="10">
        <v>7.4773586354862198</v>
      </c>
      <c r="R29" s="10">
        <v>19.930030687092536</v>
      </c>
      <c r="S29" s="10">
        <v>17.683145844225635</v>
      </c>
      <c r="T29" s="10">
        <v>7.5121566699435816</v>
      </c>
      <c r="U29" s="9">
        <v>1.0092866251105947</v>
      </c>
      <c r="V29" s="10">
        <v>0.78990880922238382</v>
      </c>
      <c r="W29" s="10">
        <f>[3]Male!$OF$4</f>
        <v>-1.1492198098441153</v>
      </c>
      <c r="X29" s="1" t="s">
        <v>34</v>
      </c>
      <c r="Y29" s="65"/>
      <c r="AA29" s="3"/>
      <c r="AB29" s="3"/>
      <c r="AC29" s="3"/>
      <c r="AD29" s="66"/>
      <c r="AE29" s="66"/>
      <c r="AF29" s="66"/>
      <c r="AG29" s="66"/>
      <c r="AH29" s="66"/>
      <c r="AI29" s="66"/>
      <c r="AJ29" s="67"/>
      <c r="AM29" s="31"/>
      <c r="AN29" s="31"/>
      <c r="AO29" s="31"/>
      <c r="AP29" s="68"/>
      <c r="AQ29" s="31"/>
    </row>
    <row r="30" spans="1:43" s="29" customFormat="1" ht="18" customHeight="1" x14ac:dyDescent="0.2">
      <c r="A30" s="6" t="s">
        <v>33</v>
      </c>
      <c r="B30" s="41">
        <f>B29-B31</f>
        <v>16.141190180918223</v>
      </c>
      <c r="C30" s="7">
        <v>56.866771691184077</v>
      </c>
      <c r="D30" s="7">
        <v>62.767090501684173</v>
      </c>
      <c r="E30" s="8">
        <v>76.153290746199403</v>
      </c>
      <c r="F30" s="9">
        <v>78.381813378991197</v>
      </c>
      <c r="G30" s="9">
        <v>84.204150454829019</v>
      </c>
      <c r="H30" s="9">
        <v>94.794400673064558</v>
      </c>
      <c r="I30" s="9">
        <v>99.776621425288184</v>
      </c>
      <c r="J30" s="9">
        <v>106.34377466951754</v>
      </c>
      <c r="K30" s="9">
        <v>106.61664175076959</v>
      </c>
      <c r="L30" s="8">
        <v>108.00177303732585</v>
      </c>
      <c r="M30" s="125">
        <f>[3]Male!$OC$485</f>
        <v>108.54418419912565</v>
      </c>
      <c r="N30" s="44">
        <v>10.375688007298667</v>
      </c>
      <c r="O30" s="10">
        <v>21.326781498906744</v>
      </c>
      <c r="P30" s="10">
        <v>2.9263641937929075</v>
      </c>
      <c r="Q30" s="10">
        <v>7.4281734816285638</v>
      </c>
      <c r="R30" s="10">
        <v>12.576874371432133</v>
      </c>
      <c r="S30" s="10">
        <v>5.2558175555186493</v>
      </c>
      <c r="T30" s="10">
        <v>6.5818556996809052</v>
      </c>
      <c r="U30" s="9">
        <v>0.25658961429573246</v>
      </c>
      <c r="V30" s="10">
        <v>1.2991698704918786</v>
      </c>
      <c r="W30" s="10">
        <f>[3]Male!$OF$485</f>
        <v>0.50222431219935082</v>
      </c>
      <c r="X30" s="1" t="s">
        <v>35</v>
      </c>
      <c r="Y30" s="65"/>
      <c r="AA30" s="3"/>
      <c r="AB30" s="107"/>
      <c r="AC30" s="3"/>
      <c r="AD30" s="69"/>
      <c r="AE30" s="69"/>
      <c r="AF30" s="69"/>
      <c r="AG30" s="69"/>
      <c r="AH30" s="69"/>
      <c r="AI30" s="69"/>
      <c r="AJ30" s="67"/>
      <c r="AM30" s="31"/>
      <c r="AN30" s="31"/>
      <c r="AO30" s="31"/>
      <c r="AP30" s="68"/>
      <c r="AQ30" s="31"/>
    </row>
    <row r="31" spans="1:43" s="29" customFormat="1" ht="15" x14ac:dyDescent="0.2">
      <c r="A31" s="12" t="s">
        <v>2</v>
      </c>
      <c r="B31" s="41">
        <v>7.6429224310375492</v>
      </c>
      <c r="C31" s="7">
        <v>22.898483196595674</v>
      </c>
      <c r="D31" s="7">
        <v>34.155406788630842</v>
      </c>
      <c r="E31" s="8">
        <v>37.424884799955599</v>
      </c>
      <c r="F31" s="9">
        <v>33.418656908585071</v>
      </c>
      <c r="G31" s="9">
        <v>36.005776836416281</v>
      </c>
      <c r="H31" s="9">
        <v>57.361052741283949</v>
      </c>
      <c r="I31" s="9">
        <v>94.406157167404913</v>
      </c>
      <c r="J31" s="9">
        <v>103.84840384287946</v>
      </c>
      <c r="K31" s="9">
        <v>106.58700538693205</v>
      </c>
      <c r="L31" s="8">
        <v>106.28226728915327</v>
      </c>
      <c r="M31" s="125">
        <f>[3]Male!$OC$38</f>
        <v>101.29406507957015</v>
      </c>
      <c r="N31" s="44">
        <v>49.160127749023744</v>
      </c>
      <c r="O31" s="10">
        <v>9.5723585772459643</v>
      </c>
      <c r="P31" s="10">
        <v>-10.704716695281002</v>
      </c>
      <c r="Q31" s="10">
        <v>7.7415436979054508</v>
      </c>
      <c r="R31" s="10">
        <v>59.310693397590896</v>
      </c>
      <c r="S31" s="10">
        <v>64.582330092869483</v>
      </c>
      <c r="T31" s="10">
        <v>10.001727597842125</v>
      </c>
      <c r="U31" s="9">
        <v>2.6371147198333666</v>
      </c>
      <c r="V31" s="10">
        <v>-0.28590548788993697</v>
      </c>
      <c r="W31" s="10">
        <f>[3]Male!$OF$38</f>
        <v>-4.6933532157458995</v>
      </c>
      <c r="X31" s="1" t="s">
        <v>3</v>
      </c>
      <c r="Y31" s="65"/>
      <c r="Z31" s="69"/>
      <c r="AA31" s="3"/>
      <c r="AB31" s="107"/>
      <c r="AC31" s="3"/>
      <c r="AD31" s="69"/>
      <c r="AE31" s="69"/>
      <c r="AF31" s="69"/>
      <c r="AG31" s="69"/>
      <c r="AH31" s="69"/>
      <c r="AI31" s="69"/>
      <c r="AJ31" s="67"/>
      <c r="AM31" s="31"/>
      <c r="AN31" s="31"/>
      <c r="AO31" s="31"/>
      <c r="AP31" s="68"/>
      <c r="AQ31" s="31"/>
    </row>
    <row r="32" spans="1:43" s="29" customFormat="1" ht="15" x14ac:dyDescent="0.2">
      <c r="A32" s="12" t="s">
        <v>28</v>
      </c>
      <c r="B32" s="41">
        <v>1.2551264274393874</v>
      </c>
      <c r="C32" s="7">
        <v>49.327553362016907</v>
      </c>
      <c r="D32" s="7">
        <v>49.926435555846972</v>
      </c>
      <c r="E32" s="8">
        <v>51.632567552779186</v>
      </c>
      <c r="F32" s="9">
        <v>50.700704461040182</v>
      </c>
      <c r="G32" s="9">
        <v>50.532891620339313</v>
      </c>
      <c r="H32" s="9">
        <v>64.296766109008189</v>
      </c>
      <c r="I32" s="9">
        <v>101.10997281948137</v>
      </c>
      <c r="J32" s="9">
        <v>98.191752361218789</v>
      </c>
      <c r="K32" s="9">
        <v>101.20504904236994</v>
      </c>
      <c r="L32" s="8">
        <v>116.20524691029136</v>
      </c>
      <c r="M32" s="125">
        <f>[3]Male!$OC$156</f>
        <v>119.42144298997056</v>
      </c>
      <c r="N32" s="44">
        <v>1.2140926379113903</v>
      </c>
      <c r="O32" s="10">
        <v>3.4172918173254407</v>
      </c>
      <c r="P32" s="10">
        <v>-1.8047971191563317</v>
      </c>
      <c r="Q32" s="10">
        <v>-0.33098719728800186</v>
      </c>
      <c r="R32" s="10">
        <v>27.237456728340014</v>
      </c>
      <c r="S32" s="10">
        <v>57.255145069132077</v>
      </c>
      <c r="T32" s="10">
        <v>-2.8861845937518726</v>
      </c>
      <c r="U32" s="9">
        <v>3.068787967105524</v>
      </c>
      <c r="V32" s="10">
        <v>14.821590434328558</v>
      </c>
      <c r="W32" s="10">
        <f>[3]Male!$OF$156</f>
        <v>2.7676857673750721</v>
      </c>
      <c r="X32" s="1" t="s">
        <v>9</v>
      </c>
      <c r="Y32" s="65"/>
      <c r="Z32" s="69"/>
      <c r="AA32" s="3"/>
      <c r="AB32" s="107"/>
      <c r="AC32" s="3"/>
      <c r="AD32" s="69"/>
      <c r="AE32" s="69"/>
      <c r="AF32" s="69"/>
      <c r="AG32" s="69"/>
      <c r="AH32" s="69"/>
      <c r="AI32" s="69"/>
      <c r="AJ32" s="67"/>
      <c r="AM32" s="31"/>
      <c r="AN32" s="31"/>
      <c r="AO32" s="31"/>
      <c r="AP32" s="68"/>
      <c r="AQ32" s="31"/>
    </row>
    <row r="33" spans="1:43" s="29" customFormat="1" ht="15" x14ac:dyDescent="0.2">
      <c r="A33" s="12" t="s">
        <v>4</v>
      </c>
      <c r="B33" s="41">
        <v>3.325234690971965</v>
      </c>
      <c r="C33" s="7">
        <v>67.493428550865232</v>
      </c>
      <c r="D33" s="7">
        <v>66.522696340505789</v>
      </c>
      <c r="E33" s="8">
        <v>68.251967675022911</v>
      </c>
      <c r="F33" s="9">
        <v>70.445891756658199</v>
      </c>
      <c r="G33" s="9">
        <v>72.534285938334179</v>
      </c>
      <c r="H33" s="9">
        <v>81.881292827210913</v>
      </c>
      <c r="I33" s="9">
        <v>98.218343825881036</v>
      </c>
      <c r="J33" s="9">
        <v>99.664487530793849</v>
      </c>
      <c r="K33" s="9">
        <v>99.988590307242035</v>
      </c>
      <c r="L33" s="8">
        <v>99.014648713762881</v>
      </c>
      <c r="M33" s="125">
        <f>[3]Male!$OC$167</f>
        <v>98.190748488110202</v>
      </c>
      <c r="N33" s="44">
        <v>-1.4382618148192972</v>
      </c>
      <c r="O33" s="10">
        <v>2.5995208096581068</v>
      </c>
      <c r="P33" s="10">
        <v>3.2144481051176621</v>
      </c>
      <c r="Q33" s="10">
        <v>2.964536511071425</v>
      </c>
      <c r="R33" s="10">
        <v>12.886329227564453</v>
      </c>
      <c r="S33" s="10">
        <v>19.95211657581568</v>
      </c>
      <c r="T33" s="10">
        <v>1.4723763897673825</v>
      </c>
      <c r="U33" s="9">
        <v>0.32519384233831161</v>
      </c>
      <c r="V33" s="10">
        <v>-0.97405272990294112</v>
      </c>
      <c r="W33" s="10">
        <f>[3]Male!$OF$167</f>
        <v>-0.83209932707477563</v>
      </c>
      <c r="X33" s="1" t="s">
        <v>10</v>
      </c>
      <c r="Y33" s="65"/>
      <c r="Z33" s="69"/>
      <c r="AA33" s="3"/>
      <c r="AB33" s="107"/>
      <c r="AC33" s="3"/>
      <c r="AD33" s="69"/>
      <c r="AE33" s="69"/>
      <c r="AF33" s="69"/>
      <c r="AG33" s="69"/>
      <c r="AH33" s="69"/>
      <c r="AI33" s="69"/>
      <c r="AJ33" s="67"/>
      <c r="AM33" s="31"/>
      <c r="AN33" s="31"/>
      <c r="AO33" s="31"/>
      <c r="AP33" s="68"/>
      <c r="AQ33" s="31"/>
    </row>
    <row r="34" spans="1:43" s="29" customFormat="1" ht="15" x14ac:dyDescent="0.2">
      <c r="A34" s="12" t="s">
        <v>40</v>
      </c>
      <c r="B34" s="41">
        <v>33.253292498580983</v>
      </c>
      <c r="C34" s="7">
        <v>70.128284933346336</v>
      </c>
      <c r="D34" s="7">
        <v>72.790167958905229</v>
      </c>
      <c r="E34" s="8">
        <v>80.824789456236729</v>
      </c>
      <c r="F34" s="9">
        <v>87.147430127106858</v>
      </c>
      <c r="G34" s="9">
        <v>93.758762276598645</v>
      </c>
      <c r="H34" s="9">
        <v>96.487654366096692</v>
      </c>
      <c r="I34" s="9">
        <v>100.00377000426182</v>
      </c>
      <c r="J34" s="9">
        <v>103.95006675159617</v>
      </c>
      <c r="K34" s="9">
        <v>107.01057323330696</v>
      </c>
      <c r="L34" s="8">
        <v>109.61354663249911</v>
      </c>
      <c r="M34" s="125">
        <f>[3]Male!$OC$207</f>
        <v>111.78087632908641</v>
      </c>
      <c r="N34" s="44">
        <v>3.7957338156620946</v>
      </c>
      <c r="O34" s="10">
        <v>11.038058741487667</v>
      </c>
      <c r="P34" s="10">
        <v>7.8226503445376405</v>
      </c>
      <c r="Q34" s="10">
        <v>7.5863764884965379</v>
      </c>
      <c r="R34" s="10">
        <v>2.9105461966824064</v>
      </c>
      <c r="S34" s="10">
        <v>3.6441093539533842</v>
      </c>
      <c r="T34" s="10">
        <v>3.9461479773874153</v>
      </c>
      <c r="U34" s="9">
        <v>2.9442082889896692</v>
      </c>
      <c r="V34" s="10">
        <v>2.4324450571039158</v>
      </c>
      <c r="W34" s="10">
        <f>[3]Male!$OF$207</f>
        <v>1.9772462101365074</v>
      </c>
      <c r="X34" s="1" t="s">
        <v>11</v>
      </c>
      <c r="Y34" s="65"/>
      <c r="Z34" s="69"/>
      <c r="AA34" s="3"/>
      <c r="AB34" s="107"/>
      <c r="AC34" s="3"/>
      <c r="AD34" s="69"/>
      <c r="AE34" s="69"/>
      <c r="AF34" s="69"/>
      <c r="AG34" s="69"/>
      <c r="AH34" s="69"/>
      <c r="AI34" s="69"/>
      <c r="AJ34" s="67"/>
      <c r="AM34" s="31"/>
      <c r="AN34" s="31"/>
      <c r="AO34" s="31"/>
      <c r="AP34" s="68"/>
      <c r="AQ34" s="31"/>
    </row>
    <row r="35" spans="1:43" s="29" customFormat="1" ht="15" x14ac:dyDescent="0.2">
      <c r="A35" s="12" t="s">
        <v>41</v>
      </c>
      <c r="B35" s="41">
        <v>24.01513195689877</v>
      </c>
      <c r="C35" s="7">
        <v>64.647461828276832</v>
      </c>
      <c r="D35" s="7">
        <v>67.343842950624648</v>
      </c>
      <c r="E35" s="8">
        <v>74.851279000594886</v>
      </c>
      <c r="F35" s="9">
        <v>85.550267697798958</v>
      </c>
      <c r="G35" s="9">
        <v>91.040551259171139</v>
      </c>
      <c r="H35" s="9">
        <v>95.103608962918898</v>
      </c>
      <c r="I35" s="9">
        <v>100.09393014432733</v>
      </c>
      <c r="J35" s="9">
        <v>104.20681505043228</v>
      </c>
      <c r="K35" s="9">
        <v>108.38813271909099</v>
      </c>
      <c r="L35" s="8">
        <v>113.03365604700161</v>
      </c>
      <c r="M35" s="125">
        <f>[3]Male!$OC$209</f>
        <v>117.41374229948713</v>
      </c>
      <c r="N35" s="44">
        <v>4.1709002118446969</v>
      </c>
      <c r="O35" s="10">
        <v>11.147917494810278</v>
      </c>
      <c r="P35" s="10">
        <v>14.293661831909432</v>
      </c>
      <c r="Q35" s="10">
        <v>6.4176111999628915</v>
      </c>
      <c r="R35" s="10">
        <v>4.4629098215598351</v>
      </c>
      <c r="S35" s="10">
        <v>5.2472469087415652</v>
      </c>
      <c r="T35" s="10">
        <v>4.1090252927170612</v>
      </c>
      <c r="U35" s="9">
        <v>4.012518439062851</v>
      </c>
      <c r="V35" s="10">
        <v>4.2860073435810664</v>
      </c>
      <c r="W35" s="10">
        <f>[3]Male!$OF$209</f>
        <v>3.8750283815151443</v>
      </c>
      <c r="X35" s="32" t="s">
        <v>44</v>
      </c>
      <c r="Y35" s="65"/>
      <c r="Z35" s="69"/>
      <c r="AA35" s="3"/>
      <c r="AB35" s="107"/>
      <c r="AC35" s="3"/>
      <c r="AD35" s="69"/>
      <c r="AE35" s="69"/>
      <c r="AF35" s="69"/>
      <c r="AG35" s="69"/>
      <c r="AH35" s="69"/>
      <c r="AI35" s="69"/>
      <c r="AJ35" s="67"/>
      <c r="AM35" s="31"/>
      <c r="AN35" s="31"/>
      <c r="AO35" s="31"/>
      <c r="AP35" s="68"/>
      <c r="AQ35" s="31"/>
    </row>
    <row r="36" spans="1:43" s="29" customFormat="1" ht="25.5" x14ac:dyDescent="0.2">
      <c r="A36" s="6" t="s">
        <v>27</v>
      </c>
      <c r="B36" s="41">
        <v>7.3787368723932971</v>
      </c>
      <c r="C36" s="7">
        <v>62.787235480784801</v>
      </c>
      <c r="D36" s="7">
        <v>65.996050857083574</v>
      </c>
      <c r="E36" s="8">
        <v>68.380911967950468</v>
      </c>
      <c r="F36" s="9">
        <v>75.858602553560274</v>
      </c>
      <c r="G36" s="9">
        <v>80.397772506783596</v>
      </c>
      <c r="H36" s="9">
        <v>83.774232067142066</v>
      </c>
      <c r="I36" s="9">
        <v>98.524372725422779</v>
      </c>
      <c r="J36" s="9">
        <v>96.547282672985318</v>
      </c>
      <c r="K36" s="9">
        <v>93.814065718362556</v>
      </c>
      <c r="L36" s="8">
        <v>94.620620411023353</v>
      </c>
      <c r="M36" s="125">
        <f>[3]Male!$OC$240</f>
        <v>96.196125798305104</v>
      </c>
      <c r="N36" s="44">
        <v>5.1106173917798703</v>
      </c>
      <c r="O36" s="10">
        <v>3.6136421496361759</v>
      </c>
      <c r="P36" s="10">
        <v>10.935347848409126</v>
      </c>
      <c r="Q36" s="10">
        <v>5.9837247199728161</v>
      </c>
      <c r="R36" s="10">
        <v>4.1996929206882916</v>
      </c>
      <c r="S36" s="10">
        <v>17.60701386848762</v>
      </c>
      <c r="T36" s="10">
        <v>-2.0067014868974664</v>
      </c>
      <c r="U36" s="9">
        <v>-2.8309620726255202</v>
      </c>
      <c r="V36" s="10">
        <v>0.85973748870680211</v>
      </c>
      <c r="W36" s="10">
        <f>[3]Male!$OF$240</f>
        <v>1.6650761540538461</v>
      </c>
      <c r="X36" s="1" t="s">
        <v>30</v>
      </c>
      <c r="Y36" s="65"/>
      <c r="Z36" s="69"/>
      <c r="AA36" s="3"/>
      <c r="AB36" s="107"/>
      <c r="AC36" s="3"/>
      <c r="AD36" s="69"/>
      <c r="AE36" s="69"/>
      <c r="AF36" s="69"/>
      <c r="AG36" s="69"/>
      <c r="AH36" s="69"/>
      <c r="AI36" s="69"/>
      <c r="AJ36" s="67"/>
      <c r="AM36" s="31"/>
      <c r="AN36" s="31"/>
      <c r="AO36" s="31"/>
      <c r="AP36" s="68"/>
      <c r="AQ36" s="31"/>
    </row>
    <row r="37" spans="1:43" s="29" customFormat="1" ht="15" x14ac:dyDescent="0.2">
      <c r="A37" s="13" t="s">
        <v>12</v>
      </c>
      <c r="B37" s="41">
        <v>3.3443838651865483</v>
      </c>
      <c r="C37" s="7">
        <v>87.683380878679159</v>
      </c>
      <c r="D37" s="7">
        <v>95.725018168451655</v>
      </c>
      <c r="E37" s="8">
        <v>115.02993652927483</v>
      </c>
      <c r="F37" s="9">
        <v>117.62003560285746</v>
      </c>
      <c r="G37" s="9">
        <v>123.09882000085349</v>
      </c>
      <c r="H37" s="9">
        <v>136.10400273752558</v>
      </c>
      <c r="I37" s="9">
        <v>102.76543099265899</v>
      </c>
      <c r="J37" s="9">
        <v>110.56654167287611</v>
      </c>
      <c r="K37" s="9">
        <v>124.65316422633758</v>
      </c>
      <c r="L37" s="8">
        <v>127.35658087728201</v>
      </c>
      <c r="M37" s="125">
        <f>[3]Male!$OC$292</f>
        <v>128.61309538574685</v>
      </c>
      <c r="N37" s="44">
        <v>9.171221740296609</v>
      </c>
      <c r="O37" s="10">
        <v>20.167056356000312</v>
      </c>
      <c r="P37" s="10">
        <v>2.2516739135324482</v>
      </c>
      <c r="Q37" s="10">
        <v>4.6580366770973214</v>
      </c>
      <c r="R37" s="10">
        <v>10.564831357913839</v>
      </c>
      <c r="S37" s="10">
        <v>-24.49492378939031</v>
      </c>
      <c r="T37" s="10">
        <v>7.591181786387291</v>
      </c>
      <c r="U37" s="9">
        <v>12.740402603111489</v>
      </c>
      <c r="V37" s="10">
        <v>2.1687509239923797</v>
      </c>
      <c r="W37" s="10">
        <f>[3]Male!$OF$292</f>
        <v>0.98661137085298556</v>
      </c>
      <c r="X37" s="1" t="s">
        <v>13</v>
      </c>
      <c r="Y37" s="65"/>
      <c r="Z37" s="69"/>
      <c r="AA37" s="3"/>
      <c r="AB37" s="107"/>
      <c r="AC37" s="3"/>
      <c r="AD37" s="69"/>
      <c r="AE37" s="69"/>
      <c r="AF37" s="69"/>
      <c r="AG37" s="69"/>
      <c r="AH37" s="69"/>
      <c r="AI37" s="69"/>
      <c r="AJ37" s="67"/>
      <c r="AM37" s="31"/>
      <c r="AN37" s="31"/>
      <c r="AO37" s="31"/>
      <c r="AP37" s="68"/>
      <c r="AQ37" s="31"/>
    </row>
    <row r="38" spans="1:43" s="29" customFormat="1" ht="15" x14ac:dyDescent="0.2">
      <c r="A38" s="13" t="s">
        <v>14</v>
      </c>
      <c r="B38" s="41">
        <v>5.0247567425570834</v>
      </c>
      <c r="C38" s="7">
        <v>60.859975065826738</v>
      </c>
      <c r="D38" s="7">
        <v>63.749393784738366</v>
      </c>
      <c r="E38" s="8">
        <v>77.220453300900303</v>
      </c>
      <c r="F38" s="9">
        <v>77.979582923899997</v>
      </c>
      <c r="G38" s="9">
        <v>80.571924425587255</v>
      </c>
      <c r="H38" s="9">
        <v>91.644770975471246</v>
      </c>
      <c r="I38" s="9">
        <v>99.919914617161496</v>
      </c>
      <c r="J38" s="9">
        <v>102.42725062633708</v>
      </c>
      <c r="K38" s="9">
        <v>107.6673987994979</v>
      </c>
      <c r="L38" s="8">
        <v>107.33736946618552</v>
      </c>
      <c r="M38" s="125">
        <f>[3]Male!$OC$322</f>
        <v>107.44337348085035</v>
      </c>
      <c r="N38" s="44">
        <v>4.7476501851773767</v>
      </c>
      <c r="O38" s="10">
        <v>21.13127469360645</v>
      </c>
      <c r="P38" s="10">
        <v>0.9830680740005926</v>
      </c>
      <c r="Q38" s="10">
        <v>3.3243849280613746</v>
      </c>
      <c r="R38" s="10">
        <v>13.742810077858314</v>
      </c>
      <c r="S38" s="10">
        <v>9.0295862531045046</v>
      </c>
      <c r="T38" s="10">
        <v>2.5093456282286875</v>
      </c>
      <c r="U38" s="9">
        <v>5.1159707412994138</v>
      </c>
      <c r="V38" s="10">
        <v>-0.30652670817001848</v>
      </c>
      <c r="W38" s="10">
        <f>[3]Male!$OF$322</f>
        <v>9.8757790685599645E-2</v>
      </c>
      <c r="X38" s="1" t="s">
        <v>15</v>
      </c>
      <c r="Y38" s="65"/>
      <c r="Z38" s="69"/>
      <c r="AA38" s="3"/>
      <c r="AB38" s="107"/>
      <c r="AC38" s="3"/>
      <c r="AD38" s="69"/>
      <c r="AE38" s="69"/>
      <c r="AF38" s="69"/>
      <c r="AG38" s="69"/>
      <c r="AH38" s="69"/>
      <c r="AI38" s="69"/>
      <c r="AJ38" s="67"/>
      <c r="AM38" s="31"/>
      <c r="AN38" s="31"/>
      <c r="AO38" s="31"/>
      <c r="AP38" s="68"/>
      <c r="AQ38" s="31"/>
    </row>
    <row r="39" spans="1:43" s="29" customFormat="1" ht="15" x14ac:dyDescent="0.2">
      <c r="A39" s="13" t="s">
        <v>16</v>
      </c>
      <c r="B39" s="41">
        <v>4.9499335195000258</v>
      </c>
      <c r="C39" s="7">
        <v>115.34450273124089</v>
      </c>
      <c r="D39" s="7">
        <v>104.72754551977413</v>
      </c>
      <c r="E39" s="8">
        <v>100.9097966458598</v>
      </c>
      <c r="F39" s="9">
        <v>100.15439105359373</v>
      </c>
      <c r="G39" s="9">
        <v>100.38298344923554</v>
      </c>
      <c r="H39" s="9">
        <v>100.6195512642537</v>
      </c>
      <c r="I39" s="9">
        <v>99.902385256204028</v>
      </c>
      <c r="J39" s="9">
        <v>98.048576495455336</v>
      </c>
      <c r="K39" s="9">
        <v>97.118601810845405</v>
      </c>
      <c r="L39" s="8">
        <v>96.214029396765625</v>
      </c>
      <c r="M39" s="125">
        <f>[3]Male!$OC$348</f>
        <v>95.751607847297137</v>
      </c>
      <c r="N39" s="44">
        <v>-9.204562818398788</v>
      </c>
      <c r="O39" s="10">
        <v>-3.6454104361621664</v>
      </c>
      <c r="P39" s="10">
        <v>-0.74859490096600423</v>
      </c>
      <c r="Q39" s="10">
        <v>0.22824001348027423</v>
      </c>
      <c r="R39" s="10">
        <v>0.23566525609173272</v>
      </c>
      <c r="S39" s="10">
        <v>-0.71275015545061438</v>
      </c>
      <c r="T39" s="10">
        <v>-1.8556201195742417</v>
      </c>
      <c r="U39" s="9">
        <v>-0.94848361684581883</v>
      </c>
      <c r="V39" s="10">
        <v>-0.93141004628709556</v>
      </c>
      <c r="W39" s="10">
        <f>[3]Male!$OF$348</f>
        <v>-0.48061759014536021</v>
      </c>
      <c r="X39" s="1" t="s">
        <v>17</v>
      </c>
      <c r="Y39" s="65"/>
      <c r="Z39" s="69"/>
      <c r="AA39" s="3"/>
      <c r="AB39" s="107"/>
      <c r="AC39" s="3"/>
      <c r="AD39" s="69"/>
      <c r="AE39" s="69"/>
      <c r="AF39" s="69"/>
      <c r="AG39" s="69"/>
      <c r="AH39" s="69"/>
      <c r="AI39" s="69"/>
      <c r="AJ39" s="67"/>
      <c r="AM39" s="31"/>
      <c r="AN39" s="31"/>
      <c r="AO39" s="31"/>
      <c r="AP39" s="68"/>
      <c r="AQ39" s="31"/>
    </row>
    <row r="40" spans="1:43" s="29" customFormat="1" ht="15" x14ac:dyDescent="0.2">
      <c r="A40" s="14" t="s">
        <v>18</v>
      </c>
      <c r="B40" s="41">
        <v>3.8759977554993457</v>
      </c>
      <c r="C40" s="7">
        <v>94.874945972791352</v>
      </c>
      <c r="D40" s="7">
        <v>96.624178349214034</v>
      </c>
      <c r="E40" s="8">
        <v>90.077187080296483</v>
      </c>
      <c r="F40" s="9">
        <v>94.587232125872092</v>
      </c>
      <c r="G40" s="9">
        <v>100.01905005623114</v>
      </c>
      <c r="H40" s="9">
        <v>97.89290317146407</v>
      </c>
      <c r="I40" s="9">
        <v>99.123228888029075</v>
      </c>
      <c r="J40" s="9">
        <v>99.19328729416749</v>
      </c>
      <c r="K40" s="9">
        <v>101.98521882257955</v>
      </c>
      <c r="L40" s="8">
        <v>101.05736071574518</v>
      </c>
      <c r="M40" s="125">
        <f>[3]Male!$OC$360</f>
        <v>100.46158690929978</v>
      </c>
      <c r="N40" s="44">
        <v>1.8437242398265274</v>
      </c>
      <c r="O40" s="10">
        <v>-6.7757277534156728</v>
      </c>
      <c r="P40" s="10">
        <v>5.0068671011621158</v>
      </c>
      <c r="Q40" s="10">
        <v>5.7426544875852192</v>
      </c>
      <c r="R40" s="10">
        <v>-2.1257419297341262</v>
      </c>
      <c r="S40" s="10">
        <v>1.256807875449395</v>
      </c>
      <c r="T40" s="10">
        <v>7.0678091224762873E-2</v>
      </c>
      <c r="U40" s="9">
        <v>2.8146375672905233</v>
      </c>
      <c r="V40" s="10">
        <v>-0.90979665244288466</v>
      </c>
      <c r="W40" s="10">
        <f>[3]Male!$OF$360</f>
        <v>-0.58954023954889134</v>
      </c>
      <c r="X40" s="15" t="s">
        <v>19</v>
      </c>
      <c r="Y40" s="65"/>
      <c r="Z40" s="69"/>
      <c r="AA40" s="3"/>
      <c r="AB40" s="107"/>
      <c r="AC40" s="3"/>
      <c r="AD40" s="69"/>
      <c r="AE40" s="69"/>
      <c r="AF40" s="69"/>
      <c r="AG40" s="69"/>
      <c r="AH40" s="69"/>
      <c r="AI40" s="69"/>
      <c r="AJ40" s="67"/>
      <c r="AM40" s="31"/>
      <c r="AN40" s="31"/>
      <c r="AO40" s="31"/>
      <c r="AP40" s="68"/>
      <c r="AQ40" s="31"/>
    </row>
    <row r="41" spans="1:43" s="29" customFormat="1" ht="15" x14ac:dyDescent="0.2">
      <c r="A41" s="12" t="s">
        <v>5</v>
      </c>
      <c r="B41" s="41">
        <v>3.1475471737470042</v>
      </c>
      <c r="C41" s="7">
        <v>47.049388033467601</v>
      </c>
      <c r="D41" s="7">
        <v>48.13102192510862</v>
      </c>
      <c r="E41" s="8">
        <v>49.012472981378899</v>
      </c>
      <c r="F41" s="9">
        <v>66.212440093936394</v>
      </c>
      <c r="G41" s="9">
        <v>72.465176121953334</v>
      </c>
      <c r="H41" s="9">
        <v>85.752154766717368</v>
      </c>
      <c r="I41" s="9">
        <v>99.974205552764317</v>
      </c>
      <c r="J41" s="9">
        <v>102.13692109662372</v>
      </c>
      <c r="K41" s="9">
        <v>111.56417616429451</v>
      </c>
      <c r="L41" s="8">
        <v>117.33257668396261</v>
      </c>
      <c r="M41" s="125">
        <f>[3]Male!$OC$405</f>
        <v>125.51210025739101</v>
      </c>
      <c r="N41" s="44">
        <v>2.2989329656564639</v>
      </c>
      <c r="O41" s="10">
        <v>1.8313574510049113</v>
      </c>
      <c r="P41" s="10">
        <v>35.093040743102691</v>
      </c>
      <c r="Q41" s="10">
        <v>9.4434460037209114</v>
      </c>
      <c r="R41" s="10">
        <v>18.335674258768186</v>
      </c>
      <c r="S41" s="10">
        <v>16.585065208841733</v>
      </c>
      <c r="T41" s="10">
        <v>2.1632735483133825</v>
      </c>
      <c r="U41" s="9">
        <v>9.2300168895363512</v>
      </c>
      <c r="V41" s="10">
        <v>5.1704774041205548</v>
      </c>
      <c r="W41" s="10">
        <f>[3]Male!$OF$405</f>
        <v>6.971229819200242</v>
      </c>
      <c r="X41" s="15" t="s">
        <v>6</v>
      </c>
      <c r="Z41" s="31"/>
      <c r="AA41" s="3"/>
      <c r="AB41" s="107"/>
      <c r="AC41" s="3"/>
      <c r="AD41" s="31"/>
      <c r="AE41" s="31"/>
      <c r="AF41" s="31"/>
      <c r="AG41" s="31"/>
      <c r="AH41" s="31"/>
      <c r="AI41" s="31"/>
      <c r="AJ41" s="67"/>
      <c r="AM41" s="31"/>
      <c r="AN41" s="31"/>
      <c r="AO41" s="31"/>
      <c r="AP41" s="68"/>
      <c r="AQ41" s="31"/>
    </row>
    <row r="42" spans="1:43" s="29" customFormat="1" ht="15" x14ac:dyDescent="0.2">
      <c r="A42" s="12" t="s">
        <v>20</v>
      </c>
      <c r="B42" s="41">
        <v>4.0917964761770804</v>
      </c>
      <c r="C42" s="7">
        <v>49.094342913656533</v>
      </c>
      <c r="D42" s="7">
        <v>57.310377045571919</v>
      </c>
      <c r="E42" s="8">
        <v>66.268774405103429</v>
      </c>
      <c r="F42" s="9">
        <v>67.972496509520113</v>
      </c>
      <c r="G42" s="9">
        <v>70.167294544238487</v>
      </c>
      <c r="H42" s="9">
        <v>81.124231104476152</v>
      </c>
      <c r="I42" s="9">
        <v>103.92316833381101</v>
      </c>
      <c r="J42" s="9">
        <v>117.33190209291605</v>
      </c>
      <c r="K42" s="9">
        <v>125.48306357044619</v>
      </c>
      <c r="L42" s="8">
        <v>125.82497057055754</v>
      </c>
      <c r="M42" s="125">
        <f>[3]Male!$OC$421</f>
        <v>127.6536356791524</v>
      </c>
      <c r="N42" s="44">
        <v>16.735195226800649</v>
      </c>
      <c r="O42" s="10">
        <v>15.631370480092976</v>
      </c>
      <c r="P42" s="10">
        <v>2.5709274386180203</v>
      </c>
      <c r="Q42" s="10">
        <v>3.2289501598796955</v>
      </c>
      <c r="R42" s="10">
        <v>15.615446813799583</v>
      </c>
      <c r="S42" s="10">
        <v>28.103732903148448</v>
      </c>
      <c r="T42" s="10">
        <v>12.902545191881497</v>
      </c>
      <c r="U42" s="9">
        <v>6.9470973640870293</v>
      </c>
      <c r="V42" s="10">
        <v>0.27247262728757882</v>
      </c>
      <c r="W42" s="10">
        <f>[3]Male!$OF$421</f>
        <v>1.4533403825192304</v>
      </c>
      <c r="X42" s="15" t="s">
        <v>21</v>
      </c>
      <c r="Z42" s="31"/>
      <c r="AA42" s="3"/>
      <c r="AB42" s="107"/>
      <c r="AC42" s="70"/>
      <c r="AD42" s="31"/>
      <c r="AE42" s="31"/>
      <c r="AF42" s="31"/>
      <c r="AG42" s="31"/>
      <c r="AH42" s="31"/>
      <c r="AI42" s="31"/>
      <c r="AJ42" s="67"/>
      <c r="AM42" s="31"/>
      <c r="AN42" s="31"/>
      <c r="AO42" s="31"/>
      <c r="AP42" s="68"/>
      <c r="AQ42" s="31"/>
    </row>
    <row r="43" spans="1:43" s="29" customFormat="1" ht="15" x14ac:dyDescent="0.2">
      <c r="A43" s="14" t="s">
        <v>22</v>
      </c>
      <c r="B43" s="71">
        <v>6.5690813659915177</v>
      </c>
      <c r="C43" s="7">
        <v>66.045812015945941</v>
      </c>
      <c r="D43" s="7">
        <v>67.578746700557247</v>
      </c>
      <c r="E43" s="8">
        <v>71.846737489273423</v>
      </c>
      <c r="F43" s="9">
        <v>76.948539555294857</v>
      </c>
      <c r="G43" s="9">
        <v>80.738363693637908</v>
      </c>
      <c r="H43" s="9">
        <v>86.725904563278689</v>
      </c>
      <c r="I43" s="9">
        <v>100.69814215631898</v>
      </c>
      <c r="J43" s="9">
        <v>98.812991503112301</v>
      </c>
      <c r="K43" s="9">
        <v>98.609462577367751</v>
      </c>
      <c r="L43" s="8">
        <v>98.344584404467298</v>
      </c>
      <c r="M43" s="125">
        <f>[3]Male!$OC$438</f>
        <v>97.897045106929454</v>
      </c>
      <c r="N43" s="44">
        <v>2.3210172421548769</v>
      </c>
      <c r="O43" s="10">
        <v>6.3155814469713745</v>
      </c>
      <c r="P43" s="10">
        <v>7.1009516149332708</v>
      </c>
      <c r="Q43" s="10">
        <v>4.9251410881160362</v>
      </c>
      <c r="R43" s="10">
        <v>7.4159799576327012</v>
      </c>
      <c r="S43" s="10">
        <v>16.110800646473034</v>
      </c>
      <c r="T43" s="10">
        <v>-1.8720808674704825</v>
      </c>
      <c r="U43" s="9">
        <v>-0.20597385287959291</v>
      </c>
      <c r="V43" s="10">
        <v>-0.26861334194234754</v>
      </c>
      <c r="W43" s="10">
        <f>[3]Male!$OF$438</f>
        <v>-0.45507264100809186</v>
      </c>
      <c r="X43" s="46" t="s">
        <v>45</v>
      </c>
      <c r="Y43" s="65"/>
      <c r="Z43" s="69"/>
      <c r="AA43" s="3"/>
      <c r="AB43" s="107"/>
      <c r="AC43" s="3"/>
      <c r="AD43" s="69"/>
      <c r="AE43" s="69"/>
      <c r="AF43" s="69"/>
      <c r="AG43" s="69"/>
      <c r="AH43" s="69"/>
      <c r="AI43" s="69"/>
      <c r="AJ43" s="67"/>
      <c r="AP43" s="72"/>
    </row>
    <row r="44" spans="1:43" s="28" customFormat="1" ht="15" x14ac:dyDescent="0.2">
      <c r="A44" s="16" t="s">
        <v>42</v>
      </c>
      <c r="B44" s="73">
        <f>SUM(B36:B43,B32:B34,B29)</f>
        <v>100</v>
      </c>
      <c r="C44" s="17">
        <v>60.684187749186492</v>
      </c>
      <c r="D44" s="17">
        <v>64.807540880908348</v>
      </c>
      <c r="E44" s="18">
        <v>72.611313924073201</v>
      </c>
      <c r="F44" s="18">
        <v>75.900734670117231</v>
      </c>
      <c r="G44" s="18">
        <v>80.568542845421106</v>
      </c>
      <c r="H44" s="18">
        <v>89.651368722070842</v>
      </c>
      <c r="I44" s="18">
        <v>99.415139330518244</v>
      </c>
      <c r="J44" s="18">
        <v>103.38895723436703</v>
      </c>
      <c r="K44" s="18">
        <v>105.92043432963987</v>
      </c>
      <c r="L44" s="18">
        <v>107.37293678888472</v>
      </c>
      <c r="M44" s="126">
        <f>[3]Male!$OC$3</f>
        <v>108.23342334232696</v>
      </c>
      <c r="N44" s="48">
        <v>6.7947735393016462</v>
      </c>
      <c r="O44" s="19">
        <v>12.041458350510826</v>
      </c>
      <c r="P44" s="19">
        <v>4.5301765913279723</v>
      </c>
      <c r="Q44" s="19">
        <v>6.1498853675017617</v>
      </c>
      <c r="R44" s="19">
        <v>11.273414605593723</v>
      </c>
      <c r="S44" s="19">
        <v>10.890821576540755</v>
      </c>
      <c r="T44" s="19">
        <v>3.9971959307297356</v>
      </c>
      <c r="U44" s="18">
        <v>2.4484985272985815</v>
      </c>
      <c r="V44" s="19">
        <v>1.3713146744890103</v>
      </c>
      <c r="W44" s="19">
        <f>[3]Male!$OF$3</f>
        <v>0.80139984913900619</v>
      </c>
      <c r="X44" s="20" t="s">
        <v>7</v>
      </c>
      <c r="Y44" s="74"/>
      <c r="Z44" s="75"/>
      <c r="AA44" s="112"/>
      <c r="AB44" s="114"/>
      <c r="AC44" s="112"/>
      <c r="AD44" s="75"/>
      <c r="AE44" s="75"/>
      <c r="AF44" s="75"/>
      <c r="AG44" s="75"/>
      <c r="AH44" s="75"/>
      <c r="AI44" s="75"/>
      <c r="AJ44" s="67"/>
      <c r="AP44" s="76"/>
    </row>
    <row r="45" spans="1:43" s="79" customFormat="1" ht="15" x14ac:dyDescent="0.2">
      <c r="A45" s="22" t="s">
        <v>43</v>
      </c>
      <c r="B45" s="50">
        <f>B44-B31</f>
        <v>92.357077568962453</v>
      </c>
      <c r="C45" s="23">
        <v>64.052485645287277</v>
      </c>
      <c r="D45" s="23">
        <v>67.18924401230818</v>
      </c>
      <c r="E45" s="23">
        <v>75.385471686170362</v>
      </c>
      <c r="F45" s="23">
        <v>79.51493809042644</v>
      </c>
      <c r="G45" s="23">
        <v>84.338371332150743</v>
      </c>
      <c r="H45" s="23">
        <v>91.679051572020867</v>
      </c>
      <c r="I45" s="23">
        <v>100.09850402946053</v>
      </c>
      <c r="J45" s="23">
        <v>103.35093616567913</v>
      </c>
      <c r="K45" s="33">
        <v>105.86527287347694</v>
      </c>
      <c r="L45" s="23">
        <v>107.46319410975025</v>
      </c>
      <c r="M45" s="127">
        <f>[3]Male!$OC$484</f>
        <v>108.80768335920361</v>
      </c>
      <c r="N45" s="51">
        <v>4.8971688380553768</v>
      </c>
      <c r="O45" s="23">
        <v>12.198719890881261</v>
      </c>
      <c r="P45" s="23">
        <v>5.4778013745765852</v>
      </c>
      <c r="Q45" s="23">
        <v>6.0660718068332953</v>
      </c>
      <c r="R45" s="23">
        <v>8.7038439608470028</v>
      </c>
      <c r="S45" s="23">
        <v>9.1836164457106619</v>
      </c>
      <c r="T45" s="23">
        <v>3.2492315122525373</v>
      </c>
      <c r="U45" s="33">
        <v>2.4328146421113583</v>
      </c>
      <c r="V45" s="23">
        <v>1.5093913168136242</v>
      </c>
      <c r="W45" s="23">
        <f>[3]Male!$OF$484</f>
        <v>1.2511160314853997</v>
      </c>
      <c r="X45" s="24" t="s">
        <v>31</v>
      </c>
      <c r="Y45" s="75"/>
      <c r="Z45" s="75"/>
      <c r="AA45" s="112"/>
      <c r="AB45" s="114"/>
      <c r="AC45" s="115"/>
      <c r="AD45" s="75"/>
      <c r="AE45" s="75"/>
      <c r="AF45" s="75"/>
      <c r="AG45" s="75"/>
      <c r="AH45" s="75"/>
      <c r="AI45" s="75"/>
      <c r="AJ45" s="78"/>
      <c r="AP45" s="80"/>
    </row>
    <row r="46" spans="1:43" s="25" customFormat="1" ht="15" x14ac:dyDescent="0.2">
      <c r="A46" s="81" t="s">
        <v>52</v>
      </c>
      <c r="B46" s="47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34"/>
    </row>
    <row r="47" spans="1:43" ht="17.25" x14ac:dyDescent="0.2">
      <c r="A47" s="111" t="s">
        <v>53</v>
      </c>
      <c r="X47" s="109" t="s">
        <v>54</v>
      </c>
    </row>
    <row r="48" spans="1:43" s="56" customFormat="1" ht="15.75" hidden="1" customHeight="1" x14ac:dyDescent="0.2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4"/>
      <c r="Y48" s="55"/>
      <c r="Z48" s="53"/>
      <c r="AC48" s="57"/>
    </row>
    <row r="49" spans="1:43" ht="21" hidden="1" customHeight="1" x14ac:dyDescent="0.4">
      <c r="A49" s="4"/>
      <c r="B49" s="131" t="s">
        <v>29</v>
      </c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83" t="s">
        <v>0</v>
      </c>
      <c r="O49" s="58"/>
      <c r="P49" s="84"/>
      <c r="Q49" s="84"/>
      <c r="R49" s="84"/>
      <c r="S49" s="84"/>
      <c r="T49" s="84"/>
      <c r="U49" s="84"/>
      <c r="V49" s="84"/>
      <c r="W49" s="84"/>
      <c r="X49" s="5"/>
    </row>
    <row r="50" spans="1:43" ht="28.5" hidden="1" customHeight="1" x14ac:dyDescent="0.2">
      <c r="A50" s="30" t="s">
        <v>48</v>
      </c>
      <c r="B50" s="142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143" t="s">
        <v>26</v>
      </c>
      <c r="O50" s="143"/>
      <c r="P50" s="143"/>
      <c r="Q50" s="143"/>
      <c r="R50" s="143"/>
      <c r="S50" s="117"/>
      <c r="T50" s="117"/>
      <c r="U50" s="117"/>
      <c r="V50" s="117"/>
      <c r="W50" s="121"/>
      <c r="X50" s="85" t="s">
        <v>49</v>
      </c>
    </row>
    <row r="51" spans="1:43" hidden="1" x14ac:dyDescent="0.2">
      <c r="A51" s="86"/>
      <c r="B51" s="87" t="s">
        <v>1</v>
      </c>
      <c r="C51" s="88">
        <v>2006</v>
      </c>
      <c r="D51" s="88">
        <v>2007</v>
      </c>
      <c r="E51" s="88">
        <v>2008</v>
      </c>
      <c r="F51" s="88">
        <v>2009</v>
      </c>
      <c r="G51" s="88">
        <v>2010</v>
      </c>
      <c r="H51" s="88">
        <v>2011</v>
      </c>
      <c r="I51" s="88">
        <v>2012</v>
      </c>
      <c r="J51" s="88">
        <v>2012</v>
      </c>
      <c r="K51" s="88">
        <v>2012</v>
      </c>
      <c r="L51" s="88"/>
      <c r="M51" s="88"/>
      <c r="N51" s="87">
        <v>2007</v>
      </c>
      <c r="O51" s="87">
        <v>2008</v>
      </c>
      <c r="P51" s="87">
        <v>2009</v>
      </c>
      <c r="Q51" s="87">
        <v>2010</v>
      </c>
      <c r="R51" s="87">
        <v>2011</v>
      </c>
      <c r="S51" s="87">
        <v>2012</v>
      </c>
      <c r="T51" s="87">
        <v>2012</v>
      </c>
      <c r="U51" s="87">
        <v>2012</v>
      </c>
      <c r="V51" s="87"/>
      <c r="W51" s="87"/>
      <c r="X51" s="27"/>
    </row>
    <row r="52" spans="1:43" s="29" customFormat="1" ht="18" hidden="1" customHeight="1" x14ac:dyDescent="0.2">
      <c r="A52" s="89" t="s">
        <v>32</v>
      </c>
      <c r="B52" s="90">
        <v>32.41357084023938</v>
      </c>
      <c r="C52" s="91"/>
      <c r="D52" s="91"/>
      <c r="E52" s="92"/>
      <c r="F52" s="9"/>
      <c r="G52" s="9"/>
      <c r="H52" s="9"/>
      <c r="I52" s="9"/>
      <c r="J52" s="9"/>
      <c r="K52" s="9"/>
      <c r="L52" s="9"/>
      <c r="M52" s="9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1" t="s">
        <v>34</v>
      </c>
      <c r="Y52" s="65"/>
      <c r="AA52" s="3"/>
      <c r="AB52" s="3"/>
      <c r="AC52" s="3"/>
      <c r="AD52" s="66"/>
      <c r="AE52" s="66"/>
      <c r="AF52" s="66"/>
      <c r="AG52" s="66"/>
      <c r="AH52" s="66"/>
      <c r="AI52" s="66"/>
      <c r="AJ52" s="67"/>
      <c r="AM52" s="31"/>
      <c r="AN52" s="31"/>
      <c r="AO52" s="31"/>
      <c r="AP52" s="68"/>
      <c r="AQ52" s="31"/>
    </row>
    <row r="53" spans="1:43" s="29" customFormat="1" ht="18" hidden="1" customHeight="1" x14ac:dyDescent="0.2">
      <c r="A53" s="89" t="s">
        <v>33</v>
      </c>
      <c r="B53" s="90">
        <v>22.908992536433551</v>
      </c>
      <c r="C53" s="91"/>
      <c r="D53" s="91"/>
      <c r="E53" s="92"/>
      <c r="F53" s="9"/>
      <c r="G53" s="9"/>
      <c r="H53" s="9"/>
      <c r="I53" s="9"/>
      <c r="J53" s="9"/>
      <c r="K53" s="9"/>
      <c r="L53" s="9"/>
      <c r="M53" s="9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1" t="s">
        <v>35</v>
      </c>
      <c r="Y53" s="65"/>
      <c r="AA53" s="3"/>
      <c r="AB53" s="3"/>
      <c r="AC53" s="3"/>
      <c r="AD53" s="69"/>
      <c r="AE53" s="69"/>
      <c r="AF53" s="69"/>
      <c r="AG53" s="69"/>
      <c r="AH53" s="69"/>
      <c r="AI53" s="69"/>
      <c r="AJ53" s="67"/>
      <c r="AM53" s="31"/>
      <c r="AN53" s="31"/>
      <c r="AO53" s="31"/>
      <c r="AP53" s="68"/>
      <c r="AQ53" s="31"/>
    </row>
    <row r="54" spans="1:43" s="29" customFormat="1" ht="15" hidden="1" x14ac:dyDescent="0.2">
      <c r="A54" s="94" t="s">
        <v>2</v>
      </c>
      <c r="B54" s="90">
        <v>9.5045783038058271</v>
      </c>
      <c r="C54" s="91"/>
      <c r="D54" s="91"/>
      <c r="E54" s="92"/>
      <c r="F54" s="9"/>
      <c r="G54" s="9"/>
      <c r="H54" s="9"/>
      <c r="I54" s="9"/>
      <c r="J54" s="9"/>
      <c r="K54" s="9"/>
      <c r="L54" s="9"/>
      <c r="M54" s="9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1" t="s">
        <v>3</v>
      </c>
      <c r="Y54" s="65"/>
      <c r="Z54" s="69"/>
      <c r="AA54" s="3"/>
      <c r="AB54" s="3"/>
      <c r="AC54" s="3"/>
      <c r="AD54" s="69"/>
      <c r="AE54" s="69"/>
      <c r="AF54" s="69"/>
      <c r="AG54" s="69"/>
      <c r="AH54" s="69"/>
      <c r="AI54" s="69"/>
      <c r="AJ54" s="67"/>
      <c r="AM54" s="31"/>
      <c r="AN54" s="31"/>
      <c r="AO54" s="31"/>
      <c r="AP54" s="68"/>
      <c r="AQ54" s="31"/>
    </row>
    <row r="55" spans="1:43" s="29" customFormat="1" ht="15" hidden="1" x14ac:dyDescent="0.2">
      <c r="A55" s="94" t="s">
        <v>28</v>
      </c>
      <c r="B55" s="90">
        <v>3.1086673721276403</v>
      </c>
      <c r="C55" s="91"/>
      <c r="D55" s="91"/>
      <c r="E55" s="92"/>
      <c r="F55" s="9"/>
      <c r="G55" s="9"/>
      <c r="H55" s="9"/>
      <c r="I55" s="9"/>
      <c r="J55" s="9"/>
      <c r="K55" s="9"/>
      <c r="L55" s="9"/>
      <c r="M55" s="9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1" t="s">
        <v>9</v>
      </c>
      <c r="Y55" s="65"/>
      <c r="Z55" s="69"/>
      <c r="AA55" s="3"/>
      <c r="AB55" s="3"/>
      <c r="AC55" s="3"/>
      <c r="AD55" s="69"/>
      <c r="AE55" s="69"/>
      <c r="AF55" s="69"/>
      <c r="AG55" s="69"/>
      <c r="AH55" s="69"/>
      <c r="AI55" s="69"/>
      <c r="AJ55" s="67"/>
      <c r="AM55" s="31"/>
      <c r="AN55" s="31"/>
      <c r="AO55" s="31"/>
      <c r="AP55" s="68"/>
      <c r="AQ55" s="31"/>
    </row>
    <row r="56" spans="1:43" s="29" customFormat="1" ht="15" hidden="1" x14ac:dyDescent="0.2">
      <c r="A56" s="94" t="s">
        <v>4</v>
      </c>
      <c r="B56" s="90">
        <v>4.37363965083017</v>
      </c>
      <c r="C56" s="91"/>
      <c r="D56" s="91"/>
      <c r="E56" s="92"/>
      <c r="F56" s="9"/>
      <c r="G56" s="9"/>
      <c r="H56" s="9"/>
      <c r="I56" s="9"/>
      <c r="J56" s="9"/>
      <c r="K56" s="9"/>
      <c r="L56" s="9"/>
      <c r="M56" s="9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1" t="s">
        <v>10</v>
      </c>
      <c r="Y56" s="65"/>
      <c r="Z56" s="69"/>
      <c r="AA56" s="3"/>
      <c r="AB56" s="3"/>
      <c r="AC56" s="3"/>
      <c r="AD56" s="69"/>
      <c r="AE56" s="69"/>
      <c r="AF56" s="69"/>
      <c r="AG56" s="69"/>
      <c r="AH56" s="69"/>
      <c r="AI56" s="69"/>
      <c r="AJ56" s="67"/>
      <c r="AM56" s="31"/>
      <c r="AN56" s="31"/>
      <c r="AO56" s="31"/>
      <c r="AP56" s="68"/>
      <c r="AQ56" s="31"/>
    </row>
    <row r="57" spans="1:43" s="29" customFormat="1" ht="15" hidden="1" x14ac:dyDescent="0.2">
      <c r="A57" s="94" t="s">
        <v>40</v>
      </c>
      <c r="B57" s="90">
        <v>14.769002753283388</v>
      </c>
      <c r="C57" s="91"/>
      <c r="D57" s="91"/>
      <c r="E57" s="92"/>
      <c r="F57" s="9"/>
      <c r="G57" s="9"/>
      <c r="H57" s="9"/>
      <c r="I57" s="9"/>
      <c r="J57" s="9"/>
      <c r="K57" s="9"/>
      <c r="L57" s="9"/>
      <c r="M57" s="9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1" t="s">
        <v>11</v>
      </c>
      <c r="Y57" s="65"/>
      <c r="Z57" s="69"/>
      <c r="AA57" s="3"/>
      <c r="AB57" s="3"/>
      <c r="AC57" s="3"/>
      <c r="AD57" s="69"/>
      <c r="AE57" s="69"/>
      <c r="AF57" s="69"/>
      <c r="AG57" s="69"/>
      <c r="AH57" s="69"/>
      <c r="AI57" s="69"/>
      <c r="AJ57" s="67"/>
      <c r="AM57" s="31"/>
      <c r="AN57" s="31"/>
      <c r="AO57" s="31"/>
      <c r="AP57" s="68"/>
      <c r="AQ57" s="31"/>
    </row>
    <row r="58" spans="1:43" s="29" customFormat="1" ht="15" hidden="1" x14ac:dyDescent="0.2">
      <c r="A58" s="94" t="s">
        <v>41</v>
      </c>
      <c r="B58" s="90">
        <v>1.130174619903735</v>
      </c>
      <c r="C58" s="91"/>
      <c r="D58" s="91"/>
      <c r="E58" s="92"/>
      <c r="F58" s="9"/>
      <c r="G58" s="9"/>
      <c r="H58" s="9"/>
      <c r="I58" s="9"/>
      <c r="J58" s="9"/>
      <c r="K58" s="9"/>
      <c r="L58" s="9"/>
      <c r="M58" s="9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32" t="s">
        <v>44</v>
      </c>
      <c r="Y58" s="65"/>
      <c r="Z58" s="69"/>
      <c r="AA58" s="3"/>
      <c r="AB58" s="3"/>
      <c r="AC58" s="3"/>
      <c r="AD58" s="69"/>
      <c r="AE58" s="69"/>
      <c r="AF58" s="69"/>
      <c r="AG58" s="69"/>
      <c r="AH58" s="69"/>
      <c r="AI58" s="69"/>
      <c r="AJ58" s="67"/>
      <c r="AM58" s="31"/>
      <c r="AN58" s="31"/>
      <c r="AO58" s="31"/>
      <c r="AP58" s="68"/>
      <c r="AQ58" s="31"/>
    </row>
    <row r="59" spans="1:43" s="29" customFormat="1" ht="24" hidden="1" x14ac:dyDescent="0.2">
      <c r="A59" s="89" t="s">
        <v>27</v>
      </c>
      <c r="B59" s="90">
        <v>9.8563919063440419</v>
      </c>
      <c r="C59" s="91"/>
      <c r="D59" s="91"/>
      <c r="E59" s="92"/>
      <c r="F59" s="9"/>
      <c r="G59" s="9"/>
      <c r="H59" s="9"/>
      <c r="I59" s="9"/>
      <c r="J59" s="9"/>
      <c r="K59" s="9"/>
      <c r="L59" s="9"/>
      <c r="M59" s="9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1" t="s">
        <v>30</v>
      </c>
      <c r="Y59" s="65"/>
      <c r="Z59" s="69"/>
      <c r="AA59" s="3"/>
      <c r="AB59" s="3"/>
      <c r="AC59" s="3"/>
      <c r="AD59" s="69"/>
      <c r="AE59" s="69"/>
      <c r="AF59" s="69"/>
      <c r="AG59" s="69"/>
      <c r="AH59" s="69"/>
      <c r="AI59" s="69"/>
      <c r="AJ59" s="67"/>
      <c r="AM59" s="31"/>
      <c r="AN59" s="31"/>
      <c r="AO59" s="31"/>
      <c r="AP59" s="68"/>
      <c r="AQ59" s="31"/>
    </row>
    <row r="60" spans="1:43" s="29" customFormat="1" ht="15" hidden="1" x14ac:dyDescent="0.2">
      <c r="A60" s="13" t="s">
        <v>12</v>
      </c>
      <c r="B60" s="90">
        <v>7.1948259738561822</v>
      </c>
      <c r="C60" s="91"/>
      <c r="D60" s="91"/>
      <c r="E60" s="92"/>
      <c r="F60" s="9"/>
      <c r="G60" s="9"/>
      <c r="H60" s="9"/>
      <c r="I60" s="9"/>
      <c r="J60" s="9"/>
      <c r="K60" s="9"/>
      <c r="L60" s="9"/>
      <c r="M60" s="9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1" t="s">
        <v>13</v>
      </c>
      <c r="Y60" s="65"/>
      <c r="Z60" s="69"/>
      <c r="AA60" s="3"/>
      <c r="AB60" s="3"/>
      <c r="AC60" s="3"/>
      <c r="AD60" s="69"/>
      <c r="AE60" s="69"/>
      <c r="AF60" s="69"/>
      <c r="AG60" s="69"/>
      <c r="AH60" s="69"/>
      <c r="AI60" s="69"/>
      <c r="AJ60" s="67"/>
      <c r="AM60" s="31"/>
      <c r="AN60" s="31"/>
      <c r="AO60" s="31"/>
      <c r="AP60" s="68"/>
      <c r="AQ60" s="31"/>
    </row>
    <row r="61" spans="1:43" s="29" customFormat="1" ht="15" hidden="1" x14ac:dyDescent="0.2">
      <c r="A61" s="13" t="s">
        <v>14</v>
      </c>
      <c r="B61" s="90">
        <v>5.7912209701631463</v>
      </c>
      <c r="C61" s="91"/>
      <c r="D61" s="91"/>
      <c r="E61" s="92"/>
      <c r="F61" s="9"/>
      <c r="G61" s="9"/>
      <c r="H61" s="9"/>
      <c r="I61" s="9"/>
      <c r="J61" s="9"/>
      <c r="K61" s="9"/>
      <c r="L61" s="9"/>
      <c r="M61" s="9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1" t="s">
        <v>15</v>
      </c>
      <c r="Y61" s="65"/>
      <c r="Z61" s="69"/>
      <c r="AA61" s="3"/>
      <c r="AB61" s="3"/>
      <c r="AC61" s="3"/>
      <c r="AD61" s="69"/>
      <c r="AE61" s="69"/>
      <c r="AF61" s="69"/>
      <c r="AG61" s="69"/>
      <c r="AH61" s="69"/>
      <c r="AI61" s="69"/>
      <c r="AJ61" s="67"/>
      <c r="AM61" s="31"/>
      <c r="AN61" s="31"/>
      <c r="AO61" s="31"/>
      <c r="AP61" s="68"/>
      <c r="AQ61" s="31"/>
    </row>
    <row r="62" spans="1:43" s="29" customFormat="1" ht="15" hidden="1" x14ac:dyDescent="0.2">
      <c r="A62" s="13" t="s">
        <v>16</v>
      </c>
      <c r="B62" s="90">
        <v>4.58090391218186</v>
      </c>
      <c r="C62" s="91"/>
      <c r="D62" s="91"/>
      <c r="E62" s="92"/>
      <c r="F62" s="9"/>
      <c r="G62" s="9"/>
      <c r="H62" s="9"/>
      <c r="I62" s="9"/>
      <c r="J62" s="9"/>
      <c r="K62" s="9"/>
      <c r="L62" s="9"/>
      <c r="M62" s="9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1" t="s">
        <v>17</v>
      </c>
      <c r="Y62" s="65"/>
      <c r="Z62" s="69"/>
      <c r="AA62" s="3"/>
      <c r="AB62" s="3"/>
      <c r="AC62" s="3"/>
      <c r="AD62" s="69"/>
      <c r="AE62" s="69"/>
      <c r="AF62" s="69"/>
      <c r="AG62" s="69"/>
      <c r="AH62" s="69"/>
      <c r="AI62" s="69"/>
      <c r="AJ62" s="67"/>
      <c r="AM62" s="31"/>
      <c r="AN62" s="31"/>
      <c r="AO62" s="31"/>
      <c r="AP62" s="68"/>
      <c r="AQ62" s="31"/>
    </row>
    <row r="63" spans="1:43" s="29" customFormat="1" ht="15" hidden="1" x14ac:dyDescent="0.2">
      <c r="A63" s="95" t="s">
        <v>18</v>
      </c>
      <c r="B63" s="90">
        <v>6.1528574267983878</v>
      </c>
      <c r="C63" s="91"/>
      <c r="D63" s="91"/>
      <c r="E63" s="92"/>
      <c r="F63" s="9"/>
      <c r="G63" s="9"/>
      <c r="H63" s="9"/>
      <c r="I63" s="9"/>
      <c r="J63" s="9"/>
      <c r="K63" s="9"/>
      <c r="L63" s="9"/>
      <c r="M63" s="9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15" t="s">
        <v>19</v>
      </c>
      <c r="Y63" s="65"/>
      <c r="Z63" s="69"/>
      <c r="AA63" s="3"/>
      <c r="AB63" s="3"/>
      <c r="AC63" s="3"/>
      <c r="AD63" s="69"/>
      <c r="AE63" s="69"/>
      <c r="AF63" s="69"/>
      <c r="AG63" s="69"/>
      <c r="AH63" s="69"/>
      <c r="AI63" s="69"/>
      <c r="AJ63" s="67"/>
      <c r="AM63" s="31"/>
      <c r="AN63" s="31"/>
      <c r="AO63" s="31"/>
      <c r="AP63" s="68"/>
      <c r="AQ63" s="31"/>
    </row>
    <row r="64" spans="1:43" s="29" customFormat="1" ht="15" hidden="1" x14ac:dyDescent="0.2">
      <c r="A64" s="94" t="s">
        <v>5</v>
      </c>
      <c r="B64" s="90">
        <v>1.9430672868104886</v>
      </c>
      <c r="C64" s="91"/>
      <c r="D64" s="91"/>
      <c r="E64" s="92"/>
      <c r="F64" s="9"/>
      <c r="G64" s="9"/>
      <c r="H64" s="9"/>
      <c r="I64" s="9"/>
      <c r="J64" s="9"/>
      <c r="K64" s="9"/>
      <c r="L64" s="9"/>
      <c r="M64" s="9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15" t="s">
        <v>6</v>
      </c>
      <c r="Z64" s="31"/>
      <c r="AA64" s="3"/>
      <c r="AB64" s="3"/>
      <c r="AC64" s="3"/>
      <c r="AD64" s="31"/>
      <c r="AE64" s="31"/>
      <c r="AF64" s="31"/>
      <c r="AG64" s="31"/>
      <c r="AH64" s="31"/>
      <c r="AI64" s="31"/>
      <c r="AJ64" s="67"/>
      <c r="AM64" s="31"/>
      <c r="AN64" s="31"/>
      <c r="AO64" s="31"/>
      <c r="AP64" s="68"/>
      <c r="AQ64" s="31"/>
    </row>
    <row r="65" spans="1:43" s="29" customFormat="1" ht="15" hidden="1" x14ac:dyDescent="0.2">
      <c r="A65" s="94" t="s">
        <v>20</v>
      </c>
      <c r="B65" s="90">
        <v>2.1113300205874355</v>
      </c>
      <c r="C65" s="91"/>
      <c r="D65" s="91"/>
      <c r="E65" s="92"/>
      <c r="F65" s="9"/>
      <c r="G65" s="9"/>
      <c r="H65" s="9"/>
      <c r="I65" s="9"/>
      <c r="J65" s="9"/>
      <c r="K65" s="9"/>
      <c r="L65" s="9"/>
      <c r="M65" s="9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15" t="s">
        <v>21</v>
      </c>
      <c r="Z65" s="31"/>
      <c r="AA65" s="70"/>
      <c r="AB65" s="70"/>
      <c r="AC65" s="70"/>
      <c r="AD65" s="31"/>
      <c r="AE65" s="31"/>
      <c r="AF65" s="31"/>
      <c r="AG65" s="31"/>
      <c r="AH65" s="31"/>
      <c r="AI65" s="31"/>
      <c r="AJ65" s="67"/>
      <c r="AM65" s="31"/>
      <c r="AN65" s="31"/>
      <c r="AO65" s="31"/>
      <c r="AP65" s="68"/>
      <c r="AQ65" s="31"/>
    </row>
    <row r="66" spans="1:43" s="29" customFormat="1" ht="15" hidden="1" x14ac:dyDescent="0.2">
      <c r="A66" s="95" t="s">
        <v>22</v>
      </c>
      <c r="B66" s="96">
        <v>7.7045218867778775</v>
      </c>
      <c r="C66" s="91"/>
      <c r="D66" s="91"/>
      <c r="E66" s="92"/>
      <c r="F66" s="9"/>
      <c r="G66" s="9"/>
      <c r="H66" s="9"/>
      <c r="I66" s="9"/>
      <c r="J66" s="9"/>
      <c r="K66" s="9"/>
      <c r="L66" s="9"/>
      <c r="M66" s="9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46" t="s">
        <v>45</v>
      </c>
      <c r="Y66" s="65"/>
      <c r="Z66" s="69"/>
      <c r="AA66" s="3"/>
      <c r="AB66" s="3"/>
      <c r="AC66" s="3"/>
      <c r="AD66" s="69"/>
      <c r="AE66" s="69"/>
      <c r="AF66" s="69"/>
      <c r="AG66" s="69"/>
      <c r="AH66" s="69"/>
      <c r="AI66" s="69"/>
      <c r="AJ66" s="67"/>
      <c r="AP66" s="72"/>
    </row>
    <row r="67" spans="1:43" s="28" customFormat="1" ht="15" hidden="1" x14ac:dyDescent="0.2">
      <c r="A67" s="97" t="s">
        <v>42</v>
      </c>
      <c r="B67" s="98">
        <v>100</v>
      </c>
      <c r="C67" s="99"/>
      <c r="D67" s="99"/>
      <c r="E67" s="100"/>
      <c r="F67" s="100"/>
      <c r="G67" s="100"/>
      <c r="H67" s="100"/>
      <c r="I67" s="100"/>
      <c r="J67" s="100"/>
      <c r="K67" s="100"/>
      <c r="L67" s="100"/>
      <c r="M67" s="100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20" t="s">
        <v>7</v>
      </c>
      <c r="Y67" s="74"/>
      <c r="Z67" s="75"/>
      <c r="AA67" s="3"/>
      <c r="AB67" s="3"/>
      <c r="AC67" s="3"/>
      <c r="AD67" s="75"/>
      <c r="AE67" s="75"/>
      <c r="AF67" s="75"/>
      <c r="AG67" s="75"/>
      <c r="AH67" s="75"/>
      <c r="AI67" s="75"/>
      <c r="AJ67" s="67"/>
      <c r="AP67" s="76"/>
    </row>
    <row r="68" spans="1:43" s="79" customFormat="1" ht="15" hidden="1" x14ac:dyDescent="0.2">
      <c r="A68" s="102" t="s">
        <v>43</v>
      </c>
      <c r="B68" s="103">
        <v>90.495421696194171</v>
      </c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24" t="s">
        <v>31</v>
      </c>
      <c r="Y68" s="75"/>
      <c r="Z68" s="75"/>
      <c r="AA68" s="77"/>
      <c r="AB68" s="77"/>
      <c r="AC68" s="77"/>
      <c r="AD68" s="75"/>
      <c r="AE68" s="75"/>
      <c r="AF68" s="75"/>
      <c r="AG68" s="75"/>
      <c r="AH68" s="75"/>
      <c r="AI68" s="75"/>
      <c r="AJ68" s="78"/>
      <c r="AP68" s="80"/>
    </row>
    <row r="69" spans="1:43" ht="21" hidden="1" x14ac:dyDescent="0.2">
      <c r="A69" s="105"/>
    </row>
    <row r="70" spans="1:43" ht="21.75" hidden="1" customHeight="1" x14ac:dyDescent="0.2">
      <c r="A70" s="105"/>
    </row>
    <row r="71" spans="1:43" ht="21" x14ac:dyDescent="0.2">
      <c r="A71" s="105"/>
    </row>
    <row r="72" spans="1:43" x14ac:dyDescent="0.2">
      <c r="B72" s="3"/>
    </row>
    <row r="73" spans="1:43" x14ac:dyDescent="0.2">
      <c r="B73" s="3"/>
      <c r="AA73" s="107"/>
    </row>
    <row r="74" spans="1:43" x14ac:dyDescent="0.2">
      <c r="B74" s="3"/>
      <c r="Z74" s="110"/>
      <c r="AA74" s="107"/>
      <c r="AB74" s="107"/>
    </row>
    <row r="75" spans="1:43" x14ac:dyDescent="0.2">
      <c r="B75" s="3"/>
      <c r="Z75" s="110"/>
      <c r="AA75" s="107"/>
      <c r="AB75" s="107"/>
    </row>
    <row r="76" spans="1:43" x14ac:dyDescent="0.2">
      <c r="Z76" s="110"/>
      <c r="AA76" s="107"/>
      <c r="AB76" s="107"/>
    </row>
    <row r="77" spans="1:43" x14ac:dyDescent="0.2">
      <c r="Z77" s="110"/>
      <c r="AA77" s="107"/>
      <c r="AB77" s="107"/>
    </row>
    <row r="78" spans="1:43" x14ac:dyDescent="0.2">
      <c r="Z78" s="110"/>
      <c r="AA78" s="107"/>
      <c r="AB78" s="107"/>
    </row>
    <row r="79" spans="1:43" x14ac:dyDescent="0.2">
      <c r="Z79" s="110"/>
      <c r="AA79" s="107"/>
      <c r="AB79" s="107"/>
    </row>
    <row r="80" spans="1:43" x14ac:dyDescent="0.2">
      <c r="Z80" s="110"/>
      <c r="AA80" s="107"/>
      <c r="AB80" s="107"/>
    </row>
    <row r="81" spans="1:28" x14ac:dyDescent="0.2">
      <c r="A81" s="3"/>
      <c r="Z81" s="110"/>
      <c r="AA81" s="107"/>
      <c r="AB81" s="107"/>
    </row>
    <row r="82" spans="1:28" x14ac:dyDescent="0.2"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10"/>
      <c r="AA82" s="107"/>
      <c r="AB82" s="107"/>
    </row>
    <row r="83" spans="1:28" x14ac:dyDescent="0.2">
      <c r="A83" s="3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10"/>
      <c r="AA83" s="107"/>
      <c r="AB83" s="107"/>
    </row>
    <row r="84" spans="1:28" x14ac:dyDescent="0.2"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10"/>
      <c r="AA84" s="107"/>
      <c r="AB84" s="107"/>
    </row>
    <row r="85" spans="1:28" ht="23.25" x14ac:dyDescent="0.35">
      <c r="A85" s="108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10"/>
      <c r="AA85" s="107"/>
      <c r="AB85" s="107"/>
    </row>
    <row r="86" spans="1:28" x14ac:dyDescent="0.2"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10"/>
      <c r="AA86" s="107"/>
      <c r="AB86" s="107"/>
    </row>
    <row r="87" spans="1:28" x14ac:dyDescent="0.2"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10"/>
      <c r="AA87" s="107"/>
      <c r="AB87" s="107"/>
    </row>
    <row r="88" spans="1:28" x14ac:dyDescent="0.2"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10"/>
      <c r="AA88" s="107"/>
    </row>
    <row r="89" spans="1:28" x14ac:dyDescent="0.2"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10"/>
      <c r="AA89" s="107"/>
    </row>
    <row r="90" spans="1:28" x14ac:dyDescent="0.2"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10"/>
    </row>
    <row r="91" spans="1:28" x14ac:dyDescent="0.2"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10"/>
    </row>
    <row r="92" spans="1:28" x14ac:dyDescent="0.2"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10"/>
    </row>
    <row r="93" spans="1:28" x14ac:dyDescent="0.2"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10"/>
    </row>
    <row r="94" spans="1:28" x14ac:dyDescent="0.2"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10"/>
    </row>
    <row r="95" spans="1:28" x14ac:dyDescent="0.2"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10"/>
    </row>
    <row r="96" spans="1:28" x14ac:dyDescent="0.2"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</row>
    <row r="97" spans="8:25" x14ac:dyDescent="0.2"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</row>
    <row r="98" spans="8:25" x14ac:dyDescent="0.2"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</row>
    <row r="99" spans="8:25" x14ac:dyDescent="0.2"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</row>
    <row r="100" spans="8:25" x14ac:dyDescent="0.2"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</row>
    <row r="101" spans="8:25" x14ac:dyDescent="0.2"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</row>
    <row r="102" spans="8:25" x14ac:dyDescent="0.2"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</row>
    <row r="103" spans="8:25" x14ac:dyDescent="0.2"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</row>
    <row r="104" spans="8:25" x14ac:dyDescent="0.2"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</row>
    <row r="105" spans="8:25" x14ac:dyDescent="0.2"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</row>
    <row r="106" spans="8:25" x14ac:dyDescent="0.2"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</row>
    <row r="107" spans="8:25" x14ac:dyDescent="0.2"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</row>
    <row r="108" spans="8:25" x14ac:dyDescent="0.2"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</row>
    <row r="109" spans="8:25" x14ac:dyDescent="0.2"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</row>
    <row r="110" spans="8:25" x14ac:dyDescent="0.2"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</row>
    <row r="111" spans="8:25" x14ac:dyDescent="0.2"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</row>
    <row r="112" spans="8:25" x14ac:dyDescent="0.2"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</row>
    <row r="113" spans="8:25" x14ac:dyDescent="0.2"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</row>
    <row r="114" spans="8:25" x14ac:dyDescent="0.2"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</row>
    <row r="115" spans="8:25" x14ac:dyDescent="0.2"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</row>
    <row r="116" spans="8:25" x14ac:dyDescent="0.2"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</row>
    <row r="117" spans="8:25" x14ac:dyDescent="0.2"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</row>
    <row r="118" spans="8:25" x14ac:dyDescent="0.2"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</row>
    <row r="119" spans="8:25" x14ac:dyDescent="0.2"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</row>
    <row r="120" spans="8:25" x14ac:dyDescent="0.2"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</row>
    <row r="121" spans="8:25" x14ac:dyDescent="0.2"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</row>
    <row r="122" spans="8:25" x14ac:dyDescent="0.2"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</row>
    <row r="123" spans="8:25" x14ac:dyDescent="0.2"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</row>
    <row r="124" spans="8:25" x14ac:dyDescent="0.2"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</row>
    <row r="125" spans="8:25" x14ac:dyDescent="0.2"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</row>
    <row r="126" spans="8:25" x14ac:dyDescent="0.2"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</row>
    <row r="127" spans="8:25" x14ac:dyDescent="0.2"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</row>
    <row r="128" spans="8:25" x14ac:dyDescent="0.2"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</row>
    <row r="129" spans="8:25" x14ac:dyDescent="0.2"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</row>
    <row r="130" spans="8:25" x14ac:dyDescent="0.2"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</row>
    <row r="131" spans="8:25" x14ac:dyDescent="0.2"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</row>
    <row r="132" spans="8:25" x14ac:dyDescent="0.2"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</row>
    <row r="133" spans="8:25" x14ac:dyDescent="0.2"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</row>
    <row r="134" spans="8:25" x14ac:dyDescent="0.2"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</row>
    <row r="135" spans="8:25" x14ac:dyDescent="0.2"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</row>
    <row r="136" spans="8:25" x14ac:dyDescent="0.2"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</row>
    <row r="137" spans="8:25" x14ac:dyDescent="0.2"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</row>
    <row r="138" spans="8:25" x14ac:dyDescent="0.2"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</row>
    <row r="139" spans="8:25" x14ac:dyDescent="0.2"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</row>
    <row r="140" spans="8:25" x14ac:dyDescent="0.2"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</row>
    <row r="141" spans="8:25" x14ac:dyDescent="0.2"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</row>
    <row r="142" spans="8:25" x14ac:dyDescent="0.2"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</row>
    <row r="143" spans="8:25" x14ac:dyDescent="0.2"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</row>
    <row r="144" spans="8:25" x14ac:dyDescent="0.2">
      <c r="H144" s="107"/>
      <c r="I144" s="107"/>
      <c r="J144" s="107"/>
      <c r="K144" s="107"/>
      <c r="L144" s="107"/>
      <c r="M144" s="107"/>
    </row>
    <row r="145" spans="8:13" x14ac:dyDescent="0.2">
      <c r="H145" s="107"/>
      <c r="I145" s="107"/>
      <c r="J145" s="107"/>
      <c r="K145" s="107"/>
      <c r="L145" s="107"/>
      <c r="M145" s="107"/>
    </row>
    <row r="146" spans="8:13" x14ac:dyDescent="0.2">
      <c r="H146" s="107"/>
      <c r="I146" s="107"/>
      <c r="J146" s="107"/>
      <c r="K146" s="107"/>
      <c r="L146" s="107"/>
      <c r="M146" s="107"/>
    </row>
    <row r="147" spans="8:13" x14ac:dyDescent="0.2">
      <c r="H147" s="107"/>
      <c r="I147" s="107"/>
      <c r="J147" s="107"/>
      <c r="K147" s="107"/>
      <c r="L147" s="107"/>
      <c r="M147" s="107"/>
    </row>
    <row r="148" spans="8:13" x14ac:dyDescent="0.2">
      <c r="H148" s="107"/>
      <c r="I148" s="107"/>
      <c r="J148" s="107"/>
      <c r="K148" s="107"/>
      <c r="L148" s="107"/>
      <c r="M148" s="107"/>
    </row>
    <row r="149" spans="8:13" x14ac:dyDescent="0.2">
      <c r="H149" s="107"/>
      <c r="I149" s="107"/>
      <c r="J149" s="107"/>
      <c r="K149" s="107"/>
      <c r="L149" s="107"/>
      <c r="M149" s="107"/>
    </row>
    <row r="150" spans="8:13" x14ac:dyDescent="0.2">
      <c r="H150" s="107"/>
      <c r="I150" s="107"/>
      <c r="J150" s="107"/>
      <c r="K150" s="107"/>
      <c r="L150" s="107"/>
      <c r="M150" s="107"/>
    </row>
    <row r="151" spans="8:13" x14ac:dyDescent="0.2">
      <c r="H151" s="107"/>
      <c r="I151" s="107"/>
      <c r="J151" s="107"/>
      <c r="K151" s="107"/>
      <c r="L151" s="107"/>
      <c r="M151" s="107"/>
    </row>
    <row r="152" spans="8:13" x14ac:dyDescent="0.2">
      <c r="H152" s="107"/>
      <c r="I152" s="107"/>
      <c r="J152" s="107"/>
      <c r="K152" s="107"/>
      <c r="L152" s="107"/>
      <c r="M152" s="107"/>
    </row>
    <row r="153" spans="8:13" x14ac:dyDescent="0.2">
      <c r="H153" s="107"/>
      <c r="I153" s="107"/>
      <c r="J153" s="107"/>
      <c r="K153" s="107"/>
      <c r="L153" s="107"/>
      <c r="M153" s="107"/>
    </row>
    <row r="154" spans="8:13" x14ac:dyDescent="0.2">
      <c r="H154" s="107"/>
      <c r="I154" s="107"/>
      <c r="J154" s="107"/>
      <c r="K154" s="107"/>
      <c r="L154" s="107"/>
      <c r="M154" s="107"/>
    </row>
    <row r="155" spans="8:13" x14ac:dyDescent="0.2">
      <c r="H155" s="107"/>
      <c r="I155" s="107"/>
      <c r="J155" s="107"/>
      <c r="K155" s="107"/>
      <c r="L155" s="107"/>
      <c r="M155" s="107"/>
    </row>
    <row r="156" spans="8:13" x14ac:dyDescent="0.2">
      <c r="H156" s="107"/>
      <c r="I156" s="107"/>
      <c r="J156" s="107"/>
      <c r="K156" s="107"/>
      <c r="L156" s="107"/>
      <c r="M156" s="107"/>
    </row>
    <row r="157" spans="8:13" x14ac:dyDescent="0.2">
      <c r="H157" s="107"/>
      <c r="I157" s="107"/>
      <c r="J157" s="107"/>
      <c r="K157" s="107"/>
      <c r="L157" s="107"/>
      <c r="M157" s="107"/>
    </row>
    <row r="158" spans="8:13" x14ac:dyDescent="0.2">
      <c r="H158" s="107"/>
      <c r="I158" s="107"/>
      <c r="J158" s="107"/>
      <c r="K158" s="107"/>
      <c r="L158" s="107"/>
      <c r="M158" s="107"/>
    </row>
    <row r="159" spans="8:13" x14ac:dyDescent="0.2">
      <c r="H159" s="107"/>
      <c r="I159" s="107"/>
      <c r="J159" s="107"/>
      <c r="K159" s="107"/>
      <c r="L159" s="107"/>
      <c r="M159" s="107"/>
    </row>
    <row r="160" spans="8:13" x14ac:dyDescent="0.2">
      <c r="H160" s="107"/>
      <c r="I160" s="107"/>
      <c r="J160" s="107"/>
      <c r="K160" s="107"/>
      <c r="L160" s="107"/>
      <c r="M160" s="107"/>
    </row>
    <row r="161" spans="8:13" x14ac:dyDescent="0.2">
      <c r="H161" s="107"/>
      <c r="I161" s="107"/>
      <c r="J161" s="107"/>
      <c r="K161" s="107"/>
      <c r="L161" s="107"/>
      <c r="M161" s="107"/>
    </row>
    <row r="162" spans="8:13" x14ac:dyDescent="0.2">
      <c r="H162" s="107"/>
      <c r="I162" s="107"/>
      <c r="J162" s="107"/>
      <c r="K162" s="107"/>
      <c r="L162" s="107"/>
      <c r="M162" s="107"/>
    </row>
    <row r="163" spans="8:13" x14ac:dyDescent="0.2">
      <c r="H163" s="107"/>
      <c r="I163" s="107"/>
      <c r="J163" s="107"/>
      <c r="K163" s="107"/>
      <c r="L163" s="107"/>
      <c r="M163" s="107"/>
    </row>
    <row r="164" spans="8:13" x14ac:dyDescent="0.2">
      <c r="H164" s="107"/>
      <c r="I164" s="107"/>
      <c r="J164" s="107"/>
      <c r="K164" s="107"/>
      <c r="L164" s="107"/>
      <c r="M164" s="107"/>
    </row>
    <row r="165" spans="8:13" x14ac:dyDescent="0.2">
      <c r="H165" s="107"/>
      <c r="I165" s="107"/>
      <c r="J165" s="107"/>
      <c r="K165" s="107"/>
      <c r="L165" s="107"/>
      <c r="M165" s="107"/>
    </row>
    <row r="166" spans="8:13" x14ac:dyDescent="0.2">
      <c r="H166" s="107"/>
      <c r="I166" s="107"/>
      <c r="J166" s="107"/>
      <c r="K166" s="107"/>
      <c r="L166" s="107"/>
      <c r="M166" s="107"/>
    </row>
    <row r="167" spans="8:13" x14ac:dyDescent="0.2">
      <c r="H167" s="107"/>
      <c r="I167" s="107"/>
      <c r="J167" s="107"/>
      <c r="K167" s="107"/>
      <c r="L167" s="107"/>
      <c r="M167" s="107"/>
    </row>
    <row r="168" spans="8:13" x14ac:dyDescent="0.2">
      <c r="H168" s="107"/>
      <c r="I168" s="107"/>
      <c r="J168" s="107"/>
      <c r="K168" s="107"/>
      <c r="L168" s="107"/>
      <c r="M168" s="107"/>
    </row>
    <row r="169" spans="8:13" x14ac:dyDescent="0.2">
      <c r="H169" s="107"/>
      <c r="I169" s="107"/>
      <c r="J169" s="107"/>
      <c r="K169" s="107"/>
      <c r="L169" s="107"/>
      <c r="M169" s="107"/>
    </row>
    <row r="170" spans="8:13" x14ac:dyDescent="0.2">
      <c r="H170" s="107"/>
      <c r="I170" s="107"/>
      <c r="J170" s="107"/>
      <c r="K170" s="107"/>
      <c r="L170" s="107"/>
      <c r="M170" s="107"/>
    </row>
    <row r="171" spans="8:13" x14ac:dyDescent="0.2">
      <c r="H171" s="107"/>
      <c r="I171" s="107"/>
      <c r="J171" s="107"/>
      <c r="K171" s="107"/>
      <c r="L171" s="107"/>
      <c r="M171" s="107"/>
    </row>
    <row r="172" spans="8:13" x14ac:dyDescent="0.2">
      <c r="H172" s="107"/>
      <c r="I172" s="107"/>
      <c r="J172" s="107"/>
      <c r="K172" s="107"/>
      <c r="L172" s="107"/>
      <c r="M172" s="107"/>
    </row>
    <row r="173" spans="8:13" x14ac:dyDescent="0.2">
      <c r="H173" s="107"/>
      <c r="I173" s="107"/>
      <c r="J173" s="107"/>
      <c r="K173" s="107"/>
      <c r="L173" s="107"/>
      <c r="M173" s="107"/>
    </row>
    <row r="174" spans="8:13" x14ac:dyDescent="0.2">
      <c r="H174" s="107"/>
      <c r="I174" s="107"/>
      <c r="J174" s="107"/>
      <c r="K174" s="107"/>
      <c r="L174" s="107"/>
      <c r="M174" s="107"/>
    </row>
    <row r="175" spans="8:13" x14ac:dyDescent="0.2">
      <c r="H175" s="107"/>
      <c r="I175" s="107"/>
      <c r="J175" s="107"/>
      <c r="K175" s="107"/>
      <c r="L175" s="107"/>
      <c r="M175" s="107"/>
    </row>
    <row r="176" spans="8:13" x14ac:dyDescent="0.2">
      <c r="H176" s="107"/>
      <c r="I176" s="107"/>
      <c r="J176" s="107"/>
      <c r="K176" s="107"/>
      <c r="L176" s="107"/>
      <c r="M176" s="107"/>
    </row>
    <row r="177" spans="8:13" x14ac:dyDescent="0.2">
      <c r="H177" s="107"/>
      <c r="I177" s="107"/>
      <c r="J177" s="107"/>
      <c r="K177" s="107"/>
      <c r="L177" s="107"/>
      <c r="M177" s="107"/>
    </row>
    <row r="178" spans="8:13" x14ac:dyDescent="0.2">
      <c r="H178" s="107"/>
      <c r="I178" s="107"/>
      <c r="J178" s="107"/>
      <c r="K178" s="107"/>
      <c r="L178" s="107"/>
      <c r="M178" s="107"/>
    </row>
    <row r="179" spans="8:13" x14ac:dyDescent="0.2">
      <c r="H179" s="107"/>
      <c r="I179" s="107"/>
      <c r="J179" s="107"/>
      <c r="K179" s="107"/>
      <c r="L179" s="107"/>
      <c r="M179" s="107"/>
    </row>
    <row r="180" spans="8:13" x14ac:dyDescent="0.2">
      <c r="H180" s="107"/>
      <c r="I180" s="107"/>
      <c r="J180" s="107"/>
      <c r="K180" s="107"/>
      <c r="L180" s="107"/>
      <c r="M180" s="107"/>
    </row>
    <row r="181" spans="8:13" x14ac:dyDescent="0.2">
      <c r="H181" s="107"/>
      <c r="I181" s="107"/>
      <c r="J181" s="107"/>
      <c r="K181" s="107"/>
      <c r="L181" s="107"/>
      <c r="M181" s="107"/>
    </row>
    <row r="182" spans="8:13" x14ac:dyDescent="0.2">
      <c r="H182" s="107"/>
      <c r="I182" s="107"/>
      <c r="J182" s="107"/>
      <c r="K182" s="107"/>
      <c r="L182" s="107"/>
      <c r="M182" s="107"/>
    </row>
    <row r="183" spans="8:13" x14ac:dyDescent="0.2">
      <c r="H183" s="107"/>
      <c r="I183" s="107"/>
      <c r="J183" s="107"/>
      <c r="K183" s="107"/>
      <c r="L183" s="107"/>
      <c r="M183" s="107"/>
    </row>
    <row r="184" spans="8:13" x14ac:dyDescent="0.2">
      <c r="H184" s="107"/>
      <c r="I184" s="107"/>
      <c r="J184" s="107"/>
      <c r="K184" s="107"/>
      <c r="L184" s="107"/>
      <c r="M184" s="107"/>
    </row>
    <row r="185" spans="8:13" x14ac:dyDescent="0.2">
      <c r="H185" s="107"/>
      <c r="I185" s="107"/>
      <c r="J185" s="107"/>
      <c r="K185" s="107"/>
      <c r="L185" s="107"/>
      <c r="M185" s="107"/>
    </row>
    <row r="186" spans="8:13" x14ac:dyDescent="0.2">
      <c r="H186" s="107"/>
      <c r="I186" s="107"/>
      <c r="J186" s="107"/>
      <c r="K186" s="107"/>
      <c r="L186" s="107"/>
      <c r="M186" s="107"/>
    </row>
    <row r="187" spans="8:13" x14ac:dyDescent="0.2">
      <c r="H187" s="107"/>
      <c r="I187" s="107"/>
      <c r="J187" s="107"/>
      <c r="K187" s="107"/>
      <c r="L187" s="107"/>
      <c r="M187" s="107"/>
    </row>
    <row r="188" spans="8:13" x14ac:dyDescent="0.2">
      <c r="H188" s="107"/>
      <c r="I188" s="107"/>
      <c r="J188" s="107"/>
      <c r="K188" s="107"/>
      <c r="L188" s="107"/>
      <c r="M188" s="107"/>
    </row>
    <row r="189" spans="8:13" x14ac:dyDescent="0.2">
      <c r="H189" s="107"/>
      <c r="I189" s="107"/>
      <c r="J189" s="107"/>
      <c r="K189" s="107"/>
      <c r="L189" s="107"/>
      <c r="M189" s="107"/>
    </row>
    <row r="190" spans="8:13" x14ac:dyDescent="0.2">
      <c r="H190" s="107"/>
      <c r="I190" s="107"/>
      <c r="J190" s="107"/>
      <c r="K190" s="107"/>
      <c r="L190" s="107"/>
      <c r="M190" s="107"/>
    </row>
    <row r="191" spans="8:13" x14ac:dyDescent="0.2">
      <c r="H191" s="107"/>
      <c r="I191" s="107"/>
      <c r="J191" s="107"/>
      <c r="K191" s="107"/>
      <c r="L191" s="107"/>
      <c r="M191" s="107"/>
    </row>
    <row r="192" spans="8:13" x14ac:dyDescent="0.2">
      <c r="H192" s="107"/>
      <c r="I192" s="107"/>
      <c r="J192" s="107"/>
      <c r="K192" s="107"/>
      <c r="L192" s="107"/>
      <c r="M192" s="107"/>
    </row>
    <row r="193" spans="8:13" x14ac:dyDescent="0.2">
      <c r="H193" s="107"/>
      <c r="I193" s="107"/>
      <c r="J193" s="107"/>
      <c r="K193" s="107"/>
      <c r="L193" s="107"/>
      <c r="M193" s="107"/>
    </row>
    <row r="194" spans="8:13" x14ac:dyDescent="0.2">
      <c r="H194" s="107"/>
      <c r="I194" s="107"/>
      <c r="J194" s="107"/>
      <c r="K194" s="107"/>
      <c r="L194" s="107"/>
      <c r="M194" s="107"/>
    </row>
    <row r="195" spans="8:13" x14ac:dyDescent="0.2">
      <c r="H195" s="107"/>
      <c r="I195" s="107"/>
      <c r="J195" s="107"/>
      <c r="K195" s="107"/>
      <c r="L195" s="107"/>
      <c r="M195" s="107"/>
    </row>
    <row r="196" spans="8:13" x14ac:dyDescent="0.2">
      <c r="H196" s="107"/>
      <c r="I196" s="107"/>
      <c r="J196" s="107"/>
      <c r="K196" s="107"/>
      <c r="L196" s="107"/>
      <c r="M196" s="107"/>
    </row>
    <row r="197" spans="8:13" x14ac:dyDescent="0.2">
      <c r="H197" s="107"/>
      <c r="I197" s="107"/>
      <c r="J197" s="107"/>
      <c r="K197" s="107"/>
      <c r="L197" s="107"/>
      <c r="M197" s="107"/>
    </row>
    <row r="198" spans="8:13" x14ac:dyDescent="0.2">
      <c r="H198" s="107"/>
      <c r="I198" s="107"/>
      <c r="J198" s="107"/>
      <c r="K198" s="107"/>
      <c r="L198" s="107"/>
      <c r="M198" s="107"/>
    </row>
    <row r="199" spans="8:13" x14ac:dyDescent="0.2">
      <c r="H199" s="107"/>
      <c r="I199" s="107"/>
      <c r="J199" s="107"/>
      <c r="K199" s="107"/>
      <c r="L199" s="107"/>
      <c r="M199" s="107"/>
    </row>
    <row r="200" spans="8:13" x14ac:dyDescent="0.2">
      <c r="H200" s="107"/>
      <c r="I200" s="107"/>
      <c r="J200" s="107"/>
      <c r="K200" s="107"/>
      <c r="L200" s="107"/>
      <c r="M200" s="107"/>
    </row>
    <row r="201" spans="8:13" x14ac:dyDescent="0.2">
      <c r="H201" s="107"/>
      <c r="I201" s="107"/>
      <c r="J201" s="107"/>
      <c r="K201" s="107"/>
      <c r="L201" s="107"/>
      <c r="M201" s="107"/>
    </row>
    <row r="202" spans="8:13" x14ac:dyDescent="0.2">
      <c r="H202" s="107"/>
      <c r="I202" s="107"/>
      <c r="J202" s="107"/>
      <c r="K202" s="107"/>
      <c r="L202" s="107"/>
      <c r="M202" s="107"/>
    </row>
    <row r="203" spans="8:13" x14ac:dyDescent="0.2">
      <c r="H203" s="107"/>
      <c r="I203" s="107"/>
      <c r="J203" s="107"/>
      <c r="K203" s="107"/>
      <c r="L203" s="107"/>
      <c r="M203" s="107"/>
    </row>
    <row r="204" spans="8:13" x14ac:dyDescent="0.2">
      <c r="H204" s="107"/>
      <c r="I204" s="107"/>
      <c r="J204" s="107"/>
      <c r="K204" s="107"/>
      <c r="L204" s="107"/>
      <c r="M204" s="107"/>
    </row>
    <row r="205" spans="8:13" x14ac:dyDescent="0.2">
      <c r="H205" s="107"/>
      <c r="I205" s="107"/>
      <c r="J205" s="107"/>
      <c r="K205" s="107"/>
      <c r="L205" s="107"/>
      <c r="M205" s="107"/>
    </row>
    <row r="206" spans="8:13" x14ac:dyDescent="0.2">
      <c r="H206" s="107"/>
      <c r="I206" s="107"/>
      <c r="J206" s="107"/>
      <c r="K206" s="107"/>
      <c r="L206" s="107"/>
      <c r="M206" s="107"/>
    </row>
    <row r="207" spans="8:13" x14ac:dyDescent="0.2">
      <c r="H207" s="107"/>
      <c r="I207" s="107"/>
      <c r="J207" s="107"/>
      <c r="K207" s="107"/>
      <c r="L207" s="107"/>
      <c r="M207" s="107"/>
    </row>
    <row r="208" spans="8:13" x14ac:dyDescent="0.2">
      <c r="H208" s="107"/>
      <c r="I208" s="107"/>
      <c r="J208" s="107"/>
      <c r="K208" s="107"/>
      <c r="L208" s="107"/>
      <c r="M208" s="107"/>
    </row>
    <row r="209" spans="8:13" x14ac:dyDescent="0.2">
      <c r="H209" s="107"/>
      <c r="I209" s="107"/>
      <c r="J209" s="107"/>
      <c r="K209" s="107"/>
      <c r="L209" s="107"/>
      <c r="M209" s="107"/>
    </row>
    <row r="210" spans="8:13" x14ac:dyDescent="0.2">
      <c r="H210" s="107"/>
      <c r="I210" s="107"/>
      <c r="J210" s="107"/>
      <c r="K210" s="107"/>
      <c r="L210" s="107"/>
      <c r="M210" s="107"/>
    </row>
    <row r="211" spans="8:13" x14ac:dyDescent="0.2">
      <c r="H211" s="107"/>
      <c r="I211" s="107"/>
      <c r="J211" s="107"/>
      <c r="K211" s="107"/>
      <c r="L211" s="107"/>
      <c r="M211" s="107"/>
    </row>
    <row r="212" spans="8:13" x14ac:dyDescent="0.2">
      <c r="H212" s="107"/>
      <c r="I212" s="107"/>
      <c r="J212" s="107"/>
      <c r="K212" s="107"/>
      <c r="L212" s="107"/>
      <c r="M212" s="107"/>
    </row>
    <row r="213" spans="8:13" x14ac:dyDescent="0.2">
      <c r="H213" s="107"/>
      <c r="I213" s="107"/>
      <c r="J213" s="107"/>
      <c r="K213" s="107"/>
      <c r="L213" s="107"/>
      <c r="M213" s="107"/>
    </row>
    <row r="214" spans="8:13" x14ac:dyDescent="0.2">
      <c r="H214" s="107"/>
      <c r="I214" s="107"/>
      <c r="J214" s="107"/>
      <c r="K214" s="107"/>
      <c r="L214" s="107"/>
      <c r="M214" s="107"/>
    </row>
    <row r="215" spans="8:13" x14ac:dyDescent="0.2">
      <c r="H215" s="107"/>
      <c r="I215" s="107"/>
      <c r="J215" s="107"/>
      <c r="K215" s="107"/>
      <c r="L215" s="107"/>
      <c r="M215" s="107"/>
    </row>
    <row r="216" spans="8:13" x14ac:dyDescent="0.2">
      <c r="H216" s="107"/>
      <c r="I216" s="107"/>
      <c r="J216" s="107"/>
      <c r="K216" s="107"/>
      <c r="L216" s="107"/>
      <c r="M216" s="107"/>
    </row>
    <row r="217" spans="8:13" x14ac:dyDescent="0.2">
      <c r="H217" s="107"/>
      <c r="I217" s="107"/>
      <c r="J217" s="107"/>
      <c r="K217" s="107"/>
      <c r="L217" s="107"/>
      <c r="M217" s="107"/>
    </row>
    <row r="218" spans="8:13" x14ac:dyDescent="0.2">
      <c r="H218" s="107"/>
      <c r="I218" s="107"/>
      <c r="J218" s="107"/>
      <c r="K218" s="107"/>
      <c r="L218" s="107"/>
      <c r="M218" s="107"/>
    </row>
    <row r="219" spans="8:13" x14ac:dyDescent="0.2">
      <c r="H219" s="107"/>
      <c r="I219" s="107"/>
      <c r="J219" s="107"/>
      <c r="K219" s="107"/>
      <c r="L219" s="107"/>
      <c r="M219" s="107"/>
    </row>
    <row r="220" spans="8:13" x14ac:dyDescent="0.2">
      <c r="H220" s="107"/>
      <c r="I220" s="107"/>
      <c r="J220" s="107"/>
      <c r="K220" s="107"/>
      <c r="L220" s="107"/>
      <c r="M220" s="107"/>
    </row>
    <row r="221" spans="8:13" x14ac:dyDescent="0.2">
      <c r="H221" s="107"/>
      <c r="I221" s="107"/>
      <c r="J221" s="107"/>
      <c r="K221" s="107"/>
      <c r="L221" s="107"/>
      <c r="M221" s="107"/>
    </row>
    <row r="222" spans="8:13" x14ac:dyDescent="0.2">
      <c r="H222" s="107"/>
      <c r="I222" s="107"/>
      <c r="J222" s="107"/>
      <c r="K222" s="107"/>
      <c r="L222" s="107"/>
      <c r="M222" s="107"/>
    </row>
    <row r="223" spans="8:13" x14ac:dyDescent="0.2">
      <c r="H223" s="107"/>
      <c r="I223" s="107"/>
      <c r="J223" s="107"/>
      <c r="K223" s="107"/>
      <c r="L223" s="107"/>
      <c r="M223" s="107"/>
    </row>
    <row r="224" spans="8:13" x14ac:dyDescent="0.2">
      <c r="H224" s="107"/>
      <c r="I224" s="107"/>
      <c r="J224" s="107"/>
      <c r="K224" s="107"/>
      <c r="L224" s="107"/>
      <c r="M224" s="107"/>
    </row>
    <row r="225" spans="8:13" x14ac:dyDescent="0.2">
      <c r="H225" s="107"/>
      <c r="I225" s="107"/>
      <c r="J225" s="107"/>
      <c r="K225" s="107"/>
      <c r="L225" s="107"/>
      <c r="M225" s="107"/>
    </row>
    <row r="226" spans="8:13" x14ac:dyDescent="0.2">
      <c r="H226" s="107"/>
      <c r="I226" s="107"/>
      <c r="J226" s="107"/>
      <c r="K226" s="107"/>
      <c r="L226" s="107"/>
      <c r="M226" s="107"/>
    </row>
    <row r="227" spans="8:13" x14ac:dyDescent="0.2">
      <c r="H227" s="107"/>
      <c r="I227" s="107"/>
      <c r="J227" s="107"/>
      <c r="K227" s="107"/>
      <c r="L227" s="107"/>
      <c r="M227" s="107"/>
    </row>
    <row r="228" spans="8:13" x14ac:dyDescent="0.2">
      <c r="H228" s="107"/>
      <c r="I228" s="107"/>
      <c r="J228" s="107"/>
      <c r="K228" s="107"/>
      <c r="L228" s="107"/>
      <c r="M228" s="107"/>
    </row>
    <row r="229" spans="8:13" x14ac:dyDescent="0.2">
      <c r="H229" s="107"/>
      <c r="I229" s="107"/>
      <c r="J229" s="107"/>
      <c r="K229" s="107"/>
      <c r="L229" s="107"/>
      <c r="M229" s="107"/>
    </row>
    <row r="230" spans="8:13" x14ac:dyDescent="0.2">
      <c r="H230" s="107"/>
      <c r="I230" s="107"/>
      <c r="J230" s="107"/>
      <c r="K230" s="107"/>
      <c r="L230" s="107"/>
      <c r="M230" s="107"/>
    </row>
    <row r="231" spans="8:13" x14ac:dyDescent="0.2">
      <c r="H231" s="107"/>
      <c r="I231" s="107"/>
      <c r="J231" s="107"/>
      <c r="K231" s="107"/>
      <c r="L231" s="107"/>
      <c r="M231" s="107"/>
    </row>
    <row r="232" spans="8:13" x14ac:dyDescent="0.2">
      <c r="H232" s="107"/>
      <c r="I232" s="107"/>
      <c r="J232" s="107"/>
      <c r="K232" s="107"/>
      <c r="L232" s="107"/>
      <c r="M232" s="107"/>
    </row>
    <row r="233" spans="8:13" x14ac:dyDescent="0.2">
      <c r="H233" s="107"/>
      <c r="I233" s="107"/>
      <c r="J233" s="107"/>
      <c r="K233" s="107"/>
      <c r="L233" s="107"/>
      <c r="M233" s="107"/>
    </row>
    <row r="234" spans="8:13" x14ac:dyDescent="0.2">
      <c r="H234" s="107"/>
      <c r="I234" s="107"/>
      <c r="J234" s="107"/>
      <c r="K234" s="107"/>
      <c r="L234" s="107"/>
      <c r="M234" s="107"/>
    </row>
    <row r="235" spans="8:13" x14ac:dyDescent="0.2">
      <c r="H235" s="107"/>
      <c r="I235" s="107"/>
      <c r="J235" s="107"/>
      <c r="K235" s="107"/>
      <c r="L235" s="107"/>
      <c r="M235" s="107"/>
    </row>
    <row r="236" spans="8:13" x14ac:dyDescent="0.2">
      <c r="H236" s="107"/>
      <c r="I236" s="107"/>
      <c r="J236" s="107"/>
      <c r="K236" s="107"/>
      <c r="L236" s="107"/>
      <c r="M236" s="107"/>
    </row>
  </sheetData>
  <mergeCells count="16">
    <mergeCell ref="B26:B27"/>
    <mergeCell ref="B49:B50"/>
    <mergeCell ref="N50:R50"/>
    <mergeCell ref="C26:L26"/>
    <mergeCell ref="C27:L27"/>
    <mergeCell ref="N26:W26"/>
    <mergeCell ref="N27:W27"/>
    <mergeCell ref="A2:X2"/>
    <mergeCell ref="A1:X1"/>
    <mergeCell ref="C5:I5"/>
    <mergeCell ref="B5:B6"/>
    <mergeCell ref="A4:X4"/>
    <mergeCell ref="A3:X3"/>
    <mergeCell ref="N5:W5"/>
    <mergeCell ref="C6:M6"/>
    <mergeCell ref="N6:W6"/>
  </mergeCells>
  <phoneticPr fontId="5" type="noConversion"/>
  <pageMargins left="0.25" right="0.25" top="0.75" bottom="0.75" header="0.3" footer="0.3"/>
  <pageSetup paperSize="9" scale="60" orientation="landscape" r:id="rId1"/>
  <headerFooter alignWithMargins="0"/>
  <rowBreaks count="2" manualBreakCount="2">
    <brk id="47" max="21" man="1"/>
    <brk id="70" max="2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2017-06-05T06:29:44Z</cp:lastPrinted>
  <dcterms:created xsi:type="dcterms:W3CDTF">2007-02-08T08:33:33Z</dcterms:created>
  <dcterms:modified xsi:type="dcterms:W3CDTF">2017-06-05T06:30:02Z</dcterms:modified>
</cp:coreProperties>
</file>