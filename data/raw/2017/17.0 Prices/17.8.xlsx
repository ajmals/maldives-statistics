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-150" windowWidth="20550" windowHeight="12255" tabRatio="914"/>
  </bookViews>
  <sheets>
    <sheet name="17.8" sheetId="35" r:id="rId1"/>
  </sheets>
  <externalReferences>
    <externalReference r:id="rId2"/>
    <externalReference r:id="rId3"/>
    <externalReference r:id="rId4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'17.8'!$A$1:$Q$69</definedName>
    <definedName name="Print_Area_MI">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C52" i="35" l="1"/>
  <c r="D52" i="35"/>
  <c r="E52" i="35"/>
  <c r="F52" i="35"/>
  <c r="G52" i="35"/>
  <c r="H52" i="35"/>
  <c r="I52" i="35"/>
  <c r="J52" i="35"/>
  <c r="K52" i="35"/>
  <c r="L52" i="35"/>
  <c r="M52" i="35"/>
  <c r="C53" i="35"/>
  <c r="D53" i="35"/>
  <c r="E53" i="35"/>
  <c r="F53" i="35"/>
  <c r="G53" i="35"/>
  <c r="H53" i="35"/>
  <c r="I53" i="35"/>
  <c r="J53" i="35"/>
  <c r="K53" i="35"/>
  <c r="L53" i="35"/>
  <c r="M53" i="35"/>
  <c r="C54" i="35"/>
  <c r="D54" i="35"/>
  <c r="E54" i="35"/>
  <c r="F54" i="35"/>
  <c r="G54" i="35"/>
  <c r="H54" i="35"/>
  <c r="I54" i="35"/>
  <c r="J54" i="35"/>
  <c r="K54" i="35"/>
  <c r="L54" i="35"/>
  <c r="M54" i="35"/>
  <c r="C55" i="35"/>
  <c r="D55" i="35"/>
  <c r="E55" i="35"/>
  <c r="F55" i="35"/>
  <c r="G55" i="35"/>
  <c r="H55" i="35"/>
  <c r="I55" i="35"/>
  <c r="J55" i="35"/>
  <c r="K55" i="35"/>
  <c r="L55" i="35"/>
  <c r="M55" i="35"/>
  <c r="C56" i="35"/>
  <c r="D56" i="35"/>
  <c r="E56" i="35"/>
  <c r="F56" i="35"/>
  <c r="G56" i="35"/>
  <c r="H56" i="35"/>
  <c r="I56" i="35"/>
  <c r="J56" i="35"/>
  <c r="K56" i="35"/>
  <c r="L56" i="35"/>
  <c r="M56" i="35"/>
  <c r="C57" i="35"/>
  <c r="D57" i="35"/>
  <c r="E57" i="35"/>
  <c r="F57" i="35"/>
  <c r="G57" i="35"/>
  <c r="H57" i="35"/>
  <c r="I57" i="35"/>
  <c r="J57" i="35"/>
  <c r="K57" i="35"/>
  <c r="L57" i="35"/>
  <c r="M57" i="35"/>
  <c r="C58" i="35"/>
  <c r="D58" i="35"/>
  <c r="E58" i="35"/>
  <c r="F58" i="35"/>
  <c r="G58" i="35"/>
  <c r="H58" i="35"/>
  <c r="I58" i="35"/>
  <c r="J58" i="35"/>
  <c r="K58" i="35"/>
  <c r="L58" i="35"/>
  <c r="M58" i="35"/>
  <c r="C59" i="35"/>
  <c r="D59" i="35"/>
  <c r="E59" i="35"/>
  <c r="F59" i="35"/>
  <c r="G59" i="35"/>
  <c r="H59" i="35"/>
  <c r="I59" i="35"/>
  <c r="J59" i="35"/>
  <c r="K59" i="35"/>
  <c r="L59" i="35"/>
  <c r="M59" i="35"/>
  <c r="C60" i="35"/>
  <c r="D60" i="35"/>
  <c r="E60" i="35"/>
  <c r="F60" i="35"/>
  <c r="G60" i="35"/>
  <c r="H60" i="35"/>
  <c r="I60" i="35"/>
  <c r="J60" i="35"/>
  <c r="K60" i="35"/>
  <c r="L60" i="35"/>
  <c r="M60" i="35"/>
  <c r="C61" i="35"/>
  <c r="D61" i="35"/>
  <c r="E61" i="35"/>
  <c r="F61" i="35"/>
  <c r="G61" i="35"/>
  <c r="H61" i="35"/>
  <c r="I61" i="35"/>
  <c r="J61" i="35"/>
  <c r="K61" i="35"/>
  <c r="L61" i="35"/>
  <c r="M61" i="35"/>
  <c r="C62" i="35"/>
  <c r="D62" i="35"/>
  <c r="E62" i="35"/>
  <c r="F62" i="35"/>
  <c r="G62" i="35"/>
  <c r="H62" i="35"/>
  <c r="I62" i="35"/>
  <c r="J62" i="35"/>
  <c r="K62" i="35"/>
  <c r="L62" i="35"/>
  <c r="M62" i="35"/>
  <c r="C63" i="35"/>
  <c r="D63" i="35"/>
  <c r="E63" i="35"/>
  <c r="F63" i="35"/>
  <c r="G63" i="35"/>
  <c r="H63" i="35"/>
  <c r="I63" i="35"/>
  <c r="J63" i="35"/>
  <c r="K63" i="35"/>
  <c r="L63" i="35"/>
  <c r="M63" i="35"/>
  <c r="C64" i="35"/>
  <c r="D64" i="35"/>
  <c r="E64" i="35"/>
  <c r="F64" i="35"/>
  <c r="G64" i="35"/>
  <c r="H64" i="35"/>
  <c r="I64" i="35"/>
  <c r="J64" i="35"/>
  <c r="K64" i="35"/>
  <c r="L64" i="35"/>
  <c r="M64" i="35"/>
  <c r="C65" i="35"/>
  <c r="D65" i="35"/>
  <c r="E65" i="35"/>
  <c r="F65" i="35"/>
  <c r="G65" i="35"/>
  <c r="H65" i="35"/>
  <c r="I65" i="35"/>
  <c r="J65" i="35"/>
  <c r="K65" i="35"/>
  <c r="L65" i="35"/>
  <c r="M65" i="35"/>
  <c r="C66" i="35"/>
  <c r="D66" i="35"/>
  <c r="E66" i="35"/>
  <c r="F66" i="35"/>
  <c r="G66" i="35"/>
  <c r="H66" i="35"/>
  <c r="I66" i="35"/>
  <c r="J66" i="35"/>
  <c r="K66" i="35"/>
  <c r="L66" i="35"/>
  <c r="M66" i="35"/>
  <c r="C67" i="35"/>
  <c r="D67" i="35"/>
  <c r="E67" i="35"/>
  <c r="F67" i="35"/>
  <c r="G67" i="35"/>
  <c r="H67" i="35"/>
  <c r="I67" i="35"/>
  <c r="J67" i="35"/>
  <c r="K67" i="35"/>
  <c r="L67" i="35"/>
  <c r="M67" i="35"/>
  <c r="C68" i="35"/>
  <c r="D68" i="35"/>
  <c r="E68" i="35"/>
  <c r="F68" i="35"/>
  <c r="G68" i="35"/>
  <c r="H68" i="35"/>
  <c r="I68" i="35"/>
  <c r="J68" i="35"/>
  <c r="K68" i="35"/>
  <c r="L68" i="35"/>
  <c r="M68" i="35"/>
  <c r="B68" i="35"/>
  <c r="B67" i="35"/>
  <c r="B66" i="35"/>
  <c r="B65" i="35"/>
  <c r="B64" i="35"/>
  <c r="B63" i="35"/>
  <c r="B62" i="35"/>
  <c r="B61" i="35"/>
  <c r="B60" i="35"/>
  <c r="B59" i="35"/>
  <c r="B58" i="35"/>
  <c r="B57" i="35"/>
  <c r="B56" i="35"/>
  <c r="B55" i="35"/>
  <c r="B54" i="35"/>
  <c r="B53" i="35"/>
  <c r="B52" i="35"/>
  <c r="C30" i="35"/>
  <c r="D30" i="35"/>
  <c r="E30" i="35"/>
  <c r="F30" i="35"/>
  <c r="G30" i="35"/>
  <c r="H30" i="35"/>
  <c r="I30" i="35"/>
  <c r="J30" i="35"/>
  <c r="K30" i="35"/>
  <c r="L30" i="35"/>
  <c r="M30" i="35"/>
  <c r="C31" i="35"/>
  <c r="D31" i="35"/>
  <c r="E31" i="35"/>
  <c r="F31" i="35"/>
  <c r="G31" i="35"/>
  <c r="H31" i="35"/>
  <c r="I31" i="35"/>
  <c r="J31" i="35"/>
  <c r="K31" i="35"/>
  <c r="L31" i="35"/>
  <c r="M31" i="35"/>
  <c r="C32" i="35"/>
  <c r="D32" i="35"/>
  <c r="E32" i="35"/>
  <c r="F32" i="35"/>
  <c r="G32" i="35"/>
  <c r="H32" i="35"/>
  <c r="I32" i="35"/>
  <c r="J32" i="35"/>
  <c r="K32" i="35"/>
  <c r="L32" i="35"/>
  <c r="M32" i="35"/>
  <c r="C33" i="35"/>
  <c r="D33" i="35"/>
  <c r="E33" i="35"/>
  <c r="F33" i="35"/>
  <c r="G33" i="35"/>
  <c r="H33" i="35"/>
  <c r="I33" i="35"/>
  <c r="J33" i="35"/>
  <c r="K33" i="35"/>
  <c r="L33" i="35"/>
  <c r="M33" i="35"/>
  <c r="C34" i="35"/>
  <c r="D34" i="35"/>
  <c r="E34" i="35"/>
  <c r="F34" i="35"/>
  <c r="G34" i="35"/>
  <c r="H34" i="35"/>
  <c r="I34" i="35"/>
  <c r="J34" i="35"/>
  <c r="K34" i="35"/>
  <c r="L34" i="35"/>
  <c r="M34" i="35"/>
  <c r="C35" i="35"/>
  <c r="D35" i="35"/>
  <c r="E35" i="35"/>
  <c r="F35" i="35"/>
  <c r="G35" i="35"/>
  <c r="H35" i="35"/>
  <c r="I35" i="35"/>
  <c r="J35" i="35"/>
  <c r="K35" i="35"/>
  <c r="L35" i="35"/>
  <c r="M35" i="35"/>
  <c r="C36" i="35"/>
  <c r="D36" i="35"/>
  <c r="E36" i="35"/>
  <c r="F36" i="35"/>
  <c r="G36" i="35"/>
  <c r="H36" i="35"/>
  <c r="I36" i="35"/>
  <c r="J36" i="35"/>
  <c r="K36" i="35"/>
  <c r="L36" i="35"/>
  <c r="M36" i="35"/>
  <c r="C37" i="35"/>
  <c r="D37" i="35"/>
  <c r="E37" i="35"/>
  <c r="F37" i="35"/>
  <c r="G37" i="35"/>
  <c r="H37" i="35"/>
  <c r="I37" i="35"/>
  <c r="J37" i="35"/>
  <c r="K37" i="35"/>
  <c r="L37" i="35"/>
  <c r="M37" i="35"/>
  <c r="C38" i="35"/>
  <c r="D38" i="35"/>
  <c r="E38" i="35"/>
  <c r="F38" i="35"/>
  <c r="G38" i="35"/>
  <c r="H38" i="35"/>
  <c r="I38" i="35"/>
  <c r="J38" i="35"/>
  <c r="K38" i="35"/>
  <c r="L38" i="35"/>
  <c r="M38" i="35"/>
  <c r="C39" i="35"/>
  <c r="D39" i="35"/>
  <c r="E39" i="35"/>
  <c r="F39" i="35"/>
  <c r="G39" i="35"/>
  <c r="H39" i="35"/>
  <c r="I39" i="35"/>
  <c r="J39" i="35"/>
  <c r="K39" i="35"/>
  <c r="L39" i="35"/>
  <c r="M39" i="35"/>
  <c r="C40" i="35"/>
  <c r="D40" i="35"/>
  <c r="E40" i="35"/>
  <c r="F40" i="35"/>
  <c r="G40" i="35"/>
  <c r="H40" i="35"/>
  <c r="I40" i="35"/>
  <c r="J40" i="35"/>
  <c r="K40" i="35"/>
  <c r="L40" i="35"/>
  <c r="M40" i="35"/>
  <c r="C41" i="35"/>
  <c r="D41" i="35"/>
  <c r="E41" i="35"/>
  <c r="F41" i="35"/>
  <c r="G41" i="35"/>
  <c r="H41" i="35"/>
  <c r="I41" i="35"/>
  <c r="J41" i="35"/>
  <c r="K41" i="35"/>
  <c r="L41" i="35"/>
  <c r="M41" i="35"/>
  <c r="C42" i="35"/>
  <c r="D42" i="35"/>
  <c r="E42" i="35"/>
  <c r="F42" i="35"/>
  <c r="G42" i="35"/>
  <c r="H42" i="35"/>
  <c r="I42" i="35"/>
  <c r="J42" i="35"/>
  <c r="K42" i="35"/>
  <c r="L42" i="35"/>
  <c r="M42" i="35"/>
  <c r="C43" i="35"/>
  <c r="D43" i="35"/>
  <c r="E43" i="35"/>
  <c r="F43" i="35"/>
  <c r="G43" i="35"/>
  <c r="H43" i="35"/>
  <c r="I43" i="35"/>
  <c r="J43" i="35"/>
  <c r="K43" i="35"/>
  <c r="L43" i="35"/>
  <c r="M43" i="35"/>
  <c r="C44" i="35"/>
  <c r="D44" i="35"/>
  <c r="E44" i="35"/>
  <c r="F44" i="35"/>
  <c r="G44" i="35"/>
  <c r="H44" i="35"/>
  <c r="I44" i="35"/>
  <c r="J44" i="35"/>
  <c r="K44" i="35"/>
  <c r="L44" i="35"/>
  <c r="M44" i="35"/>
  <c r="C45" i="35"/>
  <c r="D45" i="35"/>
  <c r="E45" i="35"/>
  <c r="F45" i="35"/>
  <c r="G45" i="35"/>
  <c r="H45" i="35"/>
  <c r="I45" i="35"/>
  <c r="J45" i="35"/>
  <c r="K45" i="35"/>
  <c r="L45" i="35"/>
  <c r="M45" i="35"/>
  <c r="C46" i="35"/>
  <c r="D46" i="35"/>
  <c r="E46" i="35"/>
  <c r="F46" i="35"/>
  <c r="G46" i="35"/>
  <c r="H46" i="35"/>
  <c r="I46" i="35"/>
  <c r="J46" i="35"/>
  <c r="K46" i="35"/>
  <c r="L46" i="35"/>
  <c r="M46" i="35"/>
  <c r="B46" i="35"/>
  <c r="B45" i="35"/>
  <c r="B44" i="35"/>
  <c r="B43" i="35"/>
  <c r="B42" i="35"/>
  <c r="B40" i="35"/>
  <c r="B39" i="35"/>
  <c r="B38" i="35"/>
  <c r="B37" i="35"/>
  <c r="B36" i="35"/>
  <c r="B35" i="35"/>
  <c r="B34" i="35"/>
  <c r="B33" i="35"/>
  <c r="B32" i="35"/>
  <c r="B31" i="35"/>
  <c r="B30" i="35"/>
  <c r="B41" i="35"/>
  <c r="C8" i="35"/>
  <c r="D8" i="35"/>
  <c r="E8" i="35"/>
  <c r="F8" i="35"/>
  <c r="G8" i="35"/>
  <c r="H8" i="35"/>
  <c r="I8" i="35"/>
  <c r="J8" i="35"/>
  <c r="K8" i="35"/>
  <c r="L8" i="35"/>
  <c r="M8" i="35"/>
  <c r="C9" i="35"/>
  <c r="D9" i="35"/>
  <c r="E9" i="35"/>
  <c r="F9" i="35"/>
  <c r="G9" i="35"/>
  <c r="H9" i="35"/>
  <c r="I9" i="35"/>
  <c r="J9" i="35"/>
  <c r="K9" i="35"/>
  <c r="L9" i="35"/>
  <c r="M9" i="35"/>
  <c r="C10" i="35"/>
  <c r="D10" i="35"/>
  <c r="E10" i="35"/>
  <c r="F10" i="35"/>
  <c r="G10" i="35"/>
  <c r="H10" i="35"/>
  <c r="I10" i="35"/>
  <c r="J10" i="35"/>
  <c r="K10" i="35"/>
  <c r="L10" i="35"/>
  <c r="M10" i="35"/>
  <c r="C11" i="35"/>
  <c r="D11" i="35"/>
  <c r="E11" i="35"/>
  <c r="F11" i="35"/>
  <c r="G11" i="35"/>
  <c r="H11" i="35"/>
  <c r="I11" i="35"/>
  <c r="J11" i="35"/>
  <c r="K11" i="35"/>
  <c r="L11" i="35"/>
  <c r="M11" i="35"/>
  <c r="C12" i="35"/>
  <c r="D12" i="35"/>
  <c r="E12" i="35"/>
  <c r="F12" i="35"/>
  <c r="G12" i="35"/>
  <c r="H12" i="35"/>
  <c r="I12" i="35"/>
  <c r="J12" i="35"/>
  <c r="K12" i="35"/>
  <c r="L12" i="35"/>
  <c r="M12" i="35"/>
  <c r="C13" i="35"/>
  <c r="D13" i="35"/>
  <c r="E13" i="35"/>
  <c r="F13" i="35"/>
  <c r="G13" i="35"/>
  <c r="H13" i="35"/>
  <c r="I13" i="35"/>
  <c r="J13" i="35"/>
  <c r="K13" i="35"/>
  <c r="L13" i="35"/>
  <c r="M13" i="35"/>
  <c r="C14" i="35"/>
  <c r="D14" i="35"/>
  <c r="E14" i="35"/>
  <c r="F14" i="35"/>
  <c r="G14" i="35"/>
  <c r="H14" i="35"/>
  <c r="I14" i="35"/>
  <c r="J14" i="35"/>
  <c r="K14" i="35"/>
  <c r="L14" i="35"/>
  <c r="M14" i="35"/>
  <c r="C15" i="35"/>
  <c r="D15" i="35"/>
  <c r="E15" i="35"/>
  <c r="F15" i="35"/>
  <c r="G15" i="35"/>
  <c r="H15" i="35"/>
  <c r="I15" i="35"/>
  <c r="J15" i="35"/>
  <c r="K15" i="35"/>
  <c r="L15" i="35"/>
  <c r="M15" i="35"/>
  <c r="C16" i="35"/>
  <c r="D16" i="35"/>
  <c r="E16" i="35"/>
  <c r="F16" i="35"/>
  <c r="G16" i="35"/>
  <c r="H16" i="35"/>
  <c r="I16" i="35"/>
  <c r="J16" i="35"/>
  <c r="K16" i="35"/>
  <c r="L16" i="35"/>
  <c r="M16" i="35"/>
  <c r="C17" i="35"/>
  <c r="D17" i="35"/>
  <c r="E17" i="35"/>
  <c r="F17" i="35"/>
  <c r="G17" i="35"/>
  <c r="H17" i="35"/>
  <c r="I17" i="35"/>
  <c r="J17" i="35"/>
  <c r="K17" i="35"/>
  <c r="L17" i="35"/>
  <c r="M17" i="35"/>
  <c r="C18" i="35"/>
  <c r="D18" i="35"/>
  <c r="E18" i="35"/>
  <c r="F18" i="35"/>
  <c r="G18" i="35"/>
  <c r="H18" i="35"/>
  <c r="I18" i="35"/>
  <c r="J18" i="35"/>
  <c r="K18" i="35"/>
  <c r="L18" i="35"/>
  <c r="M18" i="35"/>
  <c r="C19" i="35"/>
  <c r="D19" i="35"/>
  <c r="E19" i="35"/>
  <c r="F19" i="35"/>
  <c r="G19" i="35"/>
  <c r="H19" i="35"/>
  <c r="I19" i="35"/>
  <c r="J19" i="35"/>
  <c r="K19" i="35"/>
  <c r="L19" i="35"/>
  <c r="M19" i="35"/>
  <c r="C20" i="35"/>
  <c r="D20" i="35"/>
  <c r="E20" i="35"/>
  <c r="F20" i="35"/>
  <c r="G20" i="35"/>
  <c r="H20" i="35"/>
  <c r="I20" i="35"/>
  <c r="J20" i="35"/>
  <c r="K20" i="35"/>
  <c r="L20" i="35"/>
  <c r="M20" i="35"/>
  <c r="C21" i="35"/>
  <c r="D21" i="35"/>
  <c r="E21" i="35"/>
  <c r="F21" i="35"/>
  <c r="G21" i="35"/>
  <c r="H21" i="35"/>
  <c r="I21" i="35"/>
  <c r="J21" i="35"/>
  <c r="K21" i="35"/>
  <c r="L21" i="35"/>
  <c r="M21" i="35"/>
  <c r="C22" i="35"/>
  <c r="D22" i="35"/>
  <c r="E22" i="35"/>
  <c r="F22" i="35"/>
  <c r="G22" i="35"/>
  <c r="H22" i="35"/>
  <c r="I22" i="35"/>
  <c r="J22" i="35"/>
  <c r="K22" i="35"/>
  <c r="L22" i="35"/>
  <c r="M22" i="35"/>
  <c r="C23" i="35"/>
  <c r="D23" i="35"/>
  <c r="E23" i="35"/>
  <c r="F23" i="35"/>
  <c r="G23" i="35"/>
  <c r="H23" i="35"/>
  <c r="I23" i="35"/>
  <c r="J23" i="35"/>
  <c r="K23" i="35"/>
  <c r="L23" i="35"/>
  <c r="M23" i="35"/>
  <c r="C24" i="35"/>
  <c r="D24" i="35"/>
  <c r="E24" i="35"/>
  <c r="F24" i="35"/>
  <c r="G24" i="35"/>
  <c r="H24" i="35"/>
  <c r="I24" i="35"/>
  <c r="J24" i="35"/>
  <c r="K24" i="35"/>
  <c r="L24" i="35"/>
  <c r="M24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</calcChain>
</file>

<file path=xl/sharedStrings.xml><?xml version="1.0" encoding="utf-8"?>
<sst xmlns="http://schemas.openxmlformats.org/spreadsheetml/2006/main" count="195" uniqueCount="73">
  <si>
    <t>cCrWm</t>
  </si>
  <si>
    <t>cnUj</t>
  </si>
  <si>
    <t>Mar</t>
  </si>
  <si>
    <t>Jun</t>
  </si>
  <si>
    <t>Sep</t>
  </si>
  <si>
    <t>Dec</t>
  </si>
  <si>
    <t>Major Groups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</si>
  <si>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</si>
  <si>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</si>
  <si>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</si>
  <si>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</si>
  <si>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</si>
  <si>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</si>
  <si>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</si>
  <si>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</si>
  <si>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</si>
  <si>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cawtiawbuDnwgiawm egukwtctwvWb</t>
  </si>
  <si>
    <t>Jan</t>
  </si>
  <si>
    <t>Feb</t>
  </si>
  <si>
    <t>Apr</t>
  </si>
  <si>
    <t>May</t>
  </si>
  <si>
    <t>Jul</t>
  </si>
  <si>
    <t>Aug</t>
  </si>
  <si>
    <t>Oct</t>
  </si>
  <si>
    <t>Nov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</si>
  <si>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</si>
  <si>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</si>
  <si>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</si>
  <si>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</si>
  <si>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</si>
  <si>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</si>
  <si>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</si>
  <si>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</si>
  <si>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</si>
  <si>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</si>
  <si>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</si>
  <si>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</si>
  <si>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</si>
  <si>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</si>
  <si>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cSwa ejcaWr</t>
  </si>
  <si>
    <t>Male'</t>
  </si>
  <si>
    <t>cSwa elWm</t>
  </si>
  <si>
    <t>Atolls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</si>
  <si>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</si>
  <si>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</si>
  <si>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</si>
  <si>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</si>
  <si>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</si>
  <si>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</si>
  <si>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</si>
  <si>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</si>
  <si>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</si>
  <si>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</si>
  <si>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</si>
  <si>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</si>
  <si>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</si>
  <si>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</si>
  <si>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</si>
  <si>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</si>
  <si>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</si>
  <si>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</si>
  <si>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</si>
  <si>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Republic</t>
  </si>
  <si>
    <t>އަތޮޅުތަކަށް</t>
  </si>
  <si>
    <t xml:space="preserve">Source:  National  Bureau of Statistics   </t>
  </si>
  <si>
    <t>މަޢުލޫމާތު ދެއްވި ފަރާތް: ނޭޝަނަލް ބިއުރޯ އޮފް ސްޓެޓިސްޓިކްސް</t>
  </si>
  <si>
    <t xml:space="preserve"> ތާވަލު 17.8: ވޭތުވެދިޔަ އަހަރުގެ މިމަހާއި އަޅާބަލާއިރު އިންފްލޭޝަން ރޭޓް 2016 </t>
  </si>
  <si>
    <t>Table  17.8 :  PERCENTAGE CHANGE  OF CONSUMER PRICE INDEX  FROM CORRESPONDING MONTH OF PREVIOUS YEAR ,  2016</t>
  </si>
  <si>
    <t>Month on Month Inflation rates , 2016</t>
  </si>
  <si>
    <t>urwbcmeTcpes</t>
  </si>
  <si>
    <t>urwbOTckoa</t>
  </si>
  <si>
    <t>urwbcmevon</t>
  </si>
  <si>
    <t>urwbcmesiD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</si>
</sst>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9"/>
      <color theme="1"/>
      <name val="A_Randhoo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7">
    <xf numFmtId="0" fontId="0" fillId="0" borderId="0"/>
    <xf numFmtId="0" fontId="2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9" fillId="0" borderId="0"/>
    <xf numFmtId="0" fontId="2" fillId="0" borderId="0"/>
    <xf numFmtId="0" fontId="2" fillId="0" borderId="0"/>
    <xf numFmtId="167" fontId="3" fillId="0" borderId="0"/>
    <xf numFmtId="167" fontId="3" fillId="0" borderId="0"/>
    <xf numFmtId="167" fontId="3" fillId="0" borderId="0"/>
    <xf numFmtId="9" fontId="8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70">
    <xf numFmtId="0" fontId="0" fillId="0" borderId="0" xfId="0"/>
    <xf numFmtId="167" fontId="5" fillId="2" borderId="0" xfId="8" applyFont="1" applyFill="1" applyBorder="1" applyAlignment="1">
      <alignment horizontal="right" vertical="center" wrapText="1"/>
    </xf>
    <xf numFmtId="167" fontId="7" fillId="2" borderId="0" xfId="8" applyFont="1" applyFill="1" applyAlignment="1">
      <alignment horizontal="right" vertical="center"/>
    </xf>
    <xf numFmtId="37" fontId="4" fillId="2" borderId="0" xfId="9" applyNumberFormat="1" applyFont="1" applyFill="1" applyBorder="1" applyAlignment="1" applyProtection="1">
      <alignment vertical="center"/>
    </xf>
    <xf numFmtId="0" fontId="0" fillId="2" borderId="0" xfId="0" applyFill="1"/>
    <xf numFmtId="2" fontId="0" fillId="2" borderId="0" xfId="0" applyNumberFormat="1" applyFill="1"/>
    <xf numFmtId="167" fontId="13" fillId="2" borderId="0" xfId="7" applyFont="1" applyFill="1" applyAlignment="1">
      <alignment vertical="center" wrapText="1"/>
    </xf>
    <xf numFmtId="167" fontId="13" fillId="2" borderId="0" xfId="7" applyFont="1" applyFill="1" applyAlignment="1">
      <alignment vertical="center"/>
    </xf>
    <xf numFmtId="0" fontId="13" fillId="2" borderId="0" xfId="6" applyFont="1" applyFill="1" applyAlignment="1">
      <alignment vertical="center"/>
    </xf>
    <xf numFmtId="167" fontId="13" fillId="2" borderId="0" xfId="7" applyFont="1" applyFill="1" applyBorder="1" applyAlignment="1">
      <alignment vertical="center" wrapText="1"/>
    </xf>
    <xf numFmtId="167" fontId="7" fillId="2" borderId="0" xfId="9" applyFont="1" applyFill="1" applyAlignment="1">
      <alignment horizontal="right" vertical="center"/>
    </xf>
    <xf numFmtId="167" fontId="14" fillId="2" borderId="0" xfId="7" applyFont="1" applyFill="1" applyBorder="1" applyAlignment="1">
      <alignment vertical="center"/>
    </xf>
    <xf numFmtId="166" fontId="14" fillId="2" borderId="0" xfId="5" applyNumberFormat="1" applyFont="1" applyFill="1" applyBorder="1" applyAlignment="1">
      <alignment horizontal="right" vertical="center"/>
    </xf>
    <xf numFmtId="167" fontId="5" fillId="2" borderId="0" xfId="8" applyFont="1" applyFill="1" applyBorder="1" applyAlignment="1">
      <alignment horizontal="right" vertical="center"/>
    </xf>
    <xf numFmtId="167" fontId="5" fillId="2" borderId="2" xfId="9" applyFont="1" applyFill="1" applyBorder="1" applyAlignment="1">
      <alignment horizontal="right" vertical="center"/>
    </xf>
    <xf numFmtId="0" fontId="10" fillId="2" borderId="2" xfId="5" applyFont="1" applyFill="1" applyBorder="1" applyAlignment="1">
      <alignment horizontal="right" vertical="center"/>
    </xf>
    <xf numFmtId="17" fontId="10" fillId="2" borderId="2" xfId="5" applyNumberFormat="1" applyFont="1" applyFill="1" applyBorder="1" applyAlignment="1">
      <alignment horizontal="right" vertical="center"/>
    </xf>
    <xf numFmtId="167" fontId="10" fillId="2" borderId="0" xfId="8" applyFont="1" applyFill="1" applyAlignment="1" applyProtection="1">
      <alignment vertical="center"/>
    </xf>
    <xf numFmtId="0" fontId="10" fillId="2" borderId="1" xfId="5" applyFont="1" applyFill="1" applyBorder="1" applyAlignment="1">
      <alignment vertical="center"/>
    </xf>
    <xf numFmtId="0" fontId="10" fillId="2" borderId="1" xfId="5" applyFont="1" applyFill="1" applyBorder="1" applyAlignment="1">
      <alignment horizontal="right" vertical="center"/>
    </xf>
    <xf numFmtId="0" fontId="6" fillId="2" borderId="1" xfId="5" applyFont="1" applyFill="1" applyBorder="1" applyAlignment="1">
      <alignment vertical="center"/>
    </xf>
    <xf numFmtId="0" fontId="6" fillId="2" borderId="0" xfId="5" applyFont="1" applyFill="1" applyAlignment="1">
      <alignment vertical="center"/>
    </xf>
    <xf numFmtId="0" fontId="6" fillId="2" borderId="3" xfId="5" applyFont="1" applyFill="1" applyBorder="1" applyAlignment="1">
      <alignment vertical="center"/>
    </xf>
    <xf numFmtId="167" fontId="5" fillId="2" borderId="3" xfId="8" applyFont="1" applyFill="1" applyBorder="1" applyAlignment="1">
      <alignment horizontal="right" vertical="center" wrapText="1"/>
    </xf>
    <xf numFmtId="0" fontId="4" fillId="2" borderId="0" xfId="5" applyFont="1" applyFill="1" applyAlignment="1">
      <alignment vertical="center"/>
    </xf>
    <xf numFmtId="0" fontId="4" fillId="2" borderId="0" xfId="5" applyFont="1" applyFill="1" applyAlignment="1">
      <alignment horizontal="right" vertical="center"/>
    </xf>
    <xf numFmtId="0" fontId="10" fillId="2" borderId="0" xfId="5" applyFont="1" applyFill="1" applyBorder="1" applyAlignment="1">
      <alignment horizontal="left" vertical="center"/>
    </xf>
    <xf numFmtId="167" fontId="5" fillId="2" borderId="4" xfId="8" applyFont="1" applyFill="1" applyBorder="1" applyAlignment="1">
      <alignment horizontal="right" vertical="center" wrapText="1"/>
    </xf>
    <xf numFmtId="0" fontId="10" fillId="2" borderId="2" xfId="5" applyFont="1" applyFill="1" applyBorder="1" applyAlignment="1">
      <alignment horizontal="left"/>
    </xf>
    <xf numFmtId="0" fontId="4" fillId="2" borderId="2" xfId="5" applyFont="1" applyFill="1" applyBorder="1" applyAlignment="1">
      <alignment vertical="center"/>
    </xf>
    <xf numFmtId="0" fontId="7" fillId="2" borderId="2" xfId="5" applyFont="1" applyFill="1" applyBorder="1" applyAlignment="1">
      <alignment vertical="center"/>
    </xf>
    <xf numFmtId="0" fontId="4" fillId="2" borderId="0" xfId="5" applyFont="1" applyFill="1" applyBorder="1" applyAlignment="1">
      <alignment vertical="center"/>
    </xf>
    <xf numFmtId="0" fontId="13" fillId="2" borderId="0" xfId="5" applyFont="1" applyFill="1" applyAlignment="1">
      <alignment vertical="center"/>
    </xf>
    <xf numFmtId="167" fontId="7" fillId="2" borderId="0" xfId="8" applyFont="1" applyFill="1" applyAlignment="1">
      <alignment horizontal="center" vertical="center"/>
    </xf>
    <xf numFmtId="0" fontId="6" fillId="2" borderId="0" xfId="5" applyFont="1" applyFill="1" applyAlignment="1">
      <alignment horizontal="right" vertical="center"/>
    </xf>
    <xf numFmtId="166" fontId="14" fillId="2" borderId="0" xfId="5" applyNumberFormat="1" applyFont="1" applyFill="1" applyBorder="1" applyAlignment="1">
      <alignment horizontal="left" vertical="center"/>
    </xf>
    <xf numFmtId="167" fontId="5" fillId="2" borderId="0" xfId="9" applyFont="1" applyFill="1" applyBorder="1" applyAlignment="1">
      <alignment horizontal="right" vertical="center"/>
    </xf>
    <xf numFmtId="0" fontId="11" fillId="2" borderId="0" xfId="5" applyFont="1" applyFill="1" applyAlignment="1">
      <alignment vertical="center"/>
    </xf>
    <xf numFmtId="0" fontId="7" fillId="2" borderId="0" xfId="5" applyFont="1" applyFill="1" applyAlignment="1">
      <alignment vertical="center"/>
    </xf>
    <xf numFmtId="0" fontId="6" fillId="2" borderId="1" xfId="5" applyFont="1" applyFill="1" applyBorder="1" applyAlignment="1">
      <alignment horizontal="right" vertical="center"/>
    </xf>
    <xf numFmtId="0" fontId="10" fillId="2" borderId="2" xfId="5" applyFont="1" applyFill="1" applyBorder="1" applyAlignment="1">
      <alignment horizontal="left" vertical="center"/>
    </xf>
    <xf numFmtId="0" fontId="14" fillId="2" borderId="0" xfId="6" applyFont="1" applyFill="1" applyAlignment="1">
      <alignment vertical="center"/>
    </xf>
    <xf numFmtId="0" fontId="0" fillId="2" borderId="0" xfId="0" applyFill="1" applyAlignment="1">
      <alignment vertical="center"/>
    </xf>
    <xf numFmtId="0" fontId="13" fillId="2" borderId="0" xfId="0" applyFont="1" applyFill="1" applyAlignment="1">
      <alignment vertical="center"/>
    </xf>
    <xf numFmtId="167" fontId="18" fillId="2" borderId="0" xfId="8" applyFont="1" applyFill="1" applyAlignment="1">
      <alignment vertical="center"/>
    </xf>
    <xf numFmtId="167" fontId="19" fillId="2" borderId="0" xfId="8" applyFont="1" applyFill="1" applyAlignment="1">
      <alignment vertical="center"/>
    </xf>
    <xf numFmtId="167" fontId="15" fillId="2" borderId="0" xfId="8" applyFont="1" applyFill="1" applyAlignment="1" applyProtection="1">
      <alignment vertical="center"/>
    </xf>
    <xf numFmtId="167" fontId="15" fillId="2" borderId="0" xfId="8" applyFont="1" applyFill="1" applyAlignment="1">
      <alignment vertical="center"/>
    </xf>
    <xf numFmtId="167" fontId="19" fillId="2" borderId="0" xfId="8" applyFont="1" applyFill="1" applyBorder="1" applyAlignment="1">
      <alignment vertical="center"/>
    </xf>
    <xf numFmtId="167" fontId="20" fillId="2" borderId="0" xfId="8" applyFont="1" applyFill="1" applyBorder="1" applyAlignment="1">
      <alignment vertical="center"/>
    </xf>
    <xf numFmtId="167" fontId="20" fillId="2" borderId="0" xfId="8" applyFont="1" applyFill="1" applyAlignment="1">
      <alignment vertical="center"/>
    </xf>
    <xf numFmtId="0" fontId="4" fillId="2" borderId="1" xfId="5" applyFont="1" applyFill="1" applyBorder="1" applyAlignment="1">
      <alignment vertical="center"/>
    </xf>
    <xf numFmtId="167" fontId="5" fillId="2" borderId="1" xfId="8" applyFont="1" applyFill="1" applyBorder="1" applyAlignment="1">
      <alignment horizontal="right" vertical="center"/>
    </xf>
    <xf numFmtId="166" fontId="4" fillId="2" borderId="0" xfId="5" applyNumberFormat="1" applyFont="1" applyFill="1" applyAlignment="1">
      <alignment vertical="center"/>
    </xf>
    <xf numFmtId="167" fontId="5" fillId="2" borderId="0" xfId="8" applyFont="1" applyFill="1" applyAlignment="1">
      <alignment horizontal="center" vertical="center"/>
    </xf>
    <xf numFmtId="0" fontId="14" fillId="2" borderId="0" xfId="5" applyFont="1" applyFill="1" applyBorder="1" applyAlignment="1">
      <alignment horizontal="left" vertical="center"/>
    </xf>
    <xf numFmtId="2" fontId="4" fillId="2" borderId="0" xfId="5" applyNumberFormat="1" applyFont="1" applyFill="1" applyAlignment="1">
      <alignment vertical="center"/>
    </xf>
    <xf numFmtId="2" fontId="6" fillId="2" borderId="0" xfId="5" applyNumberFormat="1" applyFont="1" applyFill="1" applyAlignment="1">
      <alignment vertical="center"/>
    </xf>
    <xf numFmtId="2" fontId="13" fillId="2" borderId="0" xfId="5" applyNumberFormat="1" applyFont="1" applyFill="1" applyBorder="1" applyAlignment="1">
      <alignment horizontal="right" vertical="center"/>
    </xf>
    <xf numFmtId="2" fontId="14" fillId="2" borderId="0" xfId="5" applyNumberFormat="1" applyFont="1" applyFill="1" applyBorder="1" applyAlignment="1">
      <alignment horizontal="right" vertical="center"/>
    </xf>
    <xf numFmtId="2" fontId="14" fillId="2" borderId="2" xfId="5" applyNumberFormat="1" applyFont="1" applyFill="1" applyBorder="1" applyAlignment="1">
      <alignment horizontal="right" vertical="center"/>
    </xf>
    <xf numFmtId="167" fontId="16" fillId="2" borderId="0" xfId="9" applyFont="1" applyFill="1" applyAlignment="1">
      <alignment horizontal="right" vertical="center"/>
    </xf>
    <xf numFmtId="167" fontId="12" fillId="2" borderId="0" xfId="9" applyFont="1" applyFill="1" applyBorder="1" applyAlignment="1" applyProtection="1">
      <alignment horizontal="left" vertical="center"/>
    </xf>
    <xf numFmtId="2" fontId="13" fillId="2" borderId="1" xfId="5" applyNumberFormat="1" applyFont="1" applyFill="1" applyBorder="1" applyAlignment="1">
      <alignment horizontal="right" vertical="center"/>
    </xf>
    <xf numFmtId="0" fontId="14" fillId="2" borderId="2" xfId="5" applyFont="1" applyFill="1" applyBorder="1" applyAlignment="1">
      <alignment horizontal="left" vertical="center"/>
    </xf>
    <xf numFmtId="2" fontId="6" fillId="2" borderId="2" xfId="5" applyNumberFormat="1" applyFont="1" applyFill="1" applyBorder="1" applyAlignment="1">
      <alignment vertical="center"/>
    </xf>
    <xf numFmtId="167" fontId="21" fillId="2" borderId="0" xfId="8" applyFont="1" applyFill="1" applyAlignment="1">
      <alignment horizontal="center" vertical="center" readingOrder="2"/>
    </xf>
    <xf numFmtId="167" fontId="17" fillId="2" borderId="0" xfId="8" applyFont="1" applyFill="1" applyAlignment="1" applyProtection="1">
      <alignment horizontal="center" vertical="center"/>
    </xf>
    <xf numFmtId="167" fontId="18" fillId="2" borderId="0" xfId="8" applyFont="1" applyFill="1" applyAlignment="1">
      <alignment horizontal="center" vertical="center" wrapText="1"/>
    </xf>
    <xf numFmtId="167" fontId="15" fillId="2" borderId="2" xfId="8" applyFont="1" applyFill="1" applyBorder="1" applyAlignment="1" applyProtection="1">
      <alignment horizontal="center" vertical="center"/>
    </xf>
  </cellXfs>
  <cellStyles count="17">
    <cellStyle name="1" xfId="1"/>
    <cellStyle name="Comma 2" xfId="2"/>
    <cellStyle name="Comma 2 2" xfId="12"/>
    <cellStyle name="Comma 3" xfId="3"/>
    <cellStyle name="Comma 3 2" xfId="13"/>
    <cellStyle name="Normal" xfId="0" builtinId="0"/>
    <cellStyle name="Normal - Style1" xfId="4"/>
    <cellStyle name="Normal 2" xfId="11"/>
    <cellStyle name="Normal 3" xfId="15"/>
    <cellStyle name="Normal 4" xfId="16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  <cellStyle name="Percent 2 2" xfId="14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>
        <row r="3">
          <cell r="OC3">
            <v>106.91958868829052</v>
          </cell>
        </row>
      </sheetData>
      <sheetData sheetId="1">
        <row r="3">
          <cell r="NM3">
            <v>106.40071755950871</v>
          </cell>
        </row>
        <row r="21">
          <cell r="NM21">
            <v>1.0407081213698044</v>
          </cell>
          <cell r="NN21">
            <v>1.1364771380392158</v>
          </cell>
          <cell r="NO21">
            <v>0.66900523456510097</v>
          </cell>
          <cell r="NP21">
            <v>-0.18380611745640874</v>
          </cell>
          <cell r="NQ21">
            <v>-0.15582000573073351</v>
          </cell>
          <cell r="NR21">
            <v>-0.76683599519887791</v>
          </cell>
          <cell r="NS21">
            <v>-0.38391995634919907</v>
          </cell>
          <cell r="NT21">
            <v>-0.62903020584658131</v>
          </cell>
          <cell r="NU21">
            <v>-0.21052298212775877</v>
          </cell>
          <cell r="NV21">
            <v>1.7128634706690793</v>
          </cell>
          <cell r="NW21">
            <v>1.4991691607198154</v>
          </cell>
          <cell r="NX21">
            <v>2.3177221684353322</v>
          </cell>
        </row>
        <row r="22">
          <cell r="NM22">
            <v>1.2891299409984125</v>
          </cell>
          <cell r="NN22">
            <v>0.85515915737082171</v>
          </cell>
          <cell r="NO22">
            <v>0.61664583240774729</v>
          </cell>
          <cell r="NP22">
            <v>6.7657638310336665E-2</v>
          </cell>
          <cell r="NQ22">
            <v>-0.15429242486257877</v>
          </cell>
          <cell r="NR22">
            <v>-0.58043219147346781</v>
          </cell>
          <cell r="NS22">
            <v>-0.26053511947616848</v>
          </cell>
          <cell r="NT22">
            <v>-0.1287740500586998</v>
          </cell>
          <cell r="NU22">
            <v>-0.22478224572117789</v>
          </cell>
          <cell r="NV22">
            <v>1.9341751996716061</v>
          </cell>
          <cell r="NW22">
            <v>2.3190509171566065</v>
          </cell>
          <cell r="NX22">
            <v>2.6579968255169728</v>
          </cell>
        </row>
        <row r="23">
          <cell r="NM23">
            <v>0.40046689250188283</v>
          </cell>
          <cell r="NN23">
            <v>2.2191381672021615</v>
          </cell>
          <cell r="NO23">
            <v>0.82226709349186855</v>
          </cell>
          <cell r="NP23">
            <v>-0.20824364354254943</v>
          </cell>
          <cell r="NQ23">
            <v>-1.21807797593112</v>
          </cell>
          <cell r="NR23">
            <v>-2.3789284300906655</v>
          </cell>
          <cell r="NS23">
            <v>-1.5120492575092181</v>
          </cell>
          <cell r="NT23">
            <v>-2.7030060574529724</v>
          </cell>
          <cell r="NU23">
            <v>-1.0844841587080656</v>
          </cell>
          <cell r="NV23">
            <v>4.5143077275021204</v>
          </cell>
          <cell r="NW23">
            <v>2.8615084941791435</v>
          </cell>
          <cell r="NX23">
            <v>5.2643976807364989</v>
          </cell>
        </row>
        <row r="24">
          <cell r="NM24">
            <v>1.2704713888411101</v>
          </cell>
          <cell r="NN24">
            <v>1.3871598816147745</v>
          </cell>
          <cell r="NO24">
            <v>0.64413098110376321</v>
          </cell>
          <cell r="NP24">
            <v>0.96441513427425463</v>
          </cell>
          <cell r="NQ24">
            <v>-1.6696677819520112</v>
          </cell>
          <cell r="NR24">
            <v>-2.2292030485735137</v>
          </cell>
          <cell r="NS24">
            <v>-1.4325199906566666</v>
          </cell>
          <cell r="NT24">
            <v>-1.3098410719811771</v>
          </cell>
          <cell r="NU24">
            <v>-1.5167170859705648</v>
          </cell>
          <cell r="NV24">
            <v>6.6849614011741387</v>
          </cell>
          <cell r="NW24">
            <v>7.219875030732692</v>
          </cell>
          <cell r="NX24">
            <v>8.0880231236397435</v>
          </cell>
        </row>
        <row r="25">
          <cell r="NM25">
            <v>-1.5935405233990285</v>
          </cell>
          <cell r="NN25">
            <v>4.1070985184945563</v>
          </cell>
          <cell r="NO25">
            <v>1.2355908640169666</v>
          </cell>
          <cell r="NP25">
            <v>-2.8176129144670492</v>
          </cell>
          <cell r="NQ25">
            <v>-0.17207534726783047</v>
          </cell>
          <cell r="NR25">
            <v>-2.723718338669201</v>
          </cell>
          <cell r="NS25">
            <v>-1.6959712397258686</v>
          </cell>
          <cell r="NT25">
            <v>-5.9187926298130078</v>
          </cell>
          <cell r="NU25">
            <v>-5.60938295491753E-2</v>
          </cell>
          <cell r="NV25">
            <v>-0.70532026881904297</v>
          </cell>
          <cell r="NW25">
            <v>-6.9663852350298372</v>
          </cell>
          <cell r="NX25">
            <v>-1.3495736011888471</v>
          </cell>
        </row>
        <row r="26">
          <cell r="NM26">
            <v>16.242313263392006</v>
          </cell>
          <cell r="NN26">
            <v>16.35450886602321</v>
          </cell>
          <cell r="NO26">
            <v>16.749906882531619</v>
          </cell>
          <cell r="NP26">
            <v>1.7883632367143409</v>
          </cell>
          <cell r="NQ26">
            <v>-6.905177140847929E-3</v>
          </cell>
          <cell r="NR26">
            <v>-0.44600533166254674</v>
          </cell>
          <cell r="NS26">
            <v>-0.44699135763138775</v>
          </cell>
          <cell r="NT26">
            <v>0.76205907307118625</v>
          </cell>
          <cell r="NU26">
            <v>0.91984115785523901</v>
          </cell>
          <cell r="NV26">
            <v>0.57116932450369529</v>
          </cell>
          <cell r="NW26">
            <v>0.55901236253581565</v>
          </cell>
          <cell r="NX26">
            <v>0.44030861854529313</v>
          </cell>
        </row>
        <row r="27">
          <cell r="NM27">
            <v>-1.513179881312221</v>
          </cell>
          <cell r="NN27">
            <v>-0.68574652036200723</v>
          </cell>
          <cell r="NO27">
            <v>-0.52663587894364872</v>
          </cell>
          <cell r="NP27">
            <v>-0.66120815971780766</v>
          </cell>
          <cell r="NQ27">
            <v>-0.60178801472621224</v>
          </cell>
          <cell r="NR27">
            <v>-0.27268298662989077</v>
          </cell>
          <cell r="NS27">
            <v>-7.1289732789847626E-2</v>
          </cell>
          <cell r="NT27">
            <v>-0.21618927422820677</v>
          </cell>
          <cell r="NU27">
            <v>-0.58087921671655662</v>
          </cell>
          <cell r="NV27">
            <v>-0.5539079088176857</v>
          </cell>
          <cell r="NW27">
            <v>-0.40842189414173058</v>
          </cell>
          <cell r="NX27">
            <v>-0.33621718507652609</v>
          </cell>
        </row>
        <row r="28">
          <cell r="NM28">
            <v>1.4244113837217798</v>
          </cell>
          <cell r="NN28">
            <v>0.24625243375344663</v>
          </cell>
          <cell r="NO28">
            <v>0.31277847004678172</v>
          </cell>
          <cell r="NP28">
            <v>-6.995446021070828E-2</v>
          </cell>
          <cell r="NQ28">
            <v>-0.11382629295833002</v>
          </cell>
          <cell r="NR28">
            <v>-0.12850071902313909</v>
          </cell>
          <cell r="NS28">
            <v>-0.14893014288396289</v>
          </cell>
          <cell r="NT28">
            <v>2.4850281360078164E-2</v>
          </cell>
          <cell r="NU28">
            <v>8.9016799847119188E-2</v>
          </cell>
          <cell r="NV28">
            <v>0.35156986802054035</v>
          </cell>
          <cell r="NW28">
            <v>0.64477453633238202</v>
          </cell>
          <cell r="NX28">
            <v>0.96363223801461118</v>
          </cell>
        </row>
        <row r="29">
          <cell r="NM29">
            <v>2.6816050073970255</v>
          </cell>
          <cell r="NN29">
            <v>2.9736495066585711</v>
          </cell>
          <cell r="NO29">
            <v>3.6707109338045107</v>
          </cell>
          <cell r="NP29">
            <v>3.6228137198120125</v>
          </cell>
          <cell r="NQ29">
            <v>3.6087707469064645</v>
          </cell>
          <cell r="NR29">
            <v>3.7342283360075168</v>
          </cell>
          <cell r="NS29">
            <v>3.6236919537158352</v>
          </cell>
          <cell r="NT29">
            <v>3.930734842483341</v>
          </cell>
          <cell r="NU29">
            <v>4.0395976967167346</v>
          </cell>
          <cell r="NV29">
            <v>4.1616634246388839</v>
          </cell>
          <cell r="NW29">
            <v>4.5495447733519212</v>
          </cell>
          <cell r="NX29">
            <v>4.485853855505173</v>
          </cell>
        </row>
        <row r="30">
          <cell r="NM30">
            <v>-5.3566324538489862E-2</v>
          </cell>
          <cell r="NN30">
            <v>-1.3125407125827993</v>
          </cell>
          <cell r="NO30">
            <v>-1.0226879241499343</v>
          </cell>
          <cell r="NP30">
            <v>-2.0934768184054486</v>
          </cell>
          <cell r="NQ30">
            <v>2.1152266309143464</v>
          </cell>
          <cell r="NR30">
            <v>0.29616345773866293</v>
          </cell>
          <cell r="NS30">
            <v>1.1473318516421305</v>
          </cell>
          <cell r="NT30">
            <v>0.88642179463569448</v>
          </cell>
          <cell r="NU30">
            <v>1.5848992085096825</v>
          </cell>
          <cell r="NV30">
            <v>2.6182251840945803</v>
          </cell>
          <cell r="NW30">
            <v>3.2245977332055586</v>
          </cell>
          <cell r="NX30">
            <v>3.6873169477867895</v>
          </cell>
        </row>
        <row r="31">
          <cell r="NM31">
            <v>3.6703253171027628</v>
          </cell>
          <cell r="NN31">
            <v>2.3118173515476181</v>
          </cell>
          <cell r="NO31">
            <v>2.6521229385619627</v>
          </cell>
          <cell r="NP31">
            <v>2.8573505800673304</v>
          </cell>
          <cell r="NQ31">
            <v>2.9329935938385399</v>
          </cell>
          <cell r="NR31">
            <v>1.4167294675624609</v>
          </cell>
          <cell r="NS31">
            <v>1.4193980834478426</v>
          </cell>
          <cell r="NT31">
            <v>1.1631103971304402</v>
          </cell>
          <cell r="NU31">
            <v>0.92392349118830541</v>
          </cell>
          <cell r="NV31">
            <v>0.7434828482510536</v>
          </cell>
          <cell r="NW31">
            <v>0.74692582562789767</v>
          </cell>
          <cell r="NX31">
            <v>0.94759571714786439</v>
          </cell>
        </row>
        <row r="32">
          <cell r="NM32">
            <v>0.27694967070941434</v>
          </cell>
          <cell r="NN32">
            <v>4.2568151296329404E-3</v>
          </cell>
          <cell r="NO32">
            <v>-1.5445282007033989</v>
          </cell>
          <cell r="NP32">
            <v>-2.4801834289488456</v>
          </cell>
          <cell r="NQ32">
            <v>-2.4514903523750298</v>
          </cell>
          <cell r="NR32">
            <v>-2.8684011696868739</v>
          </cell>
          <cell r="NS32">
            <v>-3.0962866065286088</v>
          </cell>
          <cell r="NT32">
            <v>-2.9045195213918573</v>
          </cell>
          <cell r="NU32">
            <v>-2.6548456883913385</v>
          </cell>
          <cell r="NV32">
            <v>-1.0884011950597072</v>
          </cell>
          <cell r="NW32">
            <v>0.32521923875044045</v>
          </cell>
          <cell r="NX32">
            <v>0.1038855471378497</v>
          </cell>
        </row>
        <row r="33">
          <cell r="NM33">
            <v>-0.47267913125790262</v>
          </cell>
          <cell r="NN33">
            <v>-0.49203181521308981</v>
          </cell>
          <cell r="NO33">
            <v>-0.30274186552986526</v>
          </cell>
          <cell r="NP33">
            <v>-9.0223660048827092E-2</v>
          </cell>
          <cell r="NQ33">
            <v>-0.43878833462719369</v>
          </cell>
          <cell r="NR33">
            <v>-0.77751345070585787</v>
          </cell>
          <cell r="NS33">
            <v>-0.77751345070585787</v>
          </cell>
          <cell r="NT33">
            <v>-0.89029811245404655</v>
          </cell>
          <cell r="NU33">
            <v>-1.3953713901222353</v>
          </cell>
          <cell r="NV33">
            <v>-1.2306312977177769</v>
          </cell>
          <cell r="NW33">
            <v>-1.1420674181394252</v>
          </cell>
          <cell r="NX33">
            <v>-1.1123107239593311</v>
          </cell>
        </row>
        <row r="34">
          <cell r="NM34">
            <v>-2.1125059516537426</v>
          </cell>
          <cell r="NN34">
            <v>-1.81106672276522</v>
          </cell>
          <cell r="NO34">
            <v>-2.1184051257077119</v>
          </cell>
          <cell r="NP34">
            <v>-3.980333177475126</v>
          </cell>
          <cell r="NQ34">
            <v>-2.7179987894597302</v>
          </cell>
          <cell r="NR34">
            <v>-2.5435854223619492</v>
          </cell>
          <cell r="NS34">
            <v>-0.22745675248364572</v>
          </cell>
          <cell r="NT34">
            <v>7.6522967357139926E-2</v>
          </cell>
          <cell r="NU34">
            <v>-0.73881812108828049</v>
          </cell>
          <cell r="NV34">
            <v>-0.63596929790261658</v>
          </cell>
          <cell r="NW34">
            <v>1.1896182322641113</v>
          </cell>
          <cell r="NX34">
            <v>0.89240599406616994</v>
          </cell>
        </row>
        <row r="35">
          <cell r="NM35">
            <v>7.4471723047548233</v>
          </cell>
          <cell r="NN35">
            <v>7.4471723047548233</v>
          </cell>
          <cell r="NO35">
            <v>4.3985265425833919</v>
          </cell>
          <cell r="NP35">
            <v>4.3678010602832051</v>
          </cell>
          <cell r="NQ35">
            <v>4.3678010602832051</v>
          </cell>
          <cell r="NR35">
            <v>4.3678010602832051</v>
          </cell>
          <cell r="NS35">
            <v>4.3678010602832051</v>
          </cell>
          <cell r="NT35">
            <v>4.3678010602832051</v>
          </cell>
          <cell r="NU35">
            <v>4.3678010602832051</v>
          </cell>
          <cell r="NV35">
            <v>4.3678010602832051</v>
          </cell>
          <cell r="NW35">
            <v>4.3678010602832051</v>
          </cell>
          <cell r="NX35">
            <v>4.3678010602832051</v>
          </cell>
        </row>
        <row r="36">
          <cell r="NM36">
            <v>0.33225160776206852</v>
          </cell>
          <cell r="NN36">
            <v>0.36800674001946643</v>
          </cell>
          <cell r="NO36">
            <v>0.9190073749306471</v>
          </cell>
          <cell r="NP36">
            <v>2.3209973678008256</v>
          </cell>
          <cell r="NQ36">
            <v>2.3156254024083278</v>
          </cell>
          <cell r="NR36">
            <v>2.4053371456538297</v>
          </cell>
          <cell r="NS36">
            <v>0.54646799490389864</v>
          </cell>
          <cell r="NT36">
            <v>0.55158465540270374</v>
          </cell>
          <cell r="NU36">
            <v>0.61116233273266207</v>
          </cell>
          <cell r="NV36">
            <v>3.4426983663847777</v>
          </cell>
          <cell r="NW36">
            <v>3.3896447340694857</v>
          </cell>
          <cell r="NX36">
            <v>3.481312817197324</v>
          </cell>
        </row>
        <row r="37">
          <cell r="NM37">
            <v>-0.66258640220419052</v>
          </cell>
          <cell r="NN37">
            <v>-0.51484678422543118</v>
          </cell>
          <cell r="NO37">
            <v>-0.43983553831165034</v>
          </cell>
          <cell r="NP37">
            <v>-0.13734722135796407</v>
          </cell>
          <cell r="NQ37">
            <v>-0.36420507560900317</v>
          </cell>
          <cell r="NR37">
            <v>-0.59830735967095761</v>
          </cell>
          <cell r="NS37">
            <v>-0.2446753113229172</v>
          </cell>
          <cell r="NT37">
            <v>0.45161920744698492</v>
          </cell>
          <cell r="NU37">
            <v>-0.20109174662018559</v>
          </cell>
          <cell r="NV37">
            <v>-6.1870887414416931E-2</v>
          </cell>
          <cell r="NW37">
            <v>-0.53646230889334845</v>
          </cell>
          <cell r="NX37">
            <v>7.7367702077602019E-2</v>
          </cell>
        </row>
      </sheetData>
      <sheetData sheetId="2"/>
      <sheetData sheetId="3"/>
      <sheetData sheetId="4">
        <row r="3">
          <cell r="OC3">
            <v>108.23342334232696</v>
          </cell>
        </row>
      </sheetData>
      <sheetData sheetId="5">
        <row r="3">
          <cell r="NN3">
            <v>107.80747544854762</v>
          </cell>
        </row>
        <row r="21">
          <cell r="NN21">
            <v>1.3652171624402021</v>
          </cell>
          <cell r="NO21">
            <v>1.349653655417038</v>
          </cell>
          <cell r="NP21">
            <v>1.4395346104989271</v>
          </cell>
          <cell r="NQ21">
            <v>0.60160649209577421</v>
          </cell>
          <cell r="NR21">
            <v>0.82201042472549446</v>
          </cell>
          <cell r="NS21">
            <v>-0.1706778152251287</v>
          </cell>
          <cell r="NT21">
            <v>9.2189949097631896E-2</v>
          </cell>
          <cell r="NU21">
            <v>-0.36722627317347101</v>
          </cell>
          <cell r="NV21">
            <v>0.39042711789760709</v>
          </cell>
          <cell r="NW21">
            <v>1.2025995861927985</v>
          </cell>
          <cell r="NX21">
            <v>1.0963335089493542</v>
          </cell>
          <cell r="NY21">
            <v>1.8253800545742438</v>
          </cell>
        </row>
        <row r="22">
          <cell r="NN22">
            <v>1.7438920196336083</v>
          </cell>
          <cell r="NO22">
            <v>1.319395882667429</v>
          </cell>
          <cell r="NP22">
            <v>1.0203288422549139</v>
          </cell>
          <cell r="NQ22">
            <v>0.89216728805956436</v>
          </cell>
          <cell r="NR22">
            <v>1.0513316523627747</v>
          </cell>
          <cell r="NS22">
            <v>0.47261624960852622</v>
          </cell>
          <cell r="NT22">
            <v>0.68822873905087789</v>
          </cell>
          <cell r="NU22">
            <v>0.69654795580003093</v>
          </cell>
          <cell r="NV22">
            <v>0.61292963407411083</v>
          </cell>
          <cell r="NW22">
            <v>1.8402740364868109</v>
          </cell>
          <cell r="NX22">
            <v>2.2846580471039823</v>
          </cell>
          <cell r="NY22">
            <v>2.3927577453209947</v>
          </cell>
        </row>
        <row r="23">
          <cell r="NN23">
            <v>0.34998179623477732</v>
          </cell>
          <cell r="NO23">
            <v>1.371673747790636</v>
          </cell>
          <cell r="NP23">
            <v>2.266569220214798</v>
          </cell>
          <cell r="NQ23">
            <v>-0.13957575245264753</v>
          </cell>
          <cell r="NR23">
            <v>-1.5572897104954464</v>
          </cell>
          <cell r="NS23">
            <v>-4.3636167569769064</v>
          </cell>
          <cell r="NT23">
            <v>-3.3775729248074371</v>
          </cell>
          <cell r="NU23">
            <v>-5.3057917660620184</v>
          </cell>
          <cell r="NV23">
            <v>-2.2292929306872211</v>
          </cell>
          <cell r="NW23">
            <v>-5.6852234823845382E-2</v>
          </cell>
          <cell r="NX23">
            <v>-1.443937483950708</v>
          </cell>
          <cell r="NY23">
            <v>1.0666055633329785</v>
          </cell>
        </row>
        <row r="24">
          <cell r="NN24">
            <v>2.0358679770629884</v>
          </cell>
          <cell r="NO24">
            <v>1.2082892535370426</v>
          </cell>
          <cell r="NP24">
            <v>0.20872840701640083</v>
          </cell>
          <cell r="NQ24">
            <v>1.200848219000461</v>
          </cell>
          <cell r="NR24">
            <v>-1.3567031070003344</v>
          </cell>
          <cell r="NS24">
            <v>-2.7189819800269355</v>
          </cell>
          <cell r="NT24">
            <v>-1.640635271671953</v>
          </cell>
          <cell r="NU24">
            <v>-1.6158958335364626</v>
          </cell>
          <cell r="NV24">
            <v>-2.1579584837267074</v>
          </cell>
          <cell r="NW24">
            <v>2.9507582348382355</v>
          </cell>
          <cell r="NX24">
            <v>4.0532908273634316</v>
          </cell>
          <cell r="NY24">
            <v>3.9409165923526279</v>
          </cell>
        </row>
        <row r="25">
          <cell r="NN25">
            <v>-3.1514449054591553</v>
          </cell>
          <cell r="NO25">
            <v>1.7231198615047738</v>
          </cell>
          <cell r="NP25">
            <v>7.0549545834774463</v>
          </cell>
          <cell r="NQ25">
            <v>-2.9148099225256296</v>
          </cell>
          <cell r="NR25">
            <v>-1.9896840469814103</v>
          </cell>
          <cell r="NS25">
            <v>-7.8797773322393683</v>
          </cell>
          <cell r="NT25">
            <v>-7.0162243615465858</v>
          </cell>
          <cell r="NU25">
            <v>-13.089320865490938</v>
          </cell>
          <cell r="NV25">
            <v>-2.3873131065760278</v>
          </cell>
          <cell r="NW25">
            <v>-6.719606306216896</v>
          </cell>
          <cell r="NX25">
            <v>-12.689990294347087</v>
          </cell>
          <cell r="NY25">
            <v>-5.2063481588663034</v>
          </cell>
        </row>
        <row r="26">
          <cell r="NN26">
            <v>14.187992529974846</v>
          </cell>
          <cell r="NO26">
            <v>14.469257725805029</v>
          </cell>
          <cell r="NP26">
            <v>15.391867146084138</v>
          </cell>
          <cell r="NQ26">
            <v>-1.161243843668669</v>
          </cell>
          <cell r="NR26">
            <v>-0.69402665045159573</v>
          </cell>
          <cell r="NS26">
            <v>-0.89230896140645166</v>
          </cell>
          <cell r="NT26">
            <v>-0.65691991931294824</v>
          </cell>
          <cell r="NU26">
            <v>-0.59535092462412731</v>
          </cell>
          <cell r="NV26">
            <v>-1.5553259380439055</v>
          </cell>
          <cell r="NW26">
            <v>-0.68722875460982547</v>
          </cell>
          <cell r="NX26">
            <v>-0.42375446275647599</v>
          </cell>
          <cell r="NY26">
            <v>0.68654458115964268</v>
          </cell>
        </row>
        <row r="27">
          <cell r="NN27">
            <v>-2.3146918239613901</v>
          </cell>
          <cell r="NO27">
            <v>-0.75016898518832642</v>
          </cell>
          <cell r="NP27">
            <v>-0.68802612975132904</v>
          </cell>
          <cell r="NQ27">
            <v>-0.79372502173176152</v>
          </cell>
          <cell r="NR27">
            <v>-1.8012283893113934</v>
          </cell>
          <cell r="NS27">
            <v>-1.5125749057529392</v>
          </cell>
          <cell r="NT27">
            <v>-1.2979565183079522</v>
          </cell>
          <cell r="NU27">
            <v>0.50641943834615066</v>
          </cell>
          <cell r="NV27">
            <v>-0.71413177673349537</v>
          </cell>
          <cell r="NW27">
            <v>-0.56434282150633619</v>
          </cell>
          <cell r="NX27">
            <v>-2.658557157906305E-2</v>
          </cell>
          <cell r="NY27">
            <v>3.7718839263778392E-2</v>
          </cell>
        </row>
        <row r="28">
          <cell r="NN28">
            <v>2.5297486905170974</v>
          </cell>
          <cell r="NO28">
            <v>2.1503135897100512</v>
          </cell>
          <cell r="NP28">
            <v>1.9753754861893347</v>
          </cell>
          <cell r="NQ28">
            <v>1.7343089437680703</v>
          </cell>
          <cell r="NR28">
            <v>1.7320604557676811</v>
          </cell>
          <cell r="NS28">
            <v>1.7292142744919969</v>
          </cell>
          <cell r="NT28">
            <v>1.6519624291769563</v>
          </cell>
          <cell r="NU28">
            <v>1.6020286345336254</v>
          </cell>
          <cell r="NV28">
            <v>1.7027433580779849</v>
          </cell>
          <cell r="NW28">
            <v>2.0682924734766628</v>
          </cell>
          <cell r="NX28">
            <v>2.4001176331297502</v>
          </cell>
          <cell r="NY28">
            <v>2.4579638129168302</v>
          </cell>
        </row>
        <row r="29">
          <cell r="NN29">
            <v>3.4976008024103944</v>
          </cell>
          <cell r="NO29">
            <v>3.8041992394768354</v>
          </cell>
          <cell r="NP29">
            <v>3.8481848432043941</v>
          </cell>
          <cell r="NQ29">
            <v>3.7971192112137953</v>
          </cell>
          <cell r="NR29">
            <v>3.7813257471203787</v>
          </cell>
          <cell r="NS29">
            <v>3.9124702241004616</v>
          </cell>
          <cell r="NT29">
            <v>3.7956175636433054</v>
          </cell>
          <cell r="NU29">
            <v>3.6917852057367639</v>
          </cell>
          <cell r="NV29">
            <v>3.8059029672047551</v>
          </cell>
          <cell r="NW29">
            <v>3.9339353187406445</v>
          </cell>
          <cell r="NX29">
            <v>4.3405186836216414</v>
          </cell>
          <cell r="NY29">
            <v>4.2740679377212709</v>
          </cell>
        </row>
        <row r="30">
          <cell r="NN30">
            <v>1.0568512614087755</v>
          </cell>
          <cell r="NO30">
            <v>-1.5285306096842421</v>
          </cell>
          <cell r="NP30">
            <v>-0.99623127159516045</v>
          </cell>
          <cell r="NQ30">
            <v>-2.2790926643533105</v>
          </cell>
          <cell r="NR30">
            <v>5.6323136686645014</v>
          </cell>
          <cell r="NS30">
            <v>0.82744472237752387</v>
          </cell>
          <cell r="NT30">
            <v>2.3202507519442861</v>
          </cell>
          <cell r="NU30">
            <v>0.95007327845733069</v>
          </cell>
          <cell r="NV30">
            <v>1.9348131507484378</v>
          </cell>
          <cell r="NW30">
            <v>3.3479648165707143</v>
          </cell>
          <cell r="NX30">
            <v>4.4308082350083433</v>
          </cell>
          <cell r="NY30">
            <v>4.7627151082483499</v>
          </cell>
        </row>
        <row r="31">
          <cell r="NN31">
            <v>2.0273152744505252</v>
          </cell>
          <cell r="NO31">
            <v>0.42763260030480588</v>
          </cell>
          <cell r="NP31">
            <v>0.69786063448449287</v>
          </cell>
          <cell r="NQ31">
            <v>0.8467192450241301</v>
          </cell>
          <cell r="NR31">
            <v>0.86056179502476127</v>
          </cell>
          <cell r="NS31">
            <v>0.83000218704638584</v>
          </cell>
          <cell r="NT31">
            <v>0.86447550893447023</v>
          </cell>
          <cell r="NU31">
            <v>1.0633664917290675</v>
          </cell>
          <cell r="NV31">
            <v>1.1418132550484517</v>
          </cell>
          <cell r="NW31">
            <v>0.97442747518661221</v>
          </cell>
          <cell r="NX31">
            <v>0.92235674934157963</v>
          </cell>
          <cell r="NY31">
            <v>1.2015899592304757</v>
          </cell>
        </row>
        <row r="32">
          <cell r="NN32">
            <v>1.9756220007652203</v>
          </cell>
          <cell r="NO32">
            <v>1.9358513277575096</v>
          </cell>
          <cell r="NP32">
            <v>7.1755568294173955E-2</v>
          </cell>
          <cell r="NQ32">
            <v>-0.98175015262205179</v>
          </cell>
          <cell r="NR32">
            <v>-0.12404541104130695</v>
          </cell>
          <cell r="NS32">
            <v>-0.42497331285917817</v>
          </cell>
          <cell r="NT32">
            <v>-0.64929735055679894</v>
          </cell>
          <cell r="NU32">
            <v>-0.45618970330626452</v>
          </cell>
          <cell r="NV32">
            <v>-0.20472709969463487</v>
          </cell>
          <cell r="NW32">
            <v>0.19510540850700142</v>
          </cell>
          <cell r="NX32">
            <v>0.13593539040992475</v>
          </cell>
          <cell r="NY32">
            <v>-0.20172836119816129</v>
          </cell>
        </row>
        <row r="33">
          <cell r="NN33">
            <v>-1.0967786633067966</v>
          </cell>
          <cell r="NO33">
            <v>-1.1617124472712126</v>
          </cell>
          <cell r="NP33">
            <v>-0.95184685041470596</v>
          </cell>
          <cell r="NQ33">
            <v>-0.39065343488735582</v>
          </cell>
          <cell r="NR33">
            <v>-0.39065343488735582</v>
          </cell>
          <cell r="NS33">
            <v>-0.39065343488735582</v>
          </cell>
          <cell r="NT33">
            <v>-0.39065343488735582</v>
          </cell>
          <cell r="NU33">
            <v>-0.39065343488735582</v>
          </cell>
          <cell r="NV33">
            <v>-0.260781208138261</v>
          </cell>
          <cell r="NW33">
            <v>-0.260781208138261</v>
          </cell>
          <cell r="NX33">
            <v>-6.5653861509062938E-2</v>
          </cell>
          <cell r="NY33">
            <v>2.2204460492503131E-14</v>
          </cell>
        </row>
        <row r="34">
          <cell r="NN34">
            <v>-2.2206961844982165</v>
          </cell>
          <cell r="NO34">
            <v>-1.9640595835077823</v>
          </cell>
          <cell r="NP34">
            <v>-2.5172757918549005</v>
          </cell>
          <cell r="NQ34">
            <v>-2.7756049155992502</v>
          </cell>
          <cell r="NR34">
            <v>-1.471873304985194</v>
          </cell>
          <cell r="NS34">
            <v>-1.0012243849914948</v>
          </cell>
          <cell r="NT34">
            <v>0.70308006797472622</v>
          </cell>
          <cell r="NU34">
            <v>0.65921801582065065</v>
          </cell>
          <cell r="NV34">
            <v>-9.8758046980362835E-2</v>
          </cell>
          <cell r="NW34">
            <v>0.22182491632927182</v>
          </cell>
          <cell r="NX34">
            <v>1.9268423291345149</v>
          </cell>
          <cell r="NY34">
            <v>1.573761278177277</v>
          </cell>
        </row>
        <row r="35">
          <cell r="NN35">
            <v>6.9712298192002198</v>
          </cell>
          <cell r="NO35">
            <v>6.9712298192002198</v>
          </cell>
          <cell r="NP35">
            <v>6.9712298192002198</v>
          </cell>
          <cell r="NQ35">
            <v>6.9712298192002198</v>
          </cell>
          <cell r="NR35">
            <v>6.9712298192002198</v>
          </cell>
          <cell r="NS35">
            <v>6.9712298192002198</v>
          </cell>
          <cell r="NT35">
            <v>6.9712298192002198</v>
          </cell>
          <cell r="NU35">
            <v>6.9712298192002198</v>
          </cell>
          <cell r="NV35">
            <v>6.9712298192002198</v>
          </cell>
          <cell r="NW35">
            <v>6.9712298192002198</v>
          </cell>
          <cell r="NX35">
            <v>6.9712298192002198</v>
          </cell>
          <cell r="NY35">
            <v>6.9712298192002198</v>
          </cell>
        </row>
        <row r="36">
          <cell r="NN36">
            <v>0.89728121883532186</v>
          </cell>
          <cell r="NO36">
            <v>0.95269112279969814</v>
          </cell>
          <cell r="NP36">
            <v>0.95269112279969814</v>
          </cell>
          <cell r="NQ36">
            <v>3.2188146236119763</v>
          </cell>
          <cell r="NR36">
            <v>3.2188146236119763</v>
          </cell>
          <cell r="NS36">
            <v>3.3572460916380109</v>
          </cell>
          <cell r="NT36">
            <v>0.5482207949958795</v>
          </cell>
          <cell r="NU36">
            <v>0.55464154851698755</v>
          </cell>
          <cell r="NV36">
            <v>0.55928158218783164</v>
          </cell>
          <cell r="NW36">
            <v>1.0724637020378847</v>
          </cell>
          <cell r="NX36">
            <v>0.99074795398454985</v>
          </cell>
          <cell r="NY36">
            <v>1.1311996537561431</v>
          </cell>
        </row>
        <row r="37">
          <cell r="NN37">
            <v>-1.2092949728356728</v>
          </cell>
          <cell r="NO37">
            <v>-0.49272365425835352</v>
          </cell>
          <cell r="NP37">
            <v>-0.66854857989658845</v>
          </cell>
          <cell r="NQ37">
            <v>-0.32997962670846537</v>
          </cell>
          <cell r="NR37">
            <v>-0.46398083389088685</v>
          </cell>
          <cell r="NS37">
            <v>-0.84419757726591493</v>
          </cell>
          <cell r="NT37">
            <v>-0.58740516948373456</v>
          </cell>
          <cell r="NU37">
            <v>4.2892559918938922E-2</v>
          </cell>
          <cell r="NV37">
            <v>-0.41021704529983216</v>
          </cell>
          <cell r="NW37">
            <v>-0.20352723042984522</v>
          </cell>
          <cell r="NX37">
            <v>-0.71118268370573556</v>
          </cell>
          <cell r="NY37">
            <v>0.43371747273153183</v>
          </cell>
        </row>
      </sheetData>
      <sheetData sheetId="6"/>
      <sheetData sheetId="7">
        <row r="3">
          <cell r="OF3">
            <v>0.24242056068641826</v>
          </cell>
        </row>
      </sheetData>
      <sheetData sheetId="8">
        <row r="3">
          <cell r="NN3">
            <v>105.1974803361735</v>
          </cell>
        </row>
        <row r="21">
          <cell r="NN21">
            <v>0.75796459544947847</v>
          </cell>
          <cell r="NO21">
            <v>0.951057539169331</v>
          </cell>
          <cell r="NP21">
            <v>3.1169649641338282E-3</v>
          </cell>
          <cell r="NQ21">
            <v>-0.86664744409465921</v>
          </cell>
          <cell r="NR21">
            <v>-1.0028155561550678</v>
          </cell>
          <cell r="NS21">
            <v>-1.2854902045740801</v>
          </cell>
          <cell r="NT21">
            <v>-0.79916557851400505</v>
          </cell>
          <cell r="NU21">
            <v>-0.85724247672325227</v>
          </cell>
          <cell r="NV21">
            <v>-0.73317102591515804</v>
          </cell>
          <cell r="NW21">
            <v>2.1578800075127802</v>
          </cell>
          <cell r="NX21">
            <v>1.8508319334554324</v>
          </cell>
          <cell r="NY21">
            <v>2.7473244187922852</v>
          </cell>
        </row>
        <row r="22">
          <cell r="NN22">
            <v>0.8856773874662327</v>
          </cell>
          <cell r="NO22">
            <v>0.44170734068795792</v>
          </cell>
          <cell r="NP22">
            <v>0.2568814322268631</v>
          </cell>
          <cell r="NQ22">
            <v>-0.66524049395672025</v>
          </cell>
          <cell r="NR22">
            <v>-1.2211968278564411</v>
          </cell>
          <cell r="NS22">
            <v>-1.5154306271098816</v>
          </cell>
          <cell r="NT22">
            <v>-1.1026972764064502</v>
          </cell>
          <cell r="NU22">
            <v>-0.86193357133270698</v>
          </cell>
          <cell r="NV22">
            <v>-0.96892447098703149</v>
          </cell>
          <cell r="NW22">
            <v>2.0176480783323125</v>
          </cell>
          <cell r="NX22">
            <v>2.3496311000289483</v>
          </cell>
          <cell r="NY22">
            <v>2.8943356134050191</v>
          </cell>
        </row>
        <row r="23">
          <cell r="NN23">
            <v>0.43283075869691157</v>
          </cell>
          <cell r="NO23">
            <v>2.7574206689468195</v>
          </cell>
          <cell r="NP23">
            <v>-6.8356369190902821E-2</v>
          </cell>
          <cell r="NQ23">
            <v>-0.25172889358694439</v>
          </cell>
          <cell r="NR23">
            <v>-1.0032714493750317</v>
          </cell>
          <cell r="NS23">
            <v>-1.1023413315268904</v>
          </cell>
          <cell r="NT23">
            <v>-0.31068210018427855</v>
          </cell>
          <cell r="NU23">
            <v>-1.0323405089426085</v>
          </cell>
          <cell r="NV23">
            <v>-0.35781272814660037</v>
          </cell>
          <cell r="NW23">
            <v>7.4476837064532342</v>
          </cell>
          <cell r="NX23">
            <v>5.6370111109398602</v>
          </cell>
          <cell r="NY23">
            <v>7.9498708417503616</v>
          </cell>
        </row>
        <row r="24">
          <cell r="NN24">
            <v>0.80389086127887754</v>
          </cell>
          <cell r="NO24">
            <v>1.4977336493456006</v>
          </cell>
          <cell r="NP24">
            <v>0.91299324919589253</v>
          </cell>
          <cell r="NQ24">
            <v>0.82015024986021867</v>
          </cell>
          <cell r="NR24">
            <v>-1.8608380994984186</v>
          </cell>
          <cell r="NS24">
            <v>-1.9258077924770078</v>
          </cell>
          <cell r="NT24">
            <v>-1.3050720568148266</v>
          </cell>
          <cell r="NU24">
            <v>-1.1221716198451137</v>
          </cell>
          <cell r="NV24">
            <v>-1.1237645369754357</v>
          </cell>
          <cell r="NW24">
            <v>8.9864028149942765</v>
          </cell>
          <cell r="NX24">
            <v>9.1609270815178778</v>
          </cell>
          <cell r="NY24">
            <v>10.648990948171132</v>
          </cell>
        </row>
        <row r="25">
          <cell r="NN25">
            <v>-0.47491575925012741</v>
          </cell>
          <cell r="NO25">
            <v>5.7164763537350005</v>
          </cell>
          <cell r="NP25">
            <v>-2.3413535859423851</v>
          </cell>
          <cell r="NQ25">
            <v>-2.7508269340948521</v>
          </cell>
          <cell r="NR25">
            <v>1.0777990421590777</v>
          </cell>
          <cell r="NS25">
            <v>0.88907129040283195</v>
          </cell>
          <cell r="NT25">
            <v>2.1453251947425755</v>
          </cell>
          <cell r="NU25">
            <v>-0.81226628078919783</v>
          </cell>
          <cell r="NV25">
            <v>1.551212692828341</v>
          </cell>
          <cell r="NW25">
            <v>3.5418902650922401</v>
          </cell>
          <cell r="NX25">
            <v>-2.8405949860585533</v>
          </cell>
          <cell r="NY25">
            <v>1.3278329107706544</v>
          </cell>
        </row>
        <row r="26">
          <cell r="NN26">
            <v>16.947209124000118</v>
          </cell>
          <cell r="NO26">
            <v>17.000894235146347</v>
          </cell>
          <cell r="NP26">
            <v>17.212913326214462</v>
          </cell>
          <cell r="NQ26">
            <v>2.8166890554208956</v>
          </cell>
          <cell r="NR26">
            <v>0.2248188481311697</v>
          </cell>
          <cell r="NS26">
            <v>-0.29565052875685227</v>
          </cell>
          <cell r="NT26">
            <v>-0.37646745043535823</v>
          </cell>
          <cell r="NU26">
            <v>1.2244385338797903</v>
          </cell>
          <cell r="NV26">
            <v>1.7716880539635271</v>
          </cell>
          <cell r="NW26">
            <v>0.99972534162375837</v>
          </cell>
          <cell r="NX26">
            <v>0.8924084993207293</v>
          </cell>
          <cell r="NY26">
            <v>0.35769880439830981</v>
          </cell>
        </row>
        <row r="27">
          <cell r="NN27">
            <v>-1.0085205101389327</v>
          </cell>
          <cell r="NO27">
            <v>-0.64573822082869548</v>
          </cell>
          <cell r="NP27">
            <v>-0.42598277936415352</v>
          </cell>
          <cell r="NQ27">
            <v>-0.57861495726629908</v>
          </cell>
          <cell r="NR27">
            <v>0.15233732286883406</v>
          </cell>
          <cell r="NS27">
            <v>0.50497220986736036</v>
          </cell>
          <cell r="NT27">
            <v>0.69884543870581961</v>
          </cell>
          <cell r="NU27">
            <v>-0.66063763482802074</v>
          </cell>
          <cell r="NV27">
            <v>-0.49778618293172539</v>
          </cell>
          <cell r="NW27">
            <v>-0.54738839297807651</v>
          </cell>
          <cell r="NX27">
            <v>-0.64571830668752606</v>
          </cell>
          <cell r="NY27">
            <v>-0.56882252148534596</v>
          </cell>
        </row>
        <row r="28">
          <cell r="NN28">
            <v>-0.76381405247478718</v>
          </cell>
          <cell r="NO28">
            <v>-3.5327002149856956</v>
          </cell>
          <cell r="NP28">
            <v>-3.0192449454869319</v>
          </cell>
          <cell r="NQ28">
            <v>-3.7080289593067084</v>
          </cell>
          <cell r="NR28">
            <v>-3.8537270293431347</v>
          </cell>
          <cell r="NS28">
            <v>-3.8945061205539755</v>
          </cell>
          <cell r="NT28">
            <v>-3.8155905730688167</v>
          </cell>
          <cell r="NU28">
            <v>-3.1954591511747177</v>
          </cell>
          <cell r="NV28">
            <v>-3.2064153893197389</v>
          </cell>
          <cell r="NW28">
            <v>-3.1553729351622373</v>
          </cell>
          <cell r="NX28">
            <v>-2.9482173373332032</v>
          </cell>
          <cell r="NY28">
            <v>-2.0969501630573983</v>
          </cell>
        </row>
        <row r="29">
          <cell r="NN29">
            <v>-12.076150280203235</v>
          </cell>
          <cell r="NO29">
            <v>-12.076150280203235</v>
          </cell>
          <cell r="NP29">
            <v>0</v>
          </cell>
          <cell r="NQ29">
            <v>0</v>
          </cell>
          <cell r="NR29">
            <v>0</v>
          </cell>
          <cell r="NS29">
            <v>0</v>
          </cell>
          <cell r="NT29">
            <v>0</v>
          </cell>
          <cell r="NU29">
            <v>8.9799215374819283</v>
          </cell>
          <cell r="NV29">
            <v>8.9799215374819283</v>
          </cell>
          <cell r="NW29">
            <v>8.9799215374819283</v>
          </cell>
          <cell r="NX29">
            <v>8.9799215374819283</v>
          </cell>
          <cell r="NY29">
            <v>8.9799215374819283</v>
          </cell>
        </row>
        <row r="30">
          <cell r="NN30">
            <v>-0.73671709552740605</v>
          </cell>
          <cell r="NO30">
            <v>-1.1772792757072215</v>
          </cell>
          <cell r="NP30">
            <v>-1.0392565774937856</v>
          </cell>
          <cell r="NQ30">
            <v>-1.9771770158927948</v>
          </cell>
          <cell r="NR30">
            <v>5.2613149547009463E-2</v>
          </cell>
          <cell r="NS30">
            <v>-3.0914624058497875E-2</v>
          </cell>
          <cell r="NT30">
            <v>0.42297158370256938</v>
          </cell>
          <cell r="NU30">
            <v>0.84663213491926737</v>
          </cell>
          <cell r="NV30">
            <v>1.3668992491321141</v>
          </cell>
          <cell r="NW30">
            <v>2.1627009908467665</v>
          </cell>
          <cell r="NX30">
            <v>2.478029254769365</v>
          </cell>
          <cell r="NY30">
            <v>3.0200074215911643</v>
          </cell>
        </row>
        <row r="31">
          <cell r="NN31">
            <v>4.3591654012054226</v>
          </cell>
          <cell r="NO31">
            <v>3.1065997762336428</v>
          </cell>
          <cell r="NP31">
            <v>3.4759019277600833</v>
          </cell>
          <cell r="NQ31">
            <v>3.7038577717594334</v>
          </cell>
          <cell r="NR31">
            <v>3.805699481239988</v>
          </cell>
          <cell r="NS31">
            <v>1.6587309559402019</v>
          </cell>
          <cell r="NT31">
            <v>1.6484388731841992</v>
          </cell>
          <cell r="NU31">
            <v>1.2039928301570413</v>
          </cell>
          <cell r="NV31">
            <v>0.83471535341197445</v>
          </cell>
          <cell r="NW31">
            <v>0.6488513049842437</v>
          </cell>
          <cell r="NX31">
            <v>0.67506397611452051</v>
          </cell>
          <cell r="NY31">
            <v>0.84366993256201894</v>
          </cell>
        </row>
        <row r="32">
          <cell r="NN32">
            <v>-1.0634260093263626</v>
          </cell>
          <cell r="NO32">
            <v>-1.5197765412919395</v>
          </cell>
          <cell r="NP32">
            <v>-2.8286693916920513</v>
          </cell>
          <cell r="NQ32">
            <v>-3.6720693705301066</v>
          </cell>
          <cell r="NR32">
            <v>-4.3055290286512671</v>
          </cell>
          <cell r="NS32">
            <v>-4.8337526365817336</v>
          </cell>
          <cell r="NT32">
            <v>-5.0643877361809313</v>
          </cell>
          <cell r="NU32">
            <v>-4.8738238537467948</v>
          </cell>
          <cell r="NV32">
            <v>-4.625749407834034</v>
          </cell>
          <cell r="NW32">
            <v>-2.1187187710962063</v>
          </cell>
          <cell r="NX32">
            <v>0.47716243646034329</v>
          </cell>
          <cell r="NY32">
            <v>0.34972514976738811</v>
          </cell>
        </row>
        <row r="33">
          <cell r="NN33">
            <v>6.1591763958412926E-2</v>
          </cell>
          <cell r="NO33">
            <v>8.1259546861955911E-2</v>
          </cell>
          <cell r="NP33">
            <v>0.25271783925113755</v>
          </cell>
          <cell r="NQ33">
            <v>0.1651920173250554</v>
          </cell>
          <cell r="NR33">
            <v>-0.4797110694958362</v>
          </cell>
          <cell r="NS33">
            <v>-1.1064093234343431</v>
          </cell>
          <cell r="NT33">
            <v>-1.1064093234343431</v>
          </cell>
          <cell r="NU33">
            <v>-1.3141873789539127</v>
          </cell>
          <cell r="NV33">
            <v>-2.3572904348315937</v>
          </cell>
          <cell r="NW33">
            <v>-2.0528817335961347</v>
          </cell>
          <cell r="NX33">
            <v>-2.0528817335961347</v>
          </cell>
          <cell r="NY33">
            <v>-2.0528817335961347</v>
          </cell>
        </row>
        <row r="34">
          <cell r="NN34">
            <v>-2.054767451174766</v>
          </cell>
          <cell r="NO34">
            <v>-1.7293230919416813</v>
          </cell>
          <cell r="NP34">
            <v>-1.9062876303746368</v>
          </cell>
          <cell r="NQ34">
            <v>-4.6204012961824077</v>
          </cell>
          <cell r="NR34">
            <v>-3.3797288038189821</v>
          </cell>
          <cell r="NS34">
            <v>-3.3582927465502954</v>
          </cell>
          <cell r="NT34">
            <v>-0.72077711660829547</v>
          </cell>
          <cell r="NU34">
            <v>-0.23343410165674872</v>
          </cell>
          <cell r="NV34">
            <v>-1.0794210838857343</v>
          </cell>
          <cell r="NW34">
            <v>-1.0909042459328444</v>
          </cell>
          <cell r="NX34">
            <v>0.79776260910293662</v>
          </cell>
          <cell r="NY34">
            <v>0.52989360864597046</v>
          </cell>
        </row>
        <row r="35">
          <cell r="NN35">
            <v>8.1280824363031847</v>
          </cell>
          <cell r="NO35">
            <v>8.1280824363031847</v>
          </cell>
          <cell r="NP35">
            <v>0.99455029968598119</v>
          </cell>
          <cell r="NQ35">
            <v>0.92317154316179373</v>
          </cell>
          <cell r="NR35">
            <v>0.92317154316179373</v>
          </cell>
          <cell r="NS35">
            <v>0.92317154316179373</v>
          </cell>
          <cell r="NT35">
            <v>0.92317154316179373</v>
          </cell>
          <cell r="NU35">
            <v>0.92317154316179373</v>
          </cell>
          <cell r="NV35">
            <v>0.92317154316179373</v>
          </cell>
          <cell r="NW35">
            <v>0.92317154316179373</v>
          </cell>
          <cell r="NX35">
            <v>0.92317154316179373</v>
          </cell>
          <cell r="NY35">
            <v>0.92317154316179373</v>
          </cell>
        </row>
        <row r="36">
          <cell r="NN36">
            <v>-0.69562644518350591</v>
          </cell>
          <cell r="NO36">
            <v>-0.69562644518350591</v>
          </cell>
          <cell r="NP36">
            <v>0.85681328051963046</v>
          </cell>
          <cell r="NQ36">
            <v>0.66531796952791211</v>
          </cell>
          <cell r="NR36">
            <v>0.6502881553739126</v>
          </cell>
          <cell r="NS36">
            <v>0.6502881553739126</v>
          </cell>
          <cell r="NT36">
            <v>0.54322513305331555</v>
          </cell>
          <cell r="NU36">
            <v>0.54592795393957338</v>
          </cell>
          <cell r="NV36">
            <v>0.70716373104018349</v>
          </cell>
          <cell r="NW36">
            <v>7.8284928223218087</v>
          </cell>
          <cell r="NX36">
            <v>7.8284928223218087</v>
          </cell>
          <cell r="NY36">
            <v>7.8284928223218087</v>
          </cell>
        </row>
        <row r="37">
          <cell r="NN37">
            <v>-0.26362735246798774</v>
          </cell>
          <cell r="NO37">
            <v>-0.53081799021569287</v>
          </cell>
          <cell r="NP37">
            <v>-0.27414795616020893</v>
          </cell>
          <cell r="NQ37">
            <v>2.600765270832639E-3</v>
          </cell>
          <cell r="NR37">
            <v>-0.29181595334479837</v>
          </cell>
          <cell r="NS37">
            <v>-0.41937786931246501</v>
          </cell>
          <cell r="NT37">
            <v>3.082793023789776E-3</v>
          </cell>
          <cell r="NU37">
            <v>0.74638030494236229</v>
          </cell>
          <cell r="NV37">
            <v>-4.9738841748492302E-2</v>
          </cell>
          <cell r="NW37">
            <v>4.0485218812102985E-2</v>
          </cell>
          <cell r="NX37">
            <v>-0.41000184133941353</v>
          </cell>
          <cell r="NY37">
            <v>-0.1797597821889263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69"/>
  <sheetViews>
    <sheetView tabSelected="1" zoomScaleNormal="100" zoomScaleSheetLayoutView="100" workbookViewId="0">
      <selection activeCell="G90" sqref="G90"/>
    </sheetView>
  </sheetViews>
  <sheetFormatPr defaultColWidth="9.140625" defaultRowHeight="12.75" x14ac:dyDescent="0.2"/>
  <cols>
    <col min="1" max="1" width="36.5703125" style="43" customWidth="1"/>
    <col min="2" max="9" width="9.140625" style="42"/>
    <col min="10" max="13" width="11" style="42" customWidth="1"/>
    <col min="14" max="16384" width="9.140625" style="42"/>
  </cols>
  <sheetData>
    <row r="1" spans="1:42" s="45" customFormat="1" ht="20.25" customHeight="1" x14ac:dyDescent="0.2">
      <c r="A1" s="66" t="s">
        <v>66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</row>
    <row r="2" spans="1:42" s="47" customFormat="1" ht="15" x14ac:dyDescent="0.2">
      <c r="A2" s="67" t="s">
        <v>67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</row>
    <row r="3" spans="1:42" s="45" customFormat="1" ht="15" customHeight="1" x14ac:dyDescent="0.2">
      <c r="A3" s="68" t="s">
        <v>55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8"/>
    </row>
    <row r="4" spans="1:42" s="50" customFormat="1" ht="12" x14ac:dyDescent="0.2">
      <c r="A4" s="69" t="s">
        <v>54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9"/>
    </row>
    <row r="5" spans="1:42" s="24" customFormat="1" ht="22.5" customHeight="1" x14ac:dyDescent="0.2">
      <c r="A5" s="18"/>
      <c r="B5" s="18" t="s">
        <v>68</v>
      </c>
      <c r="C5" s="19"/>
      <c r="D5" s="19"/>
      <c r="E5" s="20"/>
      <c r="F5" s="21"/>
      <c r="G5" s="22"/>
      <c r="H5" s="23"/>
      <c r="I5" s="23"/>
      <c r="J5" s="23"/>
      <c r="K5" s="23"/>
      <c r="L5" s="23"/>
      <c r="M5" s="22"/>
      <c r="Q5" s="13" t="s">
        <v>16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</row>
    <row r="6" spans="1:42" s="24" customFormat="1" ht="14.25" customHeight="1" x14ac:dyDescent="0.2">
      <c r="A6" s="26" t="s">
        <v>6</v>
      </c>
      <c r="B6" s="27" t="s">
        <v>53</v>
      </c>
      <c r="C6" s="27" t="s">
        <v>52</v>
      </c>
      <c r="D6" s="27" t="s">
        <v>0</v>
      </c>
      <c r="E6" s="27" t="s">
        <v>13</v>
      </c>
      <c r="F6" s="27" t="s">
        <v>14</v>
      </c>
      <c r="G6" s="1" t="s">
        <v>1</v>
      </c>
      <c r="H6" s="1" t="s">
        <v>15</v>
      </c>
      <c r="I6" s="1" t="s">
        <v>51</v>
      </c>
      <c r="J6" s="1" t="s">
        <v>69</v>
      </c>
      <c r="K6" s="1" t="s">
        <v>70</v>
      </c>
      <c r="L6" s="1" t="s">
        <v>71</v>
      </c>
      <c r="M6" s="1" t="s">
        <v>72</v>
      </c>
      <c r="Q6" s="13" t="s">
        <v>39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</row>
    <row r="7" spans="1:42" s="24" customFormat="1" ht="15" x14ac:dyDescent="0.2">
      <c r="A7" s="28" t="s">
        <v>62</v>
      </c>
      <c r="B7" s="16" t="s">
        <v>17</v>
      </c>
      <c r="C7" s="15" t="s">
        <v>18</v>
      </c>
      <c r="D7" s="15" t="s">
        <v>2</v>
      </c>
      <c r="E7" s="15" t="s">
        <v>19</v>
      </c>
      <c r="F7" s="15" t="s">
        <v>20</v>
      </c>
      <c r="G7" s="15" t="s">
        <v>3</v>
      </c>
      <c r="H7" s="15" t="s">
        <v>21</v>
      </c>
      <c r="I7" s="15" t="s">
        <v>22</v>
      </c>
      <c r="J7" s="15" t="s">
        <v>4</v>
      </c>
      <c r="K7" s="15" t="s">
        <v>23</v>
      </c>
      <c r="L7" s="15" t="s">
        <v>24</v>
      </c>
      <c r="M7" s="15" t="s">
        <v>5</v>
      </c>
      <c r="N7" s="29"/>
      <c r="O7" s="29"/>
      <c r="P7" s="29"/>
      <c r="Q7" s="30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</row>
    <row r="8" spans="1:42" s="24" customFormat="1" ht="18.75" customHeight="1" x14ac:dyDescent="0.2">
      <c r="A8" s="6" t="s">
        <v>47</v>
      </c>
      <c r="B8" s="63">
        <f>'[3]Chnages in rep.'!NM23</f>
        <v>0.40046689250188283</v>
      </c>
      <c r="C8" s="63">
        <f>'[3]Chnages in rep.'!NN23</f>
        <v>2.2191381672021615</v>
      </c>
      <c r="D8" s="63">
        <f>'[3]Chnages in rep.'!NO23</f>
        <v>0.82226709349186855</v>
      </c>
      <c r="E8" s="63">
        <f>'[3]Chnages in rep.'!NP23</f>
        <v>-0.20824364354254943</v>
      </c>
      <c r="F8" s="63">
        <f>'[3]Chnages in rep.'!NQ23</f>
        <v>-1.21807797593112</v>
      </c>
      <c r="G8" s="63">
        <f>'[3]Chnages in rep.'!NR23</f>
        <v>-2.3789284300906655</v>
      </c>
      <c r="H8" s="63">
        <f>'[3]Chnages in rep.'!NS23</f>
        <v>-1.5120492575092181</v>
      </c>
      <c r="I8" s="63">
        <f>'[3]Chnages in rep.'!NT23</f>
        <v>-2.7030060574529724</v>
      </c>
      <c r="J8" s="63">
        <f>'[3]Chnages in rep.'!NU23</f>
        <v>-1.0844841587080656</v>
      </c>
      <c r="K8" s="63">
        <f>'[3]Chnages in rep.'!NV23</f>
        <v>4.5143077275021204</v>
      </c>
      <c r="L8" s="63">
        <f>'[3]Chnages in rep.'!NW23</f>
        <v>2.8615084941791435</v>
      </c>
      <c r="M8" s="63">
        <f>'[3]Chnages in rep.'!NX23</f>
        <v>5.2643976807364989</v>
      </c>
      <c r="N8" s="5"/>
      <c r="O8" s="31"/>
      <c r="P8" s="31"/>
      <c r="Q8" s="2" t="s">
        <v>49</v>
      </c>
      <c r="R8" s="17"/>
      <c r="S8" s="4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17"/>
      <c r="AG8" s="17"/>
      <c r="AH8" s="17"/>
      <c r="AI8" s="17"/>
      <c r="AJ8" s="17"/>
      <c r="AK8" s="17"/>
      <c r="AL8" s="17"/>
      <c r="AM8" s="17"/>
      <c r="AN8" s="17"/>
      <c r="AO8" s="17"/>
    </row>
    <row r="9" spans="1:42" s="24" customFormat="1" ht="18.75" customHeight="1" x14ac:dyDescent="0.2">
      <c r="A9" s="6" t="s">
        <v>48</v>
      </c>
      <c r="B9" s="58">
        <f>'[3]Chnages in rep.'!NM24</f>
        <v>1.2704713888411101</v>
      </c>
      <c r="C9" s="58">
        <f>'[3]Chnages in rep.'!NN24</f>
        <v>1.3871598816147745</v>
      </c>
      <c r="D9" s="58">
        <f>'[3]Chnages in rep.'!NO24</f>
        <v>0.64413098110376321</v>
      </c>
      <c r="E9" s="58">
        <f>'[3]Chnages in rep.'!NP24</f>
        <v>0.96441513427425463</v>
      </c>
      <c r="F9" s="58">
        <f>'[3]Chnages in rep.'!NQ24</f>
        <v>-1.6696677819520112</v>
      </c>
      <c r="G9" s="58">
        <f>'[3]Chnages in rep.'!NR24</f>
        <v>-2.2292030485735137</v>
      </c>
      <c r="H9" s="58">
        <f>'[3]Chnages in rep.'!NS24</f>
        <v>-1.4325199906566666</v>
      </c>
      <c r="I9" s="58">
        <f>'[3]Chnages in rep.'!NT24</f>
        <v>-1.3098410719811771</v>
      </c>
      <c r="J9" s="58">
        <f>'[3]Chnages in rep.'!NU24</f>
        <v>-1.5167170859705648</v>
      </c>
      <c r="K9" s="58">
        <f>'[3]Chnages in rep.'!NV24</f>
        <v>6.6849614011741387</v>
      </c>
      <c r="L9" s="58">
        <f>'[3]Chnages in rep.'!NW24</f>
        <v>7.219875030732692</v>
      </c>
      <c r="M9" s="58">
        <f>'[3]Chnages in rep.'!NX24</f>
        <v>8.0880231236397435</v>
      </c>
      <c r="Q9" s="2" t="s">
        <v>50</v>
      </c>
      <c r="S9" s="4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J9" s="25"/>
    </row>
    <row r="10" spans="1:42" s="24" customFormat="1" ht="18.75" customHeight="1" x14ac:dyDescent="0.2">
      <c r="A10" s="7" t="s">
        <v>7</v>
      </c>
      <c r="B10" s="58">
        <f>'[3]Chnages in rep.'!NM25</f>
        <v>-1.5935405233990285</v>
      </c>
      <c r="C10" s="58">
        <f>'[3]Chnages in rep.'!NN25</f>
        <v>4.1070985184945563</v>
      </c>
      <c r="D10" s="58">
        <f>'[3]Chnages in rep.'!NO25</f>
        <v>1.2355908640169666</v>
      </c>
      <c r="E10" s="58">
        <f>'[3]Chnages in rep.'!NP25</f>
        <v>-2.8176129144670492</v>
      </c>
      <c r="F10" s="58">
        <f>'[3]Chnages in rep.'!NQ25</f>
        <v>-0.17207534726783047</v>
      </c>
      <c r="G10" s="58">
        <f>'[3]Chnages in rep.'!NR25</f>
        <v>-2.723718338669201</v>
      </c>
      <c r="H10" s="58">
        <f>'[3]Chnages in rep.'!NS25</f>
        <v>-1.6959712397258686</v>
      </c>
      <c r="I10" s="58">
        <f>'[3]Chnages in rep.'!NT25</f>
        <v>-5.9187926298130078</v>
      </c>
      <c r="J10" s="58">
        <f>'[3]Chnages in rep.'!NU25</f>
        <v>-5.60938295491753E-2</v>
      </c>
      <c r="K10" s="58">
        <f>'[3]Chnages in rep.'!NV25</f>
        <v>-0.70532026881904297</v>
      </c>
      <c r="L10" s="58">
        <f>'[3]Chnages in rep.'!NW25</f>
        <v>-6.9663852350298372</v>
      </c>
      <c r="M10" s="58">
        <f>'[3]Chnages in rep.'!NX25</f>
        <v>-1.3495736011888471</v>
      </c>
      <c r="Q10" s="2" t="s">
        <v>8</v>
      </c>
      <c r="S10" s="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J10" s="25"/>
    </row>
    <row r="11" spans="1:42" s="24" customFormat="1" ht="18.75" customHeight="1" x14ac:dyDescent="0.2">
      <c r="A11" s="32" t="s">
        <v>44</v>
      </c>
      <c r="B11" s="58">
        <f>'[3]Chnages in rep.'!NM26</f>
        <v>16.242313263392006</v>
      </c>
      <c r="C11" s="58">
        <f>'[3]Chnages in rep.'!NN26</f>
        <v>16.35450886602321</v>
      </c>
      <c r="D11" s="58">
        <f>'[3]Chnages in rep.'!NO26</f>
        <v>16.749906882531619</v>
      </c>
      <c r="E11" s="58">
        <f>'[3]Chnages in rep.'!NP26</f>
        <v>1.7883632367143409</v>
      </c>
      <c r="F11" s="58">
        <f>'[3]Chnages in rep.'!NQ26</f>
        <v>-6.905177140847929E-3</v>
      </c>
      <c r="G11" s="58">
        <f>'[3]Chnages in rep.'!NR26</f>
        <v>-0.44600533166254674</v>
      </c>
      <c r="H11" s="58">
        <f>'[3]Chnages in rep.'!NS26</f>
        <v>-0.44699135763138775</v>
      </c>
      <c r="I11" s="58">
        <f>'[3]Chnages in rep.'!NT26</f>
        <v>0.76205907307118625</v>
      </c>
      <c r="J11" s="58">
        <f>'[3]Chnages in rep.'!NU26</f>
        <v>0.91984115785523901</v>
      </c>
      <c r="K11" s="58">
        <f>'[3]Chnages in rep.'!NV26</f>
        <v>0.57116932450369529</v>
      </c>
      <c r="L11" s="58">
        <f>'[3]Chnages in rep.'!NW26</f>
        <v>0.55901236253581565</v>
      </c>
      <c r="M11" s="58">
        <f>'[3]Chnages in rep.'!NX26</f>
        <v>0.44030861854529313</v>
      </c>
      <c r="Q11" s="2" t="s">
        <v>25</v>
      </c>
      <c r="S11" s="4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J11" s="25"/>
    </row>
    <row r="12" spans="1:42" s="24" customFormat="1" ht="18.75" customHeight="1" x14ac:dyDescent="0.2">
      <c r="A12" s="7" t="s">
        <v>9</v>
      </c>
      <c r="B12" s="58">
        <f>'[3]Chnages in rep.'!NM27</f>
        <v>-1.513179881312221</v>
      </c>
      <c r="C12" s="58">
        <f>'[3]Chnages in rep.'!NN27</f>
        <v>-0.68574652036200723</v>
      </c>
      <c r="D12" s="58">
        <f>'[3]Chnages in rep.'!NO27</f>
        <v>-0.52663587894364872</v>
      </c>
      <c r="E12" s="58">
        <f>'[3]Chnages in rep.'!NP27</f>
        <v>-0.66120815971780766</v>
      </c>
      <c r="F12" s="58">
        <f>'[3]Chnages in rep.'!NQ27</f>
        <v>-0.60178801472621224</v>
      </c>
      <c r="G12" s="58">
        <f>'[3]Chnages in rep.'!NR27</f>
        <v>-0.27268298662989077</v>
      </c>
      <c r="H12" s="58">
        <f>'[3]Chnages in rep.'!NS27</f>
        <v>-7.1289732789847626E-2</v>
      </c>
      <c r="I12" s="58">
        <f>'[3]Chnages in rep.'!NT27</f>
        <v>-0.21618927422820677</v>
      </c>
      <c r="J12" s="58">
        <f>'[3]Chnages in rep.'!NU27</f>
        <v>-0.58087921671655662</v>
      </c>
      <c r="K12" s="58">
        <f>'[3]Chnages in rep.'!NV27</f>
        <v>-0.5539079088176857</v>
      </c>
      <c r="L12" s="58">
        <f>'[3]Chnages in rep.'!NW27</f>
        <v>-0.40842189414173058</v>
      </c>
      <c r="M12" s="58">
        <f>'[3]Chnages in rep.'!NX27</f>
        <v>-0.33621718507652609</v>
      </c>
      <c r="Q12" s="2" t="s">
        <v>26</v>
      </c>
      <c r="S12" s="4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J12" s="25"/>
    </row>
    <row r="13" spans="1:42" s="24" customFormat="1" ht="18.75" customHeight="1" x14ac:dyDescent="0.2">
      <c r="A13" s="7" t="s">
        <v>56</v>
      </c>
      <c r="B13" s="58">
        <f>'[3]Chnages in rep.'!NM28</f>
        <v>1.4244113837217798</v>
      </c>
      <c r="C13" s="58">
        <f>'[3]Chnages in rep.'!NN28</f>
        <v>0.24625243375344663</v>
      </c>
      <c r="D13" s="58">
        <f>'[3]Chnages in rep.'!NO28</f>
        <v>0.31277847004678172</v>
      </c>
      <c r="E13" s="58">
        <f>'[3]Chnages in rep.'!NP28</f>
        <v>-6.995446021070828E-2</v>
      </c>
      <c r="F13" s="58">
        <f>'[3]Chnages in rep.'!NQ28</f>
        <v>-0.11382629295833002</v>
      </c>
      <c r="G13" s="58">
        <f>'[3]Chnages in rep.'!NR28</f>
        <v>-0.12850071902313909</v>
      </c>
      <c r="H13" s="58">
        <f>'[3]Chnages in rep.'!NS28</f>
        <v>-0.14893014288396289</v>
      </c>
      <c r="I13" s="58">
        <f>'[3]Chnages in rep.'!NT28</f>
        <v>2.4850281360078164E-2</v>
      </c>
      <c r="J13" s="58">
        <f>'[3]Chnages in rep.'!NU28</f>
        <v>8.9016799847119188E-2</v>
      </c>
      <c r="K13" s="58">
        <f>'[3]Chnages in rep.'!NV28</f>
        <v>0.35156986802054035</v>
      </c>
      <c r="L13" s="58">
        <f>'[3]Chnages in rep.'!NW28</f>
        <v>0.64477453633238202</v>
      </c>
      <c r="M13" s="58">
        <f>'[3]Chnages in rep.'!NX28</f>
        <v>0.96363223801461118</v>
      </c>
      <c r="Q13" s="2" t="s">
        <v>27</v>
      </c>
      <c r="S13" s="4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J13" s="25"/>
    </row>
    <row r="14" spans="1:42" s="24" customFormat="1" ht="18.75" customHeight="1" x14ac:dyDescent="0.2">
      <c r="A14" s="7" t="s">
        <v>57</v>
      </c>
      <c r="B14" s="58">
        <f>'[3]Chnages in rep.'!NM29</f>
        <v>2.6816050073970255</v>
      </c>
      <c r="C14" s="58">
        <f>'[3]Chnages in rep.'!NN29</f>
        <v>2.9736495066585711</v>
      </c>
      <c r="D14" s="58">
        <f>'[3]Chnages in rep.'!NO29</f>
        <v>3.6707109338045107</v>
      </c>
      <c r="E14" s="58">
        <f>'[3]Chnages in rep.'!NP29</f>
        <v>3.6228137198120125</v>
      </c>
      <c r="F14" s="58">
        <f>'[3]Chnages in rep.'!NQ29</f>
        <v>3.6087707469064645</v>
      </c>
      <c r="G14" s="58">
        <f>'[3]Chnages in rep.'!NR29</f>
        <v>3.7342283360075168</v>
      </c>
      <c r="H14" s="58">
        <f>'[3]Chnages in rep.'!NS29</f>
        <v>3.6236919537158352</v>
      </c>
      <c r="I14" s="58">
        <f>'[3]Chnages in rep.'!NT29</f>
        <v>3.930734842483341</v>
      </c>
      <c r="J14" s="58">
        <f>'[3]Chnages in rep.'!NU29</f>
        <v>4.0395976967167346</v>
      </c>
      <c r="K14" s="58">
        <f>'[3]Chnages in rep.'!NV29</f>
        <v>4.1616634246388839</v>
      </c>
      <c r="L14" s="58">
        <f>'[3]Chnages in rep.'!NW29</f>
        <v>4.5495447733519212</v>
      </c>
      <c r="M14" s="58">
        <f>'[3]Chnages in rep.'!NX29</f>
        <v>4.485853855505173</v>
      </c>
      <c r="Q14" s="33" t="s">
        <v>60</v>
      </c>
      <c r="S14" s="4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J14" s="25"/>
    </row>
    <row r="15" spans="1:42" s="24" customFormat="1" ht="25.5" x14ac:dyDescent="0.2">
      <c r="A15" s="6" t="s">
        <v>43</v>
      </c>
      <c r="B15" s="58">
        <f>'[3]Chnages in rep.'!NM30</f>
        <v>-5.3566324538489862E-2</v>
      </c>
      <c r="C15" s="58">
        <f>'[3]Chnages in rep.'!NN30</f>
        <v>-1.3125407125827993</v>
      </c>
      <c r="D15" s="58">
        <f>'[3]Chnages in rep.'!NO30</f>
        <v>-1.0226879241499343</v>
      </c>
      <c r="E15" s="58">
        <f>'[3]Chnages in rep.'!NP30</f>
        <v>-2.0934768184054486</v>
      </c>
      <c r="F15" s="58">
        <f>'[3]Chnages in rep.'!NQ30</f>
        <v>2.1152266309143464</v>
      </c>
      <c r="G15" s="58">
        <f>'[3]Chnages in rep.'!NR30</f>
        <v>0.29616345773866293</v>
      </c>
      <c r="H15" s="58">
        <f>'[3]Chnages in rep.'!NS30</f>
        <v>1.1473318516421305</v>
      </c>
      <c r="I15" s="58">
        <f>'[3]Chnages in rep.'!NT30</f>
        <v>0.88642179463569448</v>
      </c>
      <c r="J15" s="58">
        <f>'[3]Chnages in rep.'!NU30</f>
        <v>1.5848992085096825</v>
      </c>
      <c r="K15" s="58">
        <f>'[3]Chnages in rep.'!NV30</f>
        <v>2.6182251840945803</v>
      </c>
      <c r="L15" s="58">
        <f>'[3]Chnages in rep.'!NW30</f>
        <v>3.2245977332055586</v>
      </c>
      <c r="M15" s="58">
        <f>'[3]Chnages in rep.'!NX30</f>
        <v>3.6873169477867895</v>
      </c>
      <c r="Q15" s="2" t="s">
        <v>45</v>
      </c>
      <c r="S15" s="4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J15" s="25"/>
    </row>
    <row r="16" spans="1:42" s="24" customFormat="1" ht="18.75" customHeight="1" x14ac:dyDescent="0.2">
      <c r="A16" s="8" t="s">
        <v>28</v>
      </c>
      <c r="B16" s="58">
        <f>'[3]Chnages in rep.'!NM31</f>
        <v>3.6703253171027628</v>
      </c>
      <c r="C16" s="58">
        <f>'[3]Chnages in rep.'!NN31</f>
        <v>2.3118173515476181</v>
      </c>
      <c r="D16" s="58">
        <f>'[3]Chnages in rep.'!NO31</f>
        <v>2.6521229385619627</v>
      </c>
      <c r="E16" s="58">
        <f>'[3]Chnages in rep.'!NP31</f>
        <v>2.8573505800673304</v>
      </c>
      <c r="F16" s="58">
        <f>'[3]Chnages in rep.'!NQ31</f>
        <v>2.9329935938385399</v>
      </c>
      <c r="G16" s="58">
        <f>'[3]Chnages in rep.'!NR31</f>
        <v>1.4167294675624609</v>
      </c>
      <c r="H16" s="58">
        <f>'[3]Chnages in rep.'!NS31</f>
        <v>1.4193980834478426</v>
      </c>
      <c r="I16" s="58">
        <f>'[3]Chnages in rep.'!NT31</f>
        <v>1.1631103971304402</v>
      </c>
      <c r="J16" s="58">
        <f>'[3]Chnages in rep.'!NU31</f>
        <v>0.92392349118830541</v>
      </c>
      <c r="K16" s="58">
        <f>'[3]Chnages in rep.'!NV31</f>
        <v>0.7434828482510536</v>
      </c>
      <c r="L16" s="58">
        <f>'[3]Chnages in rep.'!NW31</f>
        <v>0.74692582562789767</v>
      </c>
      <c r="M16" s="58">
        <f>'[3]Chnages in rep.'!NX31</f>
        <v>0.94759571714786439</v>
      </c>
      <c r="Q16" s="2" t="s">
        <v>29</v>
      </c>
      <c r="S16" s="4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J16" s="25"/>
    </row>
    <row r="17" spans="1:36" s="24" customFormat="1" ht="15" x14ac:dyDescent="0.2">
      <c r="A17" s="8" t="s">
        <v>30</v>
      </c>
      <c r="B17" s="58">
        <f>'[3]Chnages in rep.'!NM32</f>
        <v>0.27694967070941434</v>
      </c>
      <c r="C17" s="58">
        <f>'[3]Chnages in rep.'!NN32</f>
        <v>4.2568151296329404E-3</v>
      </c>
      <c r="D17" s="58">
        <f>'[3]Chnages in rep.'!NO32</f>
        <v>-1.5445282007033989</v>
      </c>
      <c r="E17" s="58">
        <f>'[3]Chnages in rep.'!NP32</f>
        <v>-2.4801834289488456</v>
      </c>
      <c r="F17" s="58">
        <f>'[3]Chnages in rep.'!NQ32</f>
        <v>-2.4514903523750298</v>
      </c>
      <c r="G17" s="58">
        <f>'[3]Chnages in rep.'!NR32</f>
        <v>-2.8684011696868739</v>
      </c>
      <c r="H17" s="58">
        <f>'[3]Chnages in rep.'!NS32</f>
        <v>-3.0962866065286088</v>
      </c>
      <c r="I17" s="58">
        <f>'[3]Chnages in rep.'!NT32</f>
        <v>-2.9045195213918573</v>
      </c>
      <c r="J17" s="58">
        <f>'[3]Chnages in rep.'!NU32</f>
        <v>-2.6548456883913385</v>
      </c>
      <c r="K17" s="58">
        <f>'[3]Chnages in rep.'!NV32</f>
        <v>-1.0884011950597072</v>
      </c>
      <c r="L17" s="58">
        <f>'[3]Chnages in rep.'!NW32</f>
        <v>0.32521923875044045</v>
      </c>
      <c r="M17" s="58">
        <f>'[3]Chnages in rep.'!NX32</f>
        <v>0.1038855471378497</v>
      </c>
      <c r="Q17" s="2" t="s">
        <v>31</v>
      </c>
      <c r="S17" s="4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J17" s="25"/>
    </row>
    <row r="18" spans="1:36" s="24" customFormat="1" ht="15" x14ac:dyDescent="0.2">
      <c r="A18" s="8" t="s">
        <v>32</v>
      </c>
      <c r="B18" s="58">
        <f>'[3]Chnages in rep.'!NM33</f>
        <v>-0.47267913125790262</v>
      </c>
      <c r="C18" s="58">
        <f>'[3]Chnages in rep.'!NN33</f>
        <v>-0.49203181521308981</v>
      </c>
      <c r="D18" s="58">
        <f>'[3]Chnages in rep.'!NO33</f>
        <v>-0.30274186552986526</v>
      </c>
      <c r="E18" s="58">
        <f>'[3]Chnages in rep.'!NP33</f>
        <v>-9.0223660048827092E-2</v>
      </c>
      <c r="F18" s="58">
        <f>'[3]Chnages in rep.'!NQ33</f>
        <v>-0.43878833462719369</v>
      </c>
      <c r="G18" s="58">
        <f>'[3]Chnages in rep.'!NR33</f>
        <v>-0.77751345070585787</v>
      </c>
      <c r="H18" s="58">
        <f>'[3]Chnages in rep.'!NS33</f>
        <v>-0.77751345070585787</v>
      </c>
      <c r="I18" s="58">
        <f>'[3]Chnages in rep.'!NT33</f>
        <v>-0.89029811245404655</v>
      </c>
      <c r="J18" s="58">
        <f>'[3]Chnages in rep.'!NU33</f>
        <v>-1.3953713901222353</v>
      </c>
      <c r="K18" s="58">
        <f>'[3]Chnages in rep.'!NV33</f>
        <v>-1.2306312977177769</v>
      </c>
      <c r="L18" s="58">
        <f>'[3]Chnages in rep.'!NW33</f>
        <v>-1.1420674181394252</v>
      </c>
      <c r="M18" s="58">
        <f>'[3]Chnages in rep.'!NX33</f>
        <v>-1.1123107239593311</v>
      </c>
      <c r="Q18" s="2" t="s">
        <v>33</v>
      </c>
      <c r="S18" s="4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J18" s="25"/>
    </row>
    <row r="19" spans="1:36" s="24" customFormat="1" ht="15" x14ac:dyDescent="0.2">
      <c r="A19" s="9" t="s">
        <v>34</v>
      </c>
      <c r="B19" s="58">
        <f>'[3]Chnages in rep.'!NM34</f>
        <v>-2.1125059516537426</v>
      </c>
      <c r="C19" s="58">
        <f>'[3]Chnages in rep.'!NN34</f>
        <v>-1.81106672276522</v>
      </c>
      <c r="D19" s="58">
        <f>'[3]Chnages in rep.'!NO34</f>
        <v>-2.1184051257077119</v>
      </c>
      <c r="E19" s="58">
        <f>'[3]Chnages in rep.'!NP34</f>
        <v>-3.980333177475126</v>
      </c>
      <c r="F19" s="58">
        <f>'[3]Chnages in rep.'!NQ34</f>
        <v>-2.7179987894597302</v>
      </c>
      <c r="G19" s="58">
        <f>'[3]Chnages in rep.'!NR34</f>
        <v>-2.5435854223619492</v>
      </c>
      <c r="H19" s="58">
        <f>'[3]Chnages in rep.'!NS34</f>
        <v>-0.22745675248364572</v>
      </c>
      <c r="I19" s="58">
        <f>'[3]Chnages in rep.'!NT34</f>
        <v>7.6522967357139926E-2</v>
      </c>
      <c r="J19" s="58">
        <f>'[3]Chnages in rep.'!NU34</f>
        <v>-0.73881812108828049</v>
      </c>
      <c r="K19" s="58">
        <f>'[3]Chnages in rep.'!NV34</f>
        <v>-0.63596929790261658</v>
      </c>
      <c r="L19" s="58">
        <f>'[3]Chnages in rep.'!NW34</f>
        <v>1.1896182322641113</v>
      </c>
      <c r="M19" s="58">
        <f>'[3]Chnages in rep.'!NX34</f>
        <v>0.89240599406616994</v>
      </c>
      <c r="Q19" s="10" t="s">
        <v>35</v>
      </c>
      <c r="S19" s="4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J19" s="25"/>
    </row>
    <row r="20" spans="1:36" s="24" customFormat="1" ht="15" x14ac:dyDescent="0.2">
      <c r="A20" s="7" t="s">
        <v>10</v>
      </c>
      <c r="B20" s="58">
        <f>'[3]Chnages in rep.'!NM35</f>
        <v>7.4471723047548233</v>
      </c>
      <c r="C20" s="58">
        <f>'[3]Chnages in rep.'!NN35</f>
        <v>7.4471723047548233</v>
      </c>
      <c r="D20" s="58">
        <f>'[3]Chnages in rep.'!NO35</f>
        <v>4.3985265425833919</v>
      </c>
      <c r="E20" s="58">
        <f>'[3]Chnages in rep.'!NP35</f>
        <v>4.3678010602832051</v>
      </c>
      <c r="F20" s="58">
        <f>'[3]Chnages in rep.'!NQ35</f>
        <v>4.3678010602832051</v>
      </c>
      <c r="G20" s="58">
        <f>'[3]Chnages in rep.'!NR35</f>
        <v>4.3678010602832051</v>
      </c>
      <c r="H20" s="58">
        <f>'[3]Chnages in rep.'!NS35</f>
        <v>4.3678010602832051</v>
      </c>
      <c r="I20" s="58">
        <f>'[3]Chnages in rep.'!NT35</f>
        <v>4.3678010602832051</v>
      </c>
      <c r="J20" s="58">
        <f>'[3]Chnages in rep.'!NU35</f>
        <v>4.3678010602832051</v>
      </c>
      <c r="K20" s="58">
        <f>'[3]Chnages in rep.'!NV35</f>
        <v>4.3678010602832051</v>
      </c>
      <c r="L20" s="58">
        <f>'[3]Chnages in rep.'!NW35</f>
        <v>4.3678010602832051</v>
      </c>
      <c r="M20" s="58">
        <f>'[3]Chnages in rep.'!NX35</f>
        <v>4.3678010602832051</v>
      </c>
      <c r="Q20" s="10" t="s">
        <v>11</v>
      </c>
      <c r="S20" s="4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J20" s="25"/>
    </row>
    <row r="21" spans="1:36" s="24" customFormat="1" ht="15" x14ac:dyDescent="0.2">
      <c r="A21" s="32" t="s">
        <v>36</v>
      </c>
      <c r="B21" s="58">
        <f>'[3]Chnages in rep.'!NM36</f>
        <v>0.33225160776206852</v>
      </c>
      <c r="C21" s="58">
        <f>'[3]Chnages in rep.'!NN36</f>
        <v>0.36800674001946643</v>
      </c>
      <c r="D21" s="58">
        <f>'[3]Chnages in rep.'!NO36</f>
        <v>0.9190073749306471</v>
      </c>
      <c r="E21" s="58">
        <f>'[3]Chnages in rep.'!NP36</f>
        <v>2.3209973678008256</v>
      </c>
      <c r="F21" s="58">
        <f>'[3]Chnages in rep.'!NQ36</f>
        <v>2.3156254024083278</v>
      </c>
      <c r="G21" s="58">
        <f>'[3]Chnages in rep.'!NR36</f>
        <v>2.4053371456538297</v>
      </c>
      <c r="H21" s="58">
        <f>'[3]Chnages in rep.'!NS36</f>
        <v>0.54646799490389864</v>
      </c>
      <c r="I21" s="58">
        <f>'[3]Chnages in rep.'!NT36</f>
        <v>0.55158465540270374</v>
      </c>
      <c r="J21" s="58">
        <f>'[3]Chnages in rep.'!NU36</f>
        <v>0.61116233273266207</v>
      </c>
      <c r="K21" s="58">
        <f>'[3]Chnages in rep.'!NV36</f>
        <v>3.4426983663847777</v>
      </c>
      <c r="L21" s="58">
        <f>'[3]Chnages in rep.'!NW36</f>
        <v>3.3896447340694857</v>
      </c>
      <c r="M21" s="58">
        <f>'[3]Chnages in rep.'!NX36</f>
        <v>3.481312817197324</v>
      </c>
      <c r="Q21" s="10" t="s">
        <v>37</v>
      </c>
      <c r="S21" s="4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J21" s="25"/>
    </row>
    <row r="22" spans="1:36" s="24" customFormat="1" ht="15" x14ac:dyDescent="0.2">
      <c r="A22" s="9" t="s">
        <v>38</v>
      </c>
      <c r="B22" s="58">
        <f>'[3]Chnages in rep.'!NM37</f>
        <v>-0.66258640220419052</v>
      </c>
      <c r="C22" s="58">
        <f>'[3]Chnages in rep.'!NN37</f>
        <v>-0.51484678422543118</v>
      </c>
      <c r="D22" s="58">
        <f>'[3]Chnages in rep.'!NO37</f>
        <v>-0.43983553831165034</v>
      </c>
      <c r="E22" s="58">
        <f>'[3]Chnages in rep.'!NP37</f>
        <v>-0.13734722135796407</v>
      </c>
      <c r="F22" s="58">
        <f>'[3]Chnages in rep.'!NQ37</f>
        <v>-0.36420507560900317</v>
      </c>
      <c r="G22" s="58">
        <f>'[3]Chnages in rep.'!NR37</f>
        <v>-0.59830735967095761</v>
      </c>
      <c r="H22" s="58">
        <f>'[3]Chnages in rep.'!NS37</f>
        <v>-0.2446753113229172</v>
      </c>
      <c r="I22" s="58">
        <f>'[3]Chnages in rep.'!NT37</f>
        <v>0.45161920744698492</v>
      </c>
      <c r="J22" s="58">
        <f>'[3]Chnages in rep.'!NU37</f>
        <v>-0.20109174662018559</v>
      </c>
      <c r="K22" s="58">
        <f>'[3]Chnages in rep.'!NV37</f>
        <v>-6.1870887414416931E-2</v>
      </c>
      <c r="L22" s="58">
        <f>'[3]Chnages in rep.'!NW37</f>
        <v>-0.53646230889334845</v>
      </c>
      <c r="M22" s="58">
        <f>'[3]Chnages in rep.'!NX37</f>
        <v>7.7367702077602019E-2</v>
      </c>
      <c r="Q22" s="10" t="s">
        <v>61</v>
      </c>
      <c r="S22" s="4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J22" s="25"/>
    </row>
    <row r="23" spans="1:36" s="21" customFormat="1" ht="15" x14ac:dyDescent="0.2">
      <c r="A23" s="11" t="s">
        <v>58</v>
      </c>
      <c r="B23" s="59">
        <f>'[3]Chnages in rep.'!NM21</f>
        <v>1.0407081213698044</v>
      </c>
      <c r="C23" s="59">
        <f>'[3]Chnages in rep.'!NN21</f>
        <v>1.1364771380392158</v>
      </c>
      <c r="D23" s="59">
        <f>'[3]Chnages in rep.'!NO21</f>
        <v>0.66900523456510097</v>
      </c>
      <c r="E23" s="59">
        <f>'[3]Chnages in rep.'!NP21</f>
        <v>-0.18380611745640874</v>
      </c>
      <c r="F23" s="59">
        <f>'[3]Chnages in rep.'!NQ21</f>
        <v>-0.15582000573073351</v>
      </c>
      <c r="G23" s="59">
        <f>'[3]Chnages in rep.'!NR21</f>
        <v>-0.76683599519887791</v>
      </c>
      <c r="H23" s="59">
        <f>'[3]Chnages in rep.'!NS21</f>
        <v>-0.38391995634919907</v>
      </c>
      <c r="I23" s="59">
        <f>'[3]Chnages in rep.'!NT21</f>
        <v>-0.62903020584658131</v>
      </c>
      <c r="J23" s="59">
        <f>'[3]Chnages in rep.'!NU21</f>
        <v>-0.21052298212775877</v>
      </c>
      <c r="K23" s="59">
        <f>'[3]Chnages in rep.'!NV21</f>
        <v>1.7128634706690793</v>
      </c>
      <c r="L23" s="59">
        <f>'[3]Chnages in rep.'!NW21</f>
        <v>1.4991691607198154</v>
      </c>
      <c r="M23" s="59">
        <f>'[3]Chnages in rep.'!NX21</f>
        <v>2.3177221684353322</v>
      </c>
      <c r="Q23" s="13" t="s">
        <v>12</v>
      </c>
      <c r="S23" s="4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J23" s="34"/>
    </row>
    <row r="24" spans="1:36" s="24" customFormat="1" ht="15" x14ac:dyDescent="0.2">
      <c r="A24" s="64" t="s">
        <v>59</v>
      </c>
      <c r="B24" s="60">
        <f>'[3]Chnages in rep.'!NM22</f>
        <v>1.2891299409984125</v>
      </c>
      <c r="C24" s="60">
        <f>'[3]Chnages in rep.'!NN22</f>
        <v>0.85515915737082171</v>
      </c>
      <c r="D24" s="60">
        <f>'[3]Chnages in rep.'!NO22</f>
        <v>0.61664583240774729</v>
      </c>
      <c r="E24" s="60">
        <f>'[3]Chnages in rep.'!NP22</f>
        <v>6.7657638310336665E-2</v>
      </c>
      <c r="F24" s="60">
        <f>'[3]Chnages in rep.'!NQ22</f>
        <v>-0.15429242486257877</v>
      </c>
      <c r="G24" s="60">
        <f>'[3]Chnages in rep.'!NR22</f>
        <v>-0.58043219147346781</v>
      </c>
      <c r="H24" s="60">
        <f>'[3]Chnages in rep.'!NS22</f>
        <v>-0.26053511947616848</v>
      </c>
      <c r="I24" s="60">
        <f>'[3]Chnages in rep.'!NT22</f>
        <v>-0.1287740500586998</v>
      </c>
      <c r="J24" s="60">
        <f>'[3]Chnages in rep.'!NU22</f>
        <v>-0.22478224572117789</v>
      </c>
      <c r="K24" s="60">
        <f>'[3]Chnages in rep.'!NV22</f>
        <v>1.9341751996716061</v>
      </c>
      <c r="L24" s="60">
        <f>'[3]Chnages in rep.'!NW22</f>
        <v>2.3190509171566065</v>
      </c>
      <c r="M24" s="60">
        <f>'[3]Chnages in rep.'!NX22</f>
        <v>2.6579968255169728</v>
      </c>
      <c r="N24" s="29"/>
      <c r="O24" s="29"/>
      <c r="P24" s="29"/>
      <c r="Q24" s="14" t="s">
        <v>46</v>
      </c>
      <c r="S24" s="4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J24" s="25"/>
    </row>
    <row r="25" spans="1:36" s="24" customFormat="1" ht="15" x14ac:dyDescent="0.2">
      <c r="A25" s="55"/>
      <c r="B25" s="35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31"/>
      <c r="O25" s="31"/>
      <c r="P25" s="31"/>
      <c r="Q25" s="36"/>
      <c r="AJ25" s="25"/>
    </row>
    <row r="26" spans="1:36" s="24" customFormat="1" ht="15" x14ac:dyDescent="0.2">
      <c r="A26" s="37"/>
      <c r="C26" s="25"/>
      <c r="D26" s="25"/>
      <c r="Q26" s="38"/>
      <c r="AJ26" s="25"/>
    </row>
    <row r="27" spans="1:36" s="24" customFormat="1" ht="15" x14ac:dyDescent="0.2">
      <c r="A27" s="51"/>
      <c r="B27" s="18" t="s">
        <v>68</v>
      </c>
      <c r="C27" s="39"/>
      <c r="D27" s="39"/>
      <c r="E27" s="20"/>
      <c r="F27" s="20"/>
      <c r="G27" s="22"/>
      <c r="H27" s="23"/>
      <c r="I27" s="23"/>
      <c r="J27" s="23"/>
      <c r="K27" s="23"/>
      <c r="L27" s="23"/>
      <c r="M27" s="22"/>
      <c r="N27" s="51"/>
      <c r="O27" s="51"/>
      <c r="P27" s="51"/>
      <c r="Q27" s="52" t="s">
        <v>16</v>
      </c>
      <c r="AJ27" s="25"/>
    </row>
    <row r="28" spans="1:36" s="24" customFormat="1" ht="19.5" customHeight="1" x14ac:dyDescent="0.2">
      <c r="A28" s="26" t="s">
        <v>6</v>
      </c>
      <c r="B28" s="27" t="s">
        <v>53</v>
      </c>
      <c r="C28" s="27" t="s">
        <v>52</v>
      </c>
      <c r="D28" s="27" t="s">
        <v>0</v>
      </c>
      <c r="E28" s="27" t="s">
        <v>13</v>
      </c>
      <c r="F28" s="27" t="s">
        <v>14</v>
      </c>
      <c r="G28" s="1" t="s">
        <v>1</v>
      </c>
      <c r="H28" s="1" t="s">
        <v>15</v>
      </c>
      <c r="I28" s="1" t="s">
        <v>51</v>
      </c>
      <c r="J28" s="1" t="s">
        <v>69</v>
      </c>
      <c r="K28" s="1" t="s">
        <v>70</v>
      </c>
      <c r="L28" s="1" t="s">
        <v>71</v>
      </c>
      <c r="M28" s="1" t="s">
        <v>72</v>
      </c>
      <c r="N28" s="31"/>
      <c r="O28" s="31"/>
      <c r="P28" s="31"/>
      <c r="Q28" s="13" t="s">
        <v>41</v>
      </c>
      <c r="AJ28" s="25"/>
    </row>
    <row r="29" spans="1:36" s="24" customFormat="1" ht="15" x14ac:dyDescent="0.2">
      <c r="A29" s="40" t="s">
        <v>40</v>
      </c>
      <c r="B29" s="16" t="s">
        <v>17</v>
      </c>
      <c r="C29" s="15" t="s">
        <v>18</v>
      </c>
      <c r="D29" s="15" t="s">
        <v>2</v>
      </c>
      <c r="E29" s="15" t="s">
        <v>19</v>
      </c>
      <c r="F29" s="15" t="s">
        <v>20</v>
      </c>
      <c r="G29" s="15" t="s">
        <v>3</v>
      </c>
      <c r="H29" s="15" t="s">
        <v>21</v>
      </c>
      <c r="I29" s="15" t="s">
        <v>22</v>
      </c>
      <c r="J29" s="15" t="s">
        <v>4</v>
      </c>
      <c r="K29" s="15" t="s">
        <v>23</v>
      </c>
      <c r="L29" s="15" t="s">
        <v>24</v>
      </c>
      <c r="M29" s="15" t="s">
        <v>5</v>
      </c>
      <c r="N29" s="29"/>
      <c r="O29" s="29"/>
      <c r="P29" s="29"/>
      <c r="Q29" s="30"/>
      <c r="AJ29" s="25"/>
    </row>
    <row r="30" spans="1:36" s="24" customFormat="1" ht="15" x14ac:dyDescent="0.2">
      <c r="A30" s="6" t="s">
        <v>47</v>
      </c>
      <c r="B30" s="56">
        <f>'[3]Male , month on month &amp; monthly'!NN23</f>
        <v>0.34998179623477732</v>
      </c>
      <c r="C30" s="56">
        <f>'[3]Male , month on month &amp; monthly'!NO23</f>
        <v>1.371673747790636</v>
      </c>
      <c r="D30" s="56">
        <f>'[3]Male , month on month &amp; monthly'!NP23</f>
        <v>2.266569220214798</v>
      </c>
      <c r="E30" s="56">
        <f>'[3]Male , month on month &amp; monthly'!NQ23</f>
        <v>-0.13957575245264753</v>
      </c>
      <c r="F30" s="56">
        <f>'[3]Male , month on month &amp; monthly'!NR23</f>
        <v>-1.5572897104954464</v>
      </c>
      <c r="G30" s="56">
        <f>'[3]Male , month on month &amp; monthly'!NS23</f>
        <v>-4.3636167569769064</v>
      </c>
      <c r="H30" s="56">
        <f>'[3]Male , month on month &amp; monthly'!NT23</f>
        <v>-3.3775729248074371</v>
      </c>
      <c r="I30" s="56">
        <f>'[3]Male , month on month &amp; monthly'!NU23</f>
        <v>-5.3057917660620184</v>
      </c>
      <c r="J30" s="56">
        <f>'[3]Male , month on month &amp; monthly'!NV23</f>
        <v>-2.2292929306872211</v>
      </c>
      <c r="K30" s="56">
        <f>'[3]Male , month on month &amp; monthly'!NW23</f>
        <v>-5.6852234823845382E-2</v>
      </c>
      <c r="L30" s="56">
        <f>'[3]Male , month on month &amp; monthly'!NX23</f>
        <v>-1.443937483950708</v>
      </c>
      <c r="M30" s="56">
        <f>'[3]Male , month on month &amp; monthly'!NY23</f>
        <v>1.0666055633329785</v>
      </c>
      <c r="N30" s="31"/>
      <c r="O30" s="31"/>
      <c r="P30" s="31"/>
      <c r="Q30" s="2" t="s">
        <v>49</v>
      </c>
      <c r="AJ30" s="25"/>
    </row>
    <row r="31" spans="1:36" s="24" customFormat="1" ht="15" x14ac:dyDescent="0.2">
      <c r="A31" s="6" t="s">
        <v>48</v>
      </c>
      <c r="B31" s="56">
        <f>'[3]Male , month on month &amp; monthly'!NN24</f>
        <v>2.0358679770629884</v>
      </c>
      <c r="C31" s="56">
        <f>'[3]Male , month on month &amp; monthly'!NO24</f>
        <v>1.2082892535370426</v>
      </c>
      <c r="D31" s="56">
        <f>'[3]Male , month on month &amp; monthly'!NP24</f>
        <v>0.20872840701640083</v>
      </c>
      <c r="E31" s="56">
        <f>'[3]Male , month on month &amp; monthly'!NQ24</f>
        <v>1.200848219000461</v>
      </c>
      <c r="F31" s="56">
        <f>'[3]Male , month on month &amp; monthly'!NR24</f>
        <v>-1.3567031070003344</v>
      </c>
      <c r="G31" s="56">
        <f>'[3]Male , month on month &amp; monthly'!NS24</f>
        <v>-2.7189819800269355</v>
      </c>
      <c r="H31" s="56">
        <f>'[3]Male , month on month &amp; monthly'!NT24</f>
        <v>-1.640635271671953</v>
      </c>
      <c r="I31" s="56">
        <f>'[3]Male , month on month &amp; monthly'!NU24</f>
        <v>-1.6158958335364626</v>
      </c>
      <c r="J31" s="56">
        <f>'[3]Male , month on month &amp; monthly'!NV24</f>
        <v>-2.1579584837267074</v>
      </c>
      <c r="K31" s="56">
        <f>'[3]Male , month on month &amp; monthly'!NW24</f>
        <v>2.9507582348382355</v>
      </c>
      <c r="L31" s="56">
        <f>'[3]Male , month on month &amp; monthly'!NX24</f>
        <v>4.0532908273634316</v>
      </c>
      <c r="M31" s="56">
        <f>'[3]Male , month on month &amp; monthly'!NY24</f>
        <v>3.9409165923526279</v>
      </c>
      <c r="Q31" s="2" t="s">
        <v>50</v>
      </c>
      <c r="AJ31" s="25"/>
    </row>
    <row r="32" spans="1:36" s="24" customFormat="1" ht="15" x14ac:dyDescent="0.2">
      <c r="A32" s="7" t="s">
        <v>7</v>
      </c>
      <c r="B32" s="56">
        <f>'[3]Male , month on month &amp; monthly'!NN25</f>
        <v>-3.1514449054591553</v>
      </c>
      <c r="C32" s="56">
        <f>'[3]Male , month on month &amp; monthly'!NO25</f>
        <v>1.7231198615047738</v>
      </c>
      <c r="D32" s="56">
        <f>'[3]Male , month on month &amp; monthly'!NP25</f>
        <v>7.0549545834774463</v>
      </c>
      <c r="E32" s="56">
        <f>'[3]Male , month on month &amp; monthly'!NQ25</f>
        <v>-2.9148099225256296</v>
      </c>
      <c r="F32" s="56">
        <f>'[3]Male , month on month &amp; monthly'!NR25</f>
        <v>-1.9896840469814103</v>
      </c>
      <c r="G32" s="56">
        <f>'[3]Male , month on month &amp; monthly'!NS25</f>
        <v>-7.8797773322393683</v>
      </c>
      <c r="H32" s="56">
        <f>'[3]Male , month on month &amp; monthly'!NT25</f>
        <v>-7.0162243615465858</v>
      </c>
      <c r="I32" s="56">
        <f>'[3]Male , month on month &amp; monthly'!NU25</f>
        <v>-13.089320865490938</v>
      </c>
      <c r="J32" s="56">
        <f>'[3]Male , month on month &amp; monthly'!NV25</f>
        <v>-2.3873131065760278</v>
      </c>
      <c r="K32" s="56">
        <f>'[3]Male , month on month &amp; monthly'!NW25</f>
        <v>-6.719606306216896</v>
      </c>
      <c r="L32" s="56">
        <f>'[3]Male , month on month &amp; monthly'!NX25</f>
        <v>-12.689990294347087</v>
      </c>
      <c r="M32" s="56">
        <f>'[3]Male , month on month &amp; monthly'!NY25</f>
        <v>-5.2063481588663034</v>
      </c>
      <c r="Q32" s="2" t="s">
        <v>8</v>
      </c>
      <c r="AJ32" s="25"/>
    </row>
    <row r="33" spans="1:36" s="24" customFormat="1" ht="15" x14ac:dyDescent="0.2">
      <c r="A33" s="32" t="s">
        <v>44</v>
      </c>
      <c r="B33" s="56">
        <f>'[3]Male , month on month &amp; monthly'!NN26</f>
        <v>14.187992529974846</v>
      </c>
      <c r="C33" s="56">
        <f>'[3]Male , month on month &amp; monthly'!NO26</f>
        <v>14.469257725805029</v>
      </c>
      <c r="D33" s="56">
        <f>'[3]Male , month on month &amp; monthly'!NP26</f>
        <v>15.391867146084138</v>
      </c>
      <c r="E33" s="56">
        <f>'[3]Male , month on month &amp; monthly'!NQ26</f>
        <v>-1.161243843668669</v>
      </c>
      <c r="F33" s="56">
        <f>'[3]Male , month on month &amp; monthly'!NR26</f>
        <v>-0.69402665045159573</v>
      </c>
      <c r="G33" s="56">
        <f>'[3]Male , month on month &amp; monthly'!NS26</f>
        <v>-0.89230896140645166</v>
      </c>
      <c r="H33" s="56">
        <f>'[3]Male , month on month &amp; monthly'!NT26</f>
        <v>-0.65691991931294824</v>
      </c>
      <c r="I33" s="56">
        <f>'[3]Male , month on month &amp; monthly'!NU26</f>
        <v>-0.59535092462412731</v>
      </c>
      <c r="J33" s="56">
        <f>'[3]Male , month on month &amp; monthly'!NV26</f>
        <v>-1.5553259380439055</v>
      </c>
      <c r="K33" s="56">
        <f>'[3]Male , month on month &amp; monthly'!NW26</f>
        <v>-0.68722875460982547</v>
      </c>
      <c r="L33" s="56">
        <f>'[3]Male , month on month &amp; monthly'!NX26</f>
        <v>-0.42375446275647599</v>
      </c>
      <c r="M33" s="56">
        <f>'[3]Male , month on month &amp; monthly'!NY26</f>
        <v>0.68654458115964268</v>
      </c>
      <c r="Q33" s="2" t="s">
        <v>25</v>
      </c>
      <c r="AJ33" s="25"/>
    </row>
    <row r="34" spans="1:36" s="24" customFormat="1" ht="15" x14ac:dyDescent="0.2">
      <c r="A34" s="7" t="s">
        <v>9</v>
      </c>
      <c r="B34" s="56">
        <f>'[3]Male , month on month &amp; monthly'!NN27</f>
        <v>-2.3146918239613901</v>
      </c>
      <c r="C34" s="56">
        <f>'[3]Male , month on month &amp; monthly'!NO27</f>
        <v>-0.75016898518832642</v>
      </c>
      <c r="D34" s="56">
        <f>'[3]Male , month on month &amp; monthly'!NP27</f>
        <v>-0.68802612975132904</v>
      </c>
      <c r="E34" s="56">
        <f>'[3]Male , month on month &amp; monthly'!NQ27</f>
        <v>-0.79372502173176152</v>
      </c>
      <c r="F34" s="56">
        <f>'[3]Male , month on month &amp; monthly'!NR27</f>
        <v>-1.8012283893113934</v>
      </c>
      <c r="G34" s="56">
        <f>'[3]Male , month on month &amp; monthly'!NS27</f>
        <v>-1.5125749057529392</v>
      </c>
      <c r="H34" s="56">
        <f>'[3]Male , month on month &amp; monthly'!NT27</f>
        <v>-1.2979565183079522</v>
      </c>
      <c r="I34" s="56">
        <f>'[3]Male , month on month &amp; monthly'!NU27</f>
        <v>0.50641943834615066</v>
      </c>
      <c r="J34" s="56">
        <f>'[3]Male , month on month &amp; monthly'!NV27</f>
        <v>-0.71413177673349537</v>
      </c>
      <c r="K34" s="56">
        <f>'[3]Male , month on month &amp; monthly'!NW27</f>
        <v>-0.56434282150633619</v>
      </c>
      <c r="L34" s="56">
        <f>'[3]Male , month on month &amp; monthly'!NX27</f>
        <v>-2.658557157906305E-2</v>
      </c>
      <c r="M34" s="56">
        <f>'[3]Male , month on month &amp; monthly'!NY27</f>
        <v>3.7718839263778392E-2</v>
      </c>
      <c r="Q34" s="2" t="s">
        <v>26</v>
      </c>
      <c r="AJ34" s="25"/>
    </row>
    <row r="35" spans="1:36" s="24" customFormat="1" ht="15" x14ac:dyDescent="0.2">
      <c r="A35" s="7" t="s">
        <v>56</v>
      </c>
      <c r="B35" s="56">
        <f>'[3]Male , month on month &amp; monthly'!NN28</f>
        <v>2.5297486905170974</v>
      </c>
      <c r="C35" s="56">
        <f>'[3]Male , month on month &amp; monthly'!NO28</f>
        <v>2.1503135897100512</v>
      </c>
      <c r="D35" s="56">
        <f>'[3]Male , month on month &amp; monthly'!NP28</f>
        <v>1.9753754861893347</v>
      </c>
      <c r="E35" s="56">
        <f>'[3]Male , month on month &amp; monthly'!NQ28</f>
        <v>1.7343089437680703</v>
      </c>
      <c r="F35" s="56">
        <f>'[3]Male , month on month &amp; monthly'!NR28</f>
        <v>1.7320604557676811</v>
      </c>
      <c r="G35" s="56">
        <f>'[3]Male , month on month &amp; monthly'!NS28</f>
        <v>1.7292142744919969</v>
      </c>
      <c r="H35" s="56">
        <f>'[3]Male , month on month &amp; monthly'!NT28</f>
        <v>1.6519624291769563</v>
      </c>
      <c r="I35" s="56">
        <f>'[3]Male , month on month &amp; monthly'!NU28</f>
        <v>1.6020286345336254</v>
      </c>
      <c r="J35" s="56">
        <f>'[3]Male , month on month &amp; monthly'!NV28</f>
        <v>1.7027433580779849</v>
      </c>
      <c r="K35" s="56">
        <f>'[3]Male , month on month &amp; monthly'!NW28</f>
        <v>2.0682924734766628</v>
      </c>
      <c r="L35" s="56">
        <f>'[3]Male , month on month &amp; monthly'!NX28</f>
        <v>2.4001176331297502</v>
      </c>
      <c r="M35" s="56">
        <f>'[3]Male , month on month &amp; monthly'!NY28</f>
        <v>2.4579638129168302</v>
      </c>
      <c r="Q35" s="2" t="s">
        <v>27</v>
      </c>
      <c r="AJ35" s="25"/>
    </row>
    <row r="36" spans="1:36" s="24" customFormat="1" ht="15" x14ac:dyDescent="0.2">
      <c r="A36" s="7" t="s">
        <v>57</v>
      </c>
      <c r="B36" s="56">
        <f>'[3]Male , month on month &amp; monthly'!NN29</f>
        <v>3.4976008024103944</v>
      </c>
      <c r="C36" s="56">
        <f>'[3]Male , month on month &amp; monthly'!NO29</f>
        <v>3.8041992394768354</v>
      </c>
      <c r="D36" s="56">
        <f>'[3]Male , month on month &amp; monthly'!NP29</f>
        <v>3.8481848432043941</v>
      </c>
      <c r="E36" s="56">
        <f>'[3]Male , month on month &amp; monthly'!NQ29</f>
        <v>3.7971192112137953</v>
      </c>
      <c r="F36" s="56">
        <f>'[3]Male , month on month &amp; monthly'!NR29</f>
        <v>3.7813257471203787</v>
      </c>
      <c r="G36" s="56">
        <f>'[3]Male , month on month &amp; monthly'!NS29</f>
        <v>3.9124702241004616</v>
      </c>
      <c r="H36" s="56">
        <f>'[3]Male , month on month &amp; monthly'!NT29</f>
        <v>3.7956175636433054</v>
      </c>
      <c r="I36" s="56">
        <f>'[3]Male , month on month &amp; monthly'!NU29</f>
        <v>3.6917852057367639</v>
      </c>
      <c r="J36" s="56">
        <f>'[3]Male , month on month &amp; monthly'!NV29</f>
        <v>3.8059029672047551</v>
      </c>
      <c r="K36" s="56">
        <f>'[3]Male , month on month &amp; monthly'!NW29</f>
        <v>3.9339353187406445</v>
      </c>
      <c r="L36" s="56">
        <f>'[3]Male , month on month &amp; monthly'!NX29</f>
        <v>4.3405186836216414</v>
      </c>
      <c r="M36" s="56">
        <f>'[3]Male , month on month &amp; monthly'!NY29</f>
        <v>4.2740679377212709</v>
      </c>
      <c r="Q36" s="33" t="s">
        <v>60</v>
      </c>
      <c r="AJ36" s="25"/>
    </row>
    <row r="37" spans="1:36" s="24" customFormat="1" ht="25.5" x14ac:dyDescent="0.2">
      <c r="A37" s="6" t="s">
        <v>43</v>
      </c>
      <c r="B37" s="56">
        <f>'[3]Male , month on month &amp; monthly'!NN30</f>
        <v>1.0568512614087755</v>
      </c>
      <c r="C37" s="56">
        <f>'[3]Male , month on month &amp; monthly'!NO30</f>
        <v>-1.5285306096842421</v>
      </c>
      <c r="D37" s="56">
        <f>'[3]Male , month on month &amp; monthly'!NP30</f>
        <v>-0.99623127159516045</v>
      </c>
      <c r="E37" s="56">
        <f>'[3]Male , month on month &amp; monthly'!NQ30</f>
        <v>-2.2790926643533105</v>
      </c>
      <c r="F37" s="56">
        <f>'[3]Male , month on month &amp; monthly'!NR30</f>
        <v>5.6323136686645014</v>
      </c>
      <c r="G37" s="56">
        <f>'[3]Male , month on month &amp; monthly'!NS30</f>
        <v>0.82744472237752387</v>
      </c>
      <c r="H37" s="56">
        <f>'[3]Male , month on month &amp; monthly'!NT30</f>
        <v>2.3202507519442861</v>
      </c>
      <c r="I37" s="56">
        <f>'[3]Male , month on month &amp; monthly'!NU30</f>
        <v>0.95007327845733069</v>
      </c>
      <c r="J37" s="56">
        <f>'[3]Male , month on month &amp; monthly'!NV30</f>
        <v>1.9348131507484378</v>
      </c>
      <c r="K37" s="56">
        <f>'[3]Male , month on month &amp; monthly'!NW30</f>
        <v>3.3479648165707143</v>
      </c>
      <c r="L37" s="56">
        <f>'[3]Male , month on month &amp; monthly'!NX30</f>
        <v>4.4308082350083433</v>
      </c>
      <c r="M37" s="56">
        <f>'[3]Male , month on month &amp; monthly'!NY30</f>
        <v>4.7627151082483499</v>
      </c>
      <c r="Q37" s="2" t="s">
        <v>45</v>
      </c>
      <c r="AJ37" s="25"/>
    </row>
    <row r="38" spans="1:36" s="24" customFormat="1" ht="15" x14ac:dyDescent="0.2">
      <c r="A38" s="8" t="s">
        <v>28</v>
      </c>
      <c r="B38" s="56">
        <f>'[3]Male , month on month &amp; monthly'!NN31</f>
        <v>2.0273152744505252</v>
      </c>
      <c r="C38" s="56">
        <f>'[3]Male , month on month &amp; monthly'!NO31</f>
        <v>0.42763260030480588</v>
      </c>
      <c r="D38" s="56">
        <f>'[3]Male , month on month &amp; monthly'!NP31</f>
        <v>0.69786063448449287</v>
      </c>
      <c r="E38" s="56">
        <f>'[3]Male , month on month &amp; monthly'!NQ31</f>
        <v>0.8467192450241301</v>
      </c>
      <c r="F38" s="56">
        <f>'[3]Male , month on month &amp; monthly'!NR31</f>
        <v>0.86056179502476127</v>
      </c>
      <c r="G38" s="56">
        <f>'[3]Male , month on month &amp; monthly'!NS31</f>
        <v>0.83000218704638584</v>
      </c>
      <c r="H38" s="56">
        <f>'[3]Male , month on month &amp; monthly'!NT31</f>
        <v>0.86447550893447023</v>
      </c>
      <c r="I38" s="56">
        <f>'[3]Male , month on month &amp; monthly'!NU31</f>
        <v>1.0633664917290675</v>
      </c>
      <c r="J38" s="56">
        <f>'[3]Male , month on month &amp; monthly'!NV31</f>
        <v>1.1418132550484517</v>
      </c>
      <c r="K38" s="56">
        <f>'[3]Male , month on month &amp; monthly'!NW31</f>
        <v>0.97442747518661221</v>
      </c>
      <c r="L38" s="56">
        <f>'[3]Male , month on month &amp; monthly'!NX31</f>
        <v>0.92235674934157963</v>
      </c>
      <c r="M38" s="56">
        <f>'[3]Male , month on month &amp; monthly'!NY31</f>
        <v>1.2015899592304757</v>
      </c>
      <c r="Q38" s="2" t="s">
        <v>29</v>
      </c>
      <c r="AJ38" s="25"/>
    </row>
    <row r="39" spans="1:36" s="24" customFormat="1" ht="15" x14ac:dyDescent="0.2">
      <c r="A39" s="8" t="s">
        <v>30</v>
      </c>
      <c r="B39" s="56">
        <f>'[3]Male , month on month &amp; monthly'!NN32</f>
        <v>1.9756220007652203</v>
      </c>
      <c r="C39" s="56">
        <f>'[3]Male , month on month &amp; monthly'!NO32</f>
        <v>1.9358513277575096</v>
      </c>
      <c r="D39" s="56">
        <f>'[3]Male , month on month &amp; monthly'!NP32</f>
        <v>7.1755568294173955E-2</v>
      </c>
      <c r="E39" s="56">
        <f>'[3]Male , month on month &amp; monthly'!NQ32</f>
        <v>-0.98175015262205179</v>
      </c>
      <c r="F39" s="56">
        <f>'[3]Male , month on month &amp; monthly'!NR32</f>
        <v>-0.12404541104130695</v>
      </c>
      <c r="G39" s="56">
        <f>'[3]Male , month on month &amp; monthly'!NS32</f>
        <v>-0.42497331285917817</v>
      </c>
      <c r="H39" s="56">
        <f>'[3]Male , month on month &amp; monthly'!NT32</f>
        <v>-0.64929735055679894</v>
      </c>
      <c r="I39" s="56">
        <f>'[3]Male , month on month &amp; monthly'!NU32</f>
        <v>-0.45618970330626452</v>
      </c>
      <c r="J39" s="56">
        <f>'[3]Male , month on month &amp; monthly'!NV32</f>
        <v>-0.20472709969463487</v>
      </c>
      <c r="K39" s="56">
        <f>'[3]Male , month on month &amp; monthly'!NW32</f>
        <v>0.19510540850700142</v>
      </c>
      <c r="L39" s="56">
        <f>'[3]Male , month on month &amp; monthly'!NX32</f>
        <v>0.13593539040992475</v>
      </c>
      <c r="M39" s="56">
        <f>'[3]Male , month on month &amp; monthly'!NY32</f>
        <v>-0.20172836119816129</v>
      </c>
      <c r="Q39" s="2" t="s">
        <v>31</v>
      </c>
      <c r="AJ39" s="25"/>
    </row>
    <row r="40" spans="1:36" s="24" customFormat="1" ht="15" x14ac:dyDescent="0.2">
      <c r="A40" s="8" t="s">
        <v>32</v>
      </c>
      <c r="B40" s="56">
        <f>'[3]Male , month on month &amp; monthly'!NN33</f>
        <v>-1.0967786633067966</v>
      </c>
      <c r="C40" s="56">
        <f>'[3]Male , month on month &amp; monthly'!NO33</f>
        <v>-1.1617124472712126</v>
      </c>
      <c r="D40" s="56">
        <f>'[3]Male , month on month &amp; monthly'!NP33</f>
        <v>-0.95184685041470596</v>
      </c>
      <c r="E40" s="56">
        <f>'[3]Male , month on month &amp; monthly'!NQ33</f>
        <v>-0.39065343488735582</v>
      </c>
      <c r="F40" s="56">
        <f>'[3]Male , month on month &amp; monthly'!NR33</f>
        <v>-0.39065343488735582</v>
      </c>
      <c r="G40" s="56">
        <f>'[3]Male , month on month &amp; monthly'!NS33</f>
        <v>-0.39065343488735582</v>
      </c>
      <c r="H40" s="56">
        <f>'[3]Male , month on month &amp; monthly'!NT33</f>
        <v>-0.39065343488735582</v>
      </c>
      <c r="I40" s="56">
        <f>'[3]Male , month on month &amp; monthly'!NU33</f>
        <v>-0.39065343488735582</v>
      </c>
      <c r="J40" s="56">
        <f>'[3]Male , month on month &amp; monthly'!NV33</f>
        <v>-0.260781208138261</v>
      </c>
      <c r="K40" s="56">
        <f>'[3]Male , month on month &amp; monthly'!NW33</f>
        <v>-0.260781208138261</v>
      </c>
      <c r="L40" s="56">
        <f>'[3]Male , month on month &amp; monthly'!NX33</f>
        <v>-6.5653861509062938E-2</v>
      </c>
      <c r="M40" s="56">
        <f>'[3]Male , month on month &amp; monthly'!NY33</f>
        <v>2.2204460492503131E-14</v>
      </c>
      <c r="Q40" s="2" t="s">
        <v>33</v>
      </c>
      <c r="AJ40" s="25"/>
    </row>
    <row r="41" spans="1:36" s="24" customFormat="1" ht="15" x14ac:dyDescent="0.2">
      <c r="A41" s="9" t="s">
        <v>34</v>
      </c>
      <c r="B41" s="56">
        <f>'[3]Male , month on month &amp; monthly'!NN34</f>
        <v>-2.2206961844982165</v>
      </c>
      <c r="C41" s="56">
        <f>'[3]Male , month on month &amp; monthly'!NO34</f>
        <v>-1.9640595835077823</v>
      </c>
      <c r="D41" s="56">
        <f>'[3]Male , month on month &amp; monthly'!NP34</f>
        <v>-2.5172757918549005</v>
      </c>
      <c r="E41" s="56">
        <f>'[3]Male , month on month &amp; monthly'!NQ34</f>
        <v>-2.7756049155992502</v>
      </c>
      <c r="F41" s="56">
        <f>'[3]Male , month on month &amp; monthly'!NR34</f>
        <v>-1.471873304985194</v>
      </c>
      <c r="G41" s="56">
        <f>'[3]Male , month on month &amp; monthly'!NS34</f>
        <v>-1.0012243849914948</v>
      </c>
      <c r="H41" s="56">
        <f>'[3]Male , month on month &amp; monthly'!NT34</f>
        <v>0.70308006797472622</v>
      </c>
      <c r="I41" s="56">
        <f>'[3]Male , month on month &amp; monthly'!NU34</f>
        <v>0.65921801582065065</v>
      </c>
      <c r="J41" s="56">
        <f>'[3]Male , month on month &amp; monthly'!NV34</f>
        <v>-9.8758046980362835E-2</v>
      </c>
      <c r="K41" s="56">
        <f>'[3]Male , month on month &amp; monthly'!NW34</f>
        <v>0.22182491632927182</v>
      </c>
      <c r="L41" s="56">
        <f>'[3]Male , month on month &amp; monthly'!NX34</f>
        <v>1.9268423291345149</v>
      </c>
      <c r="M41" s="56">
        <f>'[3]Male , month on month &amp; monthly'!NY34</f>
        <v>1.573761278177277</v>
      </c>
      <c r="Q41" s="10" t="s">
        <v>35</v>
      </c>
      <c r="AJ41" s="25"/>
    </row>
    <row r="42" spans="1:36" s="24" customFormat="1" ht="15" x14ac:dyDescent="0.2">
      <c r="A42" s="7" t="s">
        <v>10</v>
      </c>
      <c r="B42" s="56">
        <f>'[3]Male , month on month &amp; monthly'!NN35</f>
        <v>6.9712298192002198</v>
      </c>
      <c r="C42" s="56">
        <f>'[3]Male , month on month &amp; monthly'!NO35</f>
        <v>6.9712298192002198</v>
      </c>
      <c r="D42" s="56">
        <f>'[3]Male , month on month &amp; monthly'!NP35</f>
        <v>6.9712298192002198</v>
      </c>
      <c r="E42" s="56">
        <f>'[3]Male , month on month &amp; monthly'!NQ35</f>
        <v>6.9712298192002198</v>
      </c>
      <c r="F42" s="56">
        <f>'[3]Male , month on month &amp; monthly'!NR35</f>
        <v>6.9712298192002198</v>
      </c>
      <c r="G42" s="56">
        <f>'[3]Male , month on month &amp; monthly'!NS35</f>
        <v>6.9712298192002198</v>
      </c>
      <c r="H42" s="56">
        <f>'[3]Male , month on month &amp; monthly'!NT35</f>
        <v>6.9712298192002198</v>
      </c>
      <c r="I42" s="56">
        <f>'[3]Male , month on month &amp; monthly'!NU35</f>
        <v>6.9712298192002198</v>
      </c>
      <c r="J42" s="56">
        <f>'[3]Male , month on month &amp; monthly'!NV35</f>
        <v>6.9712298192002198</v>
      </c>
      <c r="K42" s="56">
        <f>'[3]Male , month on month &amp; monthly'!NW35</f>
        <v>6.9712298192002198</v>
      </c>
      <c r="L42" s="56">
        <f>'[3]Male , month on month &amp; monthly'!NX35</f>
        <v>6.9712298192002198</v>
      </c>
      <c r="M42" s="56">
        <f>'[3]Male , month on month &amp; monthly'!NY35</f>
        <v>6.9712298192002198</v>
      </c>
      <c r="Q42" s="10" t="s">
        <v>11</v>
      </c>
      <c r="AJ42" s="25"/>
    </row>
    <row r="43" spans="1:36" s="24" customFormat="1" ht="15" x14ac:dyDescent="0.2">
      <c r="A43" s="32" t="s">
        <v>36</v>
      </c>
      <c r="B43" s="56">
        <f>'[3]Male , month on month &amp; monthly'!NN36</f>
        <v>0.89728121883532186</v>
      </c>
      <c r="C43" s="56">
        <f>'[3]Male , month on month &amp; monthly'!NO36</f>
        <v>0.95269112279969814</v>
      </c>
      <c r="D43" s="56">
        <f>'[3]Male , month on month &amp; monthly'!NP36</f>
        <v>0.95269112279969814</v>
      </c>
      <c r="E43" s="56">
        <f>'[3]Male , month on month &amp; monthly'!NQ36</f>
        <v>3.2188146236119763</v>
      </c>
      <c r="F43" s="56">
        <f>'[3]Male , month on month &amp; monthly'!NR36</f>
        <v>3.2188146236119763</v>
      </c>
      <c r="G43" s="56">
        <f>'[3]Male , month on month &amp; monthly'!NS36</f>
        <v>3.3572460916380109</v>
      </c>
      <c r="H43" s="56">
        <f>'[3]Male , month on month &amp; monthly'!NT36</f>
        <v>0.5482207949958795</v>
      </c>
      <c r="I43" s="56">
        <f>'[3]Male , month on month &amp; monthly'!NU36</f>
        <v>0.55464154851698755</v>
      </c>
      <c r="J43" s="56">
        <f>'[3]Male , month on month &amp; monthly'!NV36</f>
        <v>0.55928158218783164</v>
      </c>
      <c r="K43" s="56">
        <f>'[3]Male , month on month &amp; monthly'!NW36</f>
        <v>1.0724637020378847</v>
      </c>
      <c r="L43" s="56">
        <f>'[3]Male , month on month &amp; monthly'!NX36</f>
        <v>0.99074795398454985</v>
      </c>
      <c r="M43" s="56">
        <f>'[3]Male , month on month &amp; monthly'!NY36</f>
        <v>1.1311996537561431</v>
      </c>
      <c r="Q43" s="10" t="s">
        <v>37</v>
      </c>
      <c r="AJ43" s="25"/>
    </row>
    <row r="44" spans="1:36" s="24" customFormat="1" ht="15" x14ac:dyDescent="0.2">
      <c r="A44" s="9" t="s">
        <v>38</v>
      </c>
      <c r="B44" s="56">
        <f>'[3]Male , month on month &amp; monthly'!NN37</f>
        <v>-1.2092949728356728</v>
      </c>
      <c r="C44" s="56">
        <f>'[3]Male , month on month &amp; monthly'!NO37</f>
        <v>-0.49272365425835352</v>
      </c>
      <c r="D44" s="56">
        <f>'[3]Male , month on month &amp; monthly'!NP37</f>
        <v>-0.66854857989658845</v>
      </c>
      <c r="E44" s="56">
        <f>'[3]Male , month on month &amp; monthly'!NQ37</f>
        <v>-0.32997962670846537</v>
      </c>
      <c r="F44" s="56">
        <f>'[3]Male , month on month &amp; monthly'!NR37</f>
        <v>-0.46398083389088685</v>
      </c>
      <c r="G44" s="56">
        <f>'[3]Male , month on month &amp; monthly'!NS37</f>
        <v>-0.84419757726591493</v>
      </c>
      <c r="H44" s="56">
        <f>'[3]Male , month on month &amp; monthly'!NT37</f>
        <v>-0.58740516948373456</v>
      </c>
      <c r="I44" s="56">
        <f>'[3]Male , month on month &amp; monthly'!NU37</f>
        <v>4.2892559918938922E-2</v>
      </c>
      <c r="J44" s="56">
        <f>'[3]Male , month on month &amp; monthly'!NV37</f>
        <v>-0.41021704529983216</v>
      </c>
      <c r="K44" s="56">
        <f>'[3]Male , month on month &amp; monthly'!NW37</f>
        <v>-0.20352723042984522</v>
      </c>
      <c r="L44" s="56">
        <f>'[3]Male , month on month &amp; monthly'!NX37</f>
        <v>-0.71118268370573556</v>
      </c>
      <c r="M44" s="56">
        <f>'[3]Male , month on month &amp; monthly'!NY37</f>
        <v>0.43371747273153183</v>
      </c>
      <c r="Q44" s="10" t="s">
        <v>61</v>
      </c>
      <c r="AJ44" s="25"/>
    </row>
    <row r="45" spans="1:36" s="24" customFormat="1" ht="15" x14ac:dyDescent="0.2">
      <c r="A45" s="41" t="s">
        <v>58</v>
      </c>
      <c r="B45" s="57">
        <f>'[3]Male , month on month &amp; monthly'!NN21</f>
        <v>1.3652171624402021</v>
      </c>
      <c r="C45" s="57">
        <f>'[3]Male , month on month &amp; monthly'!NO21</f>
        <v>1.349653655417038</v>
      </c>
      <c r="D45" s="57">
        <f>'[3]Male , month on month &amp; monthly'!NP21</f>
        <v>1.4395346104989271</v>
      </c>
      <c r="E45" s="57">
        <f>'[3]Male , month on month &amp; monthly'!NQ21</f>
        <v>0.60160649209577421</v>
      </c>
      <c r="F45" s="57">
        <f>'[3]Male , month on month &amp; monthly'!NR21</f>
        <v>0.82201042472549446</v>
      </c>
      <c r="G45" s="57">
        <f>'[3]Male , month on month &amp; monthly'!NS21</f>
        <v>-0.1706778152251287</v>
      </c>
      <c r="H45" s="57">
        <f>'[3]Male , month on month &amp; monthly'!NT21</f>
        <v>9.2189949097631896E-2</v>
      </c>
      <c r="I45" s="57">
        <f>'[3]Male , month on month &amp; monthly'!NU21</f>
        <v>-0.36722627317347101</v>
      </c>
      <c r="J45" s="57">
        <f>'[3]Male , month on month &amp; monthly'!NV21</f>
        <v>0.39042711789760709</v>
      </c>
      <c r="K45" s="57">
        <f>'[3]Male , month on month &amp; monthly'!NW21</f>
        <v>1.2025995861927985</v>
      </c>
      <c r="L45" s="57">
        <f>'[3]Male , month on month &amp; monthly'!NX21</f>
        <v>1.0963335089493542</v>
      </c>
      <c r="M45" s="57">
        <f>'[3]Male , month on month &amp; monthly'!NY21</f>
        <v>1.8253800545742438</v>
      </c>
      <c r="Q45" s="13" t="s">
        <v>12</v>
      </c>
      <c r="AJ45" s="25"/>
    </row>
    <row r="46" spans="1:36" s="24" customFormat="1" ht="15" x14ac:dyDescent="0.2">
      <c r="A46" s="64" t="s">
        <v>59</v>
      </c>
      <c r="B46" s="65">
        <f>'[3]Male , month on month &amp; monthly'!NN22</f>
        <v>1.7438920196336083</v>
      </c>
      <c r="C46" s="65">
        <f>'[3]Male , month on month &amp; monthly'!NO22</f>
        <v>1.319395882667429</v>
      </c>
      <c r="D46" s="65">
        <f>'[3]Male , month on month &amp; monthly'!NP22</f>
        <v>1.0203288422549139</v>
      </c>
      <c r="E46" s="65">
        <f>'[3]Male , month on month &amp; monthly'!NQ22</f>
        <v>0.89216728805956436</v>
      </c>
      <c r="F46" s="65">
        <f>'[3]Male , month on month &amp; monthly'!NR22</f>
        <v>1.0513316523627747</v>
      </c>
      <c r="G46" s="65">
        <f>'[3]Male , month on month &amp; monthly'!NS22</f>
        <v>0.47261624960852622</v>
      </c>
      <c r="H46" s="65">
        <f>'[3]Male , month on month &amp; monthly'!NT22</f>
        <v>0.68822873905087789</v>
      </c>
      <c r="I46" s="65">
        <f>'[3]Male , month on month &amp; monthly'!NU22</f>
        <v>0.69654795580003093</v>
      </c>
      <c r="J46" s="65">
        <f>'[3]Male , month on month &amp; monthly'!NV22</f>
        <v>0.61292963407411083</v>
      </c>
      <c r="K46" s="65">
        <f>'[3]Male , month on month &amp; monthly'!NW22</f>
        <v>1.8402740364868109</v>
      </c>
      <c r="L46" s="65">
        <f>'[3]Male , month on month &amp; monthly'!NX22</f>
        <v>2.2846580471039823</v>
      </c>
      <c r="M46" s="65">
        <f>'[3]Male , month on month &amp; monthly'!NY22</f>
        <v>2.3927577453209947</v>
      </c>
      <c r="N46" s="29"/>
      <c r="O46" s="29"/>
      <c r="P46" s="29"/>
      <c r="Q46" s="14" t="s">
        <v>46</v>
      </c>
      <c r="AJ46" s="25"/>
    </row>
    <row r="47" spans="1:36" s="24" customFormat="1" ht="15" x14ac:dyDescent="0.2">
      <c r="A47" s="55"/>
      <c r="B47" s="35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31"/>
      <c r="O47" s="31"/>
      <c r="P47" s="31"/>
      <c r="Q47" s="36"/>
      <c r="AJ47" s="25"/>
    </row>
    <row r="48" spans="1:36" s="24" customFormat="1" ht="15" x14ac:dyDescent="0.2">
      <c r="A48" s="37"/>
      <c r="C48" s="25"/>
      <c r="D48" s="25"/>
      <c r="Q48" s="38"/>
      <c r="AJ48" s="25"/>
    </row>
    <row r="49" spans="1:36" s="24" customFormat="1" ht="15" x14ac:dyDescent="0.2">
      <c r="A49" s="51"/>
      <c r="B49" s="18" t="s">
        <v>68</v>
      </c>
      <c r="C49" s="39"/>
      <c r="D49" s="39"/>
      <c r="E49" s="20"/>
      <c r="F49" s="20"/>
      <c r="G49" s="22"/>
      <c r="H49" s="23"/>
      <c r="I49" s="23"/>
      <c r="J49" s="23"/>
      <c r="K49" s="23"/>
      <c r="L49" s="23"/>
      <c r="M49" s="22"/>
      <c r="N49" s="51"/>
      <c r="O49" s="51"/>
      <c r="P49" s="51"/>
      <c r="Q49" s="52" t="s">
        <v>16</v>
      </c>
      <c r="AJ49" s="25"/>
    </row>
    <row r="50" spans="1:36" s="24" customFormat="1" ht="20.25" customHeight="1" x14ac:dyDescent="0.2">
      <c r="A50" s="26" t="s">
        <v>6</v>
      </c>
      <c r="B50" s="27" t="s">
        <v>53</v>
      </c>
      <c r="C50" s="27" t="s">
        <v>52</v>
      </c>
      <c r="D50" s="27" t="s">
        <v>0</v>
      </c>
      <c r="E50" s="27" t="s">
        <v>13</v>
      </c>
      <c r="F50" s="27" t="s">
        <v>14</v>
      </c>
      <c r="G50" s="1" t="s">
        <v>1</v>
      </c>
      <c r="H50" s="1" t="s">
        <v>15</v>
      </c>
      <c r="I50" s="1" t="s">
        <v>51</v>
      </c>
      <c r="J50" s="1" t="s">
        <v>69</v>
      </c>
      <c r="K50" s="1" t="s">
        <v>70</v>
      </c>
      <c r="L50" s="1" t="s">
        <v>71</v>
      </c>
      <c r="M50" s="1" t="s">
        <v>72</v>
      </c>
      <c r="N50" s="31"/>
      <c r="O50" s="31"/>
      <c r="P50" s="31"/>
      <c r="Q50" s="13" t="s">
        <v>63</v>
      </c>
      <c r="AJ50" s="25"/>
    </row>
    <row r="51" spans="1:36" s="24" customFormat="1" ht="15" x14ac:dyDescent="0.2">
      <c r="A51" s="40" t="s">
        <v>42</v>
      </c>
      <c r="B51" s="16" t="s">
        <v>17</v>
      </c>
      <c r="C51" s="15" t="s">
        <v>18</v>
      </c>
      <c r="D51" s="15" t="s">
        <v>2</v>
      </c>
      <c r="E51" s="15" t="s">
        <v>19</v>
      </c>
      <c r="F51" s="15" t="s">
        <v>20</v>
      </c>
      <c r="G51" s="15" t="s">
        <v>3</v>
      </c>
      <c r="H51" s="15" t="s">
        <v>21</v>
      </c>
      <c r="I51" s="15" t="s">
        <v>22</v>
      </c>
      <c r="J51" s="15" t="s">
        <v>4</v>
      </c>
      <c r="K51" s="15" t="s">
        <v>23</v>
      </c>
      <c r="L51" s="15" t="s">
        <v>24</v>
      </c>
      <c r="M51" s="15" t="s">
        <v>5</v>
      </c>
      <c r="N51" s="29"/>
      <c r="O51" s="29"/>
      <c r="P51" s="29"/>
      <c r="Q51" s="30"/>
      <c r="AJ51" s="25"/>
    </row>
    <row r="52" spans="1:36" s="24" customFormat="1" ht="15" x14ac:dyDescent="0.2">
      <c r="A52" s="6" t="s">
        <v>47</v>
      </c>
      <c r="B52" s="63">
        <f>'[3]Atolls month on month'!NN23</f>
        <v>0.43283075869691157</v>
      </c>
      <c r="C52" s="63">
        <f>'[3]Atolls month on month'!NO23</f>
        <v>2.7574206689468195</v>
      </c>
      <c r="D52" s="63">
        <f>'[3]Atolls month on month'!NP23</f>
        <v>-6.8356369190902821E-2</v>
      </c>
      <c r="E52" s="63">
        <f>'[3]Atolls month on month'!NQ23</f>
        <v>-0.25172889358694439</v>
      </c>
      <c r="F52" s="63">
        <f>'[3]Atolls month on month'!NR23</f>
        <v>-1.0032714493750317</v>
      </c>
      <c r="G52" s="63">
        <f>'[3]Atolls month on month'!NS23</f>
        <v>-1.1023413315268904</v>
      </c>
      <c r="H52" s="63">
        <f>'[3]Atolls month on month'!NT23</f>
        <v>-0.31068210018427855</v>
      </c>
      <c r="I52" s="63">
        <f>'[3]Atolls month on month'!NU23</f>
        <v>-1.0323405089426085</v>
      </c>
      <c r="J52" s="63">
        <f>'[3]Atolls month on month'!NV23</f>
        <v>-0.35781272814660037</v>
      </c>
      <c r="K52" s="63">
        <f>'[3]Atolls month on month'!NW23</f>
        <v>7.4476837064532342</v>
      </c>
      <c r="L52" s="63">
        <f>'[3]Atolls month on month'!NX23</f>
        <v>5.6370111109398602</v>
      </c>
      <c r="M52" s="63">
        <f>'[3]Atolls month on month'!NY23</f>
        <v>7.9498708417503616</v>
      </c>
      <c r="N52" s="31"/>
      <c r="O52" s="31"/>
      <c r="P52" s="31"/>
      <c r="Q52" s="2" t="s">
        <v>49</v>
      </c>
      <c r="AJ52" s="25"/>
    </row>
    <row r="53" spans="1:36" s="24" customFormat="1" ht="15" x14ac:dyDescent="0.2">
      <c r="A53" s="6" t="s">
        <v>48</v>
      </c>
      <c r="B53" s="58">
        <f>'[3]Atolls month on month'!NN24</f>
        <v>0.80389086127887754</v>
      </c>
      <c r="C53" s="58">
        <f>'[3]Atolls month on month'!NO24</f>
        <v>1.4977336493456006</v>
      </c>
      <c r="D53" s="58">
        <f>'[3]Atolls month on month'!NP24</f>
        <v>0.91299324919589253</v>
      </c>
      <c r="E53" s="58">
        <f>'[3]Atolls month on month'!NQ24</f>
        <v>0.82015024986021867</v>
      </c>
      <c r="F53" s="58">
        <f>'[3]Atolls month on month'!NR24</f>
        <v>-1.8608380994984186</v>
      </c>
      <c r="G53" s="58">
        <f>'[3]Atolls month on month'!NS24</f>
        <v>-1.9258077924770078</v>
      </c>
      <c r="H53" s="58">
        <f>'[3]Atolls month on month'!NT24</f>
        <v>-1.3050720568148266</v>
      </c>
      <c r="I53" s="58">
        <f>'[3]Atolls month on month'!NU24</f>
        <v>-1.1221716198451137</v>
      </c>
      <c r="J53" s="58">
        <f>'[3]Atolls month on month'!NV24</f>
        <v>-1.1237645369754357</v>
      </c>
      <c r="K53" s="58">
        <f>'[3]Atolls month on month'!NW24</f>
        <v>8.9864028149942765</v>
      </c>
      <c r="L53" s="58">
        <f>'[3]Atolls month on month'!NX24</f>
        <v>9.1609270815178778</v>
      </c>
      <c r="M53" s="58">
        <f>'[3]Atolls month on month'!NY24</f>
        <v>10.648990948171132</v>
      </c>
      <c r="Q53" s="2" t="s">
        <v>50</v>
      </c>
      <c r="AJ53" s="25"/>
    </row>
    <row r="54" spans="1:36" s="24" customFormat="1" ht="15" x14ac:dyDescent="0.2">
      <c r="A54" s="7" t="s">
        <v>7</v>
      </c>
      <c r="B54" s="58">
        <f>'[3]Atolls month on month'!NN25</f>
        <v>-0.47491575925012741</v>
      </c>
      <c r="C54" s="58">
        <f>'[3]Atolls month on month'!NO25</f>
        <v>5.7164763537350005</v>
      </c>
      <c r="D54" s="58">
        <f>'[3]Atolls month on month'!NP25</f>
        <v>-2.3413535859423851</v>
      </c>
      <c r="E54" s="58">
        <f>'[3]Atolls month on month'!NQ25</f>
        <v>-2.7508269340948521</v>
      </c>
      <c r="F54" s="58">
        <f>'[3]Atolls month on month'!NR25</f>
        <v>1.0777990421590777</v>
      </c>
      <c r="G54" s="58">
        <f>'[3]Atolls month on month'!NS25</f>
        <v>0.88907129040283195</v>
      </c>
      <c r="H54" s="58">
        <f>'[3]Atolls month on month'!NT25</f>
        <v>2.1453251947425755</v>
      </c>
      <c r="I54" s="58">
        <f>'[3]Atolls month on month'!NU25</f>
        <v>-0.81226628078919783</v>
      </c>
      <c r="J54" s="58">
        <f>'[3]Atolls month on month'!NV25</f>
        <v>1.551212692828341</v>
      </c>
      <c r="K54" s="58">
        <f>'[3]Atolls month on month'!NW25</f>
        <v>3.5418902650922401</v>
      </c>
      <c r="L54" s="58">
        <f>'[3]Atolls month on month'!NX25</f>
        <v>-2.8405949860585533</v>
      </c>
      <c r="M54" s="58">
        <f>'[3]Atolls month on month'!NY25</f>
        <v>1.3278329107706544</v>
      </c>
      <c r="Q54" s="2" t="s">
        <v>8</v>
      </c>
      <c r="AJ54" s="25"/>
    </row>
    <row r="55" spans="1:36" s="24" customFormat="1" ht="15" x14ac:dyDescent="0.2">
      <c r="A55" s="32" t="s">
        <v>44</v>
      </c>
      <c r="B55" s="58">
        <f>'[3]Atolls month on month'!NN26</f>
        <v>16.947209124000118</v>
      </c>
      <c r="C55" s="58">
        <f>'[3]Atolls month on month'!NO26</f>
        <v>17.000894235146347</v>
      </c>
      <c r="D55" s="58">
        <f>'[3]Atolls month on month'!NP26</f>
        <v>17.212913326214462</v>
      </c>
      <c r="E55" s="58">
        <f>'[3]Atolls month on month'!NQ26</f>
        <v>2.8166890554208956</v>
      </c>
      <c r="F55" s="58">
        <f>'[3]Atolls month on month'!NR26</f>
        <v>0.2248188481311697</v>
      </c>
      <c r="G55" s="58">
        <f>'[3]Atolls month on month'!NS26</f>
        <v>-0.29565052875685227</v>
      </c>
      <c r="H55" s="58">
        <f>'[3]Atolls month on month'!NT26</f>
        <v>-0.37646745043535823</v>
      </c>
      <c r="I55" s="58">
        <f>'[3]Atolls month on month'!NU26</f>
        <v>1.2244385338797903</v>
      </c>
      <c r="J55" s="58">
        <f>'[3]Atolls month on month'!NV26</f>
        <v>1.7716880539635271</v>
      </c>
      <c r="K55" s="58">
        <f>'[3]Atolls month on month'!NW26</f>
        <v>0.99972534162375837</v>
      </c>
      <c r="L55" s="58">
        <f>'[3]Atolls month on month'!NX26</f>
        <v>0.8924084993207293</v>
      </c>
      <c r="M55" s="58">
        <f>'[3]Atolls month on month'!NY26</f>
        <v>0.35769880439830981</v>
      </c>
      <c r="Q55" s="2" t="s">
        <v>25</v>
      </c>
      <c r="AJ55" s="25"/>
    </row>
    <row r="56" spans="1:36" s="24" customFormat="1" ht="15" x14ac:dyDescent="0.2">
      <c r="A56" s="7" t="s">
        <v>9</v>
      </c>
      <c r="B56" s="58">
        <f>'[3]Atolls month on month'!NN27</f>
        <v>-1.0085205101389327</v>
      </c>
      <c r="C56" s="58">
        <f>'[3]Atolls month on month'!NO27</f>
        <v>-0.64573822082869548</v>
      </c>
      <c r="D56" s="58">
        <f>'[3]Atolls month on month'!NP27</f>
        <v>-0.42598277936415352</v>
      </c>
      <c r="E56" s="58">
        <f>'[3]Atolls month on month'!NQ27</f>
        <v>-0.57861495726629908</v>
      </c>
      <c r="F56" s="58">
        <f>'[3]Atolls month on month'!NR27</f>
        <v>0.15233732286883406</v>
      </c>
      <c r="G56" s="58">
        <f>'[3]Atolls month on month'!NS27</f>
        <v>0.50497220986736036</v>
      </c>
      <c r="H56" s="58">
        <f>'[3]Atolls month on month'!NT27</f>
        <v>0.69884543870581961</v>
      </c>
      <c r="I56" s="58">
        <f>'[3]Atolls month on month'!NU27</f>
        <v>-0.66063763482802074</v>
      </c>
      <c r="J56" s="58">
        <f>'[3]Atolls month on month'!NV27</f>
        <v>-0.49778618293172539</v>
      </c>
      <c r="K56" s="58">
        <f>'[3]Atolls month on month'!NW27</f>
        <v>-0.54738839297807651</v>
      </c>
      <c r="L56" s="58">
        <f>'[3]Atolls month on month'!NX27</f>
        <v>-0.64571830668752606</v>
      </c>
      <c r="M56" s="58">
        <f>'[3]Atolls month on month'!NY27</f>
        <v>-0.56882252148534596</v>
      </c>
      <c r="Q56" s="2" t="s">
        <v>26</v>
      </c>
      <c r="AJ56" s="25"/>
    </row>
    <row r="57" spans="1:36" s="24" customFormat="1" ht="15" x14ac:dyDescent="0.2">
      <c r="A57" s="7" t="s">
        <v>56</v>
      </c>
      <c r="B57" s="58">
        <f>'[3]Atolls month on month'!NN28</f>
        <v>-0.76381405247478718</v>
      </c>
      <c r="C57" s="58">
        <f>'[3]Atolls month on month'!NO28</f>
        <v>-3.5327002149856956</v>
      </c>
      <c r="D57" s="58">
        <f>'[3]Atolls month on month'!NP28</f>
        <v>-3.0192449454869319</v>
      </c>
      <c r="E57" s="58">
        <f>'[3]Atolls month on month'!NQ28</f>
        <v>-3.7080289593067084</v>
      </c>
      <c r="F57" s="58">
        <f>'[3]Atolls month on month'!NR28</f>
        <v>-3.8537270293431347</v>
      </c>
      <c r="G57" s="58">
        <f>'[3]Atolls month on month'!NS28</f>
        <v>-3.8945061205539755</v>
      </c>
      <c r="H57" s="58">
        <f>'[3]Atolls month on month'!NT28</f>
        <v>-3.8155905730688167</v>
      </c>
      <c r="I57" s="58">
        <f>'[3]Atolls month on month'!NU28</f>
        <v>-3.1954591511747177</v>
      </c>
      <c r="J57" s="58">
        <f>'[3]Atolls month on month'!NV28</f>
        <v>-3.2064153893197389</v>
      </c>
      <c r="K57" s="58">
        <f>'[3]Atolls month on month'!NW28</f>
        <v>-3.1553729351622373</v>
      </c>
      <c r="L57" s="58">
        <f>'[3]Atolls month on month'!NX28</f>
        <v>-2.9482173373332032</v>
      </c>
      <c r="M57" s="58">
        <f>'[3]Atolls month on month'!NY28</f>
        <v>-2.0969501630573983</v>
      </c>
      <c r="Q57" s="2" t="s">
        <v>27</v>
      </c>
      <c r="AJ57" s="25"/>
    </row>
    <row r="58" spans="1:36" s="24" customFormat="1" ht="15" x14ac:dyDescent="0.2">
      <c r="A58" s="7" t="s">
        <v>57</v>
      </c>
      <c r="B58" s="58">
        <f>'[3]Atolls month on month'!NN29</f>
        <v>-12.076150280203235</v>
      </c>
      <c r="C58" s="58">
        <f>'[3]Atolls month on month'!NO29</f>
        <v>-12.076150280203235</v>
      </c>
      <c r="D58" s="58">
        <f>'[3]Atolls month on month'!NP29</f>
        <v>0</v>
      </c>
      <c r="E58" s="58">
        <f>'[3]Atolls month on month'!NQ29</f>
        <v>0</v>
      </c>
      <c r="F58" s="58">
        <f>'[3]Atolls month on month'!NR29</f>
        <v>0</v>
      </c>
      <c r="G58" s="58">
        <f>'[3]Atolls month on month'!NS29</f>
        <v>0</v>
      </c>
      <c r="H58" s="58">
        <f>'[3]Atolls month on month'!NT29</f>
        <v>0</v>
      </c>
      <c r="I58" s="58">
        <f>'[3]Atolls month on month'!NU29</f>
        <v>8.9799215374819283</v>
      </c>
      <c r="J58" s="58">
        <f>'[3]Atolls month on month'!NV29</f>
        <v>8.9799215374819283</v>
      </c>
      <c r="K58" s="58">
        <f>'[3]Atolls month on month'!NW29</f>
        <v>8.9799215374819283</v>
      </c>
      <c r="L58" s="58">
        <f>'[3]Atolls month on month'!NX29</f>
        <v>8.9799215374819283</v>
      </c>
      <c r="M58" s="58">
        <f>'[3]Atolls month on month'!NY29</f>
        <v>8.9799215374819283</v>
      </c>
      <c r="Q58" s="33" t="s">
        <v>60</v>
      </c>
      <c r="AJ58" s="25"/>
    </row>
    <row r="59" spans="1:36" s="24" customFormat="1" ht="25.5" x14ac:dyDescent="0.2">
      <c r="A59" s="6" t="s">
        <v>43</v>
      </c>
      <c r="B59" s="58">
        <f>'[3]Atolls month on month'!NN30</f>
        <v>-0.73671709552740605</v>
      </c>
      <c r="C59" s="58">
        <f>'[3]Atolls month on month'!NO30</f>
        <v>-1.1772792757072215</v>
      </c>
      <c r="D59" s="58">
        <f>'[3]Atolls month on month'!NP30</f>
        <v>-1.0392565774937856</v>
      </c>
      <c r="E59" s="58">
        <f>'[3]Atolls month on month'!NQ30</f>
        <v>-1.9771770158927948</v>
      </c>
      <c r="F59" s="58">
        <f>'[3]Atolls month on month'!NR30</f>
        <v>5.2613149547009463E-2</v>
      </c>
      <c r="G59" s="58">
        <f>'[3]Atolls month on month'!NS30</f>
        <v>-3.0914624058497875E-2</v>
      </c>
      <c r="H59" s="58">
        <f>'[3]Atolls month on month'!NT30</f>
        <v>0.42297158370256938</v>
      </c>
      <c r="I59" s="58">
        <f>'[3]Atolls month on month'!NU30</f>
        <v>0.84663213491926737</v>
      </c>
      <c r="J59" s="58">
        <f>'[3]Atolls month on month'!NV30</f>
        <v>1.3668992491321141</v>
      </c>
      <c r="K59" s="58">
        <f>'[3]Atolls month on month'!NW30</f>
        <v>2.1627009908467665</v>
      </c>
      <c r="L59" s="58">
        <f>'[3]Atolls month on month'!NX30</f>
        <v>2.478029254769365</v>
      </c>
      <c r="M59" s="58">
        <f>'[3]Atolls month on month'!NY30</f>
        <v>3.0200074215911643</v>
      </c>
      <c r="Q59" s="2" t="s">
        <v>45</v>
      </c>
      <c r="AJ59" s="25"/>
    </row>
    <row r="60" spans="1:36" s="24" customFormat="1" ht="15" x14ac:dyDescent="0.2">
      <c r="A60" s="8" t="s">
        <v>28</v>
      </c>
      <c r="B60" s="58">
        <f>'[3]Atolls month on month'!NN31</f>
        <v>4.3591654012054226</v>
      </c>
      <c r="C60" s="58">
        <f>'[3]Atolls month on month'!NO31</f>
        <v>3.1065997762336428</v>
      </c>
      <c r="D60" s="58">
        <f>'[3]Atolls month on month'!NP31</f>
        <v>3.4759019277600833</v>
      </c>
      <c r="E60" s="58">
        <f>'[3]Atolls month on month'!NQ31</f>
        <v>3.7038577717594334</v>
      </c>
      <c r="F60" s="58">
        <f>'[3]Atolls month on month'!NR31</f>
        <v>3.805699481239988</v>
      </c>
      <c r="G60" s="58">
        <f>'[3]Atolls month on month'!NS31</f>
        <v>1.6587309559402019</v>
      </c>
      <c r="H60" s="58">
        <f>'[3]Atolls month on month'!NT31</f>
        <v>1.6484388731841992</v>
      </c>
      <c r="I60" s="58">
        <f>'[3]Atolls month on month'!NU31</f>
        <v>1.2039928301570413</v>
      </c>
      <c r="J60" s="58">
        <f>'[3]Atolls month on month'!NV31</f>
        <v>0.83471535341197445</v>
      </c>
      <c r="K60" s="58">
        <f>'[3]Atolls month on month'!NW31</f>
        <v>0.6488513049842437</v>
      </c>
      <c r="L60" s="58">
        <f>'[3]Atolls month on month'!NX31</f>
        <v>0.67506397611452051</v>
      </c>
      <c r="M60" s="58">
        <f>'[3]Atolls month on month'!NY31</f>
        <v>0.84366993256201894</v>
      </c>
      <c r="Q60" s="2" t="s">
        <v>29</v>
      </c>
      <c r="AJ60" s="25"/>
    </row>
    <row r="61" spans="1:36" s="24" customFormat="1" ht="15" x14ac:dyDescent="0.2">
      <c r="A61" s="8" t="s">
        <v>30</v>
      </c>
      <c r="B61" s="58">
        <f>'[3]Atolls month on month'!NN32</f>
        <v>-1.0634260093263626</v>
      </c>
      <c r="C61" s="58">
        <f>'[3]Atolls month on month'!NO32</f>
        <v>-1.5197765412919395</v>
      </c>
      <c r="D61" s="58">
        <f>'[3]Atolls month on month'!NP32</f>
        <v>-2.8286693916920513</v>
      </c>
      <c r="E61" s="58">
        <f>'[3]Atolls month on month'!NQ32</f>
        <v>-3.6720693705301066</v>
      </c>
      <c r="F61" s="58">
        <f>'[3]Atolls month on month'!NR32</f>
        <v>-4.3055290286512671</v>
      </c>
      <c r="G61" s="58">
        <f>'[3]Atolls month on month'!NS32</f>
        <v>-4.8337526365817336</v>
      </c>
      <c r="H61" s="58">
        <f>'[3]Atolls month on month'!NT32</f>
        <v>-5.0643877361809313</v>
      </c>
      <c r="I61" s="58">
        <f>'[3]Atolls month on month'!NU32</f>
        <v>-4.8738238537467948</v>
      </c>
      <c r="J61" s="58">
        <f>'[3]Atolls month on month'!NV32</f>
        <v>-4.625749407834034</v>
      </c>
      <c r="K61" s="58">
        <f>'[3]Atolls month on month'!NW32</f>
        <v>-2.1187187710962063</v>
      </c>
      <c r="L61" s="58">
        <f>'[3]Atolls month on month'!NX32</f>
        <v>0.47716243646034329</v>
      </c>
      <c r="M61" s="58">
        <f>'[3]Atolls month on month'!NY32</f>
        <v>0.34972514976738811</v>
      </c>
      <c r="Q61" s="2" t="s">
        <v>31</v>
      </c>
      <c r="AJ61" s="25"/>
    </row>
    <row r="62" spans="1:36" s="24" customFormat="1" ht="15" x14ac:dyDescent="0.2">
      <c r="A62" s="8" t="s">
        <v>32</v>
      </c>
      <c r="B62" s="58">
        <f>'[3]Atolls month on month'!NN33</f>
        <v>6.1591763958412926E-2</v>
      </c>
      <c r="C62" s="58">
        <f>'[3]Atolls month on month'!NO33</f>
        <v>8.1259546861955911E-2</v>
      </c>
      <c r="D62" s="58">
        <f>'[3]Atolls month on month'!NP33</f>
        <v>0.25271783925113755</v>
      </c>
      <c r="E62" s="58">
        <f>'[3]Atolls month on month'!NQ33</f>
        <v>0.1651920173250554</v>
      </c>
      <c r="F62" s="58">
        <f>'[3]Atolls month on month'!NR33</f>
        <v>-0.4797110694958362</v>
      </c>
      <c r="G62" s="58">
        <f>'[3]Atolls month on month'!NS33</f>
        <v>-1.1064093234343431</v>
      </c>
      <c r="H62" s="58">
        <f>'[3]Atolls month on month'!NT33</f>
        <v>-1.1064093234343431</v>
      </c>
      <c r="I62" s="58">
        <f>'[3]Atolls month on month'!NU33</f>
        <v>-1.3141873789539127</v>
      </c>
      <c r="J62" s="58">
        <f>'[3]Atolls month on month'!NV33</f>
        <v>-2.3572904348315937</v>
      </c>
      <c r="K62" s="58">
        <f>'[3]Atolls month on month'!NW33</f>
        <v>-2.0528817335961347</v>
      </c>
      <c r="L62" s="58">
        <f>'[3]Atolls month on month'!NX33</f>
        <v>-2.0528817335961347</v>
      </c>
      <c r="M62" s="58">
        <f>'[3]Atolls month on month'!NY33</f>
        <v>-2.0528817335961347</v>
      </c>
      <c r="Q62" s="2" t="s">
        <v>33</v>
      </c>
      <c r="AJ62" s="25"/>
    </row>
    <row r="63" spans="1:36" s="24" customFormat="1" ht="15" x14ac:dyDescent="0.2">
      <c r="A63" s="9" t="s">
        <v>34</v>
      </c>
      <c r="B63" s="58">
        <f>'[3]Atolls month on month'!NN34</f>
        <v>-2.054767451174766</v>
      </c>
      <c r="C63" s="58">
        <f>'[3]Atolls month on month'!NO34</f>
        <v>-1.7293230919416813</v>
      </c>
      <c r="D63" s="58">
        <f>'[3]Atolls month on month'!NP34</f>
        <v>-1.9062876303746368</v>
      </c>
      <c r="E63" s="58">
        <f>'[3]Atolls month on month'!NQ34</f>
        <v>-4.6204012961824077</v>
      </c>
      <c r="F63" s="58">
        <f>'[3]Atolls month on month'!NR34</f>
        <v>-3.3797288038189821</v>
      </c>
      <c r="G63" s="58">
        <f>'[3]Atolls month on month'!NS34</f>
        <v>-3.3582927465502954</v>
      </c>
      <c r="H63" s="58">
        <f>'[3]Atolls month on month'!NT34</f>
        <v>-0.72077711660829547</v>
      </c>
      <c r="I63" s="58">
        <f>'[3]Atolls month on month'!NU34</f>
        <v>-0.23343410165674872</v>
      </c>
      <c r="J63" s="58">
        <f>'[3]Atolls month on month'!NV34</f>
        <v>-1.0794210838857343</v>
      </c>
      <c r="K63" s="58">
        <f>'[3]Atolls month on month'!NW34</f>
        <v>-1.0909042459328444</v>
      </c>
      <c r="L63" s="58">
        <f>'[3]Atolls month on month'!NX34</f>
        <v>0.79776260910293662</v>
      </c>
      <c r="M63" s="58">
        <f>'[3]Atolls month on month'!NY34</f>
        <v>0.52989360864597046</v>
      </c>
      <c r="Q63" s="10" t="s">
        <v>35</v>
      </c>
      <c r="AJ63" s="25"/>
    </row>
    <row r="64" spans="1:36" s="24" customFormat="1" ht="15" x14ac:dyDescent="0.2">
      <c r="A64" s="7" t="s">
        <v>10</v>
      </c>
      <c r="B64" s="58">
        <f>'[3]Atolls month on month'!NN35</f>
        <v>8.1280824363031847</v>
      </c>
      <c r="C64" s="58">
        <f>'[3]Atolls month on month'!NO35</f>
        <v>8.1280824363031847</v>
      </c>
      <c r="D64" s="58">
        <f>'[3]Atolls month on month'!NP35</f>
        <v>0.99455029968598119</v>
      </c>
      <c r="E64" s="58">
        <f>'[3]Atolls month on month'!NQ35</f>
        <v>0.92317154316179373</v>
      </c>
      <c r="F64" s="58">
        <f>'[3]Atolls month on month'!NR35</f>
        <v>0.92317154316179373</v>
      </c>
      <c r="G64" s="58">
        <f>'[3]Atolls month on month'!NS35</f>
        <v>0.92317154316179373</v>
      </c>
      <c r="H64" s="58">
        <f>'[3]Atolls month on month'!NT35</f>
        <v>0.92317154316179373</v>
      </c>
      <c r="I64" s="58">
        <f>'[3]Atolls month on month'!NU35</f>
        <v>0.92317154316179373</v>
      </c>
      <c r="J64" s="58">
        <f>'[3]Atolls month on month'!NV35</f>
        <v>0.92317154316179373</v>
      </c>
      <c r="K64" s="58">
        <f>'[3]Atolls month on month'!NW35</f>
        <v>0.92317154316179373</v>
      </c>
      <c r="L64" s="58">
        <f>'[3]Atolls month on month'!NX35</f>
        <v>0.92317154316179373</v>
      </c>
      <c r="M64" s="58">
        <f>'[3]Atolls month on month'!NY35</f>
        <v>0.92317154316179373</v>
      </c>
      <c r="Q64" s="10" t="s">
        <v>11</v>
      </c>
      <c r="AJ64" s="25"/>
    </row>
    <row r="65" spans="1:36" s="24" customFormat="1" ht="15" x14ac:dyDescent="0.2">
      <c r="A65" s="32" t="s">
        <v>36</v>
      </c>
      <c r="B65" s="58">
        <f>'[3]Atolls month on month'!NN36</f>
        <v>-0.69562644518350591</v>
      </c>
      <c r="C65" s="58">
        <f>'[3]Atolls month on month'!NO36</f>
        <v>-0.69562644518350591</v>
      </c>
      <c r="D65" s="58">
        <f>'[3]Atolls month on month'!NP36</f>
        <v>0.85681328051963046</v>
      </c>
      <c r="E65" s="58">
        <f>'[3]Atolls month on month'!NQ36</f>
        <v>0.66531796952791211</v>
      </c>
      <c r="F65" s="58">
        <f>'[3]Atolls month on month'!NR36</f>
        <v>0.6502881553739126</v>
      </c>
      <c r="G65" s="58">
        <f>'[3]Atolls month on month'!NS36</f>
        <v>0.6502881553739126</v>
      </c>
      <c r="H65" s="58">
        <f>'[3]Atolls month on month'!NT36</f>
        <v>0.54322513305331555</v>
      </c>
      <c r="I65" s="58">
        <f>'[3]Atolls month on month'!NU36</f>
        <v>0.54592795393957338</v>
      </c>
      <c r="J65" s="58">
        <f>'[3]Atolls month on month'!NV36</f>
        <v>0.70716373104018349</v>
      </c>
      <c r="K65" s="58">
        <f>'[3]Atolls month on month'!NW36</f>
        <v>7.8284928223218087</v>
      </c>
      <c r="L65" s="58">
        <f>'[3]Atolls month on month'!NX36</f>
        <v>7.8284928223218087</v>
      </c>
      <c r="M65" s="58">
        <f>'[3]Atolls month on month'!NY36</f>
        <v>7.8284928223218087</v>
      </c>
      <c r="Q65" s="10" t="s">
        <v>37</v>
      </c>
      <c r="AJ65" s="25"/>
    </row>
    <row r="66" spans="1:36" s="24" customFormat="1" ht="15" x14ac:dyDescent="0.2">
      <c r="A66" s="9" t="s">
        <v>38</v>
      </c>
      <c r="B66" s="58">
        <f>'[3]Atolls month on month'!NN37</f>
        <v>-0.26362735246798774</v>
      </c>
      <c r="C66" s="58">
        <f>'[3]Atolls month on month'!NO37</f>
        <v>-0.53081799021569287</v>
      </c>
      <c r="D66" s="58">
        <f>'[3]Atolls month on month'!NP37</f>
        <v>-0.27414795616020893</v>
      </c>
      <c r="E66" s="58">
        <f>'[3]Atolls month on month'!NQ37</f>
        <v>2.600765270832639E-3</v>
      </c>
      <c r="F66" s="58">
        <f>'[3]Atolls month on month'!NR37</f>
        <v>-0.29181595334479837</v>
      </c>
      <c r="G66" s="58">
        <f>'[3]Atolls month on month'!NS37</f>
        <v>-0.41937786931246501</v>
      </c>
      <c r="H66" s="58">
        <f>'[3]Atolls month on month'!NT37</f>
        <v>3.082793023789776E-3</v>
      </c>
      <c r="I66" s="58">
        <f>'[3]Atolls month on month'!NU37</f>
        <v>0.74638030494236229</v>
      </c>
      <c r="J66" s="58">
        <f>'[3]Atolls month on month'!NV37</f>
        <v>-4.9738841748492302E-2</v>
      </c>
      <c r="K66" s="58">
        <f>'[3]Atolls month on month'!NW37</f>
        <v>4.0485218812102985E-2</v>
      </c>
      <c r="L66" s="58">
        <f>'[3]Atolls month on month'!NX37</f>
        <v>-0.41000184133941353</v>
      </c>
      <c r="M66" s="58">
        <f>'[3]Atolls month on month'!NY37</f>
        <v>-0.1797597821889263</v>
      </c>
      <c r="Q66" s="10" t="s">
        <v>61</v>
      </c>
      <c r="AJ66" s="25"/>
    </row>
    <row r="67" spans="1:36" s="24" customFormat="1" ht="15" x14ac:dyDescent="0.2">
      <c r="A67" s="41" t="s">
        <v>58</v>
      </c>
      <c r="B67" s="59">
        <f>'[3]Atolls month on month'!NN21</f>
        <v>0.75796459544947847</v>
      </c>
      <c r="C67" s="59">
        <f>'[3]Atolls month on month'!NO21</f>
        <v>0.951057539169331</v>
      </c>
      <c r="D67" s="59">
        <f>'[3]Atolls month on month'!NP21</f>
        <v>3.1169649641338282E-3</v>
      </c>
      <c r="E67" s="59">
        <f>'[3]Atolls month on month'!NQ21</f>
        <v>-0.86664744409465921</v>
      </c>
      <c r="F67" s="59">
        <f>'[3]Atolls month on month'!NR21</f>
        <v>-1.0028155561550678</v>
      </c>
      <c r="G67" s="59">
        <f>'[3]Atolls month on month'!NS21</f>
        <v>-1.2854902045740801</v>
      </c>
      <c r="H67" s="59">
        <f>'[3]Atolls month on month'!NT21</f>
        <v>-0.79916557851400505</v>
      </c>
      <c r="I67" s="59">
        <f>'[3]Atolls month on month'!NU21</f>
        <v>-0.85724247672325227</v>
      </c>
      <c r="J67" s="59">
        <f>'[3]Atolls month on month'!NV21</f>
        <v>-0.73317102591515804</v>
      </c>
      <c r="K67" s="59">
        <f>'[3]Atolls month on month'!NW21</f>
        <v>2.1578800075127802</v>
      </c>
      <c r="L67" s="59">
        <f>'[3]Atolls month on month'!NX21</f>
        <v>1.8508319334554324</v>
      </c>
      <c r="M67" s="59">
        <f>'[3]Atolls month on month'!NY21</f>
        <v>2.7473244187922852</v>
      </c>
      <c r="Q67" s="13" t="s">
        <v>12</v>
      </c>
      <c r="AJ67" s="25"/>
    </row>
    <row r="68" spans="1:36" s="24" customFormat="1" ht="15" x14ac:dyDescent="0.2">
      <c r="A68" s="64" t="s">
        <v>59</v>
      </c>
      <c r="B68" s="60">
        <f>'[3]Atolls month on month'!NN22</f>
        <v>0.8856773874662327</v>
      </c>
      <c r="C68" s="60">
        <f>'[3]Atolls month on month'!NO22</f>
        <v>0.44170734068795792</v>
      </c>
      <c r="D68" s="60">
        <f>'[3]Atolls month on month'!NP22</f>
        <v>0.2568814322268631</v>
      </c>
      <c r="E68" s="60">
        <f>'[3]Atolls month on month'!NQ22</f>
        <v>-0.66524049395672025</v>
      </c>
      <c r="F68" s="60">
        <f>'[3]Atolls month on month'!NR22</f>
        <v>-1.2211968278564411</v>
      </c>
      <c r="G68" s="60">
        <f>'[3]Atolls month on month'!NS22</f>
        <v>-1.5154306271098816</v>
      </c>
      <c r="H68" s="60">
        <f>'[3]Atolls month on month'!NT22</f>
        <v>-1.1026972764064502</v>
      </c>
      <c r="I68" s="60">
        <f>'[3]Atolls month on month'!NU22</f>
        <v>-0.86193357133270698</v>
      </c>
      <c r="J68" s="60">
        <f>'[3]Atolls month on month'!NV22</f>
        <v>-0.96892447098703149</v>
      </c>
      <c r="K68" s="60">
        <f>'[3]Atolls month on month'!NW22</f>
        <v>2.0176480783323125</v>
      </c>
      <c r="L68" s="60">
        <f>'[3]Atolls month on month'!NX22</f>
        <v>2.3496311000289483</v>
      </c>
      <c r="M68" s="60">
        <f>'[3]Atolls month on month'!NY22</f>
        <v>2.8943356134050191</v>
      </c>
      <c r="N68" s="29"/>
      <c r="O68" s="29"/>
      <c r="P68" s="29"/>
      <c r="Q68" s="14" t="s">
        <v>46</v>
      </c>
      <c r="AJ68" s="25"/>
    </row>
    <row r="69" spans="1:36" s="24" customFormat="1" ht="17.25" customHeight="1" x14ac:dyDescent="0.2">
      <c r="A69" s="62" t="s">
        <v>64</v>
      </c>
      <c r="B69" s="3"/>
      <c r="C69" s="53"/>
      <c r="D69" s="53"/>
      <c r="E69" s="53"/>
      <c r="F69" s="31"/>
      <c r="N69" s="54"/>
      <c r="Q69" s="61" t="s">
        <v>65</v>
      </c>
    </row>
  </sheetData>
  <mergeCells count="4">
    <mergeCell ref="A1:Q1"/>
    <mergeCell ref="A2:Q2"/>
    <mergeCell ref="A3:Q3"/>
    <mergeCell ref="A4:Q4"/>
  </mergeCells>
  <pageMargins left="0.56000000000000005" right="0.13" top="0.21" bottom="0.17" header="0.13" footer="0.12"/>
  <pageSetup paperSize="9" scale="74" orientation="landscape" horizontalDpi="4294967295" verticalDpi="4294967295" r:id="rId1"/>
  <rowBreaks count="1" manualBreakCount="1">
    <brk id="47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17.8</vt:lpstr>
      <vt:lpstr>'17.8'!Print_Area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2017-06-05T06:33:04Z</cp:lastPrinted>
  <dcterms:created xsi:type="dcterms:W3CDTF">2007-02-08T08:33:33Z</dcterms:created>
  <dcterms:modified xsi:type="dcterms:W3CDTF">2017-06-05T06:33:07Z</dcterms:modified>
</cp:coreProperties>
</file>