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7" sheetId="20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'17.7'!$A$1:$R$68</definedName>
    <definedName name="Print_Area_MI">#REF!</definedName>
    <definedName name="_xlnm.Print_Titles" localSheetId="0">'17.7'!#REF!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N30" i="20" l="1"/>
  <c r="G66" i="20" l="1"/>
  <c r="H66" i="20"/>
  <c r="I66" i="20"/>
  <c r="C67" i="20"/>
  <c r="D67" i="20"/>
  <c r="E67" i="20"/>
  <c r="F67" i="20"/>
  <c r="K67" i="20"/>
  <c r="L67" i="20"/>
  <c r="M67" i="20"/>
  <c r="G51" i="20"/>
  <c r="H51" i="20"/>
  <c r="I51" i="20"/>
  <c r="C52" i="20"/>
  <c r="D52" i="20"/>
  <c r="E52" i="20"/>
  <c r="F52" i="20"/>
  <c r="K52" i="20"/>
  <c r="L52" i="20"/>
  <c r="M52" i="20"/>
  <c r="G53" i="20"/>
  <c r="H53" i="20"/>
  <c r="I53" i="20"/>
  <c r="C54" i="20"/>
  <c r="D54" i="20"/>
  <c r="E54" i="20"/>
  <c r="K54" i="20"/>
  <c r="L54" i="20"/>
  <c r="M54" i="20"/>
  <c r="G55" i="20"/>
  <c r="H55" i="20"/>
  <c r="I55" i="20"/>
  <c r="C56" i="20"/>
  <c r="D56" i="20"/>
  <c r="E56" i="20"/>
  <c r="K56" i="20"/>
  <c r="L56" i="20"/>
  <c r="M56" i="20"/>
  <c r="G57" i="20"/>
  <c r="H57" i="20"/>
  <c r="I57" i="20"/>
  <c r="C58" i="20"/>
  <c r="D58" i="20"/>
  <c r="E58" i="20"/>
  <c r="K58" i="20"/>
  <c r="L58" i="20"/>
  <c r="M58" i="20"/>
  <c r="G59" i="20"/>
  <c r="H59" i="20"/>
  <c r="I59" i="20"/>
  <c r="C60" i="20"/>
  <c r="D60" i="20"/>
  <c r="E60" i="20"/>
  <c r="K60" i="20"/>
  <c r="L60" i="20"/>
  <c r="M60" i="20"/>
  <c r="G61" i="20"/>
  <c r="H61" i="20"/>
  <c r="I61" i="20"/>
  <c r="C62" i="20"/>
  <c r="K62" i="20"/>
  <c r="G63" i="20"/>
  <c r="H63" i="20"/>
  <c r="C64" i="20"/>
  <c r="E64" i="20"/>
  <c r="F64" i="20"/>
  <c r="K64" i="20"/>
  <c r="M64" i="20"/>
  <c r="G65" i="20"/>
  <c r="L45" i="20"/>
  <c r="G35" i="20"/>
  <c r="M37" i="20" l="1"/>
  <c r="M46" i="20"/>
  <c r="E44" i="20"/>
  <c r="H43" i="20"/>
  <c r="K42" i="20"/>
  <c r="C42" i="20"/>
  <c r="I40" i="20"/>
  <c r="D39" i="20"/>
  <c r="G38" i="20"/>
  <c r="J37" i="20"/>
  <c r="E36" i="20"/>
  <c r="H35" i="20"/>
  <c r="D31" i="20"/>
  <c r="G30" i="20"/>
  <c r="J46" i="20"/>
  <c r="E45" i="20"/>
  <c r="K39" i="20"/>
  <c r="I37" i="20"/>
  <c r="E33" i="20"/>
  <c r="L63" i="20"/>
  <c r="D63" i="20"/>
  <c r="H62" i="20"/>
  <c r="L61" i="20"/>
  <c r="H56" i="20"/>
  <c r="L55" i="20"/>
  <c r="D55" i="20"/>
  <c r="H54" i="20"/>
  <c r="L53" i="20"/>
  <c r="F62" i="20"/>
  <c r="F60" i="20"/>
  <c r="F58" i="20"/>
  <c r="F56" i="20"/>
  <c r="F54" i="20"/>
  <c r="H65" i="20"/>
  <c r="L64" i="20"/>
  <c r="D64" i="20"/>
  <c r="I63" i="20"/>
  <c r="L62" i="20"/>
  <c r="D62" i="20"/>
  <c r="F65" i="20"/>
  <c r="F57" i="20"/>
  <c r="I65" i="20"/>
  <c r="E62" i="20"/>
  <c r="M62" i="20"/>
  <c r="J67" i="20"/>
  <c r="F66" i="20"/>
  <c r="F41" i="20"/>
  <c r="K43" i="20"/>
  <c r="F42" i="20"/>
  <c r="L40" i="20"/>
  <c r="G39" i="20"/>
  <c r="H36" i="20"/>
  <c r="K35" i="20"/>
  <c r="C35" i="20"/>
  <c r="I33" i="20"/>
  <c r="D32" i="20"/>
  <c r="G31" i="20"/>
  <c r="K34" i="20"/>
  <c r="L44" i="20"/>
  <c r="D44" i="20"/>
  <c r="G43" i="20"/>
  <c r="J42" i="20"/>
  <c r="E41" i="20"/>
  <c r="H40" i="20"/>
  <c r="C39" i="20"/>
  <c r="F38" i="20"/>
  <c r="L36" i="20"/>
  <c r="D36" i="20"/>
  <c r="J34" i="20"/>
  <c r="H32" i="20"/>
  <c r="K31" i="20"/>
  <c r="C31" i="20"/>
  <c r="F30" i="20"/>
  <c r="I46" i="20"/>
  <c r="D45" i="20"/>
  <c r="C44" i="20"/>
  <c r="C36" i="20"/>
  <c r="C45" i="20"/>
  <c r="C34" i="20"/>
  <c r="J30" i="20"/>
  <c r="F33" i="20"/>
  <c r="I32" i="20"/>
  <c r="E32" i="20"/>
  <c r="C63" i="20"/>
  <c r="K59" i="20"/>
  <c r="G58" i="20"/>
  <c r="C55" i="20"/>
  <c r="K53" i="20"/>
  <c r="C53" i="20"/>
  <c r="G52" i="20"/>
  <c r="K51" i="20"/>
  <c r="C51" i="20"/>
  <c r="G67" i="20"/>
  <c r="K66" i="20"/>
  <c r="C66" i="20"/>
  <c r="L43" i="20"/>
  <c r="I44" i="20"/>
  <c r="D43" i="20"/>
  <c r="G42" i="20"/>
  <c r="J41" i="20"/>
  <c r="E40" i="20"/>
  <c r="H39" i="20"/>
  <c r="K38" i="20"/>
  <c r="C38" i="20"/>
  <c r="F37" i="20"/>
  <c r="I36" i="20"/>
  <c r="L35" i="20"/>
  <c r="D35" i="20"/>
  <c r="G34" i="20"/>
  <c r="J33" i="20"/>
  <c r="H31" i="20"/>
  <c r="K30" i="20"/>
  <c r="C30" i="20"/>
  <c r="F46" i="20"/>
  <c r="I45" i="20"/>
  <c r="H44" i="20"/>
  <c r="C43" i="20"/>
  <c r="I41" i="20"/>
  <c r="D40" i="20"/>
  <c r="J38" i="20"/>
  <c r="E37" i="20"/>
  <c r="F34" i="20"/>
  <c r="L32" i="20"/>
  <c r="E46" i="20"/>
  <c r="H45" i="20"/>
  <c r="J44" i="20"/>
  <c r="E43" i="20"/>
  <c r="H42" i="20"/>
  <c r="K41" i="20"/>
  <c r="C41" i="20"/>
  <c r="F40" i="20"/>
  <c r="I39" i="20"/>
  <c r="L38" i="20"/>
  <c r="D38" i="20"/>
  <c r="G37" i="20"/>
  <c r="J36" i="20"/>
  <c r="E35" i="20"/>
  <c r="H34" i="20"/>
  <c r="K33" i="20"/>
  <c r="C33" i="20"/>
  <c r="F32" i="20"/>
  <c r="I31" i="20"/>
  <c r="L30" i="20"/>
  <c r="D30" i="20"/>
  <c r="G46" i="20"/>
  <c r="J45" i="20"/>
  <c r="J52" i="20"/>
  <c r="G40" i="20"/>
  <c r="H37" i="20"/>
  <c r="I34" i="20"/>
  <c r="E30" i="20"/>
  <c r="K45" i="20"/>
  <c r="F43" i="20"/>
  <c r="L41" i="20"/>
  <c r="J31" i="20"/>
  <c r="M40" i="20"/>
  <c r="M32" i="20"/>
  <c r="K65" i="20"/>
  <c r="G64" i="20"/>
  <c r="K63" i="20"/>
  <c r="K61" i="20"/>
  <c r="K57" i="20"/>
  <c r="C57" i="20"/>
  <c r="K55" i="20"/>
  <c r="K44" i="20"/>
  <c r="D33" i="20"/>
  <c r="H46" i="20"/>
  <c r="E38" i="20"/>
  <c r="K36" i="20"/>
  <c r="F35" i="20"/>
  <c r="L33" i="20"/>
  <c r="M39" i="20"/>
  <c r="M31" i="20"/>
  <c r="I42" i="20"/>
  <c r="D41" i="20"/>
  <c r="J39" i="20"/>
  <c r="G32" i="20"/>
  <c r="J54" i="20"/>
  <c r="L31" i="20"/>
  <c r="G60" i="20"/>
  <c r="G54" i="20"/>
  <c r="J65" i="20"/>
  <c r="J63" i="20"/>
  <c r="J57" i="20"/>
  <c r="M43" i="20"/>
  <c r="M35" i="20"/>
  <c r="C59" i="20"/>
  <c r="C65" i="20"/>
  <c r="G56" i="20"/>
  <c r="G62" i="20"/>
  <c r="L39" i="20"/>
  <c r="C61" i="20"/>
  <c r="J64" i="20"/>
  <c r="J62" i="20"/>
  <c r="J60" i="20"/>
  <c r="J58" i="20"/>
  <c r="J56" i="20"/>
  <c r="M44" i="20"/>
  <c r="M36" i="20"/>
  <c r="M45" i="20"/>
  <c r="D65" i="20"/>
  <c r="E65" i="20"/>
  <c r="H64" i="20"/>
  <c r="D57" i="20"/>
  <c r="E57" i="20"/>
  <c r="D66" i="20"/>
  <c r="E66" i="20"/>
  <c r="M41" i="20"/>
  <c r="M33" i="20"/>
  <c r="J59" i="20"/>
  <c r="J55" i="20"/>
  <c r="J53" i="20"/>
  <c r="J51" i="20"/>
  <c r="J66" i="20"/>
  <c r="M63" i="20"/>
  <c r="E63" i="20"/>
  <c r="M61" i="20"/>
  <c r="M57" i="20"/>
  <c r="M55" i="20"/>
  <c r="E55" i="20"/>
  <c r="M53" i="20"/>
  <c r="M66" i="20"/>
  <c r="C17" i="20"/>
  <c r="F24" i="20"/>
  <c r="C21" i="20"/>
  <c r="H15" i="20"/>
  <c r="H24" i="20"/>
  <c r="F51" i="20"/>
  <c r="L65" i="20"/>
  <c r="E59" i="20"/>
  <c r="H58" i="20"/>
  <c r="L57" i="20"/>
  <c r="E51" i="20"/>
  <c r="H67" i="20"/>
  <c r="L66" i="20"/>
  <c r="I67" i="20"/>
  <c r="F61" i="20"/>
  <c r="I60" i="20"/>
  <c r="M59" i="20"/>
  <c r="D59" i="20"/>
  <c r="F53" i="20"/>
  <c r="I52" i="20"/>
  <c r="M51" i="20"/>
  <c r="D51" i="20"/>
  <c r="M65" i="20"/>
  <c r="F59" i="20"/>
  <c r="E61" i="20"/>
  <c r="H60" i="20"/>
  <c r="L59" i="20"/>
  <c r="E53" i="20"/>
  <c r="H52" i="20"/>
  <c r="L51" i="20"/>
  <c r="J61" i="20"/>
  <c r="F63" i="20"/>
  <c r="I62" i="20"/>
  <c r="D61" i="20"/>
  <c r="F55" i="20"/>
  <c r="I54" i="20"/>
  <c r="D53" i="20"/>
  <c r="I58" i="20"/>
  <c r="I64" i="20"/>
  <c r="I56" i="20"/>
  <c r="M38" i="20"/>
  <c r="M30" i="20"/>
  <c r="M42" i="20"/>
  <c r="M34" i="20"/>
  <c r="G44" i="20"/>
  <c r="J43" i="20"/>
  <c r="E42" i="20"/>
  <c r="H41" i="20"/>
  <c r="K40" i="20"/>
  <c r="C40" i="20"/>
  <c r="F39" i="20"/>
  <c r="I38" i="20"/>
  <c r="L37" i="20"/>
  <c r="D37" i="20"/>
  <c r="G36" i="20"/>
  <c r="J35" i="20"/>
  <c r="E34" i="20"/>
  <c r="H33" i="20"/>
  <c r="K32" i="20"/>
  <c r="C32" i="20"/>
  <c r="F31" i="20"/>
  <c r="I30" i="20"/>
  <c r="L46" i="20"/>
  <c r="D46" i="20"/>
  <c r="G45" i="20"/>
  <c r="F44" i="20"/>
  <c r="I43" i="20"/>
  <c r="L42" i="20"/>
  <c r="D42" i="20"/>
  <c r="G41" i="20"/>
  <c r="J40" i="20"/>
  <c r="E39" i="20"/>
  <c r="H38" i="20"/>
  <c r="K37" i="20"/>
  <c r="C37" i="20"/>
  <c r="F36" i="20"/>
  <c r="I35" i="20"/>
  <c r="L34" i="20"/>
  <c r="D34" i="20"/>
  <c r="G33" i="20"/>
  <c r="J32" i="20"/>
  <c r="E31" i="20"/>
  <c r="H30" i="20"/>
  <c r="K46" i="20"/>
  <c r="C46" i="20"/>
  <c r="F45" i="20"/>
  <c r="L21" i="20"/>
  <c r="C16" i="20"/>
  <c r="M9" i="20"/>
  <c r="D13" i="20"/>
  <c r="F17" i="20"/>
  <c r="F9" i="20"/>
  <c r="C18" i="20"/>
  <c r="C10" i="20"/>
  <c r="F16" i="20"/>
  <c r="G18" i="20"/>
  <c r="M22" i="20"/>
  <c r="M14" i="20"/>
  <c r="E16" i="20"/>
  <c r="E8" i="20"/>
  <c r="H22" i="20"/>
  <c r="H14" i="20"/>
  <c r="J18" i="20"/>
  <c r="J10" i="20"/>
  <c r="L22" i="20"/>
  <c r="K17" i="20"/>
  <c r="K9" i="20"/>
  <c r="M13" i="20"/>
  <c r="H10" i="20"/>
  <c r="J14" i="20"/>
  <c r="G10" i="20"/>
  <c r="M15" i="20"/>
  <c r="M24" i="20"/>
  <c r="H17" i="20"/>
  <c r="I19" i="20"/>
  <c r="I11" i="20"/>
  <c r="J13" i="20"/>
  <c r="E18" i="20"/>
  <c r="C11" i="20"/>
  <c r="I22" i="20"/>
  <c r="L18" i="20"/>
  <c r="G22" i="20"/>
  <c r="G14" i="20"/>
  <c r="I18" i="20"/>
  <c r="I10" i="20"/>
  <c r="L8" i="20"/>
  <c r="D21" i="20"/>
  <c r="K13" i="20"/>
  <c r="J17" i="20"/>
  <c r="M17" i="20"/>
  <c r="H8" i="20"/>
  <c r="L9" i="20"/>
  <c r="E21" i="20"/>
  <c r="H18" i="20"/>
  <c r="I14" i="20"/>
  <c r="L15" i="20"/>
  <c r="D9" i="20"/>
  <c r="I8" i="20"/>
  <c r="L14" i="20"/>
  <c r="F18" i="20"/>
  <c r="D17" i="20"/>
  <c r="F8" i="20"/>
  <c r="D16" i="20"/>
  <c r="D8" i="20"/>
  <c r="K11" i="20"/>
  <c r="I15" i="20"/>
  <c r="I24" i="20"/>
  <c r="J24" i="20"/>
  <c r="K10" i="20"/>
  <c r="L10" i="20"/>
  <c r="E9" i="20"/>
  <c r="E15" i="20"/>
  <c r="G9" i="20"/>
  <c r="L24" i="20"/>
  <c r="M19" i="20"/>
  <c r="M11" i="20"/>
  <c r="K16" i="20"/>
  <c r="K8" i="20"/>
  <c r="C15" i="20"/>
  <c r="C24" i="20"/>
  <c r="I16" i="20"/>
  <c r="D19" i="20"/>
  <c r="D11" i="20"/>
  <c r="D18" i="20"/>
  <c r="D10" i="20"/>
  <c r="F21" i="20"/>
  <c r="G21" i="20"/>
  <c r="F13" i="20"/>
  <c r="G13" i="20"/>
  <c r="E10" i="20"/>
  <c r="F15" i="20"/>
  <c r="H21" i="20"/>
  <c r="H13" i="20"/>
  <c r="C22" i="20"/>
  <c r="C14" i="20"/>
  <c r="I13" i="20"/>
  <c r="E24" i="20"/>
  <c r="H9" i="20"/>
  <c r="J15" i="20"/>
  <c r="C19" i="20"/>
  <c r="E22" i="20"/>
  <c r="F22" i="20"/>
  <c r="E14" i="20"/>
  <c r="F14" i="20"/>
  <c r="G17" i="20"/>
  <c r="K15" i="20"/>
  <c r="K19" i="20"/>
  <c r="M21" i="20"/>
  <c r="L13" i="20"/>
  <c r="G16" i="20"/>
  <c r="H16" i="20"/>
  <c r="G8" i="20"/>
  <c r="I17" i="20"/>
  <c r="J9" i="20"/>
  <c r="I9" i="20"/>
  <c r="K24" i="20"/>
  <c r="K18" i="20"/>
  <c r="E17" i="20"/>
  <c r="K14" i="20"/>
  <c r="L17" i="20"/>
  <c r="L19" i="20"/>
  <c r="L11" i="20"/>
  <c r="C13" i="20"/>
  <c r="L16" i="20"/>
  <c r="M10" i="20"/>
  <c r="E19" i="20"/>
  <c r="E11" i="20"/>
  <c r="F11" i="20"/>
  <c r="G24" i="20"/>
  <c r="I21" i="20"/>
  <c r="K22" i="20"/>
  <c r="M18" i="20"/>
  <c r="D22" i="20"/>
  <c r="D14" i="20"/>
  <c r="F19" i="20"/>
  <c r="F10" i="20"/>
  <c r="J22" i="20"/>
  <c r="J19" i="20"/>
  <c r="J11" i="20"/>
  <c r="M8" i="20"/>
  <c r="C9" i="20"/>
  <c r="E13" i="20"/>
  <c r="G15" i="20"/>
  <c r="G19" i="20"/>
  <c r="G11" i="20"/>
  <c r="H11" i="20"/>
  <c r="J21" i="20"/>
  <c r="M16" i="20"/>
  <c r="C8" i="20"/>
  <c r="H19" i="20"/>
  <c r="M20" i="20"/>
  <c r="M12" i="20"/>
  <c r="L20" i="20"/>
  <c r="L12" i="20"/>
  <c r="K21" i="20"/>
  <c r="K20" i="20"/>
  <c r="K12" i="20"/>
  <c r="J16" i="20"/>
  <c r="J8" i="20"/>
  <c r="J20" i="20"/>
  <c r="J12" i="20"/>
  <c r="I20" i="20"/>
  <c r="I12" i="20"/>
  <c r="H20" i="20"/>
  <c r="H12" i="20"/>
  <c r="G20" i="20"/>
  <c r="G12" i="20"/>
  <c r="F20" i="20"/>
  <c r="F12" i="20"/>
  <c r="E20" i="20"/>
  <c r="E12" i="20"/>
  <c r="D15" i="20"/>
  <c r="D24" i="20"/>
  <c r="D20" i="20"/>
  <c r="D12" i="20"/>
  <c r="C20" i="20"/>
  <c r="C12" i="20"/>
  <c r="I23" i="20" l="1"/>
  <c r="C23" i="20"/>
  <c r="L23" i="20"/>
  <c r="K23" i="20"/>
  <c r="M23" i="20"/>
  <c r="J23" i="20"/>
  <c r="E23" i="20"/>
  <c r="D23" i="20"/>
  <c r="F23" i="20"/>
  <c r="G23" i="20"/>
  <c r="H23" i="20"/>
  <c r="N23" i="20" l="1"/>
  <c r="N51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7" i="20"/>
  <c r="N52" i="20"/>
  <c r="N66" i="20"/>
  <c r="B55" i="20" l="1"/>
  <c r="B54" i="20"/>
  <c r="B61" i="20"/>
  <c r="B53" i="20"/>
  <c r="B62" i="20"/>
  <c r="B60" i="20"/>
  <c r="B52" i="20"/>
  <c r="B59" i="20"/>
  <c r="B51" i="20"/>
  <c r="B58" i="20"/>
  <c r="B67" i="20"/>
  <c r="B65" i="20"/>
  <c r="B57" i="20"/>
  <c r="B66" i="20"/>
  <c r="B63" i="20"/>
  <c r="B64" i="20"/>
  <c r="B56" i="20"/>
  <c r="N32" i="20" l="1"/>
  <c r="N33" i="20"/>
  <c r="N34" i="20"/>
  <c r="N35" i="20"/>
  <c r="N36" i="20"/>
  <c r="N37" i="20"/>
  <c r="N38" i="20"/>
  <c r="N39" i="20"/>
  <c r="N40" i="20"/>
  <c r="N41" i="20"/>
  <c r="N42" i="20"/>
  <c r="N43" i="20"/>
  <c r="N44" i="20"/>
  <c r="N46" i="20"/>
  <c r="N31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4" i="20"/>
  <c r="B40" i="20" l="1"/>
  <c r="B32" i="20"/>
  <c r="B39" i="20"/>
  <c r="B31" i="20"/>
  <c r="B38" i="20"/>
  <c r="B30" i="20"/>
  <c r="B41" i="20"/>
  <c r="B37" i="20"/>
  <c r="B46" i="20"/>
  <c r="N45" i="20"/>
  <c r="B44" i="20"/>
  <c r="B36" i="20"/>
  <c r="B45" i="20"/>
  <c r="B33" i="20"/>
  <c r="B43" i="20"/>
  <c r="B35" i="20"/>
  <c r="B42" i="20"/>
  <c r="B34" i="20"/>
  <c r="N8" i="20"/>
  <c r="B10" i="20"/>
  <c r="B18" i="20"/>
  <c r="B13" i="20"/>
  <c r="B21" i="20"/>
  <c r="B15" i="20"/>
  <c r="B8" i="20"/>
  <c r="B16" i="20"/>
  <c r="B11" i="20"/>
  <c r="B19" i="20"/>
  <c r="B14" i="20"/>
  <c r="B22" i="20"/>
  <c r="B24" i="20"/>
  <c r="B9" i="20"/>
  <c r="B17" i="20"/>
  <c r="B12" i="20"/>
  <c r="B20" i="20"/>
  <c r="B23" i="20" l="1"/>
</calcChain>
</file>

<file path=xl/sharedStrings.xml><?xml version="1.0" encoding="utf-8"?>
<sst xmlns="http://schemas.openxmlformats.org/spreadsheetml/2006/main" count="201" uniqueCount="76">
  <si>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</si>
  <si>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</si>
  <si>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</si>
  <si>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</si>
  <si>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</si>
  <si>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</si>
  <si>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</si>
  <si>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</si>
  <si>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</si>
  <si>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</si>
  <si>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</si>
  <si>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</si>
  <si>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</si>
  <si>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</si>
  <si>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</si>
  <si>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</si>
  <si>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</si>
  <si>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</si>
  <si>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</si>
  <si>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</si>
  <si>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</si>
  <si>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</si>
  <si>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</si>
  <si>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</si>
  <si>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</si>
  <si>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</si>
  <si>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</si>
  <si>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</si>
  <si>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</si>
  <si>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</si>
  <si>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</si>
  <si>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</si>
  <si>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</si>
  <si>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</si>
  <si>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</si>
  <si>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</si>
  <si>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</si>
  <si>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</si>
  <si>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</si>
  <si>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</si>
  <si>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</si>
  <si>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</si>
  <si>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</si>
  <si>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</si>
  <si>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</si>
  <si>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</si>
  <si>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</si>
  <si>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</si>
  <si>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</si>
  <si>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</si>
  <si>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</si>
  <si>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</si>
  <si>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</si>
  <si>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</si>
  <si>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</si>
  <si>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</si>
  <si>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</si>
  <si>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</si>
  <si>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</si>
  <si>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</si>
  <si>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</si>
  <si>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</si>
  <si>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</si>
  <si>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</si>
  <si>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</si>
  <si>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</si>
  <si>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>Monthly Inflation rates , 2016</t>
  </si>
  <si>
    <t>2016،cTEr  cnwxElcpcnia eguhwmcswm</t>
  </si>
  <si>
    <t>Table  17.7 :  MONTHLY INFLATION RATE, 2016</t>
  </si>
  <si>
    <t>2016 ,cTEr cnwxElcpcnia eguhwmcswmikea : 17.7 ulwvWt</t>
  </si>
  <si>
    <t>2016  - 2015</t>
  </si>
  <si>
    <t>2016 - 2015</t>
  </si>
  <si>
    <t>urwbcmeTcpes</t>
  </si>
  <si>
    <t>urwbOTckoa</t>
  </si>
  <si>
    <t>urwbcmevon</t>
  </si>
  <si>
    <t>urwbcmesiD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</si>
</sst>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2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1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10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81">
    <xf numFmtId="0" fontId="0" fillId="0" borderId="0" xfId="0"/>
    <xf numFmtId="167" fontId="7" fillId="2" borderId="0" xfId="8" applyFont="1" applyFill="1" applyBorder="1" applyAlignment="1">
      <alignment horizontal="right" vertical="center" wrapText="1"/>
    </xf>
    <xf numFmtId="167" fontId="9" fillId="2" borderId="0" xfId="8" applyFont="1" applyFill="1" applyAlignment="1">
      <alignment horizontal="right" vertical="center"/>
    </xf>
    <xf numFmtId="37" fontId="6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7" fillId="2" borderId="3" xfId="8" applyFont="1" applyFill="1" applyBorder="1" applyAlignment="1">
      <alignment horizontal="right" vertical="center"/>
    </xf>
    <xf numFmtId="167" fontId="15" fillId="2" borderId="0" xfId="7" applyFont="1" applyFill="1" applyAlignment="1">
      <alignment vertical="center" wrapText="1"/>
    </xf>
    <xf numFmtId="166" fontId="15" fillId="2" borderId="0" xfId="5" applyNumberFormat="1" applyFont="1" applyFill="1" applyBorder="1" applyAlignment="1">
      <alignment horizontal="right" vertical="center"/>
    </xf>
    <xf numFmtId="166" fontId="15" fillId="2" borderId="0" xfId="7" applyNumberFormat="1" applyFont="1" applyFill="1" applyBorder="1" applyAlignment="1">
      <alignment horizontal="right" vertical="center"/>
    </xf>
    <xf numFmtId="167" fontId="15" fillId="2" borderId="0" xfId="7" applyFont="1" applyFill="1" applyAlignment="1">
      <alignment vertical="center"/>
    </xf>
    <xf numFmtId="0" fontId="15" fillId="2" borderId="0" xfId="6" applyFont="1" applyFill="1" applyAlignment="1">
      <alignment vertical="center"/>
    </xf>
    <xf numFmtId="167" fontId="15" fillId="2" borderId="0" xfId="7" applyFont="1" applyFill="1" applyBorder="1" applyAlignment="1">
      <alignment vertical="center" wrapText="1"/>
    </xf>
    <xf numFmtId="167" fontId="9" fillId="2" borderId="0" xfId="9" applyFont="1" applyFill="1" applyAlignment="1">
      <alignment horizontal="right" vertical="center"/>
    </xf>
    <xf numFmtId="167" fontId="16" fillId="2" borderId="0" xfId="7" applyFont="1" applyFill="1" applyBorder="1" applyAlignment="1">
      <alignment vertical="center"/>
    </xf>
    <xf numFmtId="166" fontId="16" fillId="2" borderId="0" xfId="5" applyNumberFormat="1" applyFont="1" applyFill="1" applyBorder="1" applyAlignment="1">
      <alignment horizontal="right" vertical="center"/>
    </xf>
    <xf numFmtId="166" fontId="16" fillId="2" borderId="0" xfId="7" applyNumberFormat="1" applyFont="1" applyFill="1" applyBorder="1" applyAlignment="1">
      <alignment horizontal="right" vertical="center"/>
    </xf>
    <xf numFmtId="167" fontId="7" fillId="2" borderId="0" xfId="8" applyFont="1" applyFill="1" applyBorder="1" applyAlignment="1">
      <alignment horizontal="right" vertical="center"/>
    </xf>
    <xf numFmtId="166" fontId="16" fillId="2" borderId="2" xfId="7" applyNumberFormat="1" applyFont="1" applyFill="1" applyBorder="1" applyAlignment="1">
      <alignment horizontal="right" vertical="center"/>
    </xf>
    <xf numFmtId="167" fontId="7" fillId="2" borderId="2" xfId="9" applyFont="1" applyFill="1" applyBorder="1" applyAlignment="1">
      <alignment horizontal="right" vertical="center"/>
    </xf>
    <xf numFmtId="0" fontId="12" fillId="2" borderId="2" xfId="5" applyFont="1" applyFill="1" applyBorder="1" applyAlignment="1">
      <alignment horizontal="right" vertical="center"/>
    </xf>
    <xf numFmtId="17" fontId="12" fillId="2" borderId="2" xfId="5" applyNumberFormat="1" applyFont="1" applyFill="1" applyBorder="1" applyAlignment="1">
      <alignment horizontal="right" vertical="center"/>
    </xf>
    <xf numFmtId="167" fontId="12" fillId="2" borderId="0" xfId="8" applyFont="1" applyFill="1" applyAlignment="1" applyProtection="1">
      <alignment vertical="center"/>
    </xf>
    <xf numFmtId="0" fontId="12" fillId="2" borderId="1" xfId="5" applyFont="1" applyFill="1" applyBorder="1" applyAlignment="1">
      <alignment vertical="center"/>
    </xf>
    <xf numFmtId="0" fontId="8" fillId="2" borderId="0" xfId="5" applyFont="1" applyFill="1" applyAlignment="1">
      <alignment vertical="center"/>
    </xf>
    <xf numFmtId="0" fontId="8" fillId="2" borderId="3" xfId="5" applyFont="1" applyFill="1" applyBorder="1" applyAlignment="1">
      <alignment vertical="center"/>
    </xf>
    <xf numFmtId="167" fontId="7" fillId="2" borderId="3" xfId="8" applyFont="1" applyFill="1" applyBorder="1" applyAlignment="1">
      <alignment horizontal="right" vertical="center" wrapText="1"/>
    </xf>
    <xf numFmtId="0" fontId="6" fillId="2" borderId="0" xfId="5" applyFont="1" applyFill="1" applyAlignment="1">
      <alignment vertical="center"/>
    </xf>
    <xf numFmtId="0" fontId="6" fillId="2" borderId="0" xfId="5" applyFont="1" applyFill="1" applyAlignment="1">
      <alignment horizontal="right" vertical="center"/>
    </xf>
    <xf numFmtId="0" fontId="12" fillId="2" borderId="0" xfId="5" applyFont="1" applyFill="1" applyBorder="1" applyAlignment="1">
      <alignment horizontal="left" vertical="center"/>
    </xf>
    <xf numFmtId="167" fontId="7" fillId="2" borderId="4" xfId="8" applyFont="1" applyFill="1" applyBorder="1" applyAlignment="1">
      <alignment horizontal="right" vertical="center" wrapText="1"/>
    </xf>
    <xf numFmtId="0" fontId="12" fillId="2" borderId="2" xfId="5" applyFont="1" applyFill="1" applyBorder="1" applyAlignment="1">
      <alignment horizontal="left"/>
    </xf>
    <xf numFmtId="0" fontId="6" fillId="2" borderId="2" xfId="5" applyFont="1" applyFill="1" applyBorder="1" applyAlignment="1">
      <alignment vertical="center"/>
    </xf>
    <xf numFmtId="0" fontId="9" fillId="2" borderId="2" xfId="5" applyFont="1" applyFill="1" applyBorder="1" applyAlignment="1">
      <alignment vertical="center"/>
    </xf>
    <xf numFmtId="0" fontId="6" fillId="2" borderId="0" xfId="5" applyFont="1" applyFill="1" applyBorder="1" applyAlignment="1">
      <alignment vertical="center"/>
    </xf>
    <xf numFmtId="0" fontId="15" fillId="2" borderId="0" xfId="5" applyFont="1" applyFill="1" applyAlignment="1">
      <alignment vertical="center"/>
    </xf>
    <xf numFmtId="167" fontId="9" fillId="2" borderId="0" xfId="8" applyFont="1" applyFill="1" applyAlignment="1">
      <alignment horizontal="center" vertical="center"/>
    </xf>
    <xf numFmtId="0" fontId="8" fillId="2" borderId="0" xfId="5" applyFont="1" applyFill="1" applyAlignment="1">
      <alignment horizontal="right" vertical="center"/>
    </xf>
    <xf numFmtId="166" fontId="16" fillId="2" borderId="2" xfId="5" applyNumberFormat="1" applyFont="1" applyFill="1" applyBorder="1" applyAlignment="1">
      <alignment horizontal="right" vertical="center"/>
    </xf>
    <xf numFmtId="167" fontId="7" fillId="2" borderId="0" xfId="9" applyFont="1" applyFill="1" applyBorder="1" applyAlignment="1">
      <alignment horizontal="right" vertical="center"/>
    </xf>
    <xf numFmtId="0" fontId="13" fillId="2" borderId="0" xfId="5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12" fillId="2" borderId="2" xfId="5" applyFont="1" applyFill="1" applyBorder="1" applyAlignment="1">
      <alignment horizontal="left" vertical="center"/>
    </xf>
    <xf numFmtId="0" fontId="16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5" fillId="2" borderId="0" xfId="0" applyFont="1" applyFill="1" applyAlignment="1">
      <alignment vertical="center"/>
    </xf>
    <xf numFmtId="0" fontId="6" fillId="2" borderId="1" xfId="5" applyFont="1" applyFill="1" applyBorder="1" applyAlignment="1">
      <alignment vertical="center"/>
    </xf>
    <xf numFmtId="167" fontId="7" fillId="2" borderId="1" xfId="8" applyFont="1" applyFill="1" applyBorder="1" applyAlignment="1">
      <alignment horizontal="right" vertical="center"/>
    </xf>
    <xf numFmtId="166" fontId="6" fillId="2" borderId="0" xfId="5" applyNumberFormat="1" applyFont="1" applyFill="1" applyAlignment="1">
      <alignment vertical="center"/>
    </xf>
    <xf numFmtId="167" fontId="7" fillId="2" borderId="0" xfId="8" applyFont="1" applyFill="1" applyAlignment="1">
      <alignment horizontal="center" vertical="center"/>
    </xf>
    <xf numFmtId="0" fontId="16" fillId="2" borderId="0" xfId="5" applyFont="1" applyFill="1" applyBorder="1" applyAlignment="1">
      <alignment horizontal="left" vertical="center"/>
    </xf>
    <xf numFmtId="167" fontId="7" fillId="2" borderId="0" xfId="8" applyFont="1" applyFill="1" applyAlignment="1">
      <alignment vertical="center"/>
    </xf>
    <xf numFmtId="167" fontId="6" fillId="2" borderId="0" xfId="8" applyFont="1" applyFill="1" applyAlignment="1">
      <alignment vertical="center"/>
    </xf>
    <xf numFmtId="167" fontId="12" fillId="2" borderId="0" xfId="8" applyFont="1" applyFill="1" applyAlignment="1">
      <alignment vertical="center"/>
    </xf>
    <xf numFmtId="167" fontId="7" fillId="2" borderId="0" xfId="8" applyFont="1" applyFill="1" applyAlignment="1">
      <alignment vertical="center" wrapText="1"/>
    </xf>
    <xf numFmtId="167" fontId="6" fillId="2" borderId="0" xfId="8" applyFont="1" applyFill="1" applyBorder="1" applyAlignment="1">
      <alignment vertical="center"/>
    </xf>
    <xf numFmtId="167" fontId="8" fillId="2" borderId="2" xfId="8" applyFont="1" applyFill="1" applyBorder="1" applyAlignment="1" applyProtection="1">
      <alignment vertical="center"/>
    </xf>
    <xf numFmtId="167" fontId="8" fillId="2" borderId="0" xfId="8" applyFont="1" applyFill="1" applyAlignment="1">
      <alignment vertical="center"/>
    </xf>
    <xf numFmtId="167" fontId="8" fillId="2" borderId="0" xfId="8" applyFont="1" applyFill="1" applyBorder="1" applyAlignment="1">
      <alignment vertical="center"/>
    </xf>
    <xf numFmtId="166" fontId="16" fillId="2" borderId="0" xfId="5" applyNumberFormat="1" applyFont="1" applyFill="1" applyBorder="1" applyAlignment="1">
      <alignment horizontal="center" vertical="center"/>
    </xf>
    <xf numFmtId="0" fontId="6" fillId="2" borderId="3" xfId="5" applyFont="1" applyFill="1" applyBorder="1" applyAlignment="1">
      <alignment vertical="center"/>
    </xf>
    <xf numFmtId="0" fontId="8" fillId="2" borderId="2" xfId="5" applyFont="1" applyFill="1" applyBorder="1" applyAlignment="1">
      <alignment vertical="center"/>
    </xf>
    <xf numFmtId="0" fontId="5" fillId="2" borderId="0" xfId="0" applyFont="1" applyFill="1"/>
    <xf numFmtId="2" fontId="5" fillId="2" borderId="0" xfId="0" applyNumberFormat="1" applyFont="1" applyFill="1"/>
    <xf numFmtId="167" fontId="17" fillId="2" borderId="0" xfId="9" applyFont="1" applyFill="1" applyAlignment="1">
      <alignment horizontal="right" vertical="center"/>
    </xf>
    <xf numFmtId="167" fontId="14" fillId="2" borderId="0" xfId="9" applyFont="1" applyFill="1" applyBorder="1" applyAlignment="1" applyProtection="1">
      <alignment horizontal="left" vertical="center"/>
    </xf>
    <xf numFmtId="0" fontId="16" fillId="2" borderId="2" xfId="5" applyFont="1" applyFill="1" applyBorder="1" applyAlignment="1">
      <alignment horizontal="left" vertical="center"/>
    </xf>
    <xf numFmtId="166" fontId="15" fillId="2" borderId="0" xfId="5" applyNumberFormat="1" applyFont="1" applyFill="1" applyBorder="1" applyAlignment="1">
      <alignment horizontal="right" vertical="center" indent="1"/>
    </xf>
    <xf numFmtId="166" fontId="15" fillId="2" borderId="0" xfId="7" applyNumberFormat="1" applyFont="1" applyFill="1" applyBorder="1" applyAlignment="1">
      <alignment horizontal="right" vertical="center" indent="1"/>
    </xf>
    <xf numFmtId="166" fontId="16" fillId="2" borderId="0" xfId="5" applyNumberFormat="1" applyFont="1" applyFill="1" applyBorder="1" applyAlignment="1">
      <alignment horizontal="right" vertical="center" indent="1"/>
    </xf>
    <xf numFmtId="166" fontId="16" fillId="2" borderId="2" xfId="5" applyNumberFormat="1" applyFont="1" applyFill="1" applyBorder="1" applyAlignment="1">
      <alignment horizontal="right" vertical="center" indent="1"/>
    </xf>
    <xf numFmtId="166" fontId="16" fillId="2" borderId="2" xfId="7" applyNumberFormat="1" applyFont="1" applyFill="1" applyBorder="1" applyAlignment="1">
      <alignment horizontal="right" vertical="center" indent="1"/>
    </xf>
    <xf numFmtId="0" fontId="16" fillId="2" borderId="2" xfId="5" applyFont="1" applyFill="1" applyBorder="1" applyAlignment="1">
      <alignment horizontal="left" vertical="center"/>
    </xf>
    <xf numFmtId="167" fontId="16" fillId="2" borderId="0" xfId="8" applyFont="1" applyFill="1" applyAlignment="1" applyProtection="1">
      <alignment horizontal="center" vertical="center"/>
    </xf>
    <xf numFmtId="167" fontId="7" fillId="2" borderId="0" xfId="8" applyFont="1" applyFill="1" applyAlignment="1">
      <alignment horizontal="center" vertical="center" wrapText="1"/>
    </xf>
    <xf numFmtId="166" fontId="18" fillId="2" borderId="0" xfId="5" applyNumberFormat="1" applyFont="1" applyFill="1" applyBorder="1" applyAlignment="1">
      <alignment horizontal="center" vertical="center" readingOrder="2"/>
    </xf>
    <xf numFmtId="1" fontId="12" fillId="2" borderId="4" xfId="5" applyNumberFormat="1" applyFont="1" applyFill="1" applyBorder="1" applyAlignment="1">
      <alignment horizontal="right" vertical="center"/>
    </xf>
    <xf numFmtId="1" fontId="12" fillId="2" borderId="2" xfId="5" applyNumberFormat="1" applyFont="1" applyFill="1" applyBorder="1" applyAlignment="1">
      <alignment horizontal="right" vertical="center"/>
    </xf>
    <xf numFmtId="1" fontId="12" fillId="2" borderId="0" xfId="5" applyNumberFormat="1" applyFont="1" applyFill="1" applyBorder="1" applyAlignment="1">
      <alignment horizontal="right" vertical="center"/>
    </xf>
    <xf numFmtId="167" fontId="4" fillId="2" borderId="0" xfId="8" applyFont="1" applyFill="1" applyAlignment="1">
      <alignment horizontal="center" vertical="center"/>
    </xf>
    <xf numFmtId="167" fontId="12" fillId="2" borderId="2" xfId="8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>
        <row r="3">
          <cell r="OC3">
            <v>106.91958868829052</v>
          </cell>
          <cell r="OF3">
            <v>0.50250941361158485</v>
          </cell>
        </row>
        <row r="4">
          <cell r="OF4">
            <v>0.57688102083264248</v>
          </cell>
        </row>
        <row r="38">
          <cell r="OF38">
            <v>-1.587337151600976</v>
          </cell>
        </row>
        <row r="156">
          <cell r="OF156">
            <v>4.0191140378448287</v>
          </cell>
        </row>
        <row r="167">
          <cell r="OF167">
            <v>-0.53676570684748626</v>
          </cell>
        </row>
        <row r="207">
          <cell r="OF207">
            <v>0.29920217667491755</v>
          </cell>
        </row>
        <row r="209">
          <cell r="OF209">
            <v>3.7607542756177725</v>
          </cell>
        </row>
        <row r="240">
          <cell r="OF240">
            <v>0.91069109507078139</v>
          </cell>
        </row>
        <row r="292">
          <cell r="OF292">
            <v>1.804490098291045</v>
          </cell>
        </row>
        <row r="322">
          <cell r="OF322">
            <v>-1.5370849537459153</v>
          </cell>
        </row>
        <row r="348">
          <cell r="OF348">
            <v>-0.75989147318363814</v>
          </cell>
        </row>
        <row r="360">
          <cell r="OF360">
            <v>-1.2350059655517276</v>
          </cell>
        </row>
        <row r="405">
          <cell r="OF405">
            <v>4.8696897695142072</v>
          </cell>
        </row>
        <row r="421">
          <cell r="OF421">
            <v>1.7231004678103012</v>
          </cell>
        </row>
        <row r="438">
          <cell r="OF438">
            <v>-0.2698829137845582</v>
          </cell>
        </row>
        <row r="484">
          <cell r="OF484">
            <v>0.69899081635618199</v>
          </cell>
        </row>
        <row r="485">
          <cell r="OF485">
            <v>1.513707865264502</v>
          </cell>
        </row>
      </sheetData>
      <sheetData sheetId="1">
        <row r="3">
          <cell r="NM3">
            <v>106.40071755950871</v>
          </cell>
        </row>
        <row r="40">
          <cell r="NM40">
            <v>-9.6110738358101688E-2</v>
          </cell>
          <cell r="NN40">
            <v>0.21585252732159166</v>
          </cell>
          <cell r="NO40">
            <v>-0.5326577568831814</v>
          </cell>
          <cell r="NP40">
            <v>-0.18242178801290976</v>
          </cell>
          <cell r="NQ40">
            <v>6.3305358496457131E-2</v>
          </cell>
          <cell r="NR40">
            <v>0.21785551394535307</v>
          </cell>
          <cell r="NS40">
            <v>0.2633560995213724</v>
          </cell>
          <cell r="NT40">
            <v>-9.378201036623901E-2</v>
          </cell>
          <cell r="NU40">
            <v>0.37975926538358351</v>
          </cell>
          <cell r="NV40">
            <v>1.9061743557722499</v>
          </cell>
          <cell r="NW40">
            <v>-0.10593028067288346</v>
          </cell>
          <cell r="NX40">
            <v>0.27748623236054648</v>
          </cell>
        </row>
        <row r="41">
          <cell r="NM41">
            <v>1.0557361720531233E-2</v>
          </cell>
          <cell r="NN41">
            <v>-0.34402099317737411</v>
          </cell>
          <cell r="NO41">
            <v>-9.8298456546686008E-2</v>
          </cell>
          <cell r="NP41">
            <v>-0.15884522324983719</v>
          </cell>
          <cell r="NQ41">
            <v>-4.9641688992829724E-2</v>
          </cell>
          <cell r="NR41">
            <v>0.28710283717225948</v>
          </cell>
          <cell r="NS41">
            <v>0.31067984093073875</v>
          </cell>
          <cell r="NT41">
            <v>0.2363065183967894</v>
          </cell>
          <cell r="NU41">
            <v>6.7039785686229258E-2</v>
          </cell>
          <cell r="NV41">
            <v>2.2188147106846801</v>
          </cell>
          <cell r="NW41">
            <v>-5.8688488234981406E-3</v>
          </cell>
          <cell r="NX41">
            <v>0.17584693751522273</v>
          </cell>
        </row>
        <row r="42">
          <cell r="NM42">
            <v>-0.76450533569455414</v>
          </cell>
          <cell r="NN42">
            <v>1.6191532083829951</v>
          </cell>
          <cell r="NO42">
            <v>-2.1117519625252545</v>
          </cell>
          <cell r="NP42">
            <v>-0.28372928379838402</v>
          </cell>
          <cell r="NQ42">
            <v>0.35627785199754403</v>
          </cell>
          <cell r="NR42">
            <v>0.48134596734390467</v>
          </cell>
          <cell r="NS42">
            <v>-0.11472860446649635</v>
          </cell>
          <cell r="NT42">
            <v>-0.6793317591387904</v>
          </cell>
          <cell r="NU42">
            <v>1.5561087770318727</v>
          </cell>
          <cell r="NV42">
            <v>5.5704702111920357</v>
          </cell>
          <cell r="NW42">
            <v>-0.80966342275781145</v>
          </cell>
          <cell r="NX42">
            <v>0.52020546797482137</v>
          </cell>
        </row>
        <row r="43">
          <cell r="NM43">
            <v>-0.55906526312895499</v>
          </cell>
          <cell r="NN43">
            <v>-0.37667578175881733</v>
          </cell>
          <cell r="NO43">
            <v>-0.81565376099299591</v>
          </cell>
          <cell r="NP43">
            <v>-0.21772336030503325</v>
          </cell>
          <cell r="NQ43">
            <v>-4.3911624253090142E-2</v>
          </cell>
          <cell r="NR43">
            <v>0.91986892634261519</v>
          </cell>
          <cell r="NS43">
            <v>-5.8704092108796679E-2</v>
          </cell>
          <cell r="NT43">
            <v>0.60398950699267484</v>
          </cell>
          <cell r="NU43">
            <v>0.59222679598178729</v>
          </cell>
          <cell r="NV43">
            <v>8.5751912427689767</v>
          </cell>
          <cell r="NW43">
            <v>-0.64761816590311883</v>
          </cell>
          <cell r="NX43">
            <v>0.16947206257358349</v>
          </cell>
        </row>
        <row r="44">
          <cell r="NM44">
            <v>-1.2457216894855905</v>
          </cell>
          <cell r="NN44">
            <v>6.3266260522329532</v>
          </cell>
          <cell r="NO44">
            <v>-4.9760710742055903</v>
          </cell>
          <cell r="NP44">
            <v>-0.43598603418710802</v>
          </cell>
          <cell r="NQ44">
            <v>1.2814239472384692</v>
          </cell>
          <cell r="NR44">
            <v>-0.51915254212756556</v>
          </cell>
          <cell r="NS44">
            <v>-0.24439857036884227</v>
          </cell>
          <cell r="NT44">
            <v>-3.6551362018514166</v>
          </cell>
          <cell r="NU44">
            <v>3.8899940009132994</v>
          </cell>
          <cell r="NV44">
            <v>-1.4740349343439263</v>
          </cell>
          <cell r="NW44">
            <v>-1.2283244771576718</v>
          </cell>
          <cell r="NX44">
            <v>1.431689853992224</v>
          </cell>
        </row>
        <row r="45">
          <cell r="NM45">
            <v>-0.11543838182098698</v>
          </cell>
          <cell r="NN45">
            <v>8.5922811535299459E-3</v>
          </cell>
          <cell r="NO45">
            <v>3.2476794092128891E-2</v>
          </cell>
          <cell r="NP45">
            <v>6.8592187611127287E-3</v>
          </cell>
          <cell r="NQ45">
            <v>0.33240713299858005</v>
          </cell>
          <cell r="NR45">
            <v>-0.24665851013362383</v>
          </cell>
          <cell r="NS45">
            <v>-2.7659227052179158E-2</v>
          </cell>
          <cell r="NT45">
            <v>0.13559153503581722</v>
          </cell>
          <cell r="NU45">
            <v>0.20366275723766591</v>
          </cell>
          <cell r="NV45">
            <v>6.4957800734721793E-2</v>
          </cell>
          <cell r="NW45">
            <v>-5.1024927333198633E-2</v>
          </cell>
          <cell r="NX45">
            <v>9.688793167357268E-2</v>
          </cell>
        </row>
        <row r="46">
          <cell r="NM46">
            <v>5.8022568524429552E-2</v>
          </cell>
          <cell r="NN46">
            <v>-2.165144278870601E-2</v>
          </cell>
          <cell r="NO46">
            <v>-8.7683601526122867E-2</v>
          </cell>
          <cell r="NP46">
            <v>-9.7936504188289586E-2</v>
          </cell>
          <cell r="NQ46">
            <v>0.24987961817137805</v>
          </cell>
          <cell r="NR46">
            <v>0.2741960683671385</v>
          </cell>
          <cell r="NS46">
            <v>0.15571504631237687</v>
          </cell>
          <cell r="NT46">
            <v>-0.69278217696421285</v>
          </cell>
          <cell r="NU46">
            <v>-0.15644332309338038</v>
          </cell>
          <cell r="NV46">
            <v>0.10289275637445083</v>
          </cell>
          <cell r="NW46">
            <v>-6.5073055258724199E-2</v>
          </cell>
          <cell r="NX46">
            <v>-5.2384789789294839E-2</v>
          </cell>
        </row>
        <row r="47">
          <cell r="NM47">
            <v>-4.1942831581620599E-2</v>
          </cell>
          <cell r="NN47">
            <v>-0.99608810448090779</v>
          </cell>
          <cell r="NO47">
            <v>1.4396843469821619E-2</v>
          </cell>
          <cell r="NP47">
            <v>2.5307520854989107E-2</v>
          </cell>
          <cell r="NQ47">
            <v>0.25901159312988753</v>
          </cell>
          <cell r="NR47">
            <v>6.5808462949878965E-2</v>
          </cell>
          <cell r="NS47">
            <v>0.28623528731483994</v>
          </cell>
          <cell r="NT47">
            <v>0.24720544976339909</v>
          </cell>
          <cell r="NU47">
            <v>7.8419721050448921E-2</v>
          </cell>
          <cell r="NV47">
            <v>0.31148416254589417</v>
          </cell>
          <cell r="NW47">
            <v>0.37554509698001226</v>
          </cell>
          <cell r="NX47">
            <v>0.34151340600416802</v>
          </cell>
        </row>
        <row r="48">
          <cell r="NM48">
            <v>0.31131616364437065</v>
          </cell>
          <cell r="NN48">
            <v>0.46679826941125047</v>
          </cell>
          <cell r="NO48">
            <v>0.38380694966011486</v>
          </cell>
          <cell r="NP48">
            <v>0.42019441894727283</v>
          </cell>
          <cell r="NQ48">
            <v>0.5806692583023132</v>
          </cell>
          <cell r="NR48">
            <v>0.28830418491911924</v>
          </cell>
          <cell r="NS48">
            <v>0.47027321944899114</v>
          </cell>
          <cell r="NT48">
            <v>0.54010420605110632</v>
          </cell>
          <cell r="NU48">
            <v>0.14688906382642752</v>
          </cell>
          <cell r="NV48">
            <v>0.19812703541448595</v>
          </cell>
          <cell r="NW48">
            <v>0.54174123838215404</v>
          </cell>
          <cell r="NX48">
            <v>4.9539400800147071E-2</v>
          </cell>
        </row>
        <row r="49">
          <cell r="NM49">
            <v>0.34194304121599739</v>
          </cell>
          <cell r="NN49">
            <v>0.20858000455010739</v>
          </cell>
          <cell r="NO49">
            <v>0.26575940087913974</v>
          </cell>
          <cell r="NP49">
            <v>-1.1256441570099862</v>
          </cell>
          <cell r="NQ49">
            <v>-0.81326658662269624</v>
          </cell>
          <cell r="NR49">
            <v>1.3399944746246062</v>
          </cell>
          <cell r="NS49">
            <v>1.4998464532546718</v>
          </cell>
          <cell r="NT49">
            <v>0.24636547324023983</v>
          </cell>
          <cell r="NU49">
            <v>0.46096427222965808</v>
          </cell>
          <cell r="NV49">
            <v>0.96863689691981669</v>
          </cell>
          <cell r="NW49">
            <v>1.1890048187956914E-2</v>
          </cell>
          <cell r="NX49">
            <v>0.253132674782508</v>
          </cell>
        </row>
        <row r="50">
          <cell r="NM50">
            <v>0.22416565850325032</v>
          </cell>
          <cell r="NN50">
            <v>6.886217876731493E-2</v>
          </cell>
          <cell r="NO50">
            <v>0.37404278784056721</v>
          </cell>
          <cell r="NP50">
            <v>0.15629399091106055</v>
          </cell>
          <cell r="NQ50">
            <v>4.5305185568733641E-2</v>
          </cell>
          <cell r="NR50">
            <v>1.9456519463489919E-2</v>
          </cell>
          <cell r="NS50">
            <v>3.2849509100585372E-2</v>
          </cell>
          <cell r="NT50">
            <v>0.22457472514081367</v>
          </cell>
          <cell r="NU50">
            <v>-0.22964177655006024</v>
          </cell>
          <cell r="NV50">
            <v>1.7733160048494234E-2</v>
          </cell>
          <cell r="NW50">
            <v>7.3390671755380055E-3</v>
          </cell>
          <cell r="NX50">
            <v>3.7829063100236482E-3</v>
          </cell>
        </row>
        <row r="51">
          <cell r="NM51">
            <v>-0.55849369170797303</v>
          </cell>
          <cell r="NN51">
            <v>-0.3043275902536835</v>
          </cell>
          <cell r="NO51">
            <v>-0.15608138100402513</v>
          </cell>
          <cell r="NP51">
            <v>-3.5883795164726173E-2</v>
          </cell>
          <cell r="NQ51">
            <v>-0.91120025164052043</v>
          </cell>
          <cell r="NR51">
            <v>-0.66165173063594818</v>
          </cell>
          <cell r="NS51">
            <v>-5.1478925058856539E-2</v>
          </cell>
          <cell r="NT51">
            <v>0</v>
          </cell>
          <cell r="NU51">
            <v>0</v>
          </cell>
          <cell r="NV51">
            <v>1.3400432676069052</v>
          </cell>
          <cell r="NW51">
            <v>1.470451435921416</v>
          </cell>
          <cell r="NX51">
            <v>6.0625815716530695E-4</v>
          </cell>
        </row>
        <row r="52">
          <cell r="NM52">
            <v>3.0100461746407348E-2</v>
          </cell>
          <cell r="NN52">
            <v>-1.9444594495521272E-2</v>
          </cell>
          <cell r="NO52">
            <v>-9.6476973295844815E-4</v>
          </cell>
          <cell r="NP52">
            <v>0</v>
          </cell>
          <cell r="NQ52">
            <v>-0.34887944638404278</v>
          </cell>
          <cell r="NR52">
            <v>-0.34021795276771849</v>
          </cell>
          <cell r="NS52">
            <v>0</v>
          </cell>
          <cell r="NT52">
            <v>0</v>
          </cell>
          <cell r="NU52">
            <v>-0.60304665133226187</v>
          </cell>
          <cell r="NV52">
            <v>0.1670713583398209</v>
          </cell>
          <cell r="NW52">
            <v>0</v>
          </cell>
          <cell r="NX52">
            <v>0</v>
          </cell>
        </row>
        <row r="53">
          <cell r="NM53">
            <v>-0.33119594774791983</v>
          </cell>
          <cell r="NN53">
            <v>-7.1441838080532616E-2</v>
          </cell>
          <cell r="NO53">
            <v>0.56220988173829589</v>
          </cell>
          <cell r="NP53">
            <v>-1.801412419111903</v>
          </cell>
          <cell r="NQ53">
            <v>0.2064207726525602</v>
          </cell>
          <cell r="NR53">
            <v>9.6157476923686147E-2</v>
          </cell>
          <cell r="NS53">
            <v>3.201670804735568</v>
          </cell>
          <cell r="NT53">
            <v>3.253922321024838E-2</v>
          </cell>
          <cell r="NU53">
            <v>-0.9074482060068445</v>
          </cell>
          <cell r="NV53">
            <v>-4.4311133165719774E-3</v>
          </cell>
          <cell r="NW53">
            <v>-1.0779117790626902E-2</v>
          </cell>
          <cell r="NX53">
            <v>-1.0676265367759452E-2</v>
          </cell>
        </row>
        <row r="54">
          <cell r="NM54">
            <v>3.9704154473827691</v>
          </cell>
          <cell r="NN54">
            <v>0</v>
          </cell>
          <cell r="NO54">
            <v>0.41176241660521029</v>
          </cell>
          <cell r="NP54">
            <v>-2.9430953977738206E-2</v>
          </cell>
          <cell r="NQ54">
            <v>0</v>
          </cell>
          <cell r="NR54">
            <v>0</v>
          </cell>
          <cell r="NS54">
            <v>0</v>
          </cell>
          <cell r="NT54">
            <v>0</v>
          </cell>
          <cell r="NU54">
            <v>0</v>
          </cell>
          <cell r="NV54">
            <v>0</v>
          </cell>
          <cell r="NW54">
            <v>0</v>
          </cell>
          <cell r="NX54">
            <v>0</v>
          </cell>
        </row>
        <row r="55">
          <cell r="NM55">
            <v>0.51293511758470078</v>
          </cell>
          <cell r="NN55">
            <v>3.563672865349865E-2</v>
          </cell>
          <cell r="NO55">
            <v>2.251384399079015E-2</v>
          </cell>
          <cell r="NP55">
            <v>1.4940433337472303</v>
          </cell>
          <cell r="NQ55">
            <v>0</v>
          </cell>
          <cell r="NR55">
            <v>8.3256526239838813E-2</v>
          </cell>
          <cell r="NS55">
            <v>-1.5473574677402069</v>
          </cell>
          <cell r="NT55">
            <v>3.7490432980291644E-7</v>
          </cell>
          <cell r="NU55">
            <v>5.557929171620124E-2</v>
          </cell>
          <cell r="NV55">
            <v>2.8121259795021336</v>
          </cell>
          <cell r="NW55">
            <v>-5.1020233036502827E-2</v>
          </cell>
          <cell r="NX55">
            <v>6.7739929116461539E-2</v>
          </cell>
        </row>
        <row r="56">
          <cell r="NM56">
            <v>8.0446273254297651E-2</v>
          </cell>
          <cell r="NN56">
            <v>-8.4661937822116951E-2</v>
          </cell>
          <cell r="NO56">
            <v>-9.5951769771884798E-2</v>
          </cell>
          <cell r="NP56">
            <v>0.18894369691331292</v>
          </cell>
          <cell r="NQ56">
            <v>-1.7051557258040972E-2</v>
          </cell>
          <cell r="NR56">
            <v>-1.7762795792775066E-2</v>
          </cell>
          <cell r="NS56">
            <v>0.10503557413417131</v>
          </cell>
          <cell r="NT56">
            <v>0.38432250083757502</v>
          </cell>
          <cell r="NU56">
            <v>-0.39783516681896058</v>
          </cell>
          <cell r="NV56">
            <v>-2.6178143989719072E-2</v>
          </cell>
          <cell r="NW56">
            <v>-0.39734464888194765</v>
          </cell>
          <cell r="NX56">
            <v>0.35869326559008208</v>
          </cell>
        </row>
      </sheetData>
      <sheetData sheetId="2"/>
      <sheetData sheetId="3"/>
      <sheetData sheetId="4">
        <row r="3">
          <cell r="OC3">
            <v>108.23342334232696</v>
          </cell>
          <cell r="OF3">
            <v>0.80139984913900619</v>
          </cell>
        </row>
        <row r="38">
          <cell r="OF38">
            <v>-4.6933532157458995</v>
          </cell>
        </row>
        <row r="156">
          <cell r="OF156">
            <v>2.7676857673750721</v>
          </cell>
        </row>
        <row r="167">
          <cell r="OF167">
            <v>-0.83209932707477563</v>
          </cell>
        </row>
        <row r="207">
          <cell r="OF207">
            <v>1.9772462101365074</v>
          </cell>
        </row>
        <row r="209">
          <cell r="OF209">
            <v>3.8750283815151443</v>
          </cell>
        </row>
        <row r="240">
          <cell r="OF240">
            <v>1.6650761540538461</v>
          </cell>
        </row>
        <row r="292">
          <cell r="OF292">
            <v>0.98661137085298556</v>
          </cell>
        </row>
        <row r="322">
          <cell r="OF322">
            <v>9.8757790685599645E-2</v>
          </cell>
        </row>
        <row r="348">
          <cell r="OF348">
            <v>-0.48061759014536021</v>
          </cell>
        </row>
        <row r="360">
          <cell r="OF360">
            <v>-0.58954023954889134</v>
          </cell>
        </row>
        <row r="405">
          <cell r="OF405">
            <v>6.971229819200242</v>
          </cell>
        </row>
        <row r="421">
          <cell r="OF421">
            <v>1.4533403825192304</v>
          </cell>
        </row>
        <row r="438">
          <cell r="OF438">
            <v>-0.45507264100809186</v>
          </cell>
        </row>
        <row r="484">
          <cell r="OF484">
            <v>1.2511160314853997</v>
          </cell>
        </row>
        <row r="485">
          <cell r="OF485">
            <v>0.50222431219935082</v>
          </cell>
        </row>
      </sheetData>
      <sheetData sheetId="5">
        <row r="3">
          <cell r="NN3">
            <v>107.80747544854762</v>
          </cell>
        </row>
        <row r="39">
          <cell r="NN39">
            <v>0.1466545323528079</v>
          </cell>
          <cell r="NO39">
            <v>1.3255168985115695E-2</v>
          </cell>
          <cell r="NP39">
            <v>-0.3274438422036674</v>
          </cell>
          <cell r="NQ39">
            <v>0.16072487746066066</v>
          </cell>
          <cell r="NR39">
            <v>5.6333098875827048E-2</v>
          </cell>
          <cell r="NS39">
            <v>7.6068886805424896E-2</v>
          </cell>
          <cell r="NT39">
            <v>0.27430892293893727</v>
          </cell>
          <cell r="NU39">
            <v>-0.33586106193795873</v>
          </cell>
          <cell r="NV39">
            <v>0.59601507895374883</v>
          </cell>
          <cell r="NW39">
            <v>0.93823043145353502</v>
          </cell>
          <cell r="NX39">
            <v>5.0582922237074612E-2</v>
          </cell>
          <cell r="NY39">
            <v>0.16810830566624801</v>
          </cell>
        </row>
        <row r="40">
          <cell r="NN40">
            <v>0.22850876931264086</v>
          </cell>
          <cell r="NO40">
            <v>-0.12880454188736179</v>
          </cell>
          <cell r="NP40">
            <v>-0.12151652714832428</v>
          </cell>
          <cell r="NQ40">
            <v>0.12362954482274535</v>
          </cell>
          <cell r="NR40">
            <v>9.4030707577097417E-2</v>
          </cell>
          <cell r="NS40">
            <v>0.31742469557323183</v>
          </cell>
          <cell r="NT40">
            <v>0.18825535316038255</v>
          </cell>
          <cell r="NU40">
            <v>0.15354655887327429</v>
          </cell>
          <cell r="NV40">
            <v>7.847164899474901E-2</v>
          </cell>
          <cell r="NW40">
            <v>1.3130248127914523</v>
          </cell>
          <cell r="NX40">
            <v>6.454746344819462E-2</v>
          </cell>
          <cell r="NY40">
            <v>6.3414163835795456E-2</v>
          </cell>
        </row>
        <row r="41">
          <cell r="NN41">
            <v>-0.68939707539815709</v>
          </cell>
          <cell r="NO41">
            <v>0.26085989856290404</v>
          </cell>
          <cell r="NP41">
            <v>-1.6853745699649592</v>
          </cell>
          <cell r="NQ41">
            <v>-6.946343023894741E-4</v>
          </cell>
          <cell r="NR41">
            <v>-5.8754494341928254E-2</v>
          </cell>
          <cell r="NS41">
            <v>-0.27627154421113742</v>
          </cell>
          <cell r="NT41">
            <v>9.9333992148142869E-2</v>
          </cell>
          <cell r="NU41">
            <v>-1.6663614437538277</v>
          </cell>
          <cell r="NV41">
            <v>2.4397429421849637</v>
          </cell>
          <cell r="NW41">
            <v>2.8173570819614691</v>
          </cell>
          <cell r="NX41">
            <v>-0.33817080407234634</v>
          </cell>
          <cell r="NY41">
            <v>0.25942086150989585</v>
          </cell>
        </row>
        <row r="42">
          <cell r="NN42">
            <v>-0.60765332852276144</v>
          </cell>
          <cell r="NO42">
            <v>-0.43948881894350089</v>
          </cell>
          <cell r="NP42">
            <v>-1.1369528257447636</v>
          </cell>
          <cell r="NQ42">
            <v>-0.29008342449601265</v>
          </cell>
          <cell r="NR42">
            <v>0.10760061867221005</v>
          </cell>
          <cell r="NS42">
            <v>0.96762760691966321</v>
          </cell>
          <cell r="NT42">
            <v>-0.47634297867347186</v>
          </cell>
          <cell r="NU42">
            <v>0.58539724551218697</v>
          </cell>
          <cell r="NV42">
            <v>0.2086665408996824</v>
          </cell>
          <cell r="NW42">
            <v>5.8356805822542768</v>
          </cell>
          <cell r="NX42">
            <v>-0.41970337469742214</v>
          </cell>
          <cell r="NY42">
            <v>-0.28675182332565941</v>
          </cell>
        </row>
        <row r="43">
          <cell r="NN43">
            <v>-0.86779625908128821</v>
          </cell>
          <cell r="NO43">
            <v>1.7933258839054833</v>
          </cell>
          <cell r="NP43">
            <v>-2.8590796523723983</v>
          </cell>
          <cell r="NQ43">
            <v>0.62962059748523647</v>
          </cell>
          <cell r="NR43">
            <v>-0.41777955910691222</v>
          </cell>
          <cell r="NS43">
            <v>-2.9749990380568581</v>
          </cell>
          <cell r="NT43">
            <v>1.3990582205096525</v>
          </cell>
          <cell r="NU43">
            <v>-6.6562013294601314</v>
          </cell>
          <cell r="NV43">
            <v>7.7673068753694396</v>
          </cell>
          <cell r="NW43">
            <v>-3.8845478944992462</v>
          </cell>
          <cell r="NX43">
            <v>-0.13882710637267426</v>
          </cell>
          <cell r="NY43">
            <v>1.5910340994364391</v>
          </cell>
        </row>
        <row r="44">
          <cell r="NN44">
            <v>-0.21750649001488487</v>
          </cell>
          <cell r="NO44">
            <v>0.10085110560642541</v>
          </cell>
          <cell r="NP44">
            <v>7.6000105202211898E-2</v>
          </cell>
          <cell r="NQ44">
            <v>-0.10414189660979956</v>
          </cell>
          <cell r="NR44">
            <v>0.10891137603132872</v>
          </cell>
          <cell r="NS44">
            <v>-8.4306279198742562E-2</v>
          </cell>
          <cell r="NT44">
            <v>0</v>
          </cell>
          <cell r="NU44">
            <v>2.6527135266252166E-2</v>
          </cell>
          <cell r="NV44">
            <v>-0.15665333969299144</v>
          </cell>
          <cell r="NW44">
            <v>0.50678118694098551</v>
          </cell>
          <cell r="NX44">
            <v>-6.2597366771222074E-2</v>
          </cell>
          <cell r="NY44">
            <v>0.49343789827041018</v>
          </cell>
        </row>
        <row r="45">
          <cell r="NN45">
            <v>-1.3354306618706957E-2</v>
          </cell>
          <cell r="NO45">
            <v>-0.11587892172677527</v>
          </cell>
          <cell r="NP45">
            <v>7.5557008757787258E-2</v>
          </cell>
          <cell r="NQ45">
            <v>-0.10828135861975507</v>
          </cell>
          <cell r="NR45">
            <v>-0.29360666612102682</v>
          </cell>
          <cell r="NS45">
            <v>8.6669551112317222E-2</v>
          </cell>
          <cell r="NT45">
            <v>0.23364440570039502</v>
          </cell>
          <cell r="NU45">
            <v>-5.54487747093102E-3</v>
          </cell>
          <cell r="NV45">
            <v>-0.16307532544186376</v>
          </cell>
          <cell r="NW45">
            <v>0.34579147799806975</v>
          </cell>
          <cell r="NX45">
            <v>0</v>
          </cell>
          <cell r="NY45">
            <v>-2.5822661168795058E-3</v>
          </cell>
        </row>
        <row r="46">
          <cell r="NN46">
            <v>-8.5751375530707108E-2</v>
          </cell>
          <cell r="NO46">
            <v>-0.11894187579422066</v>
          </cell>
          <cell r="NP46">
            <v>0.10201776581977295</v>
          </cell>
          <cell r="NQ46">
            <v>0.37434540610361555</v>
          </cell>
          <cell r="NR46">
            <v>0.46021645905391928</v>
          </cell>
          <cell r="NS46">
            <v>9.6505844850058864E-2</v>
          </cell>
          <cell r="NT46">
            <v>0.37388267548634779</v>
          </cell>
          <cell r="NU46">
            <v>0.11743991475570148</v>
          </cell>
          <cell r="NV46">
            <v>0.11837485946060156</v>
          </cell>
          <cell r="NW46">
            <v>0.419745862900478</v>
          </cell>
          <cell r="NX46">
            <v>0.47424843345291734</v>
          </cell>
          <cell r="NY46">
            <v>0.10100535356893925</v>
          </cell>
        </row>
        <row r="47">
          <cell r="NN47">
            <v>0.32598714416895991</v>
          </cell>
          <cell r="NO47">
            <v>0.48872496898813012</v>
          </cell>
          <cell r="NP47">
            <v>0.40174765558398384</v>
          </cell>
          <cell r="NQ47">
            <v>0.4397574300081919</v>
          </cell>
          <cell r="NR47">
            <v>0.60758513931888913</v>
          </cell>
          <cell r="NS47">
            <v>0.30158730158729163</v>
          </cell>
          <cell r="NT47">
            <v>0.4918750961318219</v>
          </cell>
          <cell r="NU47">
            <v>0.15432098765431057</v>
          </cell>
          <cell r="NV47">
            <v>0.1541950113378654</v>
          </cell>
          <cell r="NW47">
            <v>0.20796627829875458</v>
          </cell>
          <cell r="NX47">
            <v>0.56858896940419346</v>
          </cell>
          <cell r="NY47">
            <v>5.1980604865220492E-2</v>
          </cell>
        </row>
        <row r="48">
          <cell r="NN48">
            <v>0.91990160340513771</v>
          </cell>
          <cell r="NO48">
            <v>-2.0195566214531446E-2</v>
          </cell>
          <cell r="NP48">
            <v>0.51421821090062991</v>
          </cell>
          <cell r="NQ48">
            <v>-1.3099049754649261</v>
          </cell>
          <cell r="NR48">
            <v>-1.349879418581168</v>
          </cell>
          <cell r="NS48">
            <v>1.5183076083614688</v>
          </cell>
          <cell r="NT48">
            <v>2.3338210040174223</v>
          </cell>
          <cell r="NU48">
            <v>-9.4609801974221419E-2</v>
          </cell>
          <cell r="NV48">
            <v>0.53419410691704083</v>
          </cell>
          <cell r="NW48">
            <v>1.4595776921358494</v>
          </cell>
          <cell r="NX48">
            <v>-5.9898743340847105E-2</v>
          </cell>
          <cell r="NY48">
            <v>0.2812736470700905</v>
          </cell>
        </row>
        <row r="49">
          <cell r="NN49">
            <v>0.34943034620158464</v>
          </cell>
          <cell r="NO49">
            <v>0.23686505026609961</v>
          </cell>
          <cell r="NP49">
            <v>0.26225099544263664</v>
          </cell>
          <cell r="NQ49">
            <v>1.8357716563532911E-2</v>
          </cell>
          <cell r="NR49">
            <v>0</v>
          </cell>
          <cell r="NS49">
            <v>9.4883352585117819E-3</v>
          </cell>
          <cell r="NT49">
            <v>0.11314701128397608</v>
          </cell>
          <cell r="NU49">
            <v>0.18013295647199001</v>
          </cell>
          <cell r="NV49">
            <v>5.5525584393478766E-3</v>
          </cell>
          <cell r="NW49">
            <v>8.9961918943703978E-2</v>
          </cell>
          <cell r="NX49">
            <v>-6.9820560500533091E-2</v>
          </cell>
          <cell r="NY49">
            <v>5.8742810693512837E-4</v>
          </cell>
        </row>
        <row r="50">
          <cell r="NN50">
            <v>4.8131401032636134E-2</v>
          </cell>
          <cell r="NO50">
            <v>-7.6404544918218242E-2</v>
          </cell>
          <cell r="NP50">
            <v>-5.3302256739085063E-2</v>
          </cell>
          <cell r="NQ50">
            <v>-7.4902655753061875E-2</v>
          </cell>
          <cell r="NR50">
            <v>2.0598317052034076E-6</v>
          </cell>
          <cell r="NS50">
            <v>0</v>
          </cell>
          <cell r="NT50">
            <v>-4.5362759003730879E-2</v>
          </cell>
          <cell r="NU50">
            <v>0</v>
          </cell>
          <cell r="NV50">
            <v>0</v>
          </cell>
          <cell r="NW50">
            <v>1.9064535464496934E-2</v>
          </cell>
          <cell r="NX50">
            <v>-1.906090159214946E-2</v>
          </cell>
          <cell r="NY50">
            <v>0</v>
          </cell>
        </row>
        <row r="51">
          <cell r="NN51">
            <v>6.5696994122621533E-2</v>
          </cell>
          <cell r="NO51">
            <v>-6.5653861509074041E-2</v>
          </cell>
          <cell r="NP51">
            <v>0</v>
          </cell>
          <cell r="NQ51">
            <v>0</v>
          </cell>
          <cell r="NR51">
            <v>0</v>
          </cell>
          <cell r="NS51">
            <v>0</v>
          </cell>
          <cell r="NT51">
            <v>0</v>
          </cell>
          <cell r="NU51">
            <v>0</v>
          </cell>
          <cell r="NV51">
            <v>0</v>
          </cell>
          <cell r="NW51">
            <v>0</v>
          </cell>
          <cell r="NX51">
            <v>0</v>
          </cell>
          <cell r="NY51">
            <v>0</v>
          </cell>
        </row>
        <row r="52">
          <cell r="NN52">
            <v>-0.24251811753362995</v>
          </cell>
          <cell r="NO52">
            <v>-4.0959162756804002E-2</v>
          </cell>
          <cell r="NP52">
            <v>2.079624271433822E-3</v>
          </cell>
          <cell r="NQ52">
            <v>-0.22362093173114994</v>
          </cell>
          <cell r="NR52">
            <v>0.19956178122215729</v>
          </cell>
          <cell r="NS52">
            <v>4.6789516504586182E-2</v>
          </cell>
          <cell r="NT52">
            <v>2.7855859790397508</v>
          </cell>
          <cell r="NU52">
            <v>-9.4909005983034866E-2</v>
          </cell>
          <cell r="NV52">
            <v>-0.82084068411791833</v>
          </cell>
          <cell r="NW52">
            <v>-7.3752946853189449E-3</v>
          </cell>
          <cell r="NX52">
            <v>0</v>
          </cell>
          <cell r="NY52">
            <v>0</v>
          </cell>
        </row>
        <row r="53">
          <cell r="NN53">
            <v>6.9712298192002198</v>
          </cell>
          <cell r="NO53">
            <v>0</v>
          </cell>
          <cell r="NP53">
            <v>0</v>
          </cell>
          <cell r="NQ53">
            <v>0</v>
          </cell>
          <cell r="NR53">
            <v>0</v>
          </cell>
          <cell r="NS53">
            <v>0</v>
          </cell>
          <cell r="NT53">
            <v>0</v>
          </cell>
          <cell r="NU53">
            <v>0</v>
          </cell>
          <cell r="NV53">
            <v>0</v>
          </cell>
          <cell r="NW53">
            <v>0</v>
          </cell>
          <cell r="NX53">
            <v>0</v>
          </cell>
          <cell r="NY53">
            <v>0</v>
          </cell>
        </row>
        <row r="54">
          <cell r="NN54">
            <v>0.48553255985084309</v>
          </cell>
          <cell r="NO54">
            <v>5.4917142756494286E-2</v>
          </cell>
          <cell r="NP54">
            <v>0</v>
          </cell>
          <cell r="NQ54">
            <v>2.3056882585587246</v>
          </cell>
          <cell r="NR54">
            <v>0</v>
          </cell>
          <cell r="NS54">
            <v>0.12728676011564133</v>
          </cell>
          <cell r="NT54">
            <v>-2.333802374443783</v>
          </cell>
          <cell r="NU54">
            <v>8.321339316497145E-3</v>
          </cell>
          <cell r="NV54">
            <v>0</v>
          </cell>
          <cell r="NW54">
            <v>0.50700007826094406</v>
          </cell>
          <cell r="NX54">
            <v>-8.043640745123426E-2</v>
          </cell>
          <cell r="NY54">
            <v>0.10682743532830496</v>
          </cell>
        </row>
        <row r="55">
          <cell r="NN55">
            <v>0.18258566320408232</v>
          </cell>
          <cell r="NO55">
            <v>-0.13507195505843006</v>
          </cell>
          <cell r="NP55">
            <v>-0.1466222161641495</v>
          </cell>
          <cell r="NQ55">
            <v>0.39167882980177815</v>
          </cell>
          <cell r="NR55">
            <v>-2.7400487688455932E-3</v>
          </cell>
          <cell r="NS55">
            <v>7.1037722406241954E-3</v>
          </cell>
          <cell r="NT55">
            <v>-0.37313927924210732</v>
          </cell>
          <cell r="NU55">
            <v>0.18130282453576729</v>
          </cell>
          <cell r="NV55">
            <v>6.1243522162302E-3</v>
          </cell>
          <cell r="NW55">
            <v>-5.2646772402020758E-2</v>
          </cell>
          <cell r="NX55">
            <v>-0.33353777405392693</v>
          </cell>
          <cell r="NY55">
            <v>0.71283521716396514</v>
          </cell>
        </row>
      </sheetData>
      <sheetData sheetId="6"/>
      <sheetData sheetId="7">
        <row r="3">
          <cell r="OF3">
            <v>0.24242056068641826</v>
          </cell>
        </row>
        <row r="4">
          <cell r="OF4">
            <v>1.6772323546776491</v>
          </cell>
        </row>
        <row r="38">
          <cell r="OF38">
            <v>0.56758624638395538</v>
          </cell>
        </row>
        <row r="156">
          <cell r="OF156">
            <v>4.4450749912726906</v>
          </cell>
        </row>
        <row r="167">
          <cell r="OF167">
            <v>-0.35247036346628402</v>
          </cell>
        </row>
        <row r="207">
          <cell r="OF207">
            <v>-3.0981759656707575</v>
          </cell>
        </row>
        <row r="209">
          <cell r="OF209">
            <v>1.4199978102373834</v>
          </cell>
        </row>
        <row r="240">
          <cell r="OF240">
            <v>0.44382030411909135</v>
          </cell>
        </row>
        <row r="292">
          <cell r="OF292">
            <v>2.1436960819280593</v>
          </cell>
        </row>
        <row r="322">
          <cell r="OF322">
            <v>-2.8446347980011888</v>
          </cell>
        </row>
        <row r="348">
          <cell r="OF348">
            <v>-0.99737385407761003</v>
          </cell>
        </row>
        <row r="360">
          <cell r="OF360">
            <v>-1.5780953598711234</v>
          </cell>
        </row>
        <row r="405">
          <cell r="OF405">
            <v>2.053837201424602</v>
          </cell>
        </row>
        <row r="421">
          <cell r="OF421">
            <v>2.2202974558949373</v>
          </cell>
        </row>
        <row r="438">
          <cell r="OF438">
            <v>-0.13575106763157319</v>
          </cell>
        </row>
        <row r="484">
          <cell r="OF484">
            <v>0.20833197757603727</v>
          </cell>
        </row>
        <row r="485">
          <cell r="OF485">
            <v>2.1350084671010405</v>
          </cell>
        </row>
      </sheetData>
      <sheetData sheetId="8">
        <row r="3">
          <cell r="NN3">
            <v>105.1974803361735</v>
          </cell>
        </row>
        <row r="39">
          <cell r="NN39">
            <v>-0.30794008155210495</v>
          </cell>
          <cell r="NO39">
            <v>0.39343872807147129</v>
          </cell>
          <cell r="NP39">
            <v>-0.71185630035360825</v>
          </cell>
          <cell r="NQ39">
            <v>-0.48322720871623037</v>
          </cell>
          <cell r="NR39">
            <v>6.945685243611166E-2</v>
          </cell>
          <cell r="NS39">
            <v>0.34293479084417378</v>
          </cell>
          <cell r="NT39">
            <v>0.25371959310807046</v>
          </cell>
          <cell r="NU39">
            <v>0.11924757439218947</v>
          </cell>
          <cell r="NV39">
            <v>0.19031919566283584</v>
          </cell>
          <cell r="NW39">
            <v>2.7575265677516336</v>
          </cell>
          <cell r="NX39">
            <v>-0.24115375630325842</v>
          </cell>
          <cell r="NY39">
            <v>0.37226237036813714</v>
          </cell>
        </row>
        <row r="40">
          <cell r="NN40">
            <v>-0.18364619022492867</v>
          </cell>
          <cell r="NO40">
            <v>-0.53657941772801143</v>
          </cell>
          <cell r="NP40">
            <v>-7.7439621812003256E-2</v>
          </cell>
          <cell r="NQ40">
            <v>-0.41250520815386826</v>
          </cell>
          <cell r="NR40">
            <v>-0.1793528704143732</v>
          </cell>
          <cell r="NS40">
            <v>0.25965249949007063</v>
          </cell>
          <cell r="NT40">
            <v>0.42157442878938411</v>
          </cell>
          <cell r="NU40">
            <v>0.31109799596436005</v>
          </cell>
          <cell r="NV40">
            <v>5.6724857347978386E-2</v>
          </cell>
          <cell r="NW40">
            <v>3.0362832474605694</v>
          </cell>
          <cell r="NX40">
            <v>-6.8356175946326925E-2</v>
          </cell>
          <cell r="NY40">
            <v>0.27575230003151763</v>
          </cell>
        </row>
        <row r="41">
          <cell r="NN41">
            <v>-0.81255469391789958</v>
          </cell>
          <cell r="NO41">
            <v>2.4891794744873685</v>
          </cell>
          <cell r="NP41">
            <v>-2.378921156875724</v>
          </cell>
          <cell r="NQ41">
            <v>-0.46233951934172568</v>
          </cell>
          <cell r="NR41">
            <v>0.61940050379161171</v>
          </cell>
          <cell r="NS41">
            <v>0.95842389952880414</v>
          </cell>
          <cell r="NT41">
            <v>-0.2478770370970329</v>
          </cell>
          <cell r="NU41">
            <v>-6.3255428018937909E-2</v>
          </cell>
          <cell r="NV41">
            <v>1.0134164013221536</v>
          </cell>
          <cell r="NW41">
            <v>7.2851960759045653</v>
          </cell>
          <cell r="NX41">
            <v>-1.0910945798461524</v>
          </cell>
          <cell r="NY41">
            <v>0.67705119393843827</v>
          </cell>
        </row>
        <row r="42">
          <cell r="NN42">
            <v>-0.52906061502285828</v>
          </cell>
          <cell r="NO42">
            <v>-0.33791741671350684</v>
          </cell>
          <cell r="NP42">
            <v>-0.61760037275950808</v>
          </cell>
          <cell r="NQ42">
            <v>-0.17335266113872594</v>
          </cell>
          <cell r="NR42">
            <v>-0.13670926248956494</v>
          </cell>
          <cell r="NS42">
            <v>0.890546311539131</v>
          </cell>
          <cell r="NT42">
            <v>0.19791146566823237</v>
          </cell>
          <cell r="NU42">
            <v>0.61533652982785902</v>
          </cell>
          <cell r="NV42">
            <v>0.8262473807884696</v>
          </cell>
          <cell r="NW42">
            <v>10.236403533964245</v>
          </cell>
          <cell r="NX42">
            <v>-0.78030618876907543</v>
          </cell>
          <cell r="NY42">
            <v>0.43604297860910801</v>
          </cell>
        </row>
        <row r="43">
          <cell r="NN43">
            <v>-1.508080817110935</v>
          </cell>
          <cell r="NO43">
            <v>9.4941411891096052</v>
          </cell>
          <cell r="NP43">
            <v>-6.3512263630478234</v>
          </cell>
          <cell r="NQ43">
            <v>-1.1539946888666552</v>
          </cell>
          <cell r="NR43">
            <v>2.4470114239168561</v>
          </cell>
          <cell r="NS43">
            <v>1.1183546139842404</v>
          </cell>
          <cell r="NT43">
            <v>-1.2958614396250012</v>
          </cell>
          <cell r="NU43">
            <v>-1.682669730027353</v>
          </cell>
          <cell r="NV43">
            <v>1.4705228379475743</v>
          </cell>
          <cell r="NW43">
            <v>0.12348470377867571</v>
          </cell>
          <cell r="NX43">
            <v>-1.9214632258756748</v>
          </cell>
          <cell r="NY43">
            <v>1.328472419554072</v>
          </cell>
        </row>
        <row r="44">
          <cell r="NN44">
            <v>-8.1195506171494181E-2</v>
          </cell>
          <cell r="NO44">
            <v>-2.2317448271014229E-2</v>
          </cell>
          <cell r="NP44">
            <v>1.7877094531471016E-2</v>
          </cell>
          <cell r="NQ44">
            <v>4.4115683335821387E-2</v>
          </cell>
          <cell r="NR44">
            <v>0.40731018474446934</v>
          </cell>
          <cell r="NS44">
            <v>-0.30090802969817698</v>
          </cell>
          <cell r="NT44">
            <v>-3.6921555562174913E-2</v>
          </cell>
          <cell r="NU44">
            <v>0.17212774818591292</v>
          </cell>
          <cell r="NV44">
            <v>0.32419201302975598</v>
          </cell>
          <cell r="NW44">
            <v>-8.2128074616671931E-2</v>
          </cell>
          <cell r="NX44">
            <v>-4.7149680454872112E-2</v>
          </cell>
          <cell r="NY44">
            <v>-3.5883687252702412E-2</v>
          </cell>
        </row>
        <row r="45">
          <cell r="NN45">
            <v>0.10242225449685893</v>
          </cell>
          <cell r="NO45">
            <v>3.6894573867263247E-2</v>
          </cell>
          <cell r="NP45">
            <v>-0.1889544015560074</v>
          </cell>
          <cell r="NQ45">
            <v>-9.1501781639635738E-2</v>
          </cell>
          <cell r="NR45">
            <v>0.58788303054955193</v>
          </cell>
          <cell r="NS45">
            <v>0.38979997832997437</v>
          </cell>
          <cell r="NT45">
            <v>0.10781922880385153</v>
          </cell>
          <cell r="NU45">
            <v>-1.1156929295683238</v>
          </cell>
          <cell r="NV45">
            <v>-0.15231631595828965</v>
          </cell>
          <cell r="NW45">
            <v>-4.8243610429676842E-2</v>
          </cell>
          <cell r="NX45">
            <v>-0.10572241217877698</v>
          </cell>
          <cell r="NY45">
            <v>-8.3527988841103351E-2</v>
          </cell>
        </row>
        <row r="46">
          <cell r="NN46">
            <v>4.7782675714858058E-2</v>
          </cell>
          <cell r="NO46">
            <v>-2.7901980875958521</v>
          </cell>
          <cell r="NP46">
            <v>-0.16974732041531437</v>
          </cell>
          <cell r="NQ46">
            <v>-0.71022752239101594</v>
          </cell>
          <cell r="NR46">
            <v>-0.16962326845511022</v>
          </cell>
          <cell r="NS46">
            <v>0</v>
          </cell>
          <cell r="NT46">
            <v>9.8157153647338014E-2</v>
          </cell>
          <cell r="NU46">
            <v>0.52642982707375996</v>
          </cell>
          <cell r="NV46">
            <v>-7.2043919947084589E-3</v>
          </cell>
          <cell r="NW46">
            <v>7.9187285641668659E-2</v>
          </cell>
          <cell r="NX46">
            <v>0.16303688920815684</v>
          </cell>
          <cell r="NY46">
            <v>0.86093593136042923</v>
          </cell>
        </row>
        <row r="47">
          <cell r="NN47">
            <v>0</v>
          </cell>
          <cell r="NO47">
            <v>0</v>
          </cell>
          <cell r="NP47">
            <v>0</v>
          </cell>
          <cell r="NQ47">
            <v>0</v>
          </cell>
          <cell r="NR47">
            <v>0</v>
          </cell>
          <cell r="NS47">
            <v>0</v>
          </cell>
          <cell r="NT47">
            <v>0</v>
          </cell>
          <cell r="NU47">
            <v>8.9799215374819283</v>
          </cell>
          <cell r="NV47">
            <v>0</v>
          </cell>
          <cell r="NW47">
            <v>0</v>
          </cell>
          <cell r="NX47">
            <v>0</v>
          </cell>
          <cell r="NY47">
            <v>0</v>
          </cell>
        </row>
        <row r="48">
          <cell r="NN48">
            <v>-1.6693665145461889E-2</v>
          </cell>
          <cell r="NO48">
            <v>0.35187037553490175</v>
          </cell>
          <cell r="NP48">
            <v>0.11071768292443274</v>
          </cell>
          <cell r="NQ48">
            <v>-1.0101994326034314</v>
          </cell>
          <cell r="NR48">
            <v>-0.47808105265135792</v>
          </cell>
          <cell r="NS48">
            <v>1.2295900636961399</v>
          </cell>
          <cell r="NT48">
            <v>0.98200980691198758</v>
          </cell>
          <cell r="NU48">
            <v>0.4609201829724352</v>
          </cell>
          <cell r="NV48">
            <v>0.41514006229250722</v>
          </cell>
          <cell r="NW48">
            <v>0.66106216333219336</v>
          </cell>
          <cell r="NX48">
            <v>5.7222553277824773E-2</v>
          </cell>
          <cell r="NY48">
            <v>0.23538328132530761</v>
          </cell>
        </row>
        <row r="49">
          <cell r="NN49">
            <v>0.1729116188714297</v>
          </cell>
          <cell r="NO49">
            <v>0</v>
          </cell>
          <cell r="NP49">
            <v>0.41997331707379626</v>
          </cell>
          <cell r="NQ49">
            <v>0.21287717345113144</v>
          </cell>
          <cell r="NR49">
            <v>6.3853864376905989E-2</v>
          </cell>
          <cell r="NS49">
            <v>2.3535051677514573E-2</v>
          </cell>
          <cell r="NT49">
            <v>0</v>
          </cell>
          <cell r="NU49">
            <v>0.24277631381814935</v>
          </cell>
          <cell r="NV49">
            <v>-0.32590786724686627</v>
          </cell>
          <cell r="NW49">
            <v>-1.1928705121955208E-2</v>
          </cell>
          <cell r="NX49">
            <v>3.9058160167537714E-2</v>
          </cell>
          <cell r="NY49">
            <v>5.0950867789945065E-3</v>
          </cell>
        </row>
        <row r="50">
          <cell r="NN50">
            <v>-1.0464704089864219</v>
          </cell>
          <cell r="NO50">
            <v>-0.48969981465858403</v>
          </cell>
          <cell r="NP50">
            <v>-0.24001990949394925</v>
          </cell>
          <cell r="NQ50">
            <v>-3.9578974893372809E-3</v>
          </cell>
          <cell r="NR50">
            <v>-1.6562325769582831</v>
          </cell>
          <cell r="NS50">
            <v>-1.2117533503475331</v>
          </cell>
          <cell r="NT50">
            <v>-5.6626319646779777E-2</v>
          </cell>
          <cell r="NU50">
            <v>0</v>
          </cell>
          <cell r="NV50">
            <v>0</v>
          </cell>
          <cell r="NW50">
            <v>2.4519105756780402</v>
          </cell>
          <cell r="NX50">
            <v>2.6944022537477519</v>
          </cell>
          <cell r="NY50">
            <v>1.0912650350469733E-3</v>
          </cell>
        </row>
        <row r="51">
          <cell r="NN51">
            <v>0</v>
          </cell>
          <cell r="NO51">
            <v>1.9655676625607299E-2</v>
          </cell>
          <cell r="NP51">
            <v>-1.7804196183135446E-3</v>
          </cell>
          <cell r="NQ51">
            <v>0</v>
          </cell>
          <cell r="NR51">
            <v>-0.64383951533717454</v>
          </cell>
          <cell r="NS51">
            <v>-0.62971908610125471</v>
          </cell>
          <cell r="NT51">
            <v>0</v>
          </cell>
          <cell r="NU51">
            <v>0</v>
          </cell>
          <cell r="NV51">
            <v>-1.1194480786492988</v>
          </cell>
          <cell r="NW51">
            <v>0.3117577365387314</v>
          </cell>
          <cell r="NX51">
            <v>0</v>
          </cell>
          <cell r="NY51">
            <v>0</v>
          </cell>
        </row>
        <row r="52">
          <cell r="NN52">
            <v>-0.37837663675779343</v>
          </cell>
          <cell r="NO52">
            <v>-8.7682142460254742E-2</v>
          </cell>
          <cell r="NP52">
            <v>0.86077094140792898</v>
          </cell>
          <cell r="NQ52">
            <v>-2.6352481226011193</v>
          </cell>
          <cell r="NR52">
            <v>0.21013541594849805</v>
          </cell>
          <cell r="NS52">
            <v>0.12289100113513918</v>
          </cell>
          <cell r="NT52">
            <v>3.4268159996039271</v>
          </cell>
          <cell r="NU52">
            <v>0.10107442115978582</v>
          </cell>
          <cell r="NV52">
            <v>-0.95393015811435777</v>
          </cell>
          <cell r="NW52">
            <v>-2.8488582972330256E-3</v>
          </cell>
          <cell r="NX52">
            <v>-1.6571743676152551E-2</v>
          </cell>
          <cell r="NY52">
            <v>-1.6414569985534477E-2</v>
          </cell>
        </row>
        <row r="53">
          <cell r="NN53">
            <v>0</v>
          </cell>
          <cell r="NO53">
            <v>0</v>
          </cell>
          <cell r="NP53">
            <v>0.99455029968598119</v>
          </cell>
          <cell r="NQ53">
            <v>-7.0675849649681766E-2</v>
          </cell>
          <cell r="NR53">
            <v>0</v>
          </cell>
          <cell r="NS53">
            <v>0</v>
          </cell>
          <cell r="NT53">
            <v>0</v>
          </cell>
          <cell r="NU53">
            <v>0</v>
          </cell>
          <cell r="NV53">
            <v>0</v>
          </cell>
          <cell r="NW53">
            <v>0</v>
          </cell>
          <cell r="NX53">
            <v>0</v>
          </cell>
          <cell r="NY53">
            <v>0</v>
          </cell>
        </row>
        <row r="54">
          <cell r="NN54">
            <v>0.56362367714983819</v>
          </cell>
          <cell r="NO54">
            <v>0</v>
          </cell>
          <cell r="NP54">
            <v>6.4149897865939387E-2</v>
          </cell>
          <cell r="NQ54">
            <v>-6.0126811156080429E-3</v>
          </cell>
          <cell r="NR54">
            <v>0</v>
          </cell>
          <cell r="NS54">
            <v>0</v>
          </cell>
          <cell r="NT54">
            <v>-5.8380272451385995E-2</v>
          </cell>
          <cell r="NU54">
            <v>-1.5395036648113702E-2</v>
          </cell>
          <cell r="NV54">
            <v>0.15843624333851114</v>
          </cell>
          <cell r="NW54">
            <v>7.0713232578971663</v>
          </cell>
          <cell r="NX54">
            <v>0</v>
          </cell>
          <cell r="NY54">
            <v>0</v>
          </cell>
        </row>
        <row r="55">
          <cell r="NN55">
            <v>6.7466484892753087E-3</v>
          </cell>
          <cell r="NO55">
            <v>-4.8224166989840889E-2</v>
          </cell>
          <cell r="NP55">
            <v>-5.935757769133243E-2</v>
          </cell>
          <cell r="NQ55">
            <v>4.2656245825600791E-2</v>
          </cell>
          <cell r="NR55">
            <v>-2.7414329949537741E-2</v>
          </cell>
          <cell r="NS55">
            <v>-3.5772790482957451E-2</v>
          </cell>
          <cell r="NT55">
            <v>0.45150961824744762</v>
          </cell>
          <cell r="NU55">
            <v>0.53021806267197213</v>
          </cell>
          <cell r="NV55">
            <v>-0.68712411796389983</v>
          </cell>
          <cell r="NW55">
            <v>-7.090757117145241E-3</v>
          </cell>
          <cell r="NX55">
            <v>-0.44333689362512363</v>
          </cell>
          <cell r="NY55">
            <v>0.10314483392073193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70"/>
  <sheetViews>
    <sheetView showGridLines="0" tabSelected="1" zoomScaleNormal="100" zoomScaleSheetLayoutView="100" workbookViewId="0">
      <selection activeCell="A67" sqref="A67:R67"/>
    </sheetView>
  </sheetViews>
  <sheetFormatPr defaultColWidth="9.140625" defaultRowHeight="12.75" x14ac:dyDescent="0.2"/>
  <cols>
    <col min="1" max="1" width="35.7109375" style="45" customWidth="1"/>
    <col min="2" max="9" width="9.140625" style="44" customWidth="1"/>
    <col min="10" max="13" width="10.5703125" style="44" customWidth="1"/>
    <col min="14" max="14" width="11.28515625" style="44" customWidth="1"/>
    <col min="15" max="16384" width="9.140625" style="44"/>
  </cols>
  <sheetData>
    <row r="1" spans="1:43" s="52" customFormat="1" ht="19.5" x14ac:dyDescent="0.2">
      <c r="A1" s="79" t="s">
        <v>69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</row>
    <row r="2" spans="1:43" s="53" customFormat="1" x14ac:dyDescent="0.2">
      <c r="A2" s="73" t="s">
        <v>68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43" s="52" customFormat="1" ht="15" customHeight="1" x14ac:dyDescent="0.2">
      <c r="A3" s="74" t="s">
        <v>55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M3" s="55"/>
      <c r="AN3" s="55"/>
      <c r="AO3" s="55"/>
      <c r="AP3" s="55"/>
      <c r="AQ3" s="55"/>
    </row>
    <row r="4" spans="1:43" s="57" customFormat="1" ht="12" x14ac:dyDescent="0.2">
      <c r="A4" s="80" t="s">
        <v>54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M4" s="58"/>
      <c r="AN4" s="58"/>
      <c r="AO4" s="58"/>
      <c r="AP4" s="58"/>
      <c r="AQ4" s="58"/>
    </row>
    <row r="5" spans="1:43" s="27" customFormat="1" ht="22.5" customHeight="1" x14ac:dyDescent="0.2">
      <c r="A5" s="23"/>
      <c r="B5" s="23" t="s">
        <v>66</v>
      </c>
      <c r="C5" s="26"/>
      <c r="D5" s="26"/>
      <c r="E5" s="26"/>
      <c r="F5" s="26"/>
      <c r="G5" s="25"/>
      <c r="H5" s="60"/>
      <c r="I5" s="60"/>
      <c r="J5" s="60"/>
      <c r="K5" s="60"/>
      <c r="L5" s="6"/>
      <c r="M5" s="60"/>
      <c r="N5" s="6" t="s">
        <v>67</v>
      </c>
      <c r="R5" s="17" t="s">
        <v>16</v>
      </c>
      <c r="AK5" s="28"/>
    </row>
    <row r="6" spans="1:43" s="27" customFormat="1" ht="14.25" customHeight="1" x14ac:dyDescent="0.2">
      <c r="A6" s="29" t="s">
        <v>6</v>
      </c>
      <c r="B6" s="30" t="s">
        <v>53</v>
      </c>
      <c r="C6" s="30" t="s">
        <v>52</v>
      </c>
      <c r="D6" s="30" t="s">
        <v>0</v>
      </c>
      <c r="E6" s="30" t="s">
        <v>13</v>
      </c>
      <c r="F6" s="30" t="s">
        <v>14</v>
      </c>
      <c r="G6" s="1" t="s">
        <v>1</v>
      </c>
      <c r="H6" s="1" t="s">
        <v>15</v>
      </c>
      <c r="I6" s="1" t="s">
        <v>51</v>
      </c>
      <c r="J6" s="1" t="s">
        <v>72</v>
      </c>
      <c r="K6" s="1" t="s">
        <v>73</v>
      </c>
      <c r="L6" s="1" t="s">
        <v>74</v>
      </c>
      <c r="M6" s="1" t="s">
        <v>75</v>
      </c>
      <c r="N6" s="76" t="s">
        <v>71</v>
      </c>
      <c r="R6" s="17" t="s">
        <v>39</v>
      </c>
      <c r="AK6" s="28"/>
    </row>
    <row r="7" spans="1:43" s="27" customFormat="1" ht="15" x14ac:dyDescent="0.2">
      <c r="A7" s="31" t="s">
        <v>62</v>
      </c>
      <c r="B7" s="21" t="s">
        <v>17</v>
      </c>
      <c r="C7" s="20" t="s">
        <v>18</v>
      </c>
      <c r="D7" s="20" t="s">
        <v>2</v>
      </c>
      <c r="E7" s="20" t="s">
        <v>19</v>
      </c>
      <c r="F7" s="20" t="s">
        <v>20</v>
      </c>
      <c r="G7" s="20" t="s">
        <v>3</v>
      </c>
      <c r="H7" s="20" t="s">
        <v>21</v>
      </c>
      <c r="I7" s="20" t="s">
        <v>22</v>
      </c>
      <c r="J7" s="20" t="s">
        <v>4</v>
      </c>
      <c r="K7" s="20" t="s">
        <v>23</v>
      </c>
      <c r="L7" s="20" t="s">
        <v>24</v>
      </c>
      <c r="M7" s="20" t="s">
        <v>5</v>
      </c>
      <c r="N7" s="77"/>
      <c r="O7" s="32"/>
      <c r="P7" s="32"/>
      <c r="Q7" s="32"/>
      <c r="R7" s="33"/>
      <c r="AK7" s="28"/>
    </row>
    <row r="8" spans="1:43" s="27" customFormat="1" ht="18.75" customHeight="1" x14ac:dyDescent="0.2">
      <c r="A8" s="7" t="s">
        <v>47</v>
      </c>
      <c r="B8" s="8">
        <f>'[3]Chnages in rep.'!NM42</f>
        <v>-0.76450533569455414</v>
      </c>
      <c r="C8" s="8">
        <f>'[3]Chnages in rep.'!NN42</f>
        <v>1.6191532083829951</v>
      </c>
      <c r="D8" s="8">
        <f>'[3]Chnages in rep.'!NO42</f>
        <v>-2.1117519625252545</v>
      </c>
      <c r="E8" s="8">
        <f>'[3]Chnages in rep.'!NP42</f>
        <v>-0.28372928379838402</v>
      </c>
      <c r="F8" s="8">
        <f>'[3]Chnages in rep.'!NQ42</f>
        <v>0.35627785199754403</v>
      </c>
      <c r="G8" s="8">
        <f>'[3]Chnages in rep.'!NR42</f>
        <v>0.48134596734390467</v>
      </c>
      <c r="H8" s="8">
        <f>'[3]Chnages in rep.'!NS42</f>
        <v>-0.11472860446649635</v>
      </c>
      <c r="I8" s="8">
        <f>'[3]Chnages in rep.'!NT42</f>
        <v>-0.6793317591387904</v>
      </c>
      <c r="J8" s="8">
        <f>'[3]Chnages in rep.'!NU42</f>
        <v>1.5561087770318727</v>
      </c>
      <c r="K8" s="8">
        <f>'[3]Chnages in rep.'!NV42</f>
        <v>5.5704702111920357</v>
      </c>
      <c r="L8" s="8">
        <f>'[3]Chnages in rep.'!NW42</f>
        <v>-0.80966342275781145</v>
      </c>
      <c r="M8" s="8">
        <f>'[3]Chnages in rep.'!NX42</f>
        <v>0.52020546797482137</v>
      </c>
      <c r="N8" s="9">
        <f>'[3]Republic data'!$OF$4</f>
        <v>0.57688102083264248</v>
      </c>
      <c r="O8" s="5"/>
      <c r="P8" s="34"/>
      <c r="Q8" s="34"/>
      <c r="R8" s="2" t="s">
        <v>49</v>
      </c>
      <c r="T8" s="4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K8" s="28"/>
    </row>
    <row r="9" spans="1:43" s="27" customFormat="1" ht="18.75" customHeight="1" x14ac:dyDescent="0.2">
      <c r="A9" s="7" t="s">
        <v>48</v>
      </c>
      <c r="B9" s="8">
        <f>'[3]Chnages in rep.'!NM43</f>
        <v>-0.55906526312895499</v>
      </c>
      <c r="C9" s="8">
        <f>'[3]Chnages in rep.'!NN43</f>
        <v>-0.37667578175881733</v>
      </c>
      <c r="D9" s="8">
        <f>'[3]Chnages in rep.'!NO43</f>
        <v>-0.81565376099299591</v>
      </c>
      <c r="E9" s="8">
        <f>'[3]Chnages in rep.'!NP43</f>
        <v>-0.21772336030503325</v>
      </c>
      <c r="F9" s="8">
        <f>'[3]Chnages in rep.'!NQ43</f>
        <v>-4.3911624253090142E-2</v>
      </c>
      <c r="G9" s="8">
        <f>'[3]Chnages in rep.'!NR43</f>
        <v>0.91986892634261519</v>
      </c>
      <c r="H9" s="8">
        <f>'[3]Chnages in rep.'!NS43</f>
        <v>-5.8704092108796679E-2</v>
      </c>
      <c r="I9" s="8">
        <f>'[3]Chnages in rep.'!NT43</f>
        <v>0.60398950699267484</v>
      </c>
      <c r="J9" s="8">
        <f>'[3]Chnages in rep.'!NU43</f>
        <v>0.59222679598178729</v>
      </c>
      <c r="K9" s="8">
        <f>'[3]Chnages in rep.'!NV43</f>
        <v>8.5751912427689767</v>
      </c>
      <c r="L9" s="8">
        <f>'[3]Chnages in rep.'!NW43</f>
        <v>-0.64761816590311883</v>
      </c>
      <c r="M9" s="8">
        <f>'[3]Chnages in rep.'!NX43</f>
        <v>0.16947206257358349</v>
      </c>
      <c r="N9" s="9">
        <f>'[3]Republic data'!$OF$485</f>
        <v>1.513707865264502</v>
      </c>
      <c r="R9" s="2" t="s">
        <v>50</v>
      </c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K9" s="28"/>
    </row>
    <row r="10" spans="1:43" s="27" customFormat="1" ht="18.75" customHeight="1" x14ac:dyDescent="0.2">
      <c r="A10" s="10" t="s">
        <v>7</v>
      </c>
      <c r="B10" s="8">
        <f>'[3]Chnages in rep.'!NM44</f>
        <v>-1.2457216894855905</v>
      </c>
      <c r="C10" s="8">
        <f>'[3]Chnages in rep.'!NN44</f>
        <v>6.3266260522329532</v>
      </c>
      <c r="D10" s="8">
        <f>'[3]Chnages in rep.'!NO44</f>
        <v>-4.9760710742055903</v>
      </c>
      <c r="E10" s="8">
        <f>'[3]Chnages in rep.'!NP44</f>
        <v>-0.43598603418710802</v>
      </c>
      <c r="F10" s="8">
        <f>'[3]Chnages in rep.'!NQ44</f>
        <v>1.2814239472384692</v>
      </c>
      <c r="G10" s="8">
        <f>'[3]Chnages in rep.'!NR44</f>
        <v>-0.51915254212756556</v>
      </c>
      <c r="H10" s="8">
        <f>'[3]Chnages in rep.'!NS44</f>
        <v>-0.24439857036884227</v>
      </c>
      <c r="I10" s="8">
        <f>'[3]Chnages in rep.'!NT44</f>
        <v>-3.6551362018514166</v>
      </c>
      <c r="J10" s="8">
        <f>'[3]Chnages in rep.'!NU44</f>
        <v>3.8899940009132994</v>
      </c>
      <c r="K10" s="8">
        <f>'[3]Chnages in rep.'!NV44</f>
        <v>-1.4740349343439263</v>
      </c>
      <c r="L10" s="8">
        <f>'[3]Chnages in rep.'!NW44</f>
        <v>-1.2283244771576718</v>
      </c>
      <c r="M10" s="8">
        <f>'[3]Chnages in rep.'!NX44</f>
        <v>1.431689853992224</v>
      </c>
      <c r="N10" s="9">
        <f>'[3]Republic data'!$OF$38</f>
        <v>-1.587337151600976</v>
      </c>
      <c r="R10" s="2" t="s">
        <v>8</v>
      </c>
      <c r="T10" s="4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K10" s="28"/>
    </row>
    <row r="11" spans="1:43" s="27" customFormat="1" ht="18.75" customHeight="1" x14ac:dyDescent="0.2">
      <c r="A11" s="35" t="s">
        <v>44</v>
      </c>
      <c r="B11" s="8">
        <f>'[3]Chnages in rep.'!NM45</f>
        <v>-0.11543838182098698</v>
      </c>
      <c r="C11" s="8">
        <f>'[3]Chnages in rep.'!NN45</f>
        <v>8.5922811535299459E-3</v>
      </c>
      <c r="D11" s="8">
        <f>'[3]Chnages in rep.'!NO45</f>
        <v>3.2476794092128891E-2</v>
      </c>
      <c r="E11" s="8">
        <f>'[3]Chnages in rep.'!NP45</f>
        <v>6.8592187611127287E-3</v>
      </c>
      <c r="F11" s="8">
        <f>'[3]Chnages in rep.'!NQ45</f>
        <v>0.33240713299858005</v>
      </c>
      <c r="G11" s="8">
        <f>'[3]Chnages in rep.'!NR45</f>
        <v>-0.24665851013362383</v>
      </c>
      <c r="H11" s="8">
        <f>'[3]Chnages in rep.'!NS45</f>
        <v>-2.7659227052179158E-2</v>
      </c>
      <c r="I11" s="8">
        <f>'[3]Chnages in rep.'!NT45</f>
        <v>0.13559153503581722</v>
      </c>
      <c r="J11" s="8">
        <f>'[3]Chnages in rep.'!NU45</f>
        <v>0.20366275723766591</v>
      </c>
      <c r="K11" s="8">
        <f>'[3]Chnages in rep.'!NV45</f>
        <v>6.4957800734721793E-2</v>
      </c>
      <c r="L11" s="8">
        <f>'[3]Chnages in rep.'!NW45</f>
        <v>-5.1024927333198633E-2</v>
      </c>
      <c r="M11" s="8">
        <f>'[3]Chnages in rep.'!NX45</f>
        <v>9.688793167357268E-2</v>
      </c>
      <c r="N11" s="9">
        <f>'[3]Republic data'!$OF$156</f>
        <v>4.0191140378448287</v>
      </c>
      <c r="R11" s="2" t="s">
        <v>25</v>
      </c>
      <c r="T11" s="4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K11" s="28"/>
    </row>
    <row r="12" spans="1:43" s="27" customFormat="1" ht="18.75" customHeight="1" x14ac:dyDescent="0.2">
      <c r="A12" s="10" t="s">
        <v>9</v>
      </c>
      <c r="B12" s="8">
        <f>'[3]Chnages in rep.'!NM46</f>
        <v>5.8022568524429552E-2</v>
      </c>
      <c r="C12" s="8">
        <f>'[3]Chnages in rep.'!NN46</f>
        <v>-2.165144278870601E-2</v>
      </c>
      <c r="D12" s="8">
        <f>'[3]Chnages in rep.'!NO46</f>
        <v>-8.7683601526122867E-2</v>
      </c>
      <c r="E12" s="8">
        <f>'[3]Chnages in rep.'!NP46</f>
        <v>-9.7936504188289586E-2</v>
      </c>
      <c r="F12" s="8">
        <f>'[3]Chnages in rep.'!NQ46</f>
        <v>0.24987961817137805</v>
      </c>
      <c r="G12" s="8">
        <f>'[3]Chnages in rep.'!NR46</f>
        <v>0.2741960683671385</v>
      </c>
      <c r="H12" s="8">
        <f>'[3]Chnages in rep.'!NS46</f>
        <v>0.15571504631237687</v>
      </c>
      <c r="I12" s="8">
        <f>'[3]Chnages in rep.'!NT46</f>
        <v>-0.69278217696421285</v>
      </c>
      <c r="J12" s="8">
        <f>'[3]Chnages in rep.'!NU46</f>
        <v>-0.15644332309338038</v>
      </c>
      <c r="K12" s="8">
        <f>'[3]Chnages in rep.'!NV46</f>
        <v>0.10289275637445083</v>
      </c>
      <c r="L12" s="8">
        <f>'[3]Chnages in rep.'!NW46</f>
        <v>-6.5073055258724199E-2</v>
      </c>
      <c r="M12" s="8">
        <f>'[3]Chnages in rep.'!NX46</f>
        <v>-5.2384789789294839E-2</v>
      </c>
      <c r="N12" s="9">
        <f>'[3]Republic data'!$OF$167</f>
        <v>-0.53676570684748626</v>
      </c>
      <c r="R12" s="2" t="s">
        <v>26</v>
      </c>
      <c r="T12" s="4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K12" s="28"/>
    </row>
    <row r="13" spans="1:43" s="27" customFormat="1" ht="18.75" customHeight="1" x14ac:dyDescent="0.2">
      <c r="A13" s="10" t="s">
        <v>56</v>
      </c>
      <c r="B13" s="8">
        <f>'[3]Chnages in rep.'!NM47</f>
        <v>-4.1942831581620599E-2</v>
      </c>
      <c r="C13" s="8">
        <f>'[3]Chnages in rep.'!NN47</f>
        <v>-0.99608810448090779</v>
      </c>
      <c r="D13" s="8">
        <f>'[3]Chnages in rep.'!NO47</f>
        <v>1.4396843469821619E-2</v>
      </c>
      <c r="E13" s="8">
        <f>'[3]Chnages in rep.'!NP47</f>
        <v>2.5307520854989107E-2</v>
      </c>
      <c r="F13" s="8">
        <f>'[3]Chnages in rep.'!NQ47</f>
        <v>0.25901159312988753</v>
      </c>
      <c r="G13" s="8">
        <f>'[3]Chnages in rep.'!NR47</f>
        <v>6.5808462949878965E-2</v>
      </c>
      <c r="H13" s="8">
        <f>'[3]Chnages in rep.'!NS47</f>
        <v>0.28623528731483994</v>
      </c>
      <c r="I13" s="8">
        <f>'[3]Chnages in rep.'!NT47</f>
        <v>0.24720544976339909</v>
      </c>
      <c r="J13" s="8">
        <f>'[3]Chnages in rep.'!NU47</f>
        <v>7.8419721050448921E-2</v>
      </c>
      <c r="K13" s="8">
        <f>'[3]Chnages in rep.'!NV47</f>
        <v>0.31148416254589417</v>
      </c>
      <c r="L13" s="8">
        <f>'[3]Chnages in rep.'!NW47</f>
        <v>0.37554509698001226</v>
      </c>
      <c r="M13" s="8">
        <f>'[3]Chnages in rep.'!NX47</f>
        <v>0.34151340600416802</v>
      </c>
      <c r="N13" s="9">
        <f>'[3]Republic data'!$OF$207</f>
        <v>0.29920217667491755</v>
      </c>
      <c r="R13" s="2" t="s">
        <v>27</v>
      </c>
      <c r="T13" s="4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K13" s="28"/>
    </row>
    <row r="14" spans="1:43" s="27" customFormat="1" ht="18.75" customHeight="1" x14ac:dyDescent="0.2">
      <c r="A14" s="10" t="s">
        <v>57</v>
      </c>
      <c r="B14" s="8">
        <f>'[3]Chnages in rep.'!NM48</f>
        <v>0.31131616364437065</v>
      </c>
      <c r="C14" s="8">
        <f>'[3]Chnages in rep.'!NN48</f>
        <v>0.46679826941125047</v>
      </c>
      <c r="D14" s="8">
        <f>'[3]Chnages in rep.'!NO48</f>
        <v>0.38380694966011486</v>
      </c>
      <c r="E14" s="8">
        <f>'[3]Chnages in rep.'!NP48</f>
        <v>0.42019441894727283</v>
      </c>
      <c r="F14" s="8">
        <f>'[3]Chnages in rep.'!NQ48</f>
        <v>0.5806692583023132</v>
      </c>
      <c r="G14" s="8">
        <f>'[3]Chnages in rep.'!NR48</f>
        <v>0.28830418491911924</v>
      </c>
      <c r="H14" s="8">
        <f>'[3]Chnages in rep.'!NS48</f>
        <v>0.47027321944899114</v>
      </c>
      <c r="I14" s="8">
        <f>'[3]Chnages in rep.'!NT48</f>
        <v>0.54010420605110632</v>
      </c>
      <c r="J14" s="8">
        <f>'[3]Chnages in rep.'!NU48</f>
        <v>0.14688906382642752</v>
      </c>
      <c r="K14" s="8">
        <f>'[3]Chnages in rep.'!NV48</f>
        <v>0.19812703541448595</v>
      </c>
      <c r="L14" s="8">
        <f>'[3]Chnages in rep.'!NW48</f>
        <v>0.54174123838215404</v>
      </c>
      <c r="M14" s="8">
        <f>'[3]Chnages in rep.'!NX48</f>
        <v>4.9539400800147071E-2</v>
      </c>
      <c r="N14" s="9">
        <f>'[3]Republic data'!$OF$209</f>
        <v>3.7607542756177725</v>
      </c>
      <c r="R14" s="36" t="s">
        <v>60</v>
      </c>
      <c r="T14" s="4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K14" s="28"/>
    </row>
    <row r="15" spans="1:43" s="27" customFormat="1" ht="25.5" x14ac:dyDescent="0.2">
      <c r="A15" s="7" t="s">
        <v>43</v>
      </c>
      <c r="B15" s="8">
        <f>'[3]Chnages in rep.'!NM49</f>
        <v>0.34194304121599739</v>
      </c>
      <c r="C15" s="8">
        <f>'[3]Chnages in rep.'!NN49</f>
        <v>0.20858000455010739</v>
      </c>
      <c r="D15" s="8">
        <f>'[3]Chnages in rep.'!NO49</f>
        <v>0.26575940087913974</v>
      </c>
      <c r="E15" s="8">
        <f>'[3]Chnages in rep.'!NP49</f>
        <v>-1.1256441570099862</v>
      </c>
      <c r="F15" s="8">
        <f>'[3]Chnages in rep.'!NQ49</f>
        <v>-0.81326658662269624</v>
      </c>
      <c r="G15" s="8">
        <f>'[3]Chnages in rep.'!NR49</f>
        <v>1.3399944746246062</v>
      </c>
      <c r="H15" s="8">
        <f>'[3]Chnages in rep.'!NS49</f>
        <v>1.4998464532546718</v>
      </c>
      <c r="I15" s="8">
        <f>'[3]Chnages in rep.'!NT49</f>
        <v>0.24636547324023983</v>
      </c>
      <c r="J15" s="8">
        <f>'[3]Chnages in rep.'!NU49</f>
        <v>0.46096427222965808</v>
      </c>
      <c r="K15" s="8">
        <f>'[3]Chnages in rep.'!NV49</f>
        <v>0.96863689691981669</v>
      </c>
      <c r="L15" s="8">
        <f>'[3]Chnages in rep.'!NW49</f>
        <v>1.1890048187956914E-2</v>
      </c>
      <c r="M15" s="8">
        <f>'[3]Chnages in rep.'!NX49</f>
        <v>0.253132674782508</v>
      </c>
      <c r="N15" s="9">
        <f>'[3]Republic data'!$OF$240</f>
        <v>0.91069109507078139</v>
      </c>
      <c r="R15" s="2" t="s">
        <v>45</v>
      </c>
      <c r="T15" s="4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K15" s="28"/>
    </row>
    <row r="16" spans="1:43" s="27" customFormat="1" ht="18.75" customHeight="1" x14ac:dyDescent="0.2">
      <c r="A16" s="11" t="s">
        <v>28</v>
      </c>
      <c r="B16" s="8">
        <f>'[3]Chnages in rep.'!NM50</f>
        <v>0.22416565850325032</v>
      </c>
      <c r="C16" s="8">
        <f>'[3]Chnages in rep.'!NN50</f>
        <v>6.886217876731493E-2</v>
      </c>
      <c r="D16" s="8">
        <f>'[3]Chnages in rep.'!NO50</f>
        <v>0.37404278784056721</v>
      </c>
      <c r="E16" s="8">
        <f>'[3]Chnages in rep.'!NP50</f>
        <v>0.15629399091106055</v>
      </c>
      <c r="F16" s="8">
        <f>'[3]Chnages in rep.'!NQ50</f>
        <v>4.5305185568733641E-2</v>
      </c>
      <c r="G16" s="8">
        <f>'[3]Chnages in rep.'!NR50</f>
        <v>1.9456519463489919E-2</v>
      </c>
      <c r="H16" s="8">
        <f>'[3]Chnages in rep.'!NS50</f>
        <v>3.2849509100585372E-2</v>
      </c>
      <c r="I16" s="8">
        <f>'[3]Chnages in rep.'!NT50</f>
        <v>0.22457472514081367</v>
      </c>
      <c r="J16" s="8">
        <f>'[3]Chnages in rep.'!NU50</f>
        <v>-0.22964177655006024</v>
      </c>
      <c r="K16" s="8">
        <f>'[3]Chnages in rep.'!NV50</f>
        <v>1.7733160048494234E-2</v>
      </c>
      <c r="L16" s="8">
        <f>'[3]Chnages in rep.'!NW50</f>
        <v>7.3390671755380055E-3</v>
      </c>
      <c r="M16" s="8">
        <f>'[3]Chnages in rep.'!NX50</f>
        <v>3.7829063100236482E-3</v>
      </c>
      <c r="N16" s="9">
        <f>'[3]Republic data'!$OF$292</f>
        <v>1.804490098291045</v>
      </c>
      <c r="R16" s="2" t="s">
        <v>29</v>
      </c>
      <c r="T16" s="4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K16" s="28"/>
    </row>
    <row r="17" spans="1:37" s="27" customFormat="1" ht="18.75" customHeight="1" x14ac:dyDescent="0.2">
      <c r="A17" s="11" t="s">
        <v>30</v>
      </c>
      <c r="B17" s="8">
        <f>'[3]Chnages in rep.'!NM51</f>
        <v>-0.55849369170797303</v>
      </c>
      <c r="C17" s="8">
        <f>'[3]Chnages in rep.'!NN51</f>
        <v>-0.3043275902536835</v>
      </c>
      <c r="D17" s="8">
        <f>'[3]Chnages in rep.'!NO51</f>
        <v>-0.15608138100402513</v>
      </c>
      <c r="E17" s="8">
        <f>'[3]Chnages in rep.'!NP51</f>
        <v>-3.5883795164726173E-2</v>
      </c>
      <c r="F17" s="8">
        <f>'[3]Chnages in rep.'!NQ51</f>
        <v>-0.91120025164052043</v>
      </c>
      <c r="G17" s="8">
        <f>'[3]Chnages in rep.'!NR51</f>
        <v>-0.66165173063594818</v>
      </c>
      <c r="H17" s="8">
        <f>'[3]Chnages in rep.'!NS51</f>
        <v>-5.1478925058856539E-2</v>
      </c>
      <c r="I17" s="8">
        <f>'[3]Chnages in rep.'!NT51</f>
        <v>0</v>
      </c>
      <c r="J17" s="8">
        <f>'[3]Chnages in rep.'!NU51</f>
        <v>0</v>
      </c>
      <c r="K17" s="8">
        <f>'[3]Chnages in rep.'!NV51</f>
        <v>1.3400432676069052</v>
      </c>
      <c r="L17" s="8">
        <f>'[3]Chnages in rep.'!NW51</f>
        <v>1.470451435921416</v>
      </c>
      <c r="M17" s="8">
        <f>'[3]Chnages in rep.'!NX51</f>
        <v>6.0625815716530695E-4</v>
      </c>
      <c r="N17" s="9">
        <f>'[3]Republic data'!$OF$322</f>
        <v>-1.5370849537459153</v>
      </c>
      <c r="R17" s="2" t="s">
        <v>31</v>
      </c>
      <c r="T17" s="4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K17" s="28"/>
    </row>
    <row r="18" spans="1:37" s="27" customFormat="1" ht="18.75" customHeight="1" x14ac:dyDescent="0.2">
      <c r="A18" s="11" t="s">
        <v>32</v>
      </c>
      <c r="B18" s="8">
        <f>'[3]Chnages in rep.'!NM52</f>
        <v>3.0100461746407348E-2</v>
      </c>
      <c r="C18" s="8">
        <f>'[3]Chnages in rep.'!NN52</f>
        <v>-1.9444594495521272E-2</v>
      </c>
      <c r="D18" s="8">
        <f>'[3]Chnages in rep.'!NO52</f>
        <v>-9.6476973295844815E-4</v>
      </c>
      <c r="E18" s="8">
        <f>'[3]Chnages in rep.'!NP52</f>
        <v>0</v>
      </c>
      <c r="F18" s="8">
        <f>'[3]Chnages in rep.'!NQ52</f>
        <v>-0.34887944638404278</v>
      </c>
      <c r="G18" s="8">
        <f>'[3]Chnages in rep.'!NR52</f>
        <v>-0.34021795276771849</v>
      </c>
      <c r="H18" s="8">
        <f>'[3]Chnages in rep.'!NS52</f>
        <v>0</v>
      </c>
      <c r="I18" s="8">
        <f>'[3]Chnages in rep.'!NT52</f>
        <v>0</v>
      </c>
      <c r="J18" s="8">
        <f>'[3]Chnages in rep.'!NU52</f>
        <v>-0.60304665133226187</v>
      </c>
      <c r="K18" s="8">
        <f>'[3]Chnages in rep.'!NV52</f>
        <v>0.1670713583398209</v>
      </c>
      <c r="L18" s="8">
        <f>'[3]Chnages in rep.'!NW52</f>
        <v>0</v>
      </c>
      <c r="M18" s="8">
        <f>'[3]Chnages in rep.'!NX52</f>
        <v>0</v>
      </c>
      <c r="N18" s="9">
        <f>'[3]Republic data'!$OF$348</f>
        <v>-0.75989147318363814</v>
      </c>
      <c r="R18" s="2" t="s">
        <v>33</v>
      </c>
      <c r="T18" s="4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K18" s="28"/>
    </row>
    <row r="19" spans="1:37" s="27" customFormat="1" ht="18.75" customHeight="1" x14ac:dyDescent="0.2">
      <c r="A19" s="12" t="s">
        <v>34</v>
      </c>
      <c r="B19" s="8">
        <f>'[3]Chnages in rep.'!NM53</f>
        <v>-0.33119594774791983</v>
      </c>
      <c r="C19" s="8">
        <f>'[3]Chnages in rep.'!NN53</f>
        <v>-7.1441838080532616E-2</v>
      </c>
      <c r="D19" s="8">
        <f>'[3]Chnages in rep.'!NO53</f>
        <v>0.56220988173829589</v>
      </c>
      <c r="E19" s="8">
        <f>'[3]Chnages in rep.'!NP53</f>
        <v>-1.801412419111903</v>
      </c>
      <c r="F19" s="8">
        <f>'[3]Chnages in rep.'!NQ53</f>
        <v>0.2064207726525602</v>
      </c>
      <c r="G19" s="8">
        <f>'[3]Chnages in rep.'!NR53</f>
        <v>9.6157476923686147E-2</v>
      </c>
      <c r="H19" s="8">
        <f>'[3]Chnages in rep.'!NS53</f>
        <v>3.201670804735568</v>
      </c>
      <c r="I19" s="8">
        <f>'[3]Chnages in rep.'!NT53</f>
        <v>3.253922321024838E-2</v>
      </c>
      <c r="J19" s="8">
        <f>'[3]Chnages in rep.'!NU53</f>
        <v>-0.9074482060068445</v>
      </c>
      <c r="K19" s="8">
        <f>'[3]Chnages in rep.'!NV53</f>
        <v>-4.4311133165719774E-3</v>
      </c>
      <c r="L19" s="8">
        <f>'[3]Chnages in rep.'!NW53</f>
        <v>-1.0779117790626902E-2</v>
      </c>
      <c r="M19" s="8">
        <f>'[3]Chnages in rep.'!NX53</f>
        <v>-1.0676265367759452E-2</v>
      </c>
      <c r="N19" s="9">
        <f>'[3]Republic data'!$OF$360</f>
        <v>-1.2350059655517276</v>
      </c>
      <c r="R19" s="13" t="s">
        <v>35</v>
      </c>
      <c r="T19" s="4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K19" s="28"/>
    </row>
    <row r="20" spans="1:37" s="27" customFormat="1" ht="18.75" customHeight="1" x14ac:dyDescent="0.2">
      <c r="A20" s="10" t="s">
        <v>10</v>
      </c>
      <c r="B20" s="8">
        <f>'[3]Chnages in rep.'!NM54</f>
        <v>3.9704154473827691</v>
      </c>
      <c r="C20" s="8">
        <f>'[3]Chnages in rep.'!NN54</f>
        <v>0</v>
      </c>
      <c r="D20" s="8">
        <f>'[3]Chnages in rep.'!NO54</f>
        <v>0.41176241660521029</v>
      </c>
      <c r="E20" s="8">
        <f>'[3]Chnages in rep.'!NP54</f>
        <v>-2.9430953977738206E-2</v>
      </c>
      <c r="F20" s="8">
        <f>'[3]Chnages in rep.'!NQ54</f>
        <v>0</v>
      </c>
      <c r="G20" s="8">
        <f>'[3]Chnages in rep.'!NR54</f>
        <v>0</v>
      </c>
      <c r="H20" s="8">
        <f>'[3]Chnages in rep.'!NS54</f>
        <v>0</v>
      </c>
      <c r="I20" s="8">
        <f>'[3]Chnages in rep.'!NT54</f>
        <v>0</v>
      </c>
      <c r="J20" s="8">
        <f>'[3]Chnages in rep.'!NU54</f>
        <v>0</v>
      </c>
      <c r="K20" s="8">
        <f>'[3]Chnages in rep.'!NV54</f>
        <v>0</v>
      </c>
      <c r="L20" s="8">
        <f>'[3]Chnages in rep.'!NW54</f>
        <v>0</v>
      </c>
      <c r="M20" s="8">
        <f>'[3]Chnages in rep.'!NX54</f>
        <v>0</v>
      </c>
      <c r="N20" s="9">
        <f>'[3]Republic data'!$OF$405</f>
        <v>4.8696897695142072</v>
      </c>
      <c r="R20" s="13" t="s">
        <v>11</v>
      </c>
      <c r="T20" s="4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K20" s="28"/>
    </row>
    <row r="21" spans="1:37" s="27" customFormat="1" ht="18.75" customHeight="1" x14ac:dyDescent="0.2">
      <c r="A21" s="35" t="s">
        <v>36</v>
      </c>
      <c r="B21" s="8">
        <f>'[3]Chnages in rep.'!NM55</f>
        <v>0.51293511758470078</v>
      </c>
      <c r="C21" s="8">
        <f>'[3]Chnages in rep.'!NN55</f>
        <v>3.563672865349865E-2</v>
      </c>
      <c r="D21" s="8">
        <f>'[3]Chnages in rep.'!NO55</f>
        <v>2.251384399079015E-2</v>
      </c>
      <c r="E21" s="8">
        <f>'[3]Chnages in rep.'!NP55</f>
        <v>1.4940433337472303</v>
      </c>
      <c r="F21" s="8">
        <f>'[3]Chnages in rep.'!NQ55</f>
        <v>0</v>
      </c>
      <c r="G21" s="8">
        <f>'[3]Chnages in rep.'!NR55</f>
        <v>8.3256526239838813E-2</v>
      </c>
      <c r="H21" s="8">
        <f>'[3]Chnages in rep.'!NS55</f>
        <v>-1.5473574677402069</v>
      </c>
      <c r="I21" s="8">
        <f>'[3]Chnages in rep.'!NT55</f>
        <v>3.7490432980291644E-7</v>
      </c>
      <c r="J21" s="8">
        <f>'[3]Chnages in rep.'!NU55</f>
        <v>5.557929171620124E-2</v>
      </c>
      <c r="K21" s="8">
        <f>'[3]Chnages in rep.'!NV55</f>
        <v>2.8121259795021336</v>
      </c>
      <c r="L21" s="8">
        <f>'[3]Chnages in rep.'!NW55</f>
        <v>-5.1020233036502827E-2</v>
      </c>
      <c r="M21" s="8">
        <f>'[3]Chnages in rep.'!NX55</f>
        <v>6.7739929116461539E-2</v>
      </c>
      <c r="N21" s="9">
        <f>'[3]Republic data'!$OF$421</f>
        <v>1.7231004678103012</v>
      </c>
      <c r="R21" s="13" t="s">
        <v>37</v>
      </c>
      <c r="T21" s="4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K21" s="28"/>
    </row>
    <row r="22" spans="1:37" s="27" customFormat="1" ht="18.75" customHeight="1" x14ac:dyDescent="0.2">
      <c r="A22" s="12" t="s">
        <v>38</v>
      </c>
      <c r="B22" s="8">
        <f>'[3]Chnages in rep.'!NM56</f>
        <v>8.0446273254297651E-2</v>
      </c>
      <c r="C22" s="8">
        <f>'[3]Chnages in rep.'!NN56</f>
        <v>-8.4661937822116951E-2</v>
      </c>
      <c r="D22" s="8">
        <f>'[3]Chnages in rep.'!NO56</f>
        <v>-9.5951769771884798E-2</v>
      </c>
      <c r="E22" s="8">
        <f>'[3]Chnages in rep.'!NP56</f>
        <v>0.18894369691331292</v>
      </c>
      <c r="F22" s="8">
        <f>'[3]Chnages in rep.'!NQ56</f>
        <v>-1.7051557258040972E-2</v>
      </c>
      <c r="G22" s="8">
        <f>'[3]Chnages in rep.'!NR56</f>
        <v>-1.7762795792775066E-2</v>
      </c>
      <c r="H22" s="8">
        <f>'[3]Chnages in rep.'!NS56</f>
        <v>0.10503557413417131</v>
      </c>
      <c r="I22" s="8">
        <f>'[3]Chnages in rep.'!NT56</f>
        <v>0.38432250083757502</v>
      </c>
      <c r="J22" s="8">
        <f>'[3]Chnages in rep.'!NU56</f>
        <v>-0.39783516681896058</v>
      </c>
      <c r="K22" s="8">
        <f>'[3]Chnages in rep.'!NV56</f>
        <v>-2.6178143989719072E-2</v>
      </c>
      <c r="L22" s="8">
        <f>'[3]Chnages in rep.'!NW56</f>
        <v>-0.39734464888194765</v>
      </c>
      <c r="M22" s="8">
        <f>'[3]Chnages in rep.'!NX56</f>
        <v>0.35869326559008208</v>
      </c>
      <c r="N22" s="9">
        <f>'[3]Republic data'!$OF$438</f>
        <v>-0.2698829137845582</v>
      </c>
      <c r="R22" s="13" t="s">
        <v>61</v>
      </c>
      <c r="T22" s="4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K22" s="28"/>
    </row>
    <row r="23" spans="1:37" s="24" customFormat="1" ht="18.75" customHeight="1" x14ac:dyDescent="0.2">
      <c r="A23" s="14" t="s">
        <v>58</v>
      </c>
      <c r="B23" s="15">
        <f>'[3]Chnages in rep.'!NM40</f>
        <v>-9.6110738358101688E-2</v>
      </c>
      <c r="C23" s="15">
        <f>'[3]Chnages in rep.'!NN40</f>
        <v>0.21585252732159166</v>
      </c>
      <c r="D23" s="15">
        <f>'[3]Chnages in rep.'!NO40</f>
        <v>-0.5326577568831814</v>
      </c>
      <c r="E23" s="15">
        <f>'[3]Chnages in rep.'!NP40</f>
        <v>-0.18242178801290976</v>
      </c>
      <c r="F23" s="15">
        <f>'[3]Chnages in rep.'!NQ40</f>
        <v>6.3305358496457131E-2</v>
      </c>
      <c r="G23" s="15">
        <f>'[3]Chnages in rep.'!NR40</f>
        <v>0.21785551394535307</v>
      </c>
      <c r="H23" s="15">
        <f>'[3]Chnages in rep.'!NS40</f>
        <v>0.2633560995213724</v>
      </c>
      <c r="I23" s="15">
        <f>'[3]Chnages in rep.'!NT40</f>
        <v>-9.378201036623901E-2</v>
      </c>
      <c r="J23" s="15">
        <f>'[3]Chnages in rep.'!NU40</f>
        <v>0.37975926538358351</v>
      </c>
      <c r="K23" s="15">
        <f>'[3]Chnages in rep.'!NV40</f>
        <v>1.9061743557722499</v>
      </c>
      <c r="L23" s="15">
        <f>'[3]Chnages in rep.'!NW40</f>
        <v>-0.10593028067288346</v>
      </c>
      <c r="M23" s="15">
        <f>'[3]Chnages in rep.'!NX40</f>
        <v>0.27748623236054648</v>
      </c>
      <c r="N23" s="16">
        <f>'[3]Republic data'!$OF$3</f>
        <v>0.50250941361158485</v>
      </c>
      <c r="R23" s="17" t="s">
        <v>12</v>
      </c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K23" s="37"/>
    </row>
    <row r="24" spans="1:37" s="24" customFormat="1" ht="18.75" customHeight="1" x14ac:dyDescent="0.2">
      <c r="A24" s="66" t="s">
        <v>59</v>
      </c>
      <c r="B24" s="38">
        <f>'[3]Chnages in rep.'!NM41</f>
        <v>1.0557361720531233E-2</v>
      </c>
      <c r="C24" s="38">
        <f>'[3]Chnages in rep.'!NN41</f>
        <v>-0.34402099317737411</v>
      </c>
      <c r="D24" s="38">
        <f>'[3]Chnages in rep.'!NO41</f>
        <v>-9.8298456546686008E-2</v>
      </c>
      <c r="E24" s="38">
        <f>'[3]Chnages in rep.'!NP41</f>
        <v>-0.15884522324983719</v>
      </c>
      <c r="F24" s="38">
        <f>'[3]Chnages in rep.'!NQ41</f>
        <v>-4.9641688992829724E-2</v>
      </c>
      <c r="G24" s="38">
        <f>'[3]Chnages in rep.'!NR41</f>
        <v>0.28710283717225948</v>
      </c>
      <c r="H24" s="38">
        <f>'[3]Chnages in rep.'!NS41</f>
        <v>0.31067984093073875</v>
      </c>
      <c r="I24" s="38">
        <f>'[3]Chnages in rep.'!NT41</f>
        <v>0.2363065183967894</v>
      </c>
      <c r="J24" s="38">
        <f>'[3]Chnages in rep.'!NU41</f>
        <v>6.7039785686229258E-2</v>
      </c>
      <c r="K24" s="38">
        <f>'[3]Chnages in rep.'!NV41</f>
        <v>2.2188147106846801</v>
      </c>
      <c r="L24" s="38">
        <f>'[3]Chnages in rep.'!NW41</f>
        <v>-5.8688488234981406E-3</v>
      </c>
      <c r="M24" s="38">
        <f>'[3]Chnages in rep.'!NX41</f>
        <v>0.17584693751522273</v>
      </c>
      <c r="N24" s="18">
        <f>'[3]Republic data'!$OF$484</f>
        <v>0.69899081635618199</v>
      </c>
      <c r="O24" s="61"/>
      <c r="P24" s="61"/>
      <c r="Q24" s="61"/>
      <c r="R24" s="19" t="s">
        <v>46</v>
      </c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K24" s="37"/>
    </row>
    <row r="25" spans="1:37" s="27" customFormat="1" ht="18.75" customHeight="1" x14ac:dyDescent="0.2">
      <c r="A25" s="50"/>
      <c r="B25" s="59"/>
      <c r="C25" s="59"/>
      <c r="D25" s="59"/>
      <c r="E25" s="59"/>
      <c r="F25" s="59"/>
      <c r="G25" s="59"/>
      <c r="H25" s="75"/>
      <c r="I25" s="75"/>
      <c r="J25" s="75"/>
      <c r="K25" s="75"/>
      <c r="L25" s="75"/>
      <c r="M25" s="75"/>
      <c r="N25" s="75"/>
      <c r="O25" s="34"/>
      <c r="P25" s="34"/>
      <c r="Q25" s="34"/>
      <c r="R25" s="39"/>
      <c r="AK25" s="28"/>
    </row>
    <row r="26" spans="1:37" s="27" customFormat="1" ht="7.5" customHeight="1" x14ac:dyDescent="0.2">
      <c r="A26" s="40"/>
      <c r="C26" s="28"/>
      <c r="D26" s="28"/>
      <c r="R26" s="41"/>
      <c r="AK26" s="28"/>
    </row>
    <row r="27" spans="1:37" s="27" customFormat="1" ht="15" x14ac:dyDescent="0.2">
      <c r="A27" s="46"/>
      <c r="B27" s="23" t="s">
        <v>66</v>
      </c>
      <c r="C27" s="26"/>
      <c r="D27" s="26"/>
      <c r="E27" s="26"/>
      <c r="F27" s="26"/>
      <c r="G27" s="25"/>
      <c r="H27" s="60"/>
      <c r="I27" s="60"/>
      <c r="J27" s="60"/>
      <c r="K27" s="60"/>
      <c r="L27" s="6"/>
      <c r="M27" s="60"/>
      <c r="N27" s="6" t="s">
        <v>67</v>
      </c>
      <c r="O27" s="46"/>
      <c r="P27" s="46"/>
      <c r="Q27" s="46"/>
      <c r="R27" s="47" t="s">
        <v>16</v>
      </c>
      <c r="AK27" s="28"/>
    </row>
    <row r="28" spans="1:37" s="27" customFormat="1" ht="19.5" customHeight="1" x14ac:dyDescent="0.2">
      <c r="A28" s="29" t="s">
        <v>6</v>
      </c>
      <c r="B28" s="30" t="s">
        <v>53</v>
      </c>
      <c r="C28" s="30" t="s">
        <v>52</v>
      </c>
      <c r="D28" s="30" t="s">
        <v>0</v>
      </c>
      <c r="E28" s="30" t="s">
        <v>13</v>
      </c>
      <c r="F28" s="30" t="s">
        <v>14</v>
      </c>
      <c r="G28" s="1" t="s">
        <v>1</v>
      </c>
      <c r="H28" s="1" t="s">
        <v>15</v>
      </c>
      <c r="I28" s="1" t="s">
        <v>51</v>
      </c>
      <c r="J28" s="1" t="s">
        <v>72</v>
      </c>
      <c r="K28" s="1" t="s">
        <v>73</v>
      </c>
      <c r="L28" s="1" t="s">
        <v>74</v>
      </c>
      <c r="M28" s="1" t="s">
        <v>75</v>
      </c>
      <c r="N28" s="76" t="s">
        <v>70</v>
      </c>
      <c r="O28" s="34"/>
      <c r="P28" s="34"/>
      <c r="Q28" s="34"/>
      <c r="R28" s="17" t="s">
        <v>41</v>
      </c>
      <c r="AK28" s="28"/>
    </row>
    <row r="29" spans="1:37" s="27" customFormat="1" ht="15" x14ac:dyDescent="0.2">
      <c r="A29" s="42" t="s">
        <v>40</v>
      </c>
      <c r="B29" s="21" t="s">
        <v>17</v>
      </c>
      <c r="C29" s="20" t="s">
        <v>18</v>
      </c>
      <c r="D29" s="20" t="s">
        <v>2</v>
      </c>
      <c r="E29" s="20" t="s">
        <v>19</v>
      </c>
      <c r="F29" s="20" t="s">
        <v>20</v>
      </c>
      <c r="G29" s="20" t="s">
        <v>3</v>
      </c>
      <c r="H29" s="20" t="s">
        <v>21</v>
      </c>
      <c r="I29" s="20" t="s">
        <v>22</v>
      </c>
      <c r="J29" s="20" t="s">
        <v>4</v>
      </c>
      <c r="K29" s="20" t="s">
        <v>23</v>
      </c>
      <c r="L29" s="20" t="s">
        <v>24</v>
      </c>
      <c r="M29" s="20" t="s">
        <v>5</v>
      </c>
      <c r="N29" s="77"/>
      <c r="O29" s="32"/>
      <c r="P29" s="32"/>
      <c r="Q29" s="32"/>
      <c r="R29" s="33"/>
      <c r="AK29" s="28"/>
    </row>
    <row r="30" spans="1:37" s="27" customFormat="1" ht="20.25" customHeight="1" x14ac:dyDescent="0.2">
      <c r="A30" s="7" t="s">
        <v>47</v>
      </c>
      <c r="B30" s="67">
        <f>'[3]Male , month on month &amp; monthly'!NN41</f>
        <v>-0.68939707539815709</v>
      </c>
      <c r="C30" s="67">
        <f>'[3]Male , month on month &amp; monthly'!NO41</f>
        <v>0.26085989856290404</v>
      </c>
      <c r="D30" s="67">
        <f>'[3]Male , month on month &amp; monthly'!NP41</f>
        <v>-1.6853745699649592</v>
      </c>
      <c r="E30" s="67">
        <f>'[3]Male , month on month &amp; monthly'!NQ41</f>
        <v>-6.946343023894741E-4</v>
      </c>
      <c r="F30" s="67">
        <f>'[3]Male , month on month &amp; monthly'!NR41</f>
        <v>-5.8754494341928254E-2</v>
      </c>
      <c r="G30" s="67">
        <f>'[3]Male , month on month &amp; monthly'!NS41</f>
        <v>-0.27627154421113742</v>
      </c>
      <c r="H30" s="67">
        <f>'[3]Male , month on month &amp; monthly'!NT41</f>
        <v>9.9333992148142869E-2</v>
      </c>
      <c r="I30" s="67">
        <f>'[3]Male , month on month &amp; monthly'!NU41</f>
        <v>-1.6663614437538277</v>
      </c>
      <c r="J30" s="67">
        <f>'[3]Male , month on month &amp; monthly'!NV41</f>
        <v>2.4397429421849637</v>
      </c>
      <c r="K30" s="67">
        <f>'[3]Male , month on month &amp; monthly'!NW41</f>
        <v>2.8173570819614691</v>
      </c>
      <c r="L30" s="67">
        <f>'[3]Male , month on month &amp; monthly'!NX41</f>
        <v>-0.33817080407234634</v>
      </c>
      <c r="M30" s="67">
        <f>'[3]Male , month on month &amp; monthly'!NY41</f>
        <v>0.25942086150989585</v>
      </c>
      <c r="N30" s="68">
        <f>'[3]Republic data'!$OF$4</f>
        <v>0.57688102083264248</v>
      </c>
      <c r="O30" s="34"/>
      <c r="P30" s="34"/>
      <c r="Q30" s="34"/>
      <c r="R30" s="2" t="s">
        <v>49</v>
      </c>
      <c r="AK30" s="28"/>
    </row>
    <row r="31" spans="1:37" s="27" customFormat="1" ht="20.25" customHeight="1" x14ac:dyDescent="0.2">
      <c r="A31" s="7" t="s">
        <v>48</v>
      </c>
      <c r="B31" s="67">
        <f>'[3]Male , month on month &amp; monthly'!NN42</f>
        <v>-0.60765332852276144</v>
      </c>
      <c r="C31" s="67">
        <f>'[3]Male , month on month &amp; monthly'!NO42</f>
        <v>-0.43948881894350089</v>
      </c>
      <c r="D31" s="67">
        <f>'[3]Male , month on month &amp; monthly'!NP42</f>
        <v>-1.1369528257447636</v>
      </c>
      <c r="E31" s="67">
        <f>'[3]Male , month on month &amp; monthly'!NQ42</f>
        <v>-0.29008342449601265</v>
      </c>
      <c r="F31" s="67">
        <f>'[3]Male , month on month &amp; monthly'!NR42</f>
        <v>0.10760061867221005</v>
      </c>
      <c r="G31" s="67">
        <f>'[3]Male , month on month &amp; monthly'!NS42</f>
        <v>0.96762760691966321</v>
      </c>
      <c r="H31" s="67">
        <f>'[3]Male , month on month &amp; monthly'!NT42</f>
        <v>-0.47634297867347186</v>
      </c>
      <c r="I31" s="67">
        <f>'[3]Male , month on month &amp; monthly'!NU42</f>
        <v>0.58539724551218697</v>
      </c>
      <c r="J31" s="67">
        <f>'[3]Male , month on month &amp; monthly'!NV42</f>
        <v>0.2086665408996824</v>
      </c>
      <c r="K31" s="67">
        <f>'[3]Male , month on month &amp; monthly'!NW42</f>
        <v>5.8356805822542768</v>
      </c>
      <c r="L31" s="67">
        <f>'[3]Male , month on month &amp; monthly'!NX42</f>
        <v>-0.41970337469742214</v>
      </c>
      <c r="M31" s="67">
        <f>'[3]Male , month on month &amp; monthly'!NY42</f>
        <v>-0.28675182332565941</v>
      </c>
      <c r="N31" s="67">
        <f>[3]Male!$OF$485</f>
        <v>0.50222431219935082</v>
      </c>
      <c r="R31" s="2" t="s">
        <v>50</v>
      </c>
      <c r="AK31" s="28"/>
    </row>
    <row r="32" spans="1:37" s="27" customFormat="1" ht="20.25" customHeight="1" x14ac:dyDescent="0.2">
      <c r="A32" s="10" t="s">
        <v>7</v>
      </c>
      <c r="B32" s="67">
        <f>'[3]Male , month on month &amp; monthly'!NN43</f>
        <v>-0.86779625908128821</v>
      </c>
      <c r="C32" s="67">
        <f>'[3]Male , month on month &amp; monthly'!NO43</f>
        <v>1.7933258839054833</v>
      </c>
      <c r="D32" s="67">
        <f>'[3]Male , month on month &amp; monthly'!NP43</f>
        <v>-2.8590796523723983</v>
      </c>
      <c r="E32" s="67">
        <f>'[3]Male , month on month &amp; monthly'!NQ43</f>
        <v>0.62962059748523647</v>
      </c>
      <c r="F32" s="67">
        <f>'[3]Male , month on month &amp; monthly'!NR43</f>
        <v>-0.41777955910691222</v>
      </c>
      <c r="G32" s="67">
        <f>'[3]Male , month on month &amp; monthly'!NS43</f>
        <v>-2.9749990380568581</v>
      </c>
      <c r="H32" s="67">
        <f>'[3]Male , month on month &amp; monthly'!NT43</f>
        <v>1.3990582205096525</v>
      </c>
      <c r="I32" s="67">
        <f>'[3]Male , month on month &amp; monthly'!NU43</f>
        <v>-6.6562013294601314</v>
      </c>
      <c r="J32" s="67">
        <f>'[3]Male , month on month &amp; monthly'!NV43</f>
        <v>7.7673068753694396</v>
      </c>
      <c r="K32" s="67">
        <f>'[3]Male , month on month &amp; monthly'!NW43</f>
        <v>-3.8845478944992462</v>
      </c>
      <c r="L32" s="67">
        <f>'[3]Male , month on month &amp; monthly'!NX43</f>
        <v>-0.13882710637267426</v>
      </c>
      <c r="M32" s="67">
        <f>'[3]Male , month on month &amp; monthly'!NY43</f>
        <v>1.5910340994364391</v>
      </c>
      <c r="N32" s="67">
        <f>[3]Male!$OF$38</f>
        <v>-4.6933532157458995</v>
      </c>
      <c r="R32" s="2" t="s">
        <v>8</v>
      </c>
      <c r="AK32" s="28"/>
    </row>
    <row r="33" spans="1:37" s="27" customFormat="1" ht="20.25" customHeight="1" x14ac:dyDescent="0.2">
      <c r="A33" s="35" t="s">
        <v>44</v>
      </c>
      <c r="B33" s="67">
        <f>'[3]Male , month on month &amp; monthly'!NN44</f>
        <v>-0.21750649001488487</v>
      </c>
      <c r="C33" s="67">
        <f>'[3]Male , month on month &amp; monthly'!NO44</f>
        <v>0.10085110560642541</v>
      </c>
      <c r="D33" s="67">
        <f>'[3]Male , month on month &amp; monthly'!NP44</f>
        <v>7.6000105202211898E-2</v>
      </c>
      <c r="E33" s="67">
        <f>'[3]Male , month on month &amp; monthly'!NQ44</f>
        <v>-0.10414189660979956</v>
      </c>
      <c r="F33" s="67">
        <f>'[3]Male , month on month &amp; monthly'!NR44</f>
        <v>0.10891137603132872</v>
      </c>
      <c r="G33" s="67">
        <f>'[3]Male , month on month &amp; monthly'!NS44</f>
        <v>-8.4306279198742562E-2</v>
      </c>
      <c r="H33" s="67">
        <f>'[3]Male , month on month &amp; monthly'!NT44</f>
        <v>0</v>
      </c>
      <c r="I33" s="67">
        <f>'[3]Male , month on month &amp; monthly'!NU44</f>
        <v>2.6527135266252166E-2</v>
      </c>
      <c r="J33" s="67">
        <f>'[3]Male , month on month &amp; monthly'!NV44</f>
        <v>-0.15665333969299144</v>
      </c>
      <c r="K33" s="67">
        <f>'[3]Male , month on month &amp; monthly'!NW44</f>
        <v>0.50678118694098551</v>
      </c>
      <c r="L33" s="67">
        <f>'[3]Male , month on month &amp; monthly'!NX44</f>
        <v>-6.2597366771222074E-2</v>
      </c>
      <c r="M33" s="67">
        <f>'[3]Male , month on month &amp; monthly'!NY44</f>
        <v>0.49343789827041018</v>
      </c>
      <c r="N33" s="67">
        <f>[3]Male!$OF$156</f>
        <v>2.7676857673750721</v>
      </c>
      <c r="R33" s="2" t="s">
        <v>25</v>
      </c>
      <c r="AK33" s="28"/>
    </row>
    <row r="34" spans="1:37" s="27" customFormat="1" ht="20.25" customHeight="1" x14ac:dyDescent="0.2">
      <c r="A34" s="10" t="s">
        <v>9</v>
      </c>
      <c r="B34" s="67">
        <f>'[3]Male , month on month &amp; monthly'!NN45</f>
        <v>-1.3354306618706957E-2</v>
      </c>
      <c r="C34" s="67">
        <f>'[3]Male , month on month &amp; monthly'!NO45</f>
        <v>-0.11587892172677527</v>
      </c>
      <c r="D34" s="67">
        <f>'[3]Male , month on month &amp; monthly'!NP45</f>
        <v>7.5557008757787258E-2</v>
      </c>
      <c r="E34" s="67">
        <f>'[3]Male , month on month &amp; monthly'!NQ45</f>
        <v>-0.10828135861975507</v>
      </c>
      <c r="F34" s="67">
        <f>'[3]Male , month on month &amp; monthly'!NR45</f>
        <v>-0.29360666612102682</v>
      </c>
      <c r="G34" s="67">
        <f>'[3]Male , month on month &amp; monthly'!NS45</f>
        <v>8.6669551112317222E-2</v>
      </c>
      <c r="H34" s="67">
        <f>'[3]Male , month on month &amp; monthly'!NT45</f>
        <v>0.23364440570039502</v>
      </c>
      <c r="I34" s="67">
        <f>'[3]Male , month on month &amp; monthly'!NU45</f>
        <v>-5.54487747093102E-3</v>
      </c>
      <c r="J34" s="67">
        <f>'[3]Male , month on month &amp; monthly'!NV45</f>
        <v>-0.16307532544186376</v>
      </c>
      <c r="K34" s="67">
        <f>'[3]Male , month on month &amp; monthly'!NW45</f>
        <v>0.34579147799806975</v>
      </c>
      <c r="L34" s="67">
        <f>'[3]Male , month on month &amp; monthly'!NX45</f>
        <v>0</v>
      </c>
      <c r="M34" s="67">
        <f>'[3]Male , month on month &amp; monthly'!NY45</f>
        <v>-2.5822661168795058E-3</v>
      </c>
      <c r="N34" s="67">
        <f>[3]Male!$OF$167</f>
        <v>-0.83209932707477563</v>
      </c>
      <c r="R34" s="2" t="s">
        <v>26</v>
      </c>
      <c r="AK34" s="28"/>
    </row>
    <row r="35" spans="1:37" s="27" customFormat="1" ht="20.25" customHeight="1" x14ac:dyDescent="0.2">
      <c r="A35" s="10" t="s">
        <v>56</v>
      </c>
      <c r="B35" s="67">
        <f>'[3]Male , month on month &amp; monthly'!NN46</f>
        <v>-8.5751375530707108E-2</v>
      </c>
      <c r="C35" s="67">
        <f>'[3]Male , month on month &amp; monthly'!NO46</f>
        <v>-0.11894187579422066</v>
      </c>
      <c r="D35" s="67">
        <f>'[3]Male , month on month &amp; monthly'!NP46</f>
        <v>0.10201776581977295</v>
      </c>
      <c r="E35" s="67">
        <f>'[3]Male , month on month &amp; monthly'!NQ46</f>
        <v>0.37434540610361555</v>
      </c>
      <c r="F35" s="67">
        <f>'[3]Male , month on month &amp; monthly'!NR46</f>
        <v>0.46021645905391928</v>
      </c>
      <c r="G35" s="67">
        <f>'[3]Male , month on month &amp; monthly'!NS46</f>
        <v>9.6505844850058864E-2</v>
      </c>
      <c r="H35" s="67">
        <f>'[3]Male , month on month &amp; monthly'!NT46</f>
        <v>0.37388267548634779</v>
      </c>
      <c r="I35" s="67">
        <f>'[3]Male , month on month &amp; monthly'!NU46</f>
        <v>0.11743991475570148</v>
      </c>
      <c r="J35" s="67">
        <f>'[3]Male , month on month &amp; monthly'!NV46</f>
        <v>0.11837485946060156</v>
      </c>
      <c r="K35" s="67">
        <f>'[3]Male , month on month &amp; monthly'!NW46</f>
        <v>0.419745862900478</v>
      </c>
      <c r="L35" s="67">
        <f>'[3]Male , month on month &amp; monthly'!NX46</f>
        <v>0.47424843345291734</v>
      </c>
      <c r="M35" s="67">
        <f>'[3]Male , month on month &amp; monthly'!NY46</f>
        <v>0.10100535356893925</v>
      </c>
      <c r="N35" s="67">
        <f>[3]Male!$OF$207</f>
        <v>1.9772462101365074</v>
      </c>
      <c r="R35" s="2" t="s">
        <v>27</v>
      </c>
      <c r="AK35" s="28"/>
    </row>
    <row r="36" spans="1:37" s="27" customFormat="1" ht="20.25" customHeight="1" x14ac:dyDescent="0.2">
      <c r="A36" s="10" t="s">
        <v>57</v>
      </c>
      <c r="B36" s="67">
        <f>'[3]Male , month on month &amp; monthly'!NN47</f>
        <v>0.32598714416895991</v>
      </c>
      <c r="C36" s="67">
        <f>'[3]Male , month on month &amp; monthly'!NO47</f>
        <v>0.48872496898813012</v>
      </c>
      <c r="D36" s="67">
        <f>'[3]Male , month on month &amp; monthly'!NP47</f>
        <v>0.40174765558398384</v>
      </c>
      <c r="E36" s="67">
        <f>'[3]Male , month on month &amp; monthly'!NQ47</f>
        <v>0.4397574300081919</v>
      </c>
      <c r="F36" s="67">
        <f>'[3]Male , month on month &amp; monthly'!NR47</f>
        <v>0.60758513931888913</v>
      </c>
      <c r="G36" s="67">
        <f>'[3]Male , month on month &amp; monthly'!NS47</f>
        <v>0.30158730158729163</v>
      </c>
      <c r="H36" s="67">
        <f>'[3]Male , month on month &amp; monthly'!NT47</f>
        <v>0.4918750961318219</v>
      </c>
      <c r="I36" s="67">
        <f>'[3]Male , month on month &amp; monthly'!NU47</f>
        <v>0.15432098765431057</v>
      </c>
      <c r="J36" s="67">
        <f>'[3]Male , month on month &amp; monthly'!NV47</f>
        <v>0.1541950113378654</v>
      </c>
      <c r="K36" s="67">
        <f>'[3]Male , month on month &amp; monthly'!NW47</f>
        <v>0.20796627829875458</v>
      </c>
      <c r="L36" s="67">
        <f>'[3]Male , month on month &amp; monthly'!NX47</f>
        <v>0.56858896940419346</v>
      </c>
      <c r="M36" s="67">
        <f>'[3]Male , month on month &amp; monthly'!NY47</f>
        <v>5.1980604865220492E-2</v>
      </c>
      <c r="N36" s="67">
        <f>[3]Male!$OF$209</f>
        <v>3.8750283815151443</v>
      </c>
      <c r="R36" s="36" t="s">
        <v>60</v>
      </c>
      <c r="AK36" s="28"/>
    </row>
    <row r="37" spans="1:37" s="27" customFormat="1" ht="25.5" x14ac:dyDescent="0.2">
      <c r="A37" s="7" t="s">
        <v>43</v>
      </c>
      <c r="B37" s="67">
        <f>'[3]Male , month on month &amp; monthly'!NN48</f>
        <v>0.91990160340513771</v>
      </c>
      <c r="C37" s="67">
        <f>'[3]Male , month on month &amp; monthly'!NO48</f>
        <v>-2.0195566214531446E-2</v>
      </c>
      <c r="D37" s="67">
        <f>'[3]Male , month on month &amp; monthly'!NP48</f>
        <v>0.51421821090062991</v>
      </c>
      <c r="E37" s="67">
        <f>'[3]Male , month on month &amp; monthly'!NQ48</f>
        <v>-1.3099049754649261</v>
      </c>
      <c r="F37" s="67">
        <f>'[3]Male , month on month &amp; monthly'!NR48</f>
        <v>-1.349879418581168</v>
      </c>
      <c r="G37" s="67">
        <f>'[3]Male , month on month &amp; monthly'!NS48</f>
        <v>1.5183076083614688</v>
      </c>
      <c r="H37" s="67">
        <f>'[3]Male , month on month &amp; monthly'!NT48</f>
        <v>2.3338210040174223</v>
      </c>
      <c r="I37" s="67">
        <f>'[3]Male , month on month &amp; monthly'!NU48</f>
        <v>-9.4609801974221419E-2</v>
      </c>
      <c r="J37" s="67">
        <f>'[3]Male , month on month &amp; monthly'!NV48</f>
        <v>0.53419410691704083</v>
      </c>
      <c r="K37" s="67">
        <f>'[3]Male , month on month &amp; monthly'!NW48</f>
        <v>1.4595776921358494</v>
      </c>
      <c r="L37" s="67">
        <f>'[3]Male , month on month &amp; monthly'!NX48</f>
        <v>-5.9898743340847105E-2</v>
      </c>
      <c r="M37" s="67">
        <f>'[3]Male , month on month &amp; monthly'!NY48</f>
        <v>0.2812736470700905</v>
      </c>
      <c r="N37" s="67">
        <f>[3]Male!$OF$240</f>
        <v>1.6650761540538461</v>
      </c>
      <c r="R37" s="2" t="s">
        <v>45</v>
      </c>
      <c r="AK37" s="28"/>
    </row>
    <row r="38" spans="1:37" s="27" customFormat="1" ht="20.25" customHeight="1" x14ac:dyDescent="0.2">
      <c r="A38" s="11" t="s">
        <v>28</v>
      </c>
      <c r="B38" s="67">
        <f>'[3]Male , month on month &amp; monthly'!NN49</f>
        <v>0.34943034620158464</v>
      </c>
      <c r="C38" s="67">
        <f>'[3]Male , month on month &amp; monthly'!NO49</f>
        <v>0.23686505026609961</v>
      </c>
      <c r="D38" s="67">
        <f>'[3]Male , month on month &amp; monthly'!NP49</f>
        <v>0.26225099544263664</v>
      </c>
      <c r="E38" s="67">
        <f>'[3]Male , month on month &amp; monthly'!NQ49</f>
        <v>1.8357716563532911E-2</v>
      </c>
      <c r="F38" s="67">
        <f>'[3]Male , month on month &amp; monthly'!NR49</f>
        <v>0</v>
      </c>
      <c r="G38" s="67">
        <f>'[3]Male , month on month &amp; monthly'!NS49</f>
        <v>9.4883352585117819E-3</v>
      </c>
      <c r="H38" s="67">
        <f>'[3]Male , month on month &amp; monthly'!NT49</f>
        <v>0.11314701128397608</v>
      </c>
      <c r="I38" s="67">
        <f>'[3]Male , month on month &amp; monthly'!NU49</f>
        <v>0.18013295647199001</v>
      </c>
      <c r="J38" s="67">
        <f>'[3]Male , month on month &amp; monthly'!NV49</f>
        <v>5.5525584393478766E-3</v>
      </c>
      <c r="K38" s="67">
        <f>'[3]Male , month on month &amp; monthly'!NW49</f>
        <v>8.9961918943703978E-2</v>
      </c>
      <c r="L38" s="67">
        <f>'[3]Male , month on month &amp; monthly'!NX49</f>
        <v>-6.9820560500533091E-2</v>
      </c>
      <c r="M38" s="67">
        <f>'[3]Male , month on month &amp; monthly'!NY49</f>
        <v>5.8742810693512837E-4</v>
      </c>
      <c r="N38" s="67">
        <f>[3]Male!$OF$292</f>
        <v>0.98661137085298556</v>
      </c>
      <c r="R38" s="2" t="s">
        <v>29</v>
      </c>
      <c r="AK38" s="28"/>
    </row>
    <row r="39" spans="1:37" s="27" customFormat="1" ht="20.25" customHeight="1" x14ac:dyDescent="0.2">
      <c r="A39" s="11" t="s">
        <v>30</v>
      </c>
      <c r="B39" s="67">
        <f>'[3]Male , month on month &amp; monthly'!NN50</f>
        <v>4.8131401032636134E-2</v>
      </c>
      <c r="C39" s="67">
        <f>'[3]Male , month on month &amp; monthly'!NO50</f>
        <v>-7.6404544918218242E-2</v>
      </c>
      <c r="D39" s="67">
        <f>'[3]Male , month on month &amp; monthly'!NP50</f>
        <v>-5.3302256739085063E-2</v>
      </c>
      <c r="E39" s="67">
        <f>'[3]Male , month on month &amp; monthly'!NQ50</f>
        <v>-7.4902655753061875E-2</v>
      </c>
      <c r="F39" s="67">
        <f>'[3]Male , month on month &amp; monthly'!NR50</f>
        <v>2.0598317052034076E-6</v>
      </c>
      <c r="G39" s="67">
        <f>'[3]Male , month on month &amp; monthly'!NS50</f>
        <v>0</v>
      </c>
      <c r="H39" s="67">
        <f>'[3]Male , month on month &amp; monthly'!NT50</f>
        <v>-4.5362759003730879E-2</v>
      </c>
      <c r="I39" s="67">
        <f>'[3]Male , month on month &amp; monthly'!NU50</f>
        <v>0</v>
      </c>
      <c r="J39" s="67">
        <f>'[3]Male , month on month &amp; monthly'!NV50</f>
        <v>0</v>
      </c>
      <c r="K39" s="67">
        <f>'[3]Male , month on month &amp; monthly'!NW50</f>
        <v>1.9064535464496934E-2</v>
      </c>
      <c r="L39" s="67">
        <f>'[3]Male , month on month &amp; monthly'!NX50</f>
        <v>-1.906090159214946E-2</v>
      </c>
      <c r="M39" s="67">
        <f>'[3]Male , month on month &amp; monthly'!NY50</f>
        <v>0</v>
      </c>
      <c r="N39" s="67">
        <f>[3]Male!$OF$322</f>
        <v>9.8757790685599645E-2</v>
      </c>
      <c r="R39" s="2" t="s">
        <v>31</v>
      </c>
      <c r="AK39" s="28"/>
    </row>
    <row r="40" spans="1:37" s="27" customFormat="1" ht="20.25" customHeight="1" x14ac:dyDescent="0.2">
      <c r="A40" s="11" t="s">
        <v>32</v>
      </c>
      <c r="B40" s="67">
        <f>'[3]Male , month on month &amp; monthly'!NN51</f>
        <v>6.5696994122621533E-2</v>
      </c>
      <c r="C40" s="67">
        <f>'[3]Male , month on month &amp; monthly'!NO51</f>
        <v>-6.5653861509074041E-2</v>
      </c>
      <c r="D40" s="67">
        <f>'[3]Male , month on month &amp; monthly'!NP51</f>
        <v>0</v>
      </c>
      <c r="E40" s="67">
        <f>'[3]Male , month on month &amp; monthly'!NQ51</f>
        <v>0</v>
      </c>
      <c r="F40" s="67">
        <f>'[3]Male , month on month &amp; monthly'!NR51</f>
        <v>0</v>
      </c>
      <c r="G40" s="67">
        <f>'[3]Male , month on month &amp; monthly'!NS51</f>
        <v>0</v>
      </c>
      <c r="H40" s="67">
        <f>'[3]Male , month on month &amp; monthly'!NT51</f>
        <v>0</v>
      </c>
      <c r="I40" s="67">
        <f>'[3]Male , month on month &amp; monthly'!NU51</f>
        <v>0</v>
      </c>
      <c r="J40" s="67">
        <f>'[3]Male , month on month &amp; monthly'!NV51</f>
        <v>0</v>
      </c>
      <c r="K40" s="67">
        <f>'[3]Male , month on month &amp; monthly'!NW51</f>
        <v>0</v>
      </c>
      <c r="L40" s="67">
        <f>'[3]Male , month on month &amp; monthly'!NX51</f>
        <v>0</v>
      </c>
      <c r="M40" s="67">
        <f>'[3]Male , month on month &amp; monthly'!NY51</f>
        <v>0</v>
      </c>
      <c r="N40" s="67">
        <f>[3]Male!$OF$348</f>
        <v>-0.48061759014536021</v>
      </c>
      <c r="R40" s="2" t="s">
        <v>33</v>
      </c>
      <c r="AK40" s="28"/>
    </row>
    <row r="41" spans="1:37" s="27" customFormat="1" ht="20.25" customHeight="1" x14ac:dyDescent="0.2">
      <c r="A41" s="12" t="s">
        <v>34</v>
      </c>
      <c r="B41" s="67">
        <f>'[3]Male , month on month &amp; monthly'!NN52</f>
        <v>-0.24251811753362995</v>
      </c>
      <c r="C41" s="67">
        <f>'[3]Male , month on month &amp; monthly'!NO52</f>
        <v>-4.0959162756804002E-2</v>
      </c>
      <c r="D41" s="67">
        <f>'[3]Male , month on month &amp; monthly'!NP52</f>
        <v>2.079624271433822E-3</v>
      </c>
      <c r="E41" s="67">
        <f>'[3]Male , month on month &amp; monthly'!NQ52</f>
        <v>-0.22362093173114994</v>
      </c>
      <c r="F41" s="67">
        <f>'[3]Male , month on month &amp; monthly'!NR52</f>
        <v>0.19956178122215729</v>
      </c>
      <c r="G41" s="67">
        <f>'[3]Male , month on month &amp; monthly'!NS52</f>
        <v>4.6789516504586182E-2</v>
      </c>
      <c r="H41" s="67">
        <f>'[3]Male , month on month &amp; monthly'!NT52</f>
        <v>2.7855859790397508</v>
      </c>
      <c r="I41" s="67">
        <f>'[3]Male , month on month &amp; monthly'!NU52</f>
        <v>-9.4909005983034866E-2</v>
      </c>
      <c r="J41" s="67">
        <f>'[3]Male , month on month &amp; monthly'!NV52</f>
        <v>-0.82084068411791833</v>
      </c>
      <c r="K41" s="67">
        <f>'[3]Male , month on month &amp; monthly'!NW52</f>
        <v>-7.3752946853189449E-3</v>
      </c>
      <c r="L41" s="67">
        <f>'[3]Male , month on month &amp; monthly'!NX52</f>
        <v>0</v>
      </c>
      <c r="M41" s="67">
        <f>'[3]Male , month on month &amp; monthly'!NY52</f>
        <v>0</v>
      </c>
      <c r="N41" s="67">
        <f>[3]Male!$OF$360</f>
        <v>-0.58954023954889134</v>
      </c>
      <c r="R41" s="13" t="s">
        <v>35</v>
      </c>
      <c r="AK41" s="28"/>
    </row>
    <row r="42" spans="1:37" s="27" customFormat="1" ht="20.25" customHeight="1" x14ac:dyDescent="0.2">
      <c r="A42" s="10" t="s">
        <v>10</v>
      </c>
      <c r="B42" s="67">
        <f>'[3]Male , month on month &amp; monthly'!NN53</f>
        <v>6.9712298192002198</v>
      </c>
      <c r="C42" s="67">
        <f>'[3]Male , month on month &amp; monthly'!NO53</f>
        <v>0</v>
      </c>
      <c r="D42" s="67">
        <f>'[3]Male , month on month &amp; monthly'!NP53</f>
        <v>0</v>
      </c>
      <c r="E42" s="67">
        <f>'[3]Male , month on month &amp; monthly'!NQ53</f>
        <v>0</v>
      </c>
      <c r="F42" s="67">
        <f>'[3]Male , month on month &amp; monthly'!NR53</f>
        <v>0</v>
      </c>
      <c r="G42" s="67">
        <f>'[3]Male , month on month &amp; monthly'!NS53</f>
        <v>0</v>
      </c>
      <c r="H42" s="67">
        <f>'[3]Male , month on month &amp; monthly'!NT53</f>
        <v>0</v>
      </c>
      <c r="I42" s="67">
        <f>'[3]Male , month on month &amp; monthly'!NU53</f>
        <v>0</v>
      </c>
      <c r="J42" s="67">
        <f>'[3]Male , month on month &amp; monthly'!NV53</f>
        <v>0</v>
      </c>
      <c r="K42" s="67">
        <f>'[3]Male , month on month &amp; monthly'!NW53</f>
        <v>0</v>
      </c>
      <c r="L42" s="67">
        <f>'[3]Male , month on month &amp; monthly'!NX53</f>
        <v>0</v>
      </c>
      <c r="M42" s="67">
        <f>'[3]Male , month on month &amp; monthly'!NY53</f>
        <v>0</v>
      </c>
      <c r="N42" s="67">
        <f>[3]Male!$OF$405</f>
        <v>6.971229819200242</v>
      </c>
      <c r="R42" s="13" t="s">
        <v>11</v>
      </c>
      <c r="AK42" s="28"/>
    </row>
    <row r="43" spans="1:37" s="27" customFormat="1" ht="20.25" customHeight="1" x14ac:dyDescent="0.2">
      <c r="A43" s="35" t="s">
        <v>36</v>
      </c>
      <c r="B43" s="67">
        <f>'[3]Male , month on month &amp; monthly'!NN54</f>
        <v>0.48553255985084309</v>
      </c>
      <c r="C43" s="67">
        <f>'[3]Male , month on month &amp; monthly'!NO54</f>
        <v>5.4917142756494286E-2</v>
      </c>
      <c r="D43" s="67">
        <f>'[3]Male , month on month &amp; monthly'!NP54</f>
        <v>0</v>
      </c>
      <c r="E43" s="67">
        <f>'[3]Male , month on month &amp; monthly'!NQ54</f>
        <v>2.3056882585587246</v>
      </c>
      <c r="F43" s="67">
        <f>'[3]Male , month on month &amp; monthly'!NR54</f>
        <v>0</v>
      </c>
      <c r="G43" s="67">
        <f>'[3]Male , month on month &amp; monthly'!NS54</f>
        <v>0.12728676011564133</v>
      </c>
      <c r="H43" s="67">
        <f>'[3]Male , month on month &amp; monthly'!NT54</f>
        <v>-2.333802374443783</v>
      </c>
      <c r="I43" s="67">
        <f>'[3]Male , month on month &amp; monthly'!NU54</f>
        <v>8.321339316497145E-3</v>
      </c>
      <c r="J43" s="67">
        <f>'[3]Male , month on month &amp; monthly'!NV54</f>
        <v>0</v>
      </c>
      <c r="K43" s="67">
        <f>'[3]Male , month on month &amp; monthly'!NW54</f>
        <v>0.50700007826094406</v>
      </c>
      <c r="L43" s="67">
        <f>'[3]Male , month on month &amp; monthly'!NX54</f>
        <v>-8.043640745123426E-2</v>
      </c>
      <c r="M43" s="67">
        <f>'[3]Male , month on month &amp; monthly'!NY54</f>
        <v>0.10682743532830496</v>
      </c>
      <c r="N43" s="67">
        <f>[3]Male!$OF$421</f>
        <v>1.4533403825192304</v>
      </c>
      <c r="R43" s="13" t="s">
        <v>37</v>
      </c>
      <c r="AK43" s="28"/>
    </row>
    <row r="44" spans="1:37" s="27" customFormat="1" ht="20.25" customHeight="1" x14ac:dyDescent="0.2">
      <c r="A44" s="12" t="s">
        <v>38</v>
      </c>
      <c r="B44" s="67">
        <f>'[3]Male , month on month &amp; monthly'!NN55</f>
        <v>0.18258566320408232</v>
      </c>
      <c r="C44" s="67">
        <f>'[3]Male , month on month &amp; monthly'!NO55</f>
        <v>-0.13507195505843006</v>
      </c>
      <c r="D44" s="67">
        <f>'[3]Male , month on month &amp; monthly'!NP55</f>
        <v>-0.1466222161641495</v>
      </c>
      <c r="E44" s="67">
        <f>'[3]Male , month on month &amp; monthly'!NQ55</f>
        <v>0.39167882980177815</v>
      </c>
      <c r="F44" s="67">
        <f>'[3]Male , month on month &amp; monthly'!NR55</f>
        <v>-2.7400487688455932E-3</v>
      </c>
      <c r="G44" s="67">
        <f>'[3]Male , month on month &amp; monthly'!NS55</f>
        <v>7.1037722406241954E-3</v>
      </c>
      <c r="H44" s="67">
        <f>'[3]Male , month on month &amp; monthly'!NT55</f>
        <v>-0.37313927924210732</v>
      </c>
      <c r="I44" s="67">
        <f>'[3]Male , month on month &amp; monthly'!NU55</f>
        <v>0.18130282453576729</v>
      </c>
      <c r="J44" s="67">
        <f>'[3]Male , month on month &amp; monthly'!NV55</f>
        <v>6.1243522162302E-3</v>
      </c>
      <c r="K44" s="67">
        <f>'[3]Male , month on month &amp; monthly'!NW55</f>
        <v>-5.2646772402020758E-2</v>
      </c>
      <c r="L44" s="67">
        <f>'[3]Male , month on month &amp; monthly'!NX55</f>
        <v>-0.33353777405392693</v>
      </c>
      <c r="M44" s="67">
        <f>'[3]Male , month on month &amp; monthly'!NY55</f>
        <v>0.71283521716396514</v>
      </c>
      <c r="N44" s="67">
        <f>[3]Male!$OF$438</f>
        <v>-0.45507264100809186</v>
      </c>
      <c r="R44" s="13" t="s">
        <v>61</v>
      </c>
      <c r="AK44" s="28"/>
    </row>
    <row r="45" spans="1:37" s="24" customFormat="1" ht="20.25" customHeight="1" x14ac:dyDescent="0.2">
      <c r="A45" s="43" t="s">
        <v>58</v>
      </c>
      <c r="B45" s="69">
        <f>'[3]Male , month on month &amp; monthly'!NN39</f>
        <v>0.1466545323528079</v>
      </c>
      <c r="C45" s="69">
        <f>'[3]Male , month on month &amp; monthly'!NO39</f>
        <v>1.3255168985115695E-2</v>
      </c>
      <c r="D45" s="69">
        <f>'[3]Male , month on month &amp; monthly'!NP39</f>
        <v>-0.3274438422036674</v>
      </c>
      <c r="E45" s="69">
        <f>'[3]Male , month on month &amp; monthly'!NQ39</f>
        <v>0.16072487746066066</v>
      </c>
      <c r="F45" s="69">
        <f>'[3]Male , month on month &amp; monthly'!NR39</f>
        <v>5.6333098875827048E-2</v>
      </c>
      <c r="G45" s="69">
        <f>'[3]Male , month on month &amp; monthly'!NS39</f>
        <v>7.6068886805424896E-2</v>
      </c>
      <c r="H45" s="69">
        <f>'[3]Male , month on month &amp; monthly'!NT39</f>
        <v>0.27430892293893727</v>
      </c>
      <c r="I45" s="69">
        <f>'[3]Male , month on month &amp; monthly'!NU39</f>
        <v>-0.33586106193795873</v>
      </c>
      <c r="J45" s="69">
        <f>'[3]Male , month on month &amp; monthly'!NV39</f>
        <v>0.59601507895374883</v>
      </c>
      <c r="K45" s="69">
        <f>'[3]Male , month on month &amp; monthly'!NW39</f>
        <v>0.93823043145353502</v>
      </c>
      <c r="L45" s="69">
        <f>'[3]Male , month on month &amp; monthly'!NX39</f>
        <v>5.0582922237074612E-2</v>
      </c>
      <c r="M45" s="69">
        <f>'[3]Male , month on month &amp; monthly'!NY39</f>
        <v>0.16810830566624801</v>
      </c>
      <c r="N45" s="69">
        <f>[3]Male!$OF$3</f>
        <v>0.80139984913900619</v>
      </c>
      <c r="R45" s="17" t="s">
        <v>12</v>
      </c>
      <c r="AK45" s="37"/>
    </row>
    <row r="46" spans="1:37" s="24" customFormat="1" ht="20.25" customHeight="1" x14ac:dyDescent="0.2">
      <c r="A46" s="66" t="s">
        <v>59</v>
      </c>
      <c r="B46" s="70">
        <f>'[3]Male , month on month &amp; monthly'!NN40</f>
        <v>0.22850876931264086</v>
      </c>
      <c r="C46" s="70">
        <f>'[3]Male , month on month &amp; monthly'!NO40</f>
        <v>-0.12880454188736179</v>
      </c>
      <c r="D46" s="70">
        <f>'[3]Male , month on month &amp; monthly'!NP40</f>
        <v>-0.12151652714832428</v>
      </c>
      <c r="E46" s="70">
        <f>'[3]Male , month on month &amp; monthly'!NQ40</f>
        <v>0.12362954482274535</v>
      </c>
      <c r="F46" s="70">
        <f>'[3]Male , month on month &amp; monthly'!NR40</f>
        <v>9.4030707577097417E-2</v>
      </c>
      <c r="G46" s="70">
        <f>'[3]Male , month on month &amp; monthly'!NS40</f>
        <v>0.31742469557323183</v>
      </c>
      <c r="H46" s="70">
        <f>'[3]Male , month on month &amp; monthly'!NT40</f>
        <v>0.18825535316038255</v>
      </c>
      <c r="I46" s="70">
        <f>'[3]Male , month on month &amp; monthly'!NU40</f>
        <v>0.15354655887327429</v>
      </c>
      <c r="J46" s="70">
        <f>'[3]Male , month on month &amp; monthly'!NV40</f>
        <v>7.847164899474901E-2</v>
      </c>
      <c r="K46" s="70">
        <f>'[3]Male , month on month &amp; monthly'!NW40</f>
        <v>1.3130248127914523</v>
      </c>
      <c r="L46" s="70">
        <f>'[3]Male , month on month &amp; monthly'!NX40</f>
        <v>6.454746344819462E-2</v>
      </c>
      <c r="M46" s="70">
        <f>'[3]Male , month on month &amp; monthly'!NY40</f>
        <v>6.3414163835795456E-2</v>
      </c>
      <c r="N46" s="71">
        <f>[3]Male!$OF$484</f>
        <v>1.2511160314853997</v>
      </c>
      <c r="O46" s="61"/>
      <c r="P46" s="61"/>
      <c r="Q46" s="61"/>
      <c r="R46" s="19" t="s">
        <v>46</v>
      </c>
      <c r="AK46" s="37"/>
    </row>
    <row r="47" spans="1:37" s="27" customFormat="1" ht="15" x14ac:dyDescent="0.2">
      <c r="A47" s="40"/>
      <c r="C47" s="28"/>
      <c r="D47" s="28"/>
      <c r="R47" s="41"/>
      <c r="AK47" s="28"/>
    </row>
    <row r="48" spans="1:37" s="27" customFormat="1" ht="15" x14ac:dyDescent="0.2">
      <c r="A48" s="46"/>
      <c r="B48" s="23" t="s">
        <v>66</v>
      </c>
      <c r="C48" s="26"/>
      <c r="D48" s="26"/>
      <c r="E48" s="26"/>
      <c r="F48" s="26"/>
      <c r="G48" s="25"/>
      <c r="H48" s="60"/>
      <c r="I48" s="60"/>
      <c r="J48" s="60"/>
      <c r="K48" s="60"/>
      <c r="L48" s="6"/>
      <c r="M48" s="60"/>
      <c r="N48" s="6" t="s">
        <v>67</v>
      </c>
      <c r="O48" s="46"/>
      <c r="P48" s="46"/>
      <c r="Q48" s="46"/>
      <c r="R48" s="47" t="s">
        <v>16</v>
      </c>
      <c r="AE48" s="28"/>
    </row>
    <row r="49" spans="1:32" s="27" customFormat="1" ht="15.75" customHeight="1" x14ac:dyDescent="0.2">
      <c r="A49" s="29" t="s">
        <v>6</v>
      </c>
      <c r="B49" s="30" t="s">
        <v>53</v>
      </c>
      <c r="C49" s="30" t="s">
        <v>52</v>
      </c>
      <c r="D49" s="30" t="s">
        <v>0</v>
      </c>
      <c r="E49" s="30" t="s">
        <v>13</v>
      </c>
      <c r="F49" s="30" t="s">
        <v>14</v>
      </c>
      <c r="G49" s="1" t="s">
        <v>1</v>
      </c>
      <c r="H49" s="1" t="s">
        <v>15</v>
      </c>
      <c r="I49" s="1" t="s">
        <v>51</v>
      </c>
      <c r="J49" s="1" t="s">
        <v>72</v>
      </c>
      <c r="K49" s="1" t="s">
        <v>73</v>
      </c>
      <c r="L49" s="1" t="s">
        <v>74</v>
      </c>
      <c r="M49" s="1" t="s">
        <v>75</v>
      </c>
      <c r="N49" s="78" t="s">
        <v>71</v>
      </c>
      <c r="O49" s="34"/>
      <c r="P49" s="34"/>
      <c r="Q49" s="34"/>
      <c r="R49" s="17" t="s">
        <v>63</v>
      </c>
      <c r="AE49" s="28"/>
    </row>
    <row r="50" spans="1:32" s="27" customFormat="1" ht="15" x14ac:dyDescent="0.2">
      <c r="A50" s="42" t="s">
        <v>42</v>
      </c>
      <c r="B50" s="21" t="s">
        <v>17</v>
      </c>
      <c r="C50" s="20" t="s">
        <v>18</v>
      </c>
      <c r="D50" s="20" t="s">
        <v>2</v>
      </c>
      <c r="E50" s="20" t="s">
        <v>19</v>
      </c>
      <c r="F50" s="20" t="s">
        <v>20</v>
      </c>
      <c r="G50" s="20" t="s">
        <v>3</v>
      </c>
      <c r="H50" s="20" t="s">
        <v>21</v>
      </c>
      <c r="I50" s="20" t="s">
        <v>22</v>
      </c>
      <c r="J50" s="20" t="s">
        <v>4</v>
      </c>
      <c r="K50" s="20" t="s">
        <v>23</v>
      </c>
      <c r="L50" s="20" t="s">
        <v>24</v>
      </c>
      <c r="M50" s="20" t="s">
        <v>5</v>
      </c>
      <c r="N50" s="77"/>
      <c r="O50" s="32"/>
      <c r="P50" s="32"/>
      <c r="Q50" s="32"/>
      <c r="R50" s="33"/>
      <c r="AE50" s="28"/>
    </row>
    <row r="51" spans="1:32" s="27" customFormat="1" ht="18.75" customHeight="1" x14ac:dyDescent="0.2">
      <c r="A51" s="7" t="s">
        <v>47</v>
      </c>
      <c r="B51" s="8">
        <f>'[3]Atolls month on month'!NN41</f>
        <v>-0.81255469391789958</v>
      </c>
      <c r="C51" s="8">
        <f>'[3]Atolls month on month'!NO41</f>
        <v>2.4891794744873685</v>
      </c>
      <c r="D51" s="8">
        <f>'[3]Atolls month on month'!NP41</f>
        <v>-2.378921156875724</v>
      </c>
      <c r="E51" s="8">
        <f>'[3]Atolls month on month'!NQ41</f>
        <v>-0.46233951934172568</v>
      </c>
      <c r="F51" s="8">
        <f>'[3]Atolls month on month'!NR41</f>
        <v>0.61940050379161171</v>
      </c>
      <c r="G51" s="8">
        <f>'[3]Atolls month on month'!NS41</f>
        <v>0.95842389952880414</v>
      </c>
      <c r="H51" s="8">
        <f>'[3]Atolls month on month'!NT41</f>
        <v>-0.2478770370970329</v>
      </c>
      <c r="I51" s="8">
        <f>'[3]Atolls month on month'!NU41</f>
        <v>-6.3255428018937909E-2</v>
      </c>
      <c r="J51" s="8">
        <f>'[3]Atolls month on month'!NV41</f>
        <v>1.0134164013221536</v>
      </c>
      <c r="K51" s="8">
        <f>'[3]Atolls month on month'!NW41</f>
        <v>7.2851960759045653</v>
      </c>
      <c r="L51" s="8">
        <f>'[3]Atolls month on month'!NX41</f>
        <v>-1.0910945798461524</v>
      </c>
      <c r="M51" s="8">
        <f>'[3]Atolls month on month'!NY41</f>
        <v>0.67705119393843827</v>
      </c>
      <c r="N51" s="8">
        <f>[3]Atolls!$OF$4</f>
        <v>1.6772323546776491</v>
      </c>
      <c r="R51" s="2" t="s">
        <v>49</v>
      </c>
      <c r="T51" s="4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s="27" customFormat="1" ht="18.75" customHeight="1" x14ac:dyDescent="0.2">
      <c r="A52" s="7" t="s">
        <v>48</v>
      </c>
      <c r="B52" s="8">
        <f>'[3]Atolls month on month'!NN42</f>
        <v>-0.52906061502285828</v>
      </c>
      <c r="C52" s="8">
        <f>'[3]Atolls month on month'!NO42</f>
        <v>-0.33791741671350684</v>
      </c>
      <c r="D52" s="8">
        <f>'[3]Atolls month on month'!NP42</f>
        <v>-0.61760037275950808</v>
      </c>
      <c r="E52" s="8">
        <f>'[3]Atolls month on month'!NQ42</f>
        <v>-0.17335266113872594</v>
      </c>
      <c r="F52" s="8">
        <f>'[3]Atolls month on month'!NR42</f>
        <v>-0.13670926248956494</v>
      </c>
      <c r="G52" s="8">
        <f>'[3]Atolls month on month'!NS42</f>
        <v>0.890546311539131</v>
      </c>
      <c r="H52" s="8">
        <f>'[3]Atolls month on month'!NT42</f>
        <v>0.19791146566823237</v>
      </c>
      <c r="I52" s="8">
        <f>'[3]Atolls month on month'!NU42</f>
        <v>0.61533652982785902</v>
      </c>
      <c r="J52" s="8">
        <f>'[3]Atolls month on month'!NV42</f>
        <v>0.8262473807884696</v>
      </c>
      <c r="K52" s="8">
        <f>'[3]Atolls month on month'!NW42</f>
        <v>10.236403533964245</v>
      </c>
      <c r="L52" s="8">
        <f>'[3]Atolls month on month'!NX42</f>
        <v>-0.78030618876907543</v>
      </c>
      <c r="M52" s="8">
        <f>'[3]Atolls month on month'!NY42</f>
        <v>0.43604297860910801</v>
      </c>
      <c r="N52" s="8">
        <f>[3]Atolls!$OF$485</f>
        <v>2.1350084671010405</v>
      </c>
      <c r="R52" s="2" t="s">
        <v>50</v>
      </c>
      <c r="T52" s="4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s="27" customFormat="1" ht="18.75" customHeight="1" x14ac:dyDescent="0.2">
      <c r="A53" s="10" t="s">
        <v>7</v>
      </c>
      <c r="B53" s="8">
        <f>'[3]Atolls month on month'!NN43</f>
        <v>-1.508080817110935</v>
      </c>
      <c r="C53" s="8">
        <f>'[3]Atolls month on month'!NO43</f>
        <v>9.4941411891096052</v>
      </c>
      <c r="D53" s="8">
        <f>'[3]Atolls month on month'!NP43</f>
        <v>-6.3512263630478234</v>
      </c>
      <c r="E53" s="8">
        <f>'[3]Atolls month on month'!NQ43</f>
        <v>-1.1539946888666552</v>
      </c>
      <c r="F53" s="8">
        <f>'[3]Atolls month on month'!NR43</f>
        <v>2.4470114239168561</v>
      </c>
      <c r="G53" s="8">
        <f>'[3]Atolls month on month'!NS43</f>
        <v>1.1183546139842404</v>
      </c>
      <c r="H53" s="8">
        <f>'[3]Atolls month on month'!NT43</f>
        <v>-1.2958614396250012</v>
      </c>
      <c r="I53" s="8">
        <f>'[3]Atolls month on month'!NU43</f>
        <v>-1.682669730027353</v>
      </c>
      <c r="J53" s="8">
        <f>'[3]Atolls month on month'!NV43</f>
        <v>1.4705228379475743</v>
      </c>
      <c r="K53" s="8">
        <f>'[3]Atolls month on month'!NW43</f>
        <v>0.12348470377867571</v>
      </c>
      <c r="L53" s="8">
        <f>'[3]Atolls month on month'!NX43</f>
        <v>-1.9214632258756748</v>
      </c>
      <c r="M53" s="8">
        <f>'[3]Atolls month on month'!NY43</f>
        <v>1.328472419554072</v>
      </c>
      <c r="N53" s="8">
        <f>[3]Atolls!$OF$38</f>
        <v>0.56758624638395538</v>
      </c>
      <c r="R53" s="2" t="s">
        <v>8</v>
      </c>
      <c r="T53" s="4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s="27" customFormat="1" ht="18.75" customHeight="1" x14ac:dyDescent="0.2">
      <c r="A54" s="35" t="s">
        <v>44</v>
      </c>
      <c r="B54" s="8">
        <f>'[3]Atolls month on month'!NN44</f>
        <v>-8.1195506171494181E-2</v>
      </c>
      <c r="C54" s="8">
        <f>'[3]Atolls month on month'!NO44</f>
        <v>-2.2317448271014229E-2</v>
      </c>
      <c r="D54" s="8">
        <f>'[3]Atolls month on month'!NP44</f>
        <v>1.7877094531471016E-2</v>
      </c>
      <c r="E54" s="8">
        <f>'[3]Atolls month on month'!NQ44</f>
        <v>4.4115683335821387E-2</v>
      </c>
      <c r="F54" s="8">
        <f>'[3]Atolls month on month'!NR44</f>
        <v>0.40731018474446934</v>
      </c>
      <c r="G54" s="8">
        <f>'[3]Atolls month on month'!NS44</f>
        <v>-0.30090802969817698</v>
      </c>
      <c r="H54" s="8">
        <f>'[3]Atolls month on month'!NT44</f>
        <v>-3.6921555562174913E-2</v>
      </c>
      <c r="I54" s="8">
        <f>'[3]Atolls month on month'!NU44</f>
        <v>0.17212774818591292</v>
      </c>
      <c r="J54" s="8">
        <f>'[3]Atolls month on month'!NV44</f>
        <v>0.32419201302975598</v>
      </c>
      <c r="K54" s="8">
        <f>'[3]Atolls month on month'!NW44</f>
        <v>-8.2128074616671931E-2</v>
      </c>
      <c r="L54" s="8">
        <f>'[3]Atolls month on month'!NX44</f>
        <v>-4.7149680454872112E-2</v>
      </c>
      <c r="M54" s="8">
        <f>'[3]Atolls month on month'!NY44</f>
        <v>-3.5883687252702412E-2</v>
      </c>
      <c r="N54" s="8">
        <f>[3]Atolls!$OF$156</f>
        <v>4.4450749912726906</v>
      </c>
      <c r="R54" s="2" t="s">
        <v>25</v>
      </c>
      <c r="T54" s="4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s="27" customFormat="1" ht="18.75" customHeight="1" x14ac:dyDescent="0.2">
      <c r="A55" s="10" t="s">
        <v>9</v>
      </c>
      <c r="B55" s="8">
        <f>'[3]Atolls month on month'!NN45</f>
        <v>0.10242225449685893</v>
      </c>
      <c r="C55" s="8">
        <f>'[3]Atolls month on month'!NO45</f>
        <v>3.6894573867263247E-2</v>
      </c>
      <c r="D55" s="8">
        <f>'[3]Atolls month on month'!NP45</f>
        <v>-0.1889544015560074</v>
      </c>
      <c r="E55" s="8">
        <f>'[3]Atolls month on month'!NQ45</f>
        <v>-9.1501781639635738E-2</v>
      </c>
      <c r="F55" s="8">
        <f>'[3]Atolls month on month'!NR45</f>
        <v>0.58788303054955193</v>
      </c>
      <c r="G55" s="8">
        <f>'[3]Atolls month on month'!NS45</f>
        <v>0.38979997832997437</v>
      </c>
      <c r="H55" s="8">
        <f>'[3]Atolls month on month'!NT45</f>
        <v>0.10781922880385153</v>
      </c>
      <c r="I55" s="8">
        <f>'[3]Atolls month on month'!NU45</f>
        <v>-1.1156929295683238</v>
      </c>
      <c r="J55" s="8">
        <f>'[3]Atolls month on month'!NV45</f>
        <v>-0.15231631595828965</v>
      </c>
      <c r="K55" s="8">
        <f>'[3]Atolls month on month'!NW45</f>
        <v>-4.8243610429676842E-2</v>
      </c>
      <c r="L55" s="8">
        <f>'[3]Atolls month on month'!NX45</f>
        <v>-0.10572241217877698</v>
      </c>
      <c r="M55" s="8">
        <f>'[3]Atolls month on month'!NY45</f>
        <v>-8.3527988841103351E-2</v>
      </c>
      <c r="N55" s="8">
        <f>[3]Atolls!$OF$167</f>
        <v>-0.35247036346628402</v>
      </c>
      <c r="R55" s="2" t="s">
        <v>26</v>
      </c>
      <c r="T55" s="4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s="27" customFormat="1" ht="18.75" customHeight="1" x14ac:dyDescent="0.2">
      <c r="A56" s="10" t="s">
        <v>56</v>
      </c>
      <c r="B56" s="8">
        <f>'[3]Atolls month on month'!NN46</f>
        <v>4.7782675714858058E-2</v>
      </c>
      <c r="C56" s="8">
        <f>'[3]Atolls month on month'!NO46</f>
        <v>-2.7901980875958521</v>
      </c>
      <c r="D56" s="8">
        <f>'[3]Atolls month on month'!NP46</f>
        <v>-0.16974732041531437</v>
      </c>
      <c r="E56" s="8">
        <f>'[3]Atolls month on month'!NQ46</f>
        <v>-0.71022752239101594</v>
      </c>
      <c r="F56" s="8">
        <f>'[3]Atolls month on month'!NR46</f>
        <v>-0.16962326845511022</v>
      </c>
      <c r="G56" s="8">
        <f>'[3]Atolls month on month'!NS46</f>
        <v>0</v>
      </c>
      <c r="H56" s="8">
        <f>'[3]Atolls month on month'!NT46</f>
        <v>9.8157153647338014E-2</v>
      </c>
      <c r="I56" s="8">
        <f>'[3]Atolls month on month'!NU46</f>
        <v>0.52642982707375996</v>
      </c>
      <c r="J56" s="8">
        <f>'[3]Atolls month on month'!NV46</f>
        <v>-7.2043919947084589E-3</v>
      </c>
      <c r="K56" s="8">
        <f>'[3]Atolls month on month'!NW46</f>
        <v>7.9187285641668659E-2</v>
      </c>
      <c r="L56" s="8">
        <f>'[3]Atolls month on month'!NX46</f>
        <v>0.16303688920815684</v>
      </c>
      <c r="M56" s="8">
        <f>'[3]Atolls month on month'!NY46</f>
        <v>0.86093593136042923</v>
      </c>
      <c r="N56" s="8">
        <f>[3]Atolls!$OF$207</f>
        <v>-3.0981759656707575</v>
      </c>
      <c r="R56" s="2" t="s">
        <v>27</v>
      </c>
      <c r="T56" s="4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s="27" customFormat="1" ht="15" x14ac:dyDescent="0.2">
      <c r="A57" s="10" t="s">
        <v>57</v>
      </c>
      <c r="B57" s="8">
        <f>'[3]Atolls month on month'!NN47</f>
        <v>0</v>
      </c>
      <c r="C57" s="8">
        <f>'[3]Atolls month on month'!NO47</f>
        <v>0</v>
      </c>
      <c r="D57" s="8">
        <f>'[3]Atolls month on month'!NP47</f>
        <v>0</v>
      </c>
      <c r="E57" s="8">
        <f>'[3]Atolls month on month'!NQ47</f>
        <v>0</v>
      </c>
      <c r="F57" s="8">
        <f>'[3]Atolls month on month'!NR47</f>
        <v>0</v>
      </c>
      <c r="G57" s="8">
        <f>'[3]Atolls month on month'!NS47</f>
        <v>0</v>
      </c>
      <c r="H57" s="8">
        <f>'[3]Atolls month on month'!NT47</f>
        <v>0</v>
      </c>
      <c r="I57" s="8">
        <f>'[3]Atolls month on month'!NU47</f>
        <v>8.9799215374819283</v>
      </c>
      <c r="J57" s="8">
        <f>'[3]Atolls month on month'!NV47</f>
        <v>0</v>
      </c>
      <c r="K57" s="8">
        <f>'[3]Atolls month on month'!NW47</f>
        <v>0</v>
      </c>
      <c r="L57" s="8">
        <f>'[3]Atolls month on month'!NX47</f>
        <v>0</v>
      </c>
      <c r="M57" s="8">
        <f>'[3]Atolls month on month'!NY47</f>
        <v>0</v>
      </c>
      <c r="N57" s="8">
        <f>[3]Atolls!$OF$209</f>
        <v>1.4199978102373834</v>
      </c>
      <c r="R57" s="36" t="s">
        <v>60</v>
      </c>
      <c r="T57" s="4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s="27" customFormat="1" ht="26.25" customHeight="1" x14ac:dyDescent="0.2">
      <c r="A58" s="7" t="s">
        <v>43</v>
      </c>
      <c r="B58" s="8">
        <f>'[3]Atolls month on month'!NN48</f>
        <v>-1.6693665145461889E-2</v>
      </c>
      <c r="C58" s="8">
        <f>'[3]Atolls month on month'!NO48</f>
        <v>0.35187037553490175</v>
      </c>
      <c r="D58" s="8">
        <f>'[3]Atolls month on month'!NP48</f>
        <v>0.11071768292443274</v>
      </c>
      <c r="E58" s="8">
        <f>'[3]Atolls month on month'!NQ48</f>
        <v>-1.0101994326034314</v>
      </c>
      <c r="F58" s="8">
        <f>'[3]Atolls month on month'!NR48</f>
        <v>-0.47808105265135792</v>
      </c>
      <c r="G58" s="8">
        <f>'[3]Atolls month on month'!NS48</f>
        <v>1.2295900636961399</v>
      </c>
      <c r="H58" s="8">
        <f>'[3]Atolls month on month'!NT48</f>
        <v>0.98200980691198758</v>
      </c>
      <c r="I58" s="8">
        <f>'[3]Atolls month on month'!NU48</f>
        <v>0.4609201829724352</v>
      </c>
      <c r="J58" s="8">
        <f>'[3]Atolls month on month'!NV48</f>
        <v>0.41514006229250722</v>
      </c>
      <c r="K58" s="8">
        <f>'[3]Atolls month on month'!NW48</f>
        <v>0.66106216333219336</v>
      </c>
      <c r="L58" s="8">
        <f>'[3]Atolls month on month'!NX48</f>
        <v>5.7222553277824773E-2</v>
      </c>
      <c r="M58" s="8">
        <f>'[3]Atolls month on month'!NY48</f>
        <v>0.23538328132530761</v>
      </c>
      <c r="N58" s="8">
        <f>[3]Atolls!$OF$240</f>
        <v>0.44382030411909135</v>
      </c>
      <c r="R58" s="2" t="s">
        <v>45</v>
      </c>
      <c r="T58" s="4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s="27" customFormat="1" ht="18.75" customHeight="1" x14ac:dyDescent="0.2">
      <c r="A59" s="11" t="s">
        <v>28</v>
      </c>
      <c r="B59" s="8">
        <f>'[3]Atolls month on month'!NN49</f>
        <v>0.1729116188714297</v>
      </c>
      <c r="C59" s="8">
        <f>'[3]Atolls month on month'!NO49</f>
        <v>0</v>
      </c>
      <c r="D59" s="8">
        <f>'[3]Atolls month on month'!NP49</f>
        <v>0.41997331707379626</v>
      </c>
      <c r="E59" s="8">
        <f>'[3]Atolls month on month'!NQ49</f>
        <v>0.21287717345113144</v>
      </c>
      <c r="F59" s="8">
        <f>'[3]Atolls month on month'!NR49</f>
        <v>6.3853864376905989E-2</v>
      </c>
      <c r="G59" s="8">
        <f>'[3]Atolls month on month'!NS49</f>
        <v>2.3535051677514573E-2</v>
      </c>
      <c r="H59" s="8">
        <f>'[3]Atolls month on month'!NT49</f>
        <v>0</v>
      </c>
      <c r="I59" s="8">
        <f>'[3]Atolls month on month'!NU49</f>
        <v>0.24277631381814935</v>
      </c>
      <c r="J59" s="8">
        <f>'[3]Atolls month on month'!NV49</f>
        <v>-0.32590786724686627</v>
      </c>
      <c r="K59" s="8">
        <f>'[3]Atolls month on month'!NW49</f>
        <v>-1.1928705121955208E-2</v>
      </c>
      <c r="L59" s="8">
        <f>'[3]Atolls month on month'!NX49</f>
        <v>3.9058160167537714E-2</v>
      </c>
      <c r="M59" s="8">
        <f>'[3]Atolls month on month'!NY49</f>
        <v>5.0950867789945065E-3</v>
      </c>
      <c r="N59" s="8">
        <f>[3]Atolls!$OF$292</f>
        <v>2.1436960819280593</v>
      </c>
      <c r="R59" s="2" t="s">
        <v>29</v>
      </c>
      <c r="T59" s="4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s="27" customFormat="1" ht="18.75" customHeight="1" x14ac:dyDescent="0.2">
      <c r="A60" s="11" t="s">
        <v>30</v>
      </c>
      <c r="B60" s="8">
        <f>'[3]Atolls month on month'!NN50</f>
        <v>-1.0464704089864219</v>
      </c>
      <c r="C60" s="8">
        <f>'[3]Atolls month on month'!NO50</f>
        <v>-0.48969981465858403</v>
      </c>
      <c r="D60" s="8">
        <f>'[3]Atolls month on month'!NP50</f>
        <v>-0.24001990949394925</v>
      </c>
      <c r="E60" s="8">
        <f>'[3]Atolls month on month'!NQ50</f>
        <v>-3.9578974893372809E-3</v>
      </c>
      <c r="F60" s="8">
        <f>'[3]Atolls month on month'!NR50</f>
        <v>-1.6562325769582831</v>
      </c>
      <c r="G60" s="8">
        <f>'[3]Atolls month on month'!NS50</f>
        <v>-1.2117533503475331</v>
      </c>
      <c r="H60" s="8">
        <f>'[3]Atolls month on month'!NT50</f>
        <v>-5.6626319646779777E-2</v>
      </c>
      <c r="I60" s="8">
        <f>'[3]Atolls month on month'!NU50</f>
        <v>0</v>
      </c>
      <c r="J60" s="8">
        <f>'[3]Atolls month on month'!NV50</f>
        <v>0</v>
      </c>
      <c r="K60" s="8">
        <f>'[3]Atolls month on month'!NW50</f>
        <v>2.4519105756780402</v>
      </c>
      <c r="L60" s="8">
        <f>'[3]Atolls month on month'!NX50</f>
        <v>2.6944022537477519</v>
      </c>
      <c r="M60" s="8">
        <f>'[3]Atolls month on month'!NY50</f>
        <v>1.0912650350469733E-3</v>
      </c>
      <c r="N60" s="8">
        <f>[3]Atolls!$OF$322</f>
        <v>-2.8446347980011888</v>
      </c>
      <c r="R60" s="2" t="s">
        <v>31</v>
      </c>
      <c r="T60" s="4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s="27" customFormat="1" ht="18.75" customHeight="1" x14ac:dyDescent="0.2">
      <c r="A61" s="11" t="s">
        <v>32</v>
      </c>
      <c r="B61" s="8">
        <f>'[3]Atolls month on month'!NN51</f>
        <v>0</v>
      </c>
      <c r="C61" s="8">
        <f>'[3]Atolls month on month'!NO51</f>
        <v>1.9655676625607299E-2</v>
      </c>
      <c r="D61" s="8">
        <f>'[3]Atolls month on month'!NP51</f>
        <v>-1.7804196183135446E-3</v>
      </c>
      <c r="E61" s="8">
        <f>'[3]Atolls month on month'!NQ51</f>
        <v>0</v>
      </c>
      <c r="F61" s="8">
        <f>'[3]Atolls month on month'!NR51</f>
        <v>-0.64383951533717454</v>
      </c>
      <c r="G61" s="8">
        <f>'[3]Atolls month on month'!NS51</f>
        <v>-0.62971908610125471</v>
      </c>
      <c r="H61" s="8">
        <f>'[3]Atolls month on month'!NT51</f>
        <v>0</v>
      </c>
      <c r="I61" s="8">
        <f>'[3]Atolls month on month'!NU51</f>
        <v>0</v>
      </c>
      <c r="J61" s="8">
        <f>'[3]Atolls month on month'!NV51</f>
        <v>-1.1194480786492988</v>
      </c>
      <c r="K61" s="8">
        <f>'[3]Atolls month on month'!NW51</f>
        <v>0.3117577365387314</v>
      </c>
      <c r="L61" s="8">
        <f>'[3]Atolls month on month'!NX51</f>
        <v>0</v>
      </c>
      <c r="M61" s="8">
        <f>'[3]Atolls month on month'!NY51</f>
        <v>0</v>
      </c>
      <c r="N61" s="8">
        <f>[3]Atolls!$OF$348</f>
        <v>-0.99737385407761003</v>
      </c>
      <c r="R61" s="2" t="s">
        <v>33</v>
      </c>
      <c r="T61" s="4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s="27" customFormat="1" ht="18.75" customHeight="1" x14ac:dyDescent="0.2">
      <c r="A62" s="12" t="s">
        <v>34</v>
      </c>
      <c r="B62" s="8">
        <f>'[3]Atolls month on month'!NN52</f>
        <v>-0.37837663675779343</v>
      </c>
      <c r="C62" s="8">
        <f>'[3]Atolls month on month'!NO52</f>
        <v>-8.7682142460254742E-2</v>
      </c>
      <c r="D62" s="8">
        <f>'[3]Atolls month on month'!NP52</f>
        <v>0.86077094140792898</v>
      </c>
      <c r="E62" s="8">
        <f>'[3]Atolls month on month'!NQ52</f>
        <v>-2.6352481226011193</v>
      </c>
      <c r="F62" s="8">
        <f>'[3]Atolls month on month'!NR52</f>
        <v>0.21013541594849805</v>
      </c>
      <c r="G62" s="8">
        <f>'[3]Atolls month on month'!NS52</f>
        <v>0.12289100113513918</v>
      </c>
      <c r="H62" s="8">
        <f>'[3]Atolls month on month'!NT52</f>
        <v>3.4268159996039271</v>
      </c>
      <c r="I62" s="8">
        <f>'[3]Atolls month on month'!NU52</f>
        <v>0.10107442115978582</v>
      </c>
      <c r="J62" s="8">
        <f>'[3]Atolls month on month'!NV52</f>
        <v>-0.95393015811435777</v>
      </c>
      <c r="K62" s="8">
        <f>'[3]Atolls month on month'!NW52</f>
        <v>-2.8488582972330256E-3</v>
      </c>
      <c r="L62" s="8">
        <f>'[3]Atolls month on month'!NX52</f>
        <v>-1.6571743676152551E-2</v>
      </c>
      <c r="M62" s="8">
        <f>'[3]Atolls month on month'!NY52</f>
        <v>-1.6414569985534477E-2</v>
      </c>
      <c r="N62" s="8">
        <f>[3]Atolls!$OF$360</f>
        <v>-1.5780953598711234</v>
      </c>
      <c r="R62" s="13" t="s">
        <v>35</v>
      </c>
      <c r="T62" s="4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s="27" customFormat="1" ht="18.75" customHeight="1" x14ac:dyDescent="0.2">
      <c r="A63" s="10" t="s">
        <v>10</v>
      </c>
      <c r="B63" s="8">
        <f>'[3]Atolls month on month'!NN53</f>
        <v>0</v>
      </c>
      <c r="C63" s="8">
        <f>'[3]Atolls month on month'!NO53</f>
        <v>0</v>
      </c>
      <c r="D63" s="8">
        <f>'[3]Atolls month on month'!NP53</f>
        <v>0.99455029968598119</v>
      </c>
      <c r="E63" s="8">
        <f>'[3]Atolls month on month'!NQ53</f>
        <v>-7.0675849649681766E-2</v>
      </c>
      <c r="F63" s="8">
        <f>'[3]Atolls month on month'!NR53</f>
        <v>0</v>
      </c>
      <c r="G63" s="8">
        <f>'[3]Atolls month on month'!NS53</f>
        <v>0</v>
      </c>
      <c r="H63" s="8">
        <f>'[3]Atolls month on month'!NT53</f>
        <v>0</v>
      </c>
      <c r="I63" s="8">
        <f>'[3]Atolls month on month'!NU53</f>
        <v>0</v>
      </c>
      <c r="J63" s="8">
        <f>'[3]Atolls month on month'!NV53</f>
        <v>0</v>
      </c>
      <c r="K63" s="8">
        <f>'[3]Atolls month on month'!NW53</f>
        <v>0</v>
      </c>
      <c r="L63" s="8">
        <f>'[3]Atolls month on month'!NX53</f>
        <v>0</v>
      </c>
      <c r="M63" s="8">
        <f>'[3]Atolls month on month'!NY53</f>
        <v>0</v>
      </c>
      <c r="N63" s="8">
        <f>[3]Atolls!$OF$405</f>
        <v>2.053837201424602</v>
      </c>
      <c r="R63" s="13" t="s">
        <v>11</v>
      </c>
      <c r="T63" s="4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s="24" customFormat="1" ht="18.75" customHeight="1" x14ac:dyDescent="0.2">
      <c r="A64" s="35" t="s">
        <v>36</v>
      </c>
      <c r="B64" s="8">
        <f>'[3]Atolls month on month'!NN54</f>
        <v>0.56362367714983819</v>
      </c>
      <c r="C64" s="8">
        <f>'[3]Atolls month on month'!NO54</f>
        <v>0</v>
      </c>
      <c r="D64" s="8">
        <f>'[3]Atolls month on month'!NP54</f>
        <v>6.4149897865939387E-2</v>
      </c>
      <c r="E64" s="8">
        <f>'[3]Atolls month on month'!NQ54</f>
        <v>-6.0126811156080429E-3</v>
      </c>
      <c r="F64" s="8">
        <f>'[3]Atolls month on month'!NR54</f>
        <v>0</v>
      </c>
      <c r="G64" s="8">
        <f>'[3]Atolls month on month'!NS54</f>
        <v>0</v>
      </c>
      <c r="H64" s="8">
        <f>'[3]Atolls month on month'!NT54</f>
        <v>-5.8380272451385995E-2</v>
      </c>
      <c r="I64" s="8">
        <f>'[3]Atolls month on month'!NU54</f>
        <v>-1.5395036648113702E-2</v>
      </c>
      <c r="J64" s="8">
        <f>'[3]Atolls month on month'!NV54</f>
        <v>0.15843624333851114</v>
      </c>
      <c r="K64" s="8">
        <f>'[3]Atolls month on month'!NW54</f>
        <v>7.0713232578971663</v>
      </c>
      <c r="L64" s="8">
        <f>'[3]Atolls month on month'!NX54</f>
        <v>0</v>
      </c>
      <c r="M64" s="8">
        <f>'[3]Atolls month on month'!NY54</f>
        <v>0</v>
      </c>
      <c r="N64" s="8">
        <f>[3]Atolls!$OF$421</f>
        <v>2.2202974558949373</v>
      </c>
      <c r="R64" s="13" t="s">
        <v>37</v>
      </c>
      <c r="T64" s="4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s="24" customFormat="1" ht="18.75" customHeight="1" x14ac:dyDescent="0.2">
      <c r="A65" s="12" t="s">
        <v>38</v>
      </c>
      <c r="B65" s="8">
        <f>'[3]Atolls month on month'!NN55</f>
        <v>6.7466484892753087E-3</v>
      </c>
      <c r="C65" s="8">
        <f>'[3]Atolls month on month'!NO55</f>
        <v>-4.8224166989840889E-2</v>
      </c>
      <c r="D65" s="8">
        <f>'[3]Atolls month on month'!NP55</f>
        <v>-5.935757769133243E-2</v>
      </c>
      <c r="E65" s="8">
        <f>'[3]Atolls month on month'!NQ55</f>
        <v>4.2656245825600791E-2</v>
      </c>
      <c r="F65" s="8">
        <f>'[3]Atolls month on month'!NR55</f>
        <v>-2.7414329949537741E-2</v>
      </c>
      <c r="G65" s="8">
        <f>'[3]Atolls month on month'!NS55</f>
        <v>-3.5772790482957451E-2</v>
      </c>
      <c r="H65" s="8">
        <f>'[3]Atolls month on month'!NT55</f>
        <v>0.45150961824744762</v>
      </c>
      <c r="I65" s="8">
        <f>'[3]Atolls month on month'!NU55</f>
        <v>0.53021806267197213</v>
      </c>
      <c r="J65" s="8">
        <f>'[3]Atolls month on month'!NV55</f>
        <v>-0.68712411796389983</v>
      </c>
      <c r="K65" s="8">
        <f>'[3]Atolls month on month'!NW55</f>
        <v>-7.090757117145241E-3</v>
      </c>
      <c r="L65" s="8">
        <f>'[3]Atolls month on month'!NX55</f>
        <v>-0.44333689362512363</v>
      </c>
      <c r="M65" s="8">
        <f>'[3]Atolls month on month'!NY55</f>
        <v>0.10314483392073193</v>
      </c>
      <c r="N65" s="8">
        <f>[3]Atolls!$OF$438</f>
        <v>-0.13575106763157319</v>
      </c>
      <c r="R65" s="13" t="s">
        <v>61</v>
      </c>
      <c r="T65" s="4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s="24" customFormat="1" ht="20.25" customHeight="1" x14ac:dyDescent="0.2">
      <c r="A66" s="43" t="s">
        <v>58</v>
      </c>
      <c r="B66" s="15">
        <f>'[3]Atolls month on month'!NN39</f>
        <v>-0.30794008155210495</v>
      </c>
      <c r="C66" s="15">
        <f>'[3]Atolls month on month'!NO39</f>
        <v>0.39343872807147129</v>
      </c>
      <c r="D66" s="15">
        <f>'[3]Atolls month on month'!NP39</f>
        <v>-0.71185630035360825</v>
      </c>
      <c r="E66" s="15">
        <f>'[3]Atolls month on month'!NQ39</f>
        <v>-0.48322720871623037</v>
      </c>
      <c r="F66" s="15">
        <f>'[3]Atolls month on month'!NR39</f>
        <v>6.945685243611166E-2</v>
      </c>
      <c r="G66" s="15">
        <f>'[3]Atolls month on month'!NS39</f>
        <v>0.34293479084417378</v>
      </c>
      <c r="H66" s="15">
        <f>'[3]Atolls month on month'!NT39</f>
        <v>0.25371959310807046</v>
      </c>
      <c r="I66" s="15">
        <f>'[3]Atolls month on month'!NU39</f>
        <v>0.11924757439218947</v>
      </c>
      <c r="J66" s="15">
        <f>'[3]Atolls month on month'!NV39</f>
        <v>0.19031919566283584</v>
      </c>
      <c r="K66" s="15">
        <f>'[3]Atolls month on month'!NW39</f>
        <v>2.7575265677516336</v>
      </c>
      <c r="L66" s="15">
        <f>'[3]Atolls month on month'!NX39</f>
        <v>-0.24115375630325842</v>
      </c>
      <c r="M66" s="15">
        <f>'[3]Atolls month on month'!NY39</f>
        <v>0.37226237036813714</v>
      </c>
      <c r="N66" s="15">
        <f>[3]Atolls!$OF$3</f>
        <v>0.24242056068641826</v>
      </c>
      <c r="R66" s="17" t="s">
        <v>12</v>
      </c>
      <c r="T66" s="62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</row>
    <row r="67" spans="1:32" s="24" customFormat="1" ht="20.25" customHeight="1" x14ac:dyDescent="0.2">
      <c r="A67" s="72" t="s">
        <v>59</v>
      </c>
      <c r="B67" s="38">
        <f>'[3]Atolls month on month'!NN40</f>
        <v>-0.18364619022492867</v>
      </c>
      <c r="C67" s="38">
        <f>'[3]Atolls month on month'!NO40</f>
        <v>-0.53657941772801143</v>
      </c>
      <c r="D67" s="38">
        <f>'[3]Atolls month on month'!NP40</f>
        <v>-7.7439621812003256E-2</v>
      </c>
      <c r="E67" s="38">
        <f>'[3]Atolls month on month'!NQ40</f>
        <v>-0.41250520815386826</v>
      </c>
      <c r="F67" s="38">
        <f>'[3]Atolls month on month'!NR40</f>
        <v>-0.1793528704143732</v>
      </c>
      <c r="G67" s="38">
        <f>'[3]Atolls month on month'!NS40</f>
        <v>0.25965249949007063</v>
      </c>
      <c r="H67" s="38">
        <f>'[3]Atolls month on month'!NT40</f>
        <v>0.42157442878938411</v>
      </c>
      <c r="I67" s="38">
        <f>'[3]Atolls month on month'!NU40</f>
        <v>0.31109799596436005</v>
      </c>
      <c r="J67" s="38">
        <f>'[3]Atolls month on month'!NV40</f>
        <v>5.6724857347978386E-2</v>
      </c>
      <c r="K67" s="38">
        <f>'[3]Atolls month on month'!NW40</f>
        <v>3.0362832474605694</v>
      </c>
      <c r="L67" s="38">
        <f>'[3]Atolls month on month'!NX40</f>
        <v>-6.8356175946326925E-2</v>
      </c>
      <c r="M67" s="38">
        <f>'[3]Atolls month on month'!NY40</f>
        <v>0.27575230003151763</v>
      </c>
      <c r="N67" s="38">
        <f>[3]Atolls!$OF$484</f>
        <v>0.20833197757603727</v>
      </c>
      <c r="O67" s="61"/>
      <c r="P67" s="61"/>
      <c r="Q67" s="61"/>
      <c r="R67" s="19" t="s">
        <v>46</v>
      </c>
      <c r="T67" s="62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</row>
    <row r="68" spans="1:32" s="27" customFormat="1" ht="17.25" customHeight="1" x14ac:dyDescent="0.2">
      <c r="A68" s="65" t="s">
        <v>64</v>
      </c>
      <c r="B68" s="3"/>
      <c r="C68" s="48"/>
      <c r="D68" s="48"/>
      <c r="E68" s="48"/>
      <c r="F68" s="34"/>
      <c r="N68" s="49"/>
      <c r="Q68" s="49"/>
      <c r="R68" s="64" t="s">
        <v>65</v>
      </c>
    </row>
    <row r="69" spans="1:32" s="27" customFormat="1" ht="17.25" customHeight="1" x14ac:dyDescent="0.2">
      <c r="A69" s="65"/>
      <c r="B69" s="3"/>
      <c r="C69" s="48"/>
      <c r="D69" s="48"/>
      <c r="E69" s="48"/>
      <c r="F69" s="34"/>
      <c r="N69" s="49"/>
      <c r="Q69" s="49"/>
      <c r="R69" s="64"/>
    </row>
    <row r="70" spans="1:32" s="27" customFormat="1" ht="17.25" customHeight="1" x14ac:dyDescent="0.2">
      <c r="A70" s="65"/>
      <c r="B70" s="3"/>
      <c r="C70" s="48"/>
      <c r="D70" s="48"/>
      <c r="E70" s="48"/>
      <c r="F70" s="34"/>
      <c r="N70" s="49"/>
      <c r="Q70" s="49"/>
      <c r="R70" s="64"/>
    </row>
  </sheetData>
  <mergeCells count="8">
    <mergeCell ref="H25:N25"/>
    <mergeCell ref="N28:N29"/>
    <mergeCell ref="N49:N50"/>
    <mergeCell ref="A1:R1"/>
    <mergeCell ref="A2:R2"/>
    <mergeCell ref="A3:R3"/>
    <mergeCell ref="A4:R4"/>
    <mergeCell ref="N6:N7"/>
  </mergeCells>
  <pageMargins left="0.17" right="0.17" top="0.21" bottom="0.17" header="0.13" footer="0.1"/>
  <pageSetup paperSize="9" scale="67" orientation="landscape" horizontalDpi="4294967295" verticalDpi="4294967295" r:id="rId1"/>
  <rowBreaks count="1" manualBreakCount="1">
    <brk id="4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2017-06-05T06:32:12Z</cp:lastPrinted>
  <dcterms:created xsi:type="dcterms:W3CDTF">2007-02-08T08:33:33Z</dcterms:created>
  <dcterms:modified xsi:type="dcterms:W3CDTF">2017-06-05T06:32:17Z</dcterms:modified>
</cp:coreProperties>
</file>