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Dissemination\Publications\Statistical Year Book\YEARBOOK 2017\WEB\20  POLITICAL PARTIES AND ELECTIONS\"/>
    </mc:Choice>
  </mc:AlternateContent>
  <bookViews>
    <workbookView xWindow="0" yWindow="0" windowWidth="28800" windowHeight="12345" tabRatio="833"/>
  </bookViews>
  <sheets>
    <sheet name="20.8" sheetId="23" r:id="rId1"/>
  </sheets>
  <calcPr calcId="162913"/>
</workbook>
</file>

<file path=xl/calcChain.xml><?xml version="1.0" encoding="utf-8"?>
<calcChain xmlns="http://schemas.openxmlformats.org/spreadsheetml/2006/main">
  <c r="H10" i="23" l="1"/>
  <c r="H9" i="23"/>
  <c r="H8" i="23"/>
  <c r="E8" i="23"/>
  <c r="E9" i="23"/>
  <c r="E10" i="23"/>
  <c r="C8" i="23"/>
  <c r="D8" i="23"/>
  <c r="C9" i="23"/>
  <c r="D9" i="23"/>
  <c r="C10" i="23"/>
  <c r="D10" i="23"/>
  <c r="B9" i="23" l="1"/>
  <c r="B10" i="23"/>
  <c r="B8" i="23"/>
  <c r="BW19" i="23"/>
  <c r="BX19" i="23"/>
  <c r="BW20" i="23"/>
  <c r="BX20" i="23"/>
  <c r="BW21" i="23"/>
  <c r="BX21" i="23"/>
  <c r="J7" i="23"/>
  <c r="I7" i="23"/>
  <c r="G7" i="23"/>
  <c r="D7" i="23" s="1"/>
  <c r="BX18" i="23" s="1"/>
  <c r="F7" i="23"/>
  <c r="H7" i="23" l="1"/>
  <c r="C7" i="23"/>
  <c r="BW18" i="23" s="1"/>
  <c r="E7" i="23"/>
  <c r="B7" i="23" l="1"/>
</calcChain>
</file>

<file path=xl/sharedStrings.xml><?xml version="1.0" encoding="utf-8"?>
<sst xmlns="http://schemas.openxmlformats.org/spreadsheetml/2006/main" count="35" uniqueCount="24">
  <si>
    <t>Republic</t>
  </si>
  <si>
    <t>Source: Elections Commission</t>
  </si>
  <si>
    <t xml:space="preserve">މަޢުލޫމާތު ދެއްވި ފަރާތް: އިލެކްޝަންސް ކޮމިޝަން </t>
  </si>
  <si>
    <t>Total</t>
  </si>
  <si>
    <t>Male</t>
  </si>
  <si>
    <t>Female</t>
  </si>
  <si>
    <t xml:space="preserve"> Councils</t>
  </si>
  <si>
    <r>
      <t xml:space="preserve">Republic                      </t>
    </r>
    <r>
      <rPr>
        <b/>
        <sz val="11"/>
        <color theme="1"/>
        <rFont val="Faruma"/>
      </rPr>
      <t xml:space="preserve">މުޅިރާއްޖެ </t>
    </r>
  </si>
  <si>
    <r>
      <t xml:space="preserve">Male'                          </t>
    </r>
    <r>
      <rPr>
        <b/>
        <sz val="11"/>
        <color theme="1"/>
        <rFont val="Faruma"/>
      </rPr>
      <t xml:space="preserve"> މާލެ</t>
    </r>
  </si>
  <si>
    <r>
      <t xml:space="preserve">Atolls                  </t>
    </r>
    <r>
      <rPr>
        <b/>
        <sz val="11"/>
        <color theme="1"/>
        <rFont val="Faruma"/>
      </rPr>
      <t xml:space="preserve"> އަތޮޅުތައް</t>
    </r>
  </si>
  <si>
    <t>ކައުންސިލްތައް</t>
  </si>
  <si>
    <t>Local Councils</t>
  </si>
  <si>
    <t>ލޯކަލް ކައުންސިލްތައް</t>
  </si>
  <si>
    <t>Atoll councils</t>
  </si>
  <si>
    <t>އަތޮޅު ކައުންސިލް</t>
  </si>
  <si>
    <t>Island councils</t>
  </si>
  <si>
    <t>ރަށު ކައުންސިލް</t>
  </si>
  <si>
    <t>City councils</t>
  </si>
  <si>
    <t>ސިޓީ ކައުންސިލް</t>
  </si>
  <si>
    <t xml:space="preserve"> Local Councils</t>
  </si>
  <si>
    <t>Note: Data Revised</t>
  </si>
  <si>
    <t>TABLE 20.8: LOCAL COUNCIL MEMBERS BY SEX, 2016</t>
  </si>
  <si>
    <t>ތާވަލު 20.8: ލޯކަލް ކައުންސިލް މެމްބަރުންގެ އަދަދު އަދި ޖިންސް، 2016</t>
  </si>
  <si>
    <t>Local Council election was held in Maly 2017 and this data will be published in the Statistical Yearbook 2018. Hence, the latest data for local council election can be derived from 2014 election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</si>
</sst>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Faruma"/>
    </font>
    <font>
      <sz val="11"/>
      <color theme="1"/>
      <name val="Faruma"/>
    </font>
    <font>
      <i/>
      <sz val="10"/>
      <color theme="1"/>
      <name val="Calibri"/>
      <family val="2"/>
      <scheme val="minor"/>
    </font>
    <font>
      <sz val="10"/>
      <name val="Arial"/>
      <family val="2"/>
    </font>
    <font>
      <i/>
      <sz val="9"/>
      <color theme="1"/>
      <name val="Calibri"/>
      <family val="2"/>
      <scheme val="minor"/>
    </font>
    <font>
      <sz val="9"/>
      <color theme="1"/>
      <name val="Calibri"/>
      <family val="2"/>
      <scheme val="minor"/>
    </font>
    <font>
      <sz val="9"/>
      <color theme="1"/>
      <name val="Faruma"/>
    </font>
    <font>
      <b/>
      <sz val="12"/>
      <color theme="1"/>
      <name val="Faruma"/>
    </font>
    <font>
      <sz val="11"/>
      <color theme="1"/>
      <name val="Calibri"/>
      <family val="2"/>
      <charset val="1"/>
      <scheme val="minor"/>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style="hair">
        <color indexed="64"/>
      </left>
      <right/>
      <top/>
      <bottom/>
      <diagonal/>
    </border>
  </borders>
  <cellStyleXfs count="9">
    <xf numFmtId="0" fontId="0" fillId="0" borderId="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1" fillId="0" borderId="0"/>
    <xf numFmtId="0" fontId="11" fillId="0" borderId="0"/>
    <xf numFmtId="0" fontId="1" fillId="0" borderId="0"/>
  </cellStyleXfs>
  <cellXfs count="43">
    <xf numFmtId="0" fontId="0" fillId="0" borderId="0" xfId="0"/>
    <xf numFmtId="0" fontId="2" fillId="2" borderId="0" xfId="0" applyFont="1" applyFill="1"/>
    <xf numFmtId="0" fontId="4" fillId="2" borderId="0" xfId="0" applyFont="1" applyFill="1"/>
    <xf numFmtId="0" fontId="2" fillId="2" borderId="1" xfId="0" applyFont="1" applyFill="1" applyBorder="1" applyAlignment="1">
      <alignment horizontal="right" vertical="center"/>
    </xf>
    <xf numFmtId="0" fontId="7" fillId="2" borderId="0" xfId="0" applyFont="1" applyFill="1" applyAlignment="1">
      <alignment horizontal="left" vertical="center"/>
    </xf>
    <xf numFmtId="0" fontId="9" fillId="2" borderId="0" xfId="0" applyFont="1" applyFill="1"/>
    <xf numFmtId="0" fontId="8" fillId="2" borderId="0" xfId="0" applyFont="1" applyFill="1"/>
    <xf numFmtId="0" fontId="0" fillId="2" borderId="0" xfId="0" applyFont="1" applyFill="1" applyBorder="1"/>
    <xf numFmtId="0" fontId="0" fillId="2" borderId="0" xfId="0" applyFont="1" applyFill="1"/>
    <xf numFmtId="0" fontId="0" fillId="2" borderId="1" xfId="0" applyFont="1" applyFill="1" applyBorder="1"/>
    <xf numFmtId="0" fontId="0" fillId="2" borderId="0" xfId="0" applyFont="1" applyFill="1" applyBorder="1" applyAlignment="1">
      <alignment horizontal="left" vertical="center"/>
    </xf>
    <xf numFmtId="0" fontId="2" fillId="2" borderId="0" xfId="0" applyFont="1" applyFill="1" applyBorder="1" applyAlignment="1">
      <alignment horizontal="center" vertical="center"/>
    </xf>
    <xf numFmtId="0" fontId="2" fillId="2" borderId="6" xfId="0" applyFont="1" applyFill="1" applyBorder="1" applyAlignment="1">
      <alignment horizontal="right" vertical="center"/>
    </xf>
    <xf numFmtId="0" fontId="2" fillId="2" borderId="7" xfId="0" applyFont="1" applyFill="1" applyBorder="1" applyAlignment="1">
      <alignment horizontal="righ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0" fillId="2" borderId="1" xfId="0" applyFont="1" applyFill="1" applyBorder="1" applyAlignment="1">
      <alignment horizontal="left" vertical="center"/>
    </xf>
    <xf numFmtId="0" fontId="4" fillId="2" borderId="1" xfId="0" applyFont="1" applyFill="1" applyBorder="1" applyAlignment="1">
      <alignment vertical="center"/>
    </xf>
    <xf numFmtId="37" fontId="0" fillId="2" borderId="0" xfId="0" applyNumberFormat="1" applyFont="1" applyFill="1" applyAlignment="1">
      <alignment horizontal="center"/>
    </xf>
    <xf numFmtId="37" fontId="0" fillId="2" borderId="0" xfId="0" applyNumberFormat="1" applyFont="1" applyFill="1"/>
    <xf numFmtId="37" fontId="2" fillId="2" borderId="0" xfId="1" applyNumberFormat="1" applyFont="1" applyFill="1" applyBorder="1" applyAlignment="1">
      <alignment horizontal="right" vertical="center"/>
    </xf>
    <xf numFmtId="37" fontId="2" fillId="2" borderId="8" xfId="1" applyNumberFormat="1" applyFont="1" applyFill="1" applyBorder="1" applyAlignment="1">
      <alignment horizontal="right" vertical="center"/>
    </xf>
    <xf numFmtId="37" fontId="0" fillId="2" borderId="0" xfId="1" applyNumberFormat="1" applyFont="1" applyFill="1" applyBorder="1" applyAlignment="1">
      <alignment horizontal="right" vertical="center"/>
    </xf>
    <xf numFmtId="37" fontId="0" fillId="2" borderId="9" xfId="1" applyNumberFormat="1" applyFont="1" applyFill="1" applyBorder="1" applyAlignment="1">
      <alignment horizontal="right" vertical="center"/>
    </xf>
    <xf numFmtId="37" fontId="0" fillId="2" borderId="1" xfId="1" applyNumberFormat="1" applyFont="1" applyFill="1" applyBorder="1" applyAlignment="1">
      <alignment horizontal="right" vertical="center"/>
    </xf>
    <xf numFmtId="37" fontId="0" fillId="2" borderId="6" xfId="1" applyNumberFormat="1" applyFont="1" applyFill="1" applyBorder="1" applyAlignment="1">
      <alignment horizontal="right" vertical="center"/>
    </xf>
    <xf numFmtId="0" fontId="5" fillId="2" borderId="0" xfId="0" applyFont="1" applyFill="1" applyBorder="1" applyAlignment="1">
      <alignment horizontal="left" vertical="center"/>
    </xf>
    <xf numFmtId="37" fontId="1" fillId="2" borderId="0" xfId="1" applyNumberFormat="1" applyFont="1" applyFill="1" applyBorder="1" applyAlignment="1">
      <alignment horizontal="right" vertical="center"/>
    </xf>
    <xf numFmtId="37" fontId="1" fillId="2" borderId="1" xfId="1" applyNumberFormat="1" applyFont="1" applyFill="1" applyBorder="1" applyAlignment="1">
      <alignment horizontal="right" vertical="center"/>
    </xf>
    <xf numFmtId="37" fontId="1" fillId="2" borderId="6" xfId="1" applyNumberFormat="1" applyFont="1" applyFill="1" applyBorder="1" applyAlignment="1">
      <alignment horizontal="right" vertical="center"/>
    </xf>
    <xf numFmtId="37" fontId="2" fillId="2" borderId="1" xfId="1" applyNumberFormat="1" applyFont="1" applyFill="1" applyBorder="1" applyAlignment="1">
      <alignment horizontal="right" vertical="center"/>
    </xf>
    <xf numFmtId="0" fontId="2" fillId="2" borderId="0" xfId="0" applyFont="1" applyFill="1" applyBorder="1" applyAlignment="1">
      <alignment horizontal="left" vertical="center"/>
    </xf>
    <xf numFmtId="37" fontId="2" fillId="2" borderId="10" xfId="1" applyNumberFormat="1" applyFont="1" applyFill="1" applyBorder="1" applyAlignment="1">
      <alignment horizontal="right"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3" fillId="2" borderId="2" xfId="0" applyFont="1" applyFill="1" applyBorder="1" applyAlignment="1">
      <alignment horizontal="right" vertical="center"/>
    </xf>
    <xf numFmtId="0" fontId="3" fillId="2" borderId="1" xfId="0" applyFont="1" applyFill="1" applyBorder="1" applyAlignment="1">
      <alignment horizontal="right" vertical="center"/>
    </xf>
    <xf numFmtId="0" fontId="5" fillId="2" borderId="0" xfId="0" applyFont="1" applyFill="1" applyBorder="1" applyAlignment="1">
      <alignment horizontal="left" vertical="center" wrapText="1" indent="4"/>
    </xf>
    <xf numFmtId="0" fontId="10" fillId="2" borderId="0" xfId="0" applyFont="1" applyFill="1" applyAlignment="1">
      <alignment horizontal="center"/>
    </xf>
    <xf numFmtId="0" fontId="12" fillId="2" borderId="0" xfId="0" applyFont="1" applyFill="1" applyAlignment="1">
      <alignment horizontal="center" vertical="top"/>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cellXfs>
  <cellStyles count="9">
    <cellStyle name="Comma" xfId="1" builtinId="3"/>
    <cellStyle name="Comma 2" xfId="2"/>
    <cellStyle name="Comma 3" xfId="3"/>
    <cellStyle name="Normal" xfId="0" builtinId="0"/>
    <cellStyle name="Normal 2" xfId="5"/>
    <cellStyle name="Normal 2 2" xfId="7"/>
    <cellStyle name="Normal 2 3" xfId="8"/>
    <cellStyle name="Normal 3" xfId="4"/>
    <cellStyle name="Normal 3 2" xfId="6"/>
  </cellStyles>
  <dxfs count="0"/>
  <tableStyles count="0" defaultTableStyle="TableStyleMedium9" defaultPivotStyle="PivotStyleLight16"/>
  <colors>
    <mruColors>
      <color rgb="FFFAB882"/>
      <color rgb="FFFDEADA"/>
      <color rgb="FF953735"/>
      <color rgb="FFFCD5B5"/>
      <color rgb="FFFAC090"/>
      <color rgb="FFE7FFFF"/>
      <color rgb="FF33CCCC"/>
      <color rgb="FF1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onsolas" pitchFamily="49" charset="0"/>
                <a:cs typeface="Consolas" pitchFamily="49" charset="0"/>
              </a:defRPr>
            </a:pPr>
            <a:r>
              <a:rPr lang="en-US" sz="1100">
                <a:latin typeface="Consolas" pitchFamily="49" charset="0"/>
                <a:cs typeface="Consolas" pitchFamily="49" charset="0"/>
              </a:rPr>
              <a:t>Figure</a:t>
            </a:r>
            <a:r>
              <a:rPr lang="en-US" sz="1100" baseline="0">
                <a:latin typeface="Consolas" pitchFamily="49" charset="0"/>
                <a:cs typeface="Consolas" pitchFamily="49" charset="0"/>
              </a:rPr>
              <a:t>  20.5: </a:t>
            </a:r>
            <a:r>
              <a:rPr lang="en-US" sz="1100">
                <a:latin typeface="Consolas" pitchFamily="49" charset="0"/>
                <a:cs typeface="Consolas" pitchFamily="49" charset="0"/>
              </a:rPr>
              <a:t>Number of local council members by sex, 2016</a:t>
            </a:r>
          </a:p>
        </c:rich>
      </c:tx>
      <c:layout>
        <c:manualLayout>
          <c:xMode val="edge"/>
          <c:yMode val="edge"/>
          <c:x val="0.17306545512054602"/>
          <c:y val="2.851033499643621E-2"/>
        </c:manualLayout>
      </c:layout>
      <c:overlay val="0"/>
    </c:title>
    <c:autoTitleDeleted val="0"/>
    <c:plotArea>
      <c:layout>
        <c:manualLayout>
          <c:layoutTarget val="inner"/>
          <c:xMode val="edge"/>
          <c:yMode val="edge"/>
          <c:x val="0.12463249765776165"/>
          <c:y val="0.179121978961468"/>
          <c:w val="0.84588763364749475"/>
          <c:h val="0.67959247431918479"/>
        </c:manualLayout>
      </c:layout>
      <c:barChart>
        <c:barDir val="col"/>
        <c:grouping val="clustered"/>
        <c:varyColors val="0"/>
        <c:ser>
          <c:idx val="0"/>
          <c:order val="0"/>
          <c:tx>
            <c:strRef>
              <c:f>'20.8'!$BW$17</c:f>
              <c:strCache>
                <c:ptCount val="1"/>
                <c:pt idx="0">
                  <c:v>Male</c:v>
                </c:pt>
              </c:strCache>
            </c:strRef>
          </c:tx>
          <c:spPr>
            <a:solidFill>
              <a:srgbClr val="953735"/>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'20.8'!$BV$18:$BV$21</c:f>
              <c:strCache>
                <c:ptCount val="4"/>
                <c:pt idx="0">
                  <c:v> Local Councils</c:v>
                </c:pt>
                <c:pt idx="1">
                  <c:v>Atoll councils</c:v>
                </c:pt>
                <c:pt idx="2">
                  <c:v>Island councils</c:v>
                </c:pt>
                <c:pt idx="3">
                  <c:v>City councils</c:v>
                </c:pt>
              </c:strCache>
            </c:strRef>
          </c:cat>
          <c:val>
            <c:numRef>
              <c:f>'20.8'!$BW$18:$BW$21</c:f>
              <c:numCache>
                <c:formatCode>#,##0_);\(#,##0\)</c:formatCode>
                <c:ptCount val="4"/>
                <c:pt idx="0">
                  <c:v>1013</c:v>
                </c:pt>
                <c:pt idx="1">
                  <c:v>129</c:v>
                </c:pt>
                <c:pt idx="2">
                  <c:v>869</c:v>
                </c:pt>
                <c:pt idx="3">
                  <c:v>15</c:v>
                </c:pt>
              </c:numCache>
            </c:numRef>
          </c:val>
          <c:extLst>
            <c:ext xmlns:c16="http://schemas.microsoft.com/office/drawing/2014/chart" uri="{C3380CC4-5D6E-409C-BE32-E72D297353CC}">
              <c16:uniqueId val="{00000000-5D83-4B1A-9D75-7B7E67FAC5D4}"/>
            </c:ext>
          </c:extLst>
        </c:ser>
        <c:ser>
          <c:idx val="1"/>
          <c:order val="1"/>
          <c:tx>
            <c:strRef>
              <c:f>'20.8'!$BX$17</c:f>
              <c:strCache>
                <c:ptCount val="1"/>
                <c:pt idx="0">
                  <c:v>Female</c:v>
                </c:pt>
              </c:strCache>
            </c:strRef>
          </c:tx>
          <c:spPr>
            <a:solidFill>
              <a:srgbClr val="FAB88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'20.8'!$BV$18:$BV$21</c:f>
              <c:strCache>
                <c:ptCount val="4"/>
                <c:pt idx="0">
                  <c:v> Local Councils</c:v>
                </c:pt>
                <c:pt idx="1">
                  <c:v>Atoll councils</c:v>
                </c:pt>
                <c:pt idx="2">
                  <c:v>Island councils</c:v>
                </c:pt>
                <c:pt idx="3">
                  <c:v>City councils</c:v>
                </c:pt>
              </c:strCache>
            </c:strRef>
          </c:cat>
          <c:val>
            <c:numRef>
              <c:f>'20.8'!$BX$18:$BX$21</c:f>
              <c:numCache>
                <c:formatCode>#,##0_);\(#,##0\)</c:formatCode>
                <c:ptCount val="4"/>
                <c:pt idx="0">
                  <c:v>61</c:v>
                </c:pt>
                <c:pt idx="1">
                  <c:v>3</c:v>
                </c:pt>
                <c:pt idx="2">
                  <c:v>56</c:v>
                </c:pt>
                <c:pt idx="3">
                  <c:v>2</c:v>
                </c:pt>
              </c:numCache>
            </c:numRef>
          </c:val>
          <c:extLst>
            <c:ext xmlns:c16="http://schemas.microsoft.com/office/drawing/2014/chart" uri="{C3380CC4-5D6E-409C-BE32-E72D297353CC}">
              <c16:uniqueId val="{00000001-5D83-4B1A-9D75-7B7E67FAC5D4}"/>
            </c:ext>
          </c:extLst>
        </c:ser>
        <c:dLbls>
          <c:showLegendKey val="0"/>
          <c:showVal val="1"/>
          <c:showCatName val="0"/>
          <c:showSerName val="0"/>
          <c:showPercent val="0"/>
          <c:showBubbleSize val="0"/>
        </c:dLbls>
        <c:gapWidth val="150"/>
        <c:axId val="173040000"/>
        <c:axId val="173041536"/>
      </c:barChart>
      <c:catAx>
        <c:axId val="173040000"/>
        <c:scaling>
          <c:orientation val="minMax"/>
        </c:scaling>
        <c:delete val="0"/>
        <c:axPos val="b"/>
        <c:numFmt formatCode="General" sourceLinked="0"/>
        <c:majorTickMark val="out"/>
        <c:minorTickMark val="none"/>
        <c:tickLblPos val="nextTo"/>
        <c:crossAx val="173041536"/>
        <c:crosses val="autoZero"/>
        <c:auto val="1"/>
        <c:lblAlgn val="ctr"/>
        <c:lblOffset val="100"/>
        <c:noMultiLvlLbl val="0"/>
      </c:catAx>
      <c:valAx>
        <c:axId val="173041536"/>
        <c:scaling>
          <c:orientation val="minMax"/>
        </c:scaling>
        <c:delete val="0"/>
        <c:axPos val="l"/>
        <c:title>
          <c:tx>
            <c:rich>
              <a:bodyPr rot="-5400000" vert="horz"/>
              <a:lstStyle/>
              <a:p>
                <a:pPr>
                  <a:defRPr sz="1050"/>
                </a:pPr>
                <a:r>
                  <a:rPr lang="en-US" sz="1050"/>
                  <a:t>No.</a:t>
                </a:r>
                <a:r>
                  <a:rPr lang="en-US" sz="1050" baseline="0"/>
                  <a:t> of persons</a:t>
                </a:r>
                <a:endParaRPr lang="en-US" sz="1050"/>
              </a:p>
            </c:rich>
          </c:tx>
          <c:layout>
            <c:manualLayout>
              <c:xMode val="edge"/>
              <c:yMode val="edge"/>
              <c:x val="1.5168456026918981E-2"/>
              <c:y val="0.29270270020334532"/>
            </c:manualLayout>
          </c:layout>
          <c:overlay val="0"/>
        </c:title>
        <c:numFmt formatCode="#,##0_);\(#,##0\)" sourceLinked="1"/>
        <c:majorTickMark val="out"/>
        <c:minorTickMark val="none"/>
        <c:tickLblPos val="nextTo"/>
        <c:crossAx val="173040000"/>
        <c:crosses val="autoZero"/>
        <c:crossBetween val="between"/>
        <c:majorUnit val="200"/>
      </c:valAx>
      <c:spPr>
        <a:solidFill>
          <a:srgbClr val="FDEADA"/>
        </a:solidFill>
        <a:ln>
          <a:solidFill>
            <a:sysClr val="windowText" lastClr="000000">
              <a:lumMod val="50000"/>
              <a:lumOff val="50000"/>
            </a:sysClr>
          </a:solidFill>
        </a:ln>
      </c:spPr>
    </c:plotArea>
    <c:legend>
      <c:legendPos val="r"/>
      <c:layout>
        <c:manualLayout>
          <c:xMode val="edge"/>
          <c:yMode val="edge"/>
          <c:x val="0.72986413162729891"/>
          <c:y val="0.23965742699838927"/>
          <c:w val="0.21579249374644505"/>
          <c:h val="7.6815522792366558E-2"/>
        </c:manualLayout>
      </c:layout>
      <c:overlay val="0"/>
    </c:legend>
    <c:plotVisOnly val="1"/>
    <c:dispBlanksAs val="gap"/>
    <c:showDLblsOverMax val="0"/>
  </c:chart>
  <c:printSettings>
    <c:headerFooter/>
    <c:pageMargins b="0.75000000000000266" l="0.70000000000000062" r="0.70000000000000062" t="0.75000000000000266"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1087691</xdr:colOff>
      <xdr:row>14</xdr:row>
      <xdr:rowOff>66676</xdr:rowOff>
    </xdr:from>
    <xdr:to>
      <xdr:col>10</xdr:col>
      <xdr:colOff>552450</xdr:colOff>
      <xdr:row>26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15</xdr:row>
      <xdr:rowOff>114300</xdr:rowOff>
    </xdr:from>
    <xdr:to>
      <xdr:col>9</xdr:col>
      <xdr:colOff>542925</xdr:colOff>
      <xdr:row>15</xdr:row>
      <xdr:rowOff>114300</xdr:rowOff>
    </xdr:to>
    <xdr:sp macro="" textlink="">
      <xdr:nvSpPr>
        <xdr:cNvPr id="5" name="Line 4"/>
        <xdr:cNvSpPr>
          <a:spLocks noChangeShapeType="1"/>
        </xdr:cNvSpPr>
      </xdr:nvSpPr>
      <xdr:spPr bwMode="auto">
        <a:xfrm flipV="1">
          <a:off x="2190750" y="3838575"/>
          <a:ext cx="4733925"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BY22"/>
  <sheetViews>
    <sheetView tabSelected="1" workbookViewId="0">
      <selection activeCell="AP23" sqref="AP23"/>
    </sheetView>
  </sheetViews>
  <sheetFormatPr defaultColWidth="9.140625" defaultRowHeight="21" x14ac:dyDescent="0.55000000000000004"/>
  <cols>
    <col min="1" max="1" width="18" style="8" customWidth="1"/>
    <col min="2" max="10" width="9.7109375" style="8" customWidth="1"/>
    <col min="11" max="11" width="20.140625" style="2" customWidth="1"/>
    <col min="12" max="71" width="2.42578125" style="8" customWidth="1"/>
    <col min="72" max="73" width="9.140625" style="8"/>
    <col min="74" max="74" width="18.28515625" style="8" customWidth="1"/>
    <col min="75" max="75" width="15" style="8" customWidth="1"/>
    <col min="76" max="16384" width="9.140625" style="8"/>
  </cols>
  <sheetData>
    <row r="2" spans="1:75" s="1" customFormat="1" ht="21.75" x14ac:dyDescent="0.55000000000000004">
      <c r="A2" s="38" t="s">
        <v>22</v>
      </c>
      <c r="B2" s="38"/>
      <c r="C2" s="38"/>
      <c r="D2" s="38"/>
      <c r="E2" s="38"/>
      <c r="F2" s="38"/>
      <c r="G2" s="38"/>
      <c r="H2" s="38"/>
      <c r="I2" s="38"/>
      <c r="J2" s="38"/>
      <c r="K2" s="38"/>
    </row>
    <row r="3" spans="1:75" s="1" customFormat="1" ht="15.75" x14ac:dyDescent="0.25">
      <c r="A3" s="39" t="s">
        <v>21</v>
      </c>
      <c r="B3" s="39"/>
      <c r="C3" s="39"/>
      <c r="D3" s="39"/>
      <c r="E3" s="39"/>
      <c r="F3" s="39"/>
      <c r="G3" s="39"/>
      <c r="H3" s="39"/>
      <c r="I3" s="39"/>
      <c r="J3" s="39"/>
      <c r="K3" s="39"/>
    </row>
    <row r="5" spans="1:75" s="11" customFormat="1" x14ac:dyDescent="0.25">
      <c r="A5" s="34" t="s">
        <v>6</v>
      </c>
      <c r="B5" s="40" t="s">
        <v>7</v>
      </c>
      <c r="C5" s="40"/>
      <c r="D5" s="40"/>
      <c r="E5" s="41" t="s">
        <v>8</v>
      </c>
      <c r="F5" s="40"/>
      <c r="G5" s="42"/>
      <c r="H5" s="40" t="s">
        <v>9</v>
      </c>
      <c r="I5" s="40"/>
      <c r="J5" s="40"/>
      <c r="K5" s="35" t="s">
        <v>10</v>
      </c>
    </row>
    <row r="6" spans="1:75" s="7" customFormat="1" ht="15" x14ac:dyDescent="0.25">
      <c r="A6" s="33"/>
      <c r="B6" s="3" t="s">
        <v>3</v>
      </c>
      <c r="C6" s="3" t="s">
        <v>4</v>
      </c>
      <c r="D6" s="3" t="s">
        <v>5</v>
      </c>
      <c r="E6" s="13" t="s">
        <v>3</v>
      </c>
      <c r="F6" s="3" t="s">
        <v>4</v>
      </c>
      <c r="G6" s="12" t="s">
        <v>5</v>
      </c>
      <c r="H6" s="3" t="s">
        <v>3</v>
      </c>
      <c r="I6" s="3" t="s">
        <v>4</v>
      </c>
      <c r="J6" s="3" t="s">
        <v>5</v>
      </c>
      <c r="K6" s="36"/>
    </row>
    <row r="7" spans="1:75" s="7" customFormat="1" x14ac:dyDescent="0.25">
      <c r="A7" s="31" t="s">
        <v>11</v>
      </c>
      <c r="B7" s="20">
        <f>E7+H7</f>
        <v>1074</v>
      </c>
      <c r="C7" s="20">
        <f t="shared" ref="C7:D7" si="0">F7+I7</f>
        <v>1013</v>
      </c>
      <c r="D7" s="20">
        <f t="shared" si="0"/>
        <v>61</v>
      </c>
      <c r="E7" s="32">
        <f>SUM(F7:G7)</f>
        <v>11</v>
      </c>
      <c r="F7" s="20">
        <f t="shared" ref="F7:J7" si="1">SUM(F8:F10)</f>
        <v>9</v>
      </c>
      <c r="G7" s="21">
        <f t="shared" si="1"/>
        <v>2</v>
      </c>
      <c r="H7" s="20">
        <f>SUM(I7:J7)</f>
        <v>1063</v>
      </c>
      <c r="I7" s="20">
        <f t="shared" si="1"/>
        <v>1004</v>
      </c>
      <c r="J7" s="20">
        <f t="shared" si="1"/>
        <v>59</v>
      </c>
      <c r="K7" s="14" t="s">
        <v>12</v>
      </c>
    </row>
    <row r="8" spans="1:75" s="7" customFormat="1" x14ac:dyDescent="0.25">
      <c r="A8" s="10" t="s">
        <v>13</v>
      </c>
      <c r="B8" s="20">
        <f t="shared" ref="B8:B10" si="2">E8+H8</f>
        <v>132</v>
      </c>
      <c r="C8" s="27">
        <f t="shared" ref="C8:C10" si="3">F8+I8</f>
        <v>129</v>
      </c>
      <c r="D8" s="27">
        <f t="shared" ref="D8:D10" si="4">G8+J8</f>
        <v>3</v>
      </c>
      <c r="E8" s="32">
        <f t="shared" ref="E8:E10" si="5">SUM(F8:G8)</f>
        <v>0</v>
      </c>
      <c r="F8" s="22">
        <v>0</v>
      </c>
      <c r="G8" s="23">
        <v>0</v>
      </c>
      <c r="H8" s="20">
        <f t="shared" ref="H8:H10" si="6">SUM(I8:J8)</f>
        <v>132</v>
      </c>
      <c r="I8" s="22">
        <v>129</v>
      </c>
      <c r="J8" s="22">
        <v>3</v>
      </c>
      <c r="K8" s="15" t="s">
        <v>14</v>
      </c>
    </row>
    <row r="9" spans="1:75" s="7" customFormat="1" x14ac:dyDescent="0.25">
      <c r="A9" s="10" t="s">
        <v>15</v>
      </c>
      <c r="B9" s="20">
        <f t="shared" si="2"/>
        <v>925</v>
      </c>
      <c r="C9" s="27">
        <f t="shared" si="3"/>
        <v>869</v>
      </c>
      <c r="D9" s="27">
        <f t="shared" si="4"/>
        <v>56</v>
      </c>
      <c r="E9" s="32">
        <f t="shared" si="5"/>
        <v>0</v>
      </c>
      <c r="F9" s="22">
        <v>0</v>
      </c>
      <c r="G9" s="23">
        <v>0</v>
      </c>
      <c r="H9" s="20">
        <f t="shared" si="6"/>
        <v>925</v>
      </c>
      <c r="I9" s="22">
        <v>869</v>
      </c>
      <c r="J9" s="22">
        <v>56</v>
      </c>
      <c r="K9" s="15" t="s">
        <v>16</v>
      </c>
    </row>
    <row r="10" spans="1:75" s="7" customFormat="1" x14ac:dyDescent="0.25">
      <c r="A10" s="16" t="s">
        <v>17</v>
      </c>
      <c r="B10" s="30">
        <f t="shared" si="2"/>
        <v>17</v>
      </c>
      <c r="C10" s="28">
        <f t="shared" si="3"/>
        <v>15</v>
      </c>
      <c r="D10" s="29">
        <f t="shared" si="4"/>
        <v>2</v>
      </c>
      <c r="E10" s="30">
        <f t="shared" si="5"/>
        <v>11</v>
      </c>
      <c r="F10" s="24">
        <v>9</v>
      </c>
      <c r="G10" s="25">
        <v>2</v>
      </c>
      <c r="H10" s="30">
        <f t="shared" si="6"/>
        <v>6</v>
      </c>
      <c r="I10" s="24">
        <v>6</v>
      </c>
      <c r="J10" s="24">
        <v>0</v>
      </c>
      <c r="K10" s="17" t="s">
        <v>18</v>
      </c>
    </row>
    <row r="11" spans="1:75" s="7" customFormat="1" x14ac:dyDescent="0.25">
      <c r="A11" s="26" t="s">
        <v>20</v>
      </c>
      <c r="B11" s="22"/>
      <c r="C11" s="22"/>
      <c r="D11" s="22"/>
      <c r="E11" s="22"/>
      <c r="F11" s="22"/>
      <c r="G11" s="22"/>
      <c r="H11" s="22"/>
      <c r="I11" s="22"/>
      <c r="J11" s="22"/>
      <c r="K11" s="15"/>
    </row>
    <row r="12" spans="1:75" s="6" customFormat="1" ht="27" customHeight="1" x14ac:dyDescent="0.2">
      <c r="A12" s="37" t="s">
        <v>23</v>
      </c>
      <c r="B12" s="37"/>
      <c r="C12" s="37"/>
      <c r="D12" s="37"/>
      <c r="E12" s="37"/>
      <c r="F12" s="37"/>
      <c r="G12" s="37"/>
      <c r="H12" s="37"/>
      <c r="I12" s="37"/>
      <c r="J12" s="37"/>
      <c r="K12" s="37"/>
    </row>
    <row r="13" spans="1:75" s="7" customFormat="1" ht="18" x14ac:dyDescent="0.45">
      <c r="A13" s="4" t="s">
        <v>1</v>
      </c>
      <c r="B13" s="6"/>
      <c r="C13" s="6"/>
      <c r="D13" s="6"/>
      <c r="E13" s="6"/>
      <c r="F13" s="6"/>
      <c r="G13" s="6"/>
      <c r="H13" s="6"/>
      <c r="I13" s="6"/>
      <c r="J13" s="6"/>
      <c r="K13" s="5" t="s">
        <v>2</v>
      </c>
    </row>
    <row r="16" spans="1:75" x14ac:dyDescent="0.55000000000000004">
      <c r="BW16" s="8" t="s">
        <v>0</v>
      </c>
    </row>
    <row r="17" spans="5:77" x14ac:dyDescent="0.55000000000000004">
      <c r="BW17" s="11" t="s">
        <v>4</v>
      </c>
      <c r="BX17" s="11" t="s">
        <v>5</v>
      </c>
      <c r="BY17" s="11"/>
    </row>
    <row r="18" spans="5:77" x14ac:dyDescent="0.55000000000000004">
      <c r="E18" s="11"/>
      <c r="F18" s="11"/>
      <c r="G18" s="11"/>
      <c r="BV18" s="8" t="s">
        <v>19</v>
      </c>
      <c r="BW18" s="18">
        <f>C7</f>
        <v>1013</v>
      </c>
      <c r="BX18" s="18">
        <f>D7</f>
        <v>61</v>
      </c>
      <c r="BY18" s="19"/>
    </row>
    <row r="19" spans="5:77" x14ac:dyDescent="0.55000000000000004">
      <c r="E19" s="19"/>
      <c r="F19" s="19"/>
      <c r="G19" s="19"/>
      <c r="BV19" s="9" t="s">
        <v>13</v>
      </c>
      <c r="BW19" s="18">
        <f t="shared" ref="BW19:BX19" si="7">C8</f>
        <v>129</v>
      </c>
      <c r="BX19" s="18">
        <f t="shared" si="7"/>
        <v>3</v>
      </c>
      <c r="BY19" s="19"/>
    </row>
    <row r="20" spans="5:77" x14ac:dyDescent="0.55000000000000004">
      <c r="E20" s="19"/>
      <c r="F20" s="19"/>
      <c r="G20" s="19"/>
      <c r="BV20" s="8" t="s">
        <v>15</v>
      </c>
      <c r="BW20" s="18">
        <f t="shared" ref="BW20:BX20" si="8">C9</f>
        <v>869</v>
      </c>
      <c r="BX20" s="18">
        <f t="shared" si="8"/>
        <v>56</v>
      </c>
      <c r="BY20" s="19"/>
    </row>
    <row r="21" spans="5:77" x14ac:dyDescent="0.55000000000000004">
      <c r="E21" s="19"/>
      <c r="F21" s="19"/>
      <c r="G21" s="19"/>
      <c r="BV21" s="9" t="s">
        <v>17</v>
      </c>
      <c r="BW21" s="18">
        <f t="shared" ref="BW21:BX21" si="9">C10</f>
        <v>15</v>
      </c>
      <c r="BX21" s="18">
        <f t="shared" si="9"/>
        <v>2</v>
      </c>
      <c r="BY21" s="19"/>
    </row>
    <row r="22" spans="5:77" x14ac:dyDescent="0.55000000000000004">
      <c r="E22" s="19"/>
      <c r="F22" s="19"/>
      <c r="G22" s="19"/>
    </row>
  </sheetData>
  <mergeCells count="8">
    <mergeCell ref="A12:K12"/>
    <mergeCell ref="A2:K2"/>
    <mergeCell ref="A3:K3"/>
    <mergeCell ref="A5:A6"/>
    <mergeCell ref="B5:D5"/>
    <mergeCell ref="E5:G5"/>
    <mergeCell ref="H5:J5"/>
    <mergeCell ref="K5:K6"/>
  </mergeCells>
  <pageMargins left="0.44" right="0.45" top="0.75" bottom="0.75" header="0.3" footer="0.3"/>
  <pageSetup paperSize="9" scale="70"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dc:creator>
  <cp:lastModifiedBy>Fathimath Shifaza</cp:lastModifiedBy>
  <cp:lastPrinted>2017-10-22T08:31:22Z</cp:lastPrinted>
  <dcterms:created xsi:type="dcterms:W3CDTF">2013-02-14T16:19:10Z</dcterms:created>
  <dcterms:modified xsi:type="dcterms:W3CDTF">2017-10-22T08:31:28Z</dcterms:modified>
</cp:coreProperties>
</file>