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20  POLITICAL PARTIES AND ELECTIONS\"/>
    </mc:Choice>
  </mc:AlternateContent>
  <bookViews>
    <workbookView xWindow="0" yWindow="0" windowWidth="28800" windowHeight="12345" tabRatio="833"/>
  </bookViews>
  <sheets>
    <sheet name="20.9" sheetId="25" r:id="rId1"/>
  </sheets>
  <definedNames>
    <definedName name="_xlnm.Print_Area" localSheetId="0">'20.9'!$A$1:$X$49</definedName>
  </definedNames>
  <calcPr calcId="162913"/>
</workbook>
</file>

<file path=xl/calcChain.xml><?xml version="1.0" encoding="utf-8"?>
<calcChain xmlns="http://schemas.openxmlformats.org/spreadsheetml/2006/main">
  <c r="V30" i="25" l="1"/>
  <c r="U30" i="25"/>
  <c r="T30" i="25"/>
  <c r="S30" i="25"/>
  <c r="R30" i="25"/>
  <c r="Q30" i="25"/>
  <c r="P30" i="25"/>
  <c r="V29" i="25"/>
  <c r="U29" i="25"/>
  <c r="T29" i="25"/>
  <c r="S29" i="25"/>
  <c r="R29" i="25"/>
  <c r="Q29" i="25"/>
  <c r="P29" i="25"/>
  <c r="V28" i="25"/>
  <c r="U28" i="25"/>
  <c r="T28" i="25"/>
  <c r="S28" i="25"/>
  <c r="R28" i="25"/>
  <c r="Q28" i="25"/>
  <c r="P28" i="25"/>
  <c r="V27" i="25"/>
  <c r="U27" i="25"/>
  <c r="T27" i="25"/>
  <c r="S27" i="25"/>
  <c r="R27" i="25"/>
  <c r="Q27" i="25"/>
  <c r="P27" i="25"/>
  <c r="V26" i="25"/>
  <c r="U26" i="25"/>
  <c r="T26" i="25"/>
  <c r="S26" i="25"/>
  <c r="R26" i="25"/>
  <c r="Q26" i="25"/>
  <c r="P26" i="25"/>
  <c r="V25" i="25"/>
  <c r="U25" i="25"/>
  <c r="T25" i="25"/>
  <c r="S25" i="25"/>
  <c r="R25" i="25"/>
  <c r="Q25" i="25"/>
  <c r="P25" i="25"/>
  <c r="V24" i="25"/>
  <c r="U24" i="25"/>
  <c r="T24" i="25"/>
  <c r="S24" i="25"/>
  <c r="R24" i="25"/>
  <c r="Q24" i="25"/>
  <c r="P24" i="25"/>
  <c r="V23" i="25"/>
  <c r="U23" i="25"/>
  <c r="T23" i="25"/>
  <c r="S23" i="25"/>
  <c r="R23" i="25"/>
  <c r="Q23" i="25"/>
  <c r="P23" i="25"/>
  <c r="V22" i="25"/>
  <c r="U22" i="25"/>
  <c r="T22" i="25"/>
  <c r="S22" i="25"/>
  <c r="R22" i="25"/>
  <c r="Q22" i="25"/>
  <c r="P22" i="25"/>
  <c r="V21" i="25"/>
  <c r="U21" i="25"/>
  <c r="T21" i="25"/>
  <c r="S21" i="25"/>
  <c r="R21" i="25"/>
  <c r="Q21" i="25"/>
  <c r="P21" i="25"/>
  <c r="V20" i="25"/>
  <c r="U20" i="25"/>
  <c r="T20" i="25"/>
  <c r="S20" i="25"/>
  <c r="R20" i="25"/>
  <c r="Q20" i="25"/>
  <c r="P20" i="25"/>
  <c r="V19" i="25"/>
  <c r="U19" i="25"/>
  <c r="T19" i="25"/>
  <c r="S19" i="25"/>
  <c r="R19" i="25"/>
  <c r="Q19" i="25"/>
  <c r="P19" i="25"/>
  <c r="V18" i="25"/>
  <c r="U18" i="25"/>
  <c r="T18" i="25"/>
  <c r="S18" i="25"/>
  <c r="R18" i="25"/>
  <c r="Q18" i="25"/>
  <c r="P18" i="25"/>
  <c r="V17" i="25"/>
  <c r="U17" i="25"/>
  <c r="T17" i="25"/>
  <c r="S17" i="25"/>
  <c r="R17" i="25"/>
  <c r="Q17" i="25"/>
  <c r="P17" i="25"/>
  <c r="V16" i="25"/>
  <c r="U16" i="25"/>
  <c r="T16" i="25"/>
  <c r="S16" i="25"/>
  <c r="R16" i="25"/>
  <c r="Q16" i="25"/>
  <c r="P16" i="25"/>
  <c r="V15" i="25"/>
  <c r="U15" i="25"/>
  <c r="T15" i="25"/>
  <c r="S15" i="25"/>
  <c r="R15" i="25"/>
  <c r="Q15" i="25"/>
  <c r="P15" i="25"/>
  <c r="V14" i="25"/>
  <c r="U14" i="25"/>
  <c r="T14" i="25"/>
  <c r="S14" i="25"/>
  <c r="R14" i="25"/>
  <c r="Q14" i="25"/>
  <c r="P14" i="25"/>
  <c r="V13" i="25"/>
  <c r="U13" i="25"/>
  <c r="T13" i="25"/>
  <c r="S13" i="25"/>
  <c r="R13" i="25"/>
  <c r="Q13" i="25"/>
  <c r="P13" i="25"/>
  <c r="V12" i="25"/>
  <c r="U12" i="25"/>
  <c r="T12" i="25"/>
  <c r="S12" i="25"/>
  <c r="R12" i="25"/>
  <c r="Q12" i="25"/>
  <c r="P12" i="25"/>
  <c r="V11" i="25"/>
  <c r="U11" i="25"/>
  <c r="T11" i="25"/>
  <c r="S11" i="25"/>
  <c r="R11" i="25"/>
  <c r="Q11" i="25"/>
  <c r="P11" i="25"/>
  <c r="V10" i="25"/>
  <c r="U10" i="25"/>
  <c r="T10" i="25"/>
  <c r="S10" i="25"/>
  <c r="R10" i="25"/>
  <c r="Q10" i="25"/>
  <c r="P10" i="25"/>
  <c r="O9" i="25"/>
  <c r="N9" i="25"/>
  <c r="M9" i="25"/>
  <c r="T9" i="25" s="1"/>
  <c r="L9" i="25"/>
  <c r="S9" i="25" s="1"/>
  <c r="K9" i="25"/>
  <c r="J9" i="25"/>
  <c r="I9" i="25"/>
  <c r="H9" i="25"/>
  <c r="G9" i="25"/>
  <c r="F9" i="25"/>
  <c r="E9" i="25"/>
  <c r="D9" i="25"/>
  <c r="C9" i="25"/>
  <c r="B9" i="25"/>
  <c r="V9" i="25" l="1"/>
  <c r="U9" i="25"/>
  <c r="P9" i="25"/>
  <c r="Q9" i="25"/>
  <c r="R9" i="25"/>
</calcChain>
</file>

<file path=xl/sharedStrings.xml><?xml version="1.0" encoding="utf-8"?>
<sst xmlns="http://schemas.openxmlformats.org/spreadsheetml/2006/main" count="60" uniqueCount="58">
  <si>
    <t>HA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</si>
  <si>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</si>
  <si>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</si>
  <si>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</si>
  <si>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</si>
  <si>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</si>
  <si>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</si>
  <si>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</si>
  <si>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</si>
  <si>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</si>
  <si>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</si>
  <si>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</si>
  <si>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</si>
  <si>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</si>
  <si>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</si>
  <si>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</si>
  <si>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</si>
  <si>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</si>
  <si>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</si>
  <si>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</si>
  <si>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</si>
  <si>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</si>
  <si>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</si>
  <si>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</si>
  <si>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</si>
  <si>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</si>
  <si>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</si>
  <si>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</si>
  <si>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</si>
  <si>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</si>
  <si>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Gn</t>
  </si>
  <si>
    <t>GDh</t>
  </si>
  <si>
    <t>Dh</t>
  </si>
  <si>
    <t>Th</t>
  </si>
  <si>
    <t>ADh</t>
  </si>
  <si>
    <t>Lh</t>
  </si>
  <si>
    <t>Sh</t>
  </si>
  <si>
    <t>HDh</t>
  </si>
  <si>
    <t>Total</t>
  </si>
  <si>
    <t>ޖުމްލަ</t>
  </si>
  <si>
    <t xml:space="preserve">Source:  Ministry of Finance and Treasury and Elections Commission </t>
  </si>
  <si>
    <t>City / Atoll</t>
  </si>
  <si>
    <t>ސިޓީ / އަތޮޅު</t>
  </si>
  <si>
    <t>Total council budget</t>
  </si>
  <si>
    <t>Salary &amp; allowances of council members &amp; staff</t>
  </si>
  <si>
    <t>ކައުންސިލް މެމްބަރުންނާއި މުވައްޒަފުންގެ މުސާރައާއި އެލަވަންސް</t>
  </si>
  <si>
    <t>ކައުންސިލްތަކުގެ ޖުމްލަ ބަޖެޓް</t>
  </si>
  <si>
    <r>
      <t xml:space="preserve">Numbers      </t>
    </r>
    <r>
      <rPr>
        <b/>
        <sz val="10.5"/>
        <color theme="1"/>
        <rFont val="Faruma"/>
      </rPr>
      <t xml:space="preserve"> ޢަދަދު</t>
    </r>
  </si>
  <si>
    <r>
      <t xml:space="preserve">Percentage share  </t>
    </r>
    <r>
      <rPr>
        <b/>
        <sz val="10.5"/>
        <color theme="1"/>
        <rFont val="Faruma"/>
      </rPr>
      <t>އިންސައްތައިން</t>
    </r>
  </si>
  <si>
    <t>2017 Est</t>
  </si>
  <si>
    <t>Male' City</t>
  </si>
  <si>
    <t>މާލޭ ސިޓީ</t>
  </si>
  <si>
    <t>Addu City</t>
  </si>
  <si>
    <t>އައްޑޫ ސިޓީ</t>
  </si>
  <si>
    <t xml:space="preserve">މަޢުލޫމާތު ދެއްވި ފަރާތް:  މިނިސްޓްރީ އޮފް ފިނޭންސް އެންޑް ޓްރެޜަރީ އަދި އިލެކްޝަންސް ކޮމިޝަން </t>
  </si>
  <si>
    <t>TABLE 20.9: ELECTED LOCAL COUNCIL MEMBERS BY ATOLL AND FINANCIAL RESOURCES, 2014-2016</t>
  </si>
  <si>
    <t>ތާވަލު 20.9: ލޯކަލް ކައުންސިލްތަކާއި މެމްބަރުންގެ ޢަދަދު އަދި ކައުންސިލްތަކަށް ހިނގި ޚަރަދު، 2014-2016</t>
  </si>
  <si>
    <r>
      <t>Budget Expenditure  (MVR)        (</t>
    </r>
    <r>
      <rPr>
        <b/>
        <sz val="10.5"/>
        <color theme="1"/>
        <rFont val="Faruma"/>
      </rPr>
      <t xml:space="preserve">ބަޖެޓް ޚަރަދު (ރުފިޔާ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</si>
</sst>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0.5"/>
      <color theme="1"/>
      <name val="Calibri"/>
      <family val="2"/>
      <scheme val="minor"/>
    </font>
    <font>
      <b/>
      <sz val="12"/>
      <color theme="1"/>
      <name val="Faruma"/>
    </font>
    <font>
      <sz val="11"/>
      <color theme="1"/>
      <name val="Calibri"/>
      <family val="2"/>
      <charset val="1"/>
      <scheme val="minor"/>
    </font>
    <font>
      <b/>
      <sz val="10.5"/>
      <color theme="1"/>
      <name val="Faruma"/>
    </font>
    <font>
      <sz val="11"/>
      <color indexed="8"/>
      <name val="Calibri"/>
      <family val="2"/>
      <scheme val="minor"/>
    </font>
    <font>
      <sz val="10"/>
      <color theme="1" tint="0.14999847407452621"/>
      <name val="Faruma"/>
    </font>
    <font>
      <sz val="10"/>
      <name val="Faruma"/>
    </font>
    <font>
      <b/>
      <sz val="10"/>
      <color theme="1" tint="0.1499984740745262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theme="1"/>
      </left>
      <right/>
      <top style="dotted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dotted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</borders>
  <cellStyleXfs count="11">
    <xf numFmtId="0" fontId="0" fillId="0" borderId="0"/>
    <xf numFmtId="0" fontId="4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0" fillId="0" borderId="0"/>
    <xf numFmtId="0" fontId="1" fillId="0" borderId="0"/>
    <xf numFmtId="0" fontId="4" fillId="0" borderId="0"/>
  </cellStyleXfs>
  <cellXfs count="76">
    <xf numFmtId="0" fontId="0" fillId="0" borderId="0" xfId="0"/>
    <xf numFmtId="0" fontId="5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0" fillId="2" borderId="0" xfId="0" applyFont="1" applyFill="1" applyBorder="1"/>
    <xf numFmtId="0" fontId="6" fillId="2" borderId="0" xfId="0" applyFont="1" applyFill="1" applyBorder="1"/>
    <xf numFmtId="0" fontId="3" fillId="2" borderId="0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right" vertical="center" wrapText="1"/>
    </xf>
    <xf numFmtId="0" fontId="9" fillId="2" borderId="0" xfId="0" applyFont="1" applyFill="1" applyAlignment="1"/>
    <xf numFmtId="165" fontId="0" fillId="2" borderId="0" xfId="2" applyNumberFormat="1" applyFont="1" applyFill="1" applyBorder="1"/>
    <xf numFmtId="0" fontId="0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right" vertical="center" wrapText="1"/>
    </xf>
    <xf numFmtId="166" fontId="2" fillId="2" borderId="6" xfId="0" applyNumberFormat="1" applyFont="1" applyFill="1" applyBorder="1" applyAlignment="1">
      <alignment vertical="center" wrapText="1"/>
    </xf>
    <xf numFmtId="166" fontId="2" fillId="2" borderId="0" xfId="0" applyNumberFormat="1" applyFont="1" applyFill="1" applyBorder="1" applyAlignment="1">
      <alignment vertical="center" wrapText="1"/>
    </xf>
    <xf numFmtId="166" fontId="2" fillId="2" borderId="14" xfId="0" applyNumberFormat="1" applyFont="1" applyFill="1" applyBorder="1" applyAlignment="1">
      <alignment vertical="center" wrapText="1"/>
    </xf>
    <xf numFmtId="166" fontId="2" fillId="2" borderId="2" xfId="0" applyNumberFormat="1" applyFont="1" applyFill="1" applyBorder="1" applyAlignment="1">
      <alignment vertical="center" wrapText="1"/>
    </xf>
    <xf numFmtId="0" fontId="12" fillId="2" borderId="0" xfId="10" applyFont="1" applyFill="1" applyBorder="1" applyAlignment="1">
      <alignment horizontal="left" vertical="top" wrapText="1" indent="2"/>
    </xf>
    <xf numFmtId="166" fontId="1" fillId="2" borderId="6" xfId="2" applyNumberFormat="1" applyFont="1" applyFill="1" applyBorder="1" applyAlignment="1">
      <alignment vertical="center"/>
    </xf>
    <xf numFmtId="166" fontId="1" fillId="2" borderId="0" xfId="2" applyNumberFormat="1" applyFont="1" applyFill="1" applyBorder="1" applyAlignment="1">
      <alignment vertical="center" wrapText="1"/>
    </xf>
    <xf numFmtId="166" fontId="1" fillId="2" borderId="14" xfId="2" applyNumberFormat="1" applyFont="1" applyFill="1" applyBorder="1" applyAlignment="1">
      <alignment vertical="center"/>
    </xf>
    <xf numFmtId="166" fontId="1" fillId="2" borderId="0" xfId="2" applyNumberFormat="1" applyFont="1" applyFill="1" applyBorder="1" applyAlignment="1">
      <alignment vertical="center"/>
    </xf>
    <xf numFmtId="166" fontId="1" fillId="2" borderId="6" xfId="0" applyNumberFormat="1" applyFont="1" applyFill="1" applyBorder="1" applyAlignment="1">
      <alignment vertical="center" wrapText="1"/>
    </xf>
    <xf numFmtId="166" fontId="1" fillId="2" borderId="0" xfId="0" applyNumberFormat="1" applyFont="1" applyFill="1" applyBorder="1" applyAlignment="1">
      <alignment vertical="center" wrapText="1"/>
    </xf>
    <xf numFmtId="43" fontId="0" fillId="2" borderId="0" xfId="2" applyFont="1" applyFill="1" applyBorder="1"/>
    <xf numFmtId="0" fontId="12" fillId="2" borderId="1" xfId="10" applyFont="1" applyFill="1" applyBorder="1" applyAlignment="1">
      <alignment horizontal="left" vertical="top" wrapText="1" indent="2"/>
    </xf>
    <xf numFmtId="166" fontId="1" fillId="2" borderId="7" xfId="2" applyNumberFormat="1" applyFont="1" applyFill="1" applyBorder="1" applyAlignment="1">
      <alignment vertical="center"/>
    </xf>
    <xf numFmtId="166" fontId="1" fillId="2" borderId="1" xfId="2" applyNumberFormat="1" applyFont="1" applyFill="1" applyBorder="1" applyAlignment="1">
      <alignment vertical="center" wrapText="1"/>
    </xf>
    <xf numFmtId="166" fontId="1" fillId="2" borderId="10" xfId="2" applyNumberFormat="1" applyFont="1" applyFill="1" applyBorder="1" applyAlignment="1">
      <alignment vertical="center"/>
    </xf>
    <xf numFmtId="166" fontId="1" fillId="2" borderId="1" xfId="2" applyNumberFormat="1" applyFont="1" applyFill="1" applyBorder="1" applyAlignment="1">
      <alignment vertical="center"/>
    </xf>
    <xf numFmtId="166" fontId="1" fillId="2" borderId="7" xfId="0" applyNumberFormat="1" applyFont="1" applyFill="1" applyBorder="1" applyAlignment="1">
      <alignment vertical="center" wrapText="1"/>
    </xf>
    <xf numFmtId="166" fontId="1" fillId="2" borderId="1" xfId="0" applyNumberFormat="1" applyFont="1" applyFill="1" applyBorder="1" applyAlignment="1">
      <alignment vertical="center" wrapText="1"/>
    </xf>
    <xf numFmtId="0" fontId="6" fillId="2" borderId="0" xfId="0" applyFont="1" applyFill="1" applyBorder="1" applyAlignment="1">
      <alignment wrapText="1"/>
    </xf>
    <xf numFmtId="165" fontId="6" fillId="2" borderId="0" xfId="2" applyNumberFormat="1" applyFont="1" applyFill="1" applyBorder="1"/>
    <xf numFmtId="0" fontId="0" fillId="2" borderId="0" xfId="0" applyFont="1" applyFill="1" applyBorder="1" applyAlignment="1">
      <alignment wrapText="1"/>
    </xf>
    <xf numFmtId="0" fontId="8" fillId="2" borderId="9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0" fillId="2" borderId="6" xfId="0" applyFont="1" applyFill="1" applyBorder="1"/>
    <xf numFmtId="166" fontId="1" fillId="2" borderId="6" xfId="2" applyNumberFormat="1" applyFont="1" applyFill="1" applyBorder="1" applyAlignment="1">
      <alignment vertical="center" wrapText="1"/>
    </xf>
    <xf numFmtId="166" fontId="1" fillId="2" borderId="7" xfId="2" applyNumberFormat="1" applyFont="1" applyFill="1" applyBorder="1" applyAlignment="1">
      <alignment vertical="center" wrapText="1"/>
    </xf>
    <xf numFmtId="0" fontId="8" fillId="2" borderId="11" xfId="0" applyFont="1" applyFill="1" applyBorder="1" applyAlignment="1">
      <alignment vertical="center"/>
    </xf>
    <xf numFmtId="3" fontId="13" fillId="2" borderId="0" xfId="1" applyNumberFormat="1" applyFont="1" applyFill="1" applyBorder="1" applyAlignment="1" applyProtection="1">
      <alignment horizontal="right" vertical="center" indent="2"/>
    </xf>
    <xf numFmtId="3" fontId="14" fillId="2" borderId="0" xfId="1" applyNumberFormat="1" applyFont="1" applyFill="1" applyBorder="1" applyAlignment="1" applyProtection="1">
      <alignment horizontal="right" vertical="center" indent="2"/>
    </xf>
    <xf numFmtId="3" fontId="15" fillId="2" borderId="0" xfId="1" applyNumberFormat="1" applyFont="1" applyFill="1" applyBorder="1" applyAlignment="1" applyProtection="1">
      <alignment horizontal="right" vertical="center" indent="2"/>
    </xf>
    <xf numFmtId="3" fontId="13" fillId="2" borderId="1" xfId="1" applyNumberFormat="1" applyFont="1" applyFill="1" applyBorder="1" applyAlignment="1" applyProtection="1">
      <alignment horizontal="right" vertical="center" indent="2"/>
    </xf>
    <xf numFmtId="0" fontId="8" fillId="2" borderId="13" xfId="0" applyFont="1" applyFill="1" applyBorder="1" applyAlignment="1">
      <alignment horizontal="right" vertical="center" wrapText="1"/>
    </xf>
    <xf numFmtId="0" fontId="0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</cellXfs>
  <cellStyles count="11">
    <cellStyle name="Comma" xfId="2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19.8" xfId="10"/>
    <cellStyle name="Normal_II-15(Population) 2" xfId="1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293476811789627E-2"/>
          <c:y val="0.14425392254864164"/>
          <c:w val="0.89284232107309081"/>
          <c:h val="0.6710169797995995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53735"/>
            </a:solidFill>
          </c:spPr>
          <c:invertIfNegative val="0"/>
          <c:cat>
            <c:strRef>
              <c:f>'20.9'!$A$10:$A$30</c:f>
              <c:strCache>
                <c:ptCount val="21"/>
                <c:pt idx="0">
                  <c:v>Male' City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Addu City</c:v>
                </c:pt>
              </c:strCache>
            </c:strRef>
          </c:cat>
          <c:val>
            <c:numRef>
              <c:f>'20.9'!$U$10:$U$30</c:f>
              <c:numCache>
                <c:formatCode>_(* #,##0.0_);_(* \(#,##0.0\);_(* "-"??_);_(@_)</c:formatCode>
                <c:ptCount val="21"/>
                <c:pt idx="0">
                  <c:v>64.781026040247525</c:v>
                </c:pt>
                <c:pt idx="1">
                  <c:v>57.61307475754969</c:v>
                </c:pt>
                <c:pt idx="2">
                  <c:v>55.525284123029948</c:v>
                </c:pt>
                <c:pt idx="3">
                  <c:v>63.006377000042612</c:v>
                </c:pt>
                <c:pt idx="4">
                  <c:v>59.578677912106258</c:v>
                </c:pt>
                <c:pt idx="5">
                  <c:v>60.286448637350688</c:v>
                </c:pt>
                <c:pt idx="6">
                  <c:v>60.693904918722453</c:v>
                </c:pt>
                <c:pt idx="7">
                  <c:v>63.072464448094379</c:v>
                </c:pt>
                <c:pt idx="8">
                  <c:v>66.602919534296205</c:v>
                </c:pt>
                <c:pt idx="9">
                  <c:v>62.067595242864826</c:v>
                </c:pt>
                <c:pt idx="10">
                  <c:v>68.323760390474902</c:v>
                </c:pt>
                <c:pt idx="11">
                  <c:v>71.286687646367213</c:v>
                </c:pt>
                <c:pt idx="12">
                  <c:v>73.282244686807232</c:v>
                </c:pt>
                <c:pt idx="13">
                  <c:v>64.189435152718616</c:v>
                </c:pt>
                <c:pt idx="14">
                  <c:v>55.919333724387513</c:v>
                </c:pt>
                <c:pt idx="15">
                  <c:v>69.656247912117493</c:v>
                </c:pt>
                <c:pt idx="16">
                  <c:v>58.661843024285012</c:v>
                </c:pt>
                <c:pt idx="17">
                  <c:v>55.550146762745712</c:v>
                </c:pt>
                <c:pt idx="18">
                  <c:v>64.329446405597963</c:v>
                </c:pt>
                <c:pt idx="19">
                  <c:v>62.085082781728097</c:v>
                </c:pt>
                <c:pt idx="20">
                  <c:v>63.23015322424834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0-447C-B1AD-18FB5015A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388288"/>
        <c:axId val="171390080"/>
      </c:barChart>
      <c:catAx>
        <c:axId val="1713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71390080"/>
        <c:crosses val="autoZero"/>
        <c:auto val="1"/>
        <c:lblAlgn val="ctr"/>
        <c:lblOffset val="100"/>
        <c:noMultiLvlLbl val="0"/>
      </c:catAx>
      <c:valAx>
        <c:axId val="171390080"/>
        <c:scaling>
          <c:orientation val="minMax"/>
          <c:max val="9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3078192943249675E-2"/>
              <c:y val="0.3577050338789825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crossAx val="171388288"/>
        <c:crosses val="autoZero"/>
        <c:crossBetween val="between"/>
      </c:valAx>
      <c:spPr>
        <a:solidFill>
          <a:srgbClr val="FDEADA"/>
        </a:solidFill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857249</xdr:colOff>
      <xdr:row>31</xdr:row>
      <xdr:rowOff>158780</xdr:rowOff>
    </xdr:from>
    <xdr:to>
      <xdr:col>22</xdr:col>
      <xdr:colOff>57149</xdr:colOff>
      <xdr:row>47</xdr:row>
      <xdr:rowOff>41910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228600</xdr:colOff>
      <xdr:row>33</xdr:row>
      <xdr:rowOff>47625</xdr:rowOff>
    </xdr:from>
    <xdr:to>
      <xdr:col>21</xdr:col>
      <xdr:colOff>447675</xdr:colOff>
      <xdr:row>33</xdr:row>
      <xdr:rowOff>47625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676400" y="8134350"/>
          <a:ext cx="63246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0.08549</cdr:x>
      <cdr:y>0.03315</cdr:y>
    </cdr:from>
    <cdr:to>
      <cdr:x>0.99064</cdr:x>
      <cdr:y>0.1236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2675" y="97175"/>
          <a:ext cx="6380822" cy="2651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latin typeface="Consolas" pitchFamily="49" charset="0"/>
              <a:ea typeface="+mn-ea"/>
              <a:cs typeface="Consolas" pitchFamily="49" charset="0"/>
            </a:rPr>
            <a:t>Figure 20.7: Share of salary &amp; allowances  as  a percentage  of council budget, 2016</a:t>
          </a:r>
          <a:endParaRPr lang="en-US" sz="1050" b="1" i="0" baseline="0"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23"/>
  <sheetViews>
    <sheetView tabSelected="1" zoomScaleNormal="100" workbookViewId="0">
      <selection activeCell="AB18" sqref="AB18"/>
    </sheetView>
  </sheetViews>
  <sheetFormatPr defaultColWidth="9.140625" defaultRowHeight="15" x14ac:dyDescent="0.25"/>
  <cols>
    <col min="1" max="1" width="13" style="3" customWidth="1"/>
    <col min="2" max="2" width="8.7109375" style="3" hidden="1" customWidth="1"/>
    <col min="3" max="3" width="8.28515625" style="3" hidden="1" customWidth="1"/>
    <col min="4" max="4" width="7.7109375" style="36" hidden="1" customWidth="1"/>
    <col min="5" max="5" width="8.7109375" style="36" customWidth="1"/>
    <col min="6" max="7" width="10" style="36" customWidth="1"/>
    <col min="8" max="8" width="8.7109375" style="36" customWidth="1"/>
    <col min="9" max="11" width="8.7109375" style="3" hidden="1" customWidth="1"/>
    <col min="12" max="12" width="8.5703125" style="3" customWidth="1"/>
    <col min="13" max="14" width="8.85546875" style="3" customWidth="1"/>
    <col min="15" max="15" width="9.140625" style="3" customWidth="1"/>
    <col min="16" max="17" width="9.140625" style="3" hidden="1" customWidth="1"/>
    <col min="18" max="18" width="2" style="3" hidden="1" customWidth="1"/>
    <col min="19" max="19" width="9.140625" style="3"/>
    <col min="20" max="22" width="9.140625" style="3" customWidth="1"/>
    <col min="23" max="23" width="14.42578125" style="3" customWidth="1"/>
    <col min="24" max="24" width="3.42578125" style="3" customWidth="1"/>
    <col min="25" max="16384" width="9.140625" style="3"/>
  </cols>
  <sheetData>
    <row r="1" spans="1:29" ht="21.75" x14ac:dyDescent="0.55000000000000004">
      <c r="A1" s="60" t="s">
        <v>56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8"/>
      <c r="Y1" s="8"/>
      <c r="Z1" s="9"/>
      <c r="AA1" s="9"/>
    </row>
    <row r="2" spans="1:29" x14ac:dyDescent="0.25">
      <c r="A2" s="61" t="s">
        <v>55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Z2" s="9"/>
      <c r="AA2" s="9"/>
    </row>
    <row r="3" spans="1:29" x14ac:dyDescent="0.25">
      <c r="B3" s="53"/>
      <c r="C3" s="10"/>
      <c r="D3" s="11"/>
      <c r="E3" s="11"/>
      <c r="F3" s="11"/>
      <c r="G3" s="11"/>
      <c r="H3" s="11"/>
      <c r="I3" s="62"/>
      <c r="J3" s="62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Z3" s="9"/>
      <c r="AA3" s="9"/>
    </row>
    <row r="4" spans="1:29" ht="19.5" customHeight="1" x14ac:dyDescent="0.25">
      <c r="A4" s="58" t="s">
        <v>41</v>
      </c>
      <c r="B4" s="37"/>
      <c r="C4" s="38"/>
      <c r="D4" s="38"/>
      <c r="E4" s="71" t="s">
        <v>57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54" t="s">
        <v>42</v>
      </c>
      <c r="Z4" s="9"/>
      <c r="AA4" s="9"/>
    </row>
    <row r="5" spans="1:29" ht="16.5" customHeight="1" x14ac:dyDescent="0.25">
      <c r="A5" s="59"/>
      <c r="B5" s="44"/>
      <c r="C5" s="38"/>
      <c r="D5" s="38"/>
      <c r="E5" s="65" t="s">
        <v>43</v>
      </c>
      <c r="F5" s="66"/>
      <c r="G5" s="66"/>
      <c r="H5" s="67"/>
      <c r="J5" s="38"/>
      <c r="K5" s="38"/>
      <c r="L5" s="65" t="s">
        <v>44</v>
      </c>
      <c r="M5" s="66"/>
      <c r="N5" s="66"/>
      <c r="O5" s="66"/>
      <c r="P5" s="66"/>
      <c r="Q5" s="66"/>
      <c r="R5" s="66"/>
      <c r="S5" s="66"/>
      <c r="T5" s="66"/>
      <c r="U5" s="66"/>
      <c r="V5" s="66"/>
      <c r="W5" s="55"/>
      <c r="Z5" s="9"/>
      <c r="AA5" s="9"/>
    </row>
    <row r="6" spans="1:29" ht="18" customHeight="1" x14ac:dyDescent="0.25">
      <c r="A6" s="59"/>
      <c r="B6" s="44"/>
      <c r="C6" s="40"/>
      <c r="D6" s="40"/>
      <c r="E6" s="39"/>
      <c r="F6" s="40"/>
      <c r="G6" s="40"/>
      <c r="H6" s="41"/>
      <c r="J6" s="43"/>
      <c r="K6" s="43"/>
      <c r="L6" s="74" t="s">
        <v>45</v>
      </c>
      <c r="M6" s="75"/>
      <c r="N6" s="75"/>
      <c r="O6" s="75"/>
      <c r="P6" s="75"/>
      <c r="Q6" s="75"/>
      <c r="R6" s="75"/>
      <c r="S6" s="75"/>
      <c r="T6" s="75"/>
      <c r="U6" s="75"/>
      <c r="V6" s="75"/>
      <c r="W6" s="55"/>
      <c r="Z6" s="9"/>
      <c r="AA6" s="9"/>
    </row>
    <row r="7" spans="1:29" ht="30" customHeight="1" x14ac:dyDescent="0.25">
      <c r="A7" s="59"/>
      <c r="B7" s="44"/>
      <c r="C7" s="42"/>
      <c r="D7" s="42"/>
      <c r="E7" s="68" t="s">
        <v>46</v>
      </c>
      <c r="F7" s="69"/>
      <c r="G7" s="69"/>
      <c r="H7" s="70"/>
      <c r="K7" s="47"/>
      <c r="L7" s="63" t="s">
        <v>47</v>
      </c>
      <c r="M7" s="64"/>
      <c r="N7" s="64"/>
      <c r="O7" s="73"/>
      <c r="Q7" s="47"/>
      <c r="R7" s="47"/>
      <c r="S7" s="63" t="s">
        <v>48</v>
      </c>
      <c r="T7" s="64"/>
      <c r="U7" s="64"/>
      <c r="V7" s="64"/>
      <c r="W7" s="55"/>
      <c r="Z7" s="9"/>
      <c r="AA7" s="9"/>
    </row>
    <row r="8" spans="1:29" ht="20.25" customHeight="1" x14ac:dyDescent="0.25">
      <c r="A8" s="57"/>
      <c r="B8" s="12">
        <v>2011</v>
      </c>
      <c r="C8" s="13">
        <v>2012</v>
      </c>
      <c r="D8" s="13">
        <v>2013</v>
      </c>
      <c r="E8" s="14">
        <v>2014</v>
      </c>
      <c r="F8" s="7">
        <v>2015</v>
      </c>
      <c r="G8" s="7">
        <v>2016</v>
      </c>
      <c r="H8" s="7" t="s">
        <v>49</v>
      </c>
      <c r="I8" s="52">
        <v>2011</v>
      </c>
      <c r="J8" s="7">
        <v>2012</v>
      </c>
      <c r="K8" s="7">
        <v>2013</v>
      </c>
      <c r="L8" s="14">
        <v>2014</v>
      </c>
      <c r="M8" s="7">
        <v>2015</v>
      </c>
      <c r="N8" s="7">
        <v>2016</v>
      </c>
      <c r="O8" s="7" t="s">
        <v>49</v>
      </c>
      <c r="P8" s="14">
        <v>2011</v>
      </c>
      <c r="Q8" s="7">
        <v>2012</v>
      </c>
      <c r="R8" s="7">
        <v>2013</v>
      </c>
      <c r="S8" s="14">
        <v>2014</v>
      </c>
      <c r="T8" s="7">
        <v>2015</v>
      </c>
      <c r="U8" s="7">
        <v>2016</v>
      </c>
      <c r="V8" s="7" t="s">
        <v>49</v>
      </c>
      <c r="W8" s="56"/>
      <c r="Z8" s="9"/>
      <c r="AA8" s="9"/>
    </row>
    <row r="9" spans="1:29" ht="19.5" customHeight="1" x14ac:dyDescent="0.25">
      <c r="A9" s="6" t="s">
        <v>38</v>
      </c>
      <c r="B9" s="15">
        <f t="shared" ref="B9:E9" si="0">SUM(B10:B30)</f>
        <v>662.69137099999989</v>
      </c>
      <c r="C9" s="16">
        <f t="shared" si="0"/>
        <v>965.92251699999997</v>
      </c>
      <c r="D9" s="16">
        <f t="shared" si="0"/>
        <v>846.04417799999999</v>
      </c>
      <c r="E9" s="15">
        <f t="shared" si="0"/>
        <v>978.71340600000008</v>
      </c>
      <c r="F9" s="16">
        <f>SUM(F10:F30)</f>
        <v>1119.6708269999999</v>
      </c>
      <c r="G9" s="16">
        <f>SUM(G10:G30)</f>
        <v>677.1645529033334</v>
      </c>
      <c r="H9" s="16">
        <f t="shared" ref="H9" si="1">SUM(H10:H30)</f>
        <v>561.16090499999996</v>
      </c>
      <c r="I9" s="17">
        <f>SUM(I10:I30)</f>
        <v>446.27385500000003</v>
      </c>
      <c r="J9" s="16">
        <f t="shared" ref="J9:O9" si="2">SUM(J10:J30)</f>
        <v>620.73176699999999</v>
      </c>
      <c r="K9" s="16">
        <f t="shared" si="2"/>
        <v>597.28236500000003</v>
      </c>
      <c r="L9" s="15">
        <f t="shared" si="2"/>
        <v>589.38817600000004</v>
      </c>
      <c r="M9" s="16">
        <f t="shared" si="2"/>
        <v>671.71199799999988</v>
      </c>
      <c r="N9" s="16">
        <f t="shared" si="2"/>
        <v>419.02778682000007</v>
      </c>
      <c r="O9" s="16">
        <f t="shared" si="2"/>
        <v>360.16031799999996</v>
      </c>
      <c r="P9" s="15">
        <f t="shared" ref="P9:V30" si="3">I9/B9*100</f>
        <v>67.342638599107403</v>
      </c>
      <c r="Q9" s="18">
        <f t="shared" si="3"/>
        <v>64.263101447090492</v>
      </c>
      <c r="R9" s="16">
        <f t="shared" si="3"/>
        <v>70.597065795304133</v>
      </c>
      <c r="S9" s="15">
        <f t="shared" si="3"/>
        <v>60.220711434701649</v>
      </c>
      <c r="T9" s="16">
        <f t="shared" si="3"/>
        <v>59.991917428067453</v>
      </c>
      <c r="U9" s="16">
        <f t="shared" si="3"/>
        <v>61.879758032729917</v>
      </c>
      <c r="V9" s="16">
        <f t="shared" si="3"/>
        <v>64.181291816827468</v>
      </c>
      <c r="W9" s="5" t="s">
        <v>39</v>
      </c>
      <c r="Z9" s="9"/>
      <c r="AA9" s="9"/>
    </row>
    <row r="10" spans="1:29" ht="19.5" customHeight="1" x14ac:dyDescent="0.25">
      <c r="A10" s="19" t="s">
        <v>50</v>
      </c>
      <c r="B10" s="20">
        <v>61.912550000000003</v>
      </c>
      <c r="C10" s="21">
        <v>156.82399699999999</v>
      </c>
      <c r="D10" s="21">
        <v>156.84509800000001</v>
      </c>
      <c r="E10" s="45">
        <v>214.02913000000001</v>
      </c>
      <c r="F10" s="21">
        <v>145.91413299999999</v>
      </c>
      <c r="G10" s="21">
        <v>20.910647496666666</v>
      </c>
      <c r="H10" s="21">
        <v>15.836702000000001</v>
      </c>
      <c r="I10" s="22">
        <v>33.687016</v>
      </c>
      <c r="J10" s="23">
        <v>85.331259000000003</v>
      </c>
      <c r="K10" s="23">
        <v>84.670901000000001</v>
      </c>
      <c r="L10" s="20">
        <v>79.983987999999997</v>
      </c>
      <c r="M10" s="21">
        <v>38.370424</v>
      </c>
      <c r="N10" s="21">
        <v>13.546132</v>
      </c>
      <c r="O10" s="23">
        <v>10.193508</v>
      </c>
      <c r="P10" s="24">
        <f t="shared" si="3"/>
        <v>54.410642107294883</v>
      </c>
      <c r="Q10" s="25">
        <f t="shared" si="3"/>
        <v>54.412118446388021</v>
      </c>
      <c r="R10" s="25">
        <f t="shared" si="3"/>
        <v>53.983772575410669</v>
      </c>
      <c r="S10" s="20">
        <f t="shared" si="3"/>
        <v>37.370608384008285</v>
      </c>
      <c r="T10" s="23">
        <f t="shared" si="3"/>
        <v>26.29657813887021</v>
      </c>
      <c r="U10" s="23">
        <f t="shared" si="3"/>
        <v>64.781026040247525</v>
      </c>
      <c r="V10" s="23">
        <f t="shared" si="3"/>
        <v>64.366356075905202</v>
      </c>
      <c r="W10" s="48" t="s">
        <v>51</v>
      </c>
      <c r="Y10" s="26"/>
      <c r="Z10" s="9"/>
      <c r="AA10" s="9"/>
      <c r="AB10" s="26"/>
      <c r="AC10" s="26"/>
    </row>
    <row r="11" spans="1:29" ht="19.5" customHeight="1" x14ac:dyDescent="0.25">
      <c r="A11" s="19" t="s">
        <v>0</v>
      </c>
      <c r="B11" s="20">
        <v>42.078754000000004</v>
      </c>
      <c r="C11" s="21">
        <v>58.363619</v>
      </c>
      <c r="D11" s="21">
        <v>49.025638999999998</v>
      </c>
      <c r="E11" s="45">
        <v>54.525649999999999</v>
      </c>
      <c r="F11" s="21">
        <v>72.721290999999994</v>
      </c>
      <c r="G11" s="21">
        <v>49.557860699999992</v>
      </c>
      <c r="H11" s="21">
        <v>39.898432</v>
      </c>
      <c r="I11" s="22">
        <v>30.011016000000001</v>
      </c>
      <c r="J11" s="23">
        <v>38.961582999999997</v>
      </c>
      <c r="K11" s="23">
        <v>37.259529000000001</v>
      </c>
      <c r="L11" s="20">
        <v>38.333622999999996</v>
      </c>
      <c r="M11" s="21">
        <v>48.973019000000001</v>
      </c>
      <c r="N11" s="21">
        <v>28.551807333333333</v>
      </c>
      <c r="O11" s="23">
        <v>24.132263999999999</v>
      </c>
      <c r="P11" s="24">
        <f t="shared" si="3"/>
        <v>71.321066208376791</v>
      </c>
      <c r="Q11" s="25">
        <f t="shared" si="3"/>
        <v>66.75662624690905</v>
      </c>
      <c r="R11" s="25">
        <f t="shared" si="3"/>
        <v>76.000088443518294</v>
      </c>
      <c r="S11" s="20">
        <f t="shared" si="3"/>
        <v>70.303834984085469</v>
      </c>
      <c r="T11" s="23">
        <f t="shared" si="3"/>
        <v>67.343440038763887</v>
      </c>
      <c r="U11" s="23">
        <f t="shared" si="3"/>
        <v>57.61307475754969</v>
      </c>
      <c r="V11" s="23">
        <f t="shared" si="3"/>
        <v>60.484241586235768</v>
      </c>
      <c r="W11" s="48" t="s">
        <v>11</v>
      </c>
      <c r="Y11" s="26"/>
      <c r="Z11" s="9"/>
      <c r="AA11" s="9"/>
      <c r="AB11" s="26"/>
      <c r="AC11" s="26"/>
    </row>
    <row r="12" spans="1:29" ht="19.5" customHeight="1" x14ac:dyDescent="0.25">
      <c r="A12" s="19" t="s">
        <v>37</v>
      </c>
      <c r="B12" s="20">
        <v>44.467179999999999</v>
      </c>
      <c r="C12" s="21">
        <v>61.807938999999998</v>
      </c>
      <c r="D12" s="21">
        <v>51.512613000000002</v>
      </c>
      <c r="E12" s="45">
        <v>51.579220999999997</v>
      </c>
      <c r="F12" s="21">
        <v>62.912728999999999</v>
      </c>
      <c r="G12" s="21">
        <v>49.342585273333334</v>
      </c>
      <c r="H12" s="21">
        <v>39.761971000000003</v>
      </c>
      <c r="I12" s="22">
        <v>30.574224999999998</v>
      </c>
      <c r="J12" s="23">
        <v>40.657739999999997</v>
      </c>
      <c r="K12" s="23">
        <v>37.837862000000001</v>
      </c>
      <c r="L12" s="20">
        <v>37.05736499999999</v>
      </c>
      <c r="M12" s="21">
        <v>43.527625999999998</v>
      </c>
      <c r="N12" s="21">
        <v>27.397610666666669</v>
      </c>
      <c r="O12" s="23">
        <v>24.48115</v>
      </c>
      <c r="P12" s="24">
        <f t="shared" si="3"/>
        <v>68.756833691724992</v>
      </c>
      <c r="Q12" s="25">
        <f t="shared" si="3"/>
        <v>65.780772919802416</v>
      </c>
      <c r="R12" s="25">
        <f t="shared" si="3"/>
        <v>73.453586988491537</v>
      </c>
      <c r="S12" s="20">
        <f t="shared" si="3"/>
        <v>71.845530586822932</v>
      </c>
      <c r="T12" s="23">
        <f t="shared" si="3"/>
        <v>69.1873118395484</v>
      </c>
      <c r="U12" s="23">
        <f t="shared" si="3"/>
        <v>55.525284123029948</v>
      </c>
      <c r="V12" s="23">
        <f t="shared" si="3"/>
        <v>61.569256715166354</v>
      </c>
      <c r="W12" s="48" t="s">
        <v>12</v>
      </c>
      <c r="Y12" s="26"/>
      <c r="Z12" s="9"/>
      <c r="AA12" s="9"/>
      <c r="AB12" s="26"/>
      <c r="AC12" s="26"/>
    </row>
    <row r="13" spans="1:29" ht="19.5" customHeight="1" x14ac:dyDescent="0.25">
      <c r="A13" s="19" t="s">
        <v>36</v>
      </c>
      <c r="B13" s="20">
        <v>39.581037999999999</v>
      </c>
      <c r="C13" s="21">
        <v>53.821097000000002</v>
      </c>
      <c r="D13" s="21">
        <v>46.48086</v>
      </c>
      <c r="E13" s="45">
        <v>47.947021999999997</v>
      </c>
      <c r="F13" s="21">
        <v>65.142270999999994</v>
      </c>
      <c r="G13" s="21">
        <v>43.343877186666674</v>
      </c>
      <c r="H13" s="21">
        <v>38.063949999999998</v>
      </c>
      <c r="I13" s="22">
        <v>27.44192</v>
      </c>
      <c r="J13" s="23">
        <v>34.639156999999997</v>
      </c>
      <c r="K13" s="23">
        <v>33.258971000000003</v>
      </c>
      <c r="L13" s="20">
        <v>33.549444999999999</v>
      </c>
      <c r="M13" s="21">
        <v>42.718687000000003</v>
      </c>
      <c r="N13" s="21">
        <v>27.309406666666668</v>
      </c>
      <c r="O13" s="23">
        <v>23.969725</v>
      </c>
      <c r="P13" s="24">
        <f t="shared" si="3"/>
        <v>69.330976110328379</v>
      </c>
      <c r="Q13" s="25">
        <f t="shared" si="3"/>
        <v>64.359812286992209</v>
      </c>
      <c r="R13" s="25">
        <f t="shared" si="3"/>
        <v>71.554121416858479</v>
      </c>
      <c r="S13" s="20">
        <f t="shared" si="3"/>
        <v>69.971905658708067</v>
      </c>
      <c r="T13" s="23">
        <f t="shared" si="3"/>
        <v>65.577521852131937</v>
      </c>
      <c r="U13" s="23">
        <f t="shared" si="3"/>
        <v>63.006377000042612</v>
      </c>
      <c r="V13" s="23">
        <f t="shared" si="3"/>
        <v>62.972248019451484</v>
      </c>
      <c r="W13" s="48" t="s">
        <v>13</v>
      </c>
      <c r="Y13" s="26"/>
      <c r="Z13" s="9"/>
      <c r="AA13" s="9"/>
      <c r="AB13" s="26"/>
      <c r="AC13" s="26"/>
    </row>
    <row r="14" spans="1:29" ht="19.5" customHeight="1" x14ac:dyDescent="0.25">
      <c r="A14" s="19" t="s">
        <v>8</v>
      </c>
      <c r="B14" s="20">
        <v>33.173864000000002</v>
      </c>
      <c r="C14" s="21">
        <v>48.364001999999999</v>
      </c>
      <c r="D14" s="21">
        <v>39.160907000000002</v>
      </c>
      <c r="E14" s="45">
        <v>44.962316999999999</v>
      </c>
      <c r="F14" s="21">
        <v>54.707442999999998</v>
      </c>
      <c r="G14" s="21">
        <v>39.405065966666669</v>
      </c>
      <c r="H14" s="21">
        <v>33.406066000000003</v>
      </c>
      <c r="I14" s="22">
        <v>24.324807</v>
      </c>
      <c r="J14" s="23">
        <v>32.041421999999997</v>
      </c>
      <c r="K14" s="23">
        <v>30.084500999999999</v>
      </c>
      <c r="L14" s="20">
        <v>29.729382000000001</v>
      </c>
      <c r="M14" s="21">
        <v>35.627417999999999</v>
      </c>
      <c r="N14" s="21">
        <v>23.477017333333336</v>
      </c>
      <c r="O14" s="23">
        <v>20.234745</v>
      </c>
      <c r="P14" s="24">
        <f t="shared" si="3"/>
        <v>73.325214693109004</v>
      </c>
      <c r="Q14" s="25">
        <f t="shared" si="3"/>
        <v>66.250559662122242</v>
      </c>
      <c r="R14" s="25">
        <f t="shared" si="3"/>
        <v>76.822789114664786</v>
      </c>
      <c r="S14" s="20">
        <f t="shared" si="3"/>
        <v>66.120662776342243</v>
      </c>
      <c r="T14" s="23">
        <f t="shared" si="3"/>
        <v>65.123529900675493</v>
      </c>
      <c r="U14" s="23">
        <f t="shared" si="3"/>
        <v>59.578677912106258</v>
      </c>
      <c r="V14" s="23">
        <f t="shared" si="3"/>
        <v>60.572067959154488</v>
      </c>
      <c r="W14" s="49" t="s">
        <v>14</v>
      </c>
      <c r="Y14" s="26"/>
      <c r="Z14" s="9"/>
      <c r="AA14" s="9"/>
      <c r="AB14" s="26"/>
      <c r="AC14" s="26"/>
    </row>
    <row r="15" spans="1:29" ht="19.5" customHeight="1" x14ac:dyDescent="0.25">
      <c r="A15" s="19" t="s">
        <v>9</v>
      </c>
      <c r="B15" s="20">
        <v>40.468159</v>
      </c>
      <c r="C15" s="21">
        <v>59.347352999999998</v>
      </c>
      <c r="D15" s="21">
        <v>50.771551000000002</v>
      </c>
      <c r="E15" s="45">
        <v>59.843497999999997</v>
      </c>
      <c r="F15" s="21">
        <v>72.660437999999999</v>
      </c>
      <c r="G15" s="21">
        <v>48.966308223333321</v>
      </c>
      <c r="H15" s="21">
        <v>39.786884999999998</v>
      </c>
      <c r="I15" s="22">
        <v>29.724703999999999</v>
      </c>
      <c r="J15" s="23">
        <v>38.211796</v>
      </c>
      <c r="K15" s="23">
        <v>36.823645999999997</v>
      </c>
      <c r="L15" s="20">
        <v>36.508099000000001</v>
      </c>
      <c r="M15" s="21">
        <v>45.764249999999997</v>
      </c>
      <c r="N15" s="21">
        <v>29.520048256666669</v>
      </c>
      <c r="O15" s="23">
        <v>25.084185000000002</v>
      </c>
      <c r="P15" s="24">
        <f t="shared" si="3"/>
        <v>73.452078707113898</v>
      </c>
      <c r="Q15" s="25">
        <f t="shared" si="3"/>
        <v>64.386689664154019</v>
      </c>
      <c r="R15" s="25">
        <f t="shared" si="3"/>
        <v>72.528109294908077</v>
      </c>
      <c r="S15" s="20">
        <f t="shared" si="3"/>
        <v>61.005957572867821</v>
      </c>
      <c r="T15" s="23">
        <f t="shared" si="3"/>
        <v>62.983724375567341</v>
      </c>
      <c r="U15" s="23">
        <f t="shared" si="3"/>
        <v>60.286448637350688</v>
      </c>
      <c r="V15" s="23">
        <f t="shared" si="3"/>
        <v>63.046365655416359</v>
      </c>
      <c r="W15" s="48" t="s">
        <v>15</v>
      </c>
      <c r="Y15" s="26"/>
      <c r="Z15" s="9"/>
      <c r="AA15" s="9"/>
      <c r="AB15" s="26"/>
      <c r="AC15" s="26"/>
    </row>
    <row r="16" spans="1:29" ht="19.5" customHeight="1" x14ac:dyDescent="0.25">
      <c r="A16" s="19" t="s">
        <v>2</v>
      </c>
      <c r="B16" s="20">
        <v>33.264260999999998</v>
      </c>
      <c r="C16" s="21">
        <v>47.697812999999996</v>
      </c>
      <c r="D16" s="21">
        <v>38.625048999999997</v>
      </c>
      <c r="E16" s="45">
        <v>42.158138999999998</v>
      </c>
      <c r="F16" s="21">
        <v>51.776730000000001</v>
      </c>
      <c r="G16" s="21">
        <v>39.20043596666666</v>
      </c>
      <c r="H16" s="21">
        <v>31.079743000000001</v>
      </c>
      <c r="I16" s="22">
        <v>25.201101000000001</v>
      </c>
      <c r="J16" s="23">
        <v>30.289159000000001</v>
      </c>
      <c r="K16" s="23">
        <v>28.642721999999999</v>
      </c>
      <c r="L16" s="20">
        <v>28.38166</v>
      </c>
      <c r="M16" s="21">
        <v>34.751924000000002</v>
      </c>
      <c r="N16" s="21">
        <v>23.79227533333334</v>
      </c>
      <c r="O16" s="23">
        <v>19.547969999999999</v>
      </c>
      <c r="P16" s="24">
        <f t="shared" si="3"/>
        <v>75.760291202621346</v>
      </c>
      <c r="Q16" s="25">
        <f t="shared" si="3"/>
        <v>63.502196631111794</v>
      </c>
      <c r="R16" s="25">
        <f t="shared" si="3"/>
        <v>74.155820488408963</v>
      </c>
      <c r="S16" s="20">
        <f t="shared" si="3"/>
        <v>67.321899574362149</v>
      </c>
      <c r="T16" s="23">
        <f t="shared" si="3"/>
        <v>67.118808005063286</v>
      </c>
      <c r="U16" s="23">
        <f t="shared" si="3"/>
        <v>60.693904918722453</v>
      </c>
      <c r="V16" s="23">
        <f t="shared" si="3"/>
        <v>62.896176458087183</v>
      </c>
      <c r="W16" s="48" t="s">
        <v>16</v>
      </c>
      <c r="Y16" s="26"/>
      <c r="Z16" s="9"/>
      <c r="AA16" s="9"/>
      <c r="AB16" s="26"/>
      <c r="AC16" s="26"/>
    </row>
    <row r="17" spans="1:29" ht="19.5" customHeight="1" x14ac:dyDescent="0.25">
      <c r="A17" s="19" t="s">
        <v>35</v>
      </c>
      <c r="B17" s="20">
        <v>17.716802000000001</v>
      </c>
      <c r="C17" s="21">
        <v>25.177161999999999</v>
      </c>
      <c r="D17" s="21">
        <v>20.229092000000001</v>
      </c>
      <c r="E17" s="45">
        <v>21.565169999999998</v>
      </c>
      <c r="F17" s="21">
        <v>24.164908</v>
      </c>
      <c r="G17" s="21">
        <v>19.574363300000002</v>
      </c>
      <c r="H17" s="21">
        <v>16.414866</v>
      </c>
      <c r="I17" s="22">
        <v>13.163275000000001</v>
      </c>
      <c r="J17" s="23">
        <v>16.339414000000001</v>
      </c>
      <c r="K17" s="23">
        <v>15.325837999999999</v>
      </c>
      <c r="L17" s="20">
        <v>14.776317000000001</v>
      </c>
      <c r="M17" s="21">
        <v>18.247432</v>
      </c>
      <c r="N17" s="21">
        <v>12.346033333333335</v>
      </c>
      <c r="O17" s="23">
        <v>10.194663</v>
      </c>
      <c r="P17" s="24">
        <f t="shared" si="3"/>
        <v>74.298256536365869</v>
      </c>
      <c r="Q17" s="25">
        <f t="shared" si="3"/>
        <v>64.897759326488043</v>
      </c>
      <c r="R17" s="25">
        <f t="shared" si="3"/>
        <v>75.761373768036634</v>
      </c>
      <c r="S17" s="20">
        <f t="shared" si="3"/>
        <v>68.519362471986085</v>
      </c>
      <c r="T17" s="23">
        <f t="shared" si="3"/>
        <v>75.512110370956094</v>
      </c>
      <c r="U17" s="23">
        <f t="shared" si="3"/>
        <v>63.072464448094379</v>
      </c>
      <c r="V17" s="23">
        <f t="shared" si="3"/>
        <v>62.106282195663375</v>
      </c>
      <c r="W17" s="48" t="s">
        <v>17</v>
      </c>
      <c r="Y17" s="26"/>
      <c r="Z17" s="9"/>
      <c r="AA17" s="9"/>
      <c r="AB17" s="26"/>
      <c r="AC17" s="26"/>
    </row>
    <row r="18" spans="1:29" ht="19.5" customHeight="1" x14ac:dyDescent="0.25">
      <c r="A18" s="19" t="s">
        <v>5</v>
      </c>
      <c r="B18" s="20">
        <v>25.699311000000002</v>
      </c>
      <c r="C18" s="21">
        <v>38.064436000000001</v>
      </c>
      <c r="D18" s="21">
        <v>33.295461000000003</v>
      </c>
      <c r="E18" s="45">
        <v>38.038155000000003</v>
      </c>
      <c r="F18" s="21">
        <v>46.86056</v>
      </c>
      <c r="G18" s="21">
        <v>29.232286616666666</v>
      </c>
      <c r="H18" s="21">
        <v>27.541535</v>
      </c>
      <c r="I18" s="22">
        <v>19.601483000000002</v>
      </c>
      <c r="J18" s="23">
        <v>23.685687999999999</v>
      </c>
      <c r="K18" s="23">
        <v>23.181280000000001</v>
      </c>
      <c r="L18" s="20">
        <v>22.711827</v>
      </c>
      <c r="M18" s="21">
        <v>27.740846000000001</v>
      </c>
      <c r="N18" s="21">
        <v>19.469556333333337</v>
      </c>
      <c r="O18" s="23">
        <v>16.912828999999999</v>
      </c>
      <c r="P18" s="24">
        <f t="shared" si="3"/>
        <v>76.27240668047483</v>
      </c>
      <c r="Q18" s="25">
        <f t="shared" si="3"/>
        <v>62.225243531783839</v>
      </c>
      <c r="R18" s="25">
        <f t="shared" si="3"/>
        <v>69.622943499716072</v>
      </c>
      <c r="S18" s="20">
        <f t="shared" si="3"/>
        <v>59.708014229396767</v>
      </c>
      <c r="T18" s="23">
        <f t="shared" si="3"/>
        <v>59.198707825941476</v>
      </c>
      <c r="U18" s="23">
        <f t="shared" si="3"/>
        <v>66.602919534296205</v>
      </c>
      <c r="V18" s="23">
        <f t="shared" si="3"/>
        <v>61.408447277902269</v>
      </c>
      <c r="W18" s="48" t="s">
        <v>18</v>
      </c>
      <c r="Y18" s="26"/>
      <c r="Z18" s="9"/>
      <c r="AA18" s="9"/>
      <c r="AB18" s="26"/>
      <c r="AC18" s="26"/>
    </row>
    <row r="19" spans="1:29" ht="19.5" customHeight="1" x14ac:dyDescent="0.25">
      <c r="A19" s="19" t="s">
        <v>1</v>
      </c>
      <c r="B19" s="20">
        <v>20.612411000000002</v>
      </c>
      <c r="C19" s="21">
        <v>27.351718999999999</v>
      </c>
      <c r="D19" s="21">
        <v>25.354697999999999</v>
      </c>
      <c r="E19" s="45">
        <v>29.251445</v>
      </c>
      <c r="F19" s="21">
        <v>36.074925</v>
      </c>
      <c r="G19" s="21">
        <v>25.466583550000003</v>
      </c>
      <c r="H19" s="21">
        <v>22.231031999999999</v>
      </c>
      <c r="I19" s="22">
        <v>15.423232</v>
      </c>
      <c r="J19" s="23">
        <v>18.752078000000001</v>
      </c>
      <c r="K19" s="23">
        <v>17.971557000000001</v>
      </c>
      <c r="L19" s="20">
        <v>18.282449999999997</v>
      </c>
      <c r="M19" s="21">
        <v>22.594581999999999</v>
      </c>
      <c r="N19" s="21">
        <v>15.806495999999997</v>
      </c>
      <c r="O19" s="23">
        <v>14.924029000000001</v>
      </c>
      <c r="P19" s="24">
        <f t="shared" si="3"/>
        <v>74.824978019310791</v>
      </c>
      <c r="Q19" s="25">
        <f t="shared" si="3"/>
        <v>68.559047422211378</v>
      </c>
      <c r="R19" s="25">
        <f t="shared" si="3"/>
        <v>70.880580001386733</v>
      </c>
      <c r="S19" s="20">
        <f t="shared" si="3"/>
        <v>62.501014907126795</v>
      </c>
      <c r="T19" s="23">
        <f t="shared" si="3"/>
        <v>62.632374149080007</v>
      </c>
      <c r="U19" s="23">
        <f t="shared" si="3"/>
        <v>62.067595242864826</v>
      </c>
      <c r="V19" s="23">
        <f t="shared" si="3"/>
        <v>67.131516881447524</v>
      </c>
      <c r="W19" s="48" t="s">
        <v>19</v>
      </c>
      <c r="Y19" s="26"/>
      <c r="Z19" s="9"/>
      <c r="AA19" s="9"/>
      <c r="AB19" s="26"/>
      <c r="AC19" s="26"/>
    </row>
    <row r="20" spans="1:29" ht="19.5" customHeight="1" x14ac:dyDescent="0.25">
      <c r="A20" s="19" t="s">
        <v>34</v>
      </c>
      <c r="B20" s="20">
        <v>26.116046999999998</v>
      </c>
      <c r="C20" s="21">
        <v>38.328339999999997</v>
      </c>
      <c r="D20" s="21">
        <v>31.623099</v>
      </c>
      <c r="E20" s="45">
        <v>34.048212999999997</v>
      </c>
      <c r="F20" s="21">
        <v>41.250642999999997</v>
      </c>
      <c r="G20" s="21">
        <v>28.880034150000007</v>
      </c>
      <c r="H20" s="21">
        <v>27.362083999999999</v>
      </c>
      <c r="I20" s="22">
        <v>20.897197999999999</v>
      </c>
      <c r="J20" s="23">
        <v>26.914738</v>
      </c>
      <c r="K20" s="23">
        <v>25.181070999999999</v>
      </c>
      <c r="L20" s="20">
        <v>24.413026999999996</v>
      </c>
      <c r="M20" s="21">
        <v>29.586442000000002</v>
      </c>
      <c r="N20" s="21">
        <v>19.731925333333333</v>
      </c>
      <c r="O20" s="23">
        <v>18.115220000000001</v>
      </c>
      <c r="P20" s="24">
        <f t="shared" si="3"/>
        <v>80.016696248096054</v>
      </c>
      <c r="Q20" s="25">
        <f t="shared" si="3"/>
        <v>70.221507114578927</v>
      </c>
      <c r="R20" s="25">
        <f t="shared" si="3"/>
        <v>79.628726457201424</v>
      </c>
      <c r="S20" s="20">
        <f t="shared" si="3"/>
        <v>71.701345970785596</v>
      </c>
      <c r="T20" s="23">
        <f t="shared" si="3"/>
        <v>71.723589860162917</v>
      </c>
      <c r="U20" s="23">
        <f t="shared" si="3"/>
        <v>68.323760390474902</v>
      </c>
      <c r="V20" s="23">
        <f t="shared" si="3"/>
        <v>66.205556565062807</v>
      </c>
      <c r="W20" s="48" t="s">
        <v>20</v>
      </c>
      <c r="Y20" s="26"/>
      <c r="Z20" s="9"/>
      <c r="AA20" s="9"/>
      <c r="AB20" s="26"/>
      <c r="AC20" s="26"/>
    </row>
    <row r="21" spans="1:29" ht="18.75" x14ac:dyDescent="0.25">
      <c r="A21" s="19" t="s">
        <v>10</v>
      </c>
      <c r="B21" s="20">
        <v>12.252014000000001</v>
      </c>
      <c r="C21" s="21">
        <v>15.961235</v>
      </c>
      <c r="D21" s="21">
        <v>14.705057999999999</v>
      </c>
      <c r="E21" s="24">
        <v>14.940059</v>
      </c>
      <c r="F21" s="25">
        <v>15.596354</v>
      </c>
      <c r="G21" s="25">
        <v>13.461520399999998</v>
      </c>
      <c r="H21" s="25">
        <v>13.621231999999999</v>
      </c>
      <c r="I21" s="22">
        <v>9.5316729999999996</v>
      </c>
      <c r="J21" s="23">
        <v>11.360829000000001</v>
      </c>
      <c r="K21" s="23">
        <v>11.181990000000001</v>
      </c>
      <c r="L21" s="20">
        <v>10.927686000000001</v>
      </c>
      <c r="M21" s="25">
        <v>11.686133999999999</v>
      </c>
      <c r="N21" s="25">
        <v>9.5962720000000008</v>
      </c>
      <c r="O21" s="23">
        <v>8.962135</v>
      </c>
      <c r="P21" s="24">
        <f t="shared" si="3"/>
        <v>77.796785083660524</v>
      </c>
      <c r="Q21" s="25">
        <f t="shared" si="3"/>
        <v>71.177631304845775</v>
      </c>
      <c r="R21" s="25">
        <f t="shared" si="3"/>
        <v>76.041794598838038</v>
      </c>
      <c r="S21" s="20">
        <f t="shared" si="3"/>
        <v>73.143526407760518</v>
      </c>
      <c r="T21" s="23">
        <f t="shared" si="3"/>
        <v>74.928627549746565</v>
      </c>
      <c r="U21" s="23">
        <f t="shared" si="3"/>
        <v>71.286687646367213</v>
      </c>
      <c r="V21" s="23">
        <f t="shared" si="3"/>
        <v>65.795333344296608</v>
      </c>
      <c r="W21" s="48" t="s">
        <v>21</v>
      </c>
      <c r="Y21" s="26"/>
      <c r="Z21" s="9"/>
      <c r="AA21" s="9"/>
      <c r="AB21" s="26"/>
      <c r="AC21" s="26"/>
    </row>
    <row r="22" spans="1:29" ht="24.75" customHeight="1" x14ac:dyDescent="0.25">
      <c r="A22" s="19" t="s">
        <v>7</v>
      </c>
      <c r="B22" s="20">
        <v>26.333266999999999</v>
      </c>
      <c r="C22" s="21">
        <v>29.217924</v>
      </c>
      <c r="D22" s="21">
        <v>25.306804</v>
      </c>
      <c r="E22" s="45">
        <v>25.754996999999999</v>
      </c>
      <c r="F22" s="21">
        <v>32.032594000000003</v>
      </c>
      <c r="G22" s="21">
        <v>20.673684416666667</v>
      </c>
      <c r="H22" s="21">
        <v>21.806764000000001</v>
      </c>
      <c r="I22" s="22">
        <v>16.919053999999999</v>
      </c>
      <c r="J22" s="23">
        <v>20.211186999999999</v>
      </c>
      <c r="K22" s="23">
        <v>18.904149</v>
      </c>
      <c r="L22" s="20">
        <v>18.950017999999996</v>
      </c>
      <c r="M22" s="21">
        <v>22.765788000000001</v>
      </c>
      <c r="N22" s="21">
        <v>15.150140000000002</v>
      </c>
      <c r="O22" s="23">
        <v>15.04144</v>
      </c>
      <c r="P22" s="24">
        <f t="shared" si="3"/>
        <v>64.249733996165375</v>
      </c>
      <c r="Q22" s="25">
        <f t="shared" si="3"/>
        <v>69.173932412172746</v>
      </c>
      <c r="R22" s="25">
        <f t="shared" si="3"/>
        <v>74.699867276800347</v>
      </c>
      <c r="S22" s="20">
        <f t="shared" si="3"/>
        <v>73.578024489771821</v>
      </c>
      <c r="T22" s="23">
        <f t="shared" si="3"/>
        <v>71.070697552624054</v>
      </c>
      <c r="U22" s="23">
        <f t="shared" si="3"/>
        <v>73.282244686807232</v>
      </c>
      <c r="V22" s="23">
        <f t="shared" si="3"/>
        <v>68.976029639244047</v>
      </c>
      <c r="W22" s="48" t="s">
        <v>22</v>
      </c>
      <c r="Y22" s="26"/>
      <c r="Z22" s="9"/>
      <c r="AA22" s="9"/>
      <c r="AB22" s="26"/>
      <c r="AC22" s="26"/>
    </row>
    <row r="23" spans="1:29" ht="19.5" customHeight="1" x14ac:dyDescent="0.25">
      <c r="A23" s="19" t="s">
        <v>3</v>
      </c>
      <c r="B23" s="20">
        <v>17.607847</v>
      </c>
      <c r="C23" s="21">
        <v>26.192948999999999</v>
      </c>
      <c r="D23" s="21">
        <v>21.824172999999998</v>
      </c>
      <c r="E23" s="45">
        <v>25.233995</v>
      </c>
      <c r="F23" s="21">
        <v>35.821603000000003</v>
      </c>
      <c r="G23" s="21">
        <v>22.473210166666668</v>
      </c>
      <c r="H23" s="21">
        <v>17.4878</v>
      </c>
      <c r="I23" s="22">
        <v>12.888885999999999</v>
      </c>
      <c r="J23" s="23">
        <v>16.597159000000001</v>
      </c>
      <c r="K23" s="23">
        <v>16.125867</v>
      </c>
      <c r="L23" s="20">
        <v>16.259402999999999</v>
      </c>
      <c r="M23" s="21">
        <v>20.812657000000002</v>
      </c>
      <c r="N23" s="21">
        <v>14.425426666666668</v>
      </c>
      <c r="O23" s="23">
        <v>11.725987</v>
      </c>
      <c r="P23" s="24">
        <f t="shared" si="3"/>
        <v>73.199670578691425</v>
      </c>
      <c r="Q23" s="25">
        <f t="shared" si="3"/>
        <v>63.364988035520561</v>
      </c>
      <c r="R23" s="25">
        <f t="shared" si="3"/>
        <v>73.889933882030718</v>
      </c>
      <c r="S23" s="20">
        <f t="shared" si="3"/>
        <v>64.434517800292809</v>
      </c>
      <c r="T23" s="23">
        <f t="shared" si="3"/>
        <v>58.100853275605779</v>
      </c>
      <c r="U23" s="23">
        <f t="shared" si="3"/>
        <v>64.189435152718616</v>
      </c>
      <c r="V23" s="23">
        <f t="shared" si="3"/>
        <v>67.052385091320815</v>
      </c>
      <c r="W23" s="48" t="s">
        <v>23</v>
      </c>
      <c r="Y23" s="26"/>
      <c r="Z23" s="9"/>
      <c r="AA23" s="9"/>
      <c r="AB23" s="26"/>
      <c r="AC23" s="26"/>
    </row>
    <row r="24" spans="1:29" ht="19.5" customHeight="1" x14ac:dyDescent="0.25">
      <c r="A24" s="19" t="s">
        <v>32</v>
      </c>
      <c r="B24" s="20">
        <v>22.704632</v>
      </c>
      <c r="C24" s="21">
        <v>28.529138</v>
      </c>
      <c r="D24" s="21">
        <v>23.869446</v>
      </c>
      <c r="E24" s="45">
        <v>30.764785</v>
      </c>
      <c r="F24" s="21">
        <v>38.954777999999997</v>
      </c>
      <c r="G24" s="21">
        <v>23.787553333333332</v>
      </c>
      <c r="H24" s="21">
        <v>18.658041000000001</v>
      </c>
      <c r="I24" s="22">
        <v>15.778739</v>
      </c>
      <c r="J24" s="23">
        <v>19.847490000000001</v>
      </c>
      <c r="K24" s="23">
        <v>18.079702999999999</v>
      </c>
      <c r="L24" s="20">
        <v>17.058373</v>
      </c>
      <c r="M24" s="21">
        <v>23.110019000000001</v>
      </c>
      <c r="N24" s="21">
        <v>13.301841333333332</v>
      </c>
      <c r="O24" s="23">
        <v>11.126379999999999</v>
      </c>
      <c r="P24" s="24">
        <f t="shared" si="3"/>
        <v>69.495682643083583</v>
      </c>
      <c r="Q24" s="25">
        <f t="shared" si="3"/>
        <v>69.569189226817869</v>
      </c>
      <c r="R24" s="25">
        <f t="shared" si="3"/>
        <v>75.744124936959153</v>
      </c>
      <c r="S24" s="20">
        <f t="shared" si="3"/>
        <v>55.447723752985759</v>
      </c>
      <c r="T24" s="23">
        <f t="shared" si="3"/>
        <v>59.325248882178208</v>
      </c>
      <c r="U24" s="23">
        <f t="shared" si="3"/>
        <v>55.919333724387513</v>
      </c>
      <c r="V24" s="23">
        <f t="shared" si="3"/>
        <v>59.633162988547397</v>
      </c>
      <c r="W24" s="48" t="s">
        <v>24</v>
      </c>
      <c r="Y24" s="26"/>
      <c r="Z24" s="9"/>
      <c r="AA24" s="9"/>
      <c r="AB24" s="26"/>
      <c r="AC24" s="26"/>
    </row>
    <row r="25" spans="1:29" ht="19.5" customHeight="1" x14ac:dyDescent="0.25">
      <c r="A25" s="19" t="s">
        <v>33</v>
      </c>
      <c r="B25" s="20">
        <v>36.466698000000001</v>
      </c>
      <c r="C25" s="21">
        <v>46.752116999999998</v>
      </c>
      <c r="D25" s="21">
        <v>41.290306000000001</v>
      </c>
      <c r="E25" s="45">
        <v>42.602657999999998</v>
      </c>
      <c r="F25" s="21">
        <v>57.786558999999997</v>
      </c>
      <c r="G25" s="21">
        <v>36.335906816666672</v>
      </c>
      <c r="H25" s="21">
        <v>33.207783999999997</v>
      </c>
      <c r="I25" s="22">
        <v>26.073442</v>
      </c>
      <c r="J25" s="23">
        <v>32.264834</v>
      </c>
      <c r="K25" s="23">
        <v>30.670287999999999</v>
      </c>
      <c r="L25" s="20">
        <v>30.996426999999997</v>
      </c>
      <c r="M25" s="21">
        <v>38.572598999999997</v>
      </c>
      <c r="N25" s="21">
        <v>25.310229333333336</v>
      </c>
      <c r="O25" s="23">
        <v>21.999579000000001</v>
      </c>
      <c r="P25" s="24">
        <f t="shared" si="3"/>
        <v>71.499322477730232</v>
      </c>
      <c r="Q25" s="25">
        <f t="shared" si="3"/>
        <v>69.012562575508625</v>
      </c>
      <c r="R25" s="25">
        <f t="shared" si="3"/>
        <v>74.279633577915362</v>
      </c>
      <c r="S25" s="20">
        <f t="shared" si="3"/>
        <v>72.757026099169678</v>
      </c>
      <c r="T25" s="23">
        <f t="shared" si="3"/>
        <v>66.750122636649806</v>
      </c>
      <c r="U25" s="23">
        <f t="shared" si="3"/>
        <v>69.656247912117493</v>
      </c>
      <c r="V25" s="23">
        <f t="shared" si="3"/>
        <v>66.248259745365729</v>
      </c>
      <c r="W25" s="48" t="s">
        <v>25</v>
      </c>
      <c r="Y25" s="26"/>
      <c r="Z25" s="9"/>
      <c r="AA25" s="9"/>
      <c r="AB25" s="26"/>
      <c r="AC25" s="26"/>
    </row>
    <row r="26" spans="1:29" ht="19.5" customHeight="1" x14ac:dyDescent="0.25">
      <c r="A26" s="19" t="s">
        <v>6</v>
      </c>
      <c r="B26" s="20">
        <v>35.553330000000003</v>
      </c>
      <c r="C26" s="21">
        <v>49.389619000000003</v>
      </c>
      <c r="D26" s="21">
        <v>41.174689000000001</v>
      </c>
      <c r="E26" s="45">
        <v>44.071486999999998</v>
      </c>
      <c r="F26" s="21">
        <v>50.481853000000001</v>
      </c>
      <c r="G26" s="21">
        <v>44.214433090000007</v>
      </c>
      <c r="H26" s="21">
        <v>33.899574999999999</v>
      </c>
      <c r="I26" s="22">
        <v>26.346751000000001</v>
      </c>
      <c r="J26" s="23">
        <v>34.536470999999999</v>
      </c>
      <c r="K26" s="23">
        <v>33.067154000000002</v>
      </c>
      <c r="L26" s="20">
        <v>31.360390999999996</v>
      </c>
      <c r="M26" s="21">
        <v>36.633343000000004</v>
      </c>
      <c r="N26" s="21">
        <v>25.937001333333331</v>
      </c>
      <c r="O26" s="23">
        <v>22.515754000000001</v>
      </c>
      <c r="P26" s="24">
        <f t="shared" si="3"/>
        <v>74.104875689562689</v>
      </c>
      <c r="Q26" s="25">
        <f t="shared" si="3"/>
        <v>69.926579105621357</v>
      </c>
      <c r="R26" s="25">
        <f t="shared" si="3"/>
        <v>80.309420187727468</v>
      </c>
      <c r="S26" s="20">
        <f t="shared" si="3"/>
        <v>71.158005174638191</v>
      </c>
      <c r="T26" s="23">
        <f t="shared" si="3"/>
        <v>72.567350093111685</v>
      </c>
      <c r="U26" s="23">
        <f t="shared" si="3"/>
        <v>58.661843024285012</v>
      </c>
      <c r="V26" s="23">
        <f t="shared" si="3"/>
        <v>66.418986078734036</v>
      </c>
      <c r="W26" s="48" t="s">
        <v>26</v>
      </c>
      <c r="Y26" s="26"/>
      <c r="Z26" s="9"/>
      <c r="AA26" s="9"/>
      <c r="AB26" s="26"/>
      <c r="AC26" s="26"/>
    </row>
    <row r="27" spans="1:29" ht="19.5" customHeight="1" x14ac:dyDescent="0.25">
      <c r="A27" s="19" t="s">
        <v>4</v>
      </c>
      <c r="B27" s="20">
        <v>28.20215</v>
      </c>
      <c r="C27" s="21">
        <v>36.009540999999999</v>
      </c>
      <c r="D27" s="21">
        <v>31.218827999999998</v>
      </c>
      <c r="E27" s="45">
        <v>43.548999999999999</v>
      </c>
      <c r="F27" s="21">
        <v>50.395400000000002</v>
      </c>
      <c r="G27" s="21">
        <v>39.373268553333325</v>
      </c>
      <c r="H27" s="21">
        <v>25.991582000000001</v>
      </c>
      <c r="I27" s="22">
        <v>19.840727000000001</v>
      </c>
      <c r="J27" s="23">
        <v>25.027142999999999</v>
      </c>
      <c r="K27" s="23">
        <v>24.753309000000002</v>
      </c>
      <c r="L27" s="20">
        <v>24.314753</v>
      </c>
      <c r="M27" s="21">
        <v>30.053234</v>
      </c>
      <c r="N27" s="21">
        <v>21.871908466666667</v>
      </c>
      <c r="O27" s="23">
        <v>17.602415000000001</v>
      </c>
      <c r="P27" s="24">
        <f t="shared" si="3"/>
        <v>70.351824240350481</v>
      </c>
      <c r="Q27" s="25">
        <f t="shared" si="3"/>
        <v>69.501421859278906</v>
      </c>
      <c r="R27" s="25">
        <f t="shared" si="3"/>
        <v>79.289680573530831</v>
      </c>
      <c r="S27" s="20">
        <f t="shared" si="3"/>
        <v>55.833091460194261</v>
      </c>
      <c r="T27" s="23">
        <f t="shared" si="3"/>
        <v>59.634875405294927</v>
      </c>
      <c r="U27" s="23">
        <f t="shared" si="3"/>
        <v>55.550146762745712</v>
      </c>
      <c r="V27" s="23">
        <f t="shared" si="3"/>
        <v>67.723522946775617</v>
      </c>
      <c r="W27" s="50" t="s">
        <v>27</v>
      </c>
      <c r="Y27" s="26"/>
      <c r="Z27" s="9"/>
      <c r="AA27" s="9"/>
      <c r="AB27" s="26"/>
      <c r="AC27" s="26"/>
    </row>
    <row r="28" spans="1:29" ht="19.5" customHeight="1" x14ac:dyDescent="0.25">
      <c r="A28" s="19" t="s">
        <v>31</v>
      </c>
      <c r="B28" s="20">
        <v>29.237359000000001</v>
      </c>
      <c r="C28" s="21">
        <v>41.731053000000003</v>
      </c>
      <c r="D28" s="21">
        <v>36.326948000000002</v>
      </c>
      <c r="E28" s="45">
        <v>38.125162000000003</v>
      </c>
      <c r="F28" s="21">
        <v>56.951048</v>
      </c>
      <c r="G28" s="21">
        <v>34.288162833333338</v>
      </c>
      <c r="H28" s="21">
        <v>29.753643</v>
      </c>
      <c r="I28" s="22">
        <v>21.271201999999999</v>
      </c>
      <c r="J28" s="23">
        <v>27.704087000000001</v>
      </c>
      <c r="K28" s="23">
        <v>27.277650000000001</v>
      </c>
      <c r="L28" s="20">
        <v>27.408446000000005</v>
      </c>
      <c r="M28" s="21">
        <v>34.681564000000002</v>
      </c>
      <c r="N28" s="21">
        <v>22.057385333333329</v>
      </c>
      <c r="O28" s="23">
        <v>19.031369000000002</v>
      </c>
      <c r="P28" s="24">
        <f t="shared" si="3"/>
        <v>72.753500068183314</v>
      </c>
      <c r="Q28" s="25">
        <f t="shared" si="3"/>
        <v>66.387222483937805</v>
      </c>
      <c r="R28" s="25">
        <f t="shared" si="3"/>
        <v>75.08929734477006</v>
      </c>
      <c r="S28" s="20">
        <f t="shared" si="3"/>
        <v>71.890700425089349</v>
      </c>
      <c r="T28" s="23">
        <f t="shared" si="3"/>
        <v>60.897148020875761</v>
      </c>
      <c r="U28" s="23">
        <f t="shared" si="3"/>
        <v>64.329446405597963</v>
      </c>
      <c r="V28" s="23">
        <f t="shared" si="3"/>
        <v>63.96315570500056</v>
      </c>
      <c r="W28" s="48" t="s">
        <v>28</v>
      </c>
      <c r="Y28" s="26"/>
      <c r="Z28" s="9"/>
      <c r="AA28" s="9"/>
      <c r="AB28" s="26"/>
      <c r="AC28" s="26"/>
    </row>
    <row r="29" spans="1:29" ht="19.5" customHeight="1" x14ac:dyDescent="0.25">
      <c r="A29" s="19" t="s">
        <v>30</v>
      </c>
      <c r="B29" s="20">
        <v>18.340208000000001</v>
      </c>
      <c r="C29" s="21">
        <v>28.811620999999999</v>
      </c>
      <c r="D29" s="21">
        <v>28.107016000000002</v>
      </c>
      <c r="E29" s="45">
        <v>25.784237000000001</v>
      </c>
      <c r="F29" s="21">
        <v>46.070352999999997</v>
      </c>
      <c r="G29" s="21">
        <v>30.48888796666667</v>
      </c>
      <c r="H29" s="21">
        <v>17.2454</v>
      </c>
      <c r="I29" s="22">
        <v>4.6662730000000003</v>
      </c>
      <c r="J29" s="23">
        <v>18.061489999999999</v>
      </c>
      <c r="K29" s="23">
        <v>19.211731</v>
      </c>
      <c r="L29" s="20">
        <v>22.467120000000001</v>
      </c>
      <c r="M29" s="21">
        <v>31.715696999999999</v>
      </c>
      <c r="N29" s="21">
        <v>18.929051333333337</v>
      </c>
      <c r="O29" s="23">
        <v>12.500829</v>
      </c>
      <c r="P29" s="24">
        <f t="shared" si="3"/>
        <v>25.442857572825783</v>
      </c>
      <c r="Q29" s="25">
        <f t="shared" si="3"/>
        <v>62.688211815642028</v>
      </c>
      <c r="R29" s="25">
        <f t="shared" si="3"/>
        <v>68.352083337484132</v>
      </c>
      <c r="S29" s="20">
        <f t="shared" si="3"/>
        <v>87.135097307707809</v>
      </c>
      <c r="T29" s="23">
        <f t="shared" si="3"/>
        <v>68.841879722519167</v>
      </c>
      <c r="U29" s="23">
        <f t="shared" si="3"/>
        <v>62.085082781728097</v>
      </c>
      <c r="V29" s="23">
        <f t="shared" si="3"/>
        <v>72.487904020782352</v>
      </c>
      <c r="W29" s="48" t="s">
        <v>29</v>
      </c>
      <c r="Y29" s="26"/>
      <c r="Z29" s="9"/>
      <c r="AA29" s="9"/>
      <c r="AB29" s="26"/>
      <c r="AC29" s="26"/>
    </row>
    <row r="30" spans="1:29" ht="19.5" customHeight="1" x14ac:dyDescent="0.25">
      <c r="A30" s="27" t="s">
        <v>52</v>
      </c>
      <c r="B30" s="28">
        <v>50.903489</v>
      </c>
      <c r="C30" s="29">
        <v>48.179842999999998</v>
      </c>
      <c r="D30" s="29">
        <v>39.296843000000003</v>
      </c>
      <c r="E30" s="46">
        <v>49.939065999999997</v>
      </c>
      <c r="F30" s="29">
        <v>61.394213999999998</v>
      </c>
      <c r="G30" s="29">
        <v>18.187876896666666</v>
      </c>
      <c r="H30" s="29">
        <v>18.105817999999999</v>
      </c>
      <c r="I30" s="30">
        <v>22.907131</v>
      </c>
      <c r="J30" s="31">
        <v>29.297042999999999</v>
      </c>
      <c r="K30" s="31">
        <v>27.772646000000002</v>
      </c>
      <c r="L30" s="28">
        <v>25.918375999999999</v>
      </c>
      <c r="M30" s="29">
        <v>33.778312999999997</v>
      </c>
      <c r="N30" s="29">
        <v>11.500222429999997</v>
      </c>
      <c r="O30" s="31">
        <v>11.864141999999999</v>
      </c>
      <c r="P30" s="32">
        <f t="shared" si="3"/>
        <v>45.00110198733136</v>
      </c>
      <c r="Q30" s="33">
        <f t="shared" si="3"/>
        <v>60.807676355441842</v>
      </c>
      <c r="R30" s="33">
        <f t="shared" si="3"/>
        <v>70.673987729752227</v>
      </c>
      <c r="S30" s="28">
        <f t="shared" si="3"/>
        <v>51.90000149382049</v>
      </c>
      <c r="T30" s="31">
        <f t="shared" si="3"/>
        <v>55.018723751394546</v>
      </c>
      <c r="U30" s="31">
        <f t="shared" si="3"/>
        <v>63.23015322424834</v>
      </c>
      <c r="V30" s="31">
        <f t="shared" si="3"/>
        <v>65.526683191005233</v>
      </c>
      <c r="W30" s="51" t="s">
        <v>53</v>
      </c>
      <c r="Y30" s="26"/>
      <c r="Z30" s="9"/>
      <c r="AA30" s="9"/>
      <c r="AB30" s="26"/>
      <c r="AC30" s="26"/>
    </row>
    <row r="31" spans="1:29" s="4" customFormat="1" ht="17.25" x14ac:dyDescent="0.2">
      <c r="A31" s="1" t="s">
        <v>40</v>
      </c>
      <c r="D31" s="34"/>
      <c r="E31" s="34"/>
      <c r="F31" s="34"/>
      <c r="G31" s="34"/>
      <c r="H31" s="34"/>
      <c r="W31" s="2" t="s">
        <v>54</v>
      </c>
      <c r="Z31" s="35"/>
      <c r="AA31" s="35"/>
    </row>
    <row r="34" spans="4:8" x14ac:dyDescent="0.25">
      <c r="D34" s="3"/>
      <c r="E34" s="3"/>
      <c r="F34" s="3"/>
      <c r="G34" s="3"/>
      <c r="H34" s="3"/>
    </row>
    <row r="59" spans="4:15" x14ac:dyDescent="0.25">
      <c r="D59" s="3"/>
      <c r="E59" s="3"/>
      <c r="F59" s="3"/>
      <c r="G59" s="3"/>
      <c r="H59" s="3"/>
      <c r="M59" s="9"/>
      <c r="N59" s="9"/>
      <c r="O59" s="9"/>
    </row>
    <row r="60" spans="4:15" x14ac:dyDescent="0.25">
      <c r="D60" s="3"/>
      <c r="E60" s="3"/>
      <c r="F60" s="3"/>
      <c r="G60" s="3"/>
      <c r="H60" s="3"/>
      <c r="M60" s="9"/>
      <c r="N60" s="9"/>
      <c r="O60" s="9"/>
    </row>
    <row r="61" spans="4:15" x14ac:dyDescent="0.25">
      <c r="D61" s="3"/>
      <c r="E61" s="3"/>
      <c r="F61" s="3"/>
      <c r="G61" s="3"/>
      <c r="H61" s="3"/>
      <c r="M61" s="9"/>
      <c r="N61" s="9"/>
      <c r="O61" s="9"/>
    </row>
    <row r="65" spans="1:15" x14ac:dyDescent="0.25">
      <c r="M65" s="9"/>
      <c r="N65" s="9"/>
      <c r="O65" s="9"/>
    </row>
    <row r="66" spans="1:15" x14ac:dyDescent="0.25">
      <c r="M66" s="9"/>
      <c r="N66" s="9"/>
      <c r="O66" s="9"/>
    </row>
    <row r="68" spans="1:15" x14ac:dyDescent="0.25">
      <c r="A68" s="19"/>
      <c r="M68" s="9"/>
      <c r="N68" s="9"/>
      <c r="O68" s="9"/>
    </row>
    <row r="69" spans="1:15" x14ac:dyDescent="0.25">
      <c r="A69" s="19"/>
      <c r="M69" s="9"/>
      <c r="N69" s="9"/>
      <c r="O69" s="9"/>
    </row>
    <row r="70" spans="1:15" x14ac:dyDescent="0.25">
      <c r="A70" s="19"/>
      <c r="M70" s="9"/>
      <c r="N70" s="9"/>
      <c r="O70" s="9"/>
    </row>
    <row r="71" spans="1:15" x14ac:dyDescent="0.25">
      <c r="A71" s="19"/>
      <c r="M71" s="9"/>
      <c r="N71" s="9"/>
      <c r="O71" s="9"/>
    </row>
    <row r="72" spans="1:15" x14ac:dyDescent="0.25">
      <c r="A72" s="19"/>
      <c r="M72" s="9"/>
      <c r="N72" s="9"/>
      <c r="O72" s="9"/>
    </row>
    <row r="73" spans="1:15" x14ac:dyDescent="0.25">
      <c r="A73" s="19"/>
      <c r="M73" s="9"/>
      <c r="N73" s="9"/>
      <c r="O73" s="9"/>
    </row>
    <row r="74" spans="1:15" x14ac:dyDescent="0.25">
      <c r="A74" s="19"/>
      <c r="M74" s="9"/>
      <c r="N74" s="9"/>
      <c r="O74" s="9"/>
    </row>
    <row r="75" spans="1:15" x14ac:dyDescent="0.25">
      <c r="A75" s="19"/>
      <c r="M75" s="9"/>
      <c r="N75" s="9"/>
      <c r="O75" s="9"/>
    </row>
    <row r="76" spans="1:15" x14ac:dyDescent="0.25">
      <c r="A76" s="19"/>
      <c r="M76" s="9"/>
      <c r="N76" s="9"/>
      <c r="O76" s="9"/>
    </row>
    <row r="77" spans="1:15" x14ac:dyDescent="0.25">
      <c r="A77" s="19"/>
      <c r="M77" s="9"/>
      <c r="N77" s="9"/>
      <c r="O77" s="9"/>
    </row>
    <row r="78" spans="1:15" x14ac:dyDescent="0.25">
      <c r="A78" s="19"/>
      <c r="M78" s="9"/>
      <c r="N78" s="9"/>
      <c r="O78" s="9"/>
    </row>
    <row r="79" spans="1:15" x14ac:dyDescent="0.25">
      <c r="A79" s="19"/>
      <c r="M79" s="9"/>
      <c r="N79" s="9"/>
      <c r="O79" s="9"/>
    </row>
    <row r="80" spans="1:15" x14ac:dyDescent="0.25">
      <c r="A80" s="19"/>
      <c r="M80" s="9"/>
      <c r="N80" s="9"/>
      <c r="O80" s="9"/>
    </row>
    <row r="81" spans="1:15" x14ac:dyDescent="0.25">
      <c r="A81" s="19"/>
      <c r="M81" s="9"/>
      <c r="N81" s="9"/>
      <c r="O81" s="9"/>
    </row>
    <row r="82" spans="1:15" x14ac:dyDescent="0.25">
      <c r="A82" s="19"/>
      <c r="M82" s="9"/>
      <c r="N82" s="9"/>
      <c r="O82" s="9"/>
    </row>
    <row r="83" spans="1:15" x14ac:dyDescent="0.25">
      <c r="A83" s="19"/>
      <c r="M83" s="9"/>
      <c r="N83" s="9"/>
      <c r="O83" s="9"/>
    </row>
    <row r="84" spans="1:15" x14ac:dyDescent="0.25">
      <c r="A84" s="19"/>
      <c r="M84" s="9"/>
      <c r="N84" s="9"/>
      <c r="O84" s="9"/>
    </row>
    <row r="85" spans="1:15" x14ac:dyDescent="0.25">
      <c r="A85" s="19"/>
      <c r="M85" s="9"/>
      <c r="N85" s="9"/>
      <c r="O85" s="9"/>
    </row>
    <row r="86" spans="1:15" x14ac:dyDescent="0.25">
      <c r="A86" s="19"/>
      <c r="M86" s="9"/>
      <c r="N86" s="9"/>
      <c r="O86" s="9"/>
    </row>
    <row r="87" spans="1:15" x14ac:dyDescent="0.25">
      <c r="A87" s="19"/>
      <c r="M87" s="9"/>
      <c r="N87" s="9"/>
      <c r="O87" s="9"/>
    </row>
    <row r="88" spans="1:15" x14ac:dyDescent="0.25">
      <c r="A88" s="19"/>
      <c r="M88" s="9"/>
      <c r="N88" s="9"/>
      <c r="O88" s="9"/>
    </row>
    <row r="89" spans="1:15" x14ac:dyDescent="0.25">
      <c r="A89" s="6"/>
      <c r="M89" s="9"/>
      <c r="N89" s="9"/>
      <c r="O89" s="9"/>
    </row>
    <row r="90" spans="1:15" x14ac:dyDescent="0.25">
      <c r="M90" s="9"/>
      <c r="N90" s="9"/>
      <c r="O90" s="9"/>
    </row>
    <row r="91" spans="1:15" x14ac:dyDescent="0.25">
      <c r="M91" s="9"/>
      <c r="N91" s="9"/>
      <c r="O91" s="9"/>
    </row>
    <row r="92" spans="1:15" x14ac:dyDescent="0.25">
      <c r="M92" s="9"/>
      <c r="N92" s="9"/>
      <c r="O92" s="9"/>
    </row>
    <row r="93" spans="1:15" x14ac:dyDescent="0.25">
      <c r="M93" s="9"/>
      <c r="N93" s="9"/>
      <c r="O93" s="9"/>
    </row>
    <row r="94" spans="1:15" x14ac:dyDescent="0.25">
      <c r="M94" s="9"/>
      <c r="N94" s="9"/>
      <c r="O94" s="9"/>
    </row>
    <row r="95" spans="1:15" x14ac:dyDescent="0.25">
      <c r="M95" s="9"/>
      <c r="N95" s="9"/>
      <c r="O95" s="9"/>
    </row>
    <row r="96" spans="1:15" x14ac:dyDescent="0.25">
      <c r="M96" s="9"/>
      <c r="N96" s="9"/>
      <c r="O96" s="9"/>
    </row>
    <row r="97" spans="4:15" x14ac:dyDescent="0.25">
      <c r="D97" s="3"/>
      <c r="E97" s="3"/>
      <c r="F97" s="3"/>
      <c r="G97" s="3"/>
      <c r="H97" s="3"/>
      <c r="M97" s="9"/>
      <c r="N97" s="9"/>
      <c r="O97" s="9"/>
    </row>
    <row r="98" spans="4:15" x14ac:dyDescent="0.25">
      <c r="D98" s="3"/>
      <c r="E98" s="3"/>
      <c r="F98" s="3"/>
      <c r="G98" s="3"/>
      <c r="H98" s="3"/>
      <c r="M98" s="9"/>
      <c r="N98" s="9"/>
      <c r="O98" s="9"/>
    </row>
    <row r="99" spans="4:15" x14ac:dyDescent="0.25">
      <c r="D99" s="3"/>
      <c r="E99" s="3"/>
      <c r="F99" s="3"/>
      <c r="G99" s="3"/>
      <c r="H99" s="3"/>
      <c r="M99" s="9"/>
      <c r="N99" s="9"/>
      <c r="O99" s="9"/>
    </row>
    <row r="100" spans="4:15" x14ac:dyDescent="0.25">
      <c r="D100" s="3"/>
      <c r="E100" s="3"/>
      <c r="F100" s="3"/>
      <c r="G100" s="3"/>
      <c r="H100" s="3"/>
      <c r="M100" s="9"/>
      <c r="N100" s="9"/>
      <c r="O100" s="9"/>
    </row>
    <row r="101" spans="4:15" x14ac:dyDescent="0.25">
      <c r="D101" s="3"/>
      <c r="E101" s="3"/>
      <c r="F101" s="3"/>
      <c r="G101" s="3"/>
      <c r="H101" s="3"/>
      <c r="M101" s="9"/>
      <c r="N101" s="9"/>
      <c r="O101" s="9"/>
    </row>
    <row r="102" spans="4:15" x14ac:dyDescent="0.25">
      <c r="D102" s="3"/>
      <c r="E102" s="3"/>
      <c r="F102" s="3"/>
      <c r="G102" s="3"/>
      <c r="H102" s="3"/>
      <c r="M102" s="9"/>
      <c r="N102" s="9"/>
      <c r="O102" s="9"/>
    </row>
    <row r="103" spans="4:15" x14ac:dyDescent="0.25">
      <c r="D103" s="3"/>
      <c r="E103" s="3"/>
      <c r="F103" s="3"/>
      <c r="G103" s="3"/>
      <c r="H103" s="3"/>
      <c r="M103" s="9"/>
      <c r="N103" s="9"/>
      <c r="O103" s="9"/>
    </row>
    <row r="104" spans="4:15" x14ac:dyDescent="0.25">
      <c r="D104" s="3"/>
      <c r="E104" s="3"/>
      <c r="F104" s="3"/>
      <c r="G104" s="3"/>
      <c r="H104" s="3"/>
      <c r="M104" s="9"/>
      <c r="N104" s="9"/>
      <c r="O104" s="9"/>
    </row>
    <row r="105" spans="4:15" x14ac:dyDescent="0.25">
      <c r="D105" s="3"/>
      <c r="E105" s="3"/>
      <c r="F105" s="3"/>
      <c r="G105" s="3"/>
      <c r="H105" s="3"/>
      <c r="M105" s="9"/>
      <c r="N105" s="9"/>
      <c r="O105" s="9"/>
    </row>
    <row r="106" spans="4:15" x14ac:dyDescent="0.25">
      <c r="D106" s="3"/>
      <c r="E106" s="3"/>
      <c r="F106" s="3"/>
      <c r="G106" s="3"/>
      <c r="H106" s="3"/>
      <c r="M106" s="9"/>
      <c r="N106" s="9"/>
      <c r="O106" s="9"/>
    </row>
    <row r="107" spans="4:15" x14ac:dyDescent="0.25">
      <c r="D107" s="3"/>
      <c r="E107" s="3"/>
      <c r="F107" s="3"/>
      <c r="G107" s="3"/>
      <c r="H107" s="3"/>
      <c r="M107" s="9"/>
      <c r="N107" s="9"/>
      <c r="O107" s="9"/>
    </row>
    <row r="108" spans="4:15" x14ac:dyDescent="0.25">
      <c r="D108" s="3"/>
      <c r="E108" s="3"/>
      <c r="F108" s="3"/>
      <c r="G108" s="3"/>
      <c r="H108" s="3"/>
      <c r="M108" s="9"/>
      <c r="N108" s="9"/>
      <c r="O108" s="9"/>
    </row>
    <row r="109" spans="4:15" x14ac:dyDescent="0.25">
      <c r="D109" s="3"/>
      <c r="E109" s="3"/>
      <c r="F109" s="3"/>
      <c r="G109" s="3"/>
      <c r="H109" s="3"/>
      <c r="M109" s="9"/>
      <c r="N109" s="9"/>
      <c r="O109" s="9"/>
    </row>
    <row r="110" spans="4:15" x14ac:dyDescent="0.25">
      <c r="D110" s="3"/>
      <c r="E110" s="3"/>
      <c r="F110" s="3"/>
      <c r="G110" s="3"/>
      <c r="H110" s="3"/>
      <c r="M110" s="9"/>
      <c r="N110" s="9"/>
      <c r="O110" s="9"/>
    </row>
    <row r="111" spans="4:15" x14ac:dyDescent="0.25">
      <c r="D111" s="3"/>
      <c r="E111" s="3"/>
      <c r="F111" s="3"/>
      <c r="G111" s="3"/>
      <c r="H111" s="3"/>
      <c r="M111" s="9"/>
      <c r="N111" s="9"/>
      <c r="O111" s="9"/>
    </row>
    <row r="112" spans="4:15" x14ac:dyDescent="0.25">
      <c r="D112" s="3"/>
      <c r="E112" s="3"/>
      <c r="F112" s="3"/>
      <c r="G112" s="3"/>
      <c r="H112" s="3"/>
      <c r="M112" s="9"/>
      <c r="N112" s="9"/>
      <c r="O112" s="9"/>
    </row>
    <row r="113" spans="4:15" x14ac:dyDescent="0.25">
      <c r="D113" s="3"/>
      <c r="E113" s="3"/>
      <c r="F113" s="3"/>
      <c r="G113" s="3"/>
      <c r="H113" s="3"/>
      <c r="M113" s="9"/>
      <c r="N113" s="9"/>
      <c r="O113" s="9"/>
    </row>
    <row r="114" spans="4:15" x14ac:dyDescent="0.25">
      <c r="D114" s="3"/>
      <c r="E114" s="3"/>
      <c r="F114" s="3"/>
      <c r="G114" s="3"/>
      <c r="H114" s="3"/>
      <c r="M114" s="9"/>
      <c r="N114" s="9"/>
      <c r="O114" s="9"/>
    </row>
    <row r="115" spans="4:15" x14ac:dyDescent="0.25">
      <c r="D115" s="3"/>
      <c r="E115" s="3"/>
      <c r="F115" s="3"/>
      <c r="G115" s="3"/>
      <c r="H115" s="3"/>
      <c r="M115" s="9"/>
      <c r="N115" s="9"/>
      <c r="O115" s="9"/>
    </row>
    <row r="116" spans="4:15" x14ac:dyDescent="0.25">
      <c r="D116" s="3"/>
      <c r="E116" s="3"/>
      <c r="F116" s="3"/>
      <c r="G116" s="3"/>
      <c r="H116" s="3"/>
      <c r="M116" s="9"/>
      <c r="N116" s="9"/>
      <c r="O116" s="9"/>
    </row>
    <row r="117" spans="4:15" x14ac:dyDescent="0.25">
      <c r="D117" s="3"/>
      <c r="E117" s="3"/>
      <c r="F117" s="3"/>
      <c r="G117" s="3"/>
      <c r="H117" s="3"/>
      <c r="M117" s="9"/>
      <c r="N117" s="9"/>
      <c r="O117" s="9"/>
    </row>
    <row r="118" spans="4:15" x14ac:dyDescent="0.25">
      <c r="D118" s="3"/>
      <c r="E118" s="3"/>
      <c r="F118" s="3"/>
      <c r="G118" s="3"/>
      <c r="H118" s="3"/>
      <c r="M118" s="9"/>
      <c r="N118" s="9"/>
      <c r="O118" s="9"/>
    </row>
    <row r="119" spans="4:15" x14ac:dyDescent="0.25">
      <c r="D119" s="3"/>
      <c r="E119" s="3"/>
      <c r="F119" s="3"/>
      <c r="G119" s="3"/>
      <c r="H119" s="3"/>
      <c r="M119" s="9"/>
      <c r="N119" s="9"/>
      <c r="O119" s="9"/>
    </row>
    <row r="120" spans="4:15" x14ac:dyDescent="0.25">
      <c r="D120" s="3"/>
      <c r="E120" s="3"/>
      <c r="F120" s="3"/>
      <c r="G120" s="3"/>
      <c r="H120" s="3"/>
      <c r="M120" s="9"/>
      <c r="N120" s="9"/>
      <c r="O120" s="9"/>
    </row>
    <row r="121" spans="4:15" x14ac:dyDescent="0.25">
      <c r="D121" s="3"/>
      <c r="E121" s="3"/>
      <c r="F121" s="3"/>
      <c r="G121" s="3"/>
      <c r="H121" s="3"/>
      <c r="M121" s="9"/>
      <c r="N121" s="9"/>
      <c r="O121" s="9"/>
    </row>
    <row r="122" spans="4:15" x14ac:dyDescent="0.25">
      <c r="D122" s="3"/>
      <c r="E122" s="3"/>
      <c r="F122" s="3"/>
      <c r="G122" s="3"/>
      <c r="H122" s="3"/>
      <c r="M122" s="9"/>
      <c r="N122" s="9"/>
      <c r="O122" s="9"/>
    </row>
    <row r="123" spans="4:15" x14ac:dyDescent="0.25">
      <c r="D123" s="3"/>
      <c r="E123" s="3"/>
      <c r="F123" s="3"/>
      <c r="G123" s="3"/>
      <c r="H123" s="3"/>
      <c r="M123" s="9"/>
      <c r="N123" s="9"/>
      <c r="O123" s="9"/>
    </row>
  </sheetData>
  <mergeCells count="12">
    <mergeCell ref="A1:W1"/>
    <mergeCell ref="A2:W2"/>
    <mergeCell ref="I3:J3"/>
    <mergeCell ref="A4:A8"/>
    <mergeCell ref="W4:W8"/>
    <mergeCell ref="S7:V7"/>
    <mergeCell ref="E5:H5"/>
    <mergeCell ref="E7:H7"/>
    <mergeCell ref="E4:V4"/>
    <mergeCell ref="L7:O7"/>
    <mergeCell ref="L5:V5"/>
    <mergeCell ref="L6:V6"/>
  </mergeCells>
  <pageMargins left="0.7" right="0.7" top="0.75" bottom="0.75" header="0.3" footer="0.3"/>
  <pageSetup paperSize="9" scale="6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20.9</vt:lpstr>
      <vt:lpstr>'20.9'!Print_Area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2017-10-22T08:33:10Z</cp:lastPrinted>
  <dcterms:created xsi:type="dcterms:W3CDTF">2013-02-14T16:19:10Z</dcterms:created>
  <dcterms:modified xsi:type="dcterms:W3CDTF">2017-10-22T08:33:26Z</dcterms:modified>
</cp:coreProperties>
</file>