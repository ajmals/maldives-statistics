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2" sheetId="2" r:id="rId1"/>
  </sheets>
  <externalReferences>
    <externalReference r:id="rId2"/>
    <externalReference r:id="rId3"/>
  </externalReferences>
  <definedNames>
    <definedName name="_xlnm.Print_Area" localSheetId="0">'18.2'!$A$1:$T$40</definedName>
  </definedNames>
  <calcPr calcId="144525"/>
</workbook>
</file>

<file path=xl/calcChain.xml><?xml version="1.0" encoding="utf-8"?>
<calcChain xmlns="http://schemas.openxmlformats.org/spreadsheetml/2006/main">
  <c r="S8" i="2" l="1"/>
  <c r="P8" i="2"/>
  <c r="K8" i="2"/>
  <c r="AM26" i="2" s="1"/>
  <c r="F8" i="2"/>
  <c r="AM24" i="2"/>
  <c r="AD27" i="2" l="1"/>
  <c r="AC27" i="2"/>
  <c r="AB27" i="2"/>
  <c r="AB26" i="2"/>
  <c r="AB25" i="2"/>
  <c r="AB24" i="2"/>
  <c r="AM27" i="2"/>
  <c r="AG27" i="2" s="1"/>
  <c r="R8" i="2"/>
  <c r="AL27" i="2" s="1"/>
  <c r="AF27" i="2" s="1"/>
  <c r="Q8" i="2"/>
  <c r="AK27" i="2" s="1"/>
  <c r="AE27" i="2" s="1"/>
  <c r="AM25" i="2"/>
  <c r="AG25" i="2" s="1"/>
  <c r="O8" i="2"/>
  <c r="AL25" i="2" s="1"/>
  <c r="AF25" i="2" s="1"/>
  <c r="N8" i="2"/>
  <c r="AK25" i="2" s="1"/>
  <c r="AE25" i="2" s="1"/>
  <c r="M8" i="2"/>
  <c r="AJ25" i="2" s="1"/>
  <c r="AD25" i="2" s="1"/>
  <c r="L8" i="2"/>
  <c r="AI25" i="2" s="1"/>
  <c r="AC25" i="2" s="1"/>
  <c r="AG26" i="2"/>
  <c r="J8" i="2"/>
  <c r="AL26" i="2" s="1"/>
  <c r="AF26" i="2" s="1"/>
  <c r="I8" i="2"/>
  <c r="AK26" i="2" s="1"/>
  <c r="AE26" i="2" s="1"/>
  <c r="H8" i="2"/>
  <c r="AJ26" i="2" s="1"/>
  <c r="AD26" i="2" s="1"/>
  <c r="G8" i="2"/>
  <c r="AI26" i="2" s="1"/>
  <c r="AC26" i="2" s="1"/>
  <c r="AG24" i="2"/>
  <c r="E8" i="2"/>
  <c r="D8" i="2"/>
  <c r="AK24" i="2" s="1"/>
  <c r="AE24" i="2" s="1"/>
  <c r="C8" i="2"/>
  <c r="AJ24" i="2" s="1"/>
  <c r="AD24" i="2" s="1"/>
  <c r="B8" i="2"/>
  <c r="AI24" i="2" s="1"/>
  <c r="AC24" i="2" s="1"/>
  <c r="AL24" i="2" l="1"/>
  <c r="AF24" i="2" s="1"/>
</calcChain>
</file>

<file path=xl/sharedStrings.xml><?xml version="1.0" encoding="utf-8"?>
<sst xmlns="http://schemas.openxmlformats.org/spreadsheetml/2006/main" count="45" uniqueCount="45">
  <si>
    <t>ޖުމްލަ</t>
  </si>
  <si>
    <t>Total</t>
  </si>
  <si>
    <t>އަސާސީ ޕެންޝަން</t>
  </si>
  <si>
    <t>ރިޓަޔަރމަންޓް ޕެންޝަން</t>
  </si>
  <si>
    <t>އެހެނިހެން ޕެންޝަން</t>
  </si>
  <si>
    <t>Source: Maldives Pension Administration</t>
  </si>
  <si>
    <t>މަޢުލޫމާތު ދެއްވި ފަރާތް: މޯލްޑިވްސް ޕެންޝަން އެޑްމިނިސްޓްރޭޝަން</t>
  </si>
  <si>
    <t>(ރުފިޔާއިން)</t>
  </si>
  <si>
    <t>Month</t>
  </si>
  <si>
    <t>ސީނިއަ ސިޓިޒަން އެލަވަންސް</t>
  </si>
  <si>
    <t>މަސް</t>
  </si>
  <si>
    <t>Basic pension</t>
  </si>
  <si>
    <t>Retirement  pension</t>
  </si>
  <si>
    <t>Other  pension</t>
  </si>
  <si>
    <t xml:space="preserve"> Senior Citizen Allowance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</si>
  <si>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</si>
  <si>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</si>
  <si>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</si>
  <si>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</si>
  <si>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</si>
  <si>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</si>
  <si>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</si>
  <si>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</si>
  <si>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</si>
  <si>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</si>
  <si>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</si>
  <si>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</si>
  <si>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</si>
  <si>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</si>
  <si>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</si>
  <si>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</si>
  <si>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</si>
  <si>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</si>
  <si>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</si>
  <si>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</si>
  <si>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</si>
  <si>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</si>
  <si>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</si>
  <si>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</si>
  <si>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</si>
  <si>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</si>
  <si>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In million Rf</t>
  </si>
  <si>
    <t>In Rf</t>
  </si>
  <si>
    <t>ތާވަލު 18.2: އެކި މަސްމަހު ޕެންޝަންގެ ގޮތުގައި ސްކީމްތަކުން ދެވުނު މިންވަރު، 2014 - 2016</t>
  </si>
  <si>
    <t>TABLE   18.2: MONTHLY PENSION PAYOUTS BY SCHEME, 2014 - 2016, (In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</si>
</sst>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4" fillId="0" borderId="0"/>
    <xf numFmtId="0" fontId="13" fillId="0" borderId="0"/>
  </cellStyleXfs>
  <cellXfs count="83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2" fillId="3" borderId="1" xfId="0" applyFont="1" applyFill="1" applyBorder="1" applyAlignment="1"/>
    <xf numFmtId="0" fontId="3" fillId="2" borderId="14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3" fontId="7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3" borderId="4" xfId="0" applyFont="1" applyFill="1" applyBorder="1" applyAlignment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11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2" borderId="3" xfId="0" applyNumberFormat="1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vertical="center"/>
    </xf>
    <xf numFmtId="43" fontId="0" fillId="2" borderId="3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center"/>
    </xf>
    <xf numFmtId="3" fontId="0" fillId="2" borderId="3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/>
    </xf>
    <xf numFmtId="3" fontId="0" fillId="2" borderId="6" xfId="0" applyNumberFormat="1" applyFont="1" applyFill="1" applyBorder="1" applyAlignment="1">
      <alignment vertical="center"/>
    </xf>
    <xf numFmtId="3" fontId="0" fillId="4" borderId="6" xfId="0" applyNumberFormat="1" applyFont="1" applyFill="1" applyBorder="1" applyAlignment="1">
      <alignment vertical="center"/>
    </xf>
    <xf numFmtId="3" fontId="0" fillId="2" borderId="8" xfId="0" applyNumberFormat="1" applyFont="1" applyFill="1" applyBorder="1" applyAlignment="1">
      <alignment vertical="center"/>
    </xf>
    <xf numFmtId="3" fontId="0" fillId="4" borderId="7" xfId="0" applyNumberFormat="1" applyFont="1" applyFill="1" applyBorder="1" applyAlignment="1">
      <alignment vertical="center"/>
    </xf>
    <xf numFmtId="3" fontId="0" fillId="2" borderId="8" xfId="0" applyNumberFormat="1" applyFont="1" applyFill="1" applyBorder="1" applyAlignment="1">
      <alignment horizontal="right" vertical="center"/>
    </xf>
    <xf numFmtId="3" fontId="0" fillId="2" borderId="6" xfId="0" applyNumberFormat="1" applyFont="1" applyFill="1" applyBorder="1" applyAlignment="1">
      <alignment horizontal="right" vertical="center"/>
    </xf>
    <xf numFmtId="3" fontId="0" fillId="4" borderId="6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/>
    </xf>
    <xf numFmtId="0" fontId="5" fillId="2" borderId="0" xfId="0" applyFont="1" applyFill="1" applyBorder="1"/>
    <xf numFmtId="0" fontId="10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10" fillId="2" borderId="0" xfId="0" applyFont="1" applyFill="1" applyBorder="1" applyAlignment="1"/>
    <xf numFmtId="0" fontId="10" fillId="2" borderId="0" xfId="0" applyFont="1" applyFill="1" applyBorder="1"/>
    <xf numFmtId="3" fontId="3" fillId="2" borderId="3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 indent="1"/>
    </xf>
    <xf numFmtId="0" fontId="0" fillId="2" borderId="6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right" vertical="center" indent="1"/>
    </xf>
    <xf numFmtId="0" fontId="4" fillId="2" borderId="0" xfId="0" applyFont="1" applyFill="1" applyBorder="1" applyAlignment="1">
      <alignment horizontal="right" indent="1"/>
    </xf>
    <xf numFmtId="0" fontId="4" fillId="2" borderId="6" xfId="0" applyFont="1" applyFill="1" applyBorder="1" applyAlignment="1">
      <alignment horizontal="right" vertical="center" indent="1"/>
    </xf>
    <xf numFmtId="0" fontId="12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0" fillId="3" borderId="0" xfId="0" applyFont="1" applyFill="1" applyAlignment="1">
      <alignment horizontal="right" vertical="center"/>
    </xf>
    <xf numFmtId="1" fontId="4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6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9582735491396911E-2"/>
          <c:y val="0.12727898341975546"/>
          <c:w val="0.9019049285505979"/>
          <c:h val="0.763531784136739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'18.2'!$AE$23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F8A45E"/>
            </a:solidFill>
          </c:spPr>
          <c:invertIfNegative val="1"/>
          <c:dLbls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'18.2'!$AB$24:$AB$27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'18.2'!$AE$24:$AE$27</c:f>
              <c:numCache>
                <c:formatCode>_(* #,##0_);_(* \(#,##0\);_(* "-"??_);_(@_)</c:formatCode>
                <c:ptCount val="4"/>
                <c:pt idx="0">
                  <c:v>431.70710244000009</c:v>
                </c:pt>
                <c:pt idx="1">
                  <c:v>259.55405459000002</c:v>
                </c:pt>
                <c:pt idx="2">
                  <c:v>35.973669200000003</c:v>
                </c:pt>
                <c:pt idx="3">
                  <c:v>471.31171134999994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'18.2'!$AF$23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953735"/>
            </a:solidFill>
          </c:spPr>
          <c:invertIfNegative val="1"/>
          <c:dLbls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'18.2'!$AB$24:$AB$27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'18.2'!$AF$24:$AF$27</c:f>
              <c:numCache>
                <c:formatCode>_(* #,##0_);_(* \(#,##0\);_(* "-"??_);_(@_)</c:formatCode>
                <c:ptCount val="4"/>
                <c:pt idx="0">
                  <c:v>426.99923999999999</c:v>
                </c:pt>
                <c:pt idx="1">
                  <c:v>260.11826270999995</c:v>
                </c:pt>
                <c:pt idx="2">
                  <c:v>48.839669629999996</c:v>
                </c:pt>
                <c:pt idx="3">
                  <c:v>524.5473284599999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'18.2'!$AG$23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AC090"/>
            </a:solidFill>
          </c:spPr>
          <c:invertIfNegative val="1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'18.2'!$AB$24:$AB$27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'18.2'!$AG$24:$AG$27</c:f>
              <c:numCache>
                <c:formatCode>_(* #,##0_);_(* \(#,##0\);_(* "-"??_);_(@_)</c:formatCode>
                <c:ptCount val="4"/>
                <c:pt idx="0">
                  <c:v>432.11594074999999</c:v>
                </c:pt>
                <c:pt idx="1">
                  <c:v>264.84195393999994</c:v>
                </c:pt>
                <c:pt idx="2">
                  <c:v>49.178627069999997</c:v>
                </c:pt>
                <c:pt idx="3">
                  <c:v>533.48253769000007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29152"/>
        <c:axId val="42530688"/>
      </c:barChart>
      <c:catAx>
        <c:axId val="42529152"/>
        <c:scaling>
          <c:orientation val="minMax"/>
        </c:scaling>
        <c:delete val="0"/>
        <c:axPos val="b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42530688"/>
        <c:crosses val="autoZero"/>
        <c:auto val="1"/>
        <c:lblAlgn val="ctr"/>
        <c:lblOffset val="100"/>
        <c:noMultiLvlLbl val="1"/>
      </c:catAx>
      <c:valAx>
        <c:axId val="42530688"/>
        <c:scaling>
          <c:orientation val="minMax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 b="1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1033304170312046E-2"/>
              <c:y val="0.32156520069137701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252915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960816564596091"/>
          <c:y val="0.1702259778503297"/>
          <c:w val="0.21076220472440946"/>
          <c:h val="6.6051789258050053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23</xdr:row>
      <xdr:rowOff>9525</xdr:rowOff>
    </xdr:from>
    <xdr:to>
      <xdr:col>18</xdr:col>
      <xdr:colOff>123825</xdr:colOff>
      <xdr:row>39</xdr:row>
      <xdr:rowOff>85725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5</xdr:col>
      <xdr:colOff>666750</xdr:colOff>
      <xdr:row>23</xdr:row>
      <xdr:rowOff>104775</xdr:rowOff>
    </xdr:from>
    <xdr:to>
      <xdr:col>16</xdr:col>
      <xdr:colOff>542925</xdr:colOff>
      <xdr:row>24</xdr:row>
      <xdr:rowOff>171450</xdr:rowOff>
    </xdr:to>
    <xdr:sp macro="" textlink="">
      <xdr:nvSpPr>
        <xdr:cNvPr id="7" name="Shape 7"/>
        <xdr:cNvSpPr txBox="1"/>
      </xdr:nvSpPr>
      <xdr:spPr>
        <a:xfrm>
          <a:off x="2867025" y="5648325"/>
          <a:ext cx="5686425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18.4: Pension payments made under different schemes, 2014 - 2016</a:t>
          </a:r>
        </a:p>
        <a:p>
          <a:pPr lvl="0">
            <a:spcBef>
              <a:spcPts val="0"/>
            </a:spcBef>
            <a:buNone/>
          </a:pPr>
          <a:endParaRPr sz="1200"/>
        </a:p>
      </xdr:txBody>
    </xdr:sp>
    <xdr:clientData fLocksWithSheet="0"/>
  </xdr:twoCellAnchor>
  <xdr:twoCellAnchor>
    <xdr:from>
      <xdr:col>5</xdr:col>
      <xdr:colOff>723900</xdr:colOff>
      <xdr:row>24</xdr:row>
      <xdr:rowOff>95250</xdr:rowOff>
    </xdr:from>
    <xdr:to>
      <xdr:col>16</xdr:col>
      <xdr:colOff>247650</xdr:colOff>
      <xdr:row>24</xdr:row>
      <xdr:rowOff>95250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924175" y="5829300"/>
          <a:ext cx="53340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153"/>
  <sheetViews>
    <sheetView tabSelected="1" zoomScaleNormal="100" workbookViewId="0">
      <selection activeCell="Y19" sqref="Y19"/>
    </sheetView>
  </sheetViews>
  <sheetFormatPr defaultColWidth="15.140625" defaultRowHeight="15" customHeight="1" x14ac:dyDescent="0.25"/>
  <cols>
    <col min="1" max="1" width="8.7109375" style="2" customWidth="1"/>
    <col min="2" max="2" width="11.5703125" style="2" hidden="1" customWidth="1"/>
    <col min="3" max="3" width="11.42578125" style="2" hidden="1" customWidth="1"/>
    <col min="4" max="6" width="12.140625" style="2" customWidth="1"/>
    <col min="7" max="7" width="12.5703125" style="2" hidden="1" customWidth="1"/>
    <col min="8" max="8" width="11.42578125" style="2" hidden="1" customWidth="1"/>
    <col min="9" max="11" width="12.140625" style="2" customWidth="1"/>
    <col min="12" max="13" width="12.85546875" style="2" hidden="1" customWidth="1"/>
    <col min="14" max="19" width="12.85546875" style="2" customWidth="1"/>
    <col min="20" max="26" width="15.140625" style="2" customWidth="1"/>
    <col min="27" max="27" width="24.7109375" style="2" customWidth="1"/>
    <col min="28" max="28" width="17" style="2" customWidth="1"/>
    <col min="29" max="29" width="9.7109375" style="2" customWidth="1"/>
    <col min="30" max="31" width="9.85546875" style="2" customWidth="1"/>
    <col min="32" max="32" width="10.140625" style="2" customWidth="1"/>
    <col min="33" max="34" width="10" style="2" customWidth="1"/>
    <col min="35" max="39" width="11" style="2" customWidth="1"/>
    <col min="40" max="16384" width="15.140625" style="2"/>
  </cols>
  <sheetData>
    <row r="1" spans="1:38" ht="20.25" customHeight="1" x14ac:dyDescent="0.25">
      <c r="A1" s="73" t="s">
        <v>43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13"/>
      <c r="V1" s="13"/>
      <c r="W1" s="13"/>
      <c r="X1" s="13"/>
      <c r="Y1" s="13"/>
      <c r="Z1" s="13"/>
      <c r="AA1" s="66"/>
      <c r="AB1" s="67"/>
      <c r="AC1" s="67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66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3"/>
      <c r="V2" s="3"/>
      <c r="W2" s="3"/>
      <c r="X2" s="3"/>
      <c r="Y2" s="3"/>
      <c r="Z2" s="3"/>
      <c r="AA2" s="1"/>
      <c r="AB2" s="14"/>
      <c r="AC2" s="14"/>
      <c r="AD2" s="14"/>
      <c r="AE2" s="14"/>
      <c r="AF2" s="14"/>
      <c r="AG2" s="15"/>
      <c r="AH2" s="15"/>
      <c r="AI2" s="15"/>
      <c r="AJ2" s="16"/>
      <c r="AK2" s="1"/>
      <c r="AL2" s="1"/>
    </row>
    <row r="3" spans="1:38" ht="6.75" customHeight="1" x14ac:dyDescent="0.25">
      <c r="A3" s="3"/>
      <c r="B3" s="5"/>
      <c r="C3" s="5"/>
      <c r="D3" s="5"/>
      <c r="E3" s="5"/>
      <c r="F3" s="5"/>
      <c r="G3" s="5"/>
      <c r="H3" s="5"/>
      <c r="I3" s="5"/>
      <c r="K3" s="17"/>
      <c r="L3" s="18" t="s">
        <v>7</v>
      </c>
      <c r="M3" s="5"/>
      <c r="N3" s="82"/>
      <c r="O3" s="5"/>
      <c r="P3" s="5"/>
      <c r="Q3" s="5"/>
      <c r="R3" s="5"/>
      <c r="S3" s="5"/>
      <c r="T3" s="3"/>
      <c r="U3" s="3"/>
      <c r="V3" s="3"/>
      <c r="W3" s="3"/>
      <c r="X3" s="3"/>
      <c r="Y3" s="3"/>
      <c r="Z3" s="3"/>
      <c r="AA3" s="5"/>
      <c r="AB3" s="19"/>
      <c r="AC3" s="19"/>
      <c r="AD3" s="19"/>
      <c r="AE3" s="19"/>
      <c r="AF3" s="19"/>
      <c r="AG3" s="20"/>
      <c r="AH3" s="20"/>
      <c r="AI3" s="20"/>
      <c r="AJ3" s="21"/>
      <c r="AK3" s="5"/>
      <c r="AL3" s="5"/>
    </row>
    <row r="4" spans="1:38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4"/>
      <c r="AC4" s="14"/>
      <c r="AD4" s="14"/>
      <c r="AE4" s="14"/>
      <c r="AF4" s="14"/>
      <c r="AG4" s="15"/>
      <c r="AH4" s="15"/>
      <c r="AI4" s="15"/>
      <c r="AJ4" s="16"/>
      <c r="AK4" s="1"/>
      <c r="AL4" s="1"/>
    </row>
    <row r="5" spans="1:38" ht="17.25" customHeight="1" x14ac:dyDescent="0.25">
      <c r="A5" s="76" t="s">
        <v>8</v>
      </c>
      <c r="C5" s="11"/>
      <c r="D5" s="77" t="s">
        <v>2</v>
      </c>
      <c r="E5" s="77"/>
      <c r="F5" s="78"/>
      <c r="H5" s="11"/>
      <c r="I5" s="70" t="s">
        <v>3</v>
      </c>
      <c r="J5" s="77"/>
      <c r="K5" s="78"/>
      <c r="M5" s="11"/>
      <c r="N5" s="70" t="s">
        <v>4</v>
      </c>
      <c r="O5" s="77"/>
      <c r="P5" s="78"/>
      <c r="Q5" s="70" t="s">
        <v>9</v>
      </c>
      <c r="R5" s="71"/>
      <c r="S5" s="71"/>
      <c r="T5" s="69" t="s">
        <v>10</v>
      </c>
      <c r="U5" s="4"/>
      <c r="V5" s="4"/>
      <c r="W5" s="4"/>
      <c r="X5" s="4"/>
      <c r="Y5" s="4"/>
      <c r="Z5" s="4"/>
      <c r="AA5" s="1"/>
      <c r="AB5" s="14"/>
      <c r="AC5" s="14"/>
      <c r="AD5" s="14"/>
      <c r="AE5" s="14"/>
      <c r="AF5" s="14"/>
      <c r="AG5" s="15"/>
      <c r="AH5" s="15"/>
      <c r="AI5" s="15"/>
      <c r="AJ5" s="16"/>
      <c r="AK5" s="1"/>
      <c r="AL5" s="1"/>
    </row>
    <row r="6" spans="1:38" ht="15" customHeight="1" x14ac:dyDescent="0.25">
      <c r="A6" s="67"/>
      <c r="C6" s="22"/>
      <c r="D6" s="79" t="s">
        <v>11</v>
      </c>
      <c r="E6" s="79"/>
      <c r="F6" s="80"/>
      <c r="H6" s="22"/>
      <c r="I6" s="81" t="s">
        <v>12</v>
      </c>
      <c r="J6" s="79"/>
      <c r="K6" s="80"/>
      <c r="M6" s="22"/>
      <c r="N6" s="81" t="s">
        <v>13</v>
      </c>
      <c r="O6" s="79"/>
      <c r="P6" s="80"/>
      <c r="Q6" s="74" t="s">
        <v>14</v>
      </c>
      <c r="R6" s="75"/>
      <c r="S6" s="75"/>
      <c r="T6" s="67"/>
      <c r="U6" s="4"/>
      <c r="V6" s="4"/>
      <c r="W6" s="4"/>
      <c r="X6" s="4"/>
      <c r="Y6" s="4"/>
      <c r="Z6" s="4"/>
      <c r="AA6" s="1"/>
      <c r="AB6" s="14"/>
      <c r="AC6" s="14"/>
      <c r="AD6" s="14"/>
      <c r="AE6" s="14"/>
      <c r="AF6" s="14"/>
      <c r="AG6" s="15"/>
      <c r="AH6" s="15"/>
      <c r="AI6" s="15"/>
      <c r="AJ6" s="16"/>
      <c r="AK6" s="1"/>
      <c r="AL6" s="1"/>
    </row>
    <row r="7" spans="1:38" ht="18" customHeight="1" x14ac:dyDescent="0.25">
      <c r="A7" s="68"/>
      <c r="B7" s="6">
        <v>2012</v>
      </c>
      <c r="C7" s="6">
        <v>2013</v>
      </c>
      <c r="D7" s="6">
        <v>2014</v>
      </c>
      <c r="E7" s="6">
        <v>2015</v>
      </c>
      <c r="F7" s="6">
        <v>2016</v>
      </c>
      <c r="G7" s="9">
        <v>2012</v>
      </c>
      <c r="H7" s="8">
        <v>2013</v>
      </c>
      <c r="I7" s="9">
        <v>2014</v>
      </c>
      <c r="J7" s="8">
        <v>2015</v>
      </c>
      <c r="K7" s="12">
        <v>2016</v>
      </c>
      <c r="L7" s="6">
        <v>2012</v>
      </c>
      <c r="M7" s="6">
        <v>2013</v>
      </c>
      <c r="N7" s="6">
        <v>2014</v>
      </c>
      <c r="O7" s="6">
        <v>2015</v>
      </c>
      <c r="P7" s="6">
        <v>2016</v>
      </c>
      <c r="Q7" s="7">
        <v>2014</v>
      </c>
      <c r="R7" s="6">
        <v>2015</v>
      </c>
      <c r="S7" s="8">
        <v>2016</v>
      </c>
      <c r="T7" s="68"/>
      <c r="U7" s="4"/>
      <c r="V7" s="4"/>
      <c r="W7" s="4"/>
      <c r="X7" s="4"/>
      <c r="Y7" s="4"/>
      <c r="Z7" s="4"/>
      <c r="AA7" s="1"/>
      <c r="AB7" s="14"/>
      <c r="AC7" s="14"/>
      <c r="AD7" s="14"/>
      <c r="AE7" s="14"/>
      <c r="AF7" s="14"/>
      <c r="AG7" s="15"/>
      <c r="AH7" s="15"/>
      <c r="AI7" s="15"/>
      <c r="AJ7" s="16"/>
      <c r="AK7" s="1"/>
      <c r="AL7" s="1"/>
    </row>
    <row r="8" spans="1:38" ht="21.75" customHeight="1" x14ac:dyDescent="0.25">
      <c r="A8" s="23" t="s">
        <v>1</v>
      </c>
      <c r="B8" s="24">
        <f t="shared" ref="B8:R8" si="0">SUM(B9:B20)</f>
        <v>414738936.51999998</v>
      </c>
      <c r="C8" s="25">
        <f t="shared" si="0"/>
        <v>421204350.24000007</v>
      </c>
      <c r="D8" s="25">
        <f t="shared" si="0"/>
        <v>431707102.44000006</v>
      </c>
      <c r="E8" s="25">
        <f t="shared" si="0"/>
        <v>426999240</v>
      </c>
      <c r="F8" s="25">
        <f>SUM(F9:F20)</f>
        <v>432115940.75</v>
      </c>
      <c r="G8" s="26">
        <f t="shared" si="0"/>
        <v>21452251.599999998</v>
      </c>
      <c r="H8" s="25">
        <f t="shared" si="0"/>
        <v>25887906.539999999</v>
      </c>
      <c r="I8" s="54">
        <f t="shared" si="0"/>
        <v>35973669.200000003</v>
      </c>
      <c r="J8" s="25">
        <f t="shared" si="0"/>
        <v>48839669.629999995</v>
      </c>
      <c r="K8" s="27">
        <f>SUM(K9:K20)</f>
        <v>49178627.07</v>
      </c>
      <c r="L8" s="24">
        <f t="shared" si="0"/>
        <v>240701239.62</v>
      </c>
      <c r="M8" s="25">
        <f t="shared" si="0"/>
        <v>244384239.25999996</v>
      </c>
      <c r="N8" s="25">
        <f t="shared" si="0"/>
        <v>259554054.59000003</v>
      </c>
      <c r="O8" s="25">
        <f t="shared" si="0"/>
        <v>260118262.70999998</v>
      </c>
      <c r="P8" s="25">
        <f>SUM(P9:P20)</f>
        <v>264841953.93999997</v>
      </c>
      <c r="Q8" s="26">
        <f t="shared" si="0"/>
        <v>471311711.34999996</v>
      </c>
      <c r="R8" s="24">
        <f t="shared" si="0"/>
        <v>524547328.45999992</v>
      </c>
      <c r="S8" s="24">
        <f>SUM(S9:S20)</f>
        <v>533482537.69000006</v>
      </c>
      <c r="T8" s="28" t="s">
        <v>0</v>
      </c>
      <c r="U8" s="28"/>
      <c r="V8" s="28"/>
      <c r="W8" s="28"/>
      <c r="X8" s="28"/>
      <c r="Y8" s="28"/>
      <c r="Z8" s="28"/>
      <c r="AA8" s="1"/>
      <c r="AB8" s="14"/>
      <c r="AC8" s="14"/>
      <c r="AD8" s="14"/>
      <c r="AE8" s="14"/>
      <c r="AF8" s="14"/>
      <c r="AG8" s="15"/>
      <c r="AH8" s="15"/>
      <c r="AI8" s="15"/>
      <c r="AJ8" s="16"/>
      <c r="AK8" s="1"/>
      <c r="AL8" s="1"/>
    </row>
    <row r="9" spans="1:38" ht="21.75" customHeight="1" x14ac:dyDescent="0.25">
      <c r="A9" s="55" t="s">
        <v>15</v>
      </c>
      <c r="B9" s="29">
        <v>33712286.649999999</v>
      </c>
      <c r="C9" s="29">
        <v>34352075.579999998</v>
      </c>
      <c r="D9" s="29">
        <v>35615904.57</v>
      </c>
      <c r="E9" s="29">
        <v>35173546.780000001</v>
      </c>
      <c r="F9" s="30">
        <v>35955634.759999998</v>
      </c>
      <c r="G9" s="31">
        <v>495363.58</v>
      </c>
      <c r="H9" s="29">
        <v>1151046.49</v>
      </c>
      <c r="I9" s="31">
        <v>3333784.74</v>
      </c>
      <c r="J9" s="29">
        <v>2869612.88</v>
      </c>
      <c r="K9" s="32">
        <v>5056147.95</v>
      </c>
      <c r="L9" s="29">
        <v>19009622.079999998</v>
      </c>
      <c r="M9" s="29">
        <v>27084863.539999999</v>
      </c>
      <c r="N9" s="29">
        <v>25311700.800000001</v>
      </c>
      <c r="O9" s="29">
        <v>26150112.129999999</v>
      </c>
      <c r="P9" s="32">
        <v>23053097.239999998</v>
      </c>
      <c r="Q9" s="33">
        <v>0</v>
      </c>
      <c r="R9" s="34">
        <v>43131466.32</v>
      </c>
      <c r="S9" s="35">
        <v>44468675.030000001</v>
      </c>
      <c r="T9" s="57" t="s">
        <v>16</v>
      </c>
      <c r="U9" s="36"/>
      <c r="V9" s="36"/>
      <c r="W9" s="36"/>
      <c r="X9" s="36"/>
      <c r="Y9" s="36"/>
      <c r="Z9" s="36"/>
      <c r="AA9" s="37"/>
      <c r="AB9" s="38"/>
      <c r="AC9" s="14"/>
      <c r="AD9" s="14"/>
      <c r="AE9" s="14"/>
      <c r="AF9" s="1"/>
      <c r="AG9" s="15"/>
      <c r="AH9" s="15"/>
      <c r="AI9" s="15"/>
      <c r="AJ9" s="16"/>
      <c r="AK9" s="1"/>
      <c r="AL9" s="1"/>
    </row>
    <row r="10" spans="1:38" ht="21.75" customHeight="1" x14ac:dyDescent="0.25">
      <c r="A10" s="55" t="s">
        <v>17</v>
      </c>
      <c r="B10" s="29">
        <v>34725809.649999999</v>
      </c>
      <c r="C10" s="29">
        <v>35042781.850000001</v>
      </c>
      <c r="D10" s="29">
        <v>36309505.119999997</v>
      </c>
      <c r="E10" s="29">
        <v>35619868.369999997</v>
      </c>
      <c r="F10" s="30">
        <v>36146670.710000001</v>
      </c>
      <c r="G10" s="31">
        <v>2641610.33</v>
      </c>
      <c r="H10" s="29">
        <v>1295097.28</v>
      </c>
      <c r="I10" s="31">
        <v>2690826.28</v>
      </c>
      <c r="J10" s="29">
        <v>3359620.91</v>
      </c>
      <c r="K10" s="32">
        <v>3751901.32</v>
      </c>
      <c r="L10" s="29">
        <v>21786716.879999999</v>
      </c>
      <c r="M10" s="29">
        <v>19943936.890000001</v>
      </c>
      <c r="N10" s="29">
        <v>23169187.48</v>
      </c>
      <c r="O10" s="29">
        <v>22405366.890000001</v>
      </c>
      <c r="P10" s="32">
        <v>21518501.73</v>
      </c>
      <c r="Q10" s="39">
        <v>42210402.700000003</v>
      </c>
      <c r="R10" s="34">
        <v>43254914.210000001</v>
      </c>
      <c r="S10" s="35">
        <v>44633060.780000001</v>
      </c>
      <c r="T10" s="57" t="s">
        <v>18</v>
      </c>
      <c r="U10" s="36"/>
      <c r="V10" s="64"/>
      <c r="W10" s="36"/>
      <c r="X10" s="36"/>
      <c r="Y10" s="36"/>
      <c r="Z10" s="36"/>
      <c r="AA10" s="1"/>
      <c r="AB10" s="38"/>
      <c r="AC10" s="14"/>
      <c r="AD10" s="14"/>
      <c r="AE10" s="14"/>
      <c r="AF10" s="1"/>
      <c r="AG10" s="15"/>
      <c r="AH10" s="15"/>
      <c r="AI10" s="15"/>
      <c r="AJ10" s="16"/>
      <c r="AK10" s="1"/>
      <c r="AL10" s="1"/>
    </row>
    <row r="11" spans="1:38" ht="21.75" customHeight="1" x14ac:dyDescent="0.25">
      <c r="A11" s="55" t="s">
        <v>19</v>
      </c>
      <c r="B11" s="29">
        <v>34806344.93</v>
      </c>
      <c r="C11" s="29">
        <v>35333148.090000004</v>
      </c>
      <c r="D11" s="29">
        <v>36566082.140000001</v>
      </c>
      <c r="E11" s="29">
        <v>35936900.219999999</v>
      </c>
      <c r="F11" s="30">
        <v>36063389.189999998</v>
      </c>
      <c r="G11" s="31">
        <v>1964141.55</v>
      </c>
      <c r="H11" s="29">
        <v>1035616.01</v>
      </c>
      <c r="I11" s="31">
        <v>3356711.13</v>
      </c>
      <c r="J11" s="29">
        <v>4080271.26</v>
      </c>
      <c r="K11" s="32">
        <v>3369545.15</v>
      </c>
      <c r="L11" s="29">
        <v>20394069.57</v>
      </c>
      <c r="M11" s="29">
        <v>18946228.300000001</v>
      </c>
      <c r="N11" s="29">
        <v>21310307.780000001</v>
      </c>
      <c r="O11" s="29">
        <v>22893114.670000002</v>
      </c>
      <c r="P11" s="32">
        <v>21786624.140000001</v>
      </c>
      <c r="Q11" s="39">
        <v>42833238.119999997</v>
      </c>
      <c r="R11" s="34">
        <v>44149568.780000001</v>
      </c>
      <c r="S11" s="35">
        <v>44537862.530000001</v>
      </c>
      <c r="T11" s="57" t="s">
        <v>20</v>
      </c>
      <c r="U11" s="36"/>
      <c r="V11" s="64"/>
      <c r="W11" s="36"/>
      <c r="X11" s="36"/>
      <c r="Y11" s="36"/>
      <c r="Z11" s="36"/>
      <c r="AA11" s="1"/>
      <c r="AB11" s="38"/>
      <c r="AC11" s="14"/>
      <c r="AD11" s="14"/>
      <c r="AE11" s="14"/>
      <c r="AF11" s="14"/>
      <c r="AG11" s="15"/>
      <c r="AH11" s="15"/>
      <c r="AI11" s="15"/>
      <c r="AJ11" s="16"/>
      <c r="AK11" s="1"/>
      <c r="AL11" s="1"/>
    </row>
    <row r="12" spans="1:38" ht="21.75" customHeight="1" x14ac:dyDescent="0.25">
      <c r="A12" s="55" t="s">
        <v>21</v>
      </c>
      <c r="B12" s="29">
        <v>34551091.759999998</v>
      </c>
      <c r="C12" s="29">
        <v>34763162.600000001</v>
      </c>
      <c r="D12" s="29">
        <v>36384131.350000001</v>
      </c>
      <c r="E12" s="29">
        <v>35534750.799999997</v>
      </c>
      <c r="F12" s="30">
        <v>36068663.939999998</v>
      </c>
      <c r="G12" s="31">
        <v>1339288.5</v>
      </c>
      <c r="H12" s="29">
        <v>1307379.8500000001</v>
      </c>
      <c r="I12" s="31">
        <v>2347830.7599999998</v>
      </c>
      <c r="J12" s="29">
        <v>3657817.89</v>
      </c>
      <c r="K12" s="32">
        <v>4183948.61</v>
      </c>
      <c r="L12" s="29">
        <v>24106647.079999998</v>
      </c>
      <c r="M12" s="29">
        <v>20630305.239999998</v>
      </c>
      <c r="N12" s="29">
        <v>20403653.850000001</v>
      </c>
      <c r="O12" s="29">
        <v>20138268.329999998</v>
      </c>
      <c r="P12" s="32">
        <v>22144329.760000002</v>
      </c>
      <c r="Q12" s="39">
        <v>43089362.960000001</v>
      </c>
      <c r="R12" s="34">
        <v>43619940.25</v>
      </c>
      <c r="S12" s="35">
        <v>44571685.759999998</v>
      </c>
      <c r="T12" s="57" t="s">
        <v>22</v>
      </c>
      <c r="U12" s="36"/>
      <c r="V12" s="64"/>
      <c r="W12" s="36"/>
      <c r="X12" s="36"/>
      <c r="Y12" s="36"/>
      <c r="Z12" s="36"/>
      <c r="AA12" s="1"/>
      <c r="AB12" s="38"/>
      <c r="AC12" s="14"/>
      <c r="AD12" s="14"/>
      <c r="AE12" s="14"/>
      <c r="AF12" s="14"/>
      <c r="AG12" s="15"/>
      <c r="AH12" s="15"/>
      <c r="AI12" s="15"/>
      <c r="AJ12" s="16"/>
      <c r="AK12" s="1"/>
      <c r="AL12" s="1"/>
    </row>
    <row r="13" spans="1:38" ht="21.75" customHeight="1" x14ac:dyDescent="0.25">
      <c r="A13" s="55" t="s">
        <v>23</v>
      </c>
      <c r="B13" s="29">
        <v>35154019.579999998</v>
      </c>
      <c r="C13" s="29">
        <v>35516487.740000002</v>
      </c>
      <c r="D13" s="29">
        <v>36107445.780000001</v>
      </c>
      <c r="E13" s="29">
        <v>35552003.799999997</v>
      </c>
      <c r="F13" s="30">
        <v>36109165.07</v>
      </c>
      <c r="G13" s="31">
        <v>1215734.1599999999</v>
      </c>
      <c r="H13" s="29">
        <v>2078811.7</v>
      </c>
      <c r="I13" s="31">
        <v>2585483.37</v>
      </c>
      <c r="J13" s="29">
        <v>3167794.24</v>
      </c>
      <c r="K13" s="32">
        <v>3487923.03</v>
      </c>
      <c r="L13" s="29">
        <v>20547997.280000001</v>
      </c>
      <c r="M13" s="29">
        <v>20270298.870000001</v>
      </c>
      <c r="N13" s="29">
        <v>25011795.809999999</v>
      </c>
      <c r="O13" s="29">
        <v>23579889.43</v>
      </c>
      <c r="P13" s="32">
        <v>23541403.390000001</v>
      </c>
      <c r="Q13" s="39">
        <v>42951893.25</v>
      </c>
      <c r="R13" s="34">
        <v>43724982.609999999</v>
      </c>
      <c r="S13" s="35">
        <v>44559908.899999999</v>
      </c>
      <c r="T13" s="57" t="s">
        <v>24</v>
      </c>
      <c r="U13" s="36"/>
      <c r="V13" s="64"/>
      <c r="W13" s="36"/>
      <c r="X13" s="36"/>
      <c r="Y13" s="36"/>
      <c r="Z13" s="36"/>
      <c r="AA13" s="1"/>
      <c r="AB13" s="38"/>
      <c r="AC13" s="14"/>
      <c r="AD13" s="14"/>
      <c r="AE13" s="14"/>
      <c r="AF13" s="14"/>
      <c r="AG13" s="15"/>
      <c r="AH13" s="15"/>
      <c r="AI13" s="15"/>
      <c r="AJ13" s="16"/>
      <c r="AK13" s="1"/>
      <c r="AL13" s="1"/>
    </row>
    <row r="14" spans="1:38" ht="21.75" customHeight="1" x14ac:dyDescent="0.25">
      <c r="A14" s="55" t="s">
        <v>25</v>
      </c>
      <c r="B14" s="29">
        <v>34846940.390000001</v>
      </c>
      <c r="C14" s="29">
        <v>34426002.350000001</v>
      </c>
      <c r="D14" s="29">
        <v>35813486.210000001</v>
      </c>
      <c r="E14" s="29">
        <v>35602279.990000002</v>
      </c>
      <c r="F14" s="30">
        <v>36029004.759999998</v>
      </c>
      <c r="G14" s="31">
        <v>3534981.49</v>
      </c>
      <c r="H14" s="29">
        <v>3303174.44</v>
      </c>
      <c r="I14" s="31">
        <v>3069467.57</v>
      </c>
      <c r="J14" s="29">
        <v>2571052.06</v>
      </c>
      <c r="K14" s="32">
        <v>4518197.97</v>
      </c>
      <c r="L14" s="29">
        <v>18337900.530000001</v>
      </c>
      <c r="M14" s="29">
        <v>20376029.489999998</v>
      </c>
      <c r="N14" s="29">
        <v>19985113.239999998</v>
      </c>
      <c r="O14" s="29">
        <v>20098179.469999999</v>
      </c>
      <c r="P14" s="32">
        <v>21892976.16</v>
      </c>
      <c r="Q14" s="39">
        <v>42755542.670000002</v>
      </c>
      <c r="R14" s="34">
        <v>43737662.259999998</v>
      </c>
      <c r="S14" s="35">
        <v>44460131.060000002</v>
      </c>
      <c r="T14" s="57" t="s">
        <v>26</v>
      </c>
      <c r="U14" s="36"/>
      <c r="V14" s="36"/>
      <c r="W14" s="36"/>
      <c r="X14" s="36"/>
      <c r="Y14" s="36"/>
      <c r="Z14" s="36"/>
      <c r="AA14" s="1"/>
      <c r="AB14" s="38"/>
      <c r="AC14" s="14"/>
      <c r="AD14" s="14"/>
      <c r="AE14" s="14"/>
      <c r="AF14" s="14"/>
      <c r="AG14" s="15"/>
      <c r="AH14" s="15"/>
      <c r="AI14" s="15"/>
      <c r="AJ14" s="16"/>
      <c r="AK14" s="1"/>
      <c r="AL14" s="1"/>
    </row>
    <row r="15" spans="1:38" ht="21.75" customHeight="1" x14ac:dyDescent="0.25">
      <c r="A15" s="55" t="s">
        <v>27</v>
      </c>
      <c r="B15" s="29">
        <v>34616936.060000002</v>
      </c>
      <c r="C15" s="29">
        <v>35501207.700000003</v>
      </c>
      <c r="D15" s="29">
        <v>36084345.200000003</v>
      </c>
      <c r="E15" s="29">
        <v>35579809.939999998</v>
      </c>
      <c r="F15" s="30">
        <v>36001644.68</v>
      </c>
      <c r="G15" s="31">
        <v>1519284.65</v>
      </c>
      <c r="H15" s="29">
        <v>1333414.57</v>
      </c>
      <c r="I15" s="31">
        <v>2042202.73</v>
      </c>
      <c r="J15" s="29">
        <v>2344401.7000000002</v>
      </c>
      <c r="K15" s="32">
        <v>2699440.83</v>
      </c>
      <c r="L15" s="29">
        <v>19283504.379999999</v>
      </c>
      <c r="M15" s="29">
        <v>19964302.440000001</v>
      </c>
      <c r="N15" s="29">
        <v>21626914.359999999</v>
      </c>
      <c r="O15" s="29">
        <v>21660890.57</v>
      </c>
      <c r="P15" s="32">
        <v>21128570.030000001</v>
      </c>
      <c r="Q15" s="39">
        <v>43020315.149999999</v>
      </c>
      <c r="R15" s="34">
        <v>43752500.329999998</v>
      </c>
      <c r="S15" s="35">
        <v>44393636.399999999</v>
      </c>
      <c r="T15" s="57" t="s">
        <v>28</v>
      </c>
      <c r="U15" s="36"/>
      <c r="V15" s="36"/>
      <c r="W15" s="36"/>
      <c r="X15" s="36"/>
      <c r="Y15" s="36"/>
      <c r="Z15" s="36"/>
      <c r="AA15" s="1"/>
      <c r="AB15" s="38"/>
      <c r="AC15" s="14"/>
      <c r="AD15" s="14"/>
      <c r="AE15" s="14"/>
      <c r="AF15" s="14"/>
      <c r="AG15" s="15"/>
      <c r="AH15" s="15"/>
      <c r="AI15" s="15"/>
      <c r="AJ15" s="16"/>
      <c r="AK15" s="1"/>
      <c r="AL15" s="1"/>
    </row>
    <row r="16" spans="1:38" ht="21.75" customHeight="1" x14ac:dyDescent="0.25">
      <c r="A16" s="55" t="s">
        <v>29</v>
      </c>
      <c r="B16" s="29">
        <v>34533025.399999999</v>
      </c>
      <c r="C16" s="29">
        <v>35434664.979999997</v>
      </c>
      <c r="D16" s="29">
        <v>35620342.140000001</v>
      </c>
      <c r="E16" s="29">
        <v>35615495.32</v>
      </c>
      <c r="F16" s="30">
        <v>36033929.969999999</v>
      </c>
      <c r="G16" s="31">
        <v>916177.57</v>
      </c>
      <c r="H16" s="29">
        <v>3627198.68</v>
      </c>
      <c r="I16" s="31">
        <v>2588532.9900000002</v>
      </c>
      <c r="J16" s="29">
        <v>5470143.8399999999</v>
      </c>
      <c r="K16" s="32">
        <v>2919856.3</v>
      </c>
      <c r="L16" s="29">
        <v>20570070.73</v>
      </c>
      <c r="M16" s="29">
        <v>18948103.859999999</v>
      </c>
      <c r="N16" s="29">
        <v>20233894.109999999</v>
      </c>
      <c r="O16" s="29">
        <v>22064482.57</v>
      </c>
      <c r="P16" s="32">
        <v>21944891.600000001</v>
      </c>
      <c r="Q16" s="39">
        <v>42960311.329999998</v>
      </c>
      <c r="R16" s="34">
        <v>43870459</v>
      </c>
      <c r="S16" s="35">
        <v>44528204.109999999</v>
      </c>
      <c r="T16" s="57" t="s">
        <v>30</v>
      </c>
      <c r="U16" s="36"/>
      <c r="V16" s="36"/>
      <c r="W16" s="36"/>
      <c r="X16" s="36"/>
      <c r="Y16" s="36"/>
      <c r="Z16" s="36"/>
      <c r="AA16" s="1"/>
      <c r="AB16" s="38"/>
      <c r="AC16" s="14"/>
      <c r="AD16" s="14"/>
      <c r="AE16" s="14"/>
      <c r="AF16" s="14"/>
      <c r="AG16" s="15"/>
      <c r="AH16" s="15"/>
      <c r="AI16" s="15"/>
      <c r="AJ16" s="16"/>
      <c r="AK16" s="1"/>
      <c r="AL16" s="1"/>
    </row>
    <row r="17" spans="1:39" ht="21.75" customHeight="1" x14ac:dyDescent="0.25">
      <c r="A17" s="55" t="s">
        <v>31</v>
      </c>
      <c r="B17" s="29">
        <v>34475645.299999997</v>
      </c>
      <c r="C17" s="29">
        <v>35107026.060000002</v>
      </c>
      <c r="D17" s="29">
        <v>35819459.600000001</v>
      </c>
      <c r="E17" s="29">
        <v>35678427.479999997</v>
      </c>
      <c r="F17" s="30">
        <v>36029592.990000002</v>
      </c>
      <c r="G17" s="31">
        <v>2685645.5</v>
      </c>
      <c r="H17" s="29">
        <v>2986912.9</v>
      </c>
      <c r="I17" s="31">
        <v>2389738.73</v>
      </c>
      <c r="J17" s="29">
        <v>4094036.36</v>
      </c>
      <c r="K17" s="32">
        <v>5714928.9100000001</v>
      </c>
      <c r="L17" s="29">
        <v>18016782.370000001</v>
      </c>
      <c r="M17" s="29">
        <v>18818491.969999999</v>
      </c>
      <c r="N17" s="29">
        <v>21343950.440000001</v>
      </c>
      <c r="O17" s="29">
        <v>21025502.440000001</v>
      </c>
      <c r="P17" s="32">
        <v>21193752.359999999</v>
      </c>
      <c r="Q17" s="39">
        <v>42967536.020000003</v>
      </c>
      <c r="R17" s="34">
        <v>43935052.659999996</v>
      </c>
      <c r="S17" s="35">
        <v>44435147.43</v>
      </c>
      <c r="T17" s="57" t="s">
        <v>32</v>
      </c>
      <c r="U17" s="36"/>
      <c r="V17" s="36"/>
      <c r="W17" s="36"/>
      <c r="X17" s="36"/>
      <c r="Y17" s="36"/>
      <c r="Z17" s="36"/>
      <c r="AA17" s="1"/>
      <c r="AB17" s="38"/>
      <c r="AC17" s="14"/>
      <c r="AD17" s="14"/>
      <c r="AE17" s="14"/>
      <c r="AF17" s="14"/>
      <c r="AG17" s="15"/>
      <c r="AH17" s="15"/>
      <c r="AI17" s="15"/>
      <c r="AJ17" s="16"/>
      <c r="AK17" s="1"/>
      <c r="AL17" s="1"/>
    </row>
    <row r="18" spans="1:39" ht="21.75" customHeight="1" x14ac:dyDescent="0.25">
      <c r="A18" s="55" t="s">
        <v>33</v>
      </c>
      <c r="B18" s="29">
        <v>34594343.560000002</v>
      </c>
      <c r="C18" s="29">
        <v>35317143.350000001</v>
      </c>
      <c r="D18" s="29">
        <v>35809800.469999999</v>
      </c>
      <c r="E18" s="29">
        <v>35659371.909999996</v>
      </c>
      <c r="F18" s="30">
        <v>35962322.630000003</v>
      </c>
      <c r="G18" s="31">
        <v>1715961.41</v>
      </c>
      <c r="H18" s="29">
        <v>2911512.09</v>
      </c>
      <c r="I18" s="31">
        <v>3281668.64</v>
      </c>
      <c r="J18" s="29">
        <v>3127019.99</v>
      </c>
      <c r="K18" s="32">
        <v>5737680.6399999997</v>
      </c>
      <c r="L18" s="29">
        <v>19528164.620000001</v>
      </c>
      <c r="M18" s="29">
        <v>19052611.420000002</v>
      </c>
      <c r="N18" s="29">
        <v>20222911.489999998</v>
      </c>
      <c r="O18" s="29">
        <v>19694687.600000001</v>
      </c>
      <c r="P18" s="32">
        <v>22752764.34</v>
      </c>
      <c r="Q18" s="39">
        <v>43043959.509999998</v>
      </c>
      <c r="R18" s="34">
        <v>43913866.189999998</v>
      </c>
      <c r="S18" s="35">
        <v>44405359.340000004</v>
      </c>
      <c r="T18" s="57" t="s">
        <v>34</v>
      </c>
      <c r="U18" s="36"/>
      <c r="V18" s="36"/>
      <c r="W18" s="36"/>
      <c r="X18" s="36"/>
      <c r="Y18" s="36"/>
      <c r="Z18" s="36"/>
      <c r="AA18" s="1"/>
      <c r="AB18" s="38"/>
      <c r="AC18" s="14"/>
      <c r="AD18" s="14"/>
      <c r="AE18" s="14"/>
      <c r="AF18" s="14"/>
      <c r="AG18" s="15"/>
      <c r="AH18" s="15"/>
      <c r="AI18" s="15"/>
      <c r="AJ18" s="16"/>
      <c r="AK18" s="1"/>
      <c r="AL18" s="1"/>
    </row>
    <row r="19" spans="1:39" ht="21.75" customHeight="1" x14ac:dyDescent="0.55000000000000004">
      <c r="A19" s="55" t="s">
        <v>35</v>
      </c>
      <c r="B19" s="29">
        <v>34186099.060000002</v>
      </c>
      <c r="C19" s="29">
        <v>35528647</v>
      </c>
      <c r="D19" s="29">
        <v>35916765.130000003</v>
      </c>
      <c r="E19" s="29">
        <v>35594151.450000003</v>
      </c>
      <c r="F19" s="30">
        <v>35841590.75</v>
      </c>
      <c r="G19" s="31">
        <v>1718102.79</v>
      </c>
      <c r="H19" s="29">
        <v>3115225.24</v>
      </c>
      <c r="I19" s="31">
        <v>6316239.1299999999</v>
      </c>
      <c r="J19" s="29">
        <v>10717532.66</v>
      </c>
      <c r="K19" s="32">
        <v>6161778.1299999999</v>
      </c>
      <c r="L19" s="29">
        <v>18635257.670000002</v>
      </c>
      <c r="M19" s="29">
        <v>20720584.449999999</v>
      </c>
      <c r="N19" s="29">
        <v>20730230.550000001</v>
      </c>
      <c r="O19" s="29">
        <v>20986081.460000001</v>
      </c>
      <c r="P19" s="32">
        <v>22374591.18</v>
      </c>
      <c r="Q19" s="39">
        <v>42800573.149999999</v>
      </c>
      <c r="R19" s="34">
        <v>43822391.649999999</v>
      </c>
      <c r="S19" s="35">
        <v>44228858.57</v>
      </c>
      <c r="T19" s="58" t="s">
        <v>36</v>
      </c>
      <c r="U19" s="40"/>
      <c r="V19" s="40"/>
      <c r="W19" s="40"/>
      <c r="X19" s="40"/>
      <c r="Y19" s="40"/>
      <c r="Z19" s="40"/>
      <c r="AA19" s="1"/>
      <c r="AB19" s="38"/>
      <c r="AC19" s="14"/>
      <c r="AD19" s="14"/>
      <c r="AE19" s="14"/>
      <c r="AF19" s="14"/>
      <c r="AG19" s="15"/>
      <c r="AH19" s="15"/>
      <c r="AI19" s="15"/>
      <c r="AJ19" s="16"/>
      <c r="AK19" s="1"/>
      <c r="AL19" s="1"/>
    </row>
    <row r="20" spans="1:39" ht="21.75" customHeight="1" x14ac:dyDescent="0.25">
      <c r="A20" s="56" t="s">
        <v>37</v>
      </c>
      <c r="B20" s="41">
        <v>34536394.18</v>
      </c>
      <c r="C20" s="41">
        <v>34882002.939999998</v>
      </c>
      <c r="D20" s="41">
        <v>35659834.729999997</v>
      </c>
      <c r="E20" s="41">
        <v>35452633.939999998</v>
      </c>
      <c r="F20" s="42">
        <v>35874331.299999997</v>
      </c>
      <c r="G20" s="43">
        <v>1705960.07</v>
      </c>
      <c r="H20" s="41">
        <v>1742517.29</v>
      </c>
      <c r="I20" s="43">
        <v>1971183.13</v>
      </c>
      <c r="J20" s="41">
        <v>3380365.84</v>
      </c>
      <c r="K20" s="44">
        <v>1577278.23</v>
      </c>
      <c r="L20" s="41">
        <v>20484506.43</v>
      </c>
      <c r="M20" s="41">
        <v>19628482.789999999</v>
      </c>
      <c r="N20" s="41">
        <v>20204394.68</v>
      </c>
      <c r="O20" s="41">
        <v>19421687.149999999</v>
      </c>
      <c r="P20" s="44">
        <v>21510452.010000002</v>
      </c>
      <c r="Q20" s="45">
        <v>42678576.490000002</v>
      </c>
      <c r="R20" s="46">
        <v>43634524.200000003</v>
      </c>
      <c r="S20" s="47">
        <v>44260007.780000001</v>
      </c>
      <c r="T20" s="59" t="s">
        <v>38</v>
      </c>
      <c r="U20" s="36"/>
      <c r="V20" s="36"/>
      <c r="W20" s="36"/>
      <c r="X20" s="36"/>
      <c r="Y20" s="36"/>
      <c r="Z20" s="36"/>
      <c r="AA20" s="1"/>
      <c r="AB20" s="38"/>
      <c r="AC20" s="14"/>
      <c r="AD20" s="14"/>
      <c r="AE20" s="14"/>
      <c r="AF20" s="14"/>
      <c r="AG20" s="15"/>
      <c r="AH20" s="15"/>
      <c r="AI20" s="15"/>
      <c r="AJ20" s="16"/>
      <c r="AK20" s="1"/>
      <c r="AL20" s="1"/>
    </row>
    <row r="21" spans="1:39" ht="17.25" customHeight="1" x14ac:dyDescent="0.25">
      <c r="A21" s="48" t="s">
        <v>39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 t="s">
        <v>40</v>
      </c>
      <c r="U21" s="50"/>
      <c r="V21" s="50"/>
      <c r="W21" s="50"/>
      <c r="X21" s="50"/>
      <c r="Y21" s="50"/>
      <c r="Z21" s="50"/>
      <c r="AA21" s="49"/>
      <c r="AB21" s="38"/>
      <c r="AC21" s="14"/>
      <c r="AD21" s="14"/>
      <c r="AE21" s="14"/>
      <c r="AF21" s="14"/>
      <c r="AG21" s="14"/>
      <c r="AH21" s="14"/>
      <c r="AI21" s="14"/>
      <c r="AJ21" s="49"/>
      <c r="AK21" s="49"/>
      <c r="AL21" s="49"/>
    </row>
    <row r="22" spans="1:39" ht="17.25" customHeight="1" x14ac:dyDescent="0.45">
      <c r="A22" s="51" t="s">
        <v>5</v>
      </c>
      <c r="B22" s="49"/>
      <c r="C22" s="49"/>
      <c r="D22" s="49"/>
      <c r="E22" s="49"/>
      <c r="F22" s="49"/>
      <c r="G22" s="49"/>
      <c r="H22" s="49"/>
      <c r="I22" s="49"/>
      <c r="J22" s="49"/>
      <c r="K22" s="65"/>
      <c r="L22" s="49"/>
      <c r="M22" s="49"/>
      <c r="N22" s="49"/>
      <c r="O22" s="49"/>
      <c r="P22" s="49"/>
      <c r="Q22" s="49"/>
      <c r="R22" s="49"/>
      <c r="S22" s="49"/>
      <c r="T22" s="52" t="s">
        <v>6</v>
      </c>
      <c r="U22" s="53"/>
      <c r="V22" s="53"/>
      <c r="W22" s="53"/>
      <c r="X22" s="53"/>
      <c r="Y22" s="53"/>
      <c r="Z22" s="53"/>
      <c r="AA22" s="49"/>
      <c r="AB22" s="38"/>
      <c r="AC22" s="72" t="s">
        <v>41</v>
      </c>
      <c r="AD22" s="67"/>
      <c r="AE22" s="67"/>
      <c r="AF22" s="67"/>
      <c r="AG22" s="49"/>
      <c r="AH22" s="49"/>
      <c r="AI22" s="72" t="s">
        <v>42</v>
      </c>
      <c r="AJ22" s="67"/>
      <c r="AK22" s="67"/>
      <c r="AL22" s="67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8"/>
      <c r="AC23" s="14">
        <v>2012</v>
      </c>
      <c r="AD23" s="14">
        <v>2013</v>
      </c>
      <c r="AE23" s="14">
        <v>2014</v>
      </c>
      <c r="AF23" s="14">
        <v>2015</v>
      </c>
      <c r="AG23" s="14">
        <v>2016</v>
      </c>
      <c r="AH23" s="14"/>
      <c r="AI23" s="60">
        <v>2012</v>
      </c>
      <c r="AJ23" s="60">
        <v>2013</v>
      </c>
      <c r="AK23" s="60">
        <v>2014</v>
      </c>
      <c r="AL23" s="60">
        <v>2015</v>
      </c>
      <c r="AM23" s="60">
        <v>2016</v>
      </c>
    </row>
    <row r="24" spans="1:39" x14ac:dyDescent="0.2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 t="str">
        <f>D6</f>
        <v>Basic pension</v>
      </c>
      <c r="AC24" s="10">
        <f t="shared" ref="AC24:AG27" si="1">AI24/1000000</f>
        <v>414.73893651999998</v>
      </c>
      <c r="AD24" s="10">
        <f t="shared" si="1"/>
        <v>421.20435024000005</v>
      </c>
      <c r="AE24" s="10">
        <f t="shared" si="1"/>
        <v>431.70710244000009</v>
      </c>
      <c r="AF24" s="10">
        <f t="shared" si="1"/>
        <v>426.99923999999999</v>
      </c>
      <c r="AG24" s="10">
        <f t="shared" si="1"/>
        <v>432.11594074999999</v>
      </c>
      <c r="AH24" s="10"/>
      <c r="AI24" s="34">
        <f>B8</f>
        <v>414738936.51999998</v>
      </c>
      <c r="AJ24" s="34">
        <f>C8</f>
        <v>421204350.24000007</v>
      </c>
      <c r="AK24" s="34">
        <f>D8</f>
        <v>431707102.44000006</v>
      </c>
      <c r="AL24" s="34">
        <f>E8</f>
        <v>426999240</v>
      </c>
      <c r="AM24" s="34">
        <f>F8</f>
        <v>432115940.75</v>
      </c>
    </row>
    <row r="25" spans="1:39" x14ac:dyDescent="0.25">
      <c r="A25" s="1"/>
      <c r="B25" s="4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 t="str">
        <f>N6</f>
        <v>Other  pension</v>
      </c>
      <c r="AC25" s="10">
        <f t="shared" si="1"/>
        <v>240.70123962</v>
      </c>
      <c r="AD25" s="10">
        <f t="shared" si="1"/>
        <v>244.38423925999996</v>
      </c>
      <c r="AE25" s="10">
        <f t="shared" si="1"/>
        <v>259.55405459000002</v>
      </c>
      <c r="AF25" s="10">
        <f t="shared" si="1"/>
        <v>260.11826270999995</v>
      </c>
      <c r="AG25" s="10">
        <f t="shared" si="1"/>
        <v>264.84195393999994</v>
      </c>
      <c r="AH25" s="10"/>
      <c r="AI25" s="34">
        <f>L8</f>
        <v>240701239.62</v>
      </c>
      <c r="AJ25" s="34">
        <f>M8</f>
        <v>244384239.25999996</v>
      </c>
      <c r="AK25" s="34">
        <f>N8</f>
        <v>259554054.59000003</v>
      </c>
      <c r="AL25" s="34">
        <f>O8</f>
        <v>260118262.70999998</v>
      </c>
      <c r="AM25" s="34">
        <f>P8</f>
        <v>264841953.93999997</v>
      </c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tr">
        <f>I6</f>
        <v>Retirement  pension</v>
      </c>
      <c r="AC26" s="10">
        <f t="shared" si="1"/>
        <v>21.452251599999997</v>
      </c>
      <c r="AD26" s="10">
        <f t="shared" si="1"/>
        <v>25.887906539999999</v>
      </c>
      <c r="AE26" s="10">
        <f t="shared" si="1"/>
        <v>35.973669200000003</v>
      </c>
      <c r="AF26" s="10">
        <f t="shared" si="1"/>
        <v>48.839669629999996</v>
      </c>
      <c r="AG26" s="10">
        <f t="shared" si="1"/>
        <v>49.178627069999997</v>
      </c>
      <c r="AH26" s="10"/>
      <c r="AI26" s="34">
        <f>G8</f>
        <v>21452251.599999998</v>
      </c>
      <c r="AJ26" s="34">
        <f>H8</f>
        <v>25887906.539999999</v>
      </c>
      <c r="AK26" s="34">
        <f>I8</f>
        <v>35973669.200000003</v>
      </c>
      <c r="AL26" s="34">
        <f>J8</f>
        <v>48839669.629999995</v>
      </c>
      <c r="AM26" s="34">
        <f>K8</f>
        <v>49178627.07</v>
      </c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 t="str">
        <f>Q6</f>
        <v xml:space="preserve"> Senior Citizen Allowance</v>
      </c>
      <c r="AC27" s="10">
        <f t="shared" si="1"/>
        <v>0</v>
      </c>
      <c r="AD27" s="10">
        <f t="shared" si="1"/>
        <v>0</v>
      </c>
      <c r="AE27" s="10">
        <f t="shared" si="1"/>
        <v>471.31171134999994</v>
      </c>
      <c r="AF27" s="10">
        <f t="shared" si="1"/>
        <v>524.5473284599999</v>
      </c>
      <c r="AG27" s="10">
        <f t="shared" si="1"/>
        <v>533.48253769000007</v>
      </c>
      <c r="AH27" s="10"/>
      <c r="AI27" s="61">
        <v>0</v>
      </c>
      <c r="AJ27" s="61">
        <v>0</v>
      </c>
      <c r="AK27" s="34">
        <f>Q8</f>
        <v>471311711.34999996</v>
      </c>
      <c r="AL27" s="34">
        <f>R8</f>
        <v>524547328.45999992</v>
      </c>
      <c r="AM27" s="34">
        <f>S8</f>
        <v>533482537.69000006</v>
      </c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4"/>
      <c r="AC28" s="14"/>
      <c r="AD28" s="15"/>
      <c r="AE28" s="15"/>
      <c r="AF28" s="1"/>
      <c r="AG28" s="1"/>
      <c r="AH28" s="1"/>
      <c r="AI28" s="62"/>
      <c r="AJ28" s="62"/>
      <c r="AK28" s="61"/>
      <c r="AL28" s="61"/>
      <c r="AM28" s="63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4"/>
      <c r="AC29" s="14"/>
      <c r="AD29" s="15"/>
      <c r="AE29" s="15"/>
      <c r="AF29" s="15"/>
      <c r="AG29" s="16"/>
      <c r="AH29" s="16"/>
      <c r="AI29" s="1"/>
      <c r="AJ29" s="1"/>
      <c r="AK29" s="1"/>
      <c r="AL29" s="1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</sheetData>
  <mergeCells count="15">
    <mergeCell ref="Q5:S5"/>
    <mergeCell ref="T5:T7"/>
    <mergeCell ref="AC22:AF22"/>
    <mergeCell ref="AI22:AL22"/>
    <mergeCell ref="A1:T1"/>
    <mergeCell ref="AA1:AC1"/>
    <mergeCell ref="A2:T2"/>
    <mergeCell ref="Q6:S6"/>
    <mergeCell ref="A5:A7"/>
    <mergeCell ref="D5:F5"/>
    <mergeCell ref="D6:F6"/>
    <mergeCell ref="I5:K5"/>
    <mergeCell ref="I6:K6"/>
    <mergeCell ref="N5:P5"/>
    <mergeCell ref="N6:P6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40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2017-07-04T07:12:43Z</cp:lastPrinted>
  <dcterms:modified xsi:type="dcterms:W3CDTF">2017-07-04T07:12:45Z</dcterms:modified>
</cp:coreProperties>
</file>