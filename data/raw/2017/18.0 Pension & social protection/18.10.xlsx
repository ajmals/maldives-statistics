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10" sheetId="10" r:id="rId1"/>
  </sheets>
  <externalReferences>
    <externalReference r:id="rId2"/>
    <externalReference r:id="rId3"/>
  </externalReferences>
  <definedNames>
    <definedName name="_xlnm.Print_Area" localSheetId="0">'18.10'!$A$1:$H$14</definedName>
  </definedNames>
  <calcPr calcId="144525"/>
</workbook>
</file>

<file path=xl/calcChain.xml><?xml version="1.0" encoding="utf-8"?>
<calcChain xmlns="http://schemas.openxmlformats.org/spreadsheetml/2006/main">
  <c r="G13" i="10" l="1"/>
  <c r="G12" i="10"/>
  <c r="G11" i="10" l="1"/>
  <c r="G10" i="10"/>
  <c r="G9" i="10"/>
  <c r="G8" i="10"/>
  <c r="F7" i="10"/>
  <c r="D9" i="10"/>
  <c r="F9" i="10" s="1"/>
  <c r="D10" i="10"/>
  <c r="F10" i="10" s="1"/>
  <c r="D11" i="10"/>
  <c r="D12" i="10"/>
  <c r="D13" i="10"/>
  <c r="D8" i="10"/>
  <c r="F8" i="10" s="1"/>
  <c r="D7" i="10"/>
  <c r="F13" i="10" l="1"/>
  <c r="F12" i="10" l="1"/>
  <c r="F11" i="10"/>
</calcChain>
</file>

<file path=xl/sharedStrings.xml><?xml version="1.0" encoding="utf-8"?>
<sst xmlns="http://schemas.openxmlformats.org/spreadsheetml/2006/main" count="18" uniqueCount="18">
  <si>
    <t>އިތުރުވި މިންވަރު</t>
  </si>
  <si>
    <t>% share</t>
  </si>
  <si>
    <t>% change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</si>
  <si>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</si>
  <si>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</si>
  <si>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</si>
  <si>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</si>
  <si>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ތާވަލު 18.10 :ރިޓާޔަމަންޓް ޕެންޝަން ސްކީމްއަށް ޕަބްލިކް އަދި ޕްރައިވެޓް ސެކްޓަރއިން ފައިސާދެއްކި މިންވަރު، 2010 - 2016</t>
  </si>
  <si>
    <t>TABLE   18.10:  AMOUNT OF CONTRIBUTION TO RETIREMENT PENSION SCHEME BY SECTOR, 2010 - 2016</t>
  </si>
  <si>
    <t>Year</t>
  </si>
  <si>
    <t>Public sector</t>
  </si>
  <si>
    <t>Private Sector</t>
  </si>
  <si>
    <t>Public</t>
  </si>
  <si>
    <t>އަހަރު</t>
  </si>
  <si>
    <t>ޕަބްލިކް ސެކްޓަރ</t>
  </si>
  <si>
    <t>ޕްރައިވެޓް ސެކްޓަރ</t>
  </si>
  <si>
    <t>އިން ސައްތަ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</si>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</sst>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9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8" fillId="0" borderId="0"/>
    <xf numFmtId="0" fontId="7" fillId="0" borderId="0"/>
  </cellStyleXfs>
  <cellXfs count="36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3" fillId="2" borderId="0" xfId="0" applyFont="1" applyFill="1" applyBorder="1"/>
    <xf numFmtId="0" fontId="1" fillId="2" borderId="0" xfId="0" applyFont="1" applyFill="1" applyBorder="1"/>
    <xf numFmtId="3" fontId="3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/>
    <xf numFmtId="3" fontId="0" fillId="2" borderId="6" xfId="0" applyNumberFormat="1" applyFont="1" applyFill="1" applyBorder="1" applyAlignment="1">
      <alignment horizontal="right" vertical="center"/>
    </xf>
    <xf numFmtId="3" fontId="0" fillId="4" borderId="6" xfId="0" applyNumberFormat="1" applyFont="1" applyFill="1" applyBorder="1" applyAlignment="1">
      <alignment horizontal="right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" fontId="0" fillId="2" borderId="0" xfId="0" applyNumberFormat="1" applyFont="1" applyFill="1" applyBorder="1" applyAlignment="1">
      <alignment horizontal="right" vertical="center"/>
    </xf>
    <xf numFmtId="1" fontId="0" fillId="2" borderId="6" xfId="0" applyNumberFormat="1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vertical="center"/>
    </xf>
    <xf numFmtId="1" fontId="0" fillId="2" borderId="3" xfId="0" applyNumberFormat="1" applyFont="1" applyFill="1" applyBorder="1" applyAlignment="1">
      <alignment horizontal="right" vertical="center"/>
    </xf>
    <xf numFmtId="1" fontId="0" fillId="2" borderId="4" xfId="0" applyNumberFormat="1" applyFont="1" applyFill="1" applyBorder="1" applyAlignment="1">
      <alignment horizontal="right" vertical="center"/>
    </xf>
    <xf numFmtId="0" fontId="0" fillId="2" borderId="6" xfId="0" applyFont="1" applyFill="1" applyBorder="1" applyAlignment="1">
      <alignment horizontal="center" vertical="center"/>
    </xf>
    <xf numFmtId="1" fontId="0" fillId="2" borderId="8" xfId="0" applyNumberFormat="1" applyFont="1" applyFill="1" applyBorder="1" applyAlignment="1">
      <alignment horizontal="right" vertical="center"/>
    </xf>
    <xf numFmtId="3" fontId="3" fillId="2" borderId="11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1" fillId="2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3" borderId="5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4"/>
  <sheetViews>
    <sheetView tabSelected="1" zoomScaleNormal="100" workbookViewId="0">
      <selection activeCell="M13" sqref="M13"/>
    </sheetView>
  </sheetViews>
  <sheetFormatPr defaultColWidth="15.140625" defaultRowHeight="15" customHeight="1" x14ac:dyDescent="0.25"/>
  <cols>
    <col min="1" max="1" width="11.7109375" style="2" customWidth="1"/>
    <col min="2" max="3" width="19.7109375" style="2" customWidth="1"/>
    <col min="4" max="4" width="18.7109375" style="2" customWidth="1"/>
    <col min="5" max="5" width="1.28515625" style="2" customWidth="1"/>
    <col min="6" max="6" width="15.28515625" style="2" customWidth="1"/>
    <col min="7" max="7" width="16.42578125" style="2" customWidth="1"/>
    <col min="8" max="8" width="1.5703125" style="2" customWidth="1"/>
    <col min="9" max="9" width="9.7109375" style="2" customWidth="1"/>
    <col min="10" max="26" width="8" style="2" customWidth="1"/>
    <col min="27" max="16384" width="15.140625" style="2"/>
  </cols>
  <sheetData>
    <row r="1" spans="1:26" ht="21" customHeight="1" x14ac:dyDescent="0.55000000000000004">
      <c r="A1" s="30" t="s">
        <v>7</v>
      </c>
      <c r="B1" s="31"/>
      <c r="C1" s="31"/>
      <c r="D1" s="31"/>
      <c r="E1" s="31"/>
      <c r="F1" s="31"/>
      <c r="G1" s="31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8" t="s">
        <v>8</v>
      </c>
      <c r="B2" s="31"/>
      <c r="C2" s="31"/>
      <c r="D2" s="31"/>
      <c r="E2" s="31"/>
      <c r="F2" s="31"/>
      <c r="G2" s="3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33" t="s">
        <v>9</v>
      </c>
      <c r="B4" s="35" t="s">
        <v>10</v>
      </c>
      <c r="C4" s="35" t="s">
        <v>11</v>
      </c>
      <c r="D4" s="35" t="s">
        <v>4</v>
      </c>
      <c r="E4" s="14"/>
      <c r="F4" s="34" t="s">
        <v>12</v>
      </c>
      <c r="G4" s="2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2"/>
      <c r="B5" s="32"/>
      <c r="C5" s="32"/>
      <c r="D5" s="32"/>
      <c r="E5" s="15"/>
      <c r="F5" s="16" t="s">
        <v>1</v>
      </c>
      <c r="G5" s="16" t="s">
        <v>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" customHeight="1" x14ac:dyDescent="0.5">
      <c r="A6" s="17" t="s">
        <v>13</v>
      </c>
      <c r="B6" s="18" t="s">
        <v>14</v>
      </c>
      <c r="C6" s="18" t="s">
        <v>15</v>
      </c>
      <c r="D6" s="18" t="s">
        <v>3</v>
      </c>
      <c r="E6" s="19"/>
      <c r="F6" s="20" t="s">
        <v>16</v>
      </c>
      <c r="G6" s="20" t="s">
        <v>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31.5" customHeight="1" x14ac:dyDescent="0.25">
      <c r="A7" s="22">
        <v>2010</v>
      </c>
      <c r="B7" s="6">
        <v>144012812.99000001</v>
      </c>
      <c r="C7" s="6">
        <v>4343052.63</v>
      </c>
      <c r="D7" s="5">
        <f>SUM(B7:C7)</f>
        <v>148355865.62</v>
      </c>
      <c r="E7" s="6"/>
      <c r="F7" s="23">
        <f>(B7/D7)*100</f>
        <v>97.072544040068948</v>
      </c>
      <c r="G7" s="12" t="s">
        <v>17</v>
      </c>
      <c r="H7" s="1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customHeight="1" x14ac:dyDescent="0.25">
      <c r="A8" s="22">
        <v>2011</v>
      </c>
      <c r="B8" s="6">
        <v>326364381.68000001</v>
      </c>
      <c r="C8" s="6">
        <v>256249489.41</v>
      </c>
      <c r="D8" s="5">
        <f>SUM(B8:C8)</f>
        <v>582613871.09000003</v>
      </c>
      <c r="E8" s="6"/>
      <c r="F8" s="24">
        <f>(B8/D8)*100</f>
        <v>56.017269391374377</v>
      </c>
      <c r="G8" s="12">
        <f t="shared" ref="G8:G11" si="0">((B8-B7)/B8)*100</f>
        <v>55.873612111506567</v>
      </c>
      <c r="H8" s="1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customHeight="1" x14ac:dyDescent="0.25">
      <c r="A9" s="22">
        <v>2012</v>
      </c>
      <c r="B9" s="6">
        <v>302095970.83999997</v>
      </c>
      <c r="C9" s="6">
        <v>399524598.81999999</v>
      </c>
      <c r="D9" s="5">
        <f t="shared" ref="D9:D13" si="1">SUM(B9:C9)</f>
        <v>701620569.65999997</v>
      </c>
      <c r="E9" s="6"/>
      <c r="F9" s="24">
        <f>(B9/D9)*100</f>
        <v>43.056886286329004</v>
      </c>
      <c r="G9" s="12">
        <f t="shared" si="0"/>
        <v>-8.0333447587930227</v>
      </c>
      <c r="H9" s="1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customHeight="1" x14ac:dyDescent="0.25">
      <c r="A10" s="22">
        <v>2013</v>
      </c>
      <c r="B10" s="6">
        <v>328802942.31999999</v>
      </c>
      <c r="C10" s="6">
        <v>414071405.61000001</v>
      </c>
      <c r="D10" s="5">
        <f t="shared" si="1"/>
        <v>742874347.93000007</v>
      </c>
      <c r="E10" s="6"/>
      <c r="F10" s="24">
        <f>(B10/D10)*100</f>
        <v>44.260909430538391</v>
      </c>
      <c r="G10" s="12">
        <f t="shared" si="0"/>
        <v>8.1224855506335665</v>
      </c>
      <c r="H10" s="1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customHeight="1" x14ac:dyDescent="0.25">
      <c r="A11" s="22">
        <v>2014</v>
      </c>
      <c r="B11" s="6">
        <v>343675121.81999999</v>
      </c>
      <c r="C11" s="6">
        <v>454365280.81999999</v>
      </c>
      <c r="D11" s="5">
        <f t="shared" si="1"/>
        <v>798040402.63999999</v>
      </c>
      <c r="E11" s="6"/>
      <c r="F11" s="24">
        <f t="shared" ref="F11:F12" si="2">(B11/D11)*100</f>
        <v>43.064877502829084</v>
      </c>
      <c r="G11" s="12">
        <f t="shared" si="0"/>
        <v>4.327394843490973</v>
      </c>
      <c r="H11" s="1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5" customHeight="1" x14ac:dyDescent="0.25">
      <c r="A12" s="22">
        <v>2015</v>
      </c>
      <c r="B12" s="6">
        <v>387387234.02999997</v>
      </c>
      <c r="C12" s="6">
        <v>504476564.63999999</v>
      </c>
      <c r="D12" s="5">
        <f t="shared" si="1"/>
        <v>891863798.66999996</v>
      </c>
      <c r="E12" s="6"/>
      <c r="F12" s="24">
        <f t="shared" si="2"/>
        <v>43.4356943972493</v>
      </c>
      <c r="G12" s="12">
        <f>((B12-B11)/B12)*100</f>
        <v>11.283828781671941</v>
      </c>
      <c r="H12" s="1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customHeight="1" x14ac:dyDescent="0.25">
      <c r="A13" s="25">
        <v>2016</v>
      </c>
      <c r="B13" s="9">
        <v>393277818.06999999</v>
      </c>
      <c r="C13" s="9">
        <v>543961771.16999996</v>
      </c>
      <c r="D13" s="27">
        <f t="shared" si="1"/>
        <v>937239589.24000001</v>
      </c>
      <c r="E13" s="8"/>
      <c r="F13" s="26">
        <f>(B13/D13)*100</f>
        <v>41.961289576863244</v>
      </c>
      <c r="G13" s="13">
        <f>((B13-B12)/B13)*100</f>
        <v>1.4978175145773285</v>
      </c>
      <c r="H13" s="1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customHeight="1" x14ac:dyDescent="0.45">
      <c r="A14" s="10" t="s">
        <v>5</v>
      </c>
      <c r="B14" s="1"/>
      <c r="C14" s="1"/>
      <c r="D14" s="1"/>
      <c r="E14" s="1"/>
      <c r="F14" s="1"/>
      <c r="G14" s="11" t="s">
        <v>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</sheetData>
  <mergeCells count="7">
    <mergeCell ref="A1:G1"/>
    <mergeCell ref="A2:G2"/>
    <mergeCell ref="B4:B5"/>
    <mergeCell ref="C4:C5"/>
    <mergeCell ref="D4:D5"/>
    <mergeCell ref="F4:G4"/>
    <mergeCell ref="A4:A5"/>
  </mergeCells>
  <pageMargins left="0.7" right="0.7" top="0.75" bottom="0.75" header="0.3" footer="0.3"/>
  <pageSetup paperSize="9" scale="95" orientation="landscape" horizontalDpi="4294967295" verticalDpi="4294967295" r:id="rId1"/>
  <ignoredErrors>
    <ignoredError sqref="D7:D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18.10</vt:lpstr>
      <vt:lpstr>'18.10'!Print_Area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2017-07-04T08:54:05Z</cp:lastPrinted>
  <dcterms:modified xsi:type="dcterms:W3CDTF">2017-07-04T08:54:17Z</dcterms:modified>
</cp:coreProperties>
</file>