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702"/>
  </bookViews>
  <sheets>
    <sheet name="18.7" sheetId="7" r:id="rId1"/>
  </sheets>
  <externalReferences>
    <externalReference r:id="rId2"/>
    <externalReference r:id="rId3"/>
  </externalReferences>
  <definedNames>
    <definedName name="_xlnm.Print_Area" localSheetId="0">'18.7'!$A$1:$K$40</definedName>
  </definedNames>
  <calcPr calcId="144525"/>
</workbook>
</file>

<file path=xl/calcChain.xml><?xml version="1.0" encoding="utf-8"?>
<calcChain xmlns="http://schemas.openxmlformats.org/spreadsheetml/2006/main">
  <c r="F19" i="7" l="1"/>
  <c r="B19" i="7"/>
  <c r="F18" i="7"/>
  <c r="B18" i="7"/>
  <c r="F17" i="7"/>
  <c r="B17" i="7"/>
  <c r="F16" i="7"/>
  <c r="B16" i="7"/>
  <c r="F15" i="7"/>
  <c r="B15" i="7"/>
  <c r="F14" i="7"/>
  <c r="B14" i="7"/>
  <c r="F13" i="7"/>
  <c r="B13" i="7"/>
  <c r="F12" i="7"/>
  <c r="B12" i="7"/>
  <c r="F11" i="7"/>
  <c r="B11" i="7"/>
  <c r="F10" i="7"/>
  <c r="B10" i="7"/>
  <c r="F9" i="7"/>
  <c r="B9" i="7"/>
  <c r="F8" i="7"/>
  <c r="B8" i="7"/>
</calcChain>
</file>

<file path=xl/sharedStrings.xml><?xml version="1.0" encoding="utf-8"?>
<sst xmlns="http://schemas.openxmlformats.org/spreadsheetml/2006/main" count="44" uniqueCount="40">
  <si>
    <t>Total</t>
  </si>
  <si>
    <t>Source: Maldives Pension Administration</t>
  </si>
  <si>
    <t>މަޢުލޫމާތު ދެއްވި ފަރާތް: މޯލްޑިވްސް ޕެންޝަން އެޑްމިނިސްޓްރޭޝަން</t>
  </si>
  <si>
    <t>Month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</si>
  <si>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</si>
  <si>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</si>
  <si>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</si>
  <si>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</si>
  <si>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</si>
  <si>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</si>
  <si>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</si>
  <si>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</si>
  <si>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</si>
  <si>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</si>
  <si>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</si>
  <si>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</si>
  <si>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</si>
  <si>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</si>
  <si>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</si>
  <si>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</si>
  <si>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</si>
  <si>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</si>
  <si>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</si>
  <si>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</si>
  <si>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</si>
  <si>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</si>
  <si>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</si>
  <si>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</si>
  <si>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Senior Citizen Allowance was introduced in February 2014.</t>
  </si>
  <si>
    <t xml:space="preserve">ސީނިއަރ ސިޓިޒަން އެލަވަންސް ސްކީމް ތަޢާރަފުކުރެވިފައިވާ ފެބްރުއަރީ 2014 ގައެވެ. </t>
  </si>
  <si>
    <t>65-69</t>
  </si>
  <si>
    <t>70-74</t>
  </si>
  <si>
    <t>65-69 yrs</t>
  </si>
  <si>
    <t>75 +</t>
  </si>
  <si>
    <t>70-74 yrs</t>
  </si>
  <si>
    <t>ތާވަލު  18.7: ސީނިއަރ ސިޓިޒަން އެލަވަންސް ލިބޭ މީހުންގެ އަދަދު އަދި ޢުމުރުފުރާތައް، 2015 - 2016</t>
  </si>
  <si>
    <t>TABLE 18.7: NUMBER OF BENEFICIARIES OF SENIOR CITIZEN ALLOWANCE BY AGE, 2015 - 2016</t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</si>
  <si>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</si>
  <si>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</si>
  <si>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t xml:space="preserve">75 + yrs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</si>
</sst>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11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sz val="8"/>
      <color rgb="FF000000"/>
      <name val="Faruma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0" fillId="0" borderId="0"/>
    <xf numFmtId="0" fontId="9" fillId="0" borderId="0"/>
  </cellStyleXfs>
  <cellXfs count="35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0" fillId="2" borderId="0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right" vertical="center"/>
    </xf>
    <xf numFmtId="0" fontId="1" fillId="2" borderId="0" xfId="0" applyFont="1" applyFill="1" applyBorder="1"/>
    <xf numFmtId="0" fontId="0" fillId="2" borderId="6" xfId="0" applyFont="1" applyFill="1" applyBorder="1"/>
    <xf numFmtId="164" fontId="0" fillId="2" borderId="0" xfId="0" applyNumberFormat="1" applyFont="1" applyFill="1" applyBorder="1"/>
    <xf numFmtId="0" fontId="4" fillId="2" borderId="0" xfId="0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vertical="center"/>
    </xf>
    <xf numFmtId="0" fontId="5" fillId="2" borderId="0" xfId="0" applyFont="1" applyFill="1" applyBorder="1"/>
    <xf numFmtId="0" fontId="6" fillId="2" borderId="0" xfId="0" applyFont="1" applyFill="1" applyBorder="1"/>
    <xf numFmtId="0" fontId="7" fillId="2" borderId="0" xfId="0" applyFont="1" applyFill="1" applyBorder="1" applyAlignment="1"/>
    <xf numFmtId="164" fontId="0" fillId="2" borderId="5" xfId="0" applyNumberFormat="1" applyFont="1" applyFill="1" applyBorder="1"/>
    <xf numFmtId="164" fontId="0" fillId="2" borderId="7" xfId="0" applyNumberFormat="1" applyFont="1" applyFill="1" applyBorder="1"/>
    <xf numFmtId="164" fontId="0" fillId="2" borderId="6" xfId="0" applyNumberFormat="1" applyFont="1" applyFill="1" applyBorder="1"/>
    <xf numFmtId="164" fontId="0" fillId="4" borderId="0" xfId="0" applyNumberFormat="1" applyFont="1" applyFill="1" applyBorder="1" applyAlignment="1"/>
    <xf numFmtId="164" fontId="0" fillId="4" borderId="6" xfId="0" applyNumberFormat="1" applyFont="1" applyFill="1" applyBorder="1" applyAlignment="1"/>
    <xf numFmtId="0" fontId="1" fillId="2" borderId="0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1" fillId="2" borderId="0" xfId="0" applyFont="1" applyFill="1" applyBorder="1" applyAlignment="1">
      <alignment horizontal="center"/>
    </xf>
    <xf numFmtId="0" fontId="2" fillId="3" borderId="0" xfId="0" applyFont="1" applyFill="1" applyBorder="1"/>
    <xf numFmtId="0" fontId="2" fillId="3" borderId="3" xfId="0" applyFont="1" applyFill="1" applyBorder="1"/>
    <xf numFmtId="0" fontId="2" fillId="3" borderId="6" xfId="0" applyFont="1" applyFill="1" applyBorder="1"/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981936775975735"/>
          <c:y val="0.1514026272957861"/>
          <c:w val="0.41302422754888279"/>
          <c:h val="0.83771474127302648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rgbClr val="953735"/>
              </a:solidFill>
            </c:spPr>
          </c:dPt>
          <c:dPt>
            <c:idx val="1"/>
            <c:bubble3D val="0"/>
            <c:spPr/>
          </c:dPt>
          <c:dPt>
            <c:idx val="2"/>
            <c:bubble3D val="0"/>
            <c:spPr/>
          </c:dPt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'18.7'!$G$7:$I$7</c:f>
              <c:strCache>
                <c:ptCount val="3"/>
                <c:pt idx="0">
                  <c:v>65-69</c:v>
                </c:pt>
                <c:pt idx="1">
                  <c:v>70-74</c:v>
                </c:pt>
                <c:pt idx="2">
                  <c:v>75 +</c:v>
                </c:pt>
              </c:strCache>
            </c:strRef>
          </c:cat>
          <c:val>
            <c:numRef>
              <c:f>'18.7'!$G$19:$I$19</c:f>
              <c:numCache>
                <c:formatCode>_(* #,##0_);_(* \(#,##0\);_(* "-"??_);_(@_)</c:formatCode>
                <c:ptCount val="3"/>
                <c:pt idx="0">
                  <c:v>4354</c:v>
                </c:pt>
                <c:pt idx="1">
                  <c:v>4430</c:v>
                </c:pt>
                <c:pt idx="2">
                  <c:v>7995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738962</xdr:colOff>
      <xdr:row>21</xdr:row>
      <xdr:rowOff>153285</xdr:rowOff>
    </xdr:from>
    <xdr:to>
      <xdr:col>8</xdr:col>
      <xdr:colOff>834212</xdr:colOff>
      <xdr:row>39</xdr:row>
      <xdr:rowOff>124711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904874</xdr:colOff>
      <xdr:row>24</xdr:row>
      <xdr:rowOff>180975</xdr:rowOff>
    </xdr:from>
    <xdr:to>
      <xdr:col>8</xdr:col>
      <xdr:colOff>619124</xdr:colOff>
      <xdr:row>24</xdr:row>
      <xdr:rowOff>180975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1333499" y="5619750"/>
          <a:ext cx="618172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0.01585</cdr:x>
      <cdr:y>0.00554</cdr:y>
    </cdr:from>
    <cdr:to>
      <cdr:x>0.99208</cdr:x>
      <cdr:y>0.14801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4019" y="18165"/>
          <a:ext cx="6406729" cy="4668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18.9: Percentage share of beneficiaries of senior citizen allowance by </a:t>
          </a:r>
          <a:r>
            <a:rPr lang="en-US" sz="1100" b="1" i="0">
              <a:effectLst/>
              <a:latin typeface="+mn-lt"/>
              <a:ea typeface="+mn-ea"/>
              <a:cs typeface="+mn-cs"/>
            </a:rPr>
            <a:t>age group</a:t>
          </a: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, </a:t>
          </a:r>
          <a:r>
            <a:rPr lang="en-US" sz="1100" b="1" i="0" baseline="0">
              <a:effectLst/>
              <a:latin typeface="+mn-lt"/>
              <a:ea typeface="+mn-ea"/>
              <a:cs typeface="+mn-cs"/>
            </a:rPr>
            <a:t>2016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Copy%20of%20Statistical%20Year%20book%20for%20the%20year%202016%20for%20NSPA%20_%20NBS%20Comments%20_%20NSPA%20p%20%20%20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1.24"/>
      <sheetName val="11.25"/>
      <sheetName val="11.26"/>
      <sheetName val="11.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N5">
            <v>2013</v>
          </cell>
          <cell r="O5">
            <v>2014</v>
          </cell>
          <cell r="P5">
            <v>2015</v>
          </cell>
        </row>
        <row r="6">
          <cell r="N6">
            <v>299661096.44</v>
          </cell>
          <cell r="O6">
            <v>349220698.38999999</v>
          </cell>
          <cell r="P6">
            <v>180614696.01000002</v>
          </cell>
        </row>
        <row r="7">
          <cell r="A7" t="str">
            <v>January</v>
          </cell>
          <cell r="O7">
            <v>23170714.699999999</v>
          </cell>
          <cell r="P7">
            <v>18871576.670000002</v>
          </cell>
        </row>
        <row r="8">
          <cell r="A8" t="str">
            <v>February</v>
          </cell>
          <cell r="O8">
            <v>24382093.82</v>
          </cell>
          <cell r="P8">
            <v>11560674.26</v>
          </cell>
        </row>
        <row r="9">
          <cell r="A9" t="str">
            <v>March</v>
          </cell>
          <cell r="O9">
            <v>65018059.100000001</v>
          </cell>
          <cell r="P9">
            <v>11961755.039999999</v>
          </cell>
        </row>
        <row r="10">
          <cell r="A10" t="str">
            <v>April</v>
          </cell>
          <cell r="O10">
            <v>26571752.030000001</v>
          </cell>
          <cell r="P10">
            <v>14237831.629999999</v>
          </cell>
        </row>
        <row r="11">
          <cell r="A11" t="str">
            <v>May</v>
          </cell>
          <cell r="O11">
            <v>27344862.630000003</v>
          </cell>
          <cell r="P11">
            <v>15232383.639999999</v>
          </cell>
        </row>
        <row r="12">
          <cell r="A12" t="str">
            <v>June</v>
          </cell>
          <cell r="O12">
            <v>27437953.34</v>
          </cell>
          <cell r="P12">
            <v>16698376.539999999</v>
          </cell>
        </row>
        <row r="13">
          <cell r="A13" t="str">
            <v>July</v>
          </cell>
          <cell r="O13">
            <v>27536963.569999997</v>
          </cell>
          <cell r="P13">
            <v>17014342.27</v>
          </cell>
        </row>
        <row r="14">
          <cell r="A14" t="str">
            <v>August</v>
          </cell>
          <cell r="O14">
            <v>27542726.530000001</v>
          </cell>
          <cell r="P14">
            <v>14637041.91</v>
          </cell>
        </row>
        <row r="15">
          <cell r="A15" t="str">
            <v>September</v>
          </cell>
          <cell r="O15">
            <v>26488280.200000003</v>
          </cell>
          <cell r="P15">
            <v>14637041.91</v>
          </cell>
        </row>
        <row r="16">
          <cell r="A16" t="str">
            <v>October</v>
          </cell>
          <cell r="O16">
            <v>26944673.18</v>
          </cell>
          <cell r="P16">
            <v>15266487.300000001</v>
          </cell>
        </row>
        <row r="17">
          <cell r="A17" t="str">
            <v>November</v>
          </cell>
          <cell r="O17">
            <v>24549554.030000001</v>
          </cell>
          <cell r="P17">
            <v>15648041.789999999</v>
          </cell>
        </row>
        <row r="18">
          <cell r="A18" t="str">
            <v>December</v>
          </cell>
          <cell r="O18">
            <v>22233065.260000002</v>
          </cell>
          <cell r="P18">
            <v>14849143.050000001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E41"/>
  <sheetViews>
    <sheetView tabSelected="1" zoomScaleNormal="100" workbookViewId="0">
      <selection activeCell="V1" sqref="V1:V1048576"/>
    </sheetView>
  </sheetViews>
  <sheetFormatPr defaultColWidth="15.140625" defaultRowHeight="15" customHeight="1" x14ac:dyDescent="0.25"/>
  <cols>
    <col min="1" max="1" width="6.42578125" style="2" customWidth="1"/>
    <col min="2" max="9" width="13.85546875" style="2" customWidth="1"/>
    <col min="10" max="10" width="13.7109375" style="2" customWidth="1"/>
    <col min="11" max="11" width="1.140625" style="2" customWidth="1"/>
    <col min="12" max="12" width="7.42578125" style="2" customWidth="1"/>
    <col min="13" max="13" width="9" style="2" customWidth="1"/>
    <col min="14" max="14" width="8.42578125" style="2" customWidth="1"/>
    <col min="15" max="15" width="8.140625" style="2" customWidth="1"/>
    <col min="16" max="16" width="9" style="2" customWidth="1"/>
    <col min="17" max="17" width="9.28515625" style="2" customWidth="1"/>
    <col min="18" max="18" width="7.42578125" style="2" customWidth="1"/>
    <col min="19" max="19" width="9" style="2" customWidth="1"/>
    <col min="20" max="20" width="8.42578125" style="2" customWidth="1"/>
    <col min="21" max="22" width="8.140625" style="2" customWidth="1"/>
    <col min="23" max="23" width="9" style="2" customWidth="1"/>
    <col min="24" max="24" width="12.7109375" style="2" customWidth="1"/>
    <col min="25" max="25" width="1.7109375" style="2" customWidth="1"/>
    <col min="26" max="31" width="8" style="2" customWidth="1"/>
    <col min="32" max="16384" width="15.140625" style="2"/>
  </cols>
  <sheetData>
    <row r="1" spans="1:31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1" customHeight="1" x14ac:dyDescent="0.55000000000000004">
      <c r="A2" s="26" t="s">
        <v>35</v>
      </c>
      <c r="B2" s="27"/>
      <c r="C2" s="27"/>
      <c r="D2" s="27"/>
      <c r="E2" s="27"/>
      <c r="F2" s="27"/>
      <c r="G2" s="27"/>
      <c r="H2" s="27"/>
      <c r="I2" s="27"/>
      <c r="J2" s="27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1"/>
    </row>
    <row r="3" spans="1:31" x14ac:dyDescent="0.25">
      <c r="A3" s="24" t="s">
        <v>36</v>
      </c>
      <c r="B3" s="27"/>
      <c r="C3" s="27"/>
      <c r="D3" s="27"/>
      <c r="E3" s="27"/>
      <c r="F3" s="27"/>
      <c r="G3" s="27"/>
      <c r="H3" s="27"/>
      <c r="I3" s="27"/>
      <c r="J3" s="2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5">
      <c r="A4" s="1"/>
      <c r="B4" s="21"/>
      <c r="C4" s="21"/>
      <c r="D4" s="21"/>
      <c r="E4" s="21"/>
      <c r="F4" s="21"/>
      <c r="G4" s="21"/>
      <c r="H4" s="21"/>
      <c r="I4" s="21"/>
      <c r="J4" s="21"/>
      <c r="K4" s="1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1"/>
      <c r="Z4" s="1"/>
      <c r="AA4" s="1"/>
      <c r="AB4" s="1"/>
      <c r="AC4" s="1"/>
      <c r="AD4" s="1"/>
      <c r="AE4" s="1"/>
    </row>
    <row r="5" spans="1:31" x14ac:dyDescent="0.25">
      <c r="A5" s="31" t="s">
        <v>3</v>
      </c>
      <c r="B5" s="33">
        <v>2015</v>
      </c>
      <c r="C5" s="25"/>
      <c r="D5" s="25"/>
      <c r="E5" s="25"/>
      <c r="F5" s="33">
        <v>2016</v>
      </c>
      <c r="G5" s="25"/>
      <c r="H5" s="25"/>
      <c r="I5" s="25"/>
      <c r="J5" s="22"/>
      <c r="K5" s="1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1"/>
      <c r="Z5" s="1"/>
      <c r="AA5" s="1"/>
      <c r="AB5" s="1"/>
      <c r="AC5" s="1"/>
      <c r="AD5" s="1"/>
      <c r="AE5" s="1"/>
    </row>
    <row r="6" spans="1:31" ht="21" customHeight="1" x14ac:dyDescent="0.55000000000000004">
      <c r="A6" s="27"/>
      <c r="B6" s="32" t="s">
        <v>37</v>
      </c>
      <c r="C6" s="28"/>
      <c r="D6" s="28"/>
      <c r="E6" s="28"/>
      <c r="F6" s="34" t="s">
        <v>38</v>
      </c>
      <c r="G6" s="28"/>
      <c r="H6" s="28"/>
      <c r="I6" s="28"/>
      <c r="J6" s="30"/>
      <c r="K6" s="20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" customHeight="1" x14ac:dyDescent="0.25">
      <c r="A7" s="29"/>
      <c r="B7" s="4" t="s">
        <v>0</v>
      </c>
      <c r="C7" s="4" t="s">
        <v>30</v>
      </c>
      <c r="D7" s="4" t="s">
        <v>31</v>
      </c>
      <c r="E7" s="4" t="s">
        <v>33</v>
      </c>
      <c r="F7" s="5" t="s">
        <v>0</v>
      </c>
      <c r="G7" s="4" t="s">
        <v>30</v>
      </c>
      <c r="H7" s="4" t="s">
        <v>31</v>
      </c>
      <c r="I7" s="4" t="s">
        <v>33</v>
      </c>
      <c r="J7" s="2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1" customHeight="1" x14ac:dyDescent="0.25">
      <c r="A8" s="1" t="s">
        <v>4</v>
      </c>
      <c r="B8" s="8">
        <f t="shared" ref="B8:B19" si="0">SUM(C8:E8)</f>
        <v>16382</v>
      </c>
      <c r="C8" s="8">
        <v>4140</v>
      </c>
      <c r="D8" s="8">
        <v>4805</v>
      </c>
      <c r="E8" s="8">
        <v>7437</v>
      </c>
      <c r="F8" s="15">
        <f t="shared" ref="F8:F19" si="1">SUM(G8:I8)</f>
        <v>16804</v>
      </c>
      <c r="G8" s="18">
        <v>4426</v>
      </c>
      <c r="H8" s="18">
        <v>4631</v>
      </c>
      <c r="I8" s="18">
        <v>7747</v>
      </c>
      <c r="J8" s="9" t="s">
        <v>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21" customHeight="1" x14ac:dyDescent="0.25">
      <c r="A9" s="1" t="s">
        <v>6</v>
      </c>
      <c r="B9" s="8">
        <f t="shared" si="0"/>
        <v>16379</v>
      </c>
      <c r="C9" s="8">
        <v>4190</v>
      </c>
      <c r="D9" s="8">
        <v>4781</v>
      </c>
      <c r="E9" s="8">
        <v>7408</v>
      </c>
      <c r="F9" s="15">
        <f t="shared" si="1"/>
        <v>16874</v>
      </c>
      <c r="G9" s="18">
        <v>4504</v>
      </c>
      <c r="H9" s="18">
        <v>4633</v>
      </c>
      <c r="I9" s="18">
        <v>7737</v>
      </c>
      <c r="J9" s="9" t="s">
        <v>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1" customHeight="1" x14ac:dyDescent="0.25">
      <c r="A10" s="1" t="s">
        <v>8</v>
      </c>
      <c r="B10" s="8">
        <f t="shared" si="0"/>
        <v>16534</v>
      </c>
      <c r="C10" s="8">
        <v>4388</v>
      </c>
      <c r="D10" s="8">
        <v>4779</v>
      </c>
      <c r="E10" s="8">
        <v>7367</v>
      </c>
      <c r="F10" s="15">
        <f t="shared" si="1"/>
        <v>16871</v>
      </c>
      <c r="G10" s="18">
        <v>4540</v>
      </c>
      <c r="H10" s="18">
        <v>4664</v>
      </c>
      <c r="I10" s="18">
        <v>7667</v>
      </c>
      <c r="J10" s="9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21" customHeight="1" x14ac:dyDescent="0.25">
      <c r="A11" s="1" t="s">
        <v>10</v>
      </c>
      <c r="B11" s="8">
        <f t="shared" si="0"/>
        <v>16533</v>
      </c>
      <c r="C11" s="8">
        <v>4393</v>
      </c>
      <c r="D11" s="8">
        <v>4798</v>
      </c>
      <c r="E11" s="8">
        <v>7342</v>
      </c>
      <c r="F11" s="15">
        <f t="shared" si="1"/>
        <v>16884</v>
      </c>
      <c r="G11" s="18">
        <v>4578</v>
      </c>
      <c r="H11" s="18">
        <v>4626</v>
      </c>
      <c r="I11" s="18">
        <v>7680</v>
      </c>
      <c r="J11" s="9" t="s">
        <v>11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21" customHeight="1" x14ac:dyDescent="0.25">
      <c r="A12" s="1" t="s">
        <v>12</v>
      </c>
      <c r="B12" s="8">
        <f t="shared" si="0"/>
        <v>16558</v>
      </c>
      <c r="C12" s="8">
        <v>4474</v>
      </c>
      <c r="D12" s="8">
        <v>4750</v>
      </c>
      <c r="E12" s="8">
        <v>7334</v>
      </c>
      <c r="F12" s="15">
        <f t="shared" si="1"/>
        <v>16914</v>
      </c>
      <c r="G12" s="18">
        <v>4592</v>
      </c>
      <c r="H12" s="18">
        <v>4662</v>
      </c>
      <c r="I12" s="18">
        <v>7660</v>
      </c>
      <c r="J12" s="9" t="s">
        <v>13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21" customHeight="1" x14ac:dyDescent="0.25">
      <c r="A13" s="1" t="s">
        <v>14</v>
      </c>
      <c r="B13" s="8">
        <f t="shared" si="0"/>
        <v>16591</v>
      </c>
      <c r="C13" s="8">
        <v>4475</v>
      </c>
      <c r="D13" s="8">
        <v>4788</v>
      </c>
      <c r="E13" s="8">
        <v>7328</v>
      </c>
      <c r="F13" s="15">
        <f t="shared" si="1"/>
        <v>16851</v>
      </c>
      <c r="G13" s="18">
        <v>4614</v>
      </c>
      <c r="H13" s="18">
        <v>4630</v>
      </c>
      <c r="I13" s="18">
        <v>7607</v>
      </c>
      <c r="J13" s="9" t="s">
        <v>15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21" customHeight="1" x14ac:dyDescent="0.25">
      <c r="A14" s="1" t="s">
        <v>16</v>
      </c>
      <c r="B14" s="8">
        <f t="shared" si="0"/>
        <v>16570</v>
      </c>
      <c r="C14" s="8">
        <v>4514</v>
      </c>
      <c r="D14" s="8">
        <v>4745</v>
      </c>
      <c r="E14" s="8">
        <v>7311</v>
      </c>
      <c r="F14" s="15">
        <f t="shared" si="1"/>
        <v>16843</v>
      </c>
      <c r="G14" s="18">
        <v>4623</v>
      </c>
      <c r="H14" s="18">
        <v>4640</v>
      </c>
      <c r="I14" s="18">
        <v>7580</v>
      </c>
      <c r="J14" s="9" t="s">
        <v>17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21" customHeight="1" x14ac:dyDescent="0.25">
      <c r="A15" s="1" t="s">
        <v>18</v>
      </c>
      <c r="B15" s="8">
        <f t="shared" si="0"/>
        <v>16610</v>
      </c>
      <c r="C15" s="8">
        <v>4576</v>
      </c>
      <c r="D15" s="8">
        <v>4731</v>
      </c>
      <c r="E15" s="8">
        <v>7303</v>
      </c>
      <c r="F15" s="15">
        <f t="shared" si="1"/>
        <v>16837</v>
      </c>
      <c r="G15" s="18">
        <v>4316</v>
      </c>
      <c r="H15" s="18">
        <v>4981</v>
      </c>
      <c r="I15" s="18">
        <v>7540</v>
      </c>
      <c r="J15" s="9" t="s">
        <v>19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21" customHeight="1" x14ac:dyDescent="0.25">
      <c r="A16" s="1" t="s">
        <v>20</v>
      </c>
      <c r="B16" s="8">
        <f t="shared" si="0"/>
        <v>16639</v>
      </c>
      <c r="C16" s="8">
        <v>4167</v>
      </c>
      <c r="D16" s="8">
        <v>4680</v>
      </c>
      <c r="E16" s="8">
        <v>7792</v>
      </c>
      <c r="F16" s="15">
        <f t="shared" si="1"/>
        <v>16849</v>
      </c>
      <c r="G16" s="18">
        <v>4347</v>
      </c>
      <c r="H16" s="18">
        <v>4503</v>
      </c>
      <c r="I16" s="18">
        <v>7999</v>
      </c>
      <c r="J16" s="9" t="s">
        <v>21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21" customHeight="1" x14ac:dyDescent="0.25">
      <c r="A17" s="1" t="s">
        <v>22</v>
      </c>
      <c r="B17" s="8">
        <f t="shared" si="0"/>
        <v>16642</v>
      </c>
      <c r="C17" s="8">
        <v>4174</v>
      </c>
      <c r="D17" s="8">
        <v>4670</v>
      </c>
      <c r="E17" s="8">
        <v>7798</v>
      </c>
      <c r="F17" s="15">
        <f t="shared" si="1"/>
        <v>16814</v>
      </c>
      <c r="G17" s="18">
        <v>4355</v>
      </c>
      <c r="H17" s="18">
        <v>4470</v>
      </c>
      <c r="I17" s="18">
        <v>7989</v>
      </c>
      <c r="J17" s="9" t="s">
        <v>23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21" customHeight="1" x14ac:dyDescent="0.25">
      <c r="A18" s="1" t="s">
        <v>24</v>
      </c>
      <c r="B18" s="8">
        <f t="shared" si="0"/>
        <v>16638</v>
      </c>
      <c r="C18" s="8">
        <v>4181</v>
      </c>
      <c r="D18" s="8">
        <v>4672</v>
      </c>
      <c r="E18" s="8">
        <v>7785</v>
      </c>
      <c r="F18" s="15">
        <f t="shared" si="1"/>
        <v>16774</v>
      </c>
      <c r="G18" s="18">
        <v>4348</v>
      </c>
      <c r="H18" s="18">
        <v>4437</v>
      </c>
      <c r="I18" s="18">
        <v>7989</v>
      </c>
      <c r="J18" s="9" t="s">
        <v>25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21" customHeight="1" x14ac:dyDescent="0.25">
      <c r="A19" s="7" t="s">
        <v>26</v>
      </c>
      <c r="B19" s="17">
        <f t="shared" si="0"/>
        <v>16561</v>
      </c>
      <c r="C19" s="17">
        <v>4147</v>
      </c>
      <c r="D19" s="17">
        <v>4656</v>
      </c>
      <c r="E19" s="17">
        <v>7758</v>
      </c>
      <c r="F19" s="16">
        <f t="shared" si="1"/>
        <v>16779</v>
      </c>
      <c r="G19" s="19">
        <v>4354</v>
      </c>
      <c r="H19" s="19">
        <v>4430</v>
      </c>
      <c r="I19" s="19">
        <v>7995</v>
      </c>
      <c r="J19" s="10" t="s">
        <v>27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6.5" customHeight="1" x14ac:dyDescent="0.25">
      <c r="A20" s="11" t="s">
        <v>28</v>
      </c>
      <c r="B20" s="3"/>
      <c r="C20" s="3"/>
      <c r="D20" s="3"/>
      <c r="E20" s="3"/>
      <c r="F20" s="3"/>
      <c r="G20" s="3"/>
      <c r="H20" s="3"/>
      <c r="I20" s="3"/>
      <c r="J20" s="23" t="s">
        <v>29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17.25" customHeight="1" x14ac:dyDescent="0.45">
      <c r="A21" s="13" t="s">
        <v>1</v>
      </c>
      <c r="B21" s="12"/>
      <c r="C21" s="12"/>
      <c r="D21" s="12"/>
      <c r="E21" s="12"/>
      <c r="F21" s="12"/>
      <c r="G21" s="12"/>
      <c r="H21" s="12"/>
      <c r="I21" s="12"/>
      <c r="J21" s="14" t="s">
        <v>2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spans="1:3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5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4" t="s">
        <v>32</v>
      </c>
      <c r="AD27" s="4" t="s">
        <v>34</v>
      </c>
      <c r="AE27" s="4" t="s">
        <v>39</v>
      </c>
    </row>
    <row r="28" spans="1:3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</sheetData>
  <mergeCells count="8">
    <mergeCell ref="A2:J2"/>
    <mergeCell ref="A3:J3"/>
    <mergeCell ref="B6:E6"/>
    <mergeCell ref="J6:J7"/>
    <mergeCell ref="F6:I6"/>
    <mergeCell ref="B5:E5"/>
    <mergeCell ref="F5:I5"/>
    <mergeCell ref="A5:A7"/>
  </mergeCells>
  <pageMargins left="0.7" right="0.7" top="0.75" bottom="0.75" header="0.3" footer="0.3"/>
  <pageSetup paperSize="9" scale="7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18.7</vt:lpstr>
      <vt:lpstr>'18.7'!Print_Area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2017-07-04T07:17:27Z</cp:lastPrinted>
  <dcterms:modified xsi:type="dcterms:W3CDTF">2017-07-04T07:17:28Z</dcterms:modified>
</cp:coreProperties>
</file>