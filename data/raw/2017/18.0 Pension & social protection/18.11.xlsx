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70" windowWidth="27495" windowHeight="11700" tabRatio="702"/>
  </bookViews>
  <sheets>
    <sheet name="18.11" sheetId="11" r:id="rId1"/>
  </sheets>
  <externalReferences>
    <externalReference r:id="rId2"/>
    <externalReference r:id="rId3"/>
  </externalReferences>
  <definedNames>
    <definedName name="_xlnm.Print_Area" localSheetId="0">'18.11'!$A$1:$N$61</definedName>
  </definedNames>
  <calcPr calcId="144525"/>
</workbook>
</file>

<file path=xl/calcChain.xml><?xml version="1.0" encoding="utf-8"?>
<calcChain xmlns="http://schemas.openxmlformats.org/spreadsheetml/2006/main">
  <c r="AN19" i="11" l="1"/>
  <c r="AK19" i="11"/>
  <c r="AM19" i="11" l="1"/>
  <c r="AN20" i="11" s="1"/>
  <c r="AN21" i="11" s="1"/>
  <c r="AL19" i="11"/>
  <c r="AL20" i="11" l="1"/>
  <c r="AL21" i="11" s="1"/>
  <c r="AL23" i="11" s="1"/>
  <c r="AL24" i="11" l="1"/>
  <c r="J13" i="11"/>
  <c r="AP19" i="11" s="1"/>
  <c r="I13" i="11"/>
  <c r="AO19" i="11" s="1"/>
  <c r="E13" i="11"/>
  <c r="B13" i="11"/>
  <c r="J12" i="11"/>
  <c r="I12" i="11"/>
  <c r="E12" i="11"/>
  <c r="B12" i="11"/>
  <c r="H12" i="11" s="1"/>
  <c r="J11" i="11"/>
  <c r="I11" i="11"/>
  <c r="E11" i="11"/>
  <c r="B11" i="11"/>
  <c r="J10" i="11"/>
  <c r="I10" i="11"/>
  <c r="E10" i="11"/>
  <c r="B10" i="11"/>
  <c r="H10" i="11" s="1"/>
  <c r="J9" i="11"/>
  <c r="I9" i="11"/>
  <c r="E9" i="11"/>
  <c r="B9" i="11"/>
  <c r="J8" i="11"/>
  <c r="I8" i="11"/>
  <c r="E8" i="11"/>
  <c r="B8" i="11"/>
  <c r="H8" i="11" s="1"/>
  <c r="J7" i="11"/>
  <c r="I7" i="11"/>
  <c r="E7" i="11"/>
  <c r="B7" i="11"/>
  <c r="H7" i="11" l="1"/>
  <c r="H9" i="11"/>
  <c r="H11" i="11"/>
  <c r="AV19" i="11"/>
  <c r="AP21" i="11"/>
  <c r="AL25" i="11" s="1"/>
  <c r="H13" i="11"/>
  <c r="AP20" i="11"/>
  <c r="AU19" i="11" s="1"/>
</calcChain>
</file>

<file path=xl/sharedStrings.xml><?xml version="1.0" encoding="utf-8"?>
<sst xmlns="http://schemas.openxmlformats.org/spreadsheetml/2006/main" count="43" uniqueCount="19">
  <si>
    <t>ޖުމްލަ</t>
  </si>
  <si>
    <t>ފިރިހެން</t>
  </si>
  <si>
    <t>Total</t>
  </si>
  <si>
    <t>Male</t>
  </si>
  <si>
    <t>Female</t>
  </si>
  <si>
    <t>Source: Maldives Pension Administration</t>
  </si>
  <si>
    <t>މަޢުލޫމާތު ދެއްވި ފަރާތް: މޯލްޑިވްސް ޕެންޝަން އެޑްމިނިސްޓްރޭޝަން</t>
  </si>
  <si>
    <t xml:space="preserve">Total </t>
  </si>
  <si>
    <t>Year</t>
  </si>
  <si>
    <t>Public sector</t>
  </si>
  <si>
    <t>ތާވަލު  18.11 :ރިޓާޔަމަންޓް ޕެންޝަން ސްކީމްއަށް ޕަބްލިކް އަދި ޕްރައިވެޓް ސެކްޓަރއިން ފައިސާދެއްކި މީހުންގެ ޢަދަދު ، 2010 - 2016</t>
  </si>
  <si>
    <t>TABLE   18.11:  NUMBER OF MEMBERS CONTRIBUTING TO RETIREMENT PENSION SCHEME BY SECTOR AND SEX, 2010 - 2016</t>
  </si>
  <si>
    <t>Private sector</t>
  </si>
  <si>
    <t xml:space="preserve">އަންހެން  </t>
  </si>
  <si>
    <t xml:space="preserve">Male     </t>
  </si>
  <si>
    <t xml:space="preserve">Female        </t>
  </si>
  <si>
    <t>total</t>
  </si>
  <si>
    <t>% sahre of females</t>
  </si>
  <si>
    <t xml:space="preserve">% share of females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</si>
</sst>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* &quot;-&quot;??_);_(@_)"/>
    <numFmt numFmtId="165" formatCode="0.0"/>
    <numFmt numFmtId="166" formatCode="_(* #,##0.0_);_(* \(#,##0.0\);_(* &quot;-&quot;??_);_(@_)"/>
  </numFmts>
  <fonts count="8" x14ac:knownFonts="1">
    <font>
      <sz val="11"/>
      <color rgb="FF000000"/>
      <name val="Calibri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i/>
      <sz val="9"/>
      <color rgb="FF000000"/>
      <name val="Calibri"/>
      <family val="2"/>
    </font>
    <font>
      <sz val="9"/>
      <color rgb="FF000000"/>
      <name val="Faruma"/>
    </font>
    <font>
      <sz val="10"/>
      <name val="Arial"/>
      <family val="2"/>
    </font>
    <font>
      <sz val="10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2D69B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/>
    <xf numFmtId="164" fontId="7" fillId="0" borderId="0"/>
    <xf numFmtId="0" fontId="6" fillId="0" borderId="0"/>
  </cellStyleXfs>
  <cellXfs count="43">
    <xf numFmtId="0" fontId="0" fillId="0" borderId="0" xfId="0" applyFont="1" applyAlignment="1"/>
    <xf numFmtId="0" fontId="0" fillId="2" borderId="0" xfId="0" applyFont="1" applyFill="1" applyBorder="1"/>
    <xf numFmtId="0" fontId="0" fillId="3" borderId="0" xfId="0" applyFont="1" applyFill="1" applyAlignment="1"/>
    <xf numFmtId="0" fontId="1" fillId="2" borderId="4" xfId="0" applyFont="1" applyFill="1" applyBorder="1" applyAlignment="1">
      <alignment horizontal="right" vertical="center"/>
    </xf>
    <xf numFmtId="0" fontId="1" fillId="2" borderId="0" xfId="0" applyFont="1" applyFill="1" applyBorder="1"/>
    <xf numFmtId="164" fontId="0" fillId="2" borderId="0" xfId="0" applyNumberFormat="1" applyFont="1" applyFill="1" applyBorder="1" applyAlignment="1">
      <alignment horizontal="center" vertical="center"/>
    </xf>
    <xf numFmtId="164" fontId="0" fillId="2" borderId="4" xfId="0" applyNumberFormat="1" applyFont="1" applyFill="1" applyBorder="1" applyAlignment="1">
      <alignment horizontal="center" vertical="center"/>
    </xf>
    <xf numFmtId="164" fontId="0" fillId="4" borderId="4" xfId="0" applyNumberFormat="1" applyFont="1" applyFill="1" applyBorder="1" applyAlignment="1">
      <alignment horizontal="center" vertical="center"/>
    </xf>
    <xf numFmtId="164" fontId="0" fillId="2" borderId="0" xfId="0" applyNumberFormat="1" applyFont="1" applyFill="1" applyBorder="1"/>
    <xf numFmtId="0" fontId="4" fillId="2" borderId="0" xfId="0" applyFont="1" applyFill="1" applyBorder="1"/>
    <xf numFmtId="0" fontId="5" fillId="2" borderId="0" xfId="0" applyFont="1" applyFill="1" applyBorder="1" applyAlignment="1"/>
    <xf numFmtId="0" fontId="3" fillId="2" borderId="2" xfId="0" applyFont="1" applyFill="1" applyBorder="1" applyAlignment="1">
      <alignment vertical="center"/>
    </xf>
    <xf numFmtId="1" fontId="0" fillId="2" borderId="0" xfId="0" applyNumberFormat="1" applyFont="1" applyFill="1" applyBorder="1"/>
    <xf numFmtId="165" fontId="0" fillId="2" borderId="0" xfId="0" applyNumberFormat="1" applyFont="1" applyFill="1" applyBorder="1"/>
    <xf numFmtId="0" fontId="3" fillId="2" borderId="3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3" fillId="2" borderId="2" xfId="0" applyFont="1" applyFill="1" applyBorder="1"/>
    <xf numFmtId="0" fontId="3" fillId="2" borderId="9" xfId="0" applyFont="1" applyFill="1" applyBorder="1" applyAlignment="1">
      <alignment horizontal="right" vertical="center"/>
    </xf>
    <xf numFmtId="0" fontId="1" fillId="2" borderId="10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164" fontId="0" fillId="2" borderId="11" xfId="0" applyNumberFormat="1" applyFont="1" applyFill="1" applyBorder="1" applyAlignment="1">
      <alignment horizontal="center" vertical="center"/>
    </xf>
    <xf numFmtId="164" fontId="0" fillId="2" borderId="12" xfId="0" applyNumberFormat="1" applyFont="1" applyFill="1" applyBorder="1" applyAlignment="1">
      <alignment horizontal="center" vertical="center"/>
    </xf>
    <xf numFmtId="164" fontId="0" fillId="2" borderId="1" xfId="0" applyNumberFormat="1" applyFont="1" applyFill="1" applyBorder="1" applyAlignment="1">
      <alignment horizontal="center" vertical="center"/>
    </xf>
    <xf numFmtId="164" fontId="0" fillId="2" borderId="5" xfId="0" applyNumberFormat="1" applyFont="1" applyFill="1" applyBorder="1" applyAlignment="1">
      <alignment horizontal="center" vertical="center"/>
    </xf>
    <xf numFmtId="164" fontId="0" fillId="4" borderId="10" xfId="0" applyNumberFormat="1" applyFont="1" applyFill="1" applyBorder="1" applyAlignment="1">
      <alignment horizontal="center" vertical="center"/>
    </xf>
    <xf numFmtId="164" fontId="0" fillId="2" borderId="6" xfId="0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right"/>
    </xf>
    <xf numFmtId="0" fontId="3" fillId="2" borderId="3" xfId="0" applyFont="1" applyFill="1" applyBorder="1" applyAlignment="1">
      <alignment horizontal="right"/>
    </xf>
    <xf numFmtId="166" fontId="0" fillId="2" borderId="0" xfId="0" applyNumberFormat="1" applyFont="1" applyFill="1" applyBorder="1"/>
    <xf numFmtId="0" fontId="3" fillId="2" borderId="0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2" fillId="3" borderId="0" xfId="0" applyFont="1" applyFill="1" applyBorder="1"/>
    <xf numFmtId="0" fontId="2" fillId="3" borderId="4" xfId="0" applyFont="1" applyFill="1" applyBorder="1"/>
    <xf numFmtId="0" fontId="1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2" fillId="3" borderId="7" xfId="0" applyFont="1" applyFill="1" applyBorder="1"/>
    <xf numFmtId="0" fontId="3" fillId="2" borderId="8" xfId="0" applyFont="1" applyFill="1" applyBorder="1" applyAlignment="1">
      <alignment horizontal="center"/>
    </xf>
  </cellXfs>
  <cellStyles count="3">
    <cellStyle name="Normal" xfId="0" builtinId="0"/>
    <cellStyle name="Normal 2" xfId="1"/>
    <cellStyle name="Normal 5" xfId="2"/>
  </cellStyles>
  <dxfs count="0"/>
  <tableStyles count="0" defaultTableStyle="TableStyleMedium2" defaultPivotStyle="PivotStyleLight16"/>
  <colors>
    <mruColors>
      <color rgb="FFF8A45E"/>
      <color rgb="FF953735"/>
      <color rgb="FFFAC02C"/>
      <color rgb="FFFAC090"/>
      <color rgb="FFFDEADA"/>
      <color rgb="FFFF3399"/>
      <color rgb="FFFFE5F2"/>
      <color rgb="FFFFD5EA"/>
      <color rgb="FFFFC5E2"/>
      <color rgb="FFFF85C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2472564823202409"/>
          <c:y val="0.21323495402235559"/>
          <c:w val="0.85137992706663879"/>
          <c:h val="0.58833948204026953"/>
        </c:manualLayout>
      </c:layout>
      <c:barChart>
        <c:barDir val="col"/>
        <c:grouping val="stacked"/>
        <c:varyColors val="1"/>
        <c:ser>
          <c:idx val="0"/>
          <c:order val="0"/>
          <c:spPr>
            <a:solidFill>
              <a:srgbClr val="FAC02C"/>
            </a:solidFill>
          </c:spPr>
          <c:invertIfNegative val="1"/>
          <c:dPt>
            <c:idx val="0"/>
            <c:invertIfNegative val="1"/>
            <c:bubble3D val="0"/>
            <c:spPr>
              <a:solidFill>
                <a:srgbClr val="FAC02C"/>
              </a:solidFill>
            </c:spPr>
          </c:dPt>
          <c:dPt>
            <c:idx val="1"/>
            <c:invertIfNegative val="1"/>
            <c:bubble3D val="0"/>
            <c:spPr>
              <a:solidFill>
                <a:srgbClr val="953735"/>
              </a:solidFill>
            </c:spPr>
          </c:dPt>
          <c:dPt>
            <c:idx val="2"/>
            <c:invertIfNegative val="1"/>
            <c:bubble3D val="0"/>
            <c:spPr>
              <a:solidFill>
                <a:srgbClr val="FAC02C"/>
              </a:solidFill>
            </c:spPr>
          </c:dPt>
          <c:dPt>
            <c:idx val="3"/>
            <c:invertIfNegative val="1"/>
            <c:bubble3D val="0"/>
            <c:spPr>
              <a:solidFill>
                <a:srgbClr val="953735"/>
              </a:solidFill>
            </c:spPr>
          </c:dPt>
          <c:dPt>
            <c:idx val="4"/>
            <c:invertIfNegative val="1"/>
            <c:bubble3D val="0"/>
            <c:spPr>
              <a:solidFill>
                <a:srgbClr val="FAC02C"/>
              </a:solidFill>
            </c:spPr>
          </c:dPt>
          <c:dPt>
            <c:idx val="5"/>
            <c:invertIfNegative val="1"/>
            <c:bubble3D val="0"/>
            <c:spPr>
              <a:solidFill>
                <a:srgbClr val="953735"/>
              </a:solidFill>
            </c:spPr>
          </c:dPt>
          <c:cat>
            <c:multiLvlStrRef>
              <c:f>'18.11'!$AK$17:$AP$18</c:f>
              <c:multiLvlStrCache>
                <c:ptCount val="6"/>
                <c:lvl>
                  <c:pt idx="0">
                    <c:v>Male     </c:v>
                  </c:pt>
                  <c:pt idx="1">
                    <c:v>Female        </c:v>
                  </c:pt>
                  <c:pt idx="2">
                    <c:v>Male     </c:v>
                  </c:pt>
                  <c:pt idx="3">
                    <c:v>Female        </c:v>
                  </c:pt>
                  <c:pt idx="4">
                    <c:v>Male     </c:v>
                  </c:pt>
                  <c:pt idx="5">
                    <c:v>Female        </c:v>
                  </c:pt>
                </c:lvl>
                <c:lvl>
                  <c:pt idx="0">
                    <c:v>Public sector</c:v>
                  </c:pt>
                  <c:pt idx="2">
                    <c:v>Private sector</c:v>
                  </c:pt>
                  <c:pt idx="4">
                    <c:v>Total</c:v>
                  </c:pt>
                </c:lvl>
              </c:multiLvlStrCache>
            </c:multiLvlStrRef>
          </c:cat>
          <c:val>
            <c:numRef>
              <c:f>'18.11'!$AK$19:$AP$19</c:f>
              <c:numCache>
                <c:formatCode>_(* #,##0_);_(* \(#,##0\);_(* "-"??_);_(@_)</c:formatCode>
                <c:ptCount val="6"/>
                <c:pt idx="0">
                  <c:v>16984</c:v>
                </c:pt>
                <c:pt idx="1">
                  <c:v>14463</c:v>
                </c:pt>
                <c:pt idx="2">
                  <c:v>37995</c:v>
                </c:pt>
                <c:pt idx="3">
                  <c:v>10287</c:v>
                </c:pt>
                <c:pt idx="4">
                  <c:v>54979</c:v>
                </c:pt>
                <c:pt idx="5">
                  <c:v>24750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2"/>
        <c:overlap val="100"/>
        <c:axId val="97373184"/>
        <c:axId val="97383168"/>
      </c:barChart>
      <c:catAx>
        <c:axId val="97373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 anchor="ctr" anchorCtr="0"/>
          <a:lstStyle/>
          <a:p>
            <a:pPr lvl="0">
              <a:defRPr b="0" i="0"/>
            </a:pPr>
            <a:endParaRPr lang="en-US"/>
          </a:p>
        </c:txPr>
        <c:crossAx val="97383168"/>
        <c:crosses val="autoZero"/>
        <c:auto val="1"/>
        <c:lblAlgn val="ctr"/>
        <c:lblOffset val="100"/>
        <c:tickLblSkip val="1"/>
        <c:noMultiLvlLbl val="0"/>
      </c:catAx>
      <c:valAx>
        <c:axId val="97383168"/>
        <c:scaling>
          <c:orientation val="minMax"/>
        </c:scaling>
        <c:delete val="0"/>
        <c:axPos val="l"/>
        <c:majorGridlines>
          <c:spPr>
            <a:ln>
              <a:solidFill>
                <a:srgbClr val="FFC5E2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0" i="0"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1.3879595854052188E-2"/>
              <c:y val="0.39425853400409472"/>
            </c:manualLayout>
          </c:layout>
          <c:overlay val="0"/>
        </c:title>
        <c:numFmt formatCode="_(* #,##0_);_(* \(#,##0\);_(* &quot;-&quot;??_);_(@_)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  <a:endParaRPr lang="en-US"/>
          </a:p>
        </c:txPr>
        <c:crossAx val="97373184"/>
        <c:crosses val="autoZero"/>
        <c:crossBetween val="between"/>
      </c:valAx>
      <c:spPr>
        <a:solidFill>
          <a:srgbClr val="FDEADA"/>
        </a:solidFill>
        <a:ln>
          <a:solidFill>
            <a:schemeClr val="bg1">
              <a:lumMod val="75000"/>
            </a:schemeClr>
          </a:solidFill>
        </a:ln>
      </c:spPr>
    </c:plotArea>
    <c:plotVisOnly val="1"/>
    <c:dispBlanksAs val="zero"/>
    <c:showDLblsOverMax val="1"/>
  </c:chart>
  <c:spPr>
    <a:solidFill>
      <a:schemeClr val="bg1"/>
    </a:solidFill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3339159009369676"/>
          <c:y val="0.24586898665638823"/>
          <c:w val="0.35073036820066789"/>
          <c:h val="0.68886294807554649"/>
        </c:manualLayout>
      </c:layout>
      <c:doughnutChart>
        <c:varyColors val="1"/>
        <c:ser>
          <c:idx val="0"/>
          <c:order val="0"/>
          <c:tx>
            <c:strRef>
              <c:f>'18.11'!$AL$22</c:f>
              <c:strCache>
                <c:ptCount val="1"/>
                <c:pt idx="0">
                  <c:v>% share of females </c:v>
                </c:pt>
              </c:strCache>
            </c:strRef>
          </c:tx>
          <c:spPr>
            <a:solidFill>
              <a:srgbClr val="FAC02C"/>
            </a:solidFill>
          </c:spPr>
          <c:explosion val="2"/>
          <c:dPt>
            <c:idx val="1"/>
            <c:bubble3D val="0"/>
            <c:spPr>
              <a:solidFill>
                <a:srgbClr val="F8A45E"/>
              </a:solidFill>
            </c:spPr>
          </c:dPt>
          <c:dLbls>
            <c:dLbl>
              <c:idx val="0"/>
              <c:layout>
                <c:manualLayout>
                  <c:x val="9.973645680819912E-2"/>
                  <c:y val="-4.66200466200466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-8.3498537792585592E-2"/>
                  <c:y val="-2.79720279720279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'18.11'!$AK$23:$AK$24</c:f>
              <c:strCache>
                <c:ptCount val="2"/>
                <c:pt idx="0">
                  <c:v>Public sector</c:v>
                </c:pt>
                <c:pt idx="1">
                  <c:v>Private sector</c:v>
                </c:pt>
              </c:strCache>
            </c:strRef>
          </c:cat>
          <c:val>
            <c:numRef>
              <c:f>'18.11'!$AL$23:$AL$24</c:f>
              <c:numCache>
                <c:formatCode>0.0</c:formatCode>
                <c:ptCount val="2"/>
                <c:pt idx="0">
                  <c:v>45.991668521639582</c:v>
                </c:pt>
                <c:pt idx="1">
                  <c:v>21.306076798807009</c:v>
                </c:pt>
              </c:numCache>
            </c:numRef>
          </c:val>
          <c:extLst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solidFill>
          <a:srgbClr val="FFFFFF"/>
        </a:solidFill>
        <a:ln>
          <a:noFill/>
        </a:ln>
      </c:spPr>
    </c:plotArea>
    <c:plotVisOnly val="1"/>
    <c:dispBlanksAs val="zero"/>
    <c:showDLblsOverMax val="1"/>
  </c:chart>
  <c:spPr>
    <a:solidFill>
      <a:schemeClr val="bg1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33836408278877161"/>
          <c:y val="0.23166461335190244"/>
          <c:w val="0.3981475914123126"/>
          <c:h val="0.76613244772974809"/>
        </c:manualLayout>
      </c:layout>
      <c:doughnutChart>
        <c:varyColors val="1"/>
        <c:ser>
          <c:idx val="0"/>
          <c:order val="0"/>
          <c:spPr>
            <a:solidFill>
              <a:srgbClr val="F8A45E"/>
            </a:solidFill>
          </c:spPr>
          <c:dPt>
            <c:idx val="0"/>
            <c:bubble3D val="0"/>
            <c:spPr>
              <a:solidFill>
                <a:srgbClr val="953735"/>
              </a:solidFill>
              <a:ln w="25400" cmpd="sng">
                <a:solidFill>
                  <a:srgbClr val="FFFFFF"/>
                </a:solidFill>
              </a:ln>
            </c:spPr>
          </c:dPt>
          <c:dPt>
            <c:idx val="1"/>
            <c:bubble3D val="0"/>
            <c:spPr>
              <a:solidFill>
                <a:srgbClr val="F8A45E"/>
              </a:solidFill>
              <a:ln w="25400" cmpd="sng">
                <a:solidFill>
                  <a:srgbClr val="FFFFFF"/>
                </a:solidFill>
              </a:ln>
            </c:spPr>
          </c:dPt>
          <c:dLbls>
            <c:dLbl>
              <c:idx val="0"/>
              <c:layout>
                <c:manualLayout>
                  <c:x val="-7.0705451111912811E-3"/>
                  <c:y val="1.360544217687074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'18.11'!$AU$18:$AV$18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'18.11'!$AU$19:$AV$19</c:f>
              <c:numCache>
                <c:formatCode>0</c:formatCode>
                <c:ptCount val="2"/>
                <c:pt idx="0">
                  <c:v>68.9573429994105</c:v>
                </c:pt>
                <c:pt idx="1">
                  <c:v>31.042657000589497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14</xdr:row>
      <xdr:rowOff>106506</xdr:rowOff>
    </xdr:from>
    <xdr:to>
      <xdr:col>9</xdr:col>
      <xdr:colOff>457200</xdr:colOff>
      <xdr:row>28</xdr:row>
      <xdr:rowOff>163656</xdr:rowOff>
    </xdr:to>
    <xdr:graphicFrame macro="">
      <xdr:nvGraphicFramePr>
        <xdr:cNvPr id="13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0</xdr:col>
      <xdr:colOff>523875</xdr:colOff>
      <xdr:row>30</xdr:row>
      <xdr:rowOff>95250</xdr:rowOff>
    </xdr:from>
    <xdr:to>
      <xdr:col>9</xdr:col>
      <xdr:colOff>466725</xdr:colOff>
      <xdr:row>44</xdr:row>
      <xdr:rowOff>152400</xdr:rowOff>
    </xdr:to>
    <xdr:graphicFrame macro="">
      <xdr:nvGraphicFramePr>
        <xdr:cNvPr id="14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0</xdr:col>
      <xdr:colOff>504825</xdr:colOff>
      <xdr:row>45</xdr:row>
      <xdr:rowOff>152400</xdr:rowOff>
    </xdr:from>
    <xdr:to>
      <xdr:col>9</xdr:col>
      <xdr:colOff>438150</xdr:colOff>
      <xdr:row>60</xdr:row>
      <xdr:rowOff>95250</xdr:rowOff>
    </xdr:to>
    <xdr:graphicFrame macro="">
      <xdr:nvGraphicFramePr>
        <xdr:cNvPr id="15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  <xdr:twoCellAnchor>
    <xdr:from>
      <xdr:col>2</xdr:col>
      <xdr:colOff>402648</xdr:colOff>
      <xdr:row>31</xdr:row>
      <xdr:rowOff>4329</xdr:rowOff>
    </xdr:from>
    <xdr:to>
      <xdr:col>8</xdr:col>
      <xdr:colOff>242455</xdr:colOff>
      <xdr:row>33</xdr:row>
      <xdr:rowOff>73602</xdr:rowOff>
    </xdr:to>
    <xdr:sp macro="" textlink="">
      <xdr:nvSpPr>
        <xdr:cNvPr id="5" name="TextBox 4"/>
        <xdr:cNvSpPr txBox="1"/>
      </xdr:nvSpPr>
      <xdr:spPr>
        <a:xfrm>
          <a:off x="1831398" y="7325590"/>
          <a:ext cx="4229966" cy="4502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18.13: Percentage share of females contributing to retirement pension scheme by sector, 2016</a:t>
          </a:r>
          <a:endParaRPr lang="en-US">
            <a:effectLst/>
          </a:endParaRPr>
        </a:p>
        <a:p>
          <a:pPr algn="ctr"/>
          <a:endParaRPr lang="en-US" sz="1100"/>
        </a:p>
      </xdr:txBody>
    </xdr:sp>
    <xdr:clientData/>
  </xdr:twoCellAnchor>
  <xdr:twoCellAnchor>
    <xdr:from>
      <xdr:col>1</xdr:col>
      <xdr:colOff>671079</xdr:colOff>
      <xdr:row>46</xdr:row>
      <xdr:rowOff>77933</xdr:rowOff>
    </xdr:from>
    <xdr:to>
      <xdr:col>8</xdr:col>
      <xdr:colOff>411306</xdr:colOff>
      <xdr:row>48</xdr:row>
      <xdr:rowOff>173183</xdr:rowOff>
    </xdr:to>
    <xdr:sp macro="" textlink="">
      <xdr:nvSpPr>
        <xdr:cNvPr id="6" name="TextBox 5"/>
        <xdr:cNvSpPr txBox="1"/>
      </xdr:nvSpPr>
      <xdr:spPr>
        <a:xfrm>
          <a:off x="1368136" y="10256694"/>
          <a:ext cx="4862079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18.14: Percentage share of  employees  contributing to the retirement pension scheme by sex, 2016</a:t>
          </a:r>
          <a:endParaRPr lang="en-US">
            <a:effectLst/>
          </a:endParaRPr>
        </a:p>
        <a:p>
          <a:pPr algn="ctr"/>
          <a:endParaRPr lang="en-US" sz="1100"/>
        </a:p>
      </xdr:txBody>
    </xdr:sp>
    <xdr:clientData/>
  </xdr:twoCellAnchor>
  <xdr:twoCellAnchor>
    <xdr:from>
      <xdr:col>2</xdr:col>
      <xdr:colOff>28575</xdr:colOff>
      <xdr:row>17</xdr:row>
      <xdr:rowOff>9525</xdr:rowOff>
    </xdr:from>
    <xdr:to>
      <xdr:col>9</xdr:col>
      <xdr:colOff>228600</xdr:colOff>
      <xdr:row>17</xdr:row>
      <xdr:rowOff>19050</xdr:rowOff>
    </xdr:to>
    <xdr:sp macro="" textlink="">
      <xdr:nvSpPr>
        <xdr:cNvPr id="10" name="Line 4"/>
        <xdr:cNvSpPr>
          <a:spLocks noChangeShapeType="1"/>
        </xdr:cNvSpPr>
      </xdr:nvSpPr>
      <xdr:spPr bwMode="auto">
        <a:xfrm>
          <a:off x="1457325" y="4438650"/>
          <a:ext cx="5334000" cy="9525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2</xdr:col>
      <xdr:colOff>171450</xdr:colOff>
      <xdr:row>33</xdr:row>
      <xdr:rowOff>47625</xdr:rowOff>
    </xdr:from>
    <xdr:to>
      <xdr:col>8</xdr:col>
      <xdr:colOff>314325</xdr:colOff>
      <xdr:row>33</xdr:row>
      <xdr:rowOff>57150</xdr:rowOff>
    </xdr:to>
    <xdr:sp macro="" textlink="">
      <xdr:nvSpPr>
        <xdr:cNvPr id="12" name="Line 4"/>
        <xdr:cNvSpPr>
          <a:spLocks noChangeShapeType="1"/>
        </xdr:cNvSpPr>
      </xdr:nvSpPr>
      <xdr:spPr bwMode="auto">
        <a:xfrm flipV="1">
          <a:off x="1600200" y="7524750"/>
          <a:ext cx="4543425" cy="9525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2</xdr:col>
      <xdr:colOff>66675</xdr:colOff>
      <xdr:row>48</xdr:row>
      <xdr:rowOff>161925</xdr:rowOff>
    </xdr:from>
    <xdr:to>
      <xdr:col>8</xdr:col>
      <xdr:colOff>342900</xdr:colOff>
      <xdr:row>48</xdr:row>
      <xdr:rowOff>161925</xdr:rowOff>
    </xdr:to>
    <xdr:sp macro="" textlink="">
      <xdr:nvSpPr>
        <xdr:cNvPr id="18" name="Line 4"/>
        <xdr:cNvSpPr>
          <a:spLocks noChangeShapeType="1"/>
        </xdr:cNvSpPr>
      </xdr:nvSpPr>
      <xdr:spPr bwMode="auto">
        <a:xfrm flipV="1">
          <a:off x="1495425" y="10496550"/>
          <a:ext cx="4676775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0.11723</cdr:x>
      <cdr:y>0.01494</cdr:y>
    </cdr:from>
    <cdr:to>
      <cdr:x>0.99466</cdr:x>
      <cdr:y>0.185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627229" y="40698"/>
          <a:ext cx="4694649" cy="4632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+mn-lt"/>
              <a:ea typeface="+mn-ea"/>
              <a:cs typeface="+mn-cs"/>
            </a:rPr>
            <a:t>Figure 18.12: Number of persons contributing to retirement pension scheme by gender and sector, 2016</a:t>
          </a:r>
          <a:endParaRPr lang="en-US">
            <a:effectLst/>
          </a:endParaRPr>
        </a:p>
        <a:p xmlns:a="http://schemas.openxmlformats.org/drawingml/2006/main">
          <a:pPr algn="ctr"/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Copy%20of%20Statistical%20Year%20book%20for%20the%20year%202016%20for%20NSPA%20_%20NBS%20Comments%20_%20NSPA%20p%20%20%20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ifaza\AppData\Local\Microsoft\Windows\INetCache\Content.Outlook\ODPSUPO0\Documents%20and%20Settings\f.shifaza\Application%20Data\Microsoft\Excel\18.%20SOCIAL%20PROTECTION%20_%2029%20July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6"/>
      <sheetName val="18.17"/>
      <sheetName val="18.18"/>
      <sheetName val="18.19"/>
      <sheetName val="18.20"/>
      <sheetName val="18.21"/>
      <sheetName val="18.22"/>
      <sheetName val="18.23"/>
      <sheetName val="11.24"/>
      <sheetName val="11.25"/>
      <sheetName val="11.26"/>
      <sheetName val="11.2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N5">
            <v>2013</v>
          </cell>
          <cell r="O5">
            <v>2014</v>
          </cell>
          <cell r="P5">
            <v>2015</v>
          </cell>
        </row>
        <row r="6">
          <cell r="N6">
            <v>299661096.44</v>
          </cell>
          <cell r="O6">
            <v>349220698.38999999</v>
          </cell>
          <cell r="P6">
            <v>180614696.01000002</v>
          </cell>
        </row>
        <row r="7">
          <cell r="A7" t="str">
            <v>January</v>
          </cell>
          <cell r="O7">
            <v>23170714.699999999</v>
          </cell>
          <cell r="P7">
            <v>18871576.670000002</v>
          </cell>
        </row>
        <row r="8">
          <cell r="A8" t="str">
            <v>February</v>
          </cell>
          <cell r="O8">
            <v>24382093.82</v>
          </cell>
          <cell r="P8">
            <v>11560674.26</v>
          </cell>
        </row>
        <row r="9">
          <cell r="A9" t="str">
            <v>March</v>
          </cell>
          <cell r="O9">
            <v>65018059.100000001</v>
          </cell>
          <cell r="P9">
            <v>11961755.039999999</v>
          </cell>
        </row>
        <row r="10">
          <cell r="A10" t="str">
            <v>April</v>
          </cell>
          <cell r="O10">
            <v>26571752.030000001</v>
          </cell>
          <cell r="P10">
            <v>14237831.629999999</v>
          </cell>
        </row>
        <row r="11">
          <cell r="A11" t="str">
            <v>May</v>
          </cell>
          <cell r="O11">
            <v>27344862.630000003</v>
          </cell>
          <cell r="P11">
            <v>15232383.639999999</v>
          </cell>
        </row>
        <row r="12">
          <cell r="A12" t="str">
            <v>June</v>
          </cell>
          <cell r="O12">
            <v>27437953.34</v>
          </cell>
          <cell r="P12">
            <v>16698376.539999999</v>
          </cell>
        </row>
        <row r="13">
          <cell r="A13" t="str">
            <v>July</v>
          </cell>
          <cell r="O13">
            <v>27536963.569999997</v>
          </cell>
          <cell r="P13">
            <v>17014342.27</v>
          </cell>
        </row>
        <row r="14">
          <cell r="A14" t="str">
            <v>August</v>
          </cell>
          <cell r="O14">
            <v>27542726.530000001</v>
          </cell>
          <cell r="P14">
            <v>14637041.91</v>
          </cell>
        </row>
        <row r="15">
          <cell r="A15" t="str">
            <v>September</v>
          </cell>
          <cell r="O15">
            <v>26488280.200000003</v>
          </cell>
          <cell r="P15">
            <v>14637041.91</v>
          </cell>
        </row>
        <row r="16">
          <cell r="A16" t="str">
            <v>October</v>
          </cell>
          <cell r="O16">
            <v>26944673.18</v>
          </cell>
          <cell r="P16">
            <v>15266487.300000001</v>
          </cell>
        </row>
        <row r="17">
          <cell r="A17" t="str">
            <v>November</v>
          </cell>
          <cell r="O17">
            <v>24549554.030000001</v>
          </cell>
          <cell r="P17">
            <v>15648041.789999999</v>
          </cell>
        </row>
        <row r="18">
          <cell r="A18" t="str">
            <v>December</v>
          </cell>
          <cell r="O18">
            <v>22233065.260000002</v>
          </cell>
          <cell r="P18">
            <v>14849143.050000001</v>
          </cell>
        </row>
      </sheetData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 "/>
      <sheetName val="18.2 "/>
      <sheetName val="Figures"/>
      <sheetName val="18.3"/>
      <sheetName val="18.4"/>
      <sheetName val="18.5 new"/>
      <sheetName val="18.6"/>
      <sheetName val="18.7"/>
      <sheetName val="18.8"/>
      <sheetName val="18.9"/>
      <sheetName val="18.10"/>
      <sheetName val="Sheet1"/>
      <sheetName val="18.11"/>
      <sheetName val="18.12"/>
      <sheetName val="18.13"/>
      <sheetName val="18.14"/>
      <sheetName val="18.15"/>
      <sheetName val="18.16"/>
      <sheetName val="18.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>
            <v>2010</v>
          </cell>
          <cell r="D5">
            <v>2011</v>
          </cell>
          <cell r="E5">
            <v>2012</v>
          </cell>
        </row>
        <row r="7">
          <cell r="A7" t="str">
            <v>January</v>
          </cell>
          <cell r="D7">
            <v>13828</v>
          </cell>
          <cell r="E7">
            <v>18448</v>
          </cell>
        </row>
        <row r="8">
          <cell r="A8" t="str">
            <v>February</v>
          </cell>
          <cell r="D8">
            <v>13973</v>
          </cell>
          <cell r="E8">
            <v>18752</v>
          </cell>
        </row>
        <row r="9">
          <cell r="A9" t="str">
            <v>March</v>
          </cell>
          <cell r="D9">
            <v>14118</v>
          </cell>
          <cell r="E9">
            <v>18955</v>
          </cell>
        </row>
        <row r="10">
          <cell r="A10" t="str">
            <v>April</v>
          </cell>
          <cell r="D10">
            <v>14339</v>
          </cell>
          <cell r="E10">
            <v>19216</v>
          </cell>
        </row>
        <row r="11">
          <cell r="A11" t="str">
            <v>May</v>
          </cell>
          <cell r="D11">
            <v>14703</v>
          </cell>
          <cell r="E11">
            <v>19500</v>
          </cell>
        </row>
        <row r="12">
          <cell r="A12" t="str">
            <v>June</v>
          </cell>
          <cell r="D12">
            <v>15283</v>
          </cell>
          <cell r="E12">
            <v>19773</v>
          </cell>
        </row>
        <row r="13">
          <cell r="A13" t="str">
            <v>July</v>
          </cell>
          <cell r="D13">
            <v>15897</v>
          </cell>
          <cell r="E13">
            <v>19992</v>
          </cell>
        </row>
        <row r="14">
          <cell r="A14" t="str">
            <v>August</v>
          </cell>
          <cell r="D14">
            <v>16459</v>
          </cell>
          <cell r="E14">
            <v>20166</v>
          </cell>
        </row>
        <row r="15">
          <cell r="A15" t="str">
            <v>September</v>
          </cell>
          <cell r="D15">
            <v>16943</v>
          </cell>
          <cell r="E15">
            <v>20369</v>
          </cell>
        </row>
        <row r="16">
          <cell r="A16" t="str">
            <v>October</v>
          </cell>
          <cell r="D16">
            <v>17538</v>
          </cell>
          <cell r="E16">
            <v>20507</v>
          </cell>
        </row>
        <row r="17">
          <cell r="A17" t="str">
            <v>November</v>
          </cell>
          <cell r="D17">
            <v>17804</v>
          </cell>
          <cell r="E17">
            <v>20638</v>
          </cell>
        </row>
        <row r="18">
          <cell r="A18" t="str">
            <v>December</v>
          </cell>
          <cell r="D18">
            <v>18072</v>
          </cell>
          <cell r="E18">
            <v>20719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V61"/>
  <sheetViews>
    <sheetView tabSelected="1" zoomScaleNormal="100" workbookViewId="0">
      <selection activeCell="AA1" sqref="AA1:AD1048576"/>
    </sheetView>
  </sheetViews>
  <sheetFormatPr defaultColWidth="15.140625" defaultRowHeight="15" customHeight="1" x14ac:dyDescent="0.25"/>
  <cols>
    <col min="1" max="1" width="10.42578125" style="2" customWidth="1"/>
    <col min="2" max="10" width="11" style="2" customWidth="1"/>
    <col min="11" max="11" width="6.7109375" style="2" hidden="1" customWidth="1"/>
    <col min="12" max="13" width="8" style="2" hidden="1" customWidth="1"/>
    <col min="14" max="14" width="1.140625" style="2" customWidth="1"/>
    <col min="15" max="48" width="8" style="2" customWidth="1"/>
    <col min="49" max="16384" width="15.140625" style="2"/>
  </cols>
  <sheetData>
    <row r="1" spans="1:48" ht="21" customHeight="1" x14ac:dyDescent="0.55000000000000004">
      <c r="A1" s="37" t="s">
        <v>10</v>
      </c>
      <c r="B1" s="35"/>
      <c r="C1" s="35"/>
      <c r="D1" s="35"/>
      <c r="E1" s="35"/>
      <c r="F1" s="35"/>
      <c r="G1" s="35"/>
      <c r="H1" s="35"/>
      <c r="I1" s="35"/>
      <c r="J1" s="35"/>
      <c r="K1" s="1"/>
      <c r="L1" s="1"/>
      <c r="M1" s="4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33" t="s">
        <v>11</v>
      </c>
      <c r="B2" s="35"/>
      <c r="C2" s="35"/>
      <c r="D2" s="35"/>
      <c r="E2" s="35"/>
      <c r="F2" s="35"/>
      <c r="G2" s="35"/>
      <c r="H2" s="35"/>
      <c r="I2" s="35"/>
      <c r="J2" s="3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38" t="s">
        <v>8</v>
      </c>
      <c r="B4" s="15"/>
      <c r="C4" s="11" t="s">
        <v>9</v>
      </c>
      <c r="D4" s="19"/>
      <c r="E4" s="42" t="s">
        <v>12</v>
      </c>
      <c r="F4" s="34"/>
      <c r="G4" s="41"/>
      <c r="H4" s="16"/>
      <c r="I4" s="20" t="s">
        <v>2</v>
      </c>
      <c r="J4" s="20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35"/>
      <c r="B5" s="14" t="s">
        <v>7</v>
      </c>
      <c r="C5" s="14" t="s">
        <v>3</v>
      </c>
      <c r="D5" s="21" t="s">
        <v>4</v>
      </c>
      <c r="E5" s="14" t="s">
        <v>7</v>
      </c>
      <c r="F5" s="14" t="s">
        <v>3</v>
      </c>
      <c r="G5" s="21" t="s">
        <v>4</v>
      </c>
      <c r="H5" s="14" t="s">
        <v>7</v>
      </c>
      <c r="I5" s="14" t="s">
        <v>3</v>
      </c>
      <c r="J5" s="14" t="s">
        <v>4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ht="21" customHeight="1" x14ac:dyDescent="0.55000000000000004">
      <c r="A6" s="36"/>
      <c r="B6" s="3" t="s">
        <v>0</v>
      </c>
      <c r="C6" s="3" t="s">
        <v>1</v>
      </c>
      <c r="D6" s="22" t="s">
        <v>13</v>
      </c>
      <c r="E6" s="3" t="s">
        <v>0</v>
      </c>
      <c r="F6" s="3" t="s">
        <v>1</v>
      </c>
      <c r="G6" s="22" t="s">
        <v>13</v>
      </c>
      <c r="H6" s="3" t="s">
        <v>0</v>
      </c>
      <c r="I6" s="3" t="s">
        <v>1</v>
      </c>
      <c r="J6" s="23" t="s">
        <v>13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ht="26.25" customHeight="1" x14ac:dyDescent="0.25">
      <c r="A7" s="17">
        <v>2010</v>
      </c>
      <c r="B7" s="5">
        <f t="shared" ref="B7:B13" si="0">SUM(C7:D7)</f>
        <v>30269</v>
      </c>
      <c r="C7" s="5">
        <v>19298</v>
      </c>
      <c r="D7" s="24">
        <v>10971</v>
      </c>
      <c r="E7" s="25">
        <f t="shared" ref="E7:E13" si="1">SUM(F7:G7)</f>
        <v>252</v>
      </c>
      <c r="F7" s="5">
        <v>119</v>
      </c>
      <c r="G7" s="24">
        <v>133</v>
      </c>
      <c r="H7" s="25">
        <f t="shared" ref="H7:J7" si="2">B7+E7</f>
        <v>30521</v>
      </c>
      <c r="I7" s="5">
        <f t="shared" si="2"/>
        <v>19417</v>
      </c>
      <c r="J7" s="26">
        <f t="shared" si="2"/>
        <v>11104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ht="26.25" customHeight="1" x14ac:dyDescent="0.25">
      <c r="A8" s="17">
        <v>2011</v>
      </c>
      <c r="B8" s="5">
        <f t="shared" si="0"/>
        <v>21053</v>
      </c>
      <c r="C8" s="5">
        <v>13667</v>
      </c>
      <c r="D8" s="24">
        <v>7386</v>
      </c>
      <c r="E8" s="27">
        <f t="shared" si="1"/>
        <v>37950</v>
      </c>
      <c r="F8" s="5">
        <v>29781</v>
      </c>
      <c r="G8" s="24">
        <v>8169</v>
      </c>
      <c r="H8" s="27">
        <f t="shared" ref="H8:J8" si="3">B8+E8</f>
        <v>59003</v>
      </c>
      <c r="I8" s="5">
        <f t="shared" si="3"/>
        <v>43448</v>
      </c>
      <c r="J8" s="5">
        <f t="shared" si="3"/>
        <v>15555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ht="26.25" customHeight="1" x14ac:dyDescent="0.25">
      <c r="A9" s="17">
        <v>2012</v>
      </c>
      <c r="B9" s="5">
        <f t="shared" si="0"/>
        <v>31653</v>
      </c>
      <c r="C9" s="5">
        <v>18242</v>
      </c>
      <c r="D9" s="24">
        <v>13411</v>
      </c>
      <c r="E9" s="27">
        <f t="shared" si="1"/>
        <v>37152</v>
      </c>
      <c r="F9" s="5">
        <v>30036</v>
      </c>
      <c r="G9" s="24">
        <v>7116</v>
      </c>
      <c r="H9" s="27">
        <f t="shared" ref="H9:J9" si="4">B9+E9</f>
        <v>68805</v>
      </c>
      <c r="I9" s="5">
        <f t="shared" si="4"/>
        <v>48278</v>
      </c>
      <c r="J9" s="5">
        <f t="shared" si="4"/>
        <v>20527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ht="26.25" customHeight="1" x14ac:dyDescent="0.25">
      <c r="A10" s="17">
        <v>2013</v>
      </c>
      <c r="B10" s="5">
        <f t="shared" si="0"/>
        <v>30162</v>
      </c>
      <c r="C10" s="5">
        <v>17816</v>
      </c>
      <c r="D10" s="24">
        <v>12346</v>
      </c>
      <c r="E10" s="27">
        <f t="shared" si="1"/>
        <v>39299</v>
      </c>
      <c r="F10" s="5">
        <v>31644</v>
      </c>
      <c r="G10" s="24">
        <v>7655</v>
      </c>
      <c r="H10" s="27">
        <f t="shared" ref="H10:J10" si="5">B10+E10</f>
        <v>69461</v>
      </c>
      <c r="I10" s="5">
        <f t="shared" si="5"/>
        <v>49460</v>
      </c>
      <c r="J10" s="5">
        <f t="shared" si="5"/>
        <v>20001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ht="26.25" customHeight="1" x14ac:dyDescent="0.25">
      <c r="A11" s="17">
        <v>2014</v>
      </c>
      <c r="B11" s="5">
        <f t="shared" si="0"/>
        <v>32279</v>
      </c>
      <c r="C11" s="5">
        <v>18475</v>
      </c>
      <c r="D11" s="24">
        <v>13804</v>
      </c>
      <c r="E11" s="27">
        <f t="shared" si="1"/>
        <v>42570</v>
      </c>
      <c r="F11" s="5">
        <v>34087</v>
      </c>
      <c r="G11" s="24">
        <v>8483</v>
      </c>
      <c r="H11" s="27">
        <f t="shared" ref="H11:J11" si="6">B11+E11</f>
        <v>74849</v>
      </c>
      <c r="I11" s="5">
        <f t="shared" si="6"/>
        <v>52562</v>
      </c>
      <c r="J11" s="5">
        <f t="shared" si="6"/>
        <v>22287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>
        <v>18475</v>
      </c>
      <c r="AK11" s="1">
        <v>13804</v>
      </c>
      <c r="AL11" s="1">
        <v>34087</v>
      </c>
      <c r="AM11" s="1">
        <v>8483</v>
      </c>
      <c r="AN11" s="1">
        <v>52562</v>
      </c>
      <c r="AO11" s="1">
        <v>22287</v>
      </c>
      <c r="AP11" s="1"/>
      <c r="AQ11" s="1"/>
      <c r="AR11" s="1"/>
      <c r="AS11" s="1"/>
      <c r="AT11" s="1"/>
      <c r="AU11" s="1"/>
      <c r="AV11" s="1"/>
    </row>
    <row r="12" spans="1:48" ht="26.25" customHeight="1" x14ac:dyDescent="0.25">
      <c r="A12" s="17">
        <v>2015</v>
      </c>
      <c r="B12" s="5">
        <f t="shared" si="0"/>
        <v>35813</v>
      </c>
      <c r="C12" s="5">
        <v>19810</v>
      </c>
      <c r="D12" s="24">
        <v>16003</v>
      </c>
      <c r="E12" s="27">
        <f t="shared" si="1"/>
        <v>46109</v>
      </c>
      <c r="F12" s="5">
        <v>36441</v>
      </c>
      <c r="G12" s="24">
        <v>9668</v>
      </c>
      <c r="H12" s="27">
        <f t="shared" ref="H12:J12" si="7">B12+E12</f>
        <v>81922</v>
      </c>
      <c r="I12" s="5">
        <f t="shared" si="7"/>
        <v>56251</v>
      </c>
      <c r="J12" s="5">
        <f t="shared" si="7"/>
        <v>25671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ht="26.25" customHeight="1" x14ac:dyDescent="0.25">
      <c r="A13" s="18">
        <v>2016</v>
      </c>
      <c r="B13" s="6">
        <f t="shared" si="0"/>
        <v>31447</v>
      </c>
      <c r="C13" s="7">
        <v>16984</v>
      </c>
      <c r="D13" s="28">
        <v>14463</v>
      </c>
      <c r="E13" s="29">
        <f t="shared" si="1"/>
        <v>48282</v>
      </c>
      <c r="F13" s="7">
        <v>37995</v>
      </c>
      <c r="G13" s="28">
        <v>10287</v>
      </c>
      <c r="H13" s="29">
        <f t="shared" ref="H13:J13" si="8">B13+E13</f>
        <v>79729</v>
      </c>
      <c r="I13" s="6">
        <f t="shared" si="8"/>
        <v>54979</v>
      </c>
      <c r="J13" s="6">
        <f t="shared" si="8"/>
        <v>24750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ht="18" customHeight="1" x14ac:dyDescent="0.45">
      <c r="A14" s="9" t="s">
        <v>5</v>
      </c>
      <c r="B14" s="9"/>
      <c r="C14" s="1"/>
      <c r="D14" s="1"/>
      <c r="E14" s="1"/>
      <c r="F14" s="1"/>
      <c r="G14" s="1"/>
      <c r="H14" s="1"/>
      <c r="I14" s="1"/>
      <c r="J14" s="10" t="s">
        <v>6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/>
      <c r="B15" s="1"/>
      <c r="C15" s="1"/>
      <c r="D15" s="8"/>
      <c r="E15" s="8"/>
      <c r="F15" s="1"/>
      <c r="G15" s="8"/>
      <c r="H15" s="8"/>
      <c r="I15" s="1"/>
      <c r="J15" s="8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/>
      <c r="B16" s="1"/>
      <c r="C16" s="1"/>
      <c r="D16" s="13"/>
      <c r="E16" s="13"/>
      <c r="F16" s="1"/>
      <c r="G16" s="13"/>
      <c r="H16" s="13"/>
      <c r="I16" s="1"/>
      <c r="J16" s="13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>
        <v>2016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39" t="s">
        <v>9</v>
      </c>
      <c r="AL17" s="41"/>
      <c r="AM17" s="42" t="s">
        <v>12</v>
      </c>
      <c r="AN17" s="41"/>
      <c r="AO17" s="40" t="s">
        <v>2</v>
      </c>
      <c r="AP17" s="34"/>
      <c r="AQ17" s="1"/>
      <c r="AR17" s="1"/>
      <c r="AS17" s="1"/>
      <c r="AT17" s="1"/>
      <c r="AU17" s="1"/>
      <c r="AV17" s="1"/>
    </row>
    <row r="18" spans="1:48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4" t="s">
        <v>14</v>
      </c>
      <c r="AL18" s="30" t="s">
        <v>15</v>
      </c>
      <c r="AM18" s="14" t="s">
        <v>14</v>
      </c>
      <c r="AN18" s="30" t="s">
        <v>15</v>
      </c>
      <c r="AO18" s="14" t="s">
        <v>14</v>
      </c>
      <c r="AP18" s="31" t="s">
        <v>15</v>
      </c>
      <c r="AQ18" s="1"/>
      <c r="AR18" s="1"/>
      <c r="AS18" s="1"/>
      <c r="AT18" s="1"/>
      <c r="AU18" s="1" t="s">
        <v>3</v>
      </c>
      <c r="AV18" s="1" t="s">
        <v>4</v>
      </c>
    </row>
    <row r="19" spans="1:48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8">
        <f>C13</f>
        <v>16984</v>
      </c>
      <c r="AL19" s="8">
        <f>D13</f>
        <v>14463</v>
      </c>
      <c r="AM19" s="8">
        <f>F13</f>
        <v>37995</v>
      </c>
      <c r="AN19" s="8">
        <f>G13</f>
        <v>10287</v>
      </c>
      <c r="AO19" s="8">
        <f>I13</f>
        <v>54979</v>
      </c>
      <c r="AP19" s="8">
        <f>J13</f>
        <v>24750</v>
      </c>
      <c r="AQ19" s="1"/>
      <c r="AR19" s="1"/>
      <c r="AS19" s="1"/>
      <c r="AT19" s="1"/>
      <c r="AU19" s="12">
        <f>AO19/AP20*100</f>
        <v>68.9573429994105</v>
      </c>
      <c r="AV19" s="12">
        <f>AP19/AP20*100</f>
        <v>31.042657000589497</v>
      </c>
    </row>
    <row r="20" spans="1:48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 t="s">
        <v>16</v>
      </c>
      <c r="AL20" s="8">
        <f>SUM(AK19:AL19)</f>
        <v>31447</v>
      </c>
      <c r="AM20" s="1"/>
      <c r="AN20" s="8">
        <f>SUM(AM19:AN19)</f>
        <v>48282</v>
      </c>
      <c r="AO20" s="1"/>
      <c r="AP20" s="8">
        <f>SUM(AO19:AP19)</f>
        <v>79729</v>
      </c>
      <c r="AQ20" s="1"/>
      <c r="AR20" s="1"/>
      <c r="AS20" s="1"/>
      <c r="AT20" s="1"/>
      <c r="AU20" s="1"/>
      <c r="AV20" s="1"/>
    </row>
    <row r="21" spans="1:48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 t="s">
        <v>17</v>
      </c>
      <c r="AL21" s="32">
        <f>AL19/AL20*100</f>
        <v>45.991668521639582</v>
      </c>
      <c r="AM21" s="32"/>
      <c r="AN21" s="32">
        <f>AN19/AN20*100</f>
        <v>21.306076798807009</v>
      </c>
      <c r="AO21" s="32"/>
      <c r="AP21" s="32">
        <f>AP19/AP20*100</f>
        <v>31.042657000589497</v>
      </c>
      <c r="AQ21" s="1"/>
      <c r="AR21" s="1"/>
      <c r="AS21" s="1"/>
      <c r="AT21" s="1"/>
      <c r="AU21" s="1"/>
      <c r="AV21" s="1"/>
    </row>
    <row r="22" spans="1:48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 t="s">
        <v>18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 t="s">
        <v>9</v>
      </c>
      <c r="AL23" s="13">
        <f>AL21</f>
        <v>45.991668521639582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 t="s">
        <v>12</v>
      </c>
      <c r="AL24" s="13">
        <f>AN21</f>
        <v>21.306076798807009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 t="s">
        <v>2</v>
      </c>
      <c r="AL25" s="32">
        <f>AP21</f>
        <v>31.042657000589497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</sheetData>
  <mergeCells count="7">
    <mergeCell ref="A1:J1"/>
    <mergeCell ref="AK17:AL17"/>
    <mergeCell ref="AM17:AN17"/>
    <mergeCell ref="AO17:AP17"/>
    <mergeCell ref="A2:J2"/>
    <mergeCell ref="A4:A6"/>
    <mergeCell ref="E4:G4"/>
  </mergeCells>
  <pageMargins left="0.7" right="0.7" top="0.75" bottom="0.75" header="0.3" footer="0.3"/>
  <pageSetup paperSize="9" scale="90" orientation="landscape" horizontalDpi="4294967295" verticalDpi="4294967295" r:id="rId1"/>
  <rowBreaks count="1" manualBreakCount="1">
    <brk id="30" max="1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18.11</vt:lpstr>
      <vt:lpstr>'18.11'!Print_Area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2017-07-04T08:55:04Z</cp:lastPrinted>
  <dcterms:modified xsi:type="dcterms:W3CDTF">2017-07-04T08:55:10Z</dcterms:modified>
</cp:coreProperties>
</file>