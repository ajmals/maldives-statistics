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3" sheetId="3" r:id="rId1"/>
  </sheets>
  <externalReferences>
    <externalReference r:id="rId2"/>
    <externalReference r:id="rId3"/>
  </externalReferences>
  <definedNames>
    <definedName name="_xlnm.Print_Area" localSheetId="0">'18.3'!$A$1:$X$37</definedName>
  </definedNames>
  <calcPr calcId="144525"/>
</workbook>
</file>

<file path=xl/calcChain.xml><?xml version="1.0" encoding="utf-8"?>
<calcChain xmlns="http://schemas.openxmlformats.org/spreadsheetml/2006/main">
  <c r="P9" i="3" l="1"/>
  <c r="O9" i="3"/>
  <c r="M9" i="3"/>
  <c r="AO29" i="3"/>
  <c r="AP29" i="3"/>
  <c r="AP28" i="3"/>
  <c r="AP27" i="3"/>
  <c r="AP26" i="3"/>
  <c r="AO27" i="3"/>
  <c r="AO28" i="3"/>
  <c r="AO26" i="3"/>
  <c r="AP25" i="3" l="1"/>
  <c r="AO25" i="3"/>
  <c r="N13" i="3"/>
  <c r="K13" i="3"/>
  <c r="N12" i="3"/>
  <c r="K12" i="3"/>
  <c r="B12" i="3"/>
  <c r="N11" i="3"/>
  <c r="K11" i="3"/>
  <c r="N10" i="3"/>
  <c r="K10" i="3"/>
  <c r="B10" i="3"/>
  <c r="L9" i="3"/>
  <c r="J9" i="3"/>
  <c r="I9" i="3"/>
  <c r="H9" i="3" s="1"/>
  <c r="G9" i="3"/>
  <c r="F9" i="3"/>
  <c r="D9" i="3"/>
  <c r="C9" i="3"/>
  <c r="K9" i="3" l="1"/>
  <c r="Q12" i="3" s="1"/>
  <c r="T13" i="3"/>
  <c r="T10" i="3"/>
  <c r="T11" i="3"/>
  <c r="S12" i="3"/>
  <c r="E9" i="3"/>
  <c r="N9" i="3"/>
  <c r="B9" i="3"/>
  <c r="S11" i="3"/>
  <c r="S13" i="3"/>
  <c r="T12" i="3"/>
  <c r="S10" i="3"/>
  <c r="Q9" i="3"/>
  <c r="Q11" i="3" l="1"/>
  <c r="Q13" i="3"/>
  <c r="Q10" i="3"/>
  <c r="R12" i="3"/>
  <c r="R13" i="3"/>
  <c r="R11" i="3"/>
  <c r="R10" i="3"/>
  <c r="S9" i="3"/>
  <c r="R9" i="3"/>
  <c r="T9" i="3"/>
</calcChain>
</file>

<file path=xl/sharedStrings.xml><?xml version="1.0" encoding="utf-8"?>
<sst xmlns="http://schemas.openxmlformats.org/spreadsheetml/2006/main" count="65" uniqueCount="36">
  <si>
    <t>Type of pension</t>
  </si>
  <si>
    <t>އިންސައްތަ</t>
  </si>
  <si>
    <t>އަންހެނުންގެ އިން ސައްތަ</t>
  </si>
  <si>
    <t>އިތުރުވި މިންވަރު</t>
  </si>
  <si>
    <t>ޕެންޝަންގެ ބާވަތް</t>
  </si>
  <si>
    <t>% share</t>
  </si>
  <si>
    <t>% share of females</t>
  </si>
  <si>
    <t>% change</t>
  </si>
  <si>
    <t>ޖުމްލަ</t>
  </si>
  <si>
    <t>ފިރިހެން</t>
  </si>
  <si>
    <t>އަންހެން</t>
  </si>
  <si>
    <t>Total</t>
  </si>
  <si>
    <t>Male</t>
  </si>
  <si>
    <t>Female</t>
  </si>
  <si>
    <t>2015-2016</t>
  </si>
  <si>
    <t>Basic Pension</t>
  </si>
  <si>
    <t>އަސާސީ ޕެންޝަން</t>
  </si>
  <si>
    <t>Retirement Pension</t>
  </si>
  <si>
    <t>ރިޓަޔަރމަންޓް ޕެންޝަން</t>
  </si>
  <si>
    <t>Other Pension</t>
  </si>
  <si>
    <t>އެހެނިހެން ޕެންޝަން</t>
  </si>
  <si>
    <t>ސީނިއަރ ސިޓިޒަން އެލަވަންސް</t>
  </si>
  <si>
    <t>Source: Maldives Pension Administration</t>
  </si>
  <si>
    <t xml:space="preserve">ދައުލަތުން ޕެންޝަންލިބޭ ފަރާޓްތަކުގެ ތެރެއިން މަހަކު 000،5ރ އަށްވުރެ މަދުން ޕެންޝަން ފައިސާ ލިބޭ ފަރާޓްތަކަށް 000،5ރ ހަމަކޮށްދިނުމަށްޓަކާ ހެދި ސްކީމެއް.  ސީނިއަރ ސިޓިޒަން އެލަވަންސް ސްކީމް ތަޢާރަފުކުރެވިފައިވާ ފެބްރުއަރީ 2014 ގައެވެ. </t>
  </si>
  <si>
    <t>1_/</t>
  </si>
  <si>
    <t>މަޢުލޫމާތު ދެއްވި ފަރާތް: މޯލްޑިވްސް ޕެންޝަން އެޑްމިނިސްޓްރޭޝަން</t>
  </si>
  <si>
    <t>Senior Citizen Allowance</t>
  </si>
  <si>
    <t>ތާވަލު 18.3: އެކި ޕެންޝަން ސްކީމްތަކުން ޕެންޝަން ލިބޭ މީހުންގެ އަދަދު، 2015 - 2016</t>
  </si>
  <si>
    <t>TABLE   18.3:  NUMBER OF BENFICIARIES BY PENSION SCHEME AND SEX, 2015 - 2016</t>
  </si>
  <si>
    <r>
      <t xml:space="preserve">Benficiaries (end year)           </t>
    </r>
    <r>
      <rPr>
        <b/>
        <sz val="11"/>
        <color rgb="FF000000"/>
        <rFont val="Faruma"/>
      </rPr>
      <t>ޕެންޝަން ލިބޭ މީހުންގެ އަދަދު</t>
    </r>
  </si>
  <si>
    <t>beneficiaries</t>
  </si>
  <si>
    <r>
      <t>Senior Citizen Allowance</t>
    </r>
    <r>
      <rPr>
        <vertAlign val="superscript"/>
        <sz val="11"/>
        <color rgb="FF000000"/>
        <rFont val="Calibri"/>
        <family val="2"/>
      </rPr>
      <t>1_/</t>
    </r>
  </si>
  <si>
    <t xml:space="preserve">Note: </t>
  </si>
  <si>
    <r>
      <t>1_/</t>
    </r>
    <r>
      <rPr>
        <i/>
        <sz val="10"/>
        <color rgb="FF000000"/>
        <rFont val="Calibri"/>
        <family val="2"/>
      </rPr>
      <t xml:space="preserve"> Those pensioners receiving less than 5,000 mvr is given the balance amount to reach 5,000 mvr under this scheme. Senior Citizen Allowance was introduced in February 2014.</t>
    </r>
  </si>
  <si>
    <r>
      <t>2016</t>
    </r>
    <r>
      <rPr>
        <b/>
        <vertAlign val="superscript"/>
        <sz val="11"/>
        <color rgb="FF000000"/>
        <rFont val="Calibri"/>
        <family val="2"/>
      </rPr>
      <t>2_/</t>
    </r>
  </si>
  <si>
    <t>2_/ Payment for some MRPS pensioners was processed for two months in November which accounts for the decrease in MRPS pensioners processed in December 2016.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</si>
</sst>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21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Faruma"/>
    </font>
    <font>
      <sz val="11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vertAlign val="superscript"/>
      <sz val="10"/>
      <color rgb="FF000000"/>
      <name val="Faruma"/>
    </font>
    <font>
      <sz val="9"/>
      <color rgb="FF000000"/>
      <name val="Faruma"/>
    </font>
    <font>
      <b/>
      <sz val="9"/>
      <color rgb="FF000000"/>
      <name val="Calibri"/>
      <family val="2"/>
    </font>
    <font>
      <b/>
      <sz val="12"/>
      <color rgb="FF000000"/>
      <name val="Calibri"/>
      <family val="2"/>
    </font>
    <font>
      <b/>
      <sz val="9"/>
      <color rgb="FF262626"/>
      <name val="Faruma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sz val="11"/>
      <color rgb="FF000000"/>
      <name val="Calibri"/>
      <family val="2"/>
    </font>
    <font>
      <b/>
      <vertAlign val="superscript"/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2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/>
      <diagonal/>
    </border>
  </borders>
  <cellStyleXfs count="3">
    <xf numFmtId="0" fontId="0" fillId="0" borderId="0"/>
    <xf numFmtId="164" fontId="20" fillId="0" borderId="0"/>
    <xf numFmtId="0" fontId="19" fillId="0" borderId="0"/>
  </cellStyleXfs>
  <cellXfs count="89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4" fillId="2" borderId="8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right" vertical="center"/>
    </xf>
    <xf numFmtId="0" fontId="1" fillId="2" borderId="0" xfId="0" applyFont="1" applyFill="1" applyBorder="1" applyAlignment="1"/>
    <xf numFmtId="164" fontId="0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/>
    <xf numFmtId="0" fontId="0" fillId="2" borderId="11" xfId="0" applyFont="1" applyFill="1" applyBorder="1"/>
    <xf numFmtId="164" fontId="0" fillId="2" borderId="11" xfId="0" applyNumberFormat="1" applyFont="1" applyFill="1" applyBorder="1" applyAlignment="1">
      <alignment horizontal="center" vertical="center"/>
    </xf>
    <xf numFmtId="164" fontId="0" fillId="2" borderId="11" xfId="0" applyNumberFormat="1" applyFont="1" applyFill="1" applyBorder="1" applyAlignment="1">
      <alignment horizontal="right" vertical="center"/>
    </xf>
    <xf numFmtId="0" fontId="5" fillId="2" borderId="11" xfId="0" applyFont="1" applyFill="1" applyBorder="1" applyAlignment="1"/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left" vertical="center"/>
    </xf>
    <xf numFmtId="164" fontId="0" fillId="2" borderId="0" xfId="0" applyNumberFormat="1" applyFont="1" applyFill="1" applyBorder="1"/>
    <xf numFmtId="3" fontId="0" fillId="2" borderId="0" xfId="0" applyNumberFormat="1" applyFont="1" applyFill="1" applyBorder="1"/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/>
    <xf numFmtId="0" fontId="10" fillId="2" borderId="10" xfId="0" applyFont="1" applyFill="1" applyBorder="1" applyAlignment="1">
      <alignment horizontal="center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3" fontId="12" fillId="2" borderId="0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vertical="center"/>
    </xf>
    <xf numFmtId="0" fontId="4" fillId="2" borderId="22" xfId="0" applyFont="1" applyFill="1" applyBorder="1" applyAlignment="1">
      <alignment horizontal="right" vertical="center"/>
    </xf>
    <xf numFmtId="0" fontId="4" fillId="2" borderId="27" xfId="0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right"/>
    </xf>
    <xf numFmtId="0" fontId="3" fillId="2" borderId="23" xfId="0" applyFont="1" applyFill="1" applyBorder="1" applyAlignment="1">
      <alignment horizontal="right"/>
    </xf>
    <xf numFmtId="0" fontId="3" fillId="2" borderId="25" xfId="0" applyFont="1" applyFill="1" applyBorder="1" applyAlignment="1">
      <alignment horizontal="right"/>
    </xf>
    <xf numFmtId="164" fontId="3" fillId="2" borderId="0" xfId="0" applyNumberFormat="1" applyFont="1" applyFill="1" applyBorder="1" applyAlignment="1">
      <alignment horizontal="right" vertical="center"/>
    </xf>
    <xf numFmtId="164" fontId="3" fillId="2" borderId="22" xfId="0" applyNumberFormat="1" applyFont="1" applyFill="1" applyBorder="1" applyAlignment="1">
      <alignment horizontal="right" vertical="center"/>
    </xf>
    <xf numFmtId="1" fontId="3" fillId="4" borderId="4" xfId="0" applyNumberFormat="1" applyFont="1" applyFill="1" applyBorder="1" applyAlignment="1">
      <alignment horizontal="center" vertical="center"/>
    </xf>
    <xf numFmtId="164" fontId="0" fillId="2" borderId="22" xfId="0" applyNumberFormat="1" applyFont="1" applyFill="1" applyBorder="1" applyAlignment="1">
      <alignment horizontal="right" vertical="center"/>
    </xf>
    <xf numFmtId="3" fontId="0" fillId="2" borderId="26" xfId="0" applyNumberFormat="1" applyFont="1" applyFill="1" applyBorder="1"/>
    <xf numFmtId="1" fontId="0" fillId="4" borderId="7" xfId="0" applyNumberFormat="1" applyFont="1" applyFill="1" applyBorder="1" applyAlignment="1">
      <alignment horizontal="center" vertical="center"/>
    </xf>
    <xf numFmtId="164" fontId="0" fillId="2" borderId="23" xfId="0" applyNumberFormat="1" applyFont="1" applyFill="1" applyBorder="1" applyAlignment="1">
      <alignment horizontal="right" vertical="center"/>
    </xf>
    <xf numFmtId="3" fontId="0" fillId="2" borderId="11" xfId="0" applyNumberFormat="1" applyFont="1" applyFill="1" applyBorder="1"/>
    <xf numFmtId="3" fontId="0" fillId="2" borderId="25" xfId="0" applyNumberFormat="1" applyFont="1" applyFill="1" applyBorder="1"/>
    <xf numFmtId="1" fontId="0" fillId="4" borderId="16" xfId="0" applyNumberFormat="1" applyFont="1" applyFill="1" applyBorder="1" applyAlignment="1">
      <alignment horizontal="center" vertical="center"/>
    </xf>
    <xf numFmtId="0" fontId="0" fillId="2" borderId="1" xfId="0" applyFont="1" applyFill="1" applyBorder="1"/>
    <xf numFmtId="3" fontId="0" fillId="4" borderId="0" xfId="0" applyNumberFormat="1" applyFont="1" applyFill="1" applyBorder="1" applyAlignment="1">
      <alignment horizontal="right"/>
    </xf>
    <xf numFmtId="3" fontId="0" fillId="4" borderId="11" xfId="0" applyNumberFormat="1" applyFont="1" applyFill="1" applyBorder="1" applyAlignment="1">
      <alignment horizontal="right"/>
    </xf>
    <xf numFmtId="3" fontId="14" fillId="4" borderId="0" xfId="0" applyNumberFormat="1" applyFont="1" applyFill="1" applyBorder="1" applyAlignment="1">
      <alignment horizontal="right"/>
    </xf>
    <xf numFmtId="164" fontId="14" fillId="2" borderId="1" xfId="0" applyNumberFormat="1" applyFont="1" applyFill="1" applyBorder="1" applyAlignment="1">
      <alignment horizontal="right" vertical="center"/>
    </xf>
    <xf numFmtId="1" fontId="3" fillId="4" borderId="1" xfId="0" applyNumberFormat="1" applyFont="1" applyFill="1" applyBorder="1" applyAlignment="1">
      <alignment horizontal="right" vertical="center" indent="4"/>
    </xf>
    <xf numFmtId="1" fontId="0" fillId="4" borderId="0" xfId="0" applyNumberFormat="1" applyFont="1" applyFill="1" applyBorder="1" applyAlignment="1">
      <alignment horizontal="right" vertical="center" indent="4"/>
    </xf>
    <xf numFmtId="1" fontId="0" fillId="4" borderId="11" xfId="0" applyNumberFormat="1" applyFont="1" applyFill="1" applyBorder="1" applyAlignment="1">
      <alignment horizontal="right" vertical="center" indent="4"/>
    </xf>
    <xf numFmtId="37" fontId="3" fillId="2" borderId="3" xfId="0" applyNumberFormat="1" applyFont="1" applyFill="1" applyBorder="1" applyAlignment="1">
      <alignment horizontal="right" vertical="center" indent="1"/>
    </xf>
    <xf numFmtId="37" fontId="3" fillId="4" borderId="18" xfId="0" applyNumberFormat="1" applyFont="1" applyFill="1" applyBorder="1" applyAlignment="1">
      <alignment horizontal="right" vertical="center" indent="1"/>
    </xf>
    <xf numFmtId="37" fontId="0" fillId="2" borderId="6" xfId="0" applyNumberFormat="1" applyFont="1" applyFill="1" applyBorder="1" applyAlignment="1">
      <alignment horizontal="right" vertical="center" indent="1"/>
    </xf>
    <xf numFmtId="37" fontId="0" fillId="4" borderId="17" xfId="0" applyNumberFormat="1" applyFont="1" applyFill="1" applyBorder="1" applyAlignment="1">
      <alignment horizontal="right" vertical="center" indent="1"/>
    </xf>
    <xf numFmtId="37" fontId="0" fillId="2" borderId="13" xfId="0" applyNumberFormat="1" applyFont="1" applyFill="1" applyBorder="1" applyAlignment="1">
      <alignment horizontal="right" vertical="center" indent="1"/>
    </xf>
    <xf numFmtId="37" fontId="0" fillId="4" borderId="12" xfId="0" applyNumberFormat="1" applyFont="1" applyFill="1" applyBorder="1" applyAlignment="1">
      <alignment horizontal="right" vertical="center" indent="1"/>
    </xf>
    <xf numFmtId="0" fontId="3" fillId="2" borderId="15" xfId="0" applyFont="1" applyFill="1" applyBorder="1" applyAlignment="1">
      <alignment horizontal="right" vertical="center" indent="1"/>
    </xf>
    <xf numFmtId="0" fontId="3" fillId="4" borderId="20" xfId="0" applyFont="1" applyFill="1" applyBorder="1" applyAlignment="1">
      <alignment horizontal="right" vertical="center" indent="1"/>
    </xf>
    <xf numFmtId="3" fontId="14" fillId="2" borderId="22" xfId="0" applyNumberFormat="1" applyFont="1" applyFill="1" applyBorder="1" applyAlignment="1">
      <alignment horizontal="right" vertical="center"/>
    </xf>
    <xf numFmtId="3" fontId="0" fillId="2" borderId="22" xfId="0" applyNumberFormat="1" applyFont="1" applyFill="1" applyBorder="1" applyAlignment="1">
      <alignment horizontal="right" vertical="center"/>
    </xf>
    <xf numFmtId="3" fontId="0" fillId="2" borderId="23" xfId="0" applyNumberFormat="1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center" vertical="center"/>
    </xf>
    <xf numFmtId="3" fontId="18" fillId="2" borderId="22" xfId="0" applyNumberFormat="1" applyFont="1" applyFill="1" applyBorder="1" applyAlignment="1">
      <alignment horizontal="right" vertical="center"/>
    </xf>
    <xf numFmtId="3" fontId="18" fillId="4" borderId="0" xfId="0" applyNumberFormat="1" applyFont="1" applyFill="1" applyBorder="1" applyAlignment="1">
      <alignment horizontal="right"/>
    </xf>
    <xf numFmtId="0" fontId="13" fillId="3" borderId="0" xfId="0" applyFont="1" applyFill="1" applyAlignment="1"/>
    <xf numFmtId="0" fontId="16" fillId="2" borderId="11" xfId="0" applyFont="1" applyFill="1" applyBorder="1" applyAlignment="1">
      <alignment vertical="center"/>
    </xf>
    <xf numFmtId="0" fontId="2" fillId="3" borderId="2" xfId="0" applyFont="1" applyFill="1" applyBorder="1"/>
    <xf numFmtId="0" fontId="2" fillId="3" borderId="0" xfId="0" applyFont="1" applyFill="1" applyBorder="1"/>
    <xf numFmtId="0" fontId="2" fillId="3" borderId="5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2" fillId="3" borderId="11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3" borderId="9" xfId="0" applyFont="1" applyFill="1" applyBorder="1"/>
    <xf numFmtId="0" fontId="3" fillId="2" borderId="9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0" fontId="3" fillId="2" borderId="2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3" borderId="24" xfId="0" applyFont="1" applyFill="1" applyBorder="1"/>
    <xf numFmtId="0" fontId="3" fillId="2" borderId="1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050" b="1" i="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18.5: Number of beneficiaries under different pension schemes by sex, 2016</a:t>
            </a:r>
          </a:p>
        </c:rich>
      </c:tx>
      <c:layout>
        <c:manualLayout>
          <c:xMode val="edge"/>
          <c:yMode val="edge"/>
          <c:x val="0.15395346971751586"/>
          <c:y val="3.846153846153846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061595067414992"/>
          <c:y val="0.16764351571438185"/>
          <c:w val="0.85826024711337956"/>
          <c:h val="0.723903694730466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'18.3'!$AO$25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8A45E"/>
            </a:solidFill>
          </c:spPr>
          <c:invertIfNegative val="1"/>
          <c:dLbls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'18.3'!$AN$26:$AN$29</c:f>
              <c:strCache>
                <c:ptCount val="4"/>
                <c:pt idx="0">
                  <c:v>Basic Pension</c:v>
                </c:pt>
                <c:pt idx="1">
                  <c:v>Retirement Pension</c:v>
                </c:pt>
                <c:pt idx="2">
                  <c:v>Other Pension</c:v>
                </c:pt>
                <c:pt idx="3">
                  <c:v>Senior Citizen Allowance</c:v>
                </c:pt>
              </c:strCache>
            </c:strRef>
          </c:cat>
          <c:val>
            <c:numRef>
              <c:f>'18.3'!$AO$26:$AO$29</c:f>
              <c:numCache>
                <c:formatCode>_(* #,##0_);_(* \(#,##0\);_(* "-"??_);_(@_)</c:formatCode>
                <c:ptCount val="4"/>
                <c:pt idx="0">
                  <c:v>8294</c:v>
                </c:pt>
                <c:pt idx="1">
                  <c:v>66</c:v>
                </c:pt>
                <c:pt idx="2">
                  <c:v>5175</c:v>
                </c:pt>
                <c:pt idx="3">
                  <c:v>8634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'18.3'!$AP$25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53735"/>
            </a:solidFill>
          </c:spPr>
          <c:invertIfNegative val="1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'18.3'!$AN$26:$AN$29</c:f>
              <c:strCache>
                <c:ptCount val="4"/>
                <c:pt idx="0">
                  <c:v>Basic Pension</c:v>
                </c:pt>
                <c:pt idx="1">
                  <c:v>Retirement Pension</c:v>
                </c:pt>
                <c:pt idx="2">
                  <c:v>Other Pension</c:v>
                </c:pt>
                <c:pt idx="3">
                  <c:v>Senior Citizen Allowance</c:v>
                </c:pt>
              </c:strCache>
            </c:strRef>
          </c:cat>
          <c:val>
            <c:numRef>
              <c:f>'18.3'!$AP$26:$AP$29</c:f>
              <c:numCache>
                <c:formatCode>_(* #,##0_);_(* \(#,##0\);_(* "-"??_);_(@_)</c:formatCode>
                <c:ptCount val="4"/>
                <c:pt idx="0">
                  <c:v>8027</c:v>
                </c:pt>
                <c:pt idx="1">
                  <c:v>6</c:v>
                </c:pt>
                <c:pt idx="2">
                  <c:v>2080</c:v>
                </c:pt>
                <c:pt idx="3">
                  <c:v>8145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706624"/>
        <c:axId val="39708160"/>
      </c:barChart>
      <c:catAx>
        <c:axId val="39706624"/>
        <c:scaling>
          <c:orientation val="minMax"/>
        </c:scaling>
        <c:delete val="0"/>
        <c:axPos val="b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39708160"/>
        <c:crosses val="autoZero"/>
        <c:auto val="1"/>
        <c:lblAlgn val="ctr"/>
        <c:lblOffset val="100"/>
        <c:noMultiLvlLbl val="1"/>
      </c:catAx>
      <c:valAx>
        <c:axId val="3970816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 lvl="0">
                  <a:defRPr b="1" i="0"/>
                </a:pPr>
                <a:r>
                  <a:rPr lang="en-US" b="1"/>
                  <a:t>number of persons</a:t>
                </a:r>
              </a:p>
            </c:rich>
          </c:tx>
          <c:layout>
            <c:manualLayout>
              <c:xMode val="edge"/>
              <c:yMode val="edge"/>
              <c:x val="1.6486121053050185E-2"/>
              <c:y val="0.33488390874217644"/>
            </c:manualLayout>
          </c:layout>
          <c:overlay val="0"/>
        </c:title>
        <c:numFmt formatCode="_(* #,##0_);_(* \(#,##0\);_(* &quot;-&quot;??_);_(@_)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39706624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9990400409434984"/>
          <c:y val="0.22016925768894272"/>
          <c:w val="0.20835247372734533"/>
          <c:h val="9.0452251160912572E-2"/>
        </c:manualLayout>
      </c:layout>
      <c:overlay val="0"/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1552574</xdr:colOff>
      <xdr:row>19</xdr:row>
      <xdr:rowOff>152400</xdr:rowOff>
    </xdr:from>
    <xdr:to>
      <xdr:col>20</xdr:col>
      <xdr:colOff>466725</xdr:colOff>
      <xdr:row>35</xdr:row>
      <xdr:rowOff>76200</xdr:rowOff>
    </xdr:to>
    <xdr:graphicFrame macro=""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11</xdr:col>
      <xdr:colOff>304800</xdr:colOff>
      <xdr:row>21</xdr:row>
      <xdr:rowOff>114300</xdr:rowOff>
    </xdr:from>
    <xdr:to>
      <xdr:col>20</xdr:col>
      <xdr:colOff>47625</xdr:colOff>
      <xdr:row>21</xdr:row>
      <xdr:rowOff>123825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714625" y="4810125"/>
          <a:ext cx="6115050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Copy%20of%20Statistical%20Year%20book%20for%20the%20year%202016%20for%20NSPA%20_%20NBS%20Comments%20_%20NSPA%20p%20%20%2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1.24"/>
      <sheetName val="11.25"/>
      <sheetName val="11.26"/>
      <sheetName val="11.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N5">
            <v>2013</v>
          </cell>
          <cell r="O5">
            <v>2014</v>
          </cell>
          <cell r="P5">
            <v>2015</v>
          </cell>
        </row>
        <row r="6">
          <cell r="N6">
            <v>299661096.44</v>
          </cell>
          <cell r="O6">
            <v>349220698.38999999</v>
          </cell>
          <cell r="P6">
            <v>180614696.01000002</v>
          </cell>
        </row>
        <row r="7">
          <cell r="A7" t="str">
            <v>January</v>
          </cell>
          <cell r="O7">
            <v>23170714.699999999</v>
          </cell>
          <cell r="P7">
            <v>18871576.670000002</v>
          </cell>
        </row>
        <row r="8">
          <cell r="A8" t="str">
            <v>February</v>
          </cell>
          <cell r="O8">
            <v>24382093.82</v>
          </cell>
          <cell r="P8">
            <v>11560674.26</v>
          </cell>
        </row>
        <row r="9">
          <cell r="A9" t="str">
            <v>March</v>
          </cell>
          <cell r="O9">
            <v>65018059.100000001</v>
          </cell>
          <cell r="P9">
            <v>11961755.039999999</v>
          </cell>
        </row>
        <row r="10">
          <cell r="A10" t="str">
            <v>April</v>
          </cell>
          <cell r="O10">
            <v>26571752.030000001</v>
          </cell>
          <cell r="P10">
            <v>14237831.629999999</v>
          </cell>
        </row>
        <row r="11">
          <cell r="A11" t="str">
            <v>May</v>
          </cell>
          <cell r="O11">
            <v>27344862.630000003</v>
          </cell>
          <cell r="P11">
            <v>15232383.639999999</v>
          </cell>
        </row>
        <row r="12">
          <cell r="A12" t="str">
            <v>June</v>
          </cell>
          <cell r="O12">
            <v>27437953.34</v>
          </cell>
          <cell r="P12">
            <v>16698376.539999999</v>
          </cell>
        </row>
        <row r="13">
          <cell r="A13" t="str">
            <v>July</v>
          </cell>
          <cell r="O13">
            <v>27536963.569999997</v>
          </cell>
          <cell r="P13">
            <v>17014342.27</v>
          </cell>
        </row>
        <row r="14">
          <cell r="A14" t="str">
            <v>August</v>
          </cell>
          <cell r="O14">
            <v>27542726.530000001</v>
          </cell>
          <cell r="P14">
            <v>14637041.91</v>
          </cell>
        </row>
        <row r="15">
          <cell r="A15" t="str">
            <v>September</v>
          </cell>
          <cell r="O15">
            <v>26488280.200000003</v>
          </cell>
          <cell r="P15">
            <v>14637041.91</v>
          </cell>
        </row>
        <row r="16">
          <cell r="A16" t="str">
            <v>October</v>
          </cell>
          <cell r="O16">
            <v>26944673.18</v>
          </cell>
          <cell r="P16">
            <v>15266487.300000001</v>
          </cell>
        </row>
        <row r="17">
          <cell r="A17" t="str">
            <v>November</v>
          </cell>
          <cell r="O17">
            <v>24549554.030000001</v>
          </cell>
          <cell r="P17">
            <v>15648041.789999999</v>
          </cell>
        </row>
        <row r="18">
          <cell r="A18" t="str">
            <v>December</v>
          </cell>
          <cell r="O18">
            <v>22233065.260000002</v>
          </cell>
          <cell r="P18">
            <v>14849143.050000001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P37"/>
  <sheetViews>
    <sheetView tabSelected="1" zoomScaleNormal="100" workbookViewId="0">
      <selection activeCell="AB1" sqref="AB1:AB1048576"/>
    </sheetView>
  </sheetViews>
  <sheetFormatPr defaultColWidth="15.140625" defaultRowHeight="15" customHeight="1" x14ac:dyDescent="0.25"/>
  <cols>
    <col min="1" max="1" width="24.7109375" style="2" customWidth="1"/>
    <col min="2" max="2" width="11.42578125" style="2" hidden="1" customWidth="1"/>
    <col min="3" max="4" width="9.140625" style="2" hidden="1" customWidth="1"/>
    <col min="5" max="5" width="9.42578125" style="2" hidden="1" customWidth="1"/>
    <col min="6" max="7" width="9.140625" style="2" hidden="1" customWidth="1"/>
    <col min="8" max="8" width="11.42578125" style="2" hidden="1" customWidth="1"/>
    <col min="9" max="10" width="9.140625" style="2" hidden="1" customWidth="1"/>
    <col min="11" max="11" width="11.42578125" style="2" customWidth="1"/>
    <col min="12" max="13" width="9.140625" style="2" customWidth="1"/>
    <col min="14" max="14" width="11.42578125" style="2" customWidth="1"/>
    <col min="15" max="16" width="9.140625" style="2" customWidth="1"/>
    <col min="17" max="18" width="10.7109375" style="2" customWidth="1"/>
    <col min="19" max="19" width="13.5703125" style="2" customWidth="1"/>
    <col min="20" max="20" width="12.5703125" style="2" customWidth="1"/>
    <col min="21" max="21" width="20.85546875" style="2" customWidth="1"/>
    <col min="22" max="22" width="1.140625" style="2" customWidth="1"/>
    <col min="23" max="23" width="1.7109375" style="2" customWidth="1"/>
    <col min="24" max="24" width="1.85546875" style="2" customWidth="1"/>
    <col min="25" max="38" width="8" style="2" customWidth="1"/>
    <col min="39" max="16384" width="15.140625" style="2"/>
  </cols>
  <sheetData>
    <row r="1" spans="1:3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ht="21.75" customHeight="1" x14ac:dyDescent="0.25">
      <c r="A2" s="73" t="s">
        <v>27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5.75" customHeight="1" x14ac:dyDescent="0.25">
      <c r="A3" s="77" t="s">
        <v>28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5.25" customHeight="1" x14ac:dyDescent="0.45">
      <c r="A4" s="1"/>
      <c r="B4" s="1"/>
      <c r="C4" s="3"/>
      <c r="D4" s="26"/>
      <c r="E4" s="1"/>
      <c r="F4" s="3"/>
      <c r="G4" s="26"/>
      <c r="H4" s="1"/>
      <c r="I4" s="3"/>
      <c r="J4" s="26"/>
      <c r="K4" s="1"/>
      <c r="L4" s="3"/>
      <c r="M4" s="26"/>
      <c r="N4" s="1"/>
      <c r="O4" s="3"/>
      <c r="P4" s="26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7.25" customHeight="1" x14ac:dyDescent="0.25">
      <c r="A5" s="70" t="s">
        <v>0</v>
      </c>
      <c r="B5" s="27"/>
      <c r="C5" s="27"/>
      <c r="D5" s="27"/>
      <c r="E5" s="88" t="s">
        <v>29</v>
      </c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84" t="s">
        <v>1</v>
      </c>
      <c r="R5" s="85"/>
      <c r="S5" s="78" t="s">
        <v>2</v>
      </c>
      <c r="T5" s="84" t="s">
        <v>3</v>
      </c>
      <c r="U5" s="72" t="s">
        <v>4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" customHeight="1" x14ac:dyDescent="0.25">
      <c r="A6" s="68"/>
      <c r="B6" s="76">
        <v>2012</v>
      </c>
      <c r="C6" s="75"/>
      <c r="D6" s="75"/>
      <c r="E6" s="76">
        <v>2013</v>
      </c>
      <c r="F6" s="75"/>
      <c r="G6" s="75"/>
      <c r="H6" s="80">
        <v>2014</v>
      </c>
      <c r="I6" s="75"/>
      <c r="J6" s="75"/>
      <c r="K6" s="81">
        <v>2015</v>
      </c>
      <c r="L6" s="69"/>
      <c r="M6" s="82"/>
      <c r="N6" s="80" t="s">
        <v>34</v>
      </c>
      <c r="O6" s="75"/>
      <c r="P6" s="75"/>
      <c r="Q6" s="86"/>
      <c r="R6" s="87"/>
      <c r="S6" s="79"/>
      <c r="T6" s="86"/>
      <c r="U6" s="68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24" customHeight="1" x14ac:dyDescent="0.25">
      <c r="A7" s="68"/>
      <c r="B7" s="6" t="s">
        <v>8</v>
      </c>
      <c r="C7" s="6" t="s">
        <v>9</v>
      </c>
      <c r="D7" s="5" t="s">
        <v>10</v>
      </c>
      <c r="E7" s="6" t="s">
        <v>8</v>
      </c>
      <c r="F7" s="6" t="s">
        <v>9</v>
      </c>
      <c r="G7" s="5" t="s">
        <v>10</v>
      </c>
      <c r="H7" s="28" t="s">
        <v>8</v>
      </c>
      <c r="I7" s="6" t="s">
        <v>9</v>
      </c>
      <c r="J7" s="5" t="s">
        <v>10</v>
      </c>
      <c r="K7" s="6" t="s">
        <v>8</v>
      </c>
      <c r="L7" s="6" t="s">
        <v>9</v>
      </c>
      <c r="M7" s="29" t="s">
        <v>10</v>
      </c>
      <c r="N7" s="28" t="s">
        <v>8</v>
      </c>
      <c r="O7" s="6" t="s">
        <v>9</v>
      </c>
      <c r="P7" s="5" t="s">
        <v>10</v>
      </c>
      <c r="Q7" s="74" t="s">
        <v>5</v>
      </c>
      <c r="R7" s="83"/>
      <c r="S7" s="23" t="s">
        <v>6</v>
      </c>
      <c r="T7" s="62" t="s">
        <v>7</v>
      </c>
      <c r="U7" s="68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13.5" customHeight="1" x14ac:dyDescent="0.25">
      <c r="A8" s="71"/>
      <c r="B8" s="7" t="s">
        <v>11</v>
      </c>
      <c r="C8" s="7" t="s">
        <v>12</v>
      </c>
      <c r="D8" s="7" t="s">
        <v>13</v>
      </c>
      <c r="E8" s="30" t="s">
        <v>11</v>
      </c>
      <c r="F8" s="30" t="s">
        <v>12</v>
      </c>
      <c r="G8" s="30" t="s">
        <v>13</v>
      </c>
      <c r="H8" s="31" t="s">
        <v>11</v>
      </c>
      <c r="I8" s="30" t="s">
        <v>12</v>
      </c>
      <c r="J8" s="30" t="s">
        <v>13</v>
      </c>
      <c r="K8" s="30" t="s">
        <v>11</v>
      </c>
      <c r="L8" s="30" t="s">
        <v>12</v>
      </c>
      <c r="M8" s="32" t="s">
        <v>13</v>
      </c>
      <c r="N8" s="31" t="s">
        <v>11</v>
      </c>
      <c r="O8" s="30" t="s">
        <v>12</v>
      </c>
      <c r="P8" s="30" t="s">
        <v>13</v>
      </c>
      <c r="Q8" s="57">
        <v>2015</v>
      </c>
      <c r="R8" s="58">
        <v>2016</v>
      </c>
      <c r="S8" s="24">
        <v>2016</v>
      </c>
      <c r="T8" s="25" t="s">
        <v>14</v>
      </c>
      <c r="U8" s="7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21" customHeight="1" x14ac:dyDescent="0.55000000000000004">
      <c r="A9" s="4" t="s">
        <v>11</v>
      </c>
      <c r="B9" s="33">
        <f>C9+D9</f>
        <v>22875</v>
      </c>
      <c r="C9" s="33">
        <f t="shared" ref="C9:D9" si="0">SUM(C10:C12)</f>
        <v>13653</v>
      </c>
      <c r="D9" s="33">
        <f t="shared" si="0"/>
        <v>9222</v>
      </c>
      <c r="E9" s="33">
        <f>F9+G9</f>
        <v>23165</v>
      </c>
      <c r="F9" s="33">
        <f t="shared" ref="F9:G9" si="1">SUM(F10:F12)</f>
        <v>13562</v>
      </c>
      <c r="G9" s="33">
        <f t="shared" si="1"/>
        <v>9603</v>
      </c>
      <c r="H9" s="34">
        <f>I9+J9</f>
        <v>39895</v>
      </c>
      <c r="I9" s="33">
        <f t="shared" ref="I9:J9" si="2">SUM(I10:I13)</f>
        <v>22176</v>
      </c>
      <c r="J9" s="33">
        <f t="shared" si="2"/>
        <v>17719</v>
      </c>
      <c r="K9" s="47">
        <f>L9+M9</f>
        <v>40811</v>
      </c>
      <c r="L9" s="46">
        <f t="shared" ref="L9" si="3">SUM(L10:L13)</f>
        <v>22651</v>
      </c>
      <c r="M9" s="46">
        <f>SUM(M10:M13)</f>
        <v>18160</v>
      </c>
      <c r="N9" s="59">
        <f>O9+P9</f>
        <v>40427</v>
      </c>
      <c r="O9" s="46">
        <f>SUM(O10:O13)</f>
        <v>22169</v>
      </c>
      <c r="P9" s="46">
        <f>SUM(P10:P13)</f>
        <v>18258</v>
      </c>
      <c r="Q9" s="51">
        <f t="shared" ref="Q9:Q13" si="4">K9/$K$9*100</f>
        <v>100</v>
      </c>
      <c r="R9" s="52">
        <f t="shared" ref="R9:R13" si="5">N9/$N$9*100</f>
        <v>100</v>
      </c>
      <c r="S9" s="35">
        <f t="shared" ref="S9:S13" si="6">P9/N9*100</f>
        <v>45.162886189922574</v>
      </c>
      <c r="T9" s="48">
        <f t="shared" ref="T9:T13" si="7">((N9-K9)/K9)*100</f>
        <v>-0.94092279042415039</v>
      </c>
      <c r="U9" s="8" t="s">
        <v>8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 ht="21" customHeight="1" x14ac:dyDescent="0.55000000000000004">
      <c r="A10" s="1" t="s">
        <v>15</v>
      </c>
      <c r="B10" s="10">
        <f>SUM(C10:D10)</f>
        <v>15268</v>
      </c>
      <c r="C10" s="9">
        <v>7948</v>
      </c>
      <c r="D10" s="9">
        <v>7320</v>
      </c>
      <c r="E10" s="10">
        <v>15447</v>
      </c>
      <c r="F10" s="9">
        <v>7972</v>
      </c>
      <c r="G10" s="9">
        <v>7475</v>
      </c>
      <c r="H10" s="36">
        <v>15767</v>
      </c>
      <c r="I10" s="9">
        <v>8062</v>
      </c>
      <c r="J10" s="9">
        <v>7705</v>
      </c>
      <c r="K10" s="10">
        <f t="shared" ref="K10:K13" si="8">SUM(L10:M10)</f>
        <v>16091</v>
      </c>
      <c r="L10" s="20">
        <v>8201</v>
      </c>
      <c r="M10" s="37">
        <v>7890</v>
      </c>
      <c r="N10" s="60">
        <f t="shared" ref="N10:N13" si="9">SUM(O10:P10)</f>
        <v>16321</v>
      </c>
      <c r="O10" s="44">
        <v>8294</v>
      </c>
      <c r="P10" s="44">
        <v>8027</v>
      </c>
      <c r="Q10" s="53">
        <f t="shared" si="4"/>
        <v>39.428095366445319</v>
      </c>
      <c r="R10" s="54">
        <f t="shared" si="5"/>
        <v>40.371533875875031</v>
      </c>
      <c r="S10" s="38">
        <f t="shared" si="6"/>
        <v>49.18203541449666</v>
      </c>
      <c r="T10" s="49">
        <f t="shared" si="7"/>
        <v>1.4293704555341495</v>
      </c>
      <c r="U10" s="11" t="s">
        <v>16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21" customHeight="1" x14ac:dyDescent="0.55000000000000004">
      <c r="A11" s="1" t="s">
        <v>17</v>
      </c>
      <c r="B11" s="10">
        <v>393</v>
      </c>
      <c r="C11" s="9">
        <v>217</v>
      </c>
      <c r="D11" s="9">
        <v>76</v>
      </c>
      <c r="E11" s="10">
        <v>425</v>
      </c>
      <c r="F11" s="9">
        <v>333</v>
      </c>
      <c r="G11" s="9">
        <v>92</v>
      </c>
      <c r="H11" s="36">
        <v>646</v>
      </c>
      <c r="I11" s="9">
        <v>501</v>
      </c>
      <c r="J11" s="9">
        <v>145</v>
      </c>
      <c r="K11" s="10">
        <f t="shared" si="8"/>
        <v>895</v>
      </c>
      <c r="L11" s="20">
        <v>699</v>
      </c>
      <c r="M11" s="37">
        <v>196</v>
      </c>
      <c r="N11" s="63">
        <f t="shared" si="9"/>
        <v>72</v>
      </c>
      <c r="O11" s="64">
        <v>66</v>
      </c>
      <c r="P11" s="64">
        <v>6</v>
      </c>
      <c r="Q11" s="53">
        <f t="shared" si="4"/>
        <v>2.1930361912229546</v>
      </c>
      <c r="R11" s="54">
        <f t="shared" si="5"/>
        <v>0.17809879535953696</v>
      </c>
      <c r="S11" s="38">
        <f t="shared" si="6"/>
        <v>8.3333333333333321</v>
      </c>
      <c r="T11" s="49">
        <f t="shared" si="7"/>
        <v>-91.955307262569832</v>
      </c>
      <c r="U11" s="11" t="s">
        <v>18</v>
      </c>
      <c r="V11" s="1"/>
      <c r="W11" s="1"/>
    </row>
    <row r="12" spans="1:38" ht="21" customHeight="1" x14ac:dyDescent="0.55000000000000004">
      <c r="A12" s="1" t="s">
        <v>19</v>
      </c>
      <c r="B12" s="10">
        <f>SUM(C12:D12)</f>
        <v>7314</v>
      </c>
      <c r="C12" s="9">
        <v>5488</v>
      </c>
      <c r="D12" s="9">
        <v>1826</v>
      </c>
      <c r="E12" s="10">
        <v>7293</v>
      </c>
      <c r="F12" s="9">
        <v>5257</v>
      </c>
      <c r="G12" s="9">
        <v>2036</v>
      </c>
      <c r="H12" s="36">
        <v>7284</v>
      </c>
      <c r="I12" s="9">
        <v>5225</v>
      </c>
      <c r="J12" s="9">
        <v>2059</v>
      </c>
      <c r="K12" s="10">
        <f t="shared" si="8"/>
        <v>7264</v>
      </c>
      <c r="L12" s="20">
        <v>5198</v>
      </c>
      <c r="M12" s="37">
        <v>2066</v>
      </c>
      <c r="N12" s="60">
        <f t="shared" si="9"/>
        <v>7255</v>
      </c>
      <c r="O12" s="44">
        <v>5175</v>
      </c>
      <c r="P12" s="44">
        <v>2080</v>
      </c>
      <c r="Q12" s="53">
        <f t="shared" si="4"/>
        <v>17.799122785523512</v>
      </c>
      <c r="R12" s="54">
        <f t="shared" si="5"/>
        <v>17.945927226853339</v>
      </c>
      <c r="S12" s="38">
        <f t="shared" si="6"/>
        <v>28.669882839421092</v>
      </c>
      <c r="T12" s="49">
        <f t="shared" si="7"/>
        <v>-0.12389867841409692</v>
      </c>
      <c r="U12" s="11" t="s">
        <v>20</v>
      </c>
      <c r="V12" s="1"/>
      <c r="W12" s="1"/>
    </row>
    <row r="13" spans="1:38" ht="21" customHeight="1" x14ac:dyDescent="0.55000000000000004">
      <c r="A13" s="66" t="s">
        <v>31</v>
      </c>
      <c r="B13" s="14"/>
      <c r="C13" s="13"/>
      <c r="D13" s="13"/>
      <c r="E13" s="14">
        <v>0</v>
      </c>
      <c r="F13" s="13">
        <v>0</v>
      </c>
      <c r="G13" s="13">
        <v>0</v>
      </c>
      <c r="H13" s="39">
        <v>16198</v>
      </c>
      <c r="I13" s="13">
        <v>8388</v>
      </c>
      <c r="J13" s="9">
        <v>7810</v>
      </c>
      <c r="K13" s="14">
        <f t="shared" si="8"/>
        <v>16561</v>
      </c>
      <c r="L13" s="40">
        <v>8553</v>
      </c>
      <c r="M13" s="41">
        <v>8008</v>
      </c>
      <c r="N13" s="61">
        <f t="shared" si="9"/>
        <v>16779</v>
      </c>
      <c r="O13" s="45">
        <v>8634</v>
      </c>
      <c r="P13" s="44">
        <v>8145</v>
      </c>
      <c r="Q13" s="55">
        <f t="shared" si="4"/>
        <v>40.579745656808214</v>
      </c>
      <c r="R13" s="56">
        <f t="shared" si="5"/>
        <v>41.504440101912088</v>
      </c>
      <c r="S13" s="42">
        <f t="shared" si="6"/>
        <v>48.542821383872699</v>
      </c>
      <c r="T13" s="50">
        <f t="shared" si="7"/>
        <v>1.3163456313024575</v>
      </c>
      <c r="U13" s="15" t="s">
        <v>21</v>
      </c>
      <c r="V13" s="1"/>
      <c r="W13" s="1"/>
    </row>
    <row r="14" spans="1:38" ht="17.25" customHeight="1" x14ac:dyDescent="0.25">
      <c r="A14" s="65" t="s">
        <v>32</v>
      </c>
      <c r="B14" s="1"/>
      <c r="C14" s="1"/>
      <c r="D14" s="1"/>
      <c r="E14" s="1"/>
      <c r="F14" s="1"/>
      <c r="G14" s="1"/>
      <c r="H14" s="1"/>
      <c r="I14" s="1"/>
      <c r="J14" s="43"/>
      <c r="K14" s="1"/>
      <c r="L14" s="1"/>
      <c r="M14" s="43"/>
      <c r="N14" s="1"/>
      <c r="O14" s="1"/>
      <c r="P14" s="43"/>
      <c r="Q14" s="1"/>
      <c r="R14" s="1"/>
      <c r="S14" s="1"/>
      <c r="T14" s="1"/>
      <c r="U14" s="21"/>
      <c r="V14" s="1"/>
      <c r="W14" s="1"/>
    </row>
    <row r="15" spans="1:38" ht="17.25" customHeight="1" x14ac:dyDescent="0.25">
      <c r="A15" s="16" t="s">
        <v>33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1"/>
      <c r="V15" s="1"/>
      <c r="W15" s="1"/>
    </row>
    <row r="16" spans="1:38" ht="17.25" customHeight="1" x14ac:dyDescent="0.25">
      <c r="A16" s="16" t="s">
        <v>35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1"/>
      <c r="V16" s="1"/>
      <c r="W16" s="1"/>
    </row>
    <row r="17" spans="1:42" ht="19.5" customHeight="1" x14ac:dyDescent="0.25">
      <c r="A17" s="16" t="s">
        <v>22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42" ht="18" customHeight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7" t="s">
        <v>23</v>
      </c>
      <c r="W18" s="18" t="s">
        <v>24</v>
      </c>
    </row>
    <row r="19" spans="1:42" ht="18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2" t="s">
        <v>25</v>
      </c>
      <c r="V19" s="1"/>
      <c r="W19" s="1"/>
    </row>
    <row r="20" spans="1:42" x14ac:dyDescent="0.25">
      <c r="A20" s="1"/>
      <c r="B20" s="1"/>
      <c r="C20" s="19"/>
      <c r="D20" s="19"/>
      <c r="E20" s="1"/>
      <c r="F20" s="19"/>
      <c r="G20" s="19"/>
      <c r="H20" s="1"/>
      <c r="I20" s="19"/>
      <c r="J20" s="19"/>
      <c r="K20" s="1"/>
      <c r="L20" s="19"/>
      <c r="M20" s="19"/>
      <c r="N20" s="1"/>
      <c r="O20" s="19"/>
      <c r="P20" s="19"/>
      <c r="Q20" s="1"/>
      <c r="R20" s="1"/>
      <c r="S20" s="1"/>
      <c r="T20" s="1"/>
      <c r="U20" s="1"/>
      <c r="V20" s="1"/>
      <c r="W20" s="1"/>
    </row>
    <row r="21" spans="1:42" x14ac:dyDescent="0.25">
      <c r="A21" s="1"/>
      <c r="B21" s="1"/>
      <c r="C21" s="19"/>
      <c r="D21" s="19"/>
      <c r="E21" s="1"/>
      <c r="F21" s="19"/>
      <c r="G21" s="19"/>
      <c r="H21" s="1"/>
      <c r="I21" s="19"/>
      <c r="J21" s="19"/>
      <c r="K21" s="1"/>
      <c r="L21" s="19"/>
      <c r="M21" s="19"/>
      <c r="N21" s="1"/>
      <c r="O21" s="19"/>
      <c r="P21" s="19"/>
      <c r="Q21" s="1"/>
      <c r="R21" s="1"/>
      <c r="S21" s="1"/>
      <c r="T21" s="1"/>
      <c r="U21" s="1"/>
      <c r="V21" s="1"/>
      <c r="W21" s="1"/>
    </row>
    <row r="22" spans="1:4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AN22" s="1"/>
      <c r="AO22" s="1"/>
      <c r="AP22" s="1"/>
    </row>
    <row r="23" spans="1:4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AN23" s="1"/>
      <c r="AO23" s="1" t="s">
        <v>30</v>
      </c>
      <c r="AP23" s="1"/>
    </row>
    <row r="24" spans="1:4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AN24" s="1"/>
      <c r="AO24" s="1"/>
      <c r="AP24" s="1"/>
    </row>
    <row r="25" spans="1:4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AN25" s="1"/>
      <c r="AO25" s="1" t="str">
        <f>C8</f>
        <v>Male</v>
      </c>
      <c r="AP25" s="1" t="str">
        <f>D8</f>
        <v>Female</v>
      </c>
    </row>
    <row r="26" spans="1:4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AN26" s="1" t="s">
        <v>15</v>
      </c>
      <c r="AO26" s="9">
        <f t="shared" ref="AO26:AP29" si="10">O10</f>
        <v>8294</v>
      </c>
      <c r="AP26" s="9">
        <f t="shared" si="10"/>
        <v>8027</v>
      </c>
    </row>
    <row r="27" spans="1:4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AN27" s="1" t="s">
        <v>17</v>
      </c>
      <c r="AO27" s="9">
        <f t="shared" si="10"/>
        <v>66</v>
      </c>
      <c r="AP27" s="9">
        <f t="shared" si="10"/>
        <v>6</v>
      </c>
    </row>
    <row r="28" spans="1:4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AN28" s="1" t="s">
        <v>19</v>
      </c>
      <c r="AO28" s="9">
        <f t="shared" si="10"/>
        <v>5175</v>
      </c>
      <c r="AP28" s="9">
        <f t="shared" si="10"/>
        <v>2080</v>
      </c>
    </row>
    <row r="29" spans="1:4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AN29" s="12" t="s">
        <v>26</v>
      </c>
      <c r="AO29" s="9">
        <f t="shared" si="10"/>
        <v>8634</v>
      </c>
      <c r="AP29" s="9">
        <f t="shared" si="10"/>
        <v>8145</v>
      </c>
    </row>
    <row r="30" spans="1:42" ht="19.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8"/>
      <c r="AN30" s="1"/>
      <c r="AO30" s="1"/>
      <c r="AP30" s="1"/>
    </row>
    <row r="31" spans="1:4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4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3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3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3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</sheetData>
  <mergeCells count="14">
    <mergeCell ref="A2:U2"/>
    <mergeCell ref="A3:U3"/>
    <mergeCell ref="S5:S6"/>
    <mergeCell ref="A5:A8"/>
    <mergeCell ref="U5:U8"/>
    <mergeCell ref="N6:P6"/>
    <mergeCell ref="B6:D6"/>
    <mergeCell ref="E6:G6"/>
    <mergeCell ref="H6:J6"/>
    <mergeCell ref="K6:M6"/>
    <mergeCell ref="Q7:R7"/>
    <mergeCell ref="Q5:R6"/>
    <mergeCell ref="T5:T6"/>
    <mergeCell ref="E5:P5"/>
  </mergeCells>
  <pageMargins left="0.7" right="0.7" top="0.75" bottom="0.75" header="0.3" footer="0.3"/>
  <pageSetup paperSize="9" scale="8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18.3</vt:lpstr>
      <vt:lpstr>'18.3'!Print_Area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2017-07-04T07:13:38Z</cp:lastPrinted>
  <dcterms:modified xsi:type="dcterms:W3CDTF">2017-07-04T07:13:39Z</dcterms:modified>
</cp:coreProperties>
</file>