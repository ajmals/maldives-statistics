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19" sheetId="19" r:id="rId1"/>
  </sheets>
  <definedNames>
    <definedName name="_xlnm.Print_Area" localSheetId="0">'18.19'!$A$1:$J$41</definedName>
  </definedNames>
  <calcPr calcId="144525"/>
</workbook>
</file>

<file path=xl/calcChain.xml><?xml version="1.0" encoding="utf-8"?>
<calcChain xmlns="http://schemas.openxmlformats.org/spreadsheetml/2006/main">
  <c r="AC13" i="19" l="1"/>
  <c r="AC14" i="19"/>
  <c r="AC15" i="19"/>
  <c r="AC12" i="19"/>
  <c r="B9" i="19" l="1"/>
  <c r="B8" i="19"/>
  <c r="B7" i="19"/>
  <c r="H6" i="19"/>
  <c r="G6" i="19"/>
  <c r="F6" i="19"/>
  <c r="E6" i="19"/>
  <c r="D6" i="19"/>
  <c r="C6" i="19"/>
  <c r="B6" i="19" l="1"/>
</calcChain>
</file>

<file path=xl/sharedStrings.xml><?xml version="1.0" encoding="utf-8"?>
<sst xmlns="http://schemas.openxmlformats.org/spreadsheetml/2006/main" count="36" uniqueCount="32">
  <si>
    <t>Pharmacies</t>
  </si>
  <si>
    <t>ތަން</t>
  </si>
  <si>
    <t>Locality</t>
  </si>
  <si>
    <t>Republic</t>
  </si>
  <si>
    <t xml:space="preserve">Male' </t>
  </si>
  <si>
    <t>މާލެ</t>
  </si>
  <si>
    <t>Atolls</t>
  </si>
  <si>
    <t>އަތޮޅުތައް</t>
  </si>
  <si>
    <t xml:space="preserve">މަޢުލޫމާތު ދެއްވީ: ނެޝަނަލް ސޯޝަލް ޕްރޮޓެކްޝަން އޭޖެންސީ </t>
  </si>
  <si>
    <t>ތާވަލް 18.19: އިޖްތިމާއީ ރައްކާތެރިކަމުގެ ދަށުން ދެވޭ ޙިދުމަތްތައް ފޯރުކޮށްދޭ ތަންތަނަށް ކުރެވިފައިވާ ޚަރަދު، 2016</t>
  </si>
  <si>
    <t>Table 18.19 :  EXPENDITURE ON AASANDHA SERVICES BY TYPE OF INSTITUTION ,  2016</t>
  </si>
  <si>
    <t>Total Expenditure (MVR)</t>
  </si>
  <si>
    <t>Hospitals</t>
  </si>
  <si>
    <t>Opticals</t>
  </si>
  <si>
    <t>Clinics</t>
  </si>
  <si>
    <t>Airfare Tickets</t>
  </si>
  <si>
    <t>Emergency Evacuation - Sea</t>
  </si>
  <si>
    <t>ޖުމްލަ ޚަރަދު</t>
  </si>
  <si>
    <t>clwTiPcsoh</t>
  </si>
  <si>
    <t>IswmWf</t>
  </si>
  <si>
    <t>ctwmcdiKegulol</t>
  </si>
  <si>
    <t>ckiniluk</t>
  </si>
  <si>
    <t>ޓިކެޓް ޚަރަދު</t>
  </si>
  <si>
    <t>އިމަޖެންސީ އިވަކުއޭޝަން</t>
  </si>
  <si>
    <t>ރާއްޖެ</t>
  </si>
  <si>
    <t>Overseas</t>
  </si>
  <si>
    <t>ރާއްޖެއިން ބޭރު</t>
  </si>
  <si>
    <t>Source: Aasandha Pvt Ltd</t>
  </si>
  <si>
    <t>މަޢުލޫމާތު ދެއްވީ: އާސަންދަ ޕްރައިވެޓް ލިމިޓެޑް</t>
  </si>
  <si>
    <t>National Social Protection Agency</t>
  </si>
  <si>
    <t xml:space="preserve">Note: These expenditures are based on the blocked amount </t>
  </si>
  <si>
    <t xml:space="preserve">ޚަރަދު ބަޔާންކުރެވިފައިވަނީ ބްލޮކްކުރެވިފައިވާ ޖުމްލަ ޚަރަދުގެ މަށްޗަށެވެ.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</si>
</sst>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8" formatCode="_-* #,##0.00_-;\-* #,##0.00_-;_-* &quot;-&quot;??_-;_-@_-"/>
    <numFmt numFmtId="169" formatCode="_-* #,##0_-;\-* #,##0_-;_-* &quot;-&quot;??_-;_-@_-"/>
  </numFmts>
  <fonts count="22" x14ac:knownFonts="1"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b/>
      <sz val="11"/>
      <color theme="1" tint="0.14999847407452621"/>
      <name val="Calibri"/>
      <family val="2"/>
      <scheme val="minor"/>
    </font>
    <font>
      <b/>
      <sz val="10"/>
      <color theme="1"/>
      <name val="Faruma"/>
    </font>
    <font>
      <sz val="10"/>
      <name val="Courier"/>
      <family val="3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i/>
      <sz val="9"/>
      <color theme="1" tint="0.1499984740745262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7" fillId="0" borderId="0"/>
    <xf numFmtId="0" fontId="7" fillId="0" borderId="0"/>
    <xf numFmtId="0" fontId="3" fillId="0" borderId="0"/>
  </cellStyleXfs>
  <cellXfs count="59">
    <xf numFmtId="0" fontId="0" fillId="0" borderId="0" xfId="0" applyFont="1" applyAlignment="1"/>
    <xf numFmtId="167" fontId="8" fillId="2" borderId="1" xfId="3" applyNumberFormat="1" applyFont="1" applyFill="1" applyBorder="1" applyAlignment="1">
      <alignment horizontal="right" vertical="center" wrapText="1"/>
    </xf>
    <xf numFmtId="0" fontId="0" fillId="2" borderId="0" xfId="0" applyFill="1"/>
    <xf numFmtId="167" fontId="14" fillId="2" borderId="0" xfId="3" applyNumberFormat="1" applyFont="1" applyFill="1" applyBorder="1" applyAlignment="1" applyProtection="1">
      <alignment horizontal="left" vertical="center"/>
    </xf>
    <xf numFmtId="167" fontId="15" fillId="2" borderId="0" xfId="4" applyNumberFormat="1" applyFont="1" applyFill="1" applyAlignment="1">
      <alignment horizontal="right" vertical="center"/>
    </xf>
    <xf numFmtId="3" fontId="5" fillId="2" borderId="0" xfId="2" applyNumberFormat="1" applyFont="1" applyFill="1" applyBorder="1" applyAlignment="1" applyProtection="1">
      <alignment vertical="center"/>
    </xf>
    <xf numFmtId="164" fontId="10" fillId="2" borderId="0" xfId="1" applyNumberFormat="1" applyFont="1" applyFill="1" applyBorder="1" applyAlignment="1">
      <alignment horizontal="right" vertical="center"/>
    </xf>
    <xf numFmtId="168" fontId="2" fillId="2" borderId="3" xfId="1" applyNumberFormat="1" applyFont="1" applyFill="1" applyBorder="1" applyAlignment="1">
      <alignment horizontal="right" vertical="center" wrapText="1"/>
    </xf>
    <xf numFmtId="167" fontId="12" fillId="2" borderId="3" xfId="3" applyNumberFormat="1" applyFont="1" applyFill="1" applyBorder="1" applyAlignment="1">
      <alignment horizontal="right" vertical="center" wrapText="1"/>
    </xf>
    <xf numFmtId="168" fontId="2" fillId="2" borderId="3" xfId="1" applyNumberFormat="1" applyFont="1" applyFill="1" applyBorder="1" applyAlignment="1">
      <alignment horizontal="right" vertical="center"/>
    </xf>
    <xf numFmtId="168" fontId="10" fillId="2" borderId="3" xfId="1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 vertical="center"/>
    </xf>
    <xf numFmtId="167" fontId="21" fillId="2" borderId="1" xfId="3" applyNumberFormat="1" applyFont="1" applyFill="1" applyBorder="1" applyAlignment="1">
      <alignment horizontal="right" vertical="center" wrapText="1"/>
    </xf>
    <xf numFmtId="169" fontId="17" fillId="2" borderId="0" xfId="0" applyNumberFormat="1" applyFont="1" applyFill="1" applyAlignment="1">
      <alignment horizontal="left" vertical="center"/>
    </xf>
    <xf numFmtId="164" fontId="10" fillId="2" borderId="0" xfId="1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69" fontId="11" fillId="2" borderId="0" xfId="1" applyNumberFormat="1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/>
    </xf>
    <xf numFmtId="169" fontId="11" fillId="2" borderId="1" xfId="1" applyNumberFormat="1" applyFont="1" applyFill="1" applyBorder="1" applyAlignment="1">
      <alignment vertical="center"/>
    </xf>
    <xf numFmtId="164" fontId="10" fillId="2" borderId="1" xfId="1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13" fillId="2" borderId="0" xfId="0" applyNumberFormat="1" applyFont="1" applyFill="1"/>
    <xf numFmtId="3" fontId="18" fillId="2" borderId="0" xfId="2" applyNumberFormat="1" applyFont="1" applyFill="1" applyBorder="1" applyAlignment="1">
      <alignment vertical="center"/>
    </xf>
    <xf numFmtId="164" fontId="19" fillId="2" borderId="0" xfId="1" applyNumberFormat="1" applyFont="1" applyFill="1" applyBorder="1" applyAlignment="1">
      <alignment horizontal="center" vertical="center"/>
    </xf>
    <xf numFmtId="4" fontId="19" fillId="2" borderId="0" xfId="1" applyNumberFormat="1" applyFont="1" applyFill="1" applyBorder="1" applyAlignment="1">
      <alignment horizontal="center" vertical="center"/>
    </xf>
    <xf numFmtId="164" fontId="19" fillId="2" borderId="0" xfId="1" applyNumberFormat="1" applyFont="1" applyFill="1" applyBorder="1" applyAlignment="1">
      <alignment horizontal="right" vertical="center"/>
    </xf>
    <xf numFmtId="0" fontId="0" fillId="2" borderId="0" xfId="0" applyFont="1" applyFill="1" applyAlignment="1">
      <alignment vertical="center"/>
    </xf>
    <xf numFmtId="164" fontId="16" fillId="2" borderId="0" xfId="1" applyNumberFormat="1" applyFont="1" applyFill="1" applyAlignment="1">
      <alignment horizontal="right" vertical="center"/>
    </xf>
    <xf numFmtId="164" fontId="16" fillId="2" borderId="0" xfId="1" applyNumberFormat="1" applyFont="1" applyFill="1" applyBorder="1" applyAlignment="1">
      <alignment horizontal="right" vertical="center"/>
    </xf>
    <xf numFmtId="164" fontId="16" fillId="2" borderId="1" xfId="1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9" fillId="2" borderId="0" xfId="0" applyFont="1" applyFill="1" applyBorder="1" applyAlignment="1">
      <alignment horizontal="center" vertical="center"/>
    </xf>
    <xf numFmtId="167" fontId="15" fillId="2" borderId="0" xfId="4" applyNumberFormat="1" applyFont="1" applyFill="1" applyBorder="1" applyAlignment="1">
      <alignment horizontal="right" vertical="center"/>
    </xf>
    <xf numFmtId="167" fontId="8" fillId="2" borderId="0" xfId="3" applyNumberFormat="1" applyFont="1" applyFill="1" applyBorder="1" applyAlignment="1">
      <alignment horizontal="right" vertical="center" wrapText="1"/>
    </xf>
    <xf numFmtId="168" fontId="2" fillId="2" borderId="0" xfId="1" applyNumberFormat="1" applyFont="1" applyFill="1" applyBorder="1" applyAlignment="1">
      <alignment horizontal="right" vertical="center" wrapText="1"/>
    </xf>
    <xf numFmtId="167" fontId="12" fillId="2" borderId="0" xfId="3" applyNumberFormat="1" applyFont="1" applyFill="1" applyBorder="1" applyAlignment="1">
      <alignment horizontal="right" vertical="center" wrapText="1"/>
    </xf>
    <xf numFmtId="168" fontId="2" fillId="2" borderId="0" xfId="1" applyNumberFormat="1" applyFont="1" applyFill="1" applyBorder="1" applyAlignment="1">
      <alignment horizontal="right" vertical="center"/>
    </xf>
    <xf numFmtId="168" fontId="10" fillId="2" borderId="0" xfId="1" applyNumberFormat="1" applyFont="1" applyFill="1" applyBorder="1" applyAlignment="1">
      <alignment horizontal="right" vertical="center" wrapText="1"/>
    </xf>
    <xf numFmtId="167" fontId="21" fillId="2" borderId="0" xfId="3" applyNumberFormat="1" applyFont="1" applyFill="1" applyBorder="1" applyAlignment="1">
      <alignment horizontal="right" vertical="center" wrapText="1"/>
    </xf>
    <xf numFmtId="169" fontId="17" fillId="2" borderId="0" xfId="0" applyNumberFormat="1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right" vertical="center"/>
    </xf>
    <xf numFmtId="0" fontId="13" fillId="2" borderId="0" xfId="0" applyNumberFormat="1" applyFont="1" applyFill="1" applyBorder="1"/>
    <xf numFmtId="3" fontId="4" fillId="2" borderId="0" xfId="2" applyNumberFormat="1" applyFont="1" applyFill="1" applyBorder="1" applyAlignment="1">
      <alignment vertical="center" readingOrder="2"/>
    </xf>
    <xf numFmtId="0" fontId="9" fillId="2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164" fontId="0" fillId="2" borderId="0" xfId="0" applyNumberFormat="1" applyFont="1" applyFill="1" applyAlignment="1">
      <alignment vertical="center"/>
    </xf>
    <xf numFmtId="3" fontId="4" fillId="2" borderId="0" xfId="2" applyNumberFormat="1" applyFont="1" applyFill="1" applyBorder="1" applyAlignment="1">
      <alignment horizontal="center" vertical="center" readingOrder="2"/>
    </xf>
    <xf numFmtId="3" fontId="5" fillId="2" borderId="0" xfId="2" applyNumberFormat="1" applyFont="1" applyFill="1" applyBorder="1" applyAlignment="1" applyProtection="1">
      <alignment horizontal="center" vertical="center"/>
    </xf>
    <xf numFmtId="3" fontId="4" fillId="2" borderId="0" xfId="2" applyNumberFormat="1" applyFont="1" applyFill="1" applyAlignment="1">
      <alignment horizontal="center" vertical="center" readingOrder="2"/>
    </xf>
    <xf numFmtId="167" fontId="12" fillId="2" borderId="0" xfId="3" applyNumberFormat="1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right" vertical="center"/>
    </xf>
    <xf numFmtId="167" fontId="12" fillId="2" borderId="2" xfId="3" applyNumberFormat="1" applyFont="1" applyFill="1" applyBorder="1" applyAlignment="1">
      <alignment horizontal="left" vertical="center" wrapText="1"/>
    </xf>
    <xf numFmtId="167" fontId="12" fillId="2" borderId="1" xfId="3" applyNumberFormat="1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right" vertical="center"/>
    </xf>
    <xf numFmtId="0" fontId="20" fillId="2" borderId="1" xfId="0" applyFont="1" applyFill="1" applyBorder="1" applyAlignment="1">
      <alignment horizontal="right" vertical="center"/>
    </xf>
  </cellXfs>
  <cellStyles count="6">
    <cellStyle name="Comma" xfId="1" builtinId="3"/>
    <cellStyle name="Normal" xfId="0" builtinId="0"/>
    <cellStyle name="Normal 2" xfId="3"/>
    <cellStyle name="Normal 5" xfId="5"/>
    <cellStyle name="Normal_3 Population." xfId="4"/>
    <cellStyle name="Normal_II-15(Population) 2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6"/>
    </mc:Choice>
    <mc:Fallback>
      <c:style val="16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0465607884586349"/>
          <c:y val="0.20083290653201713"/>
          <c:w val="0.47256255468066538"/>
          <c:h val="0.74615140212736564"/>
        </c:manualLayout>
      </c:layout>
      <c:pieChart>
        <c:varyColors val="1"/>
        <c:ser>
          <c:idx val="0"/>
          <c:order val="0"/>
          <c:dPt>
            <c:idx val="1"/>
            <c:bubble3D val="0"/>
          </c:dPt>
          <c:dPt>
            <c:idx val="2"/>
            <c:bubble3D val="0"/>
          </c:dPt>
          <c:dLbls>
            <c:dLbl>
              <c:idx val="0"/>
              <c:layout>
                <c:manualLayout>
                  <c:x val="-0.13617587652177465"/>
                  <c:y val="-4.7926080130706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2902814331021789"/>
                  <c:y val="-8.04468350521912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7.8457410456325705E-2"/>
                  <c:y val="0.1901826812621565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'18.19'!$A$7:$A$9</c:f>
              <c:strCache>
                <c:ptCount val="3"/>
                <c:pt idx="0">
                  <c:v>Male' </c:v>
                </c:pt>
                <c:pt idx="1">
                  <c:v>Atolls</c:v>
                </c:pt>
                <c:pt idx="2">
                  <c:v>Overseas</c:v>
                </c:pt>
              </c:strCache>
            </c:strRef>
          </c:cat>
          <c:val>
            <c:numRef>
              <c:f>'18.19'!$B$7:$B$9</c:f>
              <c:numCache>
                <c:formatCode>_(* #,##0_);_(* \(#,##0\);_(* "-"??_);_(@_)</c:formatCode>
                <c:ptCount val="3"/>
                <c:pt idx="0">
                  <c:v>899761456.92000008</c:v>
                </c:pt>
                <c:pt idx="1">
                  <c:v>552084045.86000001</c:v>
                </c:pt>
                <c:pt idx="2">
                  <c:v>223353684.25080001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zero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29347112860893"/>
          <c:y val="0.17177092446777487"/>
          <c:w val="0.857238845144357"/>
          <c:h val="0.7122491980169145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'18.19'!$AA$11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rgbClr val="953735"/>
            </a:solidFill>
          </c:spPr>
          <c:invertIfNegative val="0"/>
          <c:cat>
            <c:strRef>
              <c:f>'18.19'!$Z$12:$Z$15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'18.19'!$AA$12:$AA$15</c:f>
              <c:numCache>
                <c:formatCode>General</c:formatCode>
                <c:ptCount val="4"/>
                <c:pt idx="0">
                  <c:v>1063054680.1288999</c:v>
                </c:pt>
                <c:pt idx="1">
                  <c:v>529844339.34140003</c:v>
                </c:pt>
                <c:pt idx="2">
                  <c:v>364203693.46629995</c:v>
                </c:pt>
                <c:pt idx="3">
                  <c:v>169006647.32120001</c:v>
                </c:pt>
              </c:numCache>
            </c:numRef>
          </c:val>
        </c:ser>
        <c:ser>
          <c:idx val="1"/>
          <c:order val="1"/>
          <c:tx>
            <c:strRef>
              <c:f>'18.19'!$AB$11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rgbClr val="F8A45E"/>
            </a:solidFill>
          </c:spPr>
          <c:invertIfNegative val="0"/>
          <c:cat>
            <c:strRef>
              <c:f>'18.19'!$Z$12:$Z$15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'18.19'!$AB$12:$AB$15</c:f>
              <c:numCache>
                <c:formatCode>General</c:formatCode>
                <c:ptCount val="4"/>
                <c:pt idx="0">
                  <c:v>1400609841.8314998</c:v>
                </c:pt>
                <c:pt idx="1">
                  <c:v>694778647.7112</c:v>
                </c:pt>
                <c:pt idx="2">
                  <c:v>483525096.47310001</c:v>
                </c:pt>
                <c:pt idx="3">
                  <c:v>222306097.64719999</c:v>
                </c:pt>
              </c:numCache>
            </c:numRef>
          </c:val>
        </c:ser>
        <c:ser>
          <c:idx val="2"/>
          <c:order val="2"/>
          <c:tx>
            <c:strRef>
              <c:f>'18.19'!$AC$11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rgbClr val="FAC02C"/>
            </a:solidFill>
          </c:spPr>
          <c:invertIfNegative val="0"/>
          <c:cat>
            <c:strRef>
              <c:f>'18.19'!$Z$12:$Z$15</c:f>
              <c:strCache>
                <c:ptCount val="4"/>
                <c:pt idx="0">
                  <c:v>Republic</c:v>
                </c:pt>
                <c:pt idx="1">
                  <c:v>Male' </c:v>
                </c:pt>
                <c:pt idx="2">
                  <c:v>Atolls</c:v>
                </c:pt>
                <c:pt idx="3">
                  <c:v>Overseas</c:v>
                </c:pt>
              </c:strCache>
            </c:strRef>
          </c:cat>
          <c:val>
            <c:numRef>
              <c:f>'18.19'!$AC$12:$AC$15</c:f>
              <c:numCache>
                <c:formatCode>_(* #,##0_);_(* \(#,##0\);_(* "-"??_);_(@_)</c:formatCode>
                <c:ptCount val="4"/>
                <c:pt idx="0">
                  <c:v>1675199187.0308001</c:v>
                </c:pt>
                <c:pt idx="1">
                  <c:v>899761456.92000008</c:v>
                </c:pt>
                <c:pt idx="2">
                  <c:v>552084045.86000001</c:v>
                </c:pt>
                <c:pt idx="3">
                  <c:v>223353684.25080001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873344"/>
        <c:axId val="120874880"/>
      </c:barChart>
      <c:catAx>
        <c:axId val="120873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0874880"/>
        <c:crosses val="autoZero"/>
        <c:auto val="1"/>
        <c:lblAlgn val="ctr"/>
        <c:lblOffset val="100"/>
        <c:noMultiLvlLbl val="0"/>
      </c:catAx>
      <c:valAx>
        <c:axId val="120874880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chemeClr val="bg1">
                <a:lumMod val="65000"/>
              </a:schemeClr>
            </a:solidFill>
          </a:ln>
        </c:spPr>
        <c:crossAx val="120873344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2916666666666665E-2"/>
                <c:y val="0.26899314668999708"/>
              </c:manualLayout>
            </c:layout>
            <c:tx>
              <c:rich>
                <a:bodyPr/>
                <a:lstStyle/>
                <a:p>
                  <a:pPr>
                    <a:defRPr b="0"/>
                  </a:pPr>
                  <a:r>
                    <a:rPr lang="en-US" b="0"/>
                    <a:t>Ecpenditure  (in Million </a:t>
                  </a:r>
                  <a:r>
                    <a:rPr lang="en-US" b="0" baseline="0"/>
                    <a:t> MVR)</a:t>
                  </a:r>
                  <a:endParaRPr lang="en-US" b="0"/>
                </a:p>
              </c:rich>
            </c:tx>
          </c:dispUnitsLbl>
        </c:dispUnits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445662309957868"/>
          <c:y val="0.22679675654677176"/>
          <c:w val="0.29355689486376013"/>
          <c:h val="8.858725115309573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27</xdr:row>
      <xdr:rowOff>80011</xdr:rowOff>
    </xdr:from>
    <xdr:to>
      <xdr:col>7</xdr:col>
      <xdr:colOff>504824</xdr:colOff>
      <xdr:row>40</xdr:row>
      <xdr:rowOff>81915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533400</xdr:colOff>
      <xdr:row>13</xdr:row>
      <xdr:rowOff>123825</xdr:rowOff>
    </xdr:from>
    <xdr:to>
      <xdr:col>7</xdr:col>
      <xdr:colOff>628650</xdr:colOff>
      <xdr:row>25</xdr:row>
      <xdr:rowOff>161925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733426</xdr:colOff>
      <xdr:row>27</xdr:row>
      <xdr:rowOff>180976</xdr:rowOff>
    </xdr:from>
    <xdr:to>
      <xdr:col>7</xdr:col>
      <xdr:colOff>419100</xdr:colOff>
      <xdr:row>28</xdr:row>
      <xdr:rowOff>190501</xdr:rowOff>
    </xdr:to>
    <xdr:sp macro="" textlink="">
      <xdr:nvSpPr>
        <xdr:cNvPr id="6" name="TextBox 5"/>
        <xdr:cNvSpPr txBox="1"/>
      </xdr:nvSpPr>
      <xdr:spPr>
        <a:xfrm>
          <a:off x="1514476" y="6934201"/>
          <a:ext cx="5686424" cy="247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Candara" pitchFamily="34" charset="0"/>
              <a:ea typeface="+mn-ea"/>
              <a:cs typeface="+mn-cs"/>
            </a:rPr>
            <a:t>Figure 18.23: Percentage share of Aasandha Expenditure for Overseas, Male' &amp; Atolls, 2016</a:t>
          </a:r>
          <a:endParaRPr lang="en-US" sz="1100" b="1">
            <a:latin typeface="Candara" pitchFamily="34" charset="0"/>
          </a:endParaRPr>
        </a:p>
      </xdr:txBody>
    </xdr:sp>
    <xdr:clientData/>
  </xdr:twoCellAnchor>
  <xdr:twoCellAnchor>
    <xdr:from>
      <xdr:col>1</xdr:col>
      <xdr:colOff>729839</xdr:colOff>
      <xdr:row>28</xdr:row>
      <xdr:rowOff>210292</xdr:rowOff>
    </xdr:from>
    <xdr:to>
      <xdr:col>7</xdr:col>
      <xdr:colOff>272144</xdr:colOff>
      <xdr:row>28</xdr:row>
      <xdr:rowOff>224549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 flipV="1">
          <a:off x="1509157" y="7230341"/>
          <a:ext cx="5554188" cy="14257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2</xdr:col>
      <xdr:colOff>618506</xdr:colOff>
      <xdr:row>15</xdr:row>
      <xdr:rowOff>26628</xdr:rowOff>
    </xdr:from>
    <xdr:to>
      <xdr:col>6</xdr:col>
      <xdr:colOff>630876</xdr:colOff>
      <xdr:row>15</xdr:row>
      <xdr:rowOff>26628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2492581" y="4059290"/>
          <a:ext cx="3946071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0.20312</cdr:x>
      <cdr:y>0.03125</cdr:y>
    </cdr:from>
    <cdr:to>
      <cdr:x>0.84688</cdr:x>
      <cdr:y>0.13194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38249" y="85725"/>
          <a:ext cx="3924301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itchFamily="34" charset="0"/>
              <a:ea typeface="+mn-ea"/>
              <a:cs typeface="+mn-cs"/>
            </a:rPr>
            <a:t>Figure 18.22:  Expenditure on Aasandha by locality, 2014 - 2016</a:t>
          </a:r>
          <a:endParaRPr lang="en-US">
            <a:effectLst/>
            <a:latin typeface="Candara" pitchFamily="34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C40"/>
  <sheetViews>
    <sheetView tabSelected="1" zoomScaleNormal="100" workbookViewId="0">
      <selection activeCell="L1" sqref="L1:L1048576"/>
    </sheetView>
  </sheetViews>
  <sheetFormatPr defaultColWidth="9.140625" defaultRowHeight="18.75" customHeight="1" x14ac:dyDescent="0.25"/>
  <cols>
    <col min="1" max="1" width="11.7109375" style="2" customWidth="1"/>
    <col min="2" max="2" width="16.42578125" style="2" customWidth="1"/>
    <col min="3" max="8" width="14.7109375" style="2" customWidth="1"/>
    <col min="9" max="9" width="15.85546875" style="2" customWidth="1"/>
    <col min="10" max="25" width="9.140625" style="2"/>
    <col min="26" max="27" width="14.7109375" style="2" customWidth="1"/>
    <col min="28" max="28" width="12.42578125" style="2" customWidth="1"/>
    <col min="29" max="29" width="15.140625" style="2" bestFit="1" customWidth="1"/>
    <col min="30" max="16384" width="9.140625" style="2"/>
  </cols>
  <sheetData>
    <row r="2" spans="1:29" ht="21" x14ac:dyDescent="0.25">
      <c r="A2" s="52" t="s">
        <v>9</v>
      </c>
      <c r="B2" s="52"/>
      <c r="C2" s="52"/>
      <c r="D2" s="52"/>
      <c r="E2" s="52"/>
      <c r="F2" s="52"/>
      <c r="G2" s="52"/>
      <c r="H2" s="52"/>
      <c r="I2" s="52"/>
    </row>
    <row r="3" spans="1:29" ht="15" x14ac:dyDescent="0.25">
      <c r="A3" s="51" t="s">
        <v>10</v>
      </c>
      <c r="B3" s="51"/>
      <c r="C3" s="51"/>
      <c r="D3" s="51"/>
      <c r="E3" s="51"/>
      <c r="F3" s="51"/>
      <c r="G3" s="51"/>
      <c r="H3" s="51"/>
      <c r="I3" s="51"/>
    </row>
    <row r="4" spans="1:29" s="11" customFormat="1" ht="45" x14ac:dyDescent="0.25">
      <c r="A4" s="55" t="s">
        <v>2</v>
      </c>
      <c r="B4" s="7" t="s">
        <v>11</v>
      </c>
      <c r="C4" s="8" t="s">
        <v>12</v>
      </c>
      <c r="D4" s="8" t="s">
        <v>0</v>
      </c>
      <c r="E4" s="8" t="s">
        <v>13</v>
      </c>
      <c r="F4" s="8" t="s">
        <v>14</v>
      </c>
      <c r="G4" s="9" t="s">
        <v>15</v>
      </c>
      <c r="H4" s="10" t="s">
        <v>16</v>
      </c>
      <c r="I4" s="57" t="s">
        <v>1</v>
      </c>
    </row>
    <row r="5" spans="1:29" s="11" customFormat="1" ht="37.5" x14ac:dyDescent="0.25">
      <c r="A5" s="56"/>
      <c r="B5" s="1" t="s">
        <v>17</v>
      </c>
      <c r="C5" s="12" t="s">
        <v>18</v>
      </c>
      <c r="D5" s="12" t="s">
        <v>19</v>
      </c>
      <c r="E5" s="12" t="s">
        <v>20</v>
      </c>
      <c r="F5" s="12" t="s">
        <v>21</v>
      </c>
      <c r="G5" s="1" t="s">
        <v>22</v>
      </c>
      <c r="H5" s="1" t="s">
        <v>23</v>
      </c>
      <c r="I5" s="58"/>
    </row>
    <row r="6" spans="1:29" s="16" customFormat="1" x14ac:dyDescent="0.25">
      <c r="A6" s="13" t="s">
        <v>3</v>
      </c>
      <c r="B6" s="14">
        <f>SUM(C6:H6)</f>
        <v>1675199187.0308001</v>
      </c>
      <c r="C6" s="14">
        <f t="shared" ref="C6:H6" si="0">C7+C8+C9</f>
        <v>1036845552.4108001</v>
      </c>
      <c r="D6" s="14">
        <f t="shared" si="0"/>
        <v>471275340.69999993</v>
      </c>
      <c r="E6" s="14">
        <f t="shared" si="0"/>
        <v>33165876.919999998</v>
      </c>
      <c r="F6" s="14">
        <f t="shared" si="0"/>
        <v>48209795</v>
      </c>
      <c r="G6" s="14">
        <f t="shared" si="0"/>
        <v>48969974</v>
      </c>
      <c r="H6" s="14">
        <f t="shared" si="0"/>
        <v>36732648</v>
      </c>
      <c r="I6" s="15" t="s">
        <v>24</v>
      </c>
    </row>
    <row r="7" spans="1:29" s="19" customFormat="1" x14ac:dyDescent="0.25">
      <c r="A7" s="17" t="s">
        <v>4</v>
      </c>
      <c r="B7" s="14">
        <f>SUM(C7:H7)</f>
        <v>899761456.92000008</v>
      </c>
      <c r="C7" s="31">
        <v>527808382</v>
      </c>
      <c r="D7" s="30">
        <v>220341266.97999999</v>
      </c>
      <c r="E7" s="30">
        <v>31638475.939999998</v>
      </c>
      <c r="F7" s="30">
        <v>34270710</v>
      </c>
      <c r="G7" s="30">
        <v>48969974</v>
      </c>
      <c r="H7" s="30">
        <v>36732648</v>
      </c>
      <c r="I7" s="18" t="s">
        <v>5</v>
      </c>
    </row>
    <row r="8" spans="1:29" s="19" customFormat="1" x14ac:dyDescent="0.25">
      <c r="A8" s="17" t="s">
        <v>6</v>
      </c>
      <c r="B8" s="6">
        <f>SUM(C8:H8)</f>
        <v>552084045.86000001</v>
      </c>
      <c r="C8" s="31">
        <v>285683486.16000003</v>
      </c>
      <c r="D8" s="31">
        <v>250934073.71999994</v>
      </c>
      <c r="E8" s="31">
        <v>1527400.98</v>
      </c>
      <c r="F8" s="31">
        <v>13939085</v>
      </c>
      <c r="G8" s="31">
        <v>0</v>
      </c>
      <c r="H8" s="31">
        <v>0</v>
      </c>
      <c r="I8" s="20" t="s">
        <v>7</v>
      </c>
    </row>
    <row r="9" spans="1:29" s="19" customFormat="1" x14ac:dyDescent="0.25">
      <c r="A9" s="21" t="s">
        <v>25</v>
      </c>
      <c r="B9" s="22">
        <f>SUM(C9:H9)</f>
        <v>223353684.25080001</v>
      </c>
      <c r="C9" s="32">
        <v>223353684.25080001</v>
      </c>
      <c r="D9" s="32">
        <v>0</v>
      </c>
      <c r="E9" s="32">
        <v>0</v>
      </c>
      <c r="F9" s="32">
        <v>0</v>
      </c>
      <c r="G9" s="32">
        <v>0</v>
      </c>
      <c r="H9" s="32">
        <v>0</v>
      </c>
      <c r="I9" s="23" t="s">
        <v>26</v>
      </c>
    </row>
    <row r="10" spans="1:29" ht="17.25" x14ac:dyDescent="0.25">
      <c r="A10" s="24" t="s">
        <v>27</v>
      </c>
      <c r="I10" s="4" t="s">
        <v>28</v>
      </c>
    </row>
    <row r="11" spans="1:29" ht="17.25" x14ac:dyDescent="0.25">
      <c r="A11" s="3" t="s">
        <v>29</v>
      </c>
      <c r="I11" s="4" t="s">
        <v>8</v>
      </c>
      <c r="AA11" s="2">
        <v>2014</v>
      </c>
      <c r="AB11" s="2">
        <v>2015</v>
      </c>
      <c r="AC11" s="2">
        <v>2016</v>
      </c>
    </row>
    <row r="12" spans="1:29" s="29" customFormat="1" ht="17.25" x14ac:dyDescent="0.25">
      <c r="A12" s="25" t="s">
        <v>30</v>
      </c>
      <c r="B12" s="26"/>
      <c r="C12" s="27"/>
      <c r="D12" s="28"/>
      <c r="E12" s="28"/>
      <c r="F12" s="28"/>
      <c r="G12" s="28"/>
      <c r="H12" s="28"/>
      <c r="I12" s="4" t="s">
        <v>31</v>
      </c>
      <c r="Z12" s="29" t="s">
        <v>3</v>
      </c>
      <c r="AA12" s="29">
        <v>1063054680.1288999</v>
      </c>
      <c r="AB12" s="29">
        <v>1400609841.8314998</v>
      </c>
      <c r="AC12" s="49">
        <f>B6</f>
        <v>1675199187.0308001</v>
      </c>
    </row>
    <row r="13" spans="1:29" ht="18.75" customHeight="1" x14ac:dyDescent="0.25">
      <c r="Z13" s="2" t="s">
        <v>4</v>
      </c>
      <c r="AA13" s="2">
        <v>529844339.34140003</v>
      </c>
      <c r="AB13" s="2">
        <v>694778647.7112</v>
      </c>
      <c r="AC13" s="49">
        <f t="shared" ref="AC13:AC15" si="1">B7</f>
        <v>899761456.92000008</v>
      </c>
    </row>
    <row r="14" spans="1:29" ht="18.75" customHeight="1" x14ac:dyDescent="0.25">
      <c r="Z14" s="2" t="s">
        <v>6</v>
      </c>
      <c r="AA14" s="2">
        <v>364203693.46629995</v>
      </c>
      <c r="AB14" s="2">
        <v>483525096.47310001</v>
      </c>
      <c r="AC14" s="49">
        <f t="shared" si="1"/>
        <v>552084045.86000001</v>
      </c>
    </row>
    <row r="15" spans="1:29" ht="15" x14ac:dyDescent="0.25">
      <c r="A15" s="34"/>
      <c r="B15" s="34"/>
      <c r="C15" s="34"/>
      <c r="D15" s="34"/>
      <c r="E15" s="34"/>
      <c r="F15" s="34"/>
      <c r="G15" s="34"/>
      <c r="H15" s="34"/>
      <c r="I15" s="34"/>
      <c r="Z15" s="2" t="s">
        <v>25</v>
      </c>
      <c r="AA15" s="2">
        <v>169006647.32120001</v>
      </c>
      <c r="AB15" s="2">
        <v>222306097.64719999</v>
      </c>
      <c r="AC15" s="49">
        <f t="shared" si="1"/>
        <v>223353684.25080001</v>
      </c>
    </row>
    <row r="16" spans="1:29" ht="21" x14ac:dyDescent="0.25">
      <c r="A16" s="50"/>
      <c r="B16" s="50"/>
      <c r="C16" s="50"/>
      <c r="D16" s="50"/>
      <c r="E16" s="50"/>
      <c r="F16" s="50"/>
      <c r="G16" s="50"/>
      <c r="H16" s="50"/>
      <c r="I16" s="50"/>
    </row>
    <row r="17" spans="1:9" s="11" customFormat="1" ht="15" x14ac:dyDescent="0.25">
      <c r="A17" s="51"/>
      <c r="B17" s="51"/>
      <c r="C17" s="51"/>
      <c r="D17" s="51"/>
      <c r="E17" s="51"/>
      <c r="F17" s="51"/>
      <c r="G17" s="51"/>
      <c r="H17" s="51"/>
      <c r="I17" s="51"/>
    </row>
    <row r="18" spans="1:9" s="11" customFormat="1" ht="15" x14ac:dyDescent="0.25">
      <c r="A18" s="53"/>
      <c r="B18" s="38"/>
      <c r="C18" s="39"/>
      <c r="D18" s="39"/>
      <c r="E18" s="39"/>
      <c r="F18" s="39"/>
      <c r="G18" s="40"/>
      <c r="H18" s="41"/>
      <c r="I18" s="54"/>
    </row>
    <row r="19" spans="1:9" s="16" customFormat="1" x14ac:dyDescent="0.25">
      <c r="A19" s="53"/>
      <c r="B19" s="37"/>
      <c r="C19" s="42"/>
      <c r="D19" s="42"/>
      <c r="E19" s="42"/>
      <c r="F19" s="42"/>
      <c r="G19" s="37"/>
      <c r="H19" s="37"/>
      <c r="I19" s="54"/>
    </row>
    <row r="20" spans="1:9" s="19" customFormat="1" x14ac:dyDescent="0.25">
      <c r="A20" s="43"/>
      <c r="B20" s="6"/>
      <c r="C20" s="6"/>
      <c r="D20" s="6"/>
      <c r="E20" s="6"/>
      <c r="F20" s="6"/>
      <c r="G20" s="6"/>
      <c r="H20" s="6"/>
      <c r="I20" s="44"/>
    </row>
    <row r="21" spans="1:9" s="19" customFormat="1" x14ac:dyDescent="0.25">
      <c r="A21" s="17"/>
      <c r="B21" s="6"/>
      <c r="C21" s="31"/>
      <c r="D21" s="31"/>
      <c r="E21" s="31"/>
      <c r="F21" s="31"/>
      <c r="G21" s="31"/>
      <c r="H21" s="31"/>
      <c r="I21" s="20"/>
    </row>
    <row r="22" spans="1:9" s="19" customFormat="1" x14ac:dyDescent="0.25">
      <c r="A22" s="17"/>
      <c r="B22" s="6"/>
      <c r="C22" s="31"/>
      <c r="D22" s="31"/>
      <c r="E22" s="31"/>
      <c r="F22" s="31"/>
      <c r="G22" s="31"/>
      <c r="H22" s="31"/>
      <c r="I22" s="20"/>
    </row>
    <row r="23" spans="1:9" x14ac:dyDescent="0.25">
      <c r="A23" s="17"/>
      <c r="B23" s="6"/>
      <c r="C23" s="31"/>
      <c r="D23" s="31"/>
      <c r="E23" s="31"/>
      <c r="F23" s="31"/>
      <c r="G23" s="31"/>
      <c r="H23" s="31"/>
      <c r="I23" s="20"/>
    </row>
    <row r="24" spans="1:9" ht="17.25" x14ac:dyDescent="0.25">
      <c r="A24" s="45"/>
      <c r="B24" s="34"/>
      <c r="C24" s="34"/>
      <c r="D24" s="34"/>
      <c r="E24" s="34"/>
      <c r="F24" s="34"/>
      <c r="G24" s="34"/>
      <c r="H24" s="34"/>
      <c r="I24" s="36"/>
    </row>
    <row r="25" spans="1:9" s="29" customFormat="1" ht="17.25" x14ac:dyDescent="0.25">
      <c r="A25" s="3"/>
      <c r="B25" s="34"/>
      <c r="C25" s="34"/>
      <c r="D25" s="34"/>
      <c r="E25" s="34"/>
      <c r="F25" s="34"/>
      <c r="G25" s="34"/>
      <c r="H25" s="34"/>
      <c r="I25" s="36"/>
    </row>
    <row r="26" spans="1:9" ht="17.25" x14ac:dyDescent="0.25">
      <c r="A26" s="25"/>
      <c r="B26" s="26"/>
      <c r="C26" s="27"/>
      <c r="D26" s="28"/>
      <c r="E26" s="28"/>
      <c r="F26" s="28"/>
      <c r="G26" s="28"/>
      <c r="H26" s="28"/>
      <c r="I26" s="36"/>
    </row>
    <row r="27" spans="1:9" ht="18.7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</row>
    <row r="28" spans="1:9" ht="18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</row>
    <row r="29" spans="1:9" ht="21" x14ac:dyDescent="0.25">
      <c r="A29" s="50"/>
      <c r="B29" s="50"/>
      <c r="C29" s="50"/>
      <c r="D29" s="50"/>
      <c r="E29" s="50"/>
      <c r="F29" s="50"/>
      <c r="G29" s="50"/>
      <c r="H29" s="50"/>
      <c r="I29" s="46"/>
    </row>
    <row r="30" spans="1:9" ht="15" x14ac:dyDescent="0.25">
      <c r="A30" s="51"/>
      <c r="B30" s="51"/>
      <c r="C30" s="51"/>
      <c r="D30" s="51"/>
      <c r="E30" s="51"/>
      <c r="F30" s="51"/>
      <c r="G30" s="51"/>
      <c r="H30" s="51"/>
      <c r="I30" s="5"/>
    </row>
    <row r="31" spans="1:9" ht="15" x14ac:dyDescent="0.25">
      <c r="A31" s="53"/>
      <c r="B31" s="38"/>
      <c r="C31" s="39"/>
      <c r="D31" s="39"/>
      <c r="E31" s="39"/>
      <c r="F31" s="39"/>
      <c r="G31" s="40"/>
      <c r="H31" s="54"/>
      <c r="I31" s="33"/>
    </row>
    <row r="32" spans="1:9" x14ac:dyDescent="0.25">
      <c r="A32" s="53"/>
      <c r="B32" s="37"/>
      <c r="C32" s="42"/>
      <c r="D32" s="42"/>
      <c r="E32" s="42"/>
      <c r="F32" s="42"/>
      <c r="G32" s="37"/>
      <c r="H32" s="54"/>
      <c r="I32" s="33"/>
    </row>
    <row r="33" spans="1:9" ht="18.75" customHeight="1" x14ac:dyDescent="0.25">
      <c r="A33" s="43"/>
      <c r="B33" s="6"/>
      <c r="C33" s="6"/>
      <c r="D33" s="6"/>
      <c r="E33" s="6"/>
      <c r="F33" s="6"/>
      <c r="G33" s="6"/>
      <c r="H33" s="44"/>
      <c r="I33" s="35"/>
    </row>
    <row r="34" spans="1:9" ht="18.75" customHeight="1" x14ac:dyDescent="0.25">
      <c r="A34" s="17"/>
      <c r="B34" s="6"/>
      <c r="C34" s="31"/>
      <c r="D34" s="31"/>
      <c r="E34" s="31"/>
      <c r="F34" s="31"/>
      <c r="G34" s="31"/>
      <c r="H34" s="20"/>
      <c r="I34" s="47"/>
    </row>
    <row r="35" spans="1:9" ht="18.75" customHeight="1" x14ac:dyDescent="0.25">
      <c r="A35" s="17"/>
      <c r="B35" s="6"/>
      <c r="C35" s="31"/>
      <c r="D35" s="31"/>
      <c r="E35" s="31"/>
      <c r="F35" s="31"/>
      <c r="G35" s="31"/>
      <c r="H35" s="20"/>
      <c r="I35" s="47"/>
    </row>
    <row r="36" spans="1:9" ht="18.75" customHeight="1" x14ac:dyDescent="0.25">
      <c r="A36" s="17"/>
      <c r="B36" s="6"/>
      <c r="C36" s="31"/>
      <c r="D36" s="31"/>
      <c r="E36" s="31"/>
      <c r="F36" s="31"/>
      <c r="G36" s="31"/>
      <c r="H36" s="20"/>
      <c r="I36" s="47"/>
    </row>
    <row r="37" spans="1:9" ht="17.25" x14ac:dyDescent="0.25">
      <c r="A37" s="45"/>
      <c r="B37" s="34"/>
      <c r="C37" s="34"/>
      <c r="D37" s="34"/>
      <c r="E37" s="34"/>
      <c r="F37" s="34"/>
      <c r="G37" s="34"/>
      <c r="H37" s="36"/>
      <c r="I37" s="34"/>
    </row>
    <row r="38" spans="1:9" ht="17.25" x14ac:dyDescent="0.25">
      <c r="A38" s="3"/>
      <c r="B38" s="34"/>
      <c r="C38" s="34"/>
      <c r="D38" s="34"/>
      <c r="E38" s="34"/>
      <c r="F38" s="34"/>
      <c r="G38" s="34"/>
      <c r="H38" s="36"/>
      <c r="I38" s="34"/>
    </row>
    <row r="39" spans="1:9" ht="17.25" x14ac:dyDescent="0.25">
      <c r="A39" s="25"/>
      <c r="B39" s="26"/>
      <c r="C39" s="27"/>
      <c r="D39" s="28"/>
      <c r="E39" s="28"/>
      <c r="F39" s="28"/>
      <c r="G39" s="28"/>
      <c r="H39" s="36"/>
      <c r="I39" s="48"/>
    </row>
    <row r="40" spans="1:9" ht="18.7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</row>
  </sheetData>
  <mergeCells count="12">
    <mergeCell ref="A17:I17"/>
    <mergeCell ref="A2:I2"/>
    <mergeCell ref="A3:I3"/>
    <mergeCell ref="A4:A5"/>
    <mergeCell ref="I4:I5"/>
    <mergeCell ref="A16:I16"/>
    <mergeCell ref="A18:A19"/>
    <mergeCell ref="I18:I19"/>
    <mergeCell ref="A29:H29"/>
    <mergeCell ref="A30:H30"/>
    <mergeCell ref="A31:A32"/>
    <mergeCell ref="H31:H32"/>
  </mergeCells>
  <pageMargins left="0.7" right="0.7" top="0.75" bottom="0.75" header="0.3" footer="0.3"/>
  <pageSetup paperSize="9" scale="63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18.19</vt:lpstr>
      <vt:lpstr>'18.19'!Print_Area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2017-07-04T09:06:25Z</cp:lastPrinted>
  <dcterms:modified xsi:type="dcterms:W3CDTF">2017-07-04T09:06:38Z</dcterms:modified>
</cp:coreProperties>
</file>