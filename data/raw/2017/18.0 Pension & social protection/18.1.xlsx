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ml.chartshapes+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630" yWindow="570" windowWidth="27495" windowHeight="11700" tabRatio="893"/>
  </bookViews>
  <sheets>
    <sheet name="18.1" sheetId="1" r:id="rId1"/>
  </sheets>
  <externalReferences>
    <externalReference r:id="rId2"/>
    <externalReference r:id="rId3"/>
  </externalReferences>
  <definedNames>
    <definedName name="_xlnm.Print_Area" localSheetId="0">'18.1'!$A$1:$W$68</definedName>
  </definedNames>
  <calcPr calcId="144525"/>
</workbook>
</file>

<file path=xl/calcChain.xml><?xml version="1.0" encoding="utf-8"?>
<calcChain xmlns="http://schemas.openxmlformats.org/spreadsheetml/2006/main">
  <c r="Q9" i="1" l="1"/>
  <c r="P9" i="1"/>
  <c r="T8" i="1"/>
  <c r="S12" i="1" l="1"/>
  <c r="S11" i="1"/>
  <c r="S10" i="1"/>
  <c r="S9" i="1"/>
  <c r="S8" i="1"/>
  <c r="R8" i="1"/>
  <c r="AK24" i="1"/>
  <c r="T9" i="1" l="1"/>
  <c r="R9" i="1"/>
  <c r="AF25" i="1" l="1"/>
  <c r="AF24" i="1"/>
  <c r="P12" i="1"/>
  <c r="P11" i="1"/>
  <c r="P10" i="1"/>
  <c r="Q12" i="1"/>
  <c r="AJ27" i="1" s="1"/>
  <c r="Q11" i="1"/>
  <c r="AJ26" i="1" s="1"/>
  <c r="Q10" i="1"/>
  <c r="AK25" i="1"/>
  <c r="AK26" i="1"/>
  <c r="AK27" i="1"/>
  <c r="AJ25" i="1"/>
  <c r="AJ24" i="1"/>
  <c r="AI27" i="1"/>
  <c r="AH27" i="1"/>
  <c r="AH26" i="1"/>
  <c r="AH25" i="1"/>
  <c r="AI25" i="1"/>
  <c r="AI26" i="1"/>
  <c r="AI24" i="1"/>
  <c r="AH24" i="1"/>
  <c r="AG27" i="1"/>
  <c r="AF27" i="1"/>
  <c r="AG26" i="1"/>
  <c r="AF26" i="1"/>
  <c r="AG25" i="1"/>
  <c r="AG24" i="1"/>
  <c r="M12" i="1"/>
  <c r="I12" i="1"/>
  <c r="M11" i="1"/>
  <c r="I11" i="1"/>
  <c r="B11" i="1"/>
  <c r="B8" i="1" s="1"/>
  <c r="M10" i="1"/>
  <c r="I10" i="1"/>
  <c r="R10" i="1" s="1"/>
  <c r="M9" i="1"/>
  <c r="I9" i="1"/>
  <c r="O8" i="1"/>
  <c r="N8" i="1"/>
  <c r="K8" i="1"/>
  <c r="J8" i="1"/>
  <c r="G8" i="1"/>
  <c r="F8" i="1"/>
  <c r="E8" i="1"/>
  <c r="D8" i="1"/>
  <c r="C8" i="1"/>
  <c r="T11" i="1" l="1"/>
  <c r="T12" i="1"/>
  <c r="I8" i="1"/>
  <c r="M8" i="1"/>
  <c r="R11" i="1"/>
  <c r="T10" i="1"/>
  <c r="R12" i="1"/>
  <c r="P8" i="1" l="1"/>
  <c r="Q8" i="1"/>
</calcChain>
</file>

<file path=xl/sharedStrings.xml><?xml version="1.0" encoding="utf-8"?>
<sst xmlns="http://schemas.openxmlformats.org/spreadsheetml/2006/main" count="68" uniqueCount="39">
  <si>
    <t>Type of pension</t>
  </si>
  <si>
    <r>
      <t xml:space="preserve">  </t>
    </r>
    <r>
      <rPr>
        <b/>
        <sz val="11"/>
        <color rgb="FF000000"/>
        <rFont val="Calibri"/>
        <family val="2"/>
      </rPr>
      <t>Amount Paid (in MVR)</t>
    </r>
    <r>
      <rPr>
        <b/>
        <sz val="11"/>
        <color rgb="FF000000"/>
        <rFont val="Faruma"/>
      </rPr>
      <t xml:space="preserve">  </t>
    </r>
  </si>
  <si>
    <r>
      <t xml:space="preserve">  </t>
    </r>
    <r>
      <rPr>
        <b/>
        <sz val="11"/>
        <color rgb="FF000000"/>
        <rFont val="Calibri"/>
        <family val="2"/>
      </rPr>
      <t>Amount Paid (in MVR)</t>
    </r>
    <r>
      <rPr>
        <b/>
        <sz val="11"/>
        <color rgb="FF000000"/>
        <rFont val="Faruma"/>
      </rPr>
      <t xml:space="preserve">  </t>
    </r>
  </si>
  <si>
    <r>
      <t xml:space="preserve">  </t>
    </r>
    <r>
      <rPr>
        <b/>
        <sz val="11"/>
        <color rgb="FF000000"/>
        <rFont val="Calibri"/>
        <family val="2"/>
      </rPr>
      <t>Amount Paid (in MVR)</t>
    </r>
    <r>
      <rPr>
        <b/>
        <sz val="11"/>
        <color rgb="FF000000"/>
        <rFont val="Faruma"/>
      </rPr>
      <t xml:space="preserve">  </t>
    </r>
  </si>
  <si>
    <t xml:space="preserve">ދެވުނު މިންވަރު (ރުފިޔާއިން)  </t>
  </si>
  <si>
    <t>އިންސައްތަ</t>
  </si>
  <si>
    <t>އަންހެނުންގެ އިން ސައްތަ</t>
  </si>
  <si>
    <t>އިތުރުވި މިންވަރު</t>
  </si>
  <si>
    <t>ޕެންޝަންގެ ބާވަތް</t>
  </si>
  <si>
    <t>% share</t>
  </si>
  <si>
    <t>% share of females</t>
  </si>
  <si>
    <t>% change</t>
  </si>
  <si>
    <t>ޖުމްލަ</t>
  </si>
  <si>
    <t>ފިރިހެން</t>
  </si>
  <si>
    <t>އަންހެން</t>
  </si>
  <si>
    <t>Total</t>
  </si>
  <si>
    <t>Male</t>
  </si>
  <si>
    <t>Female</t>
  </si>
  <si>
    <t>2015-2016</t>
  </si>
  <si>
    <t>Basic Pension</t>
  </si>
  <si>
    <t>އަސާސީ ޕެންޝަން</t>
  </si>
  <si>
    <t>Retirement Pension</t>
  </si>
  <si>
    <t>ރިޓަޔަރމަންޓް ޕެންޝަން</t>
  </si>
  <si>
    <t>Other Pension</t>
  </si>
  <si>
    <t>އެހެނިހެން ޕެންޝަން</t>
  </si>
  <si>
    <t>ސީނިއަރ ސިޓިޒަން އެލަވަންސް</t>
  </si>
  <si>
    <t>Note: Other pension includes Pension payable to state employees, who have completed 20 or 40 years’ service in state employment.  Moreover this also includes various benefits paid by the state on monthly basis.</t>
  </si>
  <si>
    <r>
      <rPr>
        <i/>
        <sz val="10"/>
        <color rgb="FF000000"/>
        <rFont val="Calibri"/>
        <family val="2"/>
      </rPr>
      <t>1_/</t>
    </r>
    <r>
      <rPr>
        <i/>
        <sz val="10"/>
        <color rgb="FF000000"/>
        <rFont val="Calibri"/>
        <family val="2"/>
      </rPr>
      <t xml:space="preserve"> Those pensioners receiving less than 5,000 mvr is given the balance amount to reach 5,000 mvr under this scheme. Senior Citizen Allowance was introduced in February 2014.</t>
    </r>
  </si>
  <si>
    <t>Source: Maldives Pension Administration</t>
  </si>
  <si>
    <t xml:space="preserve">ނޯޓް: އެހެނިހެން ޕެންޝަންގެ ގޮތުގައި ހިމެނެނީ ދަޢުލަތަށް ގިނަ ދުވަހު، 20 ނުވަތަ 40 އަހަރަށް ޚިދުމަތްކުރެވި ބޭފުޅުންނަށް ދެވޭ ޕެންޝަނެވެ.  އަދި މިނޫނަސް ދެވޭ އެކިއެކި މަހުންމަހުން ދެވޭ އެކއެކި އިނާޔަތްތަކެވެ. </t>
  </si>
  <si>
    <t xml:space="preserve">ދައުލަތުން ޕެންޝަންލިބޭ ފަރާޓްތަކުގެ ތެރެއިން މަހަކު 000،5ރ އަށްވުރެ މަދުން ޕެންޝަން ފައިސާ ލިބޭ ފަރާޓްތަކަށް 000،5ރ ހަމަކޮށްދިނުމަށްޓަކާ ހެދި ސްކީމެއް.  ސީނިއަރ ސިޓިޒަން އެލަވަންސް ސްކީމް ތަޢާރަފުކުރެވިފައިވާ ފެބްރުއަރީ 2014 ގައެވެ. </t>
  </si>
  <si>
    <t>1_/</t>
  </si>
  <si>
    <t>މަޢުލޫމާތު ދެއްވި ފަރާތް: މޯލްޑިވްސް ޕެންޝަން އެޑްމިނިސްޓްރޭޝަން</t>
  </si>
  <si>
    <t>Payout Rf (million Rf)</t>
  </si>
  <si>
    <t xml:space="preserve">Payout Rf </t>
  </si>
  <si>
    <t>Senior Citizen Allowance</t>
  </si>
  <si>
    <t>TABLE:    18.1   AMOUNT OF PENSION PAID OUT UNDER DIFFERENT SCHEMES, 2015 - 2016</t>
  </si>
  <si>
    <t>ތާވަލު 18.1:  ޕެންޝަންގެ ގޮތުގައި އެކި ސްކީމްތަކުން ދެވުނު މިންވަރު، 2015 - 2016</t>
  </si>
  <si>
    <r>
      <t>Senior Citizen Allowance</t>
    </r>
    <r>
      <rPr>
        <vertAlign val="superscript"/>
        <sz val="11"/>
        <color rgb="FF000000"/>
        <rFont val="Calibri"/>
        <family val="2"/>
      </rPr>
      <t>1_/</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</si>
</sst>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16" x14ac:knownFonts="1">
    <font>
      <sz val="11"/>
      <color rgb="FF000000"/>
      <name val="Calibri"/>
    </font>
    <font>
      <b/>
      <sz val="11"/>
      <color rgb="FF000000"/>
      <name val="Faruma"/>
    </font>
    <font>
      <sz val="11"/>
      <name val="Calibri"/>
      <family val="2"/>
    </font>
    <font>
      <b/>
      <sz val="11"/>
      <color rgb="FF000000"/>
      <name val="Calibri"/>
      <family val="2"/>
    </font>
    <font>
      <b/>
      <sz val="10"/>
      <color rgb="FF000000"/>
      <name val="Faruma"/>
    </font>
    <font>
      <sz val="11"/>
      <color rgb="FF000000"/>
      <name val="Faruma"/>
    </font>
    <font>
      <i/>
      <sz val="10"/>
      <color rgb="FF000000"/>
      <name val="Calibri"/>
      <family val="2"/>
    </font>
    <font>
      <b/>
      <i/>
      <sz val="12"/>
      <color rgb="FFFF0000"/>
      <name val="Calibri"/>
      <family val="2"/>
    </font>
    <font>
      <sz val="10"/>
      <color rgb="FF000000"/>
      <name val="Faruma"/>
    </font>
    <font>
      <vertAlign val="superscript"/>
      <sz val="10"/>
      <color rgb="FF000000"/>
      <name val="Faruma"/>
    </font>
    <font>
      <u/>
      <sz val="9"/>
      <color rgb="FF0000FF"/>
      <name val="Calibri"/>
      <family val="2"/>
    </font>
    <font>
      <b/>
      <sz val="11"/>
      <color rgb="FF000000"/>
      <name val="Calibri"/>
      <family val="2"/>
    </font>
    <font>
      <vertAlign val="superscript"/>
      <sz val="11"/>
      <color rgb="FF000000"/>
      <name val="Calibri"/>
      <family val="2"/>
    </font>
    <font>
      <sz val="11"/>
      <color rgb="FF000000"/>
      <name val="Calibri"/>
      <family val="2"/>
    </font>
    <font>
      <sz val="10"/>
      <name val="Arial"/>
      <family val="2"/>
    </font>
    <font>
      <sz val="10"/>
      <name val="Courier"/>
      <family val="3"/>
    </font>
  </fonts>
  <fills count="5">
    <fill>
      <patternFill patternType="none"/>
    </fill>
    <fill>
      <patternFill patternType="gray125"/>
    </fill>
    <fill>
      <patternFill patternType="solid">
        <fgColor theme="0"/>
        <bgColor rgb="FFFFFFFF"/>
      </patternFill>
    </fill>
    <fill>
      <patternFill patternType="solid">
        <fgColor theme="0"/>
        <bgColor indexed="64"/>
      </patternFill>
    </fill>
    <fill>
      <patternFill patternType="solid">
        <fgColor theme="0"/>
        <bgColor rgb="FFC2D69B"/>
      </patternFill>
    </fill>
  </fills>
  <borders count="23">
    <border>
      <left/>
      <right/>
      <top/>
      <bottom/>
      <diagonal/>
    </border>
    <border>
      <left/>
      <right/>
      <top style="thin">
        <color rgb="FF000000"/>
      </top>
      <bottom/>
      <diagonal/>
    </border>
    <border>
      <left/>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top style="thin">
        <color rgb="FF000000"/>
      </top>
      <bottom/>
      <diagonal/>
    </border>
    <border>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top/>
      <bottom/>
      <diagonal/>
    </border>
    <border>
      <left/>
      <right/>
      <top style="hair">
        <color rgb="FF000000"/>
      </top>
      <bottom/>
      <diagonal/>
    </border>
    <border>
      <left/>
      <right style="hair">
        <color rgb="FF000000"/>
      </right>
      <top style="hair">
        <color rgb="FF000000"/>
      </top>
      <bottom/>
      <diagonal/>
    </border>
    <border>
      <left style="hair">
        <color rgb="FF000000"/>
      </left>
      <right/>
      <top style="hair">
        <color rgb="FF000000"/>
      </top>
      <bottom/>
      <diagonal/>
    </border>
    <border>
      <left/>
      <right/>
      <top/>
      <bottom style="hair">
        <color rgb="FF000000"/>
      </bottom>
      <diagonal/>
    </border>
    <border>
      <left style="hair">
        <color rgb="FF000000"/>
      </left>
      <right/>
      <top/>
      <bottom style="hair">
        <color rgb="FF000000"/>
      </bottom>
      <diagonal/>
    </border>
    <border>
      <left/>
      <right/>
      <top/>
      <bottom style="thin">
        <color rgb="FF000000"/>
      </bottom>
      <diagonal/>
    </border>
    <border>
      <left/>
      <right style="hair">
        <color rgb="FF000000"/>
      </right>
      <top/>
      <bottom style="thin">
        <color rgb="FF000000"/>
      </bottom>
      <diagonal/>
    </border>
    <border>
      <left style="hair">
        <color rgb="FF000000"/>
      </left>
      <right/>
      <top/>
      <bottom style="thin">
        <color rgb="FF000000"/>
      </bottom>
      <diagonal/>
    </border>
    <border>
      <left style="hair">
        <color rgb="FF000000"/>
      </left>
      <right/>
      <top style="hair">
        <color rgb="FF000000"/>
      </top>
      <bottom style="thin">
        <color rgb="FF000000"/>
      </bottom>
      <diagonal/>
    </border>
    <border>
      <left/>
      <right style="hair">
        <color rgb="FF000000"/>
      </right>
      <top/>
      <bottom/>
      <diagonal/>
    </border>
    <border>
      <left/>
      <right style="hair">
        <color rgb="FF000000"/>
      </right>
      <top style="thin">
        <color rgb="FF000000"/>
      </top>
      <bottom/>
      <diagonal/>
    </border>
    <border>
      <left/>
      <right style="hair">
        <color rgb="FF000000"/>
      </right>
      <top/>
      <bottom style="hair">
        <color rgb="FF000000"/>
      </bottom>
      <diagonal/>
    </border>
    <border>
      <left/>
      <right style="hair">
        <color rgb="FF000000"/>
      </right>
      <top style="hair">
        <color rgb="FF000000"/>
      </top>
      <bottom style="thin">
        <color rgb="FF000000"/>
      </bottom>
      <diagonal/>
    </border>
    <border>
      <left/>
      <right style="hair">
        <color rgb="FF000000"/>
      </right>
      <top/>
      <bottom style="thin">
        <color indexed="64"/>
      </bottom>
      <diagonal/>
    </border>
  </borders>
  <cellStyleXfs count="3">
    <xf numFmtId="0" fontId="0" fillId="0" borderId="0"/>
    <xf numFmtId="164" fontId="15" fillId="0" borderId="0"/>
    <xf numFmtId="0" fontId="14" fillId="0" borderId="0"/>
  </cellStyleXfs>
  <cellXfs count="91">
    <xf numFmtId="0" fontId="0" fillId="0" borderId="0" xfId="0" applyFont="1" applyAlignment="1"/>
    <xf numFmtId="0" fontId="1" fillId="2" borderId="0" xfId="0" applyFont="1" applyFill="1" applyBorder="1" applyAlignment="1">
      <alignment horizontal="center"/>
    </xf>
    <xf numFmtId="0" fontId="0" fillId="2" borderId="0" xfId="0" applyFont="1" applyFill="1" applyBorder="1"/>
    <xf numFmtId="0" fontId="0" fillId="3" borderId="0" xfId="0" applyFont="1" applyFill="1" applyAlignment="1"/>
    <xf numFmtId="0" fontId="3" fillId="2" borderId="0" xfId="0" applyFont="1" applyFill="1" applyBorder="1" applyAlignment="1">
      <alignment horizontal="center"/>
    </xf>
    <xf numFmtId="0" fontId="1" fillId="2" borderId="1" xfId="0" applyFont="1" applyFill="1" applyBorder="1" applyAlignment="1">
      <alignment horizontal="center" vertical="center"/>
    </xf>
    <xf numFmtId="0" fontId="1" fillId="2" borderId="1" xfId="0" applyFont="1" applyFill="1" applyBorder="1" applyAlignment="1">
      <alignment horizontal="right" vertical="center"/>
    </xf>
    <xf numFmtId="0" fontId="3" fillId="2" borderId="0" xfId="0" applyFont="1" applyFill="1" applyBorder="1"/>
    <xf numFmtId="0" fontId="3" fillId="2" borderId="0" xfId="0" applyFont="1" applyFill="1" applyBorder="1" applyAlignment="1">
      <alignment horizontal="center" vertical="center"/>
    </xf>
    <xf numFmtId="0" fontId="1" fillId="2" borderId="0" xfId="0" applyFont="1" applyFill="1" applyBorder="1" applyAlignment="1">
      <alignment horizontal="right" vertical="center"/>
    </xf>
    <xf numFmtId="0" fontId="0" fillId="2" borderId="0" xfId="0" applyFont="1" applyFill="1" applyBorder="1" applyAlignment="1">
      <alignment vertical="center"/>
    </xf>
    <xf numFmtId="0" fontId="4" fillId="2" borderId="9" xfId="0" applyFont="1" applyFill="1" applyBorder="1" applyAlignment="1">
      <alignment horizontal="center" vertical="center"/>
    </xf>
    <xf numFmtId="0" fontId="4" fillId="2" borderId="0" xfId="0" applyFont="1" applyFill="1" applyBorder="1" applyAlignment="1">
      <alignment horizontal="center" vertical="center"/>
    </xf>
    <xf numFmtId="0" fontId="4" fillId="2" borderId="9" xfId="0" applyFont="1" applyFill="1" applyBorder="1" applyAlignment="1">
      <alignment horizontal="right" vertical="center"/>
    </xf>
    <xf numFmtId="0" fontId="4" fillId="2" borderId="0" xfId="0" applyFont="1" applyFill="1" applyBorder="1" applyAlignment="1">
      <alignment horizontal="right" vertical="center"/>
    </xf>
    <xf numFmtId="0" fontId="4" fillId="2" borderId="10" xfId="0" applyFont="1" applyFill="1" applyBorder="1" applyAlignment="1">
      <alignment horizontal="right" vertical="center"/>
    </xf>
    <xf numFmtId="0" fontId="4" fillId="2" borderId="11" xfId="0" applyFont="1" applyFill="1" applyBorder="1" applyAlignment="1">
      <alignment horizontal="right" vertical="center"/>
    </xf>
    <xf numFmtId="0" fontId="3" fillId="2" borderId="12" xfId="0" applyFont="1" applyFill="1" applyBorder="1" applyAlignment="1">
      <alignment vertical="center"/>
    </xf>
    <xf numFmtId="0" fontId="3" fillId="2" borderId="14" xfId="0" applyFont="1" applyFill="1" applyBorder="1" applyAlignment="1">
      <alignment horizontal="center"/>
    </xf>
    <xf numFmtId="0" fontId="3" fillId="2" borderId="14" xfId="0" applyFont="1" applyFill="1" applyBorder="1" applyAlignment="1">
      <alignment horizontal="right" vertical="center"/>
    </xf>
    <xf numFmtId="0" fontId="3" fillId="2" borderId="15" xfId="0" applyFont="1" applyFill="1" applyBorder="1" applyAlignment="1">
      <alignment horizontal="right" vertical="center"/>
    </xf>
    <xf numFmtId="0" fontId="3" fillId="2" borderId="16" xfId="0" applyFont="1" applyFill="1" applyBorder="1" applyAlignment="1">
      <alignment horizontal="right" vertical="center"/>
    </xf>
    <xf numFmtId="0" fontId="3" fillId="2" borderId="17" xfId="0" applyFont="1" applyFill="1" applyBorder="1" applyAlignment="1">
      <alignment horizontal="right" vertical="center"/>
    </xf>
    <xf numFmtId="0" fontId="3" fillId="2" borderId="14" xfId="0" applyFont="1" applyFill="1" applyBorder="1" applyAlignment="1">
      <alignment horizontal="center" vertical="center"/>
    </xf>
    <xf numFmtId="0" fontId="1" fillId="2" borderId="14" xfId="0" applyFont="1" applyFill="1" applyBorder="1" applyAlignment="1">
      <alignment horizontal="right" vertical="center"/>
    </xf>
    <xf numFmtId="164" fontId="3" fillId="2" borderId="0" xfId="0" applyNumberFormat="1" applyFont="1" applyFill="1" applyBorder="1" applyAlignment="1">
      <alignment horizontal="center" vertical="center"/>
    </xf>
    <xf numFmtId="164" fontId="3" fillId="2" borderId="18" xfId="0" applyNumberFormat="1"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4" xfId="0" applyNumberFormat="1" applyFont="1" applyFill="1" applyBorder="1" applyAlignment="1">
      <alignment horizontal="right" vertical="center"/>
    </xf>
    <xf numFmtId="1" fontId="3" fillId="2" borderId="1" xfId="0" applyNumberFormat="1" applyFont="1" applyFill="1" applyBorder="1" applyAlignment="1">
      <alignment horizontal="center" vertical="center"/>
    </xf>
    <xf numFmtId="0" fontId="1" fillId="2" borderId="0" xfId="0" applyFont="1" applyFill="1" applyBorder="1" applyAlignment="1"/>
    <xf numFmtId="0" fontId="1" fillId="2" borderId="0" xfId="0" applyFont="1" applyFill="1" applyBorder="1"/>
    <xf numFmtId="164" fontId="0" fillId="2" borderId="0" xfId="0" applyNumberFormat="1" applyFont="1" applyFill="1" applyBorder="1" applyAlignment="1">
      <alignment horizontal="center" vertical="center"/>
    </xf>
    <xf numFmtId="164" fontId="0" fillId="2" borderId="18" xfId="0" applyNumberFormat="1" applyFont="1" applyFill="1" applyBorder="1" applyAlignment="1">
      <alignment horizontal="center" vertical="center"/>
    </xf>
    <xf numFmtId="164" fontId="0" fillId="2" borderId="8" xfId="0" applyNumberFormat="1" applyFont="1" applyFill="1" applyBorder="1" applyAlignment="1">
      <alignment horizontal="center" vertical="center"/>
    </xf>
    <xf numFmtId="164" fontId="0" fillId="4" borderId="0" xfId="0" applyNumberFormat="1" applyFont="1" applyFill="1" applyBorder="1" applyAlignment="1">
      <alignment horizontal="center" vertical="center"/>
    </xf>
    <xf numFmtId="164" fontId="0" fillId="4" borderId="18" xfId="0" applyNumberFormat="1" applyFont="1" applyFill="1" applyBorder="1" applyAlignment="1">
      <alignment horizontal="center" vertical="center"/>
    </xf>
    <xf numFmtId="164" fontId="0" fillId="2" borderId="8" xfId="0" applyNumberFormat="1" applyFont="1" applyFill="1" applyBorder="1" applyAlignment="1">
      <alignment horizontal="right" vertical="center"/>
    </xf>
    <xf numFmtId="1" fontId="0" fillId="4" borderId="0" xfId="0" applyNumberFormat="1" applyFont="1" applyFill="1" applyBorder="1" applyAlignment="1">
      <alignment horizontal="center" vertical="center"/>
    </xf>
    <xf numFmtId="0" fontId="5" fillId="2" borderId="0" xfId="0" applyFont="1" applyFill="1" applyBorder="1" applyAlignment="1"/>
    <xf numFmtId="0" fontId="5" fillId="2" borderId="0" xfId="0" applyFont="1" applyFill="1" applyBorder="1"/>
    <xf numFmtId="0" fontId="0" fillId="2" borderId="14" xfId="0" applyFont="1" applyFill="1" applyBorder="1"/>
    <xf numFmtId="164" fontId="0" fillId="2" borderId="14" xfId="0" applyNumberFormat="1" applyFont="1" applyFill="1" applyBorder="1" applyAlignment="1">
      <alignment horizontal="center" vertical="center"/>
    </xf>
    <xf numFmtId="164" fontId="0" fillId="2" borderId="15" xfId="0" applyNumberFormat="1" applyFont="1" applyFill="1" applyBorder="1" applyAlignment="1">
      <alignment horizontal="center" vertical="center"/>
    </xf>
    <xf numFmtId="164" fontId="0" fillId="2" borderId="16" xfId="0" applyNumberFormat="1" applyFont="1" applyFill="1" applyBorder="1" applyAlignment="1">
      <alignment horizontal="center" vertical="center"/>
    </xf>
    <xf numFmtId="164" fontId="0" fillId="4" borderId="14" xfId="0" applyNumberFormat="1" applyFont="1" applyFill="1" applyBorder="1" applyAlignment="1">
      <alignment horizontal="center" vertical="center"/>
    </xf>
    <xf numFmtId="164" fontId="0" fillId="4" borderId="15" xfId="0" applyNumberFormat="1" applyFont="1" applyFill="1" applyBorder="1" applyAlignment="1">
      <alignment horizontal="center" vertical="center"/>
    </xf>
    <xf numFmtId="164" fontId="0" fillId="2" borderId="16" xfId="0" applyNumberFormat="1" applyFont="1" applyFill="1" applyBorder="1" applyAlignment="1">
      <alignment horizontal="right" vertical="center"/>
    </xf>
    <xf numFmtId="1" fontId="0" fillId="4" borderId="14" xfId="0" applyNumberFormat="1" applyFont="1" applyFill="1" applyBorder="1" applyAlignment="1">
      <alignment horizontal="center" vertical="center"/>
    </xf>
    <xf numFmtId="0" fontId="5" fillId="2" borderId="14" xfId="0" applyFont="1" applyFill="1" applyBorder="1" applyAlignment="1"/>
    <xf numFmtId="0" fontId="5" fillId="2" borderId="14" xfId="0" applyFont="1" applyFill="1" applyBorder="1"/>
    <xf numFmtId="0" fontId="6" fillId="2" borderId="0" xfId="0" applyFont="1" applyFill="1" applyBorder="1" applyAlignment="1">
      <alignment vertical="center"/>
    </xf>
    <xf numFmtId="164" fontId="6" fillId="2" borderId="0" xfId="0" applyNumberFormat="1" applyFont="1" applyFill="1" applyBorder="1" applyAlignment="1">
      <alignment horizontal="right" vertical="center"/>
    </xf>
    <xf numFmtId="164" fontId="6" fillId="2" borderId="0" xfId="0" applyNumberFormat="1" applyFont="1" applyFill="1" applyBorder="1" applyAlignment="1">
      <alignment vertical="center"/>
    </xf>
    <xf numFmtId="0" fontId="7" fillId="2" borderId="0" xfId="0" applyFont="1" applyFill="1" applyBorder="1" applyAlignment="1">
      <alignment vertical="center"/>
    </xf>
    <xf numFmtId="0" fontId="8" fillId="2" borderId="0" xfId="0" applyFont="1" applyFill="1" applyBorder="1" applyAlignment="1">
      <alignment vertical="center"/>
    </xf>
    <xf numFmtId="0" fontId="9" fillId="2" borderId="0" xfId="0" applyFont="1" applyFill="1" applyBorder="1" applyAlignment="1">
      <alignment horizontal="left" vertical="center"/>
    </xf>
    <xf numFmtId="0" fontId="3" fillId="2" borderId="1" xfId="0" applyFont="1" applyFill="1" applyBorder="1"/>
    <xf numFmtId="0" fontId="3" fillId="2" borderId="1" xfId="0" applyFont="1" applyFill="1" applyBorder="1" applyAlignment="1">
      <alignment wrapText="1"/>
    </xf>
    <xf numFmtId="0" fontId="10" fillId="2" borderId="0" xfId="0" applyFont="1" applyFill="1" applyBorder="1" applyAlignment="1">
      <alignment vertical="top"/>
    </xf>
    <xf numFmtId="43" fontId="0" fillId="2" borderId="0" xfId="0" applyNumberFormat="1" applyFont="1" applyFill="1" applyBorder="1"/>
    <xf numFmtId="164" fontId="0" fillId="2" borderId="0" xfId="0" applyNumberFormat="1" applyFont="1" applyFill="1" applyBorder="1"/>
    <xf numFmtId="0" fontId="3" fillId="2" borderId="21" xfId="0" applyFont="1" applyFill="1" applyBorder="1" applyAlignment="1">
      <alignment horizontal="right" vertical="center"/>
    </xf>
    <xf numFmtId="164" fontId="3" fillId="4" borderId="18" xfId="0" applyNumberFormat="1" applyFont="1" applyFill="1" applyBorder="1" applyAlignment="1">
      <alignment horizontal="center" vertical="center"/>
    </xf>
    <xf numFmtId="0" fontId="3" fillId="2" borderId="13" xfId="0" applyFont="1" applyFill="1" applyBorder="1" applyAlignment="1">
      <alignment horizontal="center" vertical="center"/>
    </xf>
    <xf numFmtId="164" fontId="0" fillId="2" borderId="22" xfId="0" applyNumberFormat="1" applyFont="1" applyFill="1" applyBorder="1" applyAlignment="1">
      <alignment horizontal="center" vertical="center"/>
    </xf>
    <xf numFmtId="0" fontId="13" fillId="2" borderId="14" xfId="0" applyFont="1" applyFill="1" applyBorder="1"/>
    <xf numFmtId="0" fontId="8" fillId="2" borderId="0" xfId="0" applyFont="1" applyFill="1" applyBorder="1" applyAlignment="1">
      <alignment horizontal="right" vertical="center"/>
    </xf>
    <xf numFmtId="0" fontId="1"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0" xfId="0" applyFont="1" applyFill="1" applyBorder="1" applyAlignment="1">
      <alignment horizontal="center" vertical="center"/>
    </xf>
    <xf numFmtId="0" fontId="1" fillId="2" borderId="19"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1" fillId="2" borderId="2" xfId="0" applyFont="1" applyFill="1" applyBorder="1" applyAlignment="1">
      <alignment horizontal="left" vertical="center"/>
    </xf>
    <xf numFmtId="0" fontId="2" fillId="3" borderId="2" xfId="0" applyFont="1" applyFill="1" applyBorder="1"/>
    <xf numFmtId="0" fontId="2" fillId="3" borderId="3" xfId="0" applyFont="1" applyFill="1" applyBorder="1"/>
    <xf numFmtId="0" fontId="1" fillId="2" borderId="0" xfId="0" applyFont="1" applyFill="1" applyBorder="1" applyAlignment="1">
      <alignment horizontal="center"/>
    </xf>
    <xf numFmtId="0" fontId="2" fillId="3" borderId="0" xfId="0" applyFont="1" applyFill="1" applyBorder="1"/>
    <xf numFmtId="0" fontId="11" fillId="2" borderId="0" xfId="0" applyFont="1" applyFill="1" applyBorder="1" applyAlignment="1">
      <alignment horizontal="center"/>
    </xf>
    <xf numFmtId="0" fontId="3" fillId="2" borderId="5" xfId="0" applyFont="1" applyFill="1" applyBorder="1" applyAlignment="1">
      <alignment horizontal="center" vertical="center"/>
    </xf>
    <xf numFmtId="0" fontId="2" fillId="3" borderId="5" xfId="0" applyFont="1" applyFill="1" applyBorder="1"/>
    <xf numFmtId="0" fontId="2" fillId="3" borderId="6" xfId="0" applyFont="1" applyFill="1" applyBorder="1"/>
    <xf numFmtId="0" fontId="1" fillId="2" borderId="2" xfId="0" applyFont="1" applyFill="1" applyBorder="1" applyAlignment="1">
      <alignment horizontal="right" vertical="center"/>
    </xf>
    <xf numFmtId="0" fontId="3" fillId="2" borderId="7" xfId="0" applyFont="1" applyFill="1" applyBorder="1" applyAlignment="1">
      <alignment horizontal="center" vertical="center"/>
    </xf>
    <xf numFmtId="0" fontId="3" fillId="2" borderId="1" xfId="0" applyFont="1" applyFill="1" applyBorder="1" applyAlignment="1">
      <alignment horizontal="left" vertical="center"/>
    </xf>
    <xf numFmtId="0" fontId="2" fillId="3" borderId="14" xfId="0" applyFont="1" applyFill="1" applyBorder="1"/>
    <xf numFmtId="0" fontId="1" fillId="2" borderId="1" xfId="0" applyFont="1" applyFill="1" applyBorder="1" applyAlignment="1">
      <alignment horizontal="right" vertical="center"/>
    </xf>
  </cellXfs>
  <cellStyles count="3">
    <cellStyle name="Normal" xfId="0" builtinId="0"/>
    <cellStyle name="Normal 2" xfId="1"/>
    <cellStyle name="Normal 5" xfId="2"/>
  </cellStyles>
  <dxfs count="0"/>
  <tableStyles count="0" defaultTableStyle="TableStyleMedium2" defaultPivotStyle="PivotStyleLight16"/>
  <colors>
    <mruColors>
      <color rgb="FFF8A45E"/>
      <color rgb="FF953735"/>
      <color rgb="FFFAC02C"/>
      <color rgb="FFFAC090"/>
      <color rgb="FFFDEADA"/>
      <color rgb="FFFF3399"/>
      <color rgb="FFFFE5F2"/>
      <color rgb="FFFFD5EA"/>
      <color rgb="FFFFC5E2"/>
      <color rgb="FFFF85C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sz="1050" b="1" i="0">
                <a:latin typeface="Consolas" pitchFamily="49" charset="0"/>
                <a:cs typeface="Consolas" pitchFamily="49" charset="0"/>
              </a:defRPr>
            </a:pPr>
            <a:r>
              <a:rPr lang="en-US" sz="1050">
                <a:latin typeface="Consolas" pitchFamily="49" charset="0"/>
                <a:cs typeface="Consolas" pitchFamily="49" charset="0"/>
              </a:rPr>
              <a:t>Figure 18.3: Percentage shares of different pension schemes in the payments, 2016</a:t>
            </a:r>
          </a:p>
        </c:rich>
      </c:tx>
      <c:layout/>
      <c:overlay val="0"/>
    </c:title>
    <c:autoTitleDeleted val="0"/>
    <c:plotArea>
      <c:layout>
        <c:manualLayout>
          <c:xMode val="edge"/>
          <c:yMode val="edge"/>
          <c:x val="0.29486180692624853"/>
          <c:y val="0.18498100050926619"/>
          <c:w val="0.39921878353960566"/>
          <c:h val="0.76864496415560379"/>
        </c:manualLayout>
      </c:layout>
      <c:doughnutChart>
        <c:varyColors val="1"/>
        <c:ser>
          <c:idx val="0"/>
          <c:order val="0"/>
          <c:spPr>
            <a:solidFill>
              <a:srgbClr val="953735"/>
            </a:solidFill>
          </c:spPr>
          <c:dPt>
            <c:idx val="0"/>
            <c:bubble3D val="0"/>
            <c:spPr>
              <a:solidFill>
                <a:srgbClr val="F8A45E"/>
              </a:solidFill>
            </c:spPr>
          </c:dPt>
          <c:dPt>
            <c:idx val="1"/>
            <c:bubble3D val="0"/>
            <c:spPr>
              <a:solidFill>
                <a:srgbClr val="FDEADA"/>
              </a:solidFill>
            </c:spPr>
          </c:dPt>
          <c:dPt>
            <c:idx val="2"/>
            <c:bubble3D val="0"/>
            <c:spPr>
              <a:solidFill>
                <a:srgbClr val="FAC090"/>
              </a:solidFill>
            </c:spPr>
          </c:dPt>
          <c:dPt>
            <c:idx val="3"/>
            <c:bubble3D val="0"/>
          </c:dPt>
          <c:dLbls>
            <c:dLbl>
              <c:idx val="0"/>
              <c:layout>
                <c:manualLayout>
                  <c:x val="-2.8789923526765633E-2"/>
                  <c:y val="-4.4176706827309238E-2"/>
                </c:manualLayout>
              </c:layout>
              <c:showLegendKey val="0"/>
              <c:showVal val="0"/>
              <c:showCatName val="1"/>
              <c:showSerName val="0"/>
              <c:showPercent val="1"/>
              <c:showBubbleSize val="0"/>
            </c:dLbl>
            <c:dLbl>
              <c:idx val="1"/>
              <c:layout>
                <c:manualLayout>
                  <c:x val="0.11156095366621682"/>
                  <c:y val="0.10441767068273092"/>
                </c:manualLayout>
              </c:layout>
              <c:showLegendKey val="0"/>
              <c:showVal val="0"/>
              <c:showCatName val="1"/>
              <c:showSerName val="0"/>
              <c:showPercent val="1"/>
              <c:showBubbleSize val="0"/>
            </c:dLbl>
            <c:dLbl>
              <c:idx val="3"/>
              <c:layout>
                <c:manualLayout>
                  <c:x val="-0.10436347278452542"/>
                  <c:y val="-0.16064257028112447"/>
                </c:manualLayout>
              </c:layout>
              <c:showLegendKey val="0"/>
              <c:showVal val="0"/>
              <c:showCatName val="1"/>
              <c:showSerName val="0"/>
              <c:showPercent val="1"/>
              <c:showBubbleSize val="0"/>
            </c:dLbl>
            <c:showLegendKey val="0"/>
            <c:showVal val="0"/>
            <c:showCatName val="1"/>
            <c:showSerName val="0"/>
            <c:showPercent val="1"/>
            <c:showBubbleSize val="0"/>
            <c:showLeaderLines val="1"/>
          </c:dLbls>
          <c:cat>
            <c:strRef>
              <c:f>'18.1'!$AE$24:$AE$27</c:f>
              <c:strCache>
                <c:ptCount val="4"/>
                <c:pt idx="0">
                  <c:v>Basic Pension</c:v>
                </c:pt>
                <c:pt idx="1">
                  <c:v>Retirement Pension</c:v>
                </c:pt>
                <c:pt idx="2">
                  <c:v>Other Pension</c:v>
                </c:pt>
                <c:pt idx="3">
                  <c:v>Senior Citizen Allowance</c:v>
                </c:pt>
              </c:strCache>
            </c:strRef>
          </c:cat>
          <c:val>
            <c:numRef>
              <c:f>'18.1'!$AJ$24:$AJ$27</c:f>
              <c:numCache>
                <c:formatCode>_(* #,##0_);_(* \(#,##0\);_(* "-"??_);_(@_)</c:formatCode>
                <c:ptCount val="4"/>
                <c:pt idx="0">
                  <c:v>33.769107888696972</c:v>
                </c:pt>
                <c:pt idx="1">
                  <c:v>3.8432240209940081</c:v>
                </c:pt>
                <c:pt idx="2">
                  <c:v>20.696937263018974</c:v>
                </c:pt>
                <c:pt idx="3">
                  <c:v>41.690730827290032</c:v>
                </c:pt>
              </c:numCache>
            </c:numRef>
          </c:val>
        </c:ser>
        <c:dLbls>
          <c:showLegendKey val="0"/>
          <c:showVal val="0"/>
          <c:showCatName val="0"/>
          <c:showSerName val="0"/>
          <c:showPercent val="0"/>
          <c:showBubbleSize val="0"/>
          <c:showLeaderLines val="1"/>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a:defRPr/>
            </a:pPr>
            <a:r>
              <a:rPr lang="en-US" sz="1050" b="1" i="0" baseline="0">
                <a:effectLst/>
                <a:latin typeface="Consolas" pitchFamily="49" charset="0"/>
                <a:cs typeface="Consolas" pitchFamily="49" charset="0"/>
              </a:rPr>
              <a:t>Figure 18.2: Percentage share of pension payments going to females, 2016</a:t>
            </a:r>
            <a:endParaRPr lang="en-US" sz="1050">
              <a:effectLst/>
              <a:latin typeface="Consolas" pitchFamily="49" charset="0"/>
              <a:cs typeface="Consolas" pitchFamily="49" charset="0"/>
            </a:endParaRPr>
          </a:p>
        </c:rich>
      </c:tx>
      <c:layout/>
      <c:overlay val="0"/>
    </c:title>
    <c:autoTitleDeleted val="0"/>
    <c:plotArea>
      <c:layout>
        <c:manualLayout>
          <c:layoutTarget val="inner"/>
          <c:xMode val="edge"/>
          <c:yMode val="edge"/>
          <c:x val="8.6569842308585401E-2"/>
          <c:y val="0.15402348390661694"/>
          <c:w val="0.87252735499215417"/>
          <c:h val="0.67167619836994064"/>
        </c:manualLayout>
      </c:layout>
      <c:barChart>
        <c:barDir val="col"/>
        <c:grouping val="clustered"/>
        <c:varyColors val="1"/>
        <c:ser>
          <c:idx val="0"/>
          <c:order val="0"/>
          <c:spPr>
            <a:solidFill>
              <a:srgbClr val="F8A45E"/>
            </a:solidFill>
          </c:spPr>
          <c:invertIfNegative val="1"/>
          <c:cat>
            <c:strRef>
              <c:f>'18.1'!$AE$24:$AE$27</c:f>
              <c:strCache>
                <c:ptCount val="4"/>
                <c:pt idx="0">
                  <c:v>Basic Pension</c:v>
                </c:pt>
                <c:pt idx="1">
                  <c:v>Retirement Pension</c:v>
                </c:pt>
                <c:pt idx="2">
                  <c:v>Other Pension</c:v>
                </c:pt>
                <c:pt idx="3">
                  <c:v>Senior Citizen Allowance</c:v>
                </c:pt>
              </c:strCache>
            </c:strRef>
          </c:cat>
          <c:val>
            <c:numRef>
              <c:f>'18.1'!$AK$24:$AK$27</c:f>
              <c:numCache>
                <c:formatCode>_(* #,##0_);_(* \(#,##0\);_(* "-"??_);_(@_)</c:formatCode>
                <c:ptCount val="4"/>
                <c:pt idx="0">
                  <c:v>50.474034487467591</c:v>
                </c:pt>
                <c:pt idx="1">
                  <c:v>15.234737845234445</c:v>
                </c:pt>
                <c:pt idx="2">
                  <c:v>21.846510471338657</c:v>
                </c:pt>
                <c:pt idx="3">
                  <c:v>49.270150822206944</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96315264"/>
        <c:axId val="96316800"/>
      </c:barChart>
      <c:catAx>
        <c:axId val="96315264"/>
        <c:scaling>
          <c:orientation val="minMax"/>
        </c:scaling>
        <c:delete val="0"/>
        <c:axPos val="b"/>
        <c:majorTickMark val="none"/>
        <c:minorTickMark val="none"/>
        <c:tickLblPos val="nextTo"/>
        <c:txPr>
          <a:bodyPr/>
          <a:lstStyle/>
          <a:p>
            <a:pPr lvl="0">
              <a:defRPr/>
            </a:pPr>
            <a:endParaRPr lang="en-US"/>
          </a:p>
        </c:txPr>
        <c:crossAx val="96316800"/>
        <c:crosses val="autoZero"/>
        <c:auto val="1"/>
        <c:lblAlgn val="ctr"/>
        <c:lblOffset val="100"/>
        <c:noMultiLvlLbl val="1"/>
      </c:catAx>
      <c:valAx>
        <c:axId val="96316800"/>
        <c:scaling>
          <c:orientation val="minMax"/>
        </c:scaling>
        <c:delete val="0"/>
        <c:axPos val="l"/>
        <c:majorGridlines>
          <c:spPr>
            <a:ln>
              <a:solidFill>
                <a:srgbClr val="FAC090"/>
              </a:solidFill>
            </a:ln>
          </c:spPr>
        </c:majorGridlines>
        <c:numFmt formatCode="_(* #,##0_);_(* \(#,##0\);_(* &quot;-&quot;??_);_(@_)" sourceLinked="1"/>
        <c:majorTickMark val="none"/>
        <c:minorTickMark val="none"/>
        <c:tickLblPos val="nextTo"/>
        <c:txPr>
          <a:bodyPr/>
          <a:lstStyle/>
          <a:p>
            <a:pPr lvl="0">
              <a:defRPr/>
            </a:pPr>
            <a:endParaRPr lang="en-US"/>
          </a:p>
        </c:txPr>
        <c:crossAx val="96315264"/>
        <c:crosses val="autoZero"/>
        <c:crossBetween val="between"/>
      </c:valAx>
      <c:spPr>
        <a:solidFill>
          <a:srgbClr val="FDEADA"/>
        </a:solidFill>
        <a:ln>
          <a:solidFill>
            <a:schemeClr val="tx1">
              <a:tint val="75000"/>
              <a:shade val="95000"/>
              <a:satMod val="105000"/>
            </a:schemeClr>
          </a:solidFill>
        </a:ln>
      </c:spPr>
    </c:plotArea>
    <c:plotVisOnly val="1"/>
    <c:dispBlanksAs val="zero"/>
    <c:showDLblsOverMax val="1"/>
  </c:chart>
  <c:spPr>
    <a:solidFill>
      <a:srgbClr val="FFFFFF"/>
    </a:solidFill>
  </c:sp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manualLayout>
          <c:layoutTarget val="inner"/>
          <c:xMode val="edge"/>
          <c:yMode val="edge"/>
          <c:x val="0.1034908843941677"/>
          <c:y val="0.1834780750126104"/>
          <c:w val="0.86231271872265969"/>
          <c:h val="0.67936016141304822"/>
        </c:manualLayout>
      </c:layout>
      <c:barChart>
        <c:barDir val="col"/>
        <c:grouping val="clustered"/>
        <c:varyColors val="1"/>
        <c:ser>
          <c:idx val="0"/>
          <c:order val="0"/>
          <c:tx>
            <c:strRef>
              <c:f>'18.1'!$AF$23</c:f>
              <c:strCache>
                <c:ptCount val="1"/>
                <c:pt idx="0">
                  <c:v>Male</c:v>
                </c:pt>
              </c:strCache>
            </c:strRef>
          </c:tx>
          <c:spPr>
            <a:solidFill>
              <a:srgbClr val="FAC02C"/>
            </a:solidFill>
          </c:spPr>
          <c:invertIfNegative val="1"/>
          <c:cat>
            <c:strRef>
              <c:f>'18.1'!$AE$24:$AE$27</c:f>
              <c:strCache>
                <c:ptCount val="4"/>
                <c:pt idx="0">
                  <c:v>Basic Pension</c:v>
                </c:pt>
                <c:pt idx="1">
                  <c:v>Retirement Pension</c:v>
                </c:pt>
                <c:pt idx="2">
                  <c:v>Other Pension</c:v>
                </c:pt>
                <c:pt idx="3">
                  <c:v>Senior Citizen Allowance</c:v>
                </c:pt>
              </c:strCache>
            </c:strRef>
          </c:cat>
          <c:val>
            <c:numRef>
              <c:f>'18.1'!$AF$24:$AF$27</c:f>
              <c:numCache>
                <c:formatCode>_(* #,##0.00_);_(* \(#,##0.00\);_(* "-"??_);_(@_)</c:formatCode>
                <c:ptCount val="4"/>
                <c:pt idx="0">
                  <c:v>214.00959179</c:v>
                </c:pt>
                <c:pt idx="1">
                  <c:v>41.686392159999997</c:v>
                </c:pt>
                <c:pt idx="2" formatCode="_(* #,##0_);_(* \(#,##0\);_(* &quot;-&quot;??_);_(@_)">
                  <c:v>206.98322874000002</c:v>
                </c:pt>
                <c:pt idx="3" formatCode="_(* #,##0_);_(* \(#,##0\);_(* &quot;-&quot;??_);_(@_)">
                  <c:v>270.63488675999997</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ser>
          <c:idx val="1"/>
          <c:order val="1"/>
          <c:tx>
            <c:strRef>
              <c:f>'18.1'!$AG$23</c:f>
              <c:strCache>
                <c:ptCount val="1"/>
                <c:pt idx="0">
                  <c:v>Female</c:v>
                </c:pt>
              </c:strCache>
            </c:strRef>
          </c:tx>
          <c:spPr>
            <a:solidFill>
              <a:srgbClr val="953735"/>
            </a:solidFill>
          </c:spPr>
          <c:invertIfNegative val="1"/>
          <c:cat>
            <c:strRef>
              <c:f>'18.1'!$AE$24:$AE$27</c:f>
              <c:strCache>
                <c:ptCount val="4"/>
                <c:pt idx="0">
                  <c:v>Basic Pension</c:v>
                </c:pt>
                <c:pt idx="1">
                  <c:v>Retirement Pension</c:v>
                </c:pt>
                <c:pt idx="2">
                  <c:v>Other Pension</c:v>
                </c:pt>
                <c:pt idx="3">
                  <c:v>Senior Citizen Allowance</c:v>
                </c:pt>
              </c:strCache>
            </c:strRef>
          </c:cat>
          <c:val>
            <c:numRef>
              <c:f>'18.1'!$AG$24:$AG$27</c:f>
              <c:numCache>
                <c:formatCode>_(* #,##0_);_(* \(#,##0\);_(* "-"??_);_(@_)</c:formatCode>
                <c:ptCount val="4"/>
                <c:pt idx="0">
                  <c:v>218.10634896000002</c:v>
                </c:pt>
                <c:pt idx="1">
                  <c:v>7.4922349100000005</c:v>
                </c:pt>
                <c:pt idx="2">
                  <c:v>57.858725200000002</c:v>
                </c:pt>
                <c:pt idx="3">
                  <c:v>262.84765092999999</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41513728"/>
        <c:axId val="41515264"/>
      </c:barChart>
      <c:catAx>
        <c:axId val="41513728"/>
        <c:scaling>
          <c:orientation val="minMax"/>
        </c:scaling>
        <c:delete val="0"/>
        <c:axPos val="b"/>
        <c:majorTickMark val="cross"/>
        <c:minorTickMark val="cross"/>
        <c:tickLblPos val="nextTo"/>
        <c:txPr>
          <a:bodyPr/>
          <a:lstStyle/>
          <a:p>
            <a:pPr lvl="0">
              <a:defRPr/>
            </a:pPr>
            <a:endParaRPr lang="en-US"/>
          </a:p>
        </c:txPr>
        <c:crossAx val="41515264"/>
        <c:crosses val="autoZero"/>
        <c:auto val="1"/>
        <c:lblAlgn val="ctr"/>
        <c:lblOffset val="100"/>
        <c:noMultiLvlLbl val="1"/>
      </c:catAx>
      <c:valAx>
        <c:axId val="41515264"/>
        <c:scaling>
          <c:orientation val="minMax"/>
        </c:scaling>
        <c:delete val="0"/>
        <c:axPos val="l"/>
        <c:majorGridlines>
          <c:spPr>
            <a:ln>
              <a:solidFill>
                <a:srgbClr val="FAC090"/>
              </a:solidFill>
            </a:ln>
          </c:spPr>
        </c:majorGridlines>
        <c:title>
          <c:tx>
            <c:rich>
              <a:bodyPr/>
              <a:lstStyle/>
              <a:p>
                <a:pPr lvl="0">
                  <a:defRPr b="1" i="0"/>
                </a:pPr>
                <a:r>
                  <a:rPr lang="en-US"/>
                  <a:t>Value (In million MVR)</a:t>
                </a:r>
              </a:p>
            </c:rich>
          </c:tx>
          <c:layout>
            <c:manualLayout>
              <c:xMode val="edge"/>
              <c:yMode val="edge"/>
              <c:x val="1.5086133101286868E-2"/>
              <c:y val="0.28135696392999732"/>
            </c:manualLayout>
          </c:layout>
          <c:overlay val="0"/>
        </c:title>
        <c:numFmt formatCode="_(* #,##0_);_(* \(#,##0\);_(* &quot;-&quot;_);_(@_)" sourceLinked="0"/>
        <c:majorTickMark val="cross"/>
        <c:minorTickMark val="cross"/>
        <c:tickLblPos val="nextTo"/>
        <c:spPr>
          <a:ln w="47625">
            <a:noFill/>
          </a:ln>
        </c:spPr>
        <c:txPr>
          <a:bodyPr/>
          <a:lstStyle/>
          <a:p>
            <a:pPr lvl="0">
              <a:defRPr/>
            </a:pPr>
            <a:endParaRPr lang="en-US"/>
          </a:p>
        </c:txPr>
        <c:crossAx val="41513728"/>
        <c:crosses val="autoZero"/>
        <c:crossBetween val="between"/>
      </c:valAx>
      <c:spPr>
        <a:solidFill>
          <a:srgbClr val="FDEADA"/>
        </a:solidFill>
        <a:ln>
          <a:solidFill>
            <a:schemeClr val="bg1">
              <a:lumMod val="65000"/>
            </a:schemeClr>
          </a:solidFill>
        </a:ln>
      </c:spPr>
    </c:plotArea>
    <c:legend>
      <c:legendPos val="r"/>
      <c:layout>
        <c:manualLayout>
          <c:xMode val="edge"/>
          <c:yMode val="edge"/>
          <c:x val="0.33447828455405337"/>
          <c:y val="0.30613797053869896"/>
          <c:w val="0.21632750984251969"/>
          <c:h val="9.4343049224110132E-2"/>
        </c:manualLayout>
      </c:layout>
      <c:overlay val="0"/>
      <c:txPr>
        <a:bodyPr/>
        <a:lstStyle/>
        <a:p>
          <a:pPr>
            <a:defRPr sz="1050"/>
          </a:pPr>
          <a:endParaRPr lang="en-US"/>
        </a:p>
      </c:txPr>
    </c:legend>
    <c:plotVisOnly val="1"/>
    <c:dispBlanksAs val="zero"/>
    <c:showDLblsOverMax val="1"/>
  </c:chart>
  <c:spPr>
    <a:solidFill>
      <a:srgbClr val="FFFFFF"/>
    </a:solidFill>
    <a:ln cap="sq">
      <a:miter lim="800000"/>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333375</xdr:colOff>
      <xdr:row>48</xdr:row>
      <xdr:rowOff>171450</xdr:rowOff>
    </xdr:from>
    <xdr:to>
      <xdr:col>18</xdr:col>
      <xdr:colOff>114300</xdr:colOff>
      <xdr:row>65</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8</xdr:col>
      <xdr:colOff>342900</xdr:colOff>
      <xdr:row>33</xdr:row>
      <xdr:rowOff>19050</xdr:rowOff>
    </xdr:from>
    <xdr:to>
      <xdr:col>18</xdr:col>
      <xdr:colOff>171450</xdr:colOff>
      <xdr:row>47</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8</xdr:col>
      <xdr:colOff>438150</xdr:colOff>
      <xdr:row>18</xdr:row>
      <xdr:rowOff>95250</xdr:rowOff>
    </xdr:from>
    <xdr:to>
      <xdr:col>18</xdr:col>
      <xdr:colOff>228600</xdr:colOff>
      <xdr:row>31</xdr:row>
      <xdr:rowOff>161925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9</xdr:col>
      <xdr:colOff>104775</xdr:colOff>
      <xdr:row>19</xdr:row>
      <xdr:rowOff>0</xdr:rowOff>
    </xdr:from>
    <xdr:to>
      <xdr:col>17</xdr:col>
      <xdr:colOff>457200</xdr:colOff>
      <xdr:row>20</xdr:row>
      <xdr:rowOff>76200</xdr:rowOff>
    </xdr:to>
    <xdr:sp macro="" textlink="">
      <xdr:nvSpPr>
        <xdr:cNvPr id="11" name="Shape 6"/>
        <xdr:cNvSpPr txBox="1"/>
      </xdr:nvSpPr>
      <xdr:spPr>
        <a:xfrm>
          <a:off x="2771775" y="4838700"/>
          <a:ext cx="6096000" cy="266700"/>
        </a:xfrm>
        <a:prstGeom prst="rect">
          <a:avLst/>
        </a:prstGeom>
        <a:noFill/>
        <a:ln>
          <a:noFill/>
        </a:ln>
      </xdr:spPr>
      <xdr:txBody>
        <a:bodyPr lIns="91425" tIns="45700" rIns="91425" bIns="45700" anchor="t" anchorCtr="0">
          <a:noAutofit/>
        </a:bodyPr>
        <a:lstStyle/>
        <a:p>
          <a:pPr marL="0" marR="0" lvl="0" indent="0" algn="ctr" rtl="0">
            <a:lnSpc>
              <a:spcPct val="100000"/>
            </a:lnSpc>
            <a:spcBef>
              <a:spcPts val="0"/>
            </a:spcBef>
            <a:buClr>
              <a:schemeClr val="dk1"/>
            </a:buClr>
            <a:buSzPct val="25000"/>
            <a:buFont typeface="Consolas"/>
            <a:buNone/>
          </a:pPr>
          <a:r>
            <a:rPr lang="en-US" sz="1050" b="1" i="0">
              <a:solidFill>
                <a:schemeClr val="dk1"/>
              </a:solidFill>
              <a:latin typeface="Consolas"/>
              <a:ea typeface="Consolas"/>
              <a:cs typeface="Consolas"/>
              <a:sym typeface="Consolas"/>
            </a:rPr>
            <a:t>Figure 18.1: Pension payments made under different schemes, 2016</a:t>
          </a:r>
        </a:p>
        <a:p>
          <a:pPr lvl="0">
            <a:spcBef>
              <a:spcPts val="0"/>
            </a:spcBef>
            <a:buNone/>
          </a:pPr>
          <a:endParaRPr sz="1050"/>
        </a:p>
      </xdr:txBody>
    </xdr:sp>
    <xdr:clientData fLocksWithSheet="0"/>
  </xdr:twoCellAnchor>
  <xdr:twoCellAnchor>
    <xdr:from>
      <xdr:col>9</xdr:col>
      <xdr:colOff>649432</xdr:colOff>
      <xdr:row>20</xdr:row>
      <xdr:rowOff>25977</xdr:rowOff>
    </xdr:from>
    <xdr:to>
      <xdr:col>16</xdr:col>
      <xdr:colOff>342034</xdr:colOff>
      <xdr:row>20</xdr:row>
      <xdr:rowOff>25977</xdr:rowOff>
    </xdr:to>
    <xdr:sp macro="" textlink="">
      <xdr:nvSpPr>
        <xdr:cNvPr id="9" name="Line 4"/>
        <xdr:cNvSpPr>
          <a:spLocks noChangeShapeType="1"/>
        </xdr:cNvSpPr>
      </xdr:nvSpPr>
      <xdr:spPr bwMode="auto">
        <a:xfrm flipV="1">
          <a:off x="3316432" y="5056909"/>
          <a:ext cx="4892386" cy="0"/>
        </a:xfrm>
        <a:prstGeom prst="line">
          <a:avLst/>
        </a:prstGeom>
        <a:ln>
          <a:headEnd/>
          <a:tailEnd/>
        </a:ln>
      </xdr:spPr>
      <xdr:style>
        <a:lnRef idx="3">
          <a:schemeClr val="accent6"/>
        </a:lnRef>
        <a:fillRef idx="0">
          <a:schemeClr val="accent6"/>
        </a:fillRef>
        <a:effectRef idx="2">
          <a:schemeClr val="accent6"/>
        </a:effectRef>
        <a:fontRef idx="minor">
          <a:schemeClr val="tx1"/>
        </a:fontRef>
      </xdr:style>
    </xdr:sp>
    <xdr:clientData/>
  </xdr:twoCellAnchor>
  <xdr:twoCellAnchor>
    <xdr:from>
      <xdr:col>9</xdr:col>
      <xdr:colOff>251112</xdr:colOff>
      <xdr:row>34</xdr:row>
      <xdr:rowOff>108238</xdr:rowOff>
    </xdr:from>
    <xdr:to>
      <xdr:col>16</xdr:col>
      <xdr:colOff>415635</xdr:colOff>
      <xdr:row>34</xdr:row>
      <xdr:rowOff>112568</xdr:rowOff>
    </xdr:to>
    <xdr:sp macro="" textlink="">
      <xdr:nvSpPr>
        <xdr:cNvPr id="10" name="Line 4"/>
        <xdr:cNvSpPr>
          <a:spLocks noChangeShapeType="1"/>
        </xdr:cNvSpPr>
      </xdr:nvSpPr>
      <xdr:spPr bwMode="auto">
        <a:xfrm flipV="1">
          <a:off x="2918112" y="8187170"/>
          <a:ext cx="5364307" cy="4330"/>
        </a:xfrm>
        <a:prstGeom prst="line">
          <a:avLst/>
        </a:prstGeom>
        <a:ln>
          <a:headEnd/>
          <a:tailEnd/>
        </a:ln>
      </xdr:spPr>
      <xdr:style>
        <a:lnRef idx="3">
          <a:schemeClr val="accent6"/>
        </a:lnRef>
        <a:fillRef idx="0">
          <a:schemeClr val="accent6"/>
        </a:fillRef>
        <a:effectRef idx="2">
          <a:schemeClr val="accent6"/>
        </a:effectRef>
        <a:fontRef idx="minor">
          <a:schemeClr val="tx1"/>
        </a:fontRef>
      </xdr:style>
    </xdr:sp>
    <xdr:clientData/>
  </xdr:twoCellAnchor>
  <xdr:twoCellAnchor>
    <xdr:from>
      <xdr:col>9</xdr:col>
      <xdr:colOff>398318</xdr:colOff>
      <xdr:row>51</xdr:row>
      <xdr:rowOff>34636</xdr:rowOff>
    </xdr:from>
    <xdr:to>
      <xdr:col>16</xdr:col>
      <xdr:colOff>90920</xdr:colOff>
      <xdr:row>51</xdr:row>
      <xdr:rowOff>34636</xdr:rowOff>
    </xdr:to>
    <xdr:sp macro="" textlink="">
      <xdr:nvSpPr>
        <xdr:cNvPr id="15" name="Line 4"/>
        <xdr:cNvSpPr>
          <a:spLocks noChangeShapeType="1"/>
        </xdr:cNvSpPr>
      </xdr:nvSpPr>
      <xdr:spPr bwMode="auto">
        <a:xfrm flipV="1">
          <a:off x="3065318" y="11352068"/>
          <a:ext cx="4892386" cy="0"/>
        </a:xfrm>
        <a:prstGeom prst="line">
          <a:avLst/>
        </a:prstGeom>
        <a:ln>
          <a:headEnd/>
          <a:tailEnd/>
        </a:ln>
      </xdr:spPr>
      <xdr:style>
        <a:lnRef idx="3">
          <a:schemeClr val="accent6"/>
        </a:lnRef>
        <a:fillRef idx="0">
          <a:schemeClr val="accent6"/>
        </a:fillRef>
        <a:effectRef idx="2">
          <a:schemeClr val="accent6"/>
        </a:effectRef>
        <a:fontRef idx="minor">
          <a:schemeClr val="tx1"/>
        </a:fontRef>
      </xdr:style>
    </xdr:sp>
    <xdr:clientData/>
  </xdr:twoCellAnchor>
</xdr:wsDr>
</file>

<file path=xl/drawings/drawing2.xml><?xml version="1.0" encoding="utf-8"?>
<c:userShapes xmlns:c="http://schemas.openxmlformats.org/drawingml/2006/chart">
  <cdr:relSizeAnchor xmlns:cdr="http://schemas.openxmlformats.org/drawingml/2006/chartDrawing">
    <cdr:from>
      <cdr:x>0.00804</cdr:x>
      <cdr:y>0.29601</cdr:y>
    </cdr:from>
    <cdr:to>
      <cdr:x>0.04558</cdr:x>
      <cdr:y>0.6386</cdr:y>
    </cdr:to>
    <cdr:sp macro="" textlink="">
      <cdr:nvSpPr>
        <cdr:cNvPr id="2" name="TextBox 1"/>
        <cdr:cNvSpPr txBox="1"/>
      </cdr:nvSpPr>
      <cdr:spPr>
        <a:xfrm xmlns:a="http://schemas.openxmlformats.org/drawingml/2006/main" rot="16200000">
          <a:off x="-274584" y="1135273"/>
          <a:ext cx="929985" cy="26657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rtl="0" eaLnBrk="1" fontAlgn="auto" latinLnBrk="0" hangingPunct="1">
            <a:lnSpc>
              <a:spcPct val="100000"/>
            </a:lnSpc>
            <a:spcBef>
              <a:spcPts val="0"/>
            </a:spcBef>
            <a:spcAft>
              <a:spcPts val="0"/>
            </a:spcAft>
            <a:buClrTx/>
            <a:buSzTx/>
            <a:buFontTx/>
            <a:buNone/>
            <a:tabLst/>
            <a:defRPr/>
          </a:pPr>
          <a:r>
            <a:rPr lang="en-US" sz="1000" b="1" i="0" baseline="0">
              <a:effectLst/>
              <a:latin typeface="Consolas" pitchFamily="49" charset="0"/>
              <a:ea typeface="+mn-ea"/>
              <a:cs typeface="Consolas" pitchFamily="49" charset="0"/>
            </a:rPr>
            <a:t>Percentage</a:t>
          </a:r>
          <a:endParaRPr lang="en-US" sz="1000" b="1">
            <a:effectLst/>
            <a:latin typeface="Consolas" pitchFamily="49" charset="0"/>
            <a:cs typeface="Consolas" pitchFamily="49" charset="0"/>
          </a:endParaRPr>
        </a:p>
        <a:p xmlns:a="http://schemas.openxmlformats.org/drawingml/2006/main">
          <a:endParaRPr lang="en-US" sz="1000" b="1">
            <a:latin typeface="Consolas" pitchFamily="49" charset="0"/>
            <a:cs typeface="Consolas" pitchFamily="49" charset="0"/>
          </a:endParaRP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fathimath.shifaza\AppData\Local\Microsoft\Windows\INetCache\Content.Outlook\362P0D1J\Copy%20of%20Statistical%20Year%20book%20for%20the%20year%202016%20for%20NSPA%20_%20NBS%20Comments%20_%20NSPA%20p%20%20%20%2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ifaza\AppData\Local\Microsoft\Windows\INetCache\Content.Outlook\ODPSUPO0\Documents%20and%20Settings\f.shifaza\Application%20Data\Microsoft\Excel\18.%20SOCIAL%20PROTECTION%20_%2029%20July%20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8.16"/>
      <sheetName val="18.17"/>
      <sheetName val="18.18"/>
      <sheetName val="18.19"/>
      <sheetName val="18.20"/>
      <sheetName val="18.21"/>
      <sheetName val="18.22"/>
      <sheetName val="18.23"/>
      <sheetName val="11.24"/>
      <sheetName val="11.25"/>
      <sheetName val="11.26"/>
      <sheetName val="11.27"/>
    </sheetNames>
    <sheetDataSet>
      <sheetData sheetId="0"/>
      <sheetData sheetId="1"/>
      <sheetData sheetId="2"/>
      <sheetData sheetId="3"/>
      <sheetData sheetId="4"/>
      <sheetData sheetId="5"/>
      <sheetData sheetId="6"/>
      <sheetData sheetId="7"/>
      <sheetData sheetId="8">
        <row r="5">
          <cell r="N5">
            <v>2013</v>
          </cell>
          <cell r="O5">
            <v>2014</v>
          </cell>
          <cell r="P5">
            <v>2015</v>
          </cell>
        </row>
        <row r="6">
          <cell r="N6">
            <v>299661096.44</v>
          </cell>
          <cell r="O6">
            <v>349220698.38999999</v>
          </cell>
          <cell r="P6">
            <v>180614696.01000002</v>
          </cell>
        </row>
        <row r="7">
          <cell r="A7" t="str">
            <v>January</v>
          </cell>
          <cell r="O7">
            <v>23170714.699999999</v>
          </cell>
          <cell r="P7">
            <v>18871576.670000002</v>
          </cell>
        </row>
        <row r="8">
          <cell r="A8" t="str">
            <v>February</v>
          </cell>
          <cell r="O8">
            <v>24382093.82</v>
          </cell>
          <cell r="P8">
            <v>11560674.26</v>
          </cell>
        </row>
        <row r="9">
          <cell r="A9" t="str">
            <v>March</v>
          </cell>
          <cell r="O9">
            <v>65018059.100000001</v>
          </cell>
          <cell r="P9">
            <v>11961755.039999999</v>
          </cell>
        </row>
        <row r="10">
          <cell r="A10" t="str">
            <v>April</v>
          </cell>
          <cell r="O10">
            <v>26571752.030000001</v>
          </cell>
          <cell r="P10">
            <v>14237831.629999999</v>
          </cell>
        </row>
        <row r="11">
          <cell r="A11" t="str">
            <v>May</v>
          </cell>
          <cell r="O11">
            <v>27344862.630000003</v>
          </cell>
          <cell r="P11">
            <v>15232383.639999999</v>
          </cell>
        </row>
        <row r="12">
          <cell r="A12" t="str">
            <v>June</v>
          </cell>
          <cell r="O12">
            <v>27437953.34</v>
          </cell>
          <cell r="P12">
            <v>16698376.539999999</v>
          </cell>
        </row>
        <row r="13">
          <cell r="A13" t="str">
            <v>July</v>
          </cell>
          <cell r="O13">
            <v>27536963.569999997</v>
          </cell>
          <cell r="P13">
            <v>17014342.27</v>
          </cell>
        </row>
        <row r="14">
          <cell r="A14" t="str">
            <v>August</v>
          </cell>
          <cell r="O14">
            <v>27542726.530000001</v>
          </cell>
          <cell r="P14">
            <v>14637041.91</v>
          </cell>
        </row>
        <row r="15">
          <cell r="A15" t="str">
            <v>September</v>
          </cell>
          <cell r="O15">
            <v>26488280.200000003</v>
          </cell>
          <cell r="P15">
            <v>14637041.91</v>
          </cell>
        </row>
        <row r="16">
          <cell r="A16" t="str">
            <v>October</v>
          </cell>
          <cell r="O16">
            <v>26944673.18</v>
          </cell>
          <cell r="P16">
            <v>15266487.300000001</v>
          </cell>
        </row>
        <row r="17">
          <cell r="A17" t="str">
            <v>November</v>
          </cell>
          <cell r="O17">
            <v>24549554.030000001</v>
          </cell>
          <cell r="P17">
            <v>15648041.789999999</v>
          </cell>
        </row>
        <row r="18">
          <cell r="A18" t="str">
            <v>December</v>
          </cell>
          <cell r="O18">
            <v>22233065.260000002</v>
          </cell>
          <cell r="P18">
            <v>14849143.050000001</v>
          </cell>
        </row>
      </sheetData>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8.1 "/>
      <sheetName val="18.2 "/>
      <sheetName val="Figures"/>
      <sheetName val="18.3"/>
      <sheetName val="18.4"/>
      <sheetName val="18.5 new"/>
      <sheetName val="18.6"/>
      <sheetName val="18.7"/>
      <sheetName val="18.8"/>
      <sheetName val="18.9"/>
      <sheetName val="18.10"/>
      <sheetName val="Sheet1"/>
      <sheetName val="18.11"/>
      <sheetName val="18.12"/>
      <sheetName val="18.13"/>
      <sheetName val="18.14"/>
      <sheetName val="18.15"/>
      <sheetName val="18.16"/>
      <sheetName val="18.17"/>
    </sheetNames>
    <sheetDataSet>
      <sheetData sheetId="0"/>
      <sheetData sheetId="1"/>
      <sheetData sheetId="2"/>
      <sheetData sheetId="3"/>
      <sheetData sheetId="4"/>
      <sheetData sheetId="5"/>
      <sheetData sheetId="6"/>
      <sheetData sheetId="7"/>
      <sheetData sheetId="8"/>
      <sheetData sheetId="9">
        <row r="5">
          <cell r="C5">
            <v>2010</v>
          </cell>
          <cell r="D5">
            <v>2011</v>
          </cell>
          <cell r="E5">
            <v>2012</v>
          </cell>
        </row>
        <row r="7">
          <cell r="A7" t="str">
            <v>January</v>
          </cell>
          <cell r="D7">
            <v>13828</v>
          </cell>
          <cell r="E7">
            <v>18448</v>
          </cell>
        </row>
        <row r="8">
          <cell r="A8" t="str">
            <v>February</v>
          </cell>
          <cell r="D8">
            <v>13973</v>
          </cell>
          <cell r="E8">
            <v>18752</v>
          </cell>
        </row>
        <row r="9">
          <cell r="A9" t="str">
            <v>March</v>
          </cell>
          <cell r="D9">
            <v>14118</v>
          </cell>
          <cell r="E9">
            <v>18955</v>
          </cell>
        </row>
        <row r="10">
          <cell r="A10" t="str">
            <v>April</v>
          </cell>
          <cell r="D10">
            <v>14339</v>
          </cell>
          <cell r="E10">
            <v>19216</v>
          </cell>
        </row>
        <row r="11">
          <cell r="A11" t="str">
            <v>May</v>
          </cell>
          <cell r="D11">
            <v>14703</v>
          </cell>
          <cell r="E11">
            <v>19500</v>
          </cell>
        </row>
        <row r="12">
          <cell r="A12" t="str">
            <v>June</v>
          </cell>
          <cell r="D12">
            <v>15283</v>
          </cell>
          <cell r="E12">
            <v>19773</v>
          </cell>
        </row>
        <row r="13">
          <cell r="A13" t="str">
            <v>July</v>
          </cell>
          <cell r="D13">
            <v>15897</v>
          </cell>
          <cell r="E13">
            <v>19992</v>
          </cell>
        </row>
        <row r="14">
          <cell r="A14" t="str">
            <v>August</v>
          </cell>
          <cell r="D14">
            <v>16459</v>
          </cell>
          <cell r="E14">
            <v>20166</v>
          </cell>
        </row>
        <row r="15">
          <cell r="A15" t="str">
            <v>September</v>
          </cell>
          <cell r="D15">
            <v>16943</v>
          </cell>
          <cell r="E15">
            <v>20369</v>
          </cell>
        </row>
        <row r="16">
          <cell r="A16" t="str">
            <v>October</v>
          </cell>
          <cell r="D16">
            <v>17538</v>
          </cell>
          <cell r="E16">
            <v>20507</v>
          </cell>
        </row>
        <row r="17">
          <cell r="A17" t="str">
            <v>November</v>
          </cell>
          <cell r="D17">
            <v>17804</v>
          </cell>
          <cell r="E17">
            <v>20638</v>
          </cell>
        </row>
        <row r="18">
          <cell r="A18" t="str">
            <v>December</v>
          </cell>
          <cell r="D18">
            <v>18072</v>
          </cell>
          <cell r="E18">
            <v>20719</v>
          </cell>
        </row>
      </sheetData>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K1000"/>
  <sheetViews>
    <sheetView tabSelected="1" zoomScaleNormal="100" workbookViewId="0">
      <selection activeCell="I17" sqref="I17:U17"/>
    </sheetView>
  </sheetViews>
  <sheetFormatPr defaultColWidth="15.140625" defaultRowHeight="15" customHeight="1" x14ac:dyDescent="0.25"/>
  <cols>
    <col min="1" max="1" width="25.42578125" style="3" customWidth="1"/>
    <col min="2" max="3" width="13.42578125" style="3" hidden="1" customWidth="1"/>
    <col min="4" max="4" width="14.42578125" style="3" hidden="1" customWidth="1"/>
    <col min="5" max="6" width="13.42578125" style="3" hidden="1" customWidth="1"/>
    <col min="7" max="7" width="14.42578125" style="3" hidden="1" customWidth="1"/>
    <col min="8" max="8" width="0.85546875" style="3" hidden="1" customWidth="1"/>
    <col min="9" max="9" width="14.5703125" style="3" customWidth="1"/>
    <col min="10" max="10" width="13.42578125" style="3" customWidth="1"/>
    <col min="11" max="11" width="14.42578125" style="3" customWidth="1"/>
    <col min="12" max="12" width="0.85546875" style="3" hidden="1" customWidth="1"/>
    <col min="13" max="13" width="14.140625" style="3" customWidth="1"/>
    <col min="14" max="14" width="13.42578125" style="3" customWidth="1"/>
    <col min="15" max="15" width="14.42578125" style="3" customWidth="1"/>
    <col min="16" max="17" width="8.140625" style="3" customWidth="1"/>
    <col min="18" max="19" width="8.42578125" style="3" customWidth="1"/>
    <col min="20" max="20" width="13.140625" style="3" customWidth="1"/>
    <col min="21" max="21" width="20.85546875" style="3" customWidth="1"/>
    <col min="22" max="22" width="1.28515625" style="3" customWidth="1"/>
    <col min="23" max="23" width="3.7109375" style="3" customWidth="1"/>
    <col min="24" max="29" width="11.28515625" style="3" customWidth="1"/>
    <col min="30" max="30" width="36" style="3" customWidth="1"/>
    <col min="31" max="31" width="30.140625" style="3" customWidth="1"/>
    <col min="32" max="33" width="8" style="3" customWidth="1"/>
    <col min="34" max="35" width="15" style="3" customWidth="1"/>
    <col min="36" max="37" width="8" style="3" customWidth="1"/>
    <col min="38" max="16384" width="15.140625" style="3"/>
  </cols>
  <sheetData>
    <row r="1" spans="1:37" ht="21.75" customHeight="1" x14ac:dyDescent="0.55000000000000004">
      <c r="A1" s="80" t="s">
        <v>37</v>
      </c>
      <c r="B1" s="81"/>
      <c r="C1" s="81"/>
      <c r="D1" s="81"/>
      <c r="E1" s="81"/>
      <c r="F1" s="81"/>
      <c r="G1" s="81"/>
      <c r="H1" s="81"/>
      <c r="I1" s="81"/>
      <c r="J1" s="81"/>
      <c r="K1" s="81"/>
      <c r="L1" s="81"/>
      <c r="M1" s="81"/>
      <c r="N1" s="81"/>
      <c r="O1" s="81"/>
      <c r="P1" s="81"/>
      <c r="Q1" s="81"/>
      <c r="R1" s="81"/>
      <c r="S1" s="81"/>
      <c r="T1" s="81"/>
      <c r="U1" s="81"/>
      <c r="V1" s="1"/>
      <c r="W1" s="2"/>
      <c r="X1" s="2"/>
      <c r="Y1" s="2"/>
      <c r="Z1" s="2"/>
      <c r="AA1" s="2"/>
      <c r="AB1" s="2"/>
      <c r="AC1" s="2"/>
      <c r="AD1" s="2"/>
      <c r="AE1" s="2"/>
      <c r="AF1" s="2"/>
      <c r="AG1" s="2"/>
      <c r="AH1" s="2"/>
      <c r="AI1" s="2"/>
      <c r="AJ1" s="2"/>
      <c r="AK1" s="2"/>
    </row>
    <row r="2" spans="1:37" x14ac:dyDescent="0.25">
      <c r="A2" s="82" t="s">
        <v>36</v>
      </c>
      <c r="B2" s="81"/>
      <c r="C2" s="81"/>
      <c r="D2" s="81"/>
      <c r="E2" s="81"/>
      <c r="F2" s="81"/>
      <c r="G2" s="81"/>
      <c r="H2" s="81"/>
      <c r="I2" s="81"/>
      <c r="J2" s="81"/>
      <c r="K2" s="81"/>
      <c r="L2" s="81"/>
      <c r="M2" s="81"/>
      <c r="N2" s="81"/>
      <c r="O2" s="81"/>
      <c r="P2" s="81"/>
      <c r="Q2" s="81"/>
      <c r="R2" s="81"/>
      <c r="S2" s="81"/>
      <c r="T2" s="81"/>
      <c r="U2" s="81"/>
      <c r="V2" s="4"/>
      <c r="W2" s="2"/>
      <c r="X2" s="2"/>
      <c r="Y2" s="2"/>
      <c r="Z2" s="2"/>
      <c r="AA2" s="2"/>
      <c r="AB2" s="2"/>
      <c r="AC2" s="2"/>
      <c r="AD2" s="2"/>
      <c r="AE2" s="2"/>
      <c r="AF2" s="2"/>
      <c r="AG2" s="2"/>
      <c r="AH2" s="2"/>
      <c r="AI2" s="2"/>
      <c r="AJ2" s="2"/>
      <c r="AK2" s="2"/>
    </row>
    <row r="3" spans="1:37" ht="8.25" customHeight="1"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row>
    <row r="4" spans="1:37" ht="36" customHeight="1" x14ac:dyDescent="0.25">
      <c r="A4" s="88" t="s">
        <v>0</v>
      </c>
      <c r="B4" s="86" t="s">
        <v>1</v>
      </c>
      <c r="C4" s="78"/>
      <c r="D4" s="78"/>
      <c r="E4" s="86" t="s">
        <v>2</v>
      </c>
      <c r="F4" s="78"/>
      <c r="G4" s="78"/>
      <c r="H4" s="5"/>
      <c r="I4" s="86" t="s">
        <v>3</v>
      </c>
      <c r="J4" s="78"/>
      <c r="K4" s="78"/>
      <c r="L4" s="5"/>
      <c r="M4" s="77" t="s">
        <v>4</v>
      </c>
      <c r="N4" s="78"/>
      <c r="O4" s="79"/>
      <c r="P4" s="68" t="s">
        <v>5</v>
      </c>
      <c r="Q4" s="69"/>
      <c r="R4" s="68" t="s">
        <v>6</v>
      </c>
      <c r="S4" s="72"/>
      <c r="T4" s="5" t="s">
        <v>7</v>
      </c>
      <c r="U4" s="90" t="s">
        <v>8</v>
      </c>
      <c r="V4" s="6"/>
      <c r="W4" s="7"/>
      <c r="X4" s="2"/>
      <c r="Y4" s="2"/>
      <c r="Z4" s="2"/>
      <c r="AA4" s="2"/>
      <c r="AB4" s="2"/>
      <c r="AC4" s="2"/>
      <c r="AD4" s="2"/>
      <c r="AE4" s="2"/>
      <c r="AF4" s="2"/>
      <c r="AG4" s="2"/>
      <c r="AH4" s="2"/>
      <c r="AI4" s="2"/>
      <c r="AJ4" s="2"/>
      <c r="AK4" s="2"/>
    </row>
    <row r="5" spans="1:37" ht="15" customHeight="1" x14ac:dyDescent="0.25">
      <c r="A5" s="81"/>
      <c r="B5" s="83">
        <v>2013</v>
      </c>
      <c r="C5" s="84"/>
      <c r="D5" s="84"/>
      <c r="E5" s="83">
        <v>2014</v>
      </c>
      <c r="F5" s="84"/>
      <c r="G5" s="85"/>
      <c r="H5" s="8"/>
      <c r="I5" s="83">
        <v>2015</v>
      </c>
      <c r="J5" s="84"/>
      <c r="K5" s="85"/>
      <c r="L5" s="8"/>
      <c r="M5" s="87">
        <v>2016</v>
      </c>
      <c r="N5" s="84"/>
      <c r="O5" s="85"/>
      <c r="P5" s="70" t="s">
        <v>9</v>
      </c>
      <c r="Q5" s="71"/>
      <c r="R5" s="73" t="s">
        <v>10</v>
      </c>
      <c r="S5" s="74"/>
      <c r="T5" s="8" t="s">
        <v>11</v>
      </c>
      <c r="U5" s="81"/>
      <c r="V5" s="9"/>
      <c r="W5" s="10"/>
      <c r="X5" s="10"/>
      <c r="Y5" s="10"/>
      <c r="Z5" s="10"/>
      <c r="AA5" s="10"/>
      <c r="AB5" s="10"/>
      <c r="AC5" s="10"/>
      <c r="AD5" s="10"/>
      <c r="AE5" s="10"/>
      <c r="AF5" s="10"/>
      <c r="AG5" s="10"/>
      <c r="AH5" s="10"/>
      <c r="AI5" s="10"/>
      <c r="AJ5" s="10"/>
      <c r="AK5" s="10"/>
    </row>
    <row r="6" spans="1:37" ht="16.5" customHeight="1" x14ac:dyDescent="0.25">
      <c r="A6" s="81"/>
      <c r="B6" s="11" t="s">
        <v>12</v>
      </c>
      <c r="C6" s="12" t="s">
        <v>13</v>
      </c>
      <c r="D6" s="11" t="s">
        <v>14</v>
      </c>
      <c r="E6" s="13" t="s">
        <v>12</v>
      </c>
      <c r="F6" s="14" t="s">
        <v>13</v>
      </c>
      <c r="G6" s="15" t="s">
        <v>14</v>
      </c>
      <c r="H6" s="14"/>
      <c r="I6" s="13" t="s">
        <v>12</v>
      </c>
      <c r="J6" s="14" t="s">
        <v>13</v>
      </c>
      <c r="K6" s="15" t="s">
        <v>14</v>
      </c>
      <c r="L6" s="14"/>
      <c r="M6" s="16" t="s">
        <v>12</v>
      </c>
      <c r="N6" s="14" t="s">
        <v>13</v>
      </c>
      <c r="O6" s="15" t="s">
        <v>14</v>
      </c>
      <c r="P6" s="17"/>
      <c r="Q6" s="17"/>
      <c r="R6" s="75"/>
      <c r="S6" s="76"/>
      <c r="T6" s="64"/>
      <c r="U6" s="81"/>
      <c r="V6" s="9"/>
      <c r="W6" s="10"/>
      <c r="X6" s="10"/>
      <c r="Y6" s="10"/>
      <c r="Z6" s="10"/>
      <c r="AA6" s="10"/>
      <c r="AB6" s="10"/>
      <c r="AC6" s="10"/>
      <c r="AD6" s="10"/>
      <c r="AE6" s="10"/>
      <c r="AF6" s="10"/>
      <c r="AG6" s="10"/>
      <c r="AH6" s="10"/>
      <c r="AI6" s="10"/>
      <c r="AJ6" s="10"/>
      <c r="AK6" s="10"/>
    </row>
    <row r="7" spans="1:37" ht="21" customHeight="1" x14ac:dyDescent="0.25">
      <c r="A7" s="89"/>
      <c r="B7" s="18" t="s">
        <v>15</v>
      </c>
      <c r="C7" s="18" t="s">
        <v>16</v>
      </c>
      <c r="D7" s="18" t="s">
        <v>17</v>
      </c>
      <c r="E7" s="19" t="s">
        <v>15</v>
      </c>
      <c r="F7" s="19" t="s">
        <v>16</v>
      </c>
      <c r="G7" s="20" t="s">
        <v>17</v>
      </c>
      <c r="H7" s="19"/>
      <c r="I7" s="19" t="s">
        <v>15</v>
      </c>
      <c r="J7" s="19" t="s">
        <v>16</v>
      </c>
      <c r="K7" s="20" t="s">
        <v>17</v>
      </c>
      <c r="L7" s="19"/>
      <c r="M7" s="21" t="s">
        <v>15</v>
      </c>
      <c r="N7" s="19" t="s">
        <v>16</v>
      </c>
      <c r="O7" s="20" t="s">
        <v>17</v>
      </c>
      <c r="P7" s="19">
        <v>2015</v>
      </c>
      <c r="Q7" s="19">
        <v>2016</v>
      </c>
      <c r="R7" s="22">
        <v>2015</v>
      </c>
      <c r="S7" s="62">
        <v>2016</v>
      </c>
      <c r="T7" s="23" t="s">
        <v>18</v>
      </c>
      <c r="U7" s="89"/>
      <c r="V7" s="24"/>
      <c r="W7" s="2"/>
      <c r="X7" s="10"/>
      <c r="Y7" s="2"/>
      <c r="Z7" s="2"/>
      <c r="AA7" s="2"/>
      <c r="AB7" s="2"/>
      <c r="AC7" s="2"/>
      <c r="AD7" s="2"/>
      <c r="AE7" s="2"/>
      <c r="AF7" s="2"/>
      <c r="AG7" s="2"/>
      <c r="AH7" s="2"/>
      <c r="AI7" s="2"/>
      <c r="AJ7" s="2"/>
      <c r="AK7" s="2"/>
    </row>
    <row r="8" spans="1:37" ht="26.25" customHeight="1" x14ac:dyDescent="0.55000000000000004">
      <c r="A8" s="7" t="s">
        <v>15</v>
      </c>
      <c r="B8" s="25">
        <f t="shared" ref="B8:D8" si="0">SUM(B9:B11)</f>
        <v>691476496.03999996</v>
      </c>
      <c r="C8" s="25">
        <f t="shared" si="0"/>
        <v>426114222.03999996</v>
      </c>
      <c r="D8" s="25">
        <f t="shared" si="0"/>
        <v>265362274</v>
      </c>
      <c r="E8" s="25">
        <f t="shared" ref="E8:G8" si="1">SUM(E9:E12)</f>
        <v>1198546537.5799999</v>
      </c>
      <c r="F8" s="25">
        <f t="shared" si="1"/>
        <v>694023678.84000003</v>
      </c>
      <c r="G8" s="26">
        <f t="shared" si="1"/>
        <v>504522858.74000001</v>
      </c>
      <c r="H8" s="25"/>
      <c r="I8" s="25">
        <f t="shared" ref="I8:K8" si="2">SUM(I9:I12)</f>
        <v>1260504500.8000002</v>
      </c>
      <c r="J8" s="25">
        <f t="shared" si="2"/>
        <v>725245803.5</v>
      </c>
      <c r="K8" s="26">
        <f t="shared" si="2"/>
        <v>535258697.30000001</v>
      </c>
      <c r="L8" s="25"/>
      <c r="M8" s="27">
        <f t="shared" ref="M8:O8" si="3">SUM(M9:M12)</f>
        <v>1279619059.45</v>
      </c>
      <c r="N8" s="25">
        <f t="shared" si="3"/>
        <v>733314099.45000005</v>
      </c>
      <c r="O8" s="26">
        <f t="shared" si="3"/>
        <v>546304960</v>
      </c>
      <c r="P8" s="25">
        <f>I8/I8*100</f>
        <v>100</v>
      </c>
      <c r="Q8" s="25">
        <f>M8/M8*100</f>
        <v>100</v>
      </c>
      <c r="R8" s="28">
        <f>K8/I8*100</f>
        <v>42.463846575739254</v>
      </c>
      <c r="S8" s="63">
        <f>O8/M8*100</f>
        <v>42.692780790152526</v>
      </c>
      <c r="T8" s="29">
        <f>((M8-I8)/I8)*100</f>
        <v>1.5164212930511936</v>
      </c>
      <c r="U8" s="30" t="s">
        <v>12</v>
      </c>
      <c r="V8" s="31"/>
      <c r="W8" s="7"/>
      <c r="X8" s="10"/>
      <c r="Y8" s="7"/>
      <c r="Z8" s="7"/>
      <c r="AA8" s="7"/>
      <c r="AB8" s="7"/>
      <c r="AC8" s="7"/>
      <c r="AD8" s="7"/>
      <c r="AE8" s="7"/>
      <c r="AF8" s="7"/>
      <c r="AG8" s="7"/>
      <c r="AH8" s="7"/>
      <c r="AI8" s="7"/>
      <c r="AJ8" s="7"/>
      <c r="AK8" s="7"/>
    </row>
    <row r="9" spans="1:37" ht="26.25" customHeight="1" x14ac:dyDescent="0.55000000000000004">
      <c r="A9" s="2" t="s">
        <v>19</v>
      </c>
      <c r="B9" s="32">
        <v>421204350.24000001</v>
      </c>
      <c r="C9" s="32">
        <v>210436362.22</v>
      </c>
      <c r="D9" s="32">
        <v>210767988.02000001</v>
      </c>
      <c r="E9" s="32">
        <v>431707102.44</v>
      </c>
      <c r="F9" s="32">
        <v>216136958.62</v>
      </c>
      <c r="G9" s="33">
        <v>215570143.81999999</v>
      </c>
      <c r="H9" s="32"/>
      <c r="I9" s="32">
        <f t="shared" ref="I9:I12" si="4">SUM(J9:K9)</f>
        <v>426999240</v>
      </c>
      <c r="J9" s="32">
        <v>211715913.83000001</v>
      </c>
      <c r="K9" s="33">
        <v>215283326.16999999</v>
      </c>
      <c r="L9" s="32"/>
      <c r="M9" s="34">
        <f t="shared" ref="M9:M12" si="5">SUM(N9:O9)</f>
        <v>432115940.75</v>
      </c>
      <c r="N9" s="35">
        <v>214009591.78999999</v>
      </c>
      <c r="O9" s="36">
        <v>218106348.96000001</v>
      </c>
      <c r="P9" s="32">
        <f>I9/$I$8*100</f>
        <v>33.875265001354443</v>
      </c>
      <c r="Q9" s="32">
        <f>M9/M8*100</f>
        <v>33.769107888696972</v>
      </c>
      <c r="R9" s="37">
        <f>K9/I9*100</f>
        <v>50.417730525703043</v>
      </c>
      <c r="S9" s="36">
        <f>O9/M9*100</f>
        <v>50.474034487467591</v>
      </c>
      <c r="T9" s="38">
        <f>((M9-I9)/I9)*100</f>
        <v>1.1982927065631312</v>
      </c>
      <c r="U9" s="39" t="s">
        <v>20</v>
      </c>
      <c r="V9" s="40"/>
      <c r="W9" s="7"/>
      <c r="X9" s="10"/>
      <c r="Y9" s="2"/>
      <c r="Z9" s="2"/>
      <c r="AA9" s="2"/>
      <c r="AB9" s="2"/>
      <c r="AC9" s="2"/>
      <c r="AD9" s="2"/>
      <c r="AE9" s="2"/>
      <c r="AF9" s="2"/>
      <c r="AG9" s="2"/>
      <c r="AH9" s="2"/>
      <c r="AI9" s="2"/>
      <c r="AJ9" s="2"/>
      <c r="AK9" s="2"/>
    </row>
    <row r="10" spans="1:37" ht="26.25" customHeight="1" x14ac:dyDescent="0.55000000000000004">
      <c r="A10" s="2" t="s">
        <v>21</v>
      </c>
      <c r="B10" s="32">
        <v>25887906.539999999</v>
      </c>
      <c r="C10" s="32">
        <v>21327068.57</v>
      </c>
      <c r="D10" s="32">
        <v>4560837.97</v>
      </c>
      <c r="E10" s="32">
        <v>35973669.200000003</v>
      </c>
      <c r="F10" s="32">
        <v>30648673.489999998</v>
      </c>
      <c r="G10" s="33">
        <v>5324995.71</v>
      </c>
      <c r="H10" s="32"/>
      <c r="I10" s="32">
        <f t="shared" si="4"/>
        <v>48839669.629999995</v>
      </c>
      <c r="J10" s="32">
        <v>40839450.539999999</v>
      </c>
      <c r="K10" s="33">
        <v>8000219.0899999999</v>
      </c>
      <c r="L10" s="32"/>
      <c r="M10" s="34">
        <f t="shared" si="5"/>
        <v>49178627.069999993</v>
      </c>
      <c r="N10" s="35">
        <v>41686392.159999996</v>
      </c>
      <c r="O10" s="36">
        <v>7492234.9100000001</v>
      </c>
      <c r="P10" s="32">
        <f>I10/$I$8*100</f>
        <v>3.8746128711958647</v>
      </c>
      <c r="Q10" s="32">
        <f>M10/M8*100</f>
        <v>3.8432240209940081</v>
      </c>
      <c r="R10" s="37">
        <f>K10/I10*100</f>
        <v>16.38057577090126</v>
      </c>
      <c r="S10" s="36">
        <f>O10/M10*100</f>
        <v>15.234737845234445</v>
      </c>
      <c r="T10" s="38">
        <f>((M10-I10)/I10)*100</f>
        <v>0.69402074700315219</v>
      </c>
      <c r="U10" s="39" t="s">
        <v>22</v>
      </c>
      <c r="V10" s="40"/>
      <c r="W10" s="7"/>
      <c r="X10" s="10"/>
      <c r="Y10" s="2"/>
      <c r="Z10" s="2"/>
      <c r="AA10" s="2"/>
      <c r="AB10" s="2"/>
      <c r="AC10" s="2"/>
      <c r="AD10" s="2"/>
      <c r="AE10" s="2"/>
      <c r="AF10" s="2"/>
      <c r="AG10" s="2"/>
      <c r="AH10" s="2"/>
      <c r="AI10" s="2"/>
      <c r="AJ10" s="2"/>
      <c r="AK10" s="2"/>
    </row>
    <row r="11" spans="1:37" ht="26.25" customHeight="1" x14ac:dyDescent="0.55000000000000004">
      <c r="A11" s="2" t="s">
        <v>23</v>
      </c>
      <c r="B11" s="32">
        <f>SUM(C11:D11)</f>
        <v>244384239.25999999</v>
      </c>
      <c r="C11" s="32">
        <v>194350791.25</v>
      </c>
      <c r="D11" s="32">
        <v>50033448.009999998</v>
      </c>
      <c r="E11" s="32">
        <v>259554054.59</v>
      </c>
      <c r="F11" s="32">
        <v>206837888.08000001</v>
      </c>
      <c r="G11" s="33">
        <v>52716166.509999998</v>
      </c>
      <c r="H11" s="32"/>
      <c r="I11" s="32">
        <f t="shared" si="4"/>
        <v>260118262.71000001</v>
      </c>
      <c r="J11" s="32">
        <v>206665528.78</v>
      </c>
      <c r="K11" s="33">
        <v>53452733.93</v>
      </c>
      <c r="L11" s="32"/>
      <c r="M11" s="34">
        <f t="shared" si="5"/>
        <v>264841953.94</v>
      </c>
      <c r="N11" s="35">
        <v>206983228.74000001</v>
      </c>
      <c r="O11" s="36">
        <v>57858725.200000003</v>
      </c>
      <c r="P11" s="32">
        <f>I11/$I$8*100</f>
        <v>20.636043944699257</v>
      </c>
      <c r="Q11" s="32">
        <f>M11/M8*100</f>
        <v>20.696937263018974</v>
      </c>
      <c r="R11" s="37">
        <f>K11/I11*100</f>
        <v>20.549396790948606</v>
      </c>
      <c r="S11" s="36">
        <f>O11/M11*100</f>
        <v>21.846510471338657</v>
      </c>
      <c r="T11" s="38">
        <f>((M11-I11)/I11)*100</f>
        <v>1.815978309553115</v>
      </c>
      <c r="U11" s="39" t="s">
        <v>24</v>
      </c>
      <c r="V11" s="40"/>
      <c r="W11" s="7"/>
      <c r="X11" s="10"/>
      <c r="Y11" s="2"/>
      <c r="Z11" s="2"/>
      <c r="AA11" s="2"/>
      <c r="AB11" s="2"/>
      <c r="AC11" s="2"/>
      <c r="AD11" s="2"/>
      <c r="AE11" s="2"/>
      <c r="AF11" s="2"/>
      <c r="AG11" s="2"/>
      <c r="AH11" s="2"/>
      <c r="AI11" s="2"/>
      <c r="AJ11" s="2"/>
      <c r="AK11" s="2"/>
    </row>
    <row r="12" spans="1:37" ht="26.25" customHeight="1" x14ac:dyDescent="0.55000000000000004">
      <c r="A12" s="66" t="s">
        <v>38</v>
      </c>
      <c r="B12" s="42">
        <v>0</v>
      </c>
      <c r="C12" s="42">
        <v>0</v>
      </c>
      <c r="D12" s="42">
        <v>0</v>
      </c>
      <c r="E12" s="42">
        <v>471311711.35000002</v>
      </c>
      <c r="F12" s="42">
        <v>240400158.65000001</v>
      </c>
      <c r="G12" s="43">
        <v>230911552.69999999</v>
      </c>
      <c r="H12" s="42"/>
      <c r="I12" s="42">
        <f t="shared" si="4"/>
        <v>524547328.46000004</v>
      </c>
      <c r="J12" s="42">
        <v>266024910.34999999</v>
      </c>
      <c r="K12" s="43">
        <v>258522418.11000001</v>
      </c>
      <c r="L12" s="42"/>
      <c r="M12" s="44">
        <f t="shared" si="5"/>
        <v>533482537.69</v>
      </c>
      <c r="N12" s="45">
        <v>270634886.75999999</v>
      </c>
      <c r="O12" s="46">
        <v>262847650.93000001</v>
      </c>
      <c r="P12" s="42">
        <f>I12/$I$8*100</f>
        <v>41.614078182750426</v>
      </c>
      <c r="Q12" s="65">
        <f>M12/M8*100</f>
        <v>41.690730827290032</v>
      </c>
      <c r="R12" s="47">
        <f>K12/I12*100</f>
        <v>49.284860313555853</v>
      </c>
      <c r="S12" s="46">
        <f>O12/M12*100</f>
        <v>49.270150822206944</v>
      </c>
      <c r="T12" s="48">
        <f>((M12-I12)/I12)*100</f>
        <v>1.7034133518957237</v>
      </c>
      <c r="U12" s="49" t="s">
        <v>25</v>
      </c>
      <c r="V12" s="50"/>
      <c r="W12" s="7"/>
      <c r="X12" s="10"/>
      <c r="Y12" s="2"/>
      <c r="Z12" s="2"/>
      <c r="AA12" s="2"/>
      <c r="AB12" s="2"/>
      <c r="AC12" s="2"/>
      <c r="AD12" s="2"/>
      <c r="AE12" s="2"/>
      <c r="AF12" s="2"/>
      <c r="AG12" s="2"/>
      <c r="AH12" s="2"/>
      <c r="AI12" s="2"/>
      <c r="AJ12" s="2"/>
      <c r="AK12" s="2"/>
    </row>
    <row r="13" spans="1:37" ht="15" customHeight="1" x14ac:dyDescent="0.25">
      <c r="A13" s="51" t="s">
        <v>26</v>
      </c>
      <c r="B13" s="51"/>
      <c r="C13" s="51"/>
      <c r="D13" s="51"/>
      <c r="E13" s="51"/>
      <c r="F13" s="51"/>
      <c r="G13" s="51"/>
      <c r="H13" s="51"/>
      <c r="I13" s="51"/>
      <c r="J13" s="51"/>
      <c r="K13" s="51"/>
      <c r="L13" s="51"/>
      <c r="M13" s="51"/>
      <c r="N13" s="51"/>
      <c r="O13" s="51"/>
      <c r="P13" s="51"/>
      <c r="Q13" s="51"/>
      <c r="R13" s="51"/>
      <c r="S13" s="51"/>
      <c r="T13" s="52"/>
      <c r="U13" s="51"/>
      <c r="V13" s="51"/>
      <c r="W13" s="51"/>
      <c r="X13" s="10"/>
      <c r="Y13" s="51"/>
      <c r="Z13" s="51"/>
      <c r="AA13" s="51"/>
      <c r="AB13" s="51"/>
      <c r="AC13" s="51"/>
      <c r="AD13" s="51"/>
      <c r="AE13" s="51"/>
      <c r="AF13" s="51"/>
      <c r="AG13" s="51"/>
      <c r="AH13" s="51"/>
      <c r="AI13" s="51"/>
      <c r="AJ13" s="51"/>
      <c r="AK13" s="51"/>
    </row>
    <row r="14" spans="1:37" ht="15" customHeight="1" x14ac:dyDescent="0.25">
      <c r="A14" s="51" t="s">
        <v>27</v>
      </c>
      <c r="B14" s="51"/>
      <c r="C14" s="51"/>
      <c r="D14" s="51"/>
      <c r="E14" s="51"/>
      <c r="F14" s="51"/>
      <c r="G14" s="51"/>
      <c r="H14" s="51"/>
      <c r="I14" s="51"/>
      <c r="J14" s="51"/>
      <c r="K14" s="51"/>
      <c r="L14" s="51"/>
      <c r="M14" s="51"/>
      <c r="N14" s="51"/>
      <c r="O14" s="51"/>
      <c r="P14" s="51"/>
      <c r="Q14" s="51"/>
      <c r="R14" s="51"/>
      <c r="S14" s="51"/>
      <c r="T14" s="52"/>
      <c r="U14" s="51"/>
      <c r="V14" s="51"/>
      <c r="W14" s="51"/>
      <c r="X14" s="10"/>
      <c r="Y14" s="51"/>
      <c r="Z14" s="51"/>
      <c r="AA14" s="51"/>
      <c r="AB14" s="51"/>
      <c r="AC14" s="51"/>
      <c r="AD14" s="51"/>
      <c r="AE14" s="51"/>
      <c r="AF14" s="51"/>
      <c r="AG14" s="51"/>
      <c r="AH14" s="51"/>
      <c r="AI14" s="51"/>
      <c r="AJ14" s="51"/>
      <c r="AK14" s="51"/>
    </row>
    <row r="15" spans="1:37" ht="15" customHeight="1" x14ac:dyDescent="0.25">
      <c r="A15" s="51" t="s">
        <v>28</v>
      </c>
      <c r="B15" s="53"/>
      <c r="C15" s="51"/>
      <c r="D15" s="51"/>
      <c r="E15" s="53"/>
      <c r="F15" s="51"/>
      <c r="G15" s="51"/>
      <c r="H15" s="51"/>
      <c r="I15" s="53"/>
      <c r="J15" s="51"/>
      <c r="K15" s="51"/>
      <c r="L15" s="51"/>
      <c r="M15" s="53"/>
      <c r="N15" s="51"/>
      <c r="O15" s="51"/>
      <c r="P15" s="51"/>
      <c r="Q15" s="51"/>
      <c r="R15" s="51"/>
      <c r="S15" s="51"/>
      <c r="T15" s="51"/>
      <c r="U15" s="51"/>
      <c r="V15" s="51"/>
      <c r="W15" s="51"/>
      <c r="X15" s="10"/>
      <c r="Y15" s="54"/>
      <c r="Z15" s="54"/>
      <c r="AA15" s="54"/>
      <c r="AB15" s="54"/>
      <c r="AC15" s="54"/>
      <c r="AD15" s="54"/>
      <c r="AE15" s="51"/>
      <c r="AF15" s="51"/>
      <c r="AG15" s="51"/>
      <c r="AH15" s="51"/>
      <c r="AI15" s="51"/>
      <c r="AJ15" s="51"/>
      <c r="AK15" s="51"/>
    </row>
    <row r="16" spans="1:37" ht="15" customHeight="1" x14ac:dyDescent="0.25">
      <c r="A16" s="51"/>
      <c r="B16" s="51"/>
      <c r="C16" s="51"/>
      <c r="D16" s="51"/>
      <c r="E16" s="51"/>
      <c r="F16" s="51"/>
      <c r="G16" s="51"/>
      <c r="H16" s="51"/>
      <c r="I16" s="51"/>
      <c r="J16" s="67" t="s">
        <v>29</v>
      </c>
      <c r="K16" s="67"/>
      <c r="L16" s="67"/>
      <c r="M16" s="67"/>
      <c r="N16" s="67"/>
      <c r="O16" s="67"/>
      <c r="P16" s="67"/>
      <c r="Q16" s="67"/>
      <c r="R16" s="67"/>
      <c r="S16" s="67"/>
      <c r="T16" s="67"/>
      <c r="U16" s="67"/>
      <c r="V16" s="55"/>
      <c r="W16" s="51"/>
      <c r="X16" s="10"/>
      <c r="Y16" s="51"/>
      <c r="Z16" s="51"/>
      <c r="AA16" s="51"/>
      <c r="AB16" s="51"/>
      <c r="AC16" s="51"/>
      <c r="AD16" s="51"/>
      <c r="AE16" s="51"/>
      <c r="AF16" s="51"/>
      <c r="AG16" s="51"/>
      <c r="AH16" s="51"/>
      <c r="AI16" s="51"/>
      <c r="AJ16" s="51"/>
      <c r="AK16" s="51"/>
    </row>
    <row r="17" spans="1:37" ht="26.25" customHeight="1" x14ac:dyDescent="0.25">
      <c r="A17" s="51"/>
      <c r="B17" s="51"/>
      <c r="C17" s="51"/>
      <c r="D17" s="51"/>
      <c r="E17" s="51"/>
      <c r="F17" s="51"/>
      <c r="G17" s="51"/>
      <c r="H17" s="51"/>
      <c r="I17" s="67" t="s">
        <v>30</v>
      </c>
      <c r="J17" s="67"/>
      <c r="K17" s="67"/>
      <c r="L17" s="67"/>
      <c r="M17" s="67"/>
      <c r="N17" s="67"/>
      <c r="O17" s="67"/>
      <c r="P17" s="67"/>
      <c r="Q17" s="67"/>
      <c r="R17" s="67"/>
      <c r="S17" s="67"/>
      <c r="T17" s="67"/>
      <c r="U17" s="67"/>
      <c r="V17" s="56" t="s">
        <v>31</v>
      </c>
      <c r="W17" s="51"/>
      <c r="X17" s="51"/>
      <c r="Y17" s="51"/>
      <c r="Z17" s="51"/>
      <c r="AA17" s="51"/>
      <c r="AB17" s="51"/>
      <c r="AC17" s="51"/>
      <c r="AD17" s="51"/>
      <c r="AE17" s="51"/>
      <c r="AF17" s="51"/>
      <c r="AG17" s="51"/>
      <c r="AH17" s="51"/>
      <c r="AI17" s="51"/>
      <c r="AJ17" s="51"/>
      <c r="AK17" s="51"/>
    </row>
    <row r="18" spans="1:37" ht="15" customHeight="1" x14ac:dyDescent="0.25">
      <c r="A18" s="10"/>
      <c r="B18" s="10"/>
      <c r="C18" s="10"/>
      <c r="D18" s="10"/>
      <c r="E18" s="10"/>
      <c r="F18" s="10"/>
      <c r="G18" s="10"/>
      <c r="H18" s="10"/>
      <c r="I18" s="10"/>
      <c r="J18" s="10"/>
      <c r="K18" s="10"/>
      <c r="L18" s="10"/>
      <c r="M18" s="10"/>
      <c r="N18" s="10"/>
      <c r="O18" s="10"/>
      <c r="P18" s="10"/>
      <c r="Q18" s="10"/>
      <c r="R18" s="10"/>
      <c r="S18" s="10"/>
      <c r="T18" s="10"/>
      <c r="U18" s="55" t="s">
        <v>32</v>
      </c>
      <c r="V18" s="55"/>
      <c r="W18" s="10"/>
      <c r="X18" s="10"/>
      <c r="Y18" s="10"/>
      <c r="Z18" s="10"/>
      <c r="AA18" s="10"/>
      <c r="AB18" s="10"/>
      <c r="AC18" s="10"/>
      <c r="AD18" s="10"/>
      <c r="AE18" s="10"/>
      <c r="AF18" s="10"/>
      <c r="AG18" s="10"/>
      <c r="AH18" s="10"/>
      <c r="AI18" s="10"/>
      <c r="AJ18" s="10"/>
      <c r="AK18" s="10"/>
    </row>
    <row r="19" spans="1:37" ht="15" customHeight="1" x14ac:dyDescent="0.25">
      <c r="A19" s="10"/>
      <c r="B19" s="10"/>
      <c r="C19" s="10"/>
      <c r="D19" s="10"/>
      <c r="E19" s="10"/>
      <c r="F19" s="10"/>
      <c r="G19" s="10"/>
      <c r="H19" s="10"/>
      <c r="I19" s="10"/>
      <c r="J19" s="10"/>
      <c r="K19" s="10"/>
      <c r="L19" s="10"/>
      <c r="M19" s="10"/>
      <c r="N19" s="10"/>
      <c r="O19" s="10"/>
      <c r="P19" s="10"/>
      <c r="Q19" s="10"/>
      <c r="R19" s="10"/>
      <c r="S19" s="10"/>
      <c r="T19" s="10"/>
      <c r="U19" s="55"/>
      <c r="V19" s="55"/>
      <c r="W19" s="10"/>
      <c r="X19" s="10"/>
      <c r="Y19" s="10"/>
      <c r="Z19" s="10"/>
      <c r="AA19" s="10"/>
      <c r="AB19" s="10"/>
      <c r="AC19" s="10"/>
      <c r="AD19" s="10"/>
      <c r="AE19" s="10"/>
      <c r="AF19" s="10"/>
      <c r="AG19" s="10"/>
      <c r="AH19" s="10"/>
      <c r="AI19" s="10"/>
      <c r="AJ19" s="10"/>
      <c r="AK19" s="10"/>
    </row>
    <row r="20" spans="1:37" ht="15" customHeight="1" x14ac:dyDescent="0.25">
      <c r="A20" s="10"/>
      <c r="B20" s="10"/>
      <c r="C20" s="10"/>
      <c r="D20" s="10"/>
      <c r="E20" s="10"/>
      <c r="F20" s="10"/>
      <c r="G20" s="10"/>
      <c r="H20" s="10"/>
      <c r="I20" s="10"/>
      <c r="J20" s="10"/>
      <c r="K20" s="10"/>
      <c r="L20" s="10"/>
      <c r="M20" s="10"/>
      <c r="N20" s="10"/>
      <c r="O20" s="10"/>
      <c r="P20" s="10"/>
      <c r="Q20" s="10"/>
      <c r="R20" s="10"/>
      <c r="S20" s="10"/>
      <c r="T20" s="10"/>
      <c r="U20" s="55"/>
      <c r="V20" s="55"/>
      <c r="W20" s="10"/>
      <c r="X20" s="10"/>
      <c r="Y20" s="10"/>
      <c r="Z20" s="10"/>
      <c r="AA20" s="10"/>
      <c r="AB20" s="10"/>
      <c r="AC20" s="10"/>
      <c r="AD20" s="10"/>
      <c r="AE20" s="10"/>
      <c r="AF20" s="10"/>
      <c r="AG20" s="10"/>
      <c r="AH20" s="10"/>
      <c r="AI20" s="10"/>
      <c r="AJ20" s="10"/>
      <c r="AK20" s="10"/>
    </row>
    <row r="21" spans="1:37" x14ac:dyDescent="0.25">
      <c r="A21" s="2"/>
      <c r="B21" s="2"/>
      <c r="C21" s="2"/>
      <c r="D21" s="2"/>
      <c r="E21" s="2"/>
      <c r="F21" s="2"/>
      <c r="G21" s="2"/>
      <c r="H21" s="2"/>
      <c r="I21" s="2"/>
      <c r="J21" s="2"/>
      <c r="K21" s="2"/>
      <c r="L21" s="2"/>
      <c r="M21" s="2"/>
      <c r="N21" s="2"/>
      <c r="O21" s="2"/>
      <c r="P21" s="2"/>
      <c r="Q21" s="2"/>
      <c r="R21" s="2"/>
      <c r="S21" s="2"/>
      <c r="T21" s="2"/>
      <c r="U21" s="2"/>
      <c r="V21" s="2"/>
      <c r="W21" s="51"/>
      <c r="X21" s="2"/>
      <c r="Y21" s="2"/>
      <c r="Z21" s="2"/>
      <c r="AA21" s="2"/>
      <c r="AB21" s="2"/>
      <c r="AC21" s="2"/>
      <c r="AD21" s="2"/>
      <c r="AE21" s="2"/>
      <c r="AF21" s="2"/>
      <c r="AG21" s="2"/>
      <c r="AH21" s="2"/>
      <c r="AI21" s="2"/>
      <c r="AJ21" s="2"/>
      <c r="AK21" s="2"/>
    </row>
    <row r="22" spans="1:37" ht="45" customHeight="1" x14ac:dyDescent="0.25">
      <c r="A22" s="2"/>
      <c r="B22" s="2"/>
      <c r="C22" s="2"/>
      <c r="D22" s="2"/>
      <c r="E22" s="2"/>
      <c r="F22" s="2"/>
      <c r="G22" s="2"/>
      <c r="H22" s="2"/>
      <c r="I22" s="2"/>
      <c r="J22" s="2"/>
      <c r="K22" s="2"/>
      <c r="L22" s="2"/>
      <c r="M22" s="2"/>
      <c r="N22" s="2"/>
      <c r="O22" s="2"/>
      <c r="P22" s="2"/>
      <c r="Q22" s="2"/>
      <c r="R22" s="2"/>
      <c r="S22" s="2"/>
      <c r="T22" s="2"/>
      <c r="U22" s="2"/>
      <c r="V22" s="2"/>
      <c r="W22" s="10"/>
      <c r="X22" s="2"/>
      <c r="Y22" s="2"/>
      <c r="Z22" s="2"/>
      <c r="AA22" s="2"/>
      <c r="AB22" s="2"/>
      <c r="AC22" s="2"/>
      <c r="AD22" s="2"/>
      <c r="AE22" s="2">
        <v>2016</v>
      </c>
      <c r="AF22" s="2" t="s">
        <v>33</v>
      </c>
      <c r="AG22" s="2"/>
      <c r="AH22" s="2" t="s">
        <v>34</v>
      </c>
      <c r="AI22" s="2"/>
      <c r="AJ22" s="57" t="s">
        <v>9</v>
      </c>
      <c r="AK22" s="58" t="s">
        <v>10</v>
      </c>
    </row>
    <row r="23" spans="1:37" x14ac:dyDescent="0.25">
      <c r="A23" s="2"/>
      <c r="B23" s="2"/>
      <c r="C23" s="2"/>
      <c r="D23" s="2"/>
      <c r="E23" s="2"/>
      <c r="F23" s="2"/>
      <c r="G23" s="2"/>
      <c r="H23" s="2"/>
      <c r="I23" s="2"/>
      <c r="J23" s="2"/>
      <c r="K23" s="2"/>
      <c r="L23" s="2"/>
      <c r="M23" s="2"/>
      <c r="N23" s="2"/>
      <c r="O23" s="2"/>
      <c r="P23" s="2"/>
      <c r="Q23" s="2"/>
      <c r="R23" s="2"/>
      <c r="S23" s="2"/>
      <c r="T23" s="2"/>
      <c r="U23" s="2"/>
      <c r="V23" s="2"/>
      <c r="W23" s="59"/>
      <c r="X23" s="2"/>
      <c r="Y23" s="2"/>
      <c r="Z23" s="2"/>
      <c r="AA23" s="2"/>
      <c r="AB23" s="2"/>
      <c r="AC23" s="2"/>
      <c r="AD23" s="2"/>
      <c r="AE23" s="2"/>
      <c r="AF23" s="2" t="s">
        <v>16</v>
      </c>
      <c r="AG23" s="2" t="s">
        <v>17</v>
      </c>
      <c r="AH23" s="2" t="s">
        <v>16</v>
      </c>
      <c r="AI23" s="2" t="s">
        <v>17</v>
      </c>
      <c r="AJ23" s="4">
        <v>2016</v>
      </c>
      <c r="AK23" s="4">
        <v>2016</v>
      </c>
    </row>
    <row r="24" spans="1:37" x14ac:dyDescent="0.2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t="s">
        <v>19</v>
      </c>
      <c r="AF24" s="60">
        <f>AH24/1000000</f>
        <v>214.00959179</v>
      </c>
      <c r="AG24" s="61">
        <f t="shared" ref="AG24" si="6">AI24/1000000</f>
        <v>218.10634896000002</v>
      </c>
      <c r="AH24" s="61">
        <f>N9</f>
        <v>214009591.78999999</v>
      </c>
      <c r="AI24" s="61">
        <f>O9</f>
        <v>218106348.96000001</v>
      </c>
      <c r="AJ24" s="32">
        <f>Q9</f>
        <v>33.769107888696972</v>
      </c>
      <c r="AK24" s="25">
        <f>S9</f>
        <v>50.474034487467591</v>
      </c>
    </row>
    <row r="25" spans="1:37" x14ac:dyDescent="0.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t="s">
        <v>21</v>
      </c>
      <c r="AF25" s="60">
        <f>AH25/1000000</f>
        <v>41.686392159999997</v>
      </c>
      <c r="AG25" s="61">
        <f t="shared" ref="AG25" si="7">AI25/1000000</f>
        <v>7.4922349100000005</v>
      </c>
      <c r="AH25" s="61">
        <f>N10</f>
        <v>41686392.159999996</v>
      </c>
      <c r="AI25" s="61">
        <f t="shared" ref="AI25" si="8">O10</f>
        <v>7492234.9100000001</v>
      </c>
      <c r="AJ25" s="32">
        <f t="shared" ref="AJ25:AJ27" si="9">Q10</f>
        <v>3.8432240209940081</v>
      </c>
      <c r="AK25" s="25">
        <f t="shared" ref="AK25:AK27" si="10">S10</f>
        <v>15.234737845234445</v>
      </c>
    </row>
    <row r="26" spans="1:37"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41" t="s">
        <v>23</v>
      </c>
      <c r="AF26" s="61">
        <f t="shared" ref="AF26:AG26" si="11">AH26/1000000</f>
        <v>206.98322874000002</v>
      </c>
      <c r="AG26" s="61">
        <f t="shared" si="11"/>
        <v>57.858725200000002</v>
      </c>
      <c r="AH26" s="61">
        <f>N11</f>
        <v>206983228.74000001</v>
      </c>
      <c r="AI26" s="61">
        <f t="shared" ref="AI26" si="12">O11</f>
        <v>57858725.200000003</v>
      </c>
      <c r="AJ26" s="32">
        <f t="shared" si="9"/>
        <v>20.696937263018974</v>
      </c>
      <c r="AK26" s="25">
        <f t="shared" si="10"/>
        <v>21.846510471338657</v>
      </c>
    </row>
    <row r="27" spans="1:37" x14ac:dyDescent="0.2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t="s">
        <v>35</v>
      </c>
      <c r="AF27" s="61">
        <f t="shared" ref="AF27:AG27" si="13">AH27/1000000</f>
        <v>270.63488675999997</v>
      </c>
      <c r="AG27" s="61">
        <f t="shared" si="13"/>
        <v>262.84765092999999</v>
      </c>
      <c r="AH27" s="61">
        <f>N12</f>
        <v>270634886.75999999</v>
      </c>
      <c r="AI27" s="61">
        <f>O12</f>
        <v>262847650.93000001</v>
      </c>
      <c r="AJ27" s="32">
        <f t="shared" si="9"/>
        <v>41.690730827290032</v>
      </c>
      <c r="AK27" s="25">
        <f t="shared" si="10"/>
        <v>49.270150822206944</v>
      </c>
    </row>
    <row r="28" spans="1:37"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row>
    <row r="29" spans="1:37" x14ac:dyDescent="0.2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row>
    <row r="30" spans="1:37"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row>
    <row r="31" spans="1:37" x14ac:dyDescent="0.2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row>
    <row r="32" spans="1:37" x14ac:dyDescent="0.2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row>
    <row r="33" spans="1:37" x14ac:dyDescent="0.2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row>
    <row r="34" spans="1:37" x14ac:dyDescent="0.2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row>
    <row r="35" spans="1:37"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row>
    <row r="36" spans="1:37"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row>
    <row r="37" spans="1:37"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row>
    <row r="38" spans="1:37"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row>
    <row r="39" spans="1:37"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row>
    <row r="40" spans="1:37"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row>
    <row r="41" spans="1:37"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row>
    <row r="42" spans="1:37"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row>
    <row r="43" spans="1:37"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row>
    <row r="44" spans="1:37"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row>
    <row r="45" spans="1:37"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row>
    <row r="46" spans="1:37"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row>
    <row r="47" spans="1:37"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row>
    <row r="48" spans="1:37"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row>
    <row r="49" spans="1:37"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row>
    <row r="50" spans="1:37"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row>
    <row r="51" spans="1:37"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row>
    <row r="52" spans="1:37"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row>
    <row r="53" spans="1:37"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row>
    <row r="54" spans="1:37"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row>
    <row r="55" spans="1:37"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row>
    <row r="56" spans="1:37"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row>
    <row r="57" spans="1:37"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row>
    <row r="58" spans="1:37"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row>
    <row r="59" spans="1:37"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row>
    <row r="60" spans="1:37"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row>
    <row r="61" spans="1:37"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row>
    <row r="62" spans="1:37"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row>
    <row r="63" spans="1:37"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row>
    <row r="64" spans="1:37"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row>
    <row r="65" spans="1:37"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row>
    <row r="66" spans="1:37"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row>
    <row r="67" spans="1:37"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row>
    <row r="68" spans="1:37"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row>
    <row r="69" spans="1:37"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row>
    <row r="70" spans="1:37"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row>
    <row r="71" spans="1:37"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row>
    <row r="72" spans="1:37"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row>
    <row r="73" spans="1:37"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row>
    <row r="74" spans="1:37"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row>
    <row r="75" spans="1:37"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row>
    <row r="76" spans="1:37"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row>
    <row r="77" spans="1:37"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row>
    <row r="78" spans="1:37"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row>
    <row r="79" spans="1:37"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row>
    <row r="80" spans="1:37"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row>
    <row r="81" spans="1:37"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row>
    <row r="82" spans="1:37"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row>
    <row r="83" spans="1:37"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row>
    <row r="84" spans="1:37"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row>
    <row r="85" spans="1:37"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row>
    <row r="86" spans="1:37"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row>
    <row r="87" spans="1:37"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row>
    <row r="88" spans="1:37"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row>
    <row r="89" spans="1:37"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row>
    <row r="90" spans="1:37"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row>
    <row r="91" spans="1:37"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row>
    <row r="92" spans="1:37"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row>
    <row r="93" spans="1:37"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row>
    <row r="94" spans="1:37"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row>
    <row r="95" spans="1:37"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row>
    <row r="96" spans="1:37"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row>
    <row r="97" spans="1:37"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row>
    <row r="98" spans="1:37"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row>
    <row r="99" spans="1:37"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row>
    <row r="100" spans="1:37"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row>
    <row r="101" spans="1:37"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row>
    <row r="102" spans="1:37"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row>
    <row r="103" spans="1:37"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row>
    <row r="104" spans="1:37"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row>
    <row r="105" spans="1:37"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row>
    <row r="106" spans="1:37"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row>
    <row r="107" spans="1:37"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row>
    <row r="108" spans="1:37"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row>
    <row r="109" spans="1:37"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row>
    <row r="110" spans="1:37"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row>
    <row r="111" spans="1:37"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row>
    <row r="112" spans="1:37"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row>
    <row r="113" spans="1:37"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row>
    <row r="114" spans="1:37"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row>
    <row r="115" spans="1:37"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row>
    <row r="116" spans="1:37"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row>
    <row r="117" spans="1:37"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row>
    <row r="118" spans="1:37"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row>
    <row r="119" spans="1:37"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row>
    <row r="120" spans="1:37"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row>
    <row r="121" spans="1:37"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row>
    <row r="122" spans="1:37"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row>
    <row r="123" spans="1:37"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row>
    <row r="124" spans="1:37"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row>
    <row r="125" spans="1:37"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row>
    <row r="126" spans="1:37"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row>
    <row r="127" spans="1:37"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row>
    <row r="128" spans="1:37"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row>
    <row r="129" spans="1:37"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row>
    <row r="130" spans="1:37"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row>
    <row r="131" spans="1:37"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row>
    <row r="132" spans="1:37"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row>
    <row r="133" spans="1:37"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row>
    <row r="134" spans="1:37"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row>
    <row r="135" spans="1:37"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row>
    <row r="136" spans="1:37"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row>
    <row r="137" spans="1:37"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row>
    <row r="138" spans="1:37"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row>
    <row r="139" spans="1:37"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row>
    <row r="140" spans="1:37"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row>
    <row r="141" spans="1:37"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row>
    <row r="142" spans="1:37"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row>
    <row r="143" spans="1:37"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row>
    <row r="144" spans="1:37"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row>
    <row r="145" spans="1:37"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row>
    <row r="146" spans="1:37"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row>
    <row r="147" spans="1:37"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row>
    <row r="148" spans="1:37"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row>
    <row r="149" spans="1:37"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row>
    <row r="150" spans="1:37"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row>
    <row r="151" spans="1:37"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row>
    <row r="152" spans="1:37"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row>
    <row r="153" spans="1:37"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row>
    <row r="154" spans="1:37"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row>
    <row r="155" spans="1:37"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row>
    <row r="156" spans="1:37"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row>
    <row r="157" spans="1:37"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row>
    <row r="158" spans="1:37"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row>
    <row r="159" spans="1:37"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row>
    <row r="160" spans="1:37"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row>
    <row r="161" spans="1:37"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row>
    <row r="162" spans="1:37"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row>
    <row r="163" spans="1:37"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row>
    <row r="164" spans="1:37"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row>
    <row r="165" spans="1:37"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row>
    <row r="166" spans="1:37"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row>
    <row r="167" spans="1:37"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row>
    <row r="168" spans="1:37"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row>
    <row r="169" spans="1:37"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row>
    <row r="170" spans="1:37"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row>
    <row r="171" spans="1:37"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row>
    <row r="172" spans="1:37"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row>
    <row r="173" spans="1:37"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row>
    <row r="174" spans="1:37"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row>
    <row r="175" spans="1:37"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row>
    <row r="176" spans="1:37"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row>
    <row r="177" spans="1:37"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row>
    <row r="178" spans="1:37"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row>
    <row r="179" spans="1:37"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row>
    <row r="180" spans="1:37"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row>
    <row r="181" spans="1:37"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row>
    <row r="182" spans="1:37"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row>
    <row r="183" spans="1:37"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row>
    <row r="184" spans="1:37"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row>
    <row r="185" spans="1:37"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row>
    <row r="186" spans="1:37"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row>
    <row r="187" spans="1:37"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row>
    <row r="188" spans="1:37"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row>
    <row r="189" spans="1:37"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row>
    <row r="190" spans="1:37"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row>
    <row r="191" spans="1:37"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row>
    <row r="192" spans="1:37"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row>
    <row r="193" spans="1:37"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row>
    <row r="194" spans="1:37"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row>
    <row r="195" spans="1:37"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row>
    <row r="196" spans="1:37"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row>
    <row r="197" spans="1:37"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row>
    <row r="198" spans="1:37"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row>
    <row r="199" spans="1:37"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row>
    <row r="200" spans="1:37"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row>
    <row r="201" spans="1:37"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row>
    <row r="202" spans="1:37"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row>
    <row r="203" spans="1:37"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row>
    <row r="204" spans="1:37"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row>
    <row r="205" spans="1:37"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row>
    <row r="206" spans="1:37"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row>
    <row r="207" spans="1:37"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row>
    <row r="208" spans="1:37"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row>
    <row r="209" spans="1:37"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row>
    <row r="210" spans="1:37"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row>
    <row r="211" spans="1:37"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row>
    <row r="212" spans="1:37"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row>
    <row r="213" spans="1:37"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row>
    <row r="214" spans="1:37"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row>
    <row r="215" spans="1:37"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row>
    <row r="216" spans="1:37"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row>
    <row r="217" spans="1:37"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row>
    <row r="218" spans="1:37"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row>
    <row r="219" spans="1:37"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row>
    <row r="220" spans="1:37"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row>
    <row r="221" spans="1:37"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row>
    <row r="222" spans="1:37"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row>
    <row r="223" spans="1:37"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row>
    <row r="224" spans="1:37"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row>
    <row r="225" spans="1:37"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row>
    <row r="226" spans="1:37"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row>
    <row r="227" spans="1:37"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row>
    <row r="228" spans="1:37"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row>
    <row r="229" spans="1:37"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row>
    <row r="230" spans="1:37"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row>
    <row r="231" spans="1:37"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row>
    <row r="232" spans="1:37"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row>
    <row r="233" spans="1:37"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row>
    <row r="234" spans="1:37"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row>
    <row r="235" spans="1:37"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row>
    <row r="236" spans="1:37"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row>
    <row r="237" spans="1:37"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row>
    <row r="238" spans="1:37"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row>
    <row r="239" spans="1:37"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row>
    <row r="240" spans="1:37"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row>
    <row r="241" spans="1:37"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row>
    <row r="242" spans="1:37"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row>
    <row r="243" spans="1:37"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row>
    <row r="244" spans="1:37"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row>
    <row r="245" spans="1:37"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row>
    <row r="246" spans="1:37"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row>
    <row r="247" spans="1:37"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row>
    <row r="248" spans="1:37"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row>
    <row r="249" spans="1:37"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row>
    <row r="250" spans="1:37"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row>
    <row r="251" spans="1:37"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row>
    <row r="252" spans="1:37"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row>
    <row r="253" spans="1:37"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row>
    <row r="254" spans="1:37"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row>
    <row r="255" spans="1:37"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row>
    <row r="256" spans="1:37"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row>
    <row r="257" spans="1:37"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row>
    <row r="258" spans="1:37"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row>
    <row r="259" spans="1:37"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row>
    <row r="260" spans="1:37"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row>
    <row r="261" spans="1:37"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row>
    <row r="262" spans="1:37"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row>
    <row r="263" spans="1:37"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row>
    <row r="264" spans="1:37"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row>
    <row r="265" spans="1:37"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row>
    <row r="266" spans="1:37"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row>
    <row r="267" spans="1:37"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row>
    <row r="268" spans="1:37"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row>
    <row r="269" spans="1:37"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row>
    <row r="270" spans="1:37"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row>
    <row r="271" spans="1:37"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row>
    <row r="272" spans="1:37"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row>
    <row r="273" spans="1:37"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row>
    <row r="274" spans="1:37"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row>
    <row r="275" spans="1:37"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row>
    <row r="276" spans="1:37"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row>
    <row r="277" spans="1:37"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row>
    <row r="278" spans="1:37"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row>
    <row r="279" spans="1:37"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row>
    <row r="280" spans="1:37"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row>
    <row r="281" spans="1:37"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row>
    <row r="282" spans="1:37"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row>
    <row r="283" spans="1:37"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row>
    <row r="284" spans="1:37"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row>
    <row r="285" spans="1:37"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row>
    <row r="286" spans="1:37"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row>
    <row r="287" spans="1:37"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row>
    <row r="288" spans="1:37"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row>
    <row r="289" spans="1:37"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row>
    <row r="290" spans="1:37"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row>
    <row r="291" spans="1:37"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row>
    <row r="292" spans="1:37"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row>
    <row r="293" spans="1:37"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row>
    <row r="294" spans="1:37"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row>
    <row r="295" spans="1:37"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row>
    <row r="296" spans="1:37"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row>
    <row r="297" spans="1:37"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row>
    <row r="298" spans="1:37"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row>
    <row r="299" spans="1:37"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row>
    <row r="300" spans="1:37"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row>
    <row r="301" spans="1:37"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row>
    <row r="302" spans="1:37"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row>
    <row r="303" spans="1:37"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row>
    <row r="304" spans="1:37"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row>
    <row r="305" spans="1:37"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row>
    <row r="306" spans="1:37"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row>
    <row r="307" spans="1:37"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row>
    <row r="308" spans="1:37"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row>
    <row r="309" spans="1:37"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row>
    <row r="310" spans="1:37"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row>
    <row r="311" spans="1:37"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row>
    <row r="312" spans="1:37"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row>
    <row r="313" spans="1:37"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row>
    <row r="314" spans="1:37"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row>
    <row r="315" spans="1:37"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row>
    <row r="316" spans="1:37"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row>
    <row r="317" spans="1:37"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row>
    <row r="318" spans="1:37"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row>
    <row r="319" spans="1:37"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row>
    <row r="320" spans="1:37"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row>
    <row r="321" spans="1:37"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row>
    <row r="322" spans="1:37"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row>
    <row r="323" spans="1:37"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row>
    <row r="324" spans="1:37"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row>
    <row r="325" spans="1:37"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row>
    <row r="326" spans="1:37"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row>
    <row r="327" spans="1:37"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row>
    <row r="328" spans="1:37"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row>
    <row r="329" spans="1:37"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row>
    <row r="330" spans="1:37"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row>
    <row r="331" spans="1:37"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row>
    <row r="332" spans="1:37"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row>
    <row r="333" spans="1:37"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row>
    <row r="334" spans="1:37"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row>
    <row r="335" spans="1:37"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row>
    <row r="336" spans="1:37"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row>
    <row r="337" spans="1:37"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row>
    <row r="338" spans="1:37"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row>
    <row r="339" spans="1:37"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row>
    <row r="340" spans="1:37"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row>
    <row r="341" spans="1:37"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row>
    <row r="342" spans="1:37"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row>
    <row r="343" spans="1:37"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row>
    <row r="344" spans="1:37"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row>
    <row r="345" spans="1:37"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row>
    <row r="346" spans="1:37"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row>
    <row r="347" spans="1:37"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row>
    <row r="348" spans="1:37"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row>
    <row r="349" spans="1:37"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row>
    <row r="350" spans="1:37"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row>
    <row r="351" spans="1:37"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row>
    <row r="352" spans="1:37"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row>
    <row r="353" spans="1:37"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row>
    <row r="354" spans="1:37"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row>
    <row r="355" spans="1:37"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row>
    <row r="356" spans="1:37"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row>
    <row r="357" spans="1:37"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row>
    <row r="358" spans="1:37"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row>
    <row r="359" spans="1:37"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row>
    <row r="360" spans="1:37"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row>
    <row r="361" spans="1:37"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row>
    <row r="362" spans="1:37"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row>
    <row r="363" spans="1:37"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row>
    <row r="364" spans="1:37"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row>
    <row r="365" spans="1:37"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row>
    <row r="366" spans="1:37"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row>
    <row r="367" spans="1:37"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row>
    <row r="368" spans="1:37"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row>
    <row r="369" spans="1:37"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row>
    <row r="370" spans="1:37"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row>
    <row r="371" spans="1:37"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row>
    <row r="372" spans="1:37"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row>
    <row r="373" spans="1:37"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row>
    <row r="374" spans="1:37"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row>
    <row r="375" spans="1:37"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row>
    <row r="376" spans="1:37"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row>
    <row r="377" spans="1:37"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row>
    <row r="378" spans="1:37"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row>
    <row r="379" spans="1:37"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row>
    <row r="380" spans="1:37"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row>
    <row r="381" spans="1:37"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row>
    <row r="382" spans="1:37"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row>
    <row r="383" spans="1:37"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row>
    <row r="384" spans="1:37"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row>
    <row r="385" spans="1:37"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row>
    <row r="386" spans="1:37"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row>
    <row r="387" spans="1:37"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row>
    <row r="388" spans="1:37"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row>
    <row r="389" spans="1:37"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row>
    <row r="390" spans="1:37"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row>
    <row r="391" spans="1:37"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row>
    <row r="392" spans="1:37"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row>
    <row r="393" spans="1:37"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row>
    <row r="394" spans="1:37"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row>
    <row r="395" spans="1:37"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row>
    <row r="396" spans="1:37"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row>
    <row r="397" spans="1:37"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row>
    <row r="398" spans="1:37"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row>
    <row r="399" spans="1:37"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row>
    <row r="400" spans="1:37"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row>
    <row r="401" spans="1:37"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row>
    <row r="402" spans="1:37"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row>
    <row r="403" spans="1:37"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row>
    <row r="404" spans="1:37"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row>
    <row r="405" spans="1:37"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row>
    <row r="406" spans="1:37"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row>
    <row r="407" spans="1:37"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row>
    <row r="408" spans="1:37"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row>
    <row r="409" spans="1:37"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row>
    <row r="410" spans="1:37"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row>
    <row r="411" spans="1:37"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row>
    <row r="412" spans="1:37"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row>
    <row r="413" spans="1:37"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row>
    <row r="414" spans="1:37"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row>
    <row r="415" spans="1:37"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row>
    <row r="416" spans="1:37"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row>
    <row r="417" spans="1:37"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row>
    <row r="418" spans="1:37"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row>
    <row r="419" spans="1:37"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row>
    <row r="420" spans="1:37"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row>
    <row r="421" spans="1:37"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row>
    <row r="422" spans="1:37"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row>
    <row r="423" spans="1:37"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row>
    <row r="424" spans="1:37"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row>
    <row r="425" spans="1:37"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row>
    <row r="426" spans="1:37"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row>
    <row r="427" spans="1:37"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row>
    <row r="428" spans="1:37"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row>
    <row r="429" spans="1:37"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row>
    <row r="430" spans="1:37"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row>
    <row r="431" spans="1:37"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row>
    <row r="432" spans="1:37"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row>
    <row r="433" spans="1:37"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row>
    <row r="434" spans="1:37"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row>
    <row r="435" spans="1:37"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row>
    <row r="436" spans="1:37"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row>
    <row r="437" spans="1:37"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row>
    <row r="438" spans="1:37"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row>
    <row r="439" spans="1:37"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row>
    <row r="440" spans="1:37"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row>
    <row r="441" spans="1:37"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row>
    <row r="442" spans="1:37"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row>
    <row r="443" spans="1:37"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row>
    <row r="444" spans="1:37"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row>
    <row r="445" spans="1:37"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row>
    <row r="446" spans="1:37"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row>
    <row r="447" spans="1:37"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row>
    <row r="448" spans="1:37"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row>
    <row r="449" spans="1:37"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row>
    <row r="450" spans="1:37"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row>
    <row r="451" spans="1:37"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row>
    <row r="452" spans="1:37"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row>
    <row r="453" spans="1:37"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row>
    <row r="454" spans="1:37"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row>
    <row r="455" spans="1:37"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row>
    <row r="456" spans="1:37"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row>
    <row r="457" spans="1:37"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row>
    <row r="458" spans="1:37"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row>
    <row r="459" spans="1:37"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row>
    <row r="460" spans="1:37"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row>
    <row r="461" spans="1:37"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row>
    <row r="462" spans="1:37"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row>
    <row r="463" spans="1:37"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row>
    <row r="464" spans="1:37"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row>
    <row r="465" spans="1:37"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row>
    <row r="466" spans="1:37"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row>
    <row r="467" spans="1:37"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row>
    <row r="468" spans="1:37"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row>
    <row r="469" spans="1:37"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row>
    <row r="470" spans="1:37"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row>
    <row r="471" spans="1:37"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row>
    <row r="472" spans="1:37"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row>
    <row r="473" spans="1:37"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row>
    <row r="474" spans="1:37"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row>
    <row r="475" spans="1:37"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row>
    <row r="476" spans="1:37"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row>
    <row r="477" spans="1:37"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row>
    <row r="478" spans="1:37"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row>
    <row r="479" spans="1:37"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row>
    <row r="480" spans="1:37"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row>
    <row r="481" spans="1:37"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row>
    <row r="482" spans="1:37"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row>
    <row r="483" spans="1:37"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row>
    <row r="484" spans="1:37"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row>
    <row r="485" spans="1:37"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row>
    <row r="486" spans="1:37"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row>
    <row r="487" spans="1:37"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row>
    <row r="488" spans="1:37"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row>
    <row r="489" spans="1:37"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row>
    <row r="490" spans="1:37"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row>
    <row r="491" spans="1:37"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row>
    <row r="492" spans="1:37"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row>
    <row r="493" spans="1:37"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row>
    <row r="494" spans="1:37"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row>
    <row r="495" spans="1:37"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row>
    <row r="496" spans="1:37"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row>
    <row r="497" spans="1:37"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row>
    <row r="498" spans="1:37"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row>
    <row r="499" spans="1:37"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row>
    <row r="500" spans="1:37"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row>
    <row r="501" spans="1:37"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row>
    <row r="502" spans="1:37"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row>
    <row r="503" spans="1:37"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row>
    <row r="504" spans="1:37"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row>
    <row r="505" spans="1:37"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row>
    <row r="506" spans="1:37"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row>
    <row r="507" spans="1:37"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row>
    <row r="508" spans="1:37"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row>
    <row r="509" spans="1:37"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row>
    <row r="510" spans="1:37"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row>
    <row r="511" spans="1:37"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row>
    <row r="512" spans="1:37"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row>
    <row r="513" spans="1:37"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row>
    <row r="514" spans="1:37"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row>
    <row r="515" spans="1:37"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row>
    <row r="516" spans="1:37"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row>
    <row r="517" spans="1:37"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row>
    <row r="518" spans="1:37"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row>
    <row r="519" spans="1:37"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row>
    <row r="520" spans="1:37"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row>
    <row r="521" spans="1:37"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row>
    <row r="522" spans="1:37"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row>
    <row r="523" spans="1:37"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row>
    <row r="524" spans="1:37"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row>
    <row r="525" spans="1:37"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row>
    <row r="526" spans="1:37"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row>
    <row r="527" spans="1:37"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row>
    <row r="528" spans="1:37"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row>
    <row r="529" spans="1:37"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row>
    <row r="530" spans="1:37"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row>
    <row r="531" spans="1:37"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row>
    <row r="532" spans="1:37"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row>
    <row r="533" spans="1:37"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row>
    <row r="534" spans="1:37"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row>
    <row r="535" spans="1:37"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row>
    <row r="536" spans="1:37"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row>
    <row r="537" spans="1:37"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row>
    <row r="538" spans="1:37"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row>
    <row r="539" spans="1:37"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row>
    <row r="540" spans="1:37"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row>
    <row r="541" spans="1:37"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row>
    <row r="542" spans="1:37"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row>
    <row r="543" spans="1:37"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row>
    <row r="544" spans="1:37"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row>
    <row r="545" spans="1:37"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row>
    <row r="546" spans="1:37"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row>
    <row r="547" spans="1:37"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row>
    <row r="548" spans="1:37"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row>
    <row r="549" spans="1:37"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row>
    <row r="550" spans="1:37"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row>
    <row r="551" spans="1:37"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row>
    <row r="552" spans="1:37"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row>
    <row r="553" spans="1:37"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row>
    <row r="554" spans="1:37"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row>
    <row r="555" spans="1:37"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row>
    <row r="556" spans="1:37"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row>
    <row r="557" spans="1:37"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row>
    <row r="558" spans="1:37"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row>
    <row r="559" spans="1:37"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row>
    <row r="560" spans="1:37"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row>
    <row r="561" spans="1:37"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row>
    <row r="562" spans="1:37"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row>
    <row r="563" spans="1:37"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row>
    <row r="564" spans="1:37"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row>
    <row r="565" spans="1:37"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row>
    <row r="566" spans="1:37"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row>
    <row r="567" spans="1:37"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row>
    <row r="568" spans="1:37"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row>
    <row r="569" spans="1:37"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row>
    <row r="570" spans="1:37"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row>
    <row r="571" spans="1:37"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row>
    <row r="572" spans="1:37"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row>
    <row r="573" spans="1:37"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row>
    <row r="574" spans="1:37"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row>
    <row r="575" spans="1:37"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row>
    <row r="576" spans="1:37"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row>
    <row r="577" spans="1:37"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row>
    <row r="578" spans="1:37"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row>
    <row r="579" spans="1:37"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row>
    <row r="580" spans="1:37"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row>
    <row r="581" spans="1:37"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row>
    <row r="582" spans="1:37"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row>
    <row r="583" spans="1:37"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row>
    <row r="584" spans="1:37"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row>
    <row r="585" spans="1:37"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row>
    <row r="586" spans="1:37"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row>
    <row r="587" spans="1:37"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row>
    <row r="588" spans="1:37"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row>
    <row r="589" spans="1:37"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row>
    <row r="590" spans="1:37"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row>
    <row r="591" spans="1:37"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row>
    <row r="592" spans="1:37"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row>
    <row r="593" spans="1:37"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row>
    <row r="594" spans="1:37"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row>
    <row r="595" spans="1:37"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row>
    <row r="596" spans="1:37"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row>
    <row r="597" spans="1:37"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row>
    <row r="598" spans="1:37"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row>
    <row r="599" spans="1:37"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row>
    <row r="600" spans="1:37"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row>
    <row r="601" spans="1:37"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row>
    <row r="602" spans="1:37"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row>
    <row r="603" spans="1:37"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row>
    <row r="604" spans="1:37"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row>
    <row r="605" spans="1:37"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row>
    <row r="606" spans="1:37"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row>
    <row r="607" spans="1:37"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row>
    <row r="608" spans="1:37"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row>
    <row r="609" spans="1:37"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row>
    <row r="610" spans="1:37"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row>
    <row r="611" spans="1:37"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row>
    <row r="612" spans="1:37"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row>
    <row r="613" spans="1:37"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row>
    <row r="614" spans="1:37"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row>
    <row r="615" spans="1:37"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row>
    <row r="616" spans="1:37"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row>
    <row r="617" spans="1:37"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row>
    <row r="618" spans="1:37"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row>
    <row r="619" spans="1:37"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row>
    <row r="620" spans="1:37"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row>
    <row r="621" spans="1:37"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row>
    <row r="622" spans="1:37"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row>
    <row r="623" spans="1:37"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row>
    <row r="624" spans="1:37"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row>
    <row r="625" spans="1:37"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row>
    <row r="626" spans="1:37"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row>
    <row r="627" spans="1:37"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row>
    <row r="628" spans="1:37"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row>
    <row r="629" spans="1:37"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row>
    <row r="630" spans="1:37"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row>
    <row r="631" spans="1:37"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row>
    <row r="632" spans="1:37"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row>
    <row r="633" spans="1:37"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row>
    <row r="634" spans="1:37"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row>
    <row r="635" spans="1:37"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row>
    <row r="636" spans="1:37"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row>
    <row r="637" spans="1:37"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row>
    <row r="638" spans="1:37"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row>
    <row r="639" spans="1:37"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row>
    <row r="640" spans="1:37"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row>
    <row r="641" spans="1:37"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row>
    <row r="642" spans="1:37"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row>
    <row r="643" spans="1:37"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row>
    <row r="644" spans="1:37"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row>
    <row r="645" spans="1:37"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row>
    <row r="646" spans="1:37"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row>
    <row r="647" spans="1:37"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row>
    <row r="648" spans="1:37"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row>
    <row r="649" spans="1:37"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row>
    <row r="650" spans="1:37"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row>
    <row r="651" spans="1:37"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row>
    <row r="652" spans="1:37"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row>
    <row r="653" spans="1:37"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row>
    <row r="654" spans="1:37"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row>
    <row r="655" spans="1:37"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row>
    <row r="656" spans="1:37"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row>
    <row r="657" spans="1:37"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row>
    <row r="658" spans="1:37"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row>
    <row r="659" spans="1:37"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row>
    <row r="660" spans="1:37"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row>
    <row r="661" spans="1:37"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row>
    <row r="662" spans="1:37"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row>
    <row r="663" spans="1:37"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row>
    <row r="664" spans="1:37"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row>
    <row r="665" spans="1:37"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row>
    <row r="666" spans="1:37"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row>
    <row r="667" spans="1:37"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row>
    <row r="668" spans="1:37"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row>
    <row r="669" spans="1:37"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row>
    <row r="670" spans="1:37"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row>
    <row r="671" spans="1:37"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row>
    <row r="672" spans="1:37"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row>
    <row r="673" spans="1:37"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row>
    <row r="674" spans="1:37"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row>
    <row r="675" spans="1:37"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row>
    <row r="676" spans="1:37"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row>
    <row r="677" spans="1:37"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row>
    <row r="678" spans="1:37"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row>
    <row r="679" spans="1:37"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row>
    <row r="680" spans="1:37"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row>
    <row r="681" spans="1:37"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row>
    <row r="682" spans="1:37"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row>
    <row r="683" spans="1:37"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row>
    <row r="684" spans="1:37"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row>
    <row r="685" spans="1:37"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row>
    <row r="686" spans="1:37"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row>
    <row r="687" spans="1:37"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row>
    <row r="688" spans="1:37"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row>
    <row r="689" spans="1:37"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row>
    <row r="690" spans="1:37"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row>
    <row r="691" spans="1:37"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row>
    <row r="692" spans="1:37"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row>
    <row r="693" spans="1:37"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row>
    <row r="694" spans="1:37"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row>
    <row r="695" spans="1:37"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row>
    <row r="696" spans="1:37"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row>
    <row r="697" spans="1:37"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row>
    <row r="698" spans="1:37"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row>
    <row r="699" spans="1:37"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row>
    <row r="700" spans="1:37"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row>
    <row r="701" spans="1:37"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row>
    <row r="702" spans="1:37"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row>
    <row r="703" spans="1:37"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row>
    <row r="704" spans="1:37"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row>
    <row r="705" spans="1:37"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row>
    <row r="706" spans="1:37"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row>
    <row r="707" spans="1:37"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row>
    <row r="708" spans="1:37"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row>
    <row r="709" spans="1:37"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row>
    <row r="710" spans="1:37"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row>
    <row r="711" spans="1:37"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row>
    <row r="712" spans="1:37"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row>
    <row r="713" spans="1:37"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row>
    <row r="714" spans="1:37"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row>
    <row r="715" spans="1:37"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row>
    <row r="716" spans="1:37"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row>
    <row r="717" spans="1:37"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row>
    <row r="718" spans="1:37"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row>
    <row r="719" spans="1:37"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row>
    <row r="720" spans="1:37"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row>
    <row r="721" spans="1:37"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row>
    <row r="722" spans="1:37"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row>
    <row r="723" spans="1:37"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row>
    <row r="724" spans="1:37"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row>
    <row r="725" spans="1:37"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row>
    <row r="726" spans="1:37"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row>
    <row r="727" spans="1:37"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row>
    <row r="728" spans="1:37"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row>
    <row r="729" spans="1:37"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row>
    <row r="730" spans="1:37"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row>
    <row r="731" spans="1:37"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row>
    <row r="732" spans="1:37"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row>
    <row r="733" spans="1:37"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row>
    <row r="734" spans="1:37"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row>
    <row r="735" spans="1:37"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row>
    <row r="736" spans="1:37"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row>
    <row r="737" spans="1:37"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row>
    <row r="738" spans="1:37"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row>
    <row r="739" spans="1:37"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row>
    <row r="740" spans="1:37"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row>
    <row r="741" spans="1:37"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row>
    <row r="742" spans="1:37"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row>
    <row r="743" spans="1:37"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row>
    <row r="744" spans="1:37"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row>
    <row r="745" spans="1:37"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row>
    <row r="746" spans="1:37"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row>
    <row r="747" spans="1:37"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row>
    <row r="748" spans="1:37"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row>
    <row r="749" spans="1:37"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row>
    <row r="750" spans="1:37"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row>
    <row r="751" spans="1:37"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row>
    <row r="752" spans="1:37"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row>
    <row r="753" spans="1:37"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row>
    <row r="754" spans="1:37"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row>
    <row r="755" spans="1:37"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row>
    <row r="756" spans="1:37"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row>
    <row r="757" spans="1:37"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row>
    <row r="758" spans="1:37"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row>
    <row r="759" spans="1:37"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row>
    <row r="760" spans="1:37"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row>
    <row r="761" spans="1:37"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row>
    <row r="762" spans="1:37"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row>
    <row r="763" spans="1:37"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row>
    <row r="764" spans="1:37"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row>
    <row r="765" spans="1:37"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row>
    <row r="766" spans="1:37"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row>
    <row r="767" spans="1:37"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row>
    <row r="768" spans="1:37"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row>
    <row r="769" spans="1:37"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row>
    <row r="770" spans="1:37"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row>
    <row r="771" spans="1:37"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row>
    <row r="772" spans="1:37"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row>
    <row r="773" spans="1:37"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row>
    <row r="774" spans="1:37"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row>
    <row r="775" spans="1:37"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row>
    <row r="776" spans="1:37"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row>
    <row r="777" spans="1:37"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row>
    <row r="778" spans="1:37"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row>
    <row r="779" spans="1:37"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row>
    <row r="780" spans="1:37"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row>
    <row r="781" spans="1:37"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row>
    <row r="782" spans="1:37"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row>
    <row r="783" spans="1:37"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row>
    <row r="784" spans="1:37"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row>
    <row r="785" spans="1:37"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row>
    <row r="786" spans="1:37"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row>
    <row r="787" spans="1:37"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row>
    <row r="788" spans="1:37"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row>
    <row r="789" spans="1:37"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row>
    <row r="790" spans="1:37"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row>
    <row r="791" spans="1:37"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row>
    <row r="792" spans="1:37"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row>
    <row r="793" spans="1:37"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row>
    <row r="794" spans="1:37"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row>
    <row r="795" spans="1:37"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row>
    <row r="796" spans="1:37"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row>
    <row r="797" spans="1:37"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row>
    <row r="798" spans="1:37"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row>
    <row r="799" spans="1:37"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row>
    <row r="800" spans="1:37"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row>
    <row r="801" spans="1:37"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row>
    <row r="802" spans="1:37"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row>
    <row r="803" spans="1:37"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row>
    <row r="804" spans="1:37"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row>
    <row r="805" spans="1:37"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row>
    <row r="806" spans="1:37"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row>
    <row r="807" spans="1:37"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row>
    <row r="808" spans="1:37"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row>
    <row r="809" spans="1:37"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row>
    <row r="810" spans="1:37"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row>
    <row r="811" spans="1:37"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row>
    <row r="812" spans="1:37"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row>
    <row r="813" spans="1:37"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row>
    <row r="814" spans="1:37"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row>
    <row r="815" spans="1:37"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row>
    <row r="816" spans="1:37"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row>
    <row r="817" spans="1:37"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row>
    <row r="818" spans="1:37"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row>
    <row r="819" spans="1:37"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row>
    <row r="820" spans="1:37"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row>
    <row r="821" spans="1:37"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row>
    <row r="822" spans="1:37"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row>
    <row r="823" spans="1:37"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row>
    <row r="824" spans="1:37"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row>
    <row r="825" spans="1:37"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row>
    <row r="826" spans="1:37"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row>
    <row r="827" spans="1:37"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row>
    <row r="828" spans="1:37"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row>
    <row r="829" spans="1:37"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row>
    <row r="830" spans="1:37"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row>
    <row r="831" spans="1:37"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row>
    <row r="832" spans="1:37"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row>
    <row r="833" spans="1:37"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row>
    <row r="834" spans="1:37"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row>
    <row r="835" spans="1:37"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row>
    <row r="836" spans="1:37"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row>
    <row r="837" spans="1:37"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row>
    <row r="838" spans="1:37"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row>
    <row r="839" spans="1:37"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row>
    <row r="840" spans="1:37"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row>
    <row r="841" spans="1:37"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row>
    <row r="842" spans="1:37"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row>
    <row r="843" spans="1:37"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row>
    <row r="844" spans="1:37"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row>
    <row r="845" spans="1:37"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row>
    <row r="846" spans="1:37"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row>
    <row r="847" spans="1:37"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row>
    <row r="848" spans="1:37"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row>
    <row r="849" spans="1:37"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row>
    <row r="850" spans="1:37"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row>
    <row r="851" spans="1:37"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row>
    <row r="852" spans="1:37"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row>
    <row r="853" spans="1:37"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row>
    <row r="854" spans="1:37"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row>
    <row r="855" spans="1:37"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row>
    <row r="856" spans="1:37"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row>
    <row r="857" spans="1:37"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row>
    <row r="858" spans="1:37"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row>
    <row r="859" spans="1:37"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row>
    <row r="860" spans="1:37"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row>
    <row r="861" spans="1:37"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row>
    <row r="862" spans="1:37"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row>
    <row r="863" spans="1:37"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row>
    <row r="864" spans="1:37"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row>
    <row r="865" spans="1:37"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row>
    <row r="866" spans="1:37"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row>
    <row r="867" spans="1:37"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row>
    <row r="868" spans="1:37"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row>
    <row r="869" spans="1:37"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row>
    <row r="870" spans="1:37"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row>
    <row r="871" spans="1:37"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row>
    <row r="872" spans="1:37"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row>
    <row r="873" spans="1:37"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row>
    <row r="874" spans="1:37"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row>
    <row r="875" spans="1:37"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row>
    <row r="876" spans="1:37"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row>
    <row r="877" spans="1:37"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row>
    <row r="878" spans="1:37"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row>
    <row r="879" spans="1:37"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row>
    <row r="880" spans="1:37"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row>
    <row r="881" spans="1:37"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row>
    <row r="882" spans="1:37"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row>
    <row r="883" spans="1:37"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row>
    <row r="884" spans="1:37"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row>
    <row r="885" spans="1:37"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row>
    <row r="886" spans="1:37"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row>
    <row r="887" spans="1:37"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row>
    <row r="888" spans="1:37"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row>
    <row r="889" spans="1:37"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row>
    <row r="890" spans="1:37"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row>
    <row r="891" spans="1:37"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row>
    <row r="892" spans="1:37"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row>
    <row r="893" spans="1:37"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row>
    <row r="894" spans="1:37"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row>
    <row r="895" spans="1:37"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row>
    <row r="896" spans="1:37"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row>
    <row r="897" spans="1:37"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row>
    <row r="898" spans="1:37"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row>
    <row r="899" spans="1:37"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row>
    <row r="900" spans="1:37"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row>
    <row r="901" spans="1:37"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row>
    <row r="902" spans="1:37"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row>
    <row r="903" spans="1:37"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row>
    <row r="904" spans="1:37"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row>
    <row r="905" spans="1:37"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row>
    <row r="906" spans="1:37"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row>
    <row r="907" spans="1:37"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row>
    <row r="908" spans="1:37"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row>
    <row r="909" spans="1:37"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row>
    <row r="910" spans="1:37"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row>
    <row r="911" spans="1:37"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row>
    <row r="912" spans="1:37"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row>
    <row r="913" spans="1:37"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row>
    <row r="914" spans="1:37"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row>
    <row r="915" spans="1:37"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row>
    <row r="916" spans="1:37"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row>
    <row r="917" spans="1:37"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row>
    <row r="918" spans="1:37"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row>
    <row r="919" spans="1:37"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row>
    <row r="920" spans="1:37"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row>
    <row r="921" spans="1:37"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row>
    <row r="922" spans="1:37"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row>
    <row r="923" spans="1:37"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row>
    <row r="924" spans="1:37"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row>
    <row r="925" spans="1:37"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row>
    <row r="926" spans="1:37"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row>
    <row r="927" spans="1:37"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row>
    <row r="928" spans="1:37"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row>
    <row r="929" spans="1:37"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row>
    <row r="930" spans="1:37"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row>
    <row r="931" spans="1:37"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row>
    <row r="932" spans="1:37"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row>
    <row r="933" spans="1:37"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row>
    <row r="934" spans="1:37"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row>
    <row r="935" spans="1:37"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row>
    <row r="936" spans="1:37"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row>
    <row r="937" spans="1:37"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row>
    <row r="938" spans="1:37"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row>
    <row r="939" spans="1:37"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row>
    <row r="940" spans="1:37"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row>
    <row r="941" spans="1:37"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row>
    <row r="942" spans="1:37"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row>
    <row r="943" spans="1:37"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row>
    <row r="944" spans="1:37"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row>
    <row r="945" spans="1:37"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row>
    <row r="946" spans="1:37"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row>
    <row r="947" spans="1:37"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row>
    <row r="948" spans="1:37"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row>
    <row r="949" spans="1:37"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row>
    <row r="950" spans="1:37"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row>
    <row r="951" spans="1:37"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row>
    <row r="952" spans="1:37"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row>
    <row r="953" spans="1:37"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row>
    <row r="954" spans="1:37"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row>
    <row r="955" spans="1:37"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row>
    <row r="956" spans="1:37"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row>
    <row r="957" spans="1:37"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row>
    <row r="958" spans="1:37"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row>
    <row r="959" spans="1:37"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row>
    <row r="960" spans="1:37"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row>
    <row r="961" spans="1:37"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row>
    <row r="962" spans="1:37"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row>
    <row r="963" spans="1:37"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row>
    <row r="964" spans="1:37"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row>
    <row r="965" spans="1:37"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row>
    <row r="966" spans="1:37"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row>
    <row r="967" spans="1:37"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row>
    <row r="968" spans="1:37"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row>
    <row r="969" spans="1:37"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row>
    <row r="970" spans="1:37"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row>
    <row r="971" spans="1:37"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row>
    <row r="972" spans="1:37"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row>
    <row r="973" spans="1:37"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row>
    <row r="974" spans="1:37"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row>
    <row r="975" spans="1:37"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row>
    <row r="976" spans="1:37"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row>
    <row r="977" spans="1:37"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row>
    <row r="978" spans="1:37"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row>
    <row r="979" spans="1:37"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row>
    <row r="980" spans="1:37"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row>
    <row r="981" spans="1:37"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row>
    <row r="982" spans="1:37"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row>
    <row r="983" spans="1:37"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row>
    <row r="984" spans="1:37"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row>
    <row r="985" spans="1:37"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row>
    <row r="986" spans="1:37"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row>
    <row r="987" spans="1:37"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row>
    <row r="988" spans="1:37"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row>
    <row r="989" spans="1:37"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row>
    <row r="990" spans="1:37"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row>
    <row r="991" spans="1:37"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row>
    <row r="992" spans="1:37"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row>
    <row r="993" spans="1:37"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row>
    <row r="994" spans="1:37"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row>
    <row r="995" spans="1:37"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row>
    <row r="996" spans="1:37"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row>
    <row r="997" spans="1:37"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row>
    <row r="998" spans="1:37"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row>
    <row r="999" spans="1:37"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row>
    <row r="1000" spans="1:37"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row>
  </sheetData>
  <mergeCells count="18">
    <mergeCell ref="A1:U1"/>
    <mergeCell ref="A2:U2"/>
    <mergeCell ref="I5:K5"/>
    <mergeCell ref="I4:K4"/>
    <mergeCell ref="B5:D5"/>
    <mergeCell ref="E5:G5"/>
    <mergeCell ref="M5:O5"/>
    <mergeCell ref="A4:A7"/>
    <mergeCell ref="U4:U7"/>
    <mergeCell ref="E4:G4"/>
    <mergeCell ref="B4:D4"/>
    <mergeCell ref="J16:U16"/>
    <mergeCell ref="I17:U17"/>
    <mergeCell ref="P4:Q4"/>
    <mergeCell ref="P5:Q5"/>
    <mergeCell ref="R4:S4"/>
    <mergeCell ref="R5:S6"/>
    <mergeCell ref="M4:O4"/>
  </mergeCells>
  <pageMargins left="0.7" right="0.7" top="0.75" bottom="0.75" header="0.3" footer="0.3"/>
  <pageSetup paperSize="9" scale="72" orientation="landscape" horizontalDpi="4294967295" verticalDpi="4294967295" r:id="rId1"/>
  <rowBreaks count="1" manualBreakCount="1">
    <brk id="33" max="2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18.1</vt:lpstr>
      <vt:lpstr>'18.1'!Print_Area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2017-07-04T07:11:04Z</cp:lastPrinted>
  <dcterms:modified xsi:type="dcterms:W3CDTF">2017-07-04T07:11:12Z</dcterms:modified>
</cp:coreProperties>
</file>