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70" windowWidth="27495" windowHeight="11700" tabRatio="702"/>
  </bookViews>
  <sheets>
    <sheet name="18.4" sheetId="4" r:id="rId1"/>
  </sheets>
  <externalReferences>
    <externalReference r:id="rId2"/>
    <externalReference r:id="rId3"/>
  </externalReferences>
  <definedNames>
    <definedName name="_xlnm.Print_Area" localSheetId="0">'18.4'!$A$1:$W$38</definedName>
  </definedNames>
  <calcPr calcId="144525"/>
</workbook>
</file>

<file path=xl/calcChain.xml><?xml version="1.0" encoding="utf-8"?>
<calcChain xmlns="http://schemas.openxmlformats.org/spreadsheetml/2006/main">
  <c r="S16" i="4" l="1"/>
  <c r="S19" i="4"/>
  <c r="S8" i="4"/>
  <c r="AW19" i="4"/>
  <c r="AX19" i="4"/>
  <c r="AV19" i="4"/>
  <c r="O19" i="4" l="1"/>
  <c r="K19" i="4"/>
  <c r="G19" i="4"/>
  <c r="B19" i="4"/>
  <c r="S18" i="4"/>
  <c r="O18" i="4"/>
  <c r="K18" i="4"/>
  <c r="G18" i="4"/>
  <c r="B18" i="4"/>
  <c r="S17" i="4"/>
  <c r="O17" i="4"/>
  <c r="K17" i="4"/>
  <c r="G17" i="4"/>
  <c r="B17" i="4"/>
  <c r="O16" i="4"/>
  <c r="K16" i="4"/>
  <c r="G16" i="4"/>
  <c r="B16" i="4"/>
  <c r="S15" i="4"/>
  <c r="O15" i="4"/>
  <c r="K15" i="4"/>
  <c r="G15" i="4"/>
  <c r="B15" i="4"/>
  <c r="S14" i="4"/>
  <c r="O14" i="4"/>
  <c r="K14" i="4"/>
  <c r="G14" i="4"/>
  <c r="B14" i="4"/>
  <c r="S13" i="4"/>
  <c r="O13" i="4"/>
  <c r="K13" i="4"/>
  <c r="G13" i="4"/>
  <c r="B13" i="4"/>
  <c r="S12" i="4"/>
  <c r="O12" i="4"/>
  <c r="K12" i="4"/>
  <c r="G12" i="4"/>
  <c r="B12" i="4"/>
  <c r="S11" i="4"/>
  <c r="O11" i="4"/>
  <c r="K11" i="4"/>
  <c r="G11" i="4"/>
  <c r="B11" i="4"/>
  <c r="S10" i="4"/>
  <c r="O10" i="4"/>
  <c r="K10" i="4"/>
  <c r="G10" i="4"/>
  <c r="B10" i="4"/>
  <c r="S9" i="4"/>
  <c r="O9" i="4"/>
  <c r="K9" i="4"/>
  <c r="G9" i="4"/>
  <c r="B9" i="4"/>
  <c r="O8" i="4"/>
  <c r="K8" i="4"/>
  <c r="G8" i="4"/>
  <c r="B8" i="4"/>
</calcChain>
</file>

<file path=xl/sharedStrings.xml><?xml version="1.0" encoding="utf-8"?>
<sst xmlns="http://schemas.openxmlformats.org/spreadsheetml/2006/main" count="54" uniqueCount="38">
  <si>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</si>
  <si>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</si>
  <si>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</si>
  <si>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</si>
  <si>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</si>
  <si>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</si>
  <si>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</si>
  <si>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</si>
  <si>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</si>
  <si>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</si>
  <si>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</si>
  <si>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</si>
  <si>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</si>
  <si>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</si>
  <si>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</si>
  <si>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</si>
  <si>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</si>
  <si>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</si>
  <si>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</si>
  <si>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</si>
  <si>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</si>
  <si>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</si>
  <si>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</si>
  <si>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</si>
  <si>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</si>
  <si>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</si>
  <si>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</si>
  <si>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</si>
  <si>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</si>
  <si>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ތާވަލު  18.4 : އަސާސީ ޕެންޝަން ލިބޭ މީހުންގެ އަދަދު އަދި ޢުމުރުފުރާތައް، 2015 - 2016</t>
  </si>
  <si>
    <t>TABLE   18.4: NUMBER OF BENEFICIARIES OF BASIC PENSION SCHEME BY AGE, 2015 - 2016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</si>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</sst>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0.0"/>
  </numFmts>
  <fonts count="12" x14ac:knownFonts="1">
    <font>
      <sz val="11"/>
      <color rgb="FF000000"/>
      <name val="Calibri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9"/>
      <color rgb="FF000000"/>
      <name val="Calibri"/>
      <family val="2"/>
    </font>
    <font>
      <i/>
      <sz val="9"/>
      <color rgb="FF000000"/>
      <name val="Calibri"/>
      <family val="2"/>
    </font>
    <font>
      <sz val="9"/>
      <color rgb="FF000000"/>
      <name val="Faruma"/>
    </font>
    <font>
      <sz val="10"/>
      <name val="Arial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2D69B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3">
    <xf numFmtId="0" fontId="0" fillId="0" borderId="0"/>
    <xf numFmtId="164" fontId="11" fillId="0" borderId="0"/>
    <xf numFmtId="0" fontId="10" fillId="0" borderId="0"/>
  </cellStyleXfs>
  <cellXfs count="48">
    <xf numFmtId="0" fontId="0" fillId="0" borderId="0" xfId="0" applyFont="1" applyAlignment="1"/>
    <xf numFmtId="0" fontId="0" fillId="2" borderId="0" xfId="0" applyFont="1" applyFill="1" applyBorder="1"/>
    <xf numFmtId="0" fontId="0" fillId="3" borderId="0" xfId="0" applyFont="1" applyFill="1" applyAlignment="1"/>
    <xf numFmtId="0" fontId="3" fillId="2" borderId="7" xfId="0" applyFont="1" applyFill="1" applyBorder="1" applyAlignment="1">
      <alignment horizontal="right" vertical="center"/>
    </xf>
    <xf numFmtId="0" fontId="3" fillId="2" borderId="8" xfId="0" applyFont="1" applyFill="1" applyBorder="1" applyAlignment="1">
      <alignment horizontal="right" vertical="center"/>
    </xf>
    <xf numFmtId="0" fontId="3" fillId="2" borderId="9" xfId="0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164" fontId="0" fillId="2" borderId="0" xfId="0" applyNumberFormat="1" applyFont="1" applyFill="1" applyBorder="1"/>
    <xf numFmtId="0" fontId="3" fillId="2" borderId="12" xfId="0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vertical="center"/>
    </xf>
    <xf numFmtId="3" fontId="0" fillId="4" borderId="0" xfId="0" applyNumberFormat="1" applyFont="1" applyFill="1" applyBorder="1" applyAlignment="1">
      <alignment vertical="center"/>
    </xf>
    <xf numFmtId="3" fontId="0" fillId="2" borderId="6" xfId="0" applyNumberFormat="1" applyFont="1" applyFill="1" applyBorder="1" applyAlignment="1">
      <alignment vertical="center"/>
    </xf>
    <xf numFmtId="3" fontId="0" fillId="2" borderId="11" xfId="0" applyNumberFormat="1" applyFont="1" applyFill="1" applyBorder="1" applyAlignment="1">
      <alignment vertical="center"/>
    </xf>
    <xf numFmtId="3" fontId="0" fillId="2" borderId="0" xfId="0" applyNumberFormat="1" applyFont="1" applyFill="1" applyBorder="1"/>
    <xf numFmtId="3" fontId="0" fillId="2" borderId="7" xfId="0" applyNumberFormat="1" applyFont="1" applyFill="1" applyBorder="1" applyAlignment="1">
      <alignment vertical="center"/>
    </xf>
    <xf numFmtId="3" fontId="0" fillId="4" borderId="7" xfId="0" applyNumberFormat="1" applyFont="1" applyFill="1" applyBorder="1" applyAlignment="1">
      <alignment vertical="center"/>
    </xf>
    <xf numFmtId="3" fontId="0" fillId="2" borderId="9" xfId="0" applyNumberFormat="1" applyFont="1" applyFill="1" applyBorder="1" applyAlignment="1">
      <alignment vertical="center"/>
    </xf>
    <xf numFmtId="3" fontId="0" fillId="2" borderId="8" xfId="0" applyNumberFormat="1" applyFont="1" applyFill="1" applyBorder="1" applyAlignment="1">
      <alignment vertical="center"/>
    </xf>
    <xf numFmtId="0" fontId="7" fillId="2" borderId="0" xfId="0" applyFont="1" applyFill="1" applyBorder="1"/>
    <xf numFmtId="0" fontId="8" fillId="2" borderId="0" xfId="0" applyFont="1" applyFill="1" applyBorder="1"/>
    <xf numFmtId="0" fontId="9" fillId="2" borderId="0" xfId="0" applyFont="1" applyFill="1" applyBorder="1" applyAlignment="1"/>
    <xf numFmtId="0" fontId="0" fillId="2" borderId="0" xfId="0" applyFont="1" applyFill="1" applyBorder="1" applyAlignment="1">
      <alignment horizontal="left" vertical="center" indent="1"/>
    </xf>
    <xf numFmtId="0" fontId="0" fillId="2" borderId="7" xfId="0" applyFont="1" applyFill="1" applyBorder="1" applyAlignment="1">
      <alignment horizontal="left" vertical="center" indent="1"/>
    </xf>
    <xf numFmtId="0" fontId="4" fillId="2" borderId="0" xfId="0" applyFont="1" applyFill="1" applyBorder="1" applyAlignment="1">
      <alignment horizontal="right" vertical="center" indent="1"/>
    </xf>
    <xf numFmtId="0" fontId="4" fillId="2" borderId="0" xfId="0" applyFont="1" applyFill="1" applyBorder="1" applyAlignment="1">
      <alignment horizontal="right" indent="1"/>
    </xf>
    <xf numFmtId="0" fontId="4" fillId="2" borderId="7" xfId="0" applyFont="1" applyFill="1" applyBorder="1" applyAlignment="1">
      <alignment horizontal="right" vertical="center" indent="1"/>
    </xf>
    <xf numFmtId="0" fontId="0" fillId="2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/>
    </xf>
    <xf numFmtId="14" fontId="0" fillId="2" borderId="0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3" fillId="2" borderId="0" xfId="0" applyFont="1" applyFill="1" applyBorder="1" applyAlignment="1">
      <alignment horizontal="right" vertical="center"/>
    </xf>
    <xf numFmtId="1" fontId="0" fillId="2" borderId="0" xfId="0" applyNumberFormat="1" applyFont="1" applyFill="1" applyBorder="1"/>
    <xf numFmtId="165" fontId="0" fillId="2" borderId="0" xfId="0" applyNumberFormat="1" applyFont="1" applyFill="1" applyBorder="1"/>
    <xf numFmtId="0" fontId="0" fillId="3" borderId="0" xfId="0" applyFont="1" applyFill="1" applyBorder="1" applyAlignment="1"/>
    <xf numFmtId="0" fontId="3" fillId="2" borderId="0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2" fillId="3" borderId="0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2" fillId="3" borderId="7" xfId="0" applyFont="1" applyFill="1" applyBorder="1"/>
    <xf numFmtId="0" fontId="1" fillId="2" borderId="1" xfId="0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0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</cellXfs>
  <cellStyles count="3">
    <cellStyle name="Normal" xfId="0" builtinId="0"/>
    <cellStyle name="Normal 2" xfId="1"/>
    <cellStyle name="Normal 5" xfId="2"/>
  </cellStyles>
  <dxfs count="0"/>
  <tableStyles count="0" defaultTableStyle="TableStyleMedium2" defaultPivotStyle="PivotStyleLight16"/>
  <colors>
    <mruColors>
      <color rgb="FFF8A45E"/>
      <color rgb="FF953735"/>
      <color rgb="FFFAC02C"/>
      <color rgb="FFFAC090"/>
      <color rgb="FFFDEADA"/>
      <color rgb="FFFF3399"/>
      <color rgb="FFFFE5F2"/>
      <color rgb="FFFFD5EA"/>
      <color rgb="FFFFC5E2"/>
      <color rgb="FFFF85C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26946031746031746"/>
          <c:y val="0.18825876177242551"/>
          <c:w val="0.42592592592592593"/>
          <c:h val="0.83333333333333337"/>
        </c:manualLayout>
      </c:layout>
      <c:doughnutChart>
        <c:varyColors val="1"/>
        <c:ser>
          <c:idx val="0"/>
          <c:order val="0"/>
          <c:spPr>
            <a:solidFill>
              <a:srgbClr val="FF3399"/>
            </a:solidFill>
          </c:spPr>
          <c:dPt>
            <c:idx val="0"/>
            <c:bubble3D val="0"/>
            <c:explosion val="3"/>
            <c:spPr>
              <a:solidFill>
                <a:srgbClr val="F8A45E"/>
              </a:solidFill>
            </c:spPr>
          </c:dPt>
          <c:dPt>
            <c:idx val="1"/>
            <c:bubble3D val="0"/>
            <c:spPr>
              <a:solidFill>
                <a:srgbClr val="FAC090"/>
              </a:solidFill>
            </c:spPr>
          </c:dPt>
          <c:dPt>
            <c:idx val="2"/>
            <c:bubble3D val="0"/>
            <c:explosion val="2"/>
            <c:spPr>
              <a:solidFill>
                <a:srgbClr val="953735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'18.4'!$AV$18:$AX$18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'18.4'!$AV$19:$AX$19</c:f>
              <c:numCache>
                <c:formatCode>#,##0</c:formatCode>
                <c:ptCount val="3"/>
                <c:pt idx="0">
                  <c:v>4128</c:v>
                </c:pt>
                <c:pt idx="1">
                  <c:v>4300</c:v>
                </c:pt>
                <c:pt idx="2">
                  <c:v>7893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1000125</xdr:colOff>
      <xdr:row>20</xdr:row>
      <xdr:rowOff>76200</xdr:rowOff>
    </xdr:from>
    <xdr:to>
      <xdr:col>22</xdr:col>
      <xdr:colOff>66675</xdr:colOff>
      <xdr:row>37</xdr:row>
      <xdr:rowOff>0</xdr:rowOff>
    </xdr:to>
    <xdr:graphicFrame macro=""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14</xdr:col>
      <xdr:colOff>529830</xdr:colOff>
      <xdr:row>20</xdr:row>
      <xdr:rowOff>200025</xdr:rowOff>
    </xdr:from>
    <xdr:to>
      <xdr:col>21</xdr:col>
      <xdr:colOff>438151</xdr:colOff>
      <xdr:row>22</xdr:row>
      <xdr:rowOff>171449</xdr:rowOff>
    </xdr:to>
    <xdr:sp macro="" textlink="">
      <xdr:nvSpPr>
        <xdr:cNvPr id="10" name="Shape 10"/>
        <xdr:cNvSpPr txBox="1"/>
      </xdr:nvSpPr>
      <xdr:spPr>
        <a:xfrm>
          <a:off x="1596630" y="5505450"/>
          <a:ext cx="5042296" cy="400049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buClr>
              <a:schemeClr val="dk1"/>
            </a:buClr>
            <a:buSzPct val="25000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</a:t>
          </a:r>
          <a:r>
            <a:rPr lang="en-US" sz="1050" b="1" i="0" baseline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 share </a:t>
          </a: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of beneficiaries of basic pension scheme by age group, 2016</a:t>
          </a:r>
        </a:p>
        <a:p>
          <a:pPr lvl="0">
            <a:spcBef>
              <a:spcPts val="0"/>
            </a:spcBef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twoCellAnchor>
  <xdr:twoCellAnchor>
    <xdr:from>
      <xdr:col>14</xdr:col>
      <xdr:colOff>666750</xdr:colOff>
      <xdr:row>22</xdr:row>
      <xdr:rowOff>66675</xdr:rowOff>
    </xdr:from>
    <xdr:to>
      <xdr:col>21</xdr:col>
      <xdr:colOff>238125</xdr:colOff>
      <xdr:row>22</xdr:row>
      <xdr:rowOff>85725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733550" y="5800725"/>
          <a:ext cx="4705350" cy="1905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362P0D1J\Copy%20of%20Statistical%20Year%20book%20for%20the%20year%202016%20for%20NSPA%20_%20NBS%20Comments%20_%20NSPA%20p%20%20%20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ifaza\AppData\Local\Microsoft\Windows\INetCache\Content.Outlook\ODPSUPO0\Documents%20and%20Settings\f.shifaza\Application%20Data\Microsoft\Excel\18.%20SOCIAL%20PROTECTION%20_%2029%20July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6"/>
      <sheetName val="18.17"/>
      <sheetName val="18.18"/>
      <sheetName val="18.19"/>
      <sheetName val="18.20"/>
      <sheetName val="18.21"/>
      <sheetName val="18.22"/>
      <sheetName val="18.23"/>
      <sheetName val="11.24"/>
      <sheetName val="11.25"/>
      <sheetName val="11.26"/>
      <sheetName val="11.2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N5">
            <v>2013</v>
          </cell>
          <cell r="O5">
            <v>2014</v>
          </cell>
          <cell r="P5">
            <v>2015</v>
          </cell>
        </row>
        <row r="6">
          <cell r="N6">
            <v>299661096.44</v>
          </cell>
          <cell r="O6">
            <v>349220698.38999999</v>
          </cell>
          <cell r="P6">
            <v>180614696.01000002</v>
          </cell>
        </row>
        <row r="7">
          <cell r="A7" t="str">
            <v>January</v>
          </cell>
          <cell r="O7">
            <v>23170714.699999999</v>
          </cell>
          <cell r="P7">
            <v>18871576.670000002</v>
          </cell>
        </row>
        <row r="8">
          <cell r="A8" t="str">
            <v>February</v>
          </cell>
          <cell r="O8">
            <v>24382093.82</v>
          </cell>
          <cell r="P8">
            <v>11560674.26</v>
          </cell>
        </row>
        <row r="9">
          <cell r="A9" t="str">
            <v>March</v>
          </cell>
          <cell r="O9">
            <v>65018059.100000001</v>
          </cell>
          <cell r="P9">
            <v>11961755.039999999</v>
          </cell>
        </row>
        <row r="10">
          <cell r="A10" t="str">
            <v>April</v>
          </cell>
          <cell r="O10">
            <v>26571752.030000001</v>
          </cell>
          <cell r="P10">
            <v>14237831.629999999</v>
          </cell>
        </row>
        <row r="11">
          <cell r="A11" t="str">
            <v>May</v>
          </cell>
          <cell r="O11">
            <v>27344862.630000003</v>
          </cell>
          <cell r="P11">
            <v>15232383.639999999</v>
          </cell>
        </row>
        <row r="12">
          <cell r="A12" t="str">
            <v>June</v>
          </cell>
          <cell r="O12">
            <v>27437953.34</v>
          </cell>
          <cell r="P12">
            <v>16698376.539999999</v>
          </cell>
        </row>
        <row r="13">
          <cell r="A13" t="str">
            <v>July</v>
          </cell>
          <cell r="O13">
            <v>27536963.569999997</v>
          </cell>
          <cell r="P13">
            <v>17014342.27</v>
          </cell>
        </row>
        <row r="14">
          <cell r="A14" t="str">
            <v>August</v>
          </cell>
          <cell r="O14">
            <v>27542726.530000001</v>
          </cell>
          <cell r="P14">
            <v>14637041.91</v>
          </cell>
        </row>
        <row r="15">
          <cell r="A15" t="str">
            <v>September</v>
          </cell>
          <cell r="O15">
            <v>26488280.200000003</v>
          </cell>
          <cell r="P15">
            <v>14637041.91</v>
          </cell>
        </row>
        <row r="16">
          <cell r="A16" t="str">
            <v>October</v>
          </cell>
          <cell r="O16">
            <v>26944673.18</v>
          </cell>
          <cell r="P16">
            <v>15266487.300000001</v>
          </cell>
        </row>
        <row r="17">
          <cell r="A17" t="str">
            <v>November</v>
          </cell>
          <cell r="O17">
            <v>24549554.030000001</v>
          </cell>
          <cell r="P17">
            <v>15648041.789999999</v>
          </cell>
        </row>
        <row r="18">
          <cell r="A18" t="str">
            <v>December</v>
          </cell>
          <cell r="O18">
            <v>22233065.260000002</v>
          </cell>
          <cell r="P18">
            <v>14849143.050000001</v>
          </cell>
        </row>
      </sheetData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8.1 "/>
      <sheetName val="18.2 "/>
      <sheetName val="Figures"/>
      <sheetName val="18.3"/>
      <sheetName val="18.4"/>
      <sheetName val="18.5 new"/>
      <sheetName val="18.6"/>
      <sheetName val="18.7"/>
      <sheetName val="18.8"/>
      <sheetName val="18.9"/>
      <sheetName val="18.10"/>
      <sheetName val="Sheet1"/>
      <sheetName val="18.11"/>
      <sheetName val="18.12"/>
      <sheetName val="18.13"/>
      <sheetName val="18.14"/>
      <sheetName val="18.15"/>
      <sheetName val="18.16"/>
      <sheetName val="18.1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>
            <v>2010</v>
          </cell>
          <cell r="D5">
            <v>2011</v>
          </cell>
          <cell r="E5">
            <v>2012</v>
          </cell>
        </row>
        <row r="7">
          <cell r="A7" t="str">
            <v>January</v>
          </cell>
          <cell r="D7">
            <v>13828</v>
          </cell>
          <cell r="E7">
            <v>18448</v>
          </cell>
        </row>
        <row r="8">
          <cell r="A8" t="str">
            <v>February</v>
          </cell>
          <cell r="D8">
            <v>13973</v>
          </cell>
          <cell r="E8">
            <v>18752</v>
          </cell>
        </row>
        <row r="9">
          <cell r="A9" t="str">
            <v>March</v>
          </cell>
          <cell r="D9">
            <v>14118</v>
          </cell>
          <cell r="E9">
            <v>18955</v>
          </cell>
        </row>
        <row r="10">
          <cell r="A10" t="str">
            <v>April</v>
          </cell>
          <cell r="D10">
            <v>14339</v>
          </cell>
          <cell r="E10">
            <v>19216</v>
          </cell>
        </row>
        <row r="11">
          <cell r="A11" t="str">
            <v>May</v>
          </cell>
          <cell r="D11">
            <v>14703</v>
          </cell>
          <cell r="E11">
            <v>19500</v>
          </cell>
        </row>
        <row r="12">
          <cell r="A12" t="str">
            <v>June</v>
          </cell>
          <cell r="D12">
            <v>15283</v>
          </cell>
          <cell r="E12">
            <v>19773</v>
          </cell>
        </row>
        <row r="13">
          <cell r="A13" t="str">
            <v>July</v>
          </cell>
          <cell r="D13">
            <v>15897</v>
          </cell>
          <cell r="E13">
            <v>19992</v>
          </cell>
        </row>
        <row r="14">
          <cell r="A14" t="str">
            <v>August</v>
          </cell>
          <cell r="D14">
            <v>16459</v>
          </cell>
          <cell r="E14">
            <v>20166</v>
          </cell>
        </row>
        <row r="15">
          <cell r="A15" t="str">
            <v>September</v>
          </cell>
          <cell r="D15">
            <v>16943</v>
          </cell>
          <cell r="E15">
            <v>20369</v>
          </cell>
        </row>
        <row r="16">
          <cell r="A16" t="str">
            <v>October</v>
          </cell>
          <cell r="D16">
            <v>17538</v>
          </cell>
          <cell r="E16">
            <v>20507</v>
          </cell>
        </row>
        <row r="17">
          <cell r="A17" t="str">
            <v>November</v>
          </cell>
          <cell r="D17">
            <v>17804</v>
          </cell>
          <cell r="E17">
            <v>20638</v>
          </cell>
        </row>
        <row r="18">
          <cell r="A18" t="str">
            <v>December</v>
          </cell>
          <cell r="D18">
            <v>18072</v>
          </cell>
          <cell r="E18">
            <v>20719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38"/>
  <sheetViews>
    <sheetView tabSelected="1" zoomScaleNormal="100" workbookViewId="0">
      <selection activeCell="AH1" sqref="AH1:AH1048576"/>
    </sheetView>
  </sheetViews>
  <sheetFormatPr defaultColWidth="15.140625" defaultRowHeight="15" customHeight="1" x14ac:dyDescent="0.25"/>
  <cols>
    <col min="1" max="1" width="16" style="2" customWidth="1"/>
    <col min="2" max="2" width="8.7109375" style="2" hidden="1" customWidth="1"/>
    <col min="3" max="4" width="9.5703125" style="2" hidden="1" customWidth="1"/>
    <col min="5" max="5" width="9.85546875" style="2" hidden="1" customWidth="1"/>
    <col min="6" max="6" width="1.42578125" style="2" hidden="1" customWidth="1"/>
    <col min="7" max="7" width="8.7109375" style="2" hidden="1" customWidth="1"/>
    <col min="8" max="9" width="9.5703125" style="2" hidden="1" customWidth="1"/>
    <col min="10" max="10" width="9.85546875" style="2" hidden="1" customWidth="1"/>
    <col min="11" max="11" width="8.7109375" style="2" hidden="1" customWidth="1"/>
    <col min="12" max="13" width="9.5703125" style="2" hidden="1" customWidth="1"/>
    <col min="14" max="14" width="9.85546875" style="2" hidden="1" customWidth="1"/>
    <col min="15" max="22" width="11" style="2" customWidth="1"/>
    <col min="23" max="23" width="12.85546875" style="2" customWidth="1"/>
    <col min="24" max="47" width="8" style="2" customWidth="1"/>
    <col min="48" max="50" width="12.7109375" style="2" customWidth="1"/>
    <col min="51" max="51" width="8" style="2" customWidth="1"/>
    <col min="52" max="16384" width="15.140625" style="2"/>
  </cols>
  <sheetData>
    <row r="1" spans="1:5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6.5" customHeight="1" x14ac:dyDescent="0.25">
      <c r="A2" s="43" t="s">
        <v>29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4.25" customHeight="1" x14ac:dyDescent="0.25">
      <c r="A3" s="35" t="s">
        <v>30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21" customHeight="1" x14ac:dyDescent="0.55000000000000004">
      <c r="A5" s="40" t="s">
        <v>3</v>
      </c>
      <c r="B5" s="47" t="s">
        <v>31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42" t="s">
        <v>4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37"/>
      <c r="B6" s="44">
        <v>2012</v>
      </c>
      <c r="C6" s="38"/>
      <c r="D6" s="38"/>
      <c r="E6" s="38"/>
      <c r="F6" s="27"/>
      <c r="G6" s="44">
        <v>2013</v>
      </c>
      <c r="H6" s="38"/>
      <c r="I6" s="38"/>
      <c r="J6" s="38"/>
      <c r="K6" s="45">
        <v>2014</v>
      </c>
      <c r="L6" s="38"/>
      <c r="M6" s="38"/>
      <c r="N6" s="38"/>
      <c r="O6" s="44">
        <v>2015</v>
      </c>
      <c r="P6" s="38"/>
      <c r="Q6" s="38"/>
      <c r="R6" s="39"/>
      <c r="S6" s="45">
        <v>2016</v>
      </c>
      <c r="T6" s="38"/>
      <c r="U6" s="38"/>
      <c r="V6" s="38"/>
      <c r="W6" s="37"/>
      <c r="X6" s="1"/>
      <c r="Y6" s="1"/>
      <c r="Z6" s="28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41"/>
      <c r="B7" s="3" t="s">
        <v>0</v>
      </c>
      <c r="C7" s="3" t="s">
        <v>32</v>
      </c>
      <c r="D7" s="3" t="s">
        <v>33</v>
      </c>
      <c r="E7" s="6" t="s">
        <v>34</v>
      </c>
      <c r="F7" s="4"/>
      <c r="G7" s="3" t="s">
        <v>0</v>
      </c>
      <c r="H7" s="3" t="s">
        <v>32</v>
      </c>
      <c r="I7" s="3" t="s">
        <v>33</v>
      </c>
      <c r="J7" s="6" t="s">
        <v>34</v>
      </c>
      <c r="K7" s="5" t="s">
        <v>0</v>
      </c>
      <c r="L7" s="3" t="s">
        <v>32</v>
      </c>
      <c r="M7" s="3" t="s">
        <v>33</v>
      </c>
      <c r="N7" s="6" t="s">
        <v>34</v>
      </c>
      <c r="O7" s="3" t="s">
        <v>0</v>
      </c>
      <c r="P7" s="3" t="s">
        <v>32</v>
      </c>
      <c r="Q7" s="3" t="s">
        <v>33</v>
      </c>
      <c r="R7" s="8" t="s">
        <v>34</v>
      </c>
      <c r="S7" s="5" t="s">
        <v>0</v>
      </c>
      <c r="T7" s="3" t="s">
        <v>32</v>
      </c>
      <c r="U7" s="3" t="s">
        <v>33</v>
      </c>
      <c r="V7" s="6" t="s">
        <v>34</v>
      </c>
      <c r="W7" s="41"/>
      <c r="X7" s="1"/>
      <c r="Y7" s="1"/>
      <c r="Z7" s="28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ht="24.75" customHeight="1" x14ac:dyDescent="0.25">
      <c r="A8" s="21" t="s">
        <v>5</v>
      </c>
      <c r="B8" s="9">
        <f t="shared" ref="B8:B19" si="0">SUM(C8:E8)</f>
        <v>15031</v>
      </c>
      <c r="C8" s="9">
        <v>2952</v>
      </c>
      <c r="D8" s="9">
        <v>5170</v>
      </c>
      <c r="E8" s="9">
        <v>6909</v>
      </c>
      <c r="F8" s="12"/>
      <c r="G8" s="9">
        <f t="shared" ref="G8:G19" si="1">SUM(H8:J8)</f>
        <v>15309</v>
      </c>
      <c r="H8" s="9">
        <v>2849</v>
      </c>
      <c r="I8" s="9">
        <v>5055</v>
      </c>
      <c r="J8" s="9">
        <v>7405</v>
      </c>
      <c r="K8" s="11">
        <f t="shared" ref="K8:K19" si="2">SUM(L8:N8)</f>
        <v>15397</v>
      </c>
      <c r="L8" s="9">
        <v>3613</v>
      </c>
      <c r="M8" s="9">
        <v>4907</v>
      </c>
      <c r="N8" s="9">
        <v>6877</v>
      </c>
      <c r="O8" s="9">
        <f t="shared" ref="O8:O19" si="3">SUM(P8:R8)</f>
        <v>15920</v>
      </c>
      <c r="P8" s="9">
        <v>3868</v>
      </c>
      <c r="Q8" s="9">
        <v>4705</v>
      </c>
      <c r="R8" s="12">
        <v>7347</v>
      </c>
      <c r="S8" s="11">
        <f>SUM(T8:V8)</f>
        <v>16322</v>
      </c>
      <c r="T8" s="10">
        <v>4168</v>
      </c>
      <c r="U8" s="10">
        <v>4506</v>
      </c>
      <c r="V8" s="10">
        <v>7648</v>
      </c>
      <c r="W8" s="23" t="s">
        <v>6</v>
      </c>
      <c r="X8" s="1"/>
      <c r="Y8" s="1"/>
      <c r="Z8" s="28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ht="24.75" customHeight="1" x14ac:dyDescent="0.25">
      <c r="A9" s="21" t="s">
        <v>7</v>
      </c>
      <c r="B9" s="9">
        <f t="shared" si="0"/>
        <v>15176</v>
      </c>
      <c r="C9" s="9">
        <v>3097</v>
      </c>
      <c r="D9" s="9">
        <v>5167</v>
      </c>
      <c r="E9" s="9">
        <v>6912</v>
      </c>
      <c r="F9" s="12"/>
      <c r="G9" s="9">
        <f t="shared" si="1"/>
        <v>15360</v>
      </c>
      <c r="H9" s="9">
        <v>2918</v>
      </c>
      <c r="I9" s="9">
        <v>5060</v>
      </c>
      <c r="J9" s="9">
        <v>7382</v>
      </c>
      <c r="K9" s="11">
        <f t="shared" si="2"/>
        <v>15683</v>
      </c>
      <c r="L9" s="9">
        <v>3897</v>
      </c>
      <c r="M9" s="9">
        <v>4909</v>
      </c>
      <c r="N9" s="9">
        <v>6877</v>
      </c>
      <c r="O9" s="9">
        <f t="shared" si="3"/>
        <v>15915</v>
      </c>
      <c r="P9" s="9">
        <v>3921</v>
      </c>
      <c r="Q9" s="9">
        <v>4681</v>
      </c>
      <c r="R9" s="12">
        <v>7313</v>
      </c>
      <c r="S9" s="11">
        <f t="shared" ref="S9:S18" si="4">SUM(T9:V9)</f>
        <v>16412</v>
      </c>
      <c r="T9" s="10">
        <v>4267</v>
      </c>
      <c r="U9" s="10">
        <v>4507</v>
      </c>
      <c r="V9" s="10">
        <v>7638</v>
      </c>
      <c r="W9" s="23" t="s">
        <v>8</v>
      </c>
      <c r="X9" s="1"/>
      <c r="Y9" s="1"/>
      <c r="Z9" s="28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ht="24.75" customHeight="1" x14ac:dyDescent="0.25">
      <c r="A10" s="21" t="s">
        <v>9</v>
      </c>
      <c r="B10" s="9">
        <f t="shared" si="0"/>
        <v>15205</v>
      </c>
      <c r="C10" s="9">
        <v>3119</v>
      </c>
      <c r="D10" s="9">
        <v>5168</v>
      </c>
      <c r="E10" s="9">
        <v>6918</v>
      </c>
      <c r="F10" s="12"/>
      <c r="G10" s="9">
        <f t="shared" si="1"/>
        <v>15435</v>
      </c>
      <c r="H10" s="9">
        <v>2965</v>
      </c>
      <c r="I10" s="9">
        <v>5075</v>
      </c>
      <c r="J10" s="9">
        <v>7395</v>
      </c>
      <c r="K10" s="11">
        <f t="shared" si="2"/>
        <v>15823</v>
      </c>
      <c r="L10" s="9">
        <v>3997</v>
      </c>
      <c r="M10" s="9">
        <v>4937</v>
      </c>
      <c r="N10" s="9">
        <v>6889</v>
      </c>
      <c r="O10" s="9">
        <f t="shared" si="3"/>
        <v>16065</v>
      </c>
      <c r="P10" s="9">
        <v>4110</v>
      </c>
      <c r="Q10" s="9">
        <v>4681</v>
      </c>
      <c r="R10" s="12">
        <v>7274</v>
      </c>
      <c r="S10" s="11">
        <f t="shared" si="4"/>
        <v>16394</v>
      </c>
      <c r="T10" s="10">
        <v>4285</v>
      </c>
      <c r="U10" s="10">
        <v>4538</v>
      </c>
      <c r="V10" s="10">
        <v>7571</v>
      </c>
      <c r="W10" s="23" t="s">
        <v>10</v>
      </c>
      <c r="X10" s="1"/>
      <c r="Y10" s="1"/>
      <c r="Z10" s="28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ht="24.75" customHeight="1" x14ac:dyDescent="0.25">
      <c r="A11" s="21" t="s">
        <v>11</v>
      </c>
      <c r="B11" s="9">
        <f t="shared" si="0"/>
        <v>15224</v>
      </c>
      <c r="C11" s="9">
        <v>3137</v>
      </c>
      <c r="D11" s="9">
        <v>5154</v>
      </c>
      <c r="E11" s="9">
        <v>6933</v>
      </c>
      <c r="F11" s="12"/>
      <c r="G11" s="9">
        <f t="shared" si="1"/>
        <v>15487</v>
      </c>
      <c r="H11" s="9">
        <v>3031</v>
      </c>
      <c r="I11" s="9">
        <v>5070</v>
      </c>
      <c r="J11" s="9">
        <v>7386</v>
      </c>
      <c r="K11" s="11">
        <f t="shared" si="2"/>
        <v>15854</v>
      </c>
      <c r="L11" s="9">
        <v>4047</v>
      </c>
      <c r="M11" s="9">
        <v>4926</v>
      </c>
      <c r="N11" s="9">
        <v>6881</v>
      </c>
      <c r="O11" s="9">
        <f t="shared" si="3"/>
        <v>16073</v>
      </c>
      <c r="P11" s="9">
        <v>4129</v>
      </c>
      <c r="Q11" s="9">
        <v>4694</v>
      </c>
      <c r="R11" s="12">
        <v>7250</v>
      </c>
      <c r="S11" s="11">
        <f t="shared" si="4"/>
        <v>16401</v>
      </c>
      <c r="T11" s="10">
        <v>4323</v>
      </c>
      <c r="U11" s="10">
        <v>4497</v>
      </c>
      <c r="V11" s="10">
        <v>7581</v>
      </c>
      <c r="W11" s="23" t="s">
        <v>12</v>
      </c>
      <c r="X11" s="1"/>
      <c r="Y11" s="1"/>
      <c r="Z11" s="28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ht="24.75" customHeight="1" x14ac:dyDescent="0.25">
      <c r="A12" s="21" t="s">
        <v>13</v>
      </c>
      <c r="B12" s="9">
        <f t="shared" si="0"/>
        <v>15274</v>
      </c>
      <c r="C12" s="9">
        <v>3174</v>
      </c>
      <c r="D12" s="9">
        <v>5149</v>
      </c>
      <c r="E12" s="9">
        <v>6951</v>
      </c>
      <c r="F12" s="12"/>
      <c r="G12" s="9">
        <f t="shared" si="1"/>
        <v>15396</v>
      </c>
      <c r="H12" s="9">
        <v>3872</v>
      </c>
      <c r="I12" s="9">
        <v>5018</v>
      </c>
      <c r="J12" s="9">
        <v>6506</v>
      </c>
      <c r="K12" s="11">
        <f t="shared" si="2"/>
        <v>15792</v>
      </c>
      <c r="L12" s="9">
        <v>4094</v>
      </c>
      <c r="M12" s="9">
        <v>4887</v>
      </c>
      <c r="N12" s="9">
        <v>6811</v>
      </c>
      <c r="O12" s="9">
        <f t="shared" si="3"/>
        <v>16096</v>
      </c>
      <c r="P12" s="9">
        <v>4208</v>
      </c>
      <c r="Q12" s="9">
        <v>4647</v>
      </c>
      <c r="R12" s="12">
        <v>7241</v>
      </c>
      <c r="S12" s="11">
        <f t="shared" si="4"/>
        <v>16434</v>
      </c>
      <c r="T12" s="10">
        <v>4340</v>
      </c>
      <c r="U12" s="10">
        <v>4532</v>
      </c>
      <c r="V12" s="10">
        <v>7562</v>
      </c>
      <c r="W12" s="23" t="s">
        <v>14</v>
      </c>
      <c r="X12" s="1"/>
      <c r="Y12" s="1"/>
      <c r="Z12" s="28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ht="24.75" customHeight="1" x14ac:dyDescent="0.25">
      <c r="A13" s="21" t="s">
        <v>15</v>
      </c>
      <c r="B13" s="9">
        <f t="shared" si="0"/>
        <v>15298</v>
      </c>
      <c r="C13" s="9">
        <v>3184</v>
      </c>
      <c r="D13" s="9">
        <v>5146</v>
      </c>
      <c r="E13" s="9">
        <v>6968</v>
      </c>
      <c r="F13" s="12"/>
      <c r="G13" s="9">
        <f t="shared" si="1"/>
        <v>15450</v>
      </c>
      <c r="H13" s="9">
        <v>3919</v>
      </c>
      <c r="I13" s="9">
        <v>5007</v>
      </c>
      <c r="J13" s="9">
        <v>6524</v>
      </c>
      <c r="K13" s="11">
        <f t="shared" si="2"/>
        <v>15794</v>
      </c>
      <c r="L13" s="9">
        <v>4096</v>
      </c>
      <c r="M13" s="9">
        <v>4880</v>
      </c>
      <c r="N13" s="9">
        <v>6818</v>
      </c>
      <c r="O13" s="9">
        <f t="shared" si="3"/>
        <v>16125</v>
      </c>
      <c r="P13" s="9">
        <v>4205</v>
      </c>
      <c r="Q13" s="9">
        <v>4682</v>
      </c>
      <c r="R13" s="12">
        <v>7238</v>
      </c>
      <c r="S13" s="11">
        <f t="shared" si="4"/>
        <v>16370</v>
      </c>
      <c r="T13" s="10">
        <v>4361</v>
      </c>
      <c r="U13" s="10">
        <v>4501</v>
      </c>
      <c r="V13" s="10">
        <v>7508</v>
      </c>
      <c r="W13" s="23" t="s">
        <v>16</v>
      </c>
      <c r="X13" s="1"/>
      <c r="Y13" s="1"/>
      <c r="Z13" s="28"/>
      <c r="AA13" s="1"/>
      <c r="AB13" s="1"/>
      <c r="AC13" s="1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1"/>
      <c r="AY13" s="1"/>
    </row>
    <row r="14" spans="1:51" ht="24.75" customHeight="1" x14ac:dyDescent="0.25">
      <c r="A14" s="21" t="s">
        <v>17</v>
      </c>
      <c r="B14" s="9">
        <f t="shared" si="0"/>
        <v>15252</v>
      </c>
      <c r="C14" s="9">
        <v>3190</v>
      </c>
      <c r="D14" s="9">
        <v>5111</v>
      </c>
      <c r="E14" s="9">
        <v>6951</v>
      </c>
      <c r="F14" s="12"/>
      <c r="G14" s="9">
        <f t="shared" si="1"/>
        <v>15487</v>
      </c>
      <c r="H14" s="9">
        <v>3970</v>
      </c>
      <c r="I14" s="9">
        <v>4987</v>
      </c>
      <c r="J14" s="9">
        <v>6530</v>
      </c>
      <c r="K14" s="11">
        <f t="shared" si="2"/>
        <v>15858</v>
      </c>
      <c r="L14" s="9">
        <v>4128</v>
      </c>
      <c r="M14" s="9">
        <v>4879</v>
      </c>
      <c r="N14" s="9">
        <v>6851</v>
      </c>
      <c r="O14" s="9">
        <f t="shared" si="3"/>
        <v>16122</v>
      </c>
      <c r="P14" s="9">
        <v>4261</v>
      </c>
      <c r="Q14" s="9">
        <v>4644</v>
      </c>
      <c r="R14" s="12">
        <v>7217</v>
      </c>
      <c r="S14" s="11">
        <f t="shared" si="4"/>
        <v>16368</v>
      </c>
      <c r="T14" s="10">
        <v>4376</v>
      </c>
      <c r="U14" s="10">
        <v>4510</v>
      </c>
      <c r="V14" s="10">
        <v>7482</v>
      </c>
      <c r="W14" s="23" t="s">
        <v>18</v>
      </c>
      <c r="X14" s="1"/>
      <c r="Y14" s="1"/>
      <c r="Z14" s="28"/>
      <c r="AA14" s="1"/>
      <c r="AB14" s="1"/>
      <c r="AC14" s="1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1"/>
      <c r="AY14" s="1"/>
    </row>
    <row r="15" spans="1:51" ht="24.75" customHeight="1" x14ac:dyDescent="0.25">
      <c r="A15" s="21" t="s">
        <v>19</v>
      </c>
      <c r="B15" s="9">
        <f t="shared" si="0"/>
        <v>15256</v>
      </c>
      <c r="C15" s="9">
        <v>3184</v>
      </c>
      <c r="D15" s="9">
        <v>5120</v>
      </c>
      <c r="E15" s="9">
        <v>6952</v>
      </c>
      <c r="F15" s="12"/>
      <c r="G15" s="9">
        <f t="shared" si="1"/>
        <v>15550</v>
      </c>
      <c r="H15" s="9">
        <v>4009</v>
      </c>
      <c r="I15" s="9">
        <v>4994</v>
      </c>
      <c r="J15" s="9">
        <v>6547</v>
      </c>
      <c r="K15" s="11">
        <f t="shared" si="2"/>
        <v>15846</v>
      </c>
      <c r="L15" s="9">
        <v>4149</v>
      </c>
      <c r="M15" s="9">
        <v>4866</v>
      </c>
      <c r="N15" s="9">
        <v>6831</v>
      </c>
      <c r="O15" s="9">
        <f t="shared" si="3"/>
        <v>16148</v>
      </c>
      <c r="P15" s="9">
        <v>4311</v>
      </c>
      <c r="Q15" s="9">
        <v>4627</v>
      </c>
      <c r="R15" s="12">
        <v>7210</v>
      </c>
      <c r="S15" s="11">
        <f t="shared" si="4"/>
        <v>16362</v>
      </c>
      <c r="T15" s="10">
        <v>4080</v>
      </c>
      <c r="U15" s="10">
        <v>4844</v>
      </c>
      <c r="V15" s="10">
        <v>7438</v>
      </c>
      <c r="W15" s="23" t="s">
        <v>20</v>
      </c>
      <c r="X15" s="1"/>
      <c r="Y15" s="1"/>
      <c r="Z15" s="28"/>
      <c r="AA15" s="1"/>
      <c r="AB15" s="1"/>
      <c r="AC15" s="1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1"/>
      <c r="AY15" s="1"/>
    </row>
    <row r="16" spans="1:51" ht="24.75" customHeight="1" x14ac:dyDescent="0.25">
      <c r="A16" s="21" t="s">
        <v>21</v>
      </c>
      <c r="B16" s="9">
        <f t="shared" si="0"/>
        <v>15248</v>
      </c>
      <c r="C16" s="9">
        <v>3185</v>
      </c>
      <c r="D16" s="9">
        <v>5122</v>
      </c>
      <c r="E16" s="9">
        <v>6941</v>
      </c>
      <c r="F16" s="12"/>
      <c r="G16" s="9">
        <f t="shared" si="1"/>
        <v>15535</v>
      </c>
      <c r="H16" s="9">
        <v>3988</v>
      </c>
      <c r="I16" s="9">
        <v>5002</v>
      </c>
      <c r="J16" s="9">
        <v>6545</v>
      </c>
      <c r="K16" s="11">
        <f t="shared" si="2"/>
        <v>15858</v>
      </c>
      <c r="L16" s="9">
        <v>4193</v>
      </c>
      <c r="M16" s="9">
        <v>4854</v>
      </c>
      <c r="N16" s="9">
        <v>6811</v>
      </c>
      <c r="O16" s="9">
        <f t="shared" si="3"/>
        <v>16172</v>
      </c>
      <c r="P16" s="9">
        <v>3914</v>
      </c>
      <c r="Q16" s="9">
        <v>4562</v>
      </c>
      <c r="R16" s="12">
        <v>7696</v>
      </c>
      <c r="S16" s="11">
        <f>SUM(T16:V16)</f>
        <v>16377</v>
      </c>
      <c r="T16" s="10">
        <v>4110</v>
      </c>
      <c r="U16" s="10">
        <v>4375</v>
      </c>
      <c r="V16" s="10">
        <v>7892</v>
      </c>
      <c r="W16" s="23" t="s">
        <v>22</v>
      </c>
      <c r="X16" s="1"/>
      <c r="Y16" s="1"/>
      <c r="Z16" s="28"/>
      <c r="AA16" s="1"/>
      <c r="AB16" s="1"/>
      <c r="AC16" s="1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1"/>
      <c r="AY16" s="1"/>
    </row>
    <row r="17" spans="1:51" ht="24.75" customHeight="1" x14ac:dyDescent="0.25">
      <c r="A17" s="21" t="s">
        <v>23</v>
      </c>
      <c r="B17" s="9">
        <f t="shared" si="0"/>
        <v>15262</v>
      </c>
      <c r="C17" s="9">
        <v>3184</v>
      </c>
      <c r="D17" s="9">
        <v>5135</v>
      </c>
      <c r="E17" s="9">
        <v>6943</v>
      </c>
      <c r="F17" s="12"/>
      <c r="G17" s="9">
        <f t="shared" si="1"/>
        <v>15482</v>
      </c>
      <c r="H17" s="9">
        <v>4012</v>
      </c>
      <c r="I17" s="9">
        <v>4980</v>
      </c>
      <c r="J17" s="9">
        <v>6490</v>
      </c>
      <c r="K17" s="11">
        <f t="shared" si="2"/>
        <v>15892</v>
      </c>
      <c r="L17" s="9">
        <v>4219</v>
      </c>
      <c r="M17" s="9">
        <v>4850</v>
      </c>
      <c r="N17" s="9">
        <v>6823</v>
      </c>
      <c r="O17" s="9">
        <f t="shared" si="3"/>
        <v>16174</v>
      </c>
      <c r="P17" s="9">
        <v>3928</v>
      </c>
      <c r="Q17" s="9">
        <v>4548</v>
      </c>
      <c r="R17" s="12">
        <v>7698</v>
      </c>
      <c r="S17" s="11">
        <f t="shared" si="4"/>
        <v>16348</v>
      </c>
      <c r="T17" s="10">
        <v>4121</v>
      </c>
      <c r="U17" s="10">
        <v>4343</v>
      </c>
      <c r="V17" s="10">
        <v>7884</v>
      </c>
      <c r="W17" s="23" t="s">
        <v>24</v>
      </c>
      <c r="X17" s="1"/>
      <c r="Y17" s="1"/>
      <c r="Z17" s="28"/>
      <c r="AA17" s="1"/>
      <c r="AB17" s="1"/>
      <c r="AC17" s="1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1"/>
      <c r="AY17" s="1"/>
    </row>
    <row r="18" spans="1:51" ht="24.75" customHeight="1" x14ac:dyDescent="0.55000000000000004">
      <c r="A18" s="21" t="s">
        <v>25</v>
      </c>
      <c r="B18" s="9">
        <f t="shared" si="0"/>
        <v>15277</v>
      </c>
      <c r="C18" s="9">
        <v>3178</v>
      </c>
      <c r="D18" s="9">
        <v>5145</v>
      </c>
      <c r="E18" s="9">
        <v>6954</v>
      </c>
      <c r="F18" s="12"/>
      <c r="G18" s="9">
        <f t="shared" si="1"/>
        <v>15494</v>
      </c>
      <c r="H18" s="9">
        <v>4046</v>
      </c>
      <c r="I18" s="9">
        <v>4978</v>
      </c>
      <c r="J18" s="9">
        <v>6470</v>
      </c>
      <c r="K18" s="11">
        <f t="shared" si="2"/>
        <v>15780</v>
      </c>
      <c r="L18" s="9">
        <v>4250</v>
      </c>
      <c r="M18" s="9">
        <v>4817</v>
      </c>
      <c r="N18" s="9">
        <v>6713</v>
      </c>
      <c r="O18" s="9">
        <f t="shared" si="3"/>
        <v>16166</v>
      </c>
      <c r="P18" s="9">
        <v>3935</v>
      </c>
      <c r="Q18" s="9">
        <v>4546</v>
      </c>
      <c r="R18" s="12">
        <v>7685</v>
      </c>
      <c r="S18" s="11">
        <f t="shared" si="4"/>
        <v>16311</v>
      </c>
      <c r="T18" s="10">
        <v>4115</v>
      </c>
      <c r="U18" s="10">
        <v>4311</v>
      </c>
      <c r="V18" s="10">
        <v>7885</v>
      </c>
      <c r="W18" s="24" t="s">
        <v>26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" t="s">
        <v>35</v>
      </c>
      <c r="AW18" s="3" t="s">
        <v>36</v>
      </c>
      <c r="AX18" s="6" t="s">
        <v>37</v>
      </c>
      <c r="AY18" s="1"/>
    </row>
    <row r="19" spans="1:51" ht="24.75" customHeight="1" x14ac:dyDescent="0.25">
      <c r="A19" s="22" t="s">
        <v>27</v>
      </c>
      <c r="B19" s="14">
        <f t="shared" si="0"/>
        <v>15268</v>
      </c>
      <c r="C19" s="14">
        <v>3208</v>
      </c>
      <c r="D19" s="14">
        <v>5124</v>
      </c>
      <c r="E19" s="14">
        <v>6936</v>
      </c>
      <c r="F19" s="17"/>
      <c r="G19" s="14">
        <f t="shared" si="1"/>
        <v>15447</v>
      </c>
      <c r="H19" s="14">
        <v>4060</v>
      </c>
      <c r="I19" s="14">
        <v>4955</v>
      </c>
      <c r="J19" s="14">
        <v>6432</v>
      </c>
      <c r="K19" s="16">
        <f t="shared" si="2"/>
        <v>15767</v>
      </c>
      <c r="L19" s="14">
        <v>4303</v>
      </c>
      <c r="M19" s="14">
        <v>4795</v>
      </c>
      <c r="N19" s="14">
        <v>6669</v>
      </c>
      <c r="O19" s="14">
        <f t="shared" si="3"/>
        <v>16091</v>
      </c>
      <c r="P19" s="14">
        <v>3902</v>
      </c>
      <c r="Q19" s="14">
        <v>4530</v>
      </c>
      <c r="R19" s="17">
        <v>7659</v>
      </c>
      <c r="S19" s="16">
        <f>SUM(T19:V19)</f>
        <v>16321</v>
      </c>
      <c r="T19" s="15">
        <v>4128</v>
      </c>
      <c r="U19" s="15">
        <v>4300</v>
      </c>
      <c r="V19" s="15">
        <v>7893</v>
      </c>
      <c r="W19" s="25" t="s">
        <v>28</v>
      </c>
      <c r="X19" s="1"/>
      <c r="Y19" s="13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3">
        <f>T19</f>
        <v>4128</v>
      </c>
      <c r="AW19" s="13">
        <f t="shared" ref="AW19:AX19" si="5">U19</f>
        <v>4300</v>
      </c>
      <c r="AX19" s="13">
        <f t="shared" si="5"/>
        <v>7893</v>
      </c>
      <c r="AY19" s="1"/>
    </row>
    <row r="20" spans="1:51" ht="17.25" customHeight="1" x14ac:dyDescent="0.45">
      <c r="A20" s="19" t="s">
        <v>1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20" t="s">
        <v>2</v>
      </c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</row>
    <row r="21" spans="1:51" ht="18.75" customHeight="1" x14ac:dyDescent="0.5">
      <c r="A21" s="2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30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1"/>
      <c r="AW31" s="31"/>
      <c r="AX31" s="31"/>
      <c r="AY31" s="1"/>
    </row>
    <row r="32" spans="1:5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3"/>
    </row>
    <row r="33" spans="1:5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34"/>
    </row>
    <row r="35" spans="1:5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34"/>
    </row>
    <row r="36" spans="1:52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1"/>
      <c r="AZ36" s="34"/>
    </row>
    <row r="37" spans="1:5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1"/>
      <c r="AZ37" s="34"/>
    </row>
    <row r="38" spans="1:5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34"/>
    </row>
  </sheetData>
  <mergeCells count="10">
    <mergeCell ref="K6:N6"/>
    <mergeCell ref="G6:J6"/>
    <mergeCell ref="O6:R6"/>
    <mergeCell ref="A2:W2"/>
    <mergeCell ref="A3:W3"/>
    <mergeCell ref="B6:E6"/>
    <mergeCell ref="A5:A7"/>
    <mergeCell ref="S6:V6"/>
    <mergeCell ref="W5:W7"/>
    <mergeCell ref="B5:V5"/>
  </mergeCells>
  <pageMargins left="0.7" right="0.7" top="0.75" bottom="0.75" header="0.3" footer="0.3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2017-07-04T07:14:52Z</cp:lastPrinted>
  <dcterms:modified xsi:type="dcterms:W3CDTF">2017-07-04T07:14:52Z</dcterms:modified>
</cp:coreProperties>
</file>