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23" sheetId="23" r:id="rId1"/>
  </sheets>
  <definedNames>
    <definedName name="_xlnm.Print_Area" localSheetId="0">'18.23'!$A$1:$O$259</definedName>
    <definedName name="_xlnm.Print_Titles" localSheetId="0">'18.23'!$3:$6</definedName>
  </definedNames>
  <calcPr calcId="144525"/>
</workbook>
</file>

<file path=xl/calcChain.xml><?xml version="1.0" encoding="utf-8"?>
<calcChain xmlns="http://schemas.openxmlformats.org/spreadsheetml/2006/main">
  <c r="F254" i="23" l="1"/>
  <c r="B254" i="23"/>
  <c r="N253" i="23"/>
  <c r="M253" i="23"/>
  <c r="L253" i="23"/>
  <c r="H253" i="23"/>
  <c r="G253" i="23"/>
  <c r="F253" i="23" s="1"/>
  <c r="B253" i="23"/>
  <c r="F251" i="23"/>
  <c r="B251" i="23"/>
  <c r="F250" i="23"/>
  <c r="B250" i="23"/>
  <c r="F249" i="23"/>
  <c r="B249" i="23"/>
  <c r="F248" i="23"/>
  <c r="B248" i="23"/>
  <c r="F247" i="23"/>
  <c r="B247" i="23"/>
  <c r="F246" i="23"/>
  <c r="B246" i="23"/>
  <c r="N245" i="23"/>
  <c r="M245" i="23"/>
  <c r="L245" i="23"/>
  <c r="K245" i="23"/>
  <c r="J245" i="23"/>
  <c r="H245" i="23"/>
  <c r="G245" i="23"/>
  <c r="F245" i="23" s="1"/>
  <c r="D245" i="23"/>
  <c r="B245" i="23" s="1"/>
  <c r="C245" i="23"/>
  <c r="F243" i="23"/>
  <c r="B243" i="23"/>
  <c r="N242" i="23"/>
  <c r="M242" i="23"/>
  <c r="L242" i="23"/>
  <c r="K242" i="23"/>
  <c r="J242" i="23"/>
  <c r="H242" i="23"/>
  <c r="G242" i="23"/>
  <c r="F242" i="23" s="1"/>
  <c r="B242" i="23"/>
  <c r="F240" i="23"/>
  <c r="B240" i="23"/>
  <c r="F239" i="23"/>
  <c r="F238" i="23"/>
  <c r="B238" i="23"/>
  <c r="F237" i="23"/>
  <c r="B237" i="23"/>
  <c r="F236" i="23"/>
  <c r="B236" i="23"/>
  <c r="F235" i="23"/>
  <c r="B235" i="23"/>
  <c r="F234" i="23"/>
  <c r="B234" i="23"/>
  <c r="F233" i="23"/>
  <c r="B233" i="23"/>
  <c r="F232" i="23"/>
  <c r="B232" i="23"/>
  <c r="F231" i="23"/>
  <c r="B231" i="23"/>
  <c r="F230" i="23"/>
  <c r="B230" i="23"/>
  <c r="N229" i="23"/>
  <c r="M229" i="23"/>
  <c r="L229" i="23"/>
  <c r="K229" i="23"/>
  <c r="J229" i="23"/>
  <c r="H229" i="23"/>
  <c r="G229" i="23"/>
  <c r="F229" i="23" s="1"/>
  <c r="D229" i="23"/>
  <c r="C229" i="23"/>
  <c r="B229" i="23" s="1"/>
  <c r="F227" i="23"/>
  <c r="B227" i="23"/>
  <c r="F226" i="23"/>
  <c r="B226" i="23"/>
  <c r="F225" i="23"/>
  <c r="B225" i="23"/>
  <c r="F224" i="23"/>
  <c r="B224" i="23"/>
  <c r="F223" i="23"/>
  <c r="B223" i="23"/>
  <c r="F222" i="23"/>
  <c r="B222" i="23"/>
  <c r="F221" i="23"/>
  <c r="B221" i="23"/>
  <c r="F220" i="23"/>
  <c r="B220" i="23"/>
  <c r="F219" i="23"/>
  <c r="B219" i="23"/>
  <c r="F218" i="23"/>
  <c r="B218" i="23"/>
  <c r="N217" i="23"/>
  <c r="M217" i="23"/>
  <c r="L217" i="23"/>
  <c r="K217" i="23"/>
  <c r="J217" i="23"/>
  <c r="H217" i="23"/>
  <c r="G217" i="23"/>
  <c r="F217" i="23" s="1"/>
  <c r="D217" i="23"/>
  <c r="C217" i="23"/>
  <c r="B217" i="23"/>
  <c r="F215" i="23"/>
  <c r="B215" i="23"/>
  <c r="F214" i="23"/>
  <c r="B214" i="23"/>
  <c r="F213" i="23"/>
  <c r="B213" i="23"/>
  <c r="F212" i="23"/>
  <c r="B212" i="23"/>
  <c r="F211" i="23"/>
  <c r="B211" i="23"/>
  <c r="F210" i="23"/>
  <c r="B210" i="23"/>
  <c r="F209" i="23"/>
  <c r="B209" i="23"/>
  <c r="F208" i="23"/>
  <c r="B208" i="23"/>
  <c r="F207" i="23"/>
  <c r="B207" i="23"/>
  <c r="F206" i="23"/>
  <c r="B206" i="23"/>
  <c r="F205" i="23"/>
  <c r="B205" i="23"/>
  <c r="F204" i="23"/>
  <c r="B204" i="23"/>
  <c r="N203" i="23"/>
  <c r="M203" i="23"/>
  <c r="L203" i="23"/>
  <c r="K203" i="23"/>
  <c r="J203" i="23"/>
  <c r="H203" i="23"/>
  <c r="G203" i="23"/>
  <c r="F203" i="23"/>
  <c r="D203" i="23"/>
  <c r="C203" i="23"/>
  <c r="B203" i="23" s="1"/>
  <c r="F201" i="23"/>
  <c r="B201" i="23"/>
  <c r="F200" i="23"/>
  <c r="B200" i="23"/>
  <c r="F199" i="23"/>
  <c r="B199" i="23"/>
  <c r="F198" i="23"/>
  <c r="B198" i="23"/>
  <c r="F197" i="23"/>
  <c r="B197" i="23"/>
  <c r="F196" i="23"/>
  <c r="B196" i="23"/>
  <c r="F195" i="23"/>
  <c r="B195" i="23"/>
  <c r="F194" i="23"/>
  <c r="B194" i="23"/>
  <c r="F193" i="23"/>
  <c r="B193" i="23"/>
  <c r="F192" i="23"/>
  <c r="B192" i="23"/>
  <c r="F191" i="23"/>
  <c r="B191" i="23"/>
  <c r="F190" i="23"/>
  <c r="B190" i="23"/>
  <c r="F189" i="23"/>
  <c r="B189" i="23"/>
  <c r="N188" i="23"/>
  <c r="M188" i="23"/>
  <c r="L188" i="23"/>
  <c r="K188" i="23"/>
  <c r="J188" i="23"/>
  <c r="H188" i="23"/>
  <c r="G188" i="23"/>
  <c r="F188" i="23" s="1"/>
  <c r="D188" i="23"/>
  <c r="C188" i="23"/>
  <c r="B188" i="23" s="1"/>
  <c r="F186" i="23"/>
  <c r="B186" i="23"/>
  <c r="F185" i="23"/>
  <c r="B185" i="23"/>
  <c r="F184" i="23"/>
  <c r="B184" i="23"/>
  <c r="F183" i="23"/>
  <c r="B183" i="23"/>
  <c r="F182" i="23"/>
  <c r="B182" i="23"/>
  <c r="F181" i="23"/>
  <c r="B181" i="23"/>
  <c r="F180" i="23"/>
  <c r="B180" i="23"/>
  <c r="F179" i="23"/>
  <c r="B179" i="23"/>
  <c r="N178" i="23"/>
  <c r="M178" i="23"/>
  <c r="L178" i="23"/>
  <c r="K178" i="23"/>
  <c r="J178" i="23"/>
  <c r="H178" i="23"/>
  <c r="G178" i="23"/>
  <c r="F178" i="23" s="1"/>
  <c r="D178" i="23"/>
  <c r="C178" i="23"/>
  <c r="B178" i="23" s="1"/>
  <c r="F176" i="23"/>
  <c r="B176" i="23"/>
  <c r="F175" i="23"/>
  <c r="B175" i="23"/>
  <c r="F174" i="23"/>
  <c r="B174" i="23"/>
  <c r="F173" i="23"/>
  <c r="B173" i="23"/>
  <c r="F172" i="23"/>
  <c r="B172" i="23"/>
  <c r="N171" i="23"/>
  <c r="M171" i="23"/>
  <c r="L171" i="23"/>
  <c r="K171" i="23"/>
  <c r="J171" i="23"/>
  <c r="H171" i="23"/>
  <c r="G171" i="23"/>
  <c r="F171" i="23" s="1"/>
  <c r="D171" i="23"/>
  <c r="C171" i="23"/>
  <c r="B171" i="23" s="1"/>
  <c r="F169" i="23"/>
  <c r="B169" i="23"/>
  <c r="F168" i="23"/>
  <c r="B168" i="23"/>
  <c r="F167" i="23"/>
  <c r="B167" i="23"/>
  <c r="F166" i="23"/>
  <c r="B166" i="23"/>
  <c r="F165" i="23"/>
  <c r="B165" i="23"/>
  <c r="F164" i="23"/>
  <c r="B164" i="23"/>
  <c r="F163" i="23"/>
  <c r="B163" i="23"/>
  <c r="F162" i="23"/>
  <c r="B162" i="23"/>
  <c r="F161" i="23"/>
  <c r="B161" i="23"/>
  <c r="N160" i="23"/>
  <c r="M160" i="23"/>
  <c r="L160" i="23"/>
  <c r="K160" i="23"/>
  <c r="J160" i="23"/>
  <c r="H160" i="23"/>
  <c r="G160" i="23"/>
  <c r="F160" i="23" s="1"/>
  <c r="D160" i="23"/>
  <c r="C160" i="23"/>
  <c r="F158" i="23"/>
  <c r="B158" i="23"/>
  <c r="F157" i="23"/>
  <c r="B157" i="23"/>
  <c r="F156" i="23"/>
  <c r="B156" i="23"/>
  <c r="F155" i="23"/>
  <c r="B155" i="23"/>
  <c r="F154" i="23"/>
  <c r="B154" i="23"/>
  <c r="N153" i="23"/>
  <c r="M153" i="23"/>
  <c r="L153" i="23"/>
  <c r="K153" i="23"/>
  <c r="J153" i="23"/>
  <c r="H153" i="23"/>
  <c r="F153" i="23" s="1"/>
  <c r="G153" i="23"/>
  <c r="C153" i="23"/>
  <c r="B153" i="23" s="1"/>
  <c r="F151" i="23"/>
  <c r="B151" i="23"/>
  <c r="F150" i="23"/>
  <c r="B150" i="23"/>
  <c r="F149" i="23"/>
  <c r="B149" i="23"/>
  <c r="F148" i="23"/>
  <c r="B148" i="23"/>
  <c r="F147" i="23"/>
  <c r="B147" i="23"/>
  <c r="F146" i="23"/>
  <c r="B146" i="23"/>
  <c r="F145" i="23"/>
  <c r="B145" i="23"/>
  <c r="F144" i="23"/>
  <c r="B144" i="23"/>
  <c r="F143" i="23"/>
  <c r="B143" i="23"/>
  <c r="F142" i="23"/>
  <c r="B142" i="23"/>
  <c r="N141" i="23"/>
  <c r="M141" i="23"/>
  <c r="L141" i="23"/>
  <c r="K141" i="23"/>
  <c r="J141" i="23"/>
  <c r="H141" i="23"/>
  <c r="G141" i="23"/>
  <c r="D141" i="23"/>
  <c r="C141" i="23"/>
  <c r="B141" i="23" s="1"/>
  <c r="F139" i="23"/>
  <c r="B139" i="23"/>
  <c r="F138" i="23"/>
  <c r="B138" i="23"/>
  <c r="F137" i="23"/>
  <c r="B137" i="23"/>
  <c r="F136" i="23"/>
  <c r="B136" i="23"/>
  <c r="F135" i="23"/>
  <c r="B135" i="23"/>
  <c r="F134" i="23"/>
  <c r="B134" i="23"/>
  <c r="F133" i="23"/>
  <c r="B133" i="23"/>
  <c r="F132" i="23"/>
  <c r="B132" i="23"/>
  <c r="N131" i="23"/>
  <c r="M131" i="23"/>
  <c r="L131" i="23"/>
  <c r="K131" i="23"/>
  <c r="J131" i="23"/>
  <c r="H131" i="23"/>
  <c r="G131" i="23"/>
  <c r="F131" i="23" s="1"/>
  <c r="D131" i="23"/>
  <c r="C131" i="23"/>
  <c r="B131" i="23" s="1"/>
  <c r="F129" i="23"/>
  <c r="B129" i="23"/>
  <c r="F128" i="23"/>
  <c r="B128" i="23"/>
  <c r="F127" i="23"/>
  <c r="B127" i="23"/>
  <c r="F126" i="23"/>
  <c r="B126" i="23"/>
  <c r="F125" i="23"/>
  <c r="B125" i="23"/>
  <c r="F124" i="23"/>
  <c r="B124" i="23"/>
  <c r="F123" i="23"/>
  <c r="B123" i="23"/>
  <c r="F122" i="23"/>
  <c r="B122" i="23"/>
  <c r="F121" i="23"/>
  <c r="B121" i="23"/>
  <c r="N120" i="23"/>
  <c r="M120" i="23"/>
  <c r="L120" i="23"/>
  <c r="K120" i="23"/>
  <c r="J120" i="23"/>
  <c r="H120" i="23"/>
  <c r="G120" i="23"/>
  <c r="F120" i="23" s="1"/>
  <c r="D120" i="23"/>
  <c r="C120" i="23"/>
  <c r="C9" i="23" s="1"/>
  <c r="B9" i="23" s="1"/>
  <c r="F118" i="23"/>
  <c r="F117" i="23"/>
  <c r="B117" i="23"/>
  <c r="F116" i="23"/>
  <c r="B116" i="23"/>
  <c r="F115" i="23"/>
  <c r="B115" i="23"/>
  <c r="F114" i="23"/>
  <c r="B114" i="23"/>
  <c r="N113" i="23"/>
  <c r="M113" i="23"/>
  <c r="L113" i="23"/>
  <c r="K113" i="23"/>
  <c r="J113" i="23"/>
  <c r="H113" i="23"/>
  <c r="H9" i="23" s="1"/>
  <c r="H7" i="23" s="1"/>
  <c r="G113" i="23"/>
  <c r="D113" i="23"/>
  <c r="C113" i="23"/>
  <c r="B113" i="23"/>
  <c r="F111" i="23"/>
  <c r="B111" i="23"/>
  <c r="F110" i="23"/>
  <c r="B110" i="23"/>
  <c r="F109" i="23"/>
  <c r="B109" i="23"/>
  <c r="F108" i="23"/>
  <c r="B108" i="23"/>
  <c r="F107" i="23"/>
  <c r="B107" i="23"/>
  <c r="F106" i="23"/>
  <c r="B106" i="23"/>
  <c r="F105" i="23"/>
  <c r="B105" i="23"/>
  <c r="F104" i="23"/>
  <c r="B104" i="23"/>
  <c r="F103" i="23"/>
  <c r="B103" i="23"/>
  <c r="F102" i="23"/>
  <c r="B102" i="23"/>
  <c r="F101" i="23"/>
  <c r="B101" i="23"/>
  <c r="F100" i="23"/>
  <c r="B100" i="23"/>
  <c r="F99" i="23"/>
  <c r="B99" i="23"/>
  <c r="N98" i="23"/>
  <c r="M98" i="23"/>
  <c r="M9" i="23" s="1"/>
  <c r="M7" i="23" s="1"/>
  <c r="L98" i="23"/>
  <c r="K98" i="23"/>
  <c r="J98" i="23"/>
  <c r="H98" i="23"/>
  <c r="G98" i="23"/>
  <c r="D98" i="23"/>
  <c r="C98" i="23"/>
  <c r="F96" i="23"/>
  <c r="B96" i="23"/>
  <c r="F95" i="23"/>
  <c r="B95" i="23"/>
  <c r="F94" i="23"/>
  <c r="B94" i="23"/>
  <c r="F93" i="23"/>
  <c r="B93" i="23"/>
  <c r="F92" i="23"/>
  <c r="B92" i="23"/>
  <c r="F91" i="23"/>
  <c r="B91" i="23"/>
  <c r="F90" i="23"/>
  <c r="B90" i="23"/>
  <c r="F89" i="23"/>
  <c r="B89" i="23"/>
  <c r="F88" i="23"/>
  <c r="B88" i="23"/>
  <c r="F87" i="23"/>
  <c r="B87" i="23"/>
  <c r="F86" i="23"/>
  <c r="F85" i="23"/>
  <c r="B85" i="23"/>
  <c r="F84" i="23"/>
  <c r="B84" i="23"/>
  <c r="F83" i="23"/>
  <c r="B83" i="23"/>
  <c r="F82" i="23"/>
  <c r="B82" i="23"/>
  <c r="F81" i="23"/>
  <c r="B81" i="23"/>
  <c r="F80" i="23"/>
  <c r="B80" i="23"/>
  <c r="N79" i="23"/>
  <c r="M79" i="23"/>
  <c r="L79" i="23"/>
  <c r="K79" i="23"/>
  <c r="J79" i="23"/>
  <c r="H79" i="23"/>
  <c r="G79" i="23"/>
  <c r="F79" i="23" s="1"/>
  <c r="D79" i="23"/>
  <c r="C79" i="23"/>
  <c r="F77" i="23"/>
  <c r="B77" i="23"/>
  <c r="F76" i="23"/>
  <c r="B76" i="23"/>
  <c r="F75" i="23"/>
  <c r="B75" i="23"/>
  <c r="F74" i="23"/>
  <c r="B74" i="23"/>
  <c r="F73" i="23"/>
  <c r="B73" i="23"/>
  <c r="F72" i="23"/>
  <c r="B72" i="23"/>
  <c r="F71" i="23"/>
  <c r="B71" i="23"/>
  <c r="F70" i="23"/>
  <c r="B70" i="23"/>
  <c r="F69" i="23"/>
  <c r="B69" i="23"/>
  <c r="F68" i="23"/>
  <c r="B68" i="23"/>
  <c r="F67" i="23"/>
  <c r="B67" i="23"/>
  <c r="F66" i="23"/>
  <c r="B66" i="23"/>
  <c r="F65" i="23"/>
  <c r="B65" i="23"/>
  <c r="N64" i="23"/>
  <c r="M64" i="23"/>
  <c r="L64" i="23"/>
  <c r="K64" i="23"/>
  <c r="J64" i="23"/>
  <c r="J9" i="23" s="1"/>
  <c r="J7" i="23" s="1"/>
  <c r="H64" i="23"/>
  <c r="G64" i="23"/>
  <c r="F64" i="23" s="1"/>
  <c r="D64" i="23"/>
  <c r="C64" i="23"/>
  <c r="B64" i="23" s="1"/>
  <c r="F62" i="23"/>
  <c r="B62" i="23"/>
  <c r="F61" i="23"/>
  <c r="B61" i="23"/>
  <c r="F60" i="23"/>
  <c r="B60" i="23"/>
  <c r="F59" i="23"/>
  <c r="B59" i="23"/>
  <c r="F58" i="23"/>
  <c r="B58" i="23"/>
  <c r="F57" i="23"/>
  <c r="B57" i="23"/>
  <c r="F56" i="23"/>
  <c r="B56" i="23"/>
  <c r="F55" i="23"/>
  <c r="B55" i="23"/>
  <c r="F54" i="23"/>
  <c r="B54" i="23"/>
  <c r="F53" i="23"/>
  <c r="B53" i="23"/>
  <c r="F52" i="23"/>
  <c r="B52" i="23"/>
  <c r="F51" i="23"/>
  <c r="B51" i="23"/>
  <c r="F50" i="23"/>
  <c r="B50" i="23"/>
  <c r="F49" i="23"/>
  <c r="B49" i="23"/>
  <c r="F48" i="23"/>
  <c r="B48" i="23"/>
  <c r="F47" i="23"/>
  <c r="B47" i="23"/>
  <c r="N46" i="23"/>
  <c r="M46" i="23"/>
  <c r="L46" i="23"/>
  <c r="K46" i="23"/>
  <c r="J46" i="23"/>
  <c r="H46" i="23"/>
  <c r="G46" i="23"/>
  <c r="F46" i="23" s="1"/>
  <c r="D46" i="23"/>
  <c r="C46" i="23"/>
  <c r="F44" i="23"/>
  <c r="B44" i="23"/>
  <c r="F43" i="23"/>
  <c r="B43" i="23"/>
  <c r="F42" i="23"/>
  <c r="B42" i="23"/>
  <c r="F41" i="23"/>
  <c r="B41" i="23"/>
  <c r="F40" i="23"/>
  <c r="B40" i="23"/>
  <c r="F39" i="23"/>
  <c r="B39" i="23"/>
  <c r="F38" i="23"/>
  <c r="B38" i="23"/>
  <c r="F37" i="23"/>
  <c r="B37" i="23"/>
  <c r="F36" i="23"/>
  <c r="B36" i="23"/>
  <c r="F35" i="23"/>
  <c r="B35" i="23"/>
  <c r="F34" i="23"/>
  <c r="B34" i="23"/>
  <c r="F33" i="23"/>
  <c r="B33" i="23"/>
  <c r="F32" i="23"/>
  <c r="B32" i="23"/>
  <c r="F31" i="23"/>
  <c r="B31" i="23"/>
  <c r="F30" i="23"/>
  <c r="B30" i="23"/>
  <c r="F29" i="23"/>
  <c r="B29" i="23"/>
  <c r="N28" i="23"/>
  <c r="M28" i="23"/>
  <c r="L28" i="23"/>
  <c r="L9" i="23" s="1"/>
  <c r="L7" i="23" s="1"/>
  <c r="K28" i="23"/>
  <c r="J28" i="23"/>
  <c r="H28" i="23"/>
  <c r="G28" i="23"/>
  <c r="F28" i="23" s="1"/>
  <c r="D28" i="23"/>
  <c r="C28" i="23"/>
  <c r="B28" i="23" s="1"/>
  <c r="F26" i="23"/>
  <c r="B26" i="23"/>
  <c r="F25" i="23"/>
  <c r="B25" i="23"/>
  <c r="F24" i="23"/>
  <c r="B24" i="23"/>
  <c r="F23" i="23"/>
  <c r="B23" i="23"/>
  <c r="F22" i="23"/>
  <c r="B22" i="23"/>
  <c r="F21" i="23"/>
  <c r="B21" i="23"/>
  <c r="F20" i="23"/>
  <c r="B20" i="23"/>
  <c r="F19" i="23"/>
  <c r="B19" i="23"/>
  <c r="F18" i="23"/>
  <c r="B18" i="23"/>
  <c r="F17" i="23"/>
  <c r="B17" i="23"/>
  <c r="F16" i="23"/>
  <c r="B16" i="23"/>
  <c r="F15" i="23"/>
  <c r="B15" i="23"/>
  <c r="F14" i="23"/>
  <c r="B14" i="23"/>
  <c r="F13" i="23"/>
  <c r="B13" i="23"/>
  <c r="F12" i="23"/>
  <c r="B12" i="23"/>
  <c r="F11" i="23"/>
  <c r="B11" i="23"/>
  <c r="N10" i="23"/>
  <c r="N9" i="23" s="1"/>
  <c r="N7" i="23" s="1"/>
  <c r="M10" i="23"/>
  <c r="L10" i="23"/>
  <c r="K10" i="23"/>
  <c r="J10" i="23"/>
  <c r="H10" i="23"/>
  <c r="G10" i="23"/>
  <c r="F10" i="23" s="1"/>
  <c r="D10" i="23"/>
  <c r="D9" i="23" s="1"/>
  <c r="D7" i="23" s="1"/>
  <c r="C10" i="23"/>
  <c r="I9" i="23"/>
  <c r="G9" i="23"/>
  <c r="G7" i="23" s="1"/>
  <c r="F8" i="23"/>
  <c r="B8" i="23"/>
  <c r="F9" i="23" l="1"/>
  <c r="B10" i="23"/>
  <c r="B79" i="23"/>
  <c r="F113" i="23"/>
  <c r="B120" i="23"/>
  <c r="B160" i="23"/>
  <c r="B98" i="23"/>
  <c r="F141" i="23"/>
  <c r="B46" i="23"/>
  <c r="F98" i="23"/>
  <c r="K9" i="23"/>
  <c r="K7" i="23" s="1"/>
  <c r="F7" i="23"/>
  <c r="C7" i="23"/>
  <c r="B7" i="23" s="1"/>
</calcChain>
</file>

<file path=xl/sharedStrings.xml><?xml version="1.0" encoding="utf-8"?>
<sst xmlns="http://schemas.openxmlformats.org/spreadsheetml/2006/main" count="612" uniqueCount="446">
  <si>
    <t>ޖުމްލަ</t>
  </si>
  <si>
    <t>-</t>
  </si>
  <si>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</si>
  <si>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</si>
  <si>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</si>
  <si>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</si>
  <si>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</si>
  <si>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</si>
  <si>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</si>
  <si>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</si>
  <si>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</si>
  <si>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</si>
  <si>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</si>
  <si>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</si>
  <si>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</si>
  <si>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</si>
  <si>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</si>
  <si>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</si>
  <si>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</si>
  <si>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</si>
  <si>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</si>
  <si>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</si>
  <si>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</si>
  <si>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</si>
  <si>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</si>
  <si>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</si>
  <si>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</si>
  <si>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</si>
  <si>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</si>
  <si>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</si>
  <si>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</si>
  <si>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</si>
  <si>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</si>
  <si>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</si>
  <si>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</si>
  <si>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</si>
  <si>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</si>
  <si>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</si>
  <si>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</si>
  <si>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</si>
  <si>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</si>
  <si>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</si>
  <si>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</si>
  <si>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</si>
  <si>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</si>
  <si>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</si>
  <si>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</si>
  <si>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</si>
  <si>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</si>
  <si>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</si>
  <si>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</si>
  <si>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</si>
  <si>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</si>
  <si>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</si>
  <si>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</si>
  <si>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</si>
  <si>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</si>
  <si>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</si>
  <si>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</si>
  <si>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</si>
  <si>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</si>
  <si>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</si>
  <si>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</si>
  <si>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</si>
  <si>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</si>
  <si>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</si>
  <si>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</si>
  <si>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</si>
  <si>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</si>
  <si>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</si>
  <si>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</si>
  <si>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</si>
  <si>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</si>
  <si>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</si>
  <si>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</si>
  <si>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</si>
  <si>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</si>
  <si>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</si>
  <si>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</si>
  <si>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</si>
  <si>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</si>
  <si>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</si>
  <si>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</si>
  <si>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</si>
  <si>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</si>
  <si>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</si>
  <si>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</si>
  <si>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</si>
  <si>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</si>
  <si>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</si>
  <si>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</si>
  <si>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</si>
  <si>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</si>
  <si>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</si>
  <si>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</si>
  <si>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</si>
  <si>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</si>
  <si>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</si>
  <si>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</si>
  <si>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</si>
  <si>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</si>
  <si>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</si>
  <si>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</si>
  <si>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</si>
  <si>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</si>
  <si>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</si>
  <si>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</si>
  <si>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</si>
  <si>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</si>
  <si>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</si>
  <si>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</si>
  <si>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</si>
  <si>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</si>
  <si>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</si>
  <si>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</si>
  <si>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</si>
  <si>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</si>
  <si>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</si>
  <si>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</si>
  <si>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</si>
  <si>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</si>
  <si>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</si>
  <si>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</si>
  <si>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</si>
  <si>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</si>
  <si>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</si>
  <si>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</si>
  <si>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</si>
  <si>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</si>
  <si>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</si>
  <si>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</si>
  <si>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</si>
  <si>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</si>
  <si>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</si>
  <si>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</si>
  <si>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</si>
  <si>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</si>
  <si>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</si>
  <si>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</si>
  <si>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</si>
  <si>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</si>
  <si>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</si>
  <si>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</si>
  <si>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</si>
  <si>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</si>
  <si>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</si>
  <si>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</si>
  <si>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</si>
  <si>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</si>
  <si>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</si>
  <si>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</si>
  <si>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</si>
  <si>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</si>
  <si>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</si>
  <si>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</si>
  <si>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</si>
  <si>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</si>
  <si>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</si>
  <si>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</si>
  <si>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</si>
  <si>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</si>
  <si>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</si>
  <si>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</si>
  <si>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</si>
  <si>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</si>
  <si>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</si>
  <si>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</si>
  <si>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</si>
  <si>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</si>
  <si>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</si>
  <si>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</si>
  <si>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</si>
  <si>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</si>
  <si>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</si>
  <si>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</si>
  <si>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</si>
  <si>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</si>
  <si>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</si>
  <si>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</si>
  <si>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</si>
  <si>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</si>
  <si>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</si>
  <si>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</si>
  <si>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</si>
  <si>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</si>
  <si>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</si>
  <si>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</si>
  <si>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</si>
  <si>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</si>
  <si>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</si>
  <si>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</si>
  <si>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</si>
  <si>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</si>
  <si>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</si>
  <si>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</si>
  <si>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</si>
  <si>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</si>
  <si>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</si>
  <si>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</si>
  <si>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</si>
  <si>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</si>
  <si>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</si>
  <si>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</si>
  <si>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</si>
  <si>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</si>
  <si>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</si>
  <si>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</si>
  <si>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</si>
  <si>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</si>
  <si>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</si>
  <si>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</si>
  <si>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</si>
  <si>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</si>
  <si>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</si>
  <si>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</si>
  <si>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</si>
  <si>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</si>
  <si>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</si>
  <si>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</si>
  <si>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</si>
  <si>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</si>
  <si>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</si>
  <si>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</si>
  <si>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</si>
  <si>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</si>
  <si>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</si>
  <si>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</si>
  <si>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</si>
  <si>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</si>
  <si>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</si>
  <si>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</si>
  <si>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</si>
  <si>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</si>
  <si>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</si>
  <si>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</si>
  <si>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</si>
  <si>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</si>
  <si>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</si>
  <si>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</si>
  <si>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</si>
  <si>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</si>
  <si>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</si>
  <si>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</si>
  <si>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</si>
  <si>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</si>
  <si>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</si>
  <si>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</si>
  <si>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</si>
  <si>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</si>
  <si>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</si>
  <si>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</si>
  <si>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</si>
  <si>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</si>
  <si>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</si>
  <si>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</si>
  <si>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</si>
  <si>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</si>
  <si>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</si>
  <si>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</si>
  <si>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</si>
  <si>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</si>
  <si>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</si>
  <si>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</si>
  <si>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</si>
  <si>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</si>
  <si>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</si>
  <si>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</si>
  <si>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</si>
  <si>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</si>
  <si>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</si>
  <si>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</si>
  <si>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</si>
  <si>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</si>
  <si>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</si>
  <si>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</si>
  <si>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</si>
  <si>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</si>
  <si>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</si>
  <si>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</si>
  <si>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</si>
  <si>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</si>
  <si>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</si>
  <si>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</si>
  <si>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</si>
  <si>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</si>
  <si>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</si>
  <si>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</si>
  <si>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</si>
  <si>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</si>
  <si>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</si>
  <si>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</si>
  <si>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</si>
  <si>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</si>
  <si>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</si>
  <si>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</si>
  <si>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</si>
  <si>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</si>
  <si>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</si>
  <si>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</si>
  <si>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</si>
  <si>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</si>
  <si>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</si>
  <si>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</si>
  <si>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</si>
  <si>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</si>
  <si>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</si>
  <si>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</si>
  <si>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</si>
  <si>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</si>
  <si>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</si>
  <si>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</si>
  <si>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</si>
  <si>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</si>
  <si>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</si>
  <si>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</si>
  <si>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</si>
  <si>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</si>
  <si>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</si>
  <si>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</si>
  <si>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</si>
  <si>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</si>
  <si>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</si>
  <si>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</si>
  <si>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</si>
  <si>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</si>
  <si>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</si>
  <si>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</si>
  <si>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</si>
  <si>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</si>
  <si>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</si>
  <si>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</si>
  <si>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</si>
  <si>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</si>
  <si>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</si>
  <si>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</si>
  <si>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</si>
  <si>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</si>
  <si>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</si>
  <si>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</si>
  <si>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</si>
  <si>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</si>
  <si>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</si>
  <si>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</si>
  <si>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</si>
  <si>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</si>
  <si>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</si>
  <si>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</si>
  <si>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</si>
  <si>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</si>
  <si>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</si>
  <si>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</si>
  <si>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</si>
  <si>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</si>
  <si>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</si>
  <si>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</si>
  <si>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</si>
  <si>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</si>
  <si>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</si>
  <si>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</si>
  <si>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</si>
  <si>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</si>
  <si>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</si>
  <si>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</si>
  <si>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</si>
  <si>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</si>
  <si>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</si>
  <si>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</si>
  <si>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</si>
  <si>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</si>
  <si>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</si>
  <si>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</si>
  <si>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</si>
  <si>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</si>
  <si>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</si>
  <si>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</si>
  <si>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</si>
  <si>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</si>
  <si>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</si>
  <si>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</si>
  <si>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</si>
  <si>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</si>
  <si>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</si>
  <si>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</si>
  <si>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</si>
  <si>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</si>
  <si>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</si>
  <si>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</si>
  <si>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</si>
  <si>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</si>
  <si>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</si>
  <si>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</si>
  <si>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</si>
  <si>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</si>
  <si>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</si>
  <si>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</si>
  <si>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</si>
  <si>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</si>
  <si>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</si>
  <si>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TOTAL</t>
  </si>
  <si>
    <t>AASANDHA</t>
  </si>
  <si>
    <t>Male'</t>
  </si>
  <si>
    <t xml:space="preserve">ރާއްޖެއިން ބޭރު ހޮސްޕިޓަލް </t>
  </si>
  <si>
    <t>Expenditure is based on the claims approved.</t>
  </si>
  <si>
    <t xml:space="preserve">ޚަރަދުގައި ހިމެނެނީ ހުއްދަ ދެވިފައިވާ ޚާރަދުތަކެވެ. </t>
  </si>
  <si>
    <t>މަދަނަ</t>
  </si>
  <si>
    <t>މަދަނަ ޕްލަސް</t>
  </si>
  <si>
    <t xml:space="preserve">MADHANA </t>
  </si>
  <si>
    <t>MADHANA PLUS</t>
  </si>
  <si>
    <r>
      <t xml:space="preserve">Berinmadhoo </t>
    </r>
    <r>
      <rPr>
        <vertAlign val="superscript"/>
        <sz val="10"/>
        <color theme="1"/>
        <rFont val="Arial"/>
        <family val="2"/>
      </rPr>
      <t>1_/</t>
    </r>
  </si>
  <si>
    <r>
      <t>1_/</t>
    </r>
    <r>
      <rPr>
        <sz val="9"/>
        <color theme="1"/>
        <rFont val="A_Randhoo"/>
      </rPr>
      <t xml:space="preserve"> Udwmcnireb</t>
    </r>
  </si>
  <si>
    <t>Hathifushi</t>
  </si>
  <si>
    <t>iSufitwh</t>
  </si>
  <si>
    <t>Faridhoo</t>
  </si>
  <si>
    <t>Udirwf</t>
  </si>
  <si>
    <t>Maakan'doodhoo</t>
  </si>
  <si>
    <t>1_/ UdUDnwkWm</t>
  </si>
  <si>
    <r>
      <t xml:space="preserve">Firun'baidhoo </t>
    </r>
    <r>
      <rPr>
        <vertAlign val="superscript"/>
        <sz val="10"/>
        <color theme="1"/>
        <rFont val="Arial"/>
        <family val="2"/>
      </rPr>
      <t>1_/</t>
    </r>
  </si>
  <si>
    <t>1_/  Udiawburif</t>
  </si>
  <si>
    <r>
      <t xml:space="preserve">Milandhoo </t>
    </r>
    <r>
      <rPr>
        <vertAlign val="superscript"/>
        <sz val="10"/>
        <color theme="1"/>
        <rFont val="Arial"/>
        <family val="2"/>
      </rPr>
      <t>3_/</t>
    </r>
  </si>
  <si>
    <r>
      <t>3_/</t>
    </r>
    <r>
      <rPr>
        <sz val="9"/>
        <color theme="1"/>
        <rFont val="A_Randhoo"/>
      </rPr>
      <t xml:space="preserve"> Udcnwlim</t>
    </r>
  </si>
  <si>
    <r>
      <t xml:space="preserve">Kandolhudhoo 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</si>
  <si>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UduLodnwk</t>
    </r>
  </si>
  <si>
    <r>
      <t xml:space="preserve">Dhuvaafaru  </t>
    </r>
    <r>
      <rPr>
        <vertAlign val="superscript"/>
        <sz val="10"/>
        <color theme="1"/>
        <rFont val="Arial"/>
        <family val="2"/>
      </rPr>
      <t>3_/</t>
    </r>
  </si>
  <si>
    <t xml:space="preserve">Ungulu </t>
  </si>
  <si>
    <t>އުނގުލު</t>
  </si>
  <si>
    <t>Udcnwm</t>
  </si>
  <si>
    <r>
      <t xml:space="preserve">Madifushi </t>
    </r>
    <r>
      <rPr>
        <vertAlign val="superscript"/>
        <sz val="10"/>
        <color theme="1"/>
        <rFont val="Arial"/>
        <family val="2"/>
      </rPr>
      <t>2_/</t>
    </r>
  </si>
  <si>
    <t xml:space="preserve"> 2_/ iSufiDwm</t>
  </si>
  <si>
    <r>
      <t>Gemendhoo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</si>
  <si>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Udcnemeg</t>
    </r>
  </si>
  <si>
    <r>
      <t xml:space="preserve">Vilufushi </t>
    </r>
    <r>
      <rPr>
        <vertAlign val="superscript"/>
        <sz val="10"/>
        <color theme="1"/>
        <rFont val="Arial"/>
        <family val="2"/>
      </rPr>
      <t>2_/</t>
    </r>
  </si>
  <si>
    <r>
      <t>2_/</t>
    </r>
    <r>
      <rPr>
        <sz val="9"/>
        <color theme="1"/>
        <rFont val="A_Randhoo"/>
      </rPr>
      <t xml:space="preserve"> iSufuliv</t>
    </r>
  </si>
  <si>
    <r>
      <t>Dhiyadhoo</t>
    </r>
    <r>
      <rPr>
        <vertAlign val="superscript"/>
        <sz val="10"/>
        <color theme="1"/>
        <rFont val="Calibri"/>
        <family val="2"/>
        <scheme val="minor"/>
      </rPr>
      <t xml:space="preserve"> 2_/  </t>
    </r>
  </si>
  <si>
    <t>Maathodaa</t>
  </si>
  <si>
    <t>WDotWm</t>
  </si>
  <si>
    <t>Fares</t>
  </si>
  <si>
    <t>cserwf</t>
  </si>
  <si>
    <t>Overseas Hospital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</si>
  <si>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</si>
  <si>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</si>
  <si>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</si>
  <si>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</si>
  <si>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</si>
  <si>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</si>
  <si>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>Table 18.23 :  EXPENDITURE UNDER HEALTH INSURANCE SCHEMES BY ISLAND,  2014 - 2016</t>
  </si>
  <si>
    <t>ތާވަލް 18.23: އިޖްތިމާއީ ރައްކާތެރިކަމުގެ ދަށުން ހިނގިޚަރަދު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</si>
</sst>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2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_Randhoo"/>
    </font>
    <font>
      <sz val="9"/>
      <color theme="1"/>
      <name val="Courier"/>
      <family val="3"/>
    </font>
    <font>
      <sz val="9"/>
      <color theme="1"/>
      <name val="A_Randhoo"/>
    </font>
    <font>
      <vertAlign val="superscript"/>
      <sz val="10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A_Reethi"/>
    </font>
    <font>
      <vertAlign val="superscript"/>
      <sz val="10"/>
      <color theme="1"/>
      <name val="Calibri"/>
      <family val="2"/>
      <scheme val="minor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4" fillId="0" borderId="0"/>
    <xf numFmtId="164" fontId="8" fillId="0" borderId="0"/>
    <xf numFmtId="0" fontId="8" fillId="0" borderId="0"/>
    <xf numFmtId="0" fontId="4" fillId="0" borderId="0"/>
  </cellStyleXfs>
  <cellXfs count="65">
    <xf numFmtId="0" fontId="0" fillId="0" borderId="0" xfId="0" applyFont="1" applyAlignment="1"/>
    <xf numFmtId="0" fontId="5" fillId="2" borderId="0" xfId="0" applyFont="1" applyFill="1" applyBorder="1" applyAlignment="1">
      <alignment horizontal="right" vertical="center" wrapText="1"/>
    </xf>
    <xf numFmtId="164" fontId="9" fillId="2" borderId="0" xfId="1" applyNumberFormat="1" applyFont="1" applyFill="1" applyBorder="1" applyAlignment="1">
      <alignment horizontal="right" vertical="center"/>
    </xf>
    <xf numFmtId="164" fontId="12" fillId="2" borderId="0" xfId="1" applyNumberFormat="1" applyFont="1" applyFill="1" applyAlignment="1">
      <alignment horizontal="right" vertical="center"/>
    </xf>
    <xf numFmtId="164" fontId="12" fillId="2" borderId="0" xfId="1" applyNumberFormat="1" applyFont="1" applyFill="1" applyBorder="1" applyAlignment="1">
      <alignment horizontal="right" vertical="center"/>
    </xf>
    <xf numFmtId="164" fontId="12" fillId="2" borderId="1" xfId="1" applyNumberFormat="1" applyFont="1" applyFill="1" applyBorder="1" applyAlignment="1">
      <alignment horizontal="right" vertical="center"/>
    </xf>
    <xf numFmtId="167" fontId="7" fillId="2" borderId="0" xfId="4" applyNumberFormat="1" applyFont="1" applyFill="1" applyAlignment="1">
      <alignment horizontal="right" vertical="center"/>
    </xf>
    <xf numFmtId="4" fontId="1" fillId="2" borderId="0" xfId="0" applyNumberFormat="1" applyFont="1" applyFill="1"/>
    <xf numFmtId="0" fontId="14" fillId="2" borderId="0" xfId="0" applyFont="1" applyFill="1"/>
    <xf numFmtId="3" fontId="15" fillId="2" borderId="0" xfId="2" applyNumberFormat="1" applyFont="1" applyFill="1"/>
    <xf numFmtId="0" fontId="3" fillId="2" borderId="2" xfId="2" applyNumberFormat="1" applyFont="1" applyFill="1" applyBorder="1" applyAlignment="1" applyProtection="1">
      <alignment horizontal="center"/>
    </xf>
    <xf numFmtId="0" fontId="3" fillId="2" borderId="4" xfId="2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>
      <alignment horizontal="right" wrapText="1"/>
    </xf>
    <xf numFmtId="4" fontId="5" fillId="2" borderId="0" xfId="0" applyNumberFormat="1" applyFont="1" applyFill="1" applyBorder="1" applyAlignment="1">
      <alignment horizontal="right" wrapText="1"/>
    </xf>
    <xf numFmtId="3" fontId="16" fillId="2" borderId="0" xfId="2" applyNumberFormat="1" applyFont="1" applyFill="1" applyBorder="1" applyAlignment="1">
      <alignment horizontal="right" vertical="center"/>
    </xf>
    <xf numFmtId="167" fontId="9" fillId="2" borderId="0" xfId="3" applyNumberFormat="1" applyFont="1" applyFill="1" applyBorder="1" applyAlignment="1">
      <alignment horizontal="right" vertical="center" wrapText="1"/>
    </xf>
    <xf numFmtId="167" fontId="18" fillId="2" borderId="0" xfId="0" applyNumberFormat="1" applyFont="1" applyFill="1"/>
    <xf numFmtId="3" fontId="16" fillId="2" borderId="1" xfId="2" applyNumberFormat="1" applyFont="1" applyFill="1" applyBorder="1" applyAlignment="1">
      <alignment horizontal="right" vertical="center"/>
    </xf>
    <xf numFmtId="167" fontId="9" fillId="2" borderId="1" xfId="3" applyNumberFormat="1" applyFont="1" applyFill="1" applyBorder="1" applyAlignment="1">
      <alignment horizontal="right" vertical="center" wrapText="1"/>
    </xf>
    <xf numFmtId="167" fontId="18" fillId="2" borderId="0" xfId="0" applyNumberFormat="1" applyFont="1" applyFill="1" applyBorder="1"/>
    <xf numFmtId="167" fontId="9" fillId="2" borderId="0" xfId="3" applyNumberFormat="1" applyFont="1" applyFill="1" applyBorder="1" applyAlignment="1" applyProtection="1">
      <alignment horizontal="left" vertical="center"/>
    </xf>
    <xf numFmtId="3" fontId="9" fillId="2" borderId="0" xfId="3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 applyProtection="1">
      <alignment horizontal="center" vertical="center"/>
    </xf>
    <xf numFmtId="3" fontId="6" fillId="2" borderId="0" xfId="2" applyNumberFormat="1" applyFont="1" applyFill="1" applyBorder="1" applyAlignment="1" applyProtection="1">
      <alignment horizontal="right" vertical="center" indent="2"/>
    </xf>
    <xf numFmtId="167" fontId="1" fillId="2" borderId="0" xfId="0" applyNumberFormat="1" applyFont="1" applyFill="1"/>
    <xf numFmtId="0" fontId="1" fillId="2" borderId="0" xfId="0" applyFont="1" applyFill="1" applyBorder="1"/>
    <xf numFmtId="43" fontId="1" fillId="2" borderId="0" xfId="1" applyFont="1" applyFill="1" applyBorder="1"/>
    <xf numFmtId="167" fontId="1" fillId="2" borderId="0" xfId="0" applyNumberFormat="1" applyFont="1" applyFill="1" applyBorder="1"/>
    <xf numFmtId="4" fontId="1" fillId="2" borderId="0" xfId="1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/>
    <xf numFmtId="3" fontId="17" fillId="2" borderId="0" xfId="2" applyNumberFormat="1" applyFont="1" applyFill="1" applyBorder="1" applyAlignment="1" applyProtection="1">
      <alignment horizontal="right" vertical="center" indent="2"/>
    </xf>
    <xf numFmtId="3" fontId="10" fillId="2" borderId="0" xfId="2" applyNumberFormat="1" applyFont="1" applyFill="1" applyBorder="1"/>
    <xf numFmtId="3" fontId="19" fillId="2" borderId="0" xfId="2" applyNumberFormat="1" applyFont="1" applyFill="1" applyBorder="1" applyAlignment="1" applyProtection="1">
      <alignment horizontal="right" vertical="center" indent="2"/>
    </xf>
    <xf numFmtId="3" fontId="21" fillId="2" borderId="0" xfId="2" applyNumberFormat="1" applyFont="1" applyFill="1" applyBorder="1" applyAlignment="1" applyProtection="1">
      <alignment horizontal="right" vertical="center" indent="2"/>
    </xf>
    <xf numFmtId="3" fontId="22" fillId="2" borderId="0" xfId="2" applyNumberFormat="1" applyFont="1" applyFill="1" applyBorder="1" applyAlignment="1" applyProtection="1">
      <alignment horizontal="right" vertical="center" indent="2"/>
    </xf>
    <xf numFmtId="167" fontId="1" fillId="2" borderId="0" xfId="0" applyNumberFormat="1" applyFont="1" applyFill="1" applyBorder="1" applyAlignment="1">
      <alignment horizontal="right" indent="2"/>
    </xf>
    <xf numFmtId="3" fontId="19" fillId="2" borderId="0" xfId="2" applyNumberFormat="1" applyFont="1" applyFill="1" applyBorder="1" applyAlignment="1">
      <alignment horizontal="right" vertical="center" indent="2"/>
    </xf>
    <xf numFmtId="3" fontId="10" fillId="2" borderId="0" xfId="2" applyNumberFormat="1" applyFont="1" applyFill="1"/>
    <xf numFmtId="43" fontId="1" fillId="2" borderId="0" xfId="1" applyFont="1" applyFill="1"/>
    <xf numFmtId="3" fontId="10" fillId="2" borderId="1" xfId="2" applyNumberFormat="1" applyFont="1" applyFill="1" applyBorder="1"/>
    <xf numFmtId="3" fontId="9" fillId="2" borderId="1" xfId="3" applyNumberFormat="1" applyFont="1" applyFill="1" applyBorder="1" applyAlignment="1" applyProtection="1">
      <alignment horizontal="right" vertical="center"/>
    </xf>
    <xf numFmtId="164" fontId="9" fillId="2" borderId="1" xfId="1" applyNumberFormat="1" applyFont="1" applyFill="1" applyBorder="1" applyAlignment="1" applyProtection="1">
      <alignment horizontal="center" vertical="center"/>
    </xf>
    <xf numFmtId="3" fontId="7" fillId="2" borderId="1" xfId="2" applyNumberFormat="1" applyFont="1" applyFill="1" applyBorder="1" applyAlignment="1" applyProtection="1">
      <alignment horizontal="right" vertical="center" indent="2"/>
    </xf>
    <xf numFmtId="3" fontId="24" fillId="2" borderId="0" xfId="2" applyNumberFormat="1" applyFont="1" applyFill="1" applyAlignment="1">
      <alignment vertical="center"/>
    </xf>
    <xf numFmtId="3" fontId="24" fillId="2" borderId="0" xfId="2" applyNumberFormat="1" applyFont="1" applyFill="1" applyAlignment="1">
      <alignment horizontal="right" vertical="center"/>
    </xf>
    <xf numFmtId="167" fontId="1" fillId="2" borderId="0" xfId="0" applyNumberFormat="1" applyFont="1" applyFill="1" applyAlignment="1">
      <alignment horizontal="right"/>
    </xf>
    <xf numFmtId="0" fontId="19" fillId="2" borderId="0" xfId="2" applyFont="1" applyFill="1" applyAlignment="1">
      <alignment horizontal="right" vertical="center"/>
    </xf>
    <xf numFmtId="0" fontId="7" fillId="2" borderId="0" xfId="2" applyFont="1" applyFill="1" applyAlignment="1">
      <alignment horizontal="right" vertical="center"/>
    </xf>
    <xf numFmtId="167" fontId="11" fillId="2" borderId="0" xfId="3" applyNumberFormat="1" applyFont="1" applyFill="1" applyBorder="1" applyAlignment="1" applyProtection="1">
      <alignment horizontal="left" vertical="center"/>
    </xf>
    <xf numFmtId="167" fontId="11" fillId="2" borderId="0" xfId="3" applyNumberFormat="1" applyFont="1" applyFill="1" applyBorder="1" applyAlignment="1" applyProtection="1">
      <alignment horizontal="right" vertical="center"/>
    </xf>
    <xf numFmtId="3" fontId="13" fillId="2" borderId="0" xfId="2" applyNumberFormat="1" applyFont="1" applyFill="1" applyAlignment="1">
      <alignment horizontal="center" vertical="center" readingOrder="2"/>
    </xf>
    <xf numFmtId="3" fontId="3" fillId="2" borderId="1" xfId="2" applyNumberFormat="1" applyFont="1" applyFill="1" applyBorder="1" applyAlignment="1" applyProtection="1">
      <alignment horizontal="center"/>
    </xf>
    <xf numFmtId="3" fontId="16" fillId="2" borderId="2" xfId="2" applyNumberFormat="1" applyFont="1" applyFill="1" applyBorder="1" applyAlignment="1">
      <alignment horizontal="left" vertical="center"/>
    </xf>
    <xf numFmtId="3" fontId="16" fillId="2" borderId="0" xfId="2" applyNumberFormat="1" applyFont="1" applyFill="1" applyBorder="1" applyAlignment="1">
      <alignment horizontal="left" vertical="center"/>
    </xf>
    <xf numFmtId="3" fontId="16" fillId="2" borderId="1" xfId="2" applyNumberFormat="1" applyFont="1" applyFill="1" applyBorder="1" applyAlignment="1">
      <alignment horizontal="left" vertical="center"/>
    </xf>
    <xf numFmtId="0" fontId="3" fillId="2" borderId="3" xfId="2" applyNumberFormat="1" applyFont="1" applyFill="1" applyBorder="1" applyAlignment="1" applyProtection="1">
      <alignment horizontal="center"/>
    </xf>
    <xf numFmtId="0" fontId="3" fillId="2" borderId="3" xfId="2" applyNumberFormat="1" applyFont="1" applyFill="1" applyBorder="1" applyAlignment="1" applyProtection="1">
      <alignment horizontal="center" vertical="center"/>
    </xf>
    <xf numFmtId="3" fontId="17" fillId="2" borderId="2" xfId="2" applyNumberFormat="1" applyFont="1" applyFill="1" applyBorder="1" applyAlignment="1">
      <alignment horizontal="right" vertical="center" wrapText="1" indent="2"/>
    </xf>
    <xf numFmtId="3" fontId="17" fillId="2" borderId="0" xfId="2" applyNumberFormat="1" applyFont="1" applyFill="1" applyBorder="1" applyAlignment="1">
      <alignment horizontal="right" vertical="center" wrapText="1" indent="2"/>
    </xf>
    <xf numFmtId="3" fontId="17" fillId="2" borderId="1" xfId="2" applyNumberFormat="1" applyFont="1" applyFill="1" applyBorder="1" applyAlignment="1">
      <alignment horizontal="right" vertical="center" wrapText="1" indent="2"/>
    </xf>
    <xf numFmtId="167" fontId="9" fillId="2" borderId="0" xfId="3" applyNumberFormat="1" applyFont="1" applyFill="1" applyBorder="1" applyAlignment="1">
      <alignment horizontal="right" vertical="center" wrapText="1"/>
    </xf>
    <xf numFmtId="167" fontId="9" fillId="2" borderId="1" xfId="3" applyNumberFormat="1" applyFont="1" applyFill="1" applyBorder="1" applyAlignment="1">
      <alignment horizontal="right" vertical="center" wrapText="1"/>
    </xf>
    <xf numFmtId="4" fontId="9" fillId="2" borderId="0" xfId="3" applyNumberFormat="1" applyFont="1" applyFill="1" applyBorder="1" applyAlignment="1">
      <alignment horizontal="right" vertical="center" wrapText="1"/>
    </xf>
    <xf numFmtId="4" fontId="9" fillId="2" borderId="1" xfId="3" applyNumberFormat="1" applyFont="1" applyFill="1" applyBorder="1" applyAlignment="1">
      <alignment horizontal="right" vertical="center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59"/>
  <sheetViews>
    <sheetView tabSelected="1" zoomScaleNormal="100" workbookViewId="0">
      <selection activeCell="Q20" sqref="Q20"/>
    </sheetView>
  </sheetViews>
  <sheetFormatPr defaultRowHeight="15" x14ac:dyDescent="0.25"/>
  <cols>
    <col min="1" max="1" width="27.140625" style="25" customWidth="1"/>
    <col min="2" max="2" width="19.5703125" style="46" hidden="1" customWidth="1"/>
    <col min="3" max="3" width="19.7109375" style="25" hidden="1" customWidth="1"/>
    <col min="4" max="4" width="0.28515625" style="25" hidden="1" customWidth="1"/>
    <col min="5" max="5" width="12" style="25" hidden="1" customWidth="1"/>
    <col min="6" max="6" width="15.140625" style="25" hidden="1" customWidth="1"/>
    <col min="7" max="7" width="15.42578125" style="46" hidden="1" customWidth="1"/>
    <col min="8" max="8" width="15.42578125" style="7" hidden="1" customWidth="1"/>
    <col min="9" max="9" width="1.7109375" style="25" hidden="1" customWidth="1"/>
    <col min="10" max="10" width="14.7109375" style="46" hidden="1" customWidth="1"/>
    <col min="11" max="11" width="15.7109375" style="46" hidden="1" customWidth="1"/>
    <col min="12" max="14" width="18.140625" style="46" customWidth="1"/>
    <col min="15" max="15" width="27.7109375" style="25" customWidth="1"/>
    <col min="16" max="17" width="9.140625" style="39"/>
    <col min="18" max="18" width="9.140625" style="25"/>
    <col min="19" max="19" width="9.140625" style="39"/>
    <col min="20" max="16384" width="9.140625" style="25"/>
  </cols>
  <sheetData>
    <row r="1" spans="1:19" s="9" customFormat="1" ht="21" x14ac:dyDescent="0.2">
      <c r="A1" s="51" t="s">
        <v>445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9" s="9" customFormat="1" x14ac:dyDescent="0.25">
      <c r="A2" s="52" t="s">
        <v>444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9" s="9" customFormat="1" x14ac:dyDescent="0.25">
      <c r="A3" s="53" t="s">
        <v>2</v>
      </c>
      <c r="B3" s="56">
        <v>2010</v>
      </c>
      <c r="C3" s="56"/>
      <c r="D3" s="56"/>
      <c r="E3" s="10"/>
      <c r="F3" s="57">
        <v>2011</v>
      </c>
      <c r="G3" s="57"/>
      <c r="H3" s="57"/>
      <c r="I3" s="10"/>
      <c r="J3" s="11">
        <v>2012</v>
      </c>
      <c r="K3" s="11">
        <v>2013</v>
      </c>
      <c r="L3" s="11">
        <v>2014</v>
      </c>
      <c r="M3" s="11">
        <v>2015</v>
      </c>
      <c r="N3" s="11">
        <v>2016</v>
      </c>
      <c r="O3" s="58" t="s">
        <v>3</v>
      </c>
    </row>
    <row r="4" spans="1:19" s="8" customFormat="1" ht="21" customHeight="1" x14ac:dyDescent="0.55000000000000004">
      <c r="A4" s="54"/>
      <c r="B4" s="1" t="s">
        <v>0</v>
      </c>
      <c r="C4" s="1" t="s">
        <v>404</v>
      </c>
      <c r="D4" s="12" t="s">
        <v>405</v>
      </c>
      <c r="E4" s="12"/>
      <c r="F4" s="1" t="s">
        <v>0</v>
      </c>
      <c r="G4" s="1" t="s">
        <v>404</v>
      </c>
      <c r="H4" s="13" t="s">
        <v>405</v>
      </c>
      <c r="I4" s="12"/>
      <c r="J4" s="1" t="s">
        <v>51</v>
      </c>
      <c r="K4" s="1" t="s">
        <v>51</v>
      </c>
      <c r="L4" s="1" t="s">
        <v>51</v>
      </c>
      <c r="M4" s="1" t="s">
        <v>51</v>
      </c>
      <c r="N4" s="1" t="s">
        <v>51</v>
      </c>
      <c r="O4" s="59"/>
    </row>
    <row r="5" spans="1:19" s="16" customFormat="1" ht="6" customHeight="1" x14ac:dyDescent="0.15">
      <c r="A5" s="54"/>
      <c r="B5" s="14"/>
      <c r="C5" s="61" t="s">
        <v>406</v>
      </c>
      <c r="D5" s="61" t="s">
        <v>407</v>
      </c>
      <c r="E5" s="15"/>
      <c r="F5" s="14"/>
      <c r="G5" s="61" t="s">
        <v>406</v>
      </c>
      <c r="H5" s="63" t="s">
        <v>407</v>
      </c>
      <c r="I5" s="15"/>
      <c r="J5" s="61" t="s">
        <v>399</v>
      </c>
      <c r="K5" s="61" t="s">
        <v>399</v>
      </c>
      <c r="L5" s="61" t="s">
        <v>399</v>
      </c>
      <c r="M5" s="61" t="s">
        <v>399</v>
      </c>
      <c r="N5" s="61" t="s">
        <v>399</v>
      </c>
      <c r="O5" s="59"/>
    </row>
    <row r="6" spans="1:19" s="19" customFormat="1" ht="12.75" customHeight="1" x14ac:dyDescent="0.15">
      <c r="A6" s="55"/>
      <c r="B6" s="17" t="s">
        <v>398</v>
      </c>
      <c r="C6" s="62"/>
      <c r="D6" s="62"/>
      <c r="E6" s="18"/>
      <c r="F6" s="17" t="s">
        <v>398</v>
      </c>
      <c r="G6" s="62"/>
      <c r="H6" s="64"/>
      <c r="I6" s="18"/>
      <c r="J6" s="62"/>
      <c r="K6" s="62"/>
      <c r="L6" s="62"/>
      <c r="M6" s="62"/>
      <c r="N6" s="62"/>
      <c r="O6" s="60"/>
    </row>
    <row r="7" spans="1:19" ht="17.25" x14ac:dyDescent="0.25">
      <c r="A7" s="20" t="s">
        <v>4</v>
      </c>
      <c r="B7" s="21">
        <f>SUM(C7:D7)</f>
        <v>127107179.7202</v>
      </c>
      <c r="C7" s="22">
        <f>C8+C9</f>
        <v>111065180.43000001</v>
      </c>
      <c r="D7" s="22">
        <f>SUM(D8:D9)</f>
        <v>16041999.290200001</v>
      </c>
      <c r="E7" s="22"/>
      <c r="F7" s="23">
        <f>SUM(G7:H7)</f>
        <v>212774081.04740971</v>
      </c>
      <c r="G7" s="22">
        <f>SUM(G8:G9)</f>
        <v>187281445.89584973</v>
      </c>
      <c r="H7" s="22">
        <f>SUM(H8:H9)</f>
        <v>25492635.151559971</v>
      </c>
      <c r="I7" s="22"/>
      <c r="J7" s="22">
        <f>SUM(J8:J9)+J253</f>
        <v>782126477</v>
      </c>
      <c r="K7" s="22">
        <f>SUM(K8:K9)+K253</f>
        <v>744921544.64999926</v>
      </c>
      <c r="L7" s="22">
        <f>SUM(L8:L9)+L253</f>
        <v>1063054680.1289001</v>
      </c>
      <c r="M7" s="22">
        <f>SUM(M8:M9)+M253</f>
        <v>1400609841.9116001</v>
      </c>
      <c r="N7" s="22">
        <f>SUM(N8:N9)+N253</f>
        <v>1675199186.7923002</v>
      </c>
      <c r="O7" s="24" t="s">
        <v>5</v>
      </c>
      <c r="P7" s="25"/>
      <c r="Q7" s="25"/>
      <c r="S7" s="25"/>
    </row>
    <row r="8" spans="1:19" s="28" customFormat="1" ht="17.25" x14ac:dyDescent="0.25">
      <c r="A8" s="20" t="s">
        <v>400</v>
      </c>
      <c r="B8" s="21">
        <f t="shared" ref="B8:B71" si="0">SUM(C8:D8)</f>
        <v>27547473.469999999</v>
      </c>
      <c r="C8" s="22">
        <v>23078892.969999999</v>
      </c>
      <c r="D8" s="22">
        <v>4468580.5</v>
      </c>
      <c r="E8" s="22"/>
      <c r="F8" s="23">
        <f t="shared" ref="F8:F71" si="1">SUM(G8:H8)</f>
        <v>42996360.71682369</v>
      </c>
      <c r="G8" s="22">
        <v>35973854.842263699</v>
      </c>
      <c r="H8" s="22">
        <v>7022505.8745599901</v>
      </c>
      <c r="I8" s="22"/>
      <c r="J8" s="22">
        <v>448843963</v>
      </c>
      <c r="K8" s="22">
        <v>403043430</v>
      </c>
      <c r="L8" s="22">
        <v>529844339.34140003</v>
      </c>
      <c r="M8" s="22">
        <v>694778647.79130006</v>
      </c>
      <c r="N8" s="22">
        <v>899761456.66649997</v>
      </c>
      <c r="O8" s="24" t="s">
        <v>6</v>
      </c>
      <c r="P8" s="26"/>
      <c r="Q8" s="27"/>
      <c r="S8" s="27"/>
    </row>
    <row r="9" spans="1:19" s="28" customFormat="1" ht="17.25" x14ac:dyDescent="0.25">
      <c r="A9" s="20" t="s">
        <v>7</v>
      </c>
      <c r="B9" s="21">
        <f t="shared" si="0"/>
        <v>99559706.250200003</v>
      </c>
      <c r="C9" s="22">
        <f t="shared" ref="C9:I9" si="2">C10+C28+C46+C64+C79+C98+C113+C120+C131+C141+C153+C160+C171+C178+C188+C203+C217+C229+C242+C245</f>
        <v>87986287.460000008</v>
      </c>
      <c r="D9" s="22">
        <f t="shared" si="2"/>
        <v>11573418.790200001</v>
      </c>
      <c r="E9" s="22"/>
      <c r="F9" s="23">
        <f t="shared" si="1"/>
        <v>169777720.33058602</v>
      </c>
      <c r="G9" s="22">
        <f t="shared" si="2"/>
        <v>151307591.05358604</v>
      </c>
      <c r="H9" s="22">
        <f t="shared" si="2"/>
        <v>18470129.27699998</v>
      </c>
      <c r="I9" s="22">
        <f t="shared" si="2"/>
        <v>0</v>
      </c>
      <c r="J9" s="22">
        <f>J10+J28+J46+J64+J79+J98+J113+J120+J131+J141+J153+J160+J171+J178+J188+J203+J217+J229+J242+J245</f>
        <v>264760139</v>
      </c>
      <c r="K9" s="22">
        <f>K10+K28+K46+K64+K79+K98+K113+K120+K131+K141+K153+K160+K171+K178+K188+K203+K217+K229+K242+K245</f>
        <v>267510730.38999927</v>
      </c>
      <c r="L9" s="22">
        <f>L10+L28+L46+L64+L79+L98+L113+L120+L131+L141+L153+L160+L171+L178+L188+L203+L217+L229+L242+L245</f>
        <v>364203693.46630001</v>
      </c>
      <c r="M9" s="22">
        <f>M10+M28+M46+M64+M79+M98+M113+M120+M131+M141+M153+M160+M171+M178+M188+M203+M217+M229+M242+M245</f>
        <v>483525096.47310001</v>
      </c>
      <c r="N9" s="22">
        <f>N10+N28+N46+N64+N79+N98+N113+N120+N131+N141+N153+N160+N171+N178+N188+N203+N217+N229+N242+N245</f>
        <v>552084045.875</v>
      </c>
      <c r="O9" s="24" t="s">
        <v>8</v>
      </c>
      <c r="P9" s="26"/>
      <c r="Q9" s="29"/>
      <c r="S9" s="27"/>
    </row>
    <row r="10" spans="1:19" s="28" customFormat="1" x14ac:dyDescent="0.25">
      <c r="A10" s="30" t="s">
        <v>9</v>
      </c>
      <c r="B10" s="21">
        <f t="shared" si="0"/>
        <v>6769324.1445000004</v>
      </c>
      <c r="C10" s="2">
        <f>SUM(C11:C26)</f>
        <v>6095622.9400000004</v>
      </c>
      <c r="D10" s="2">
        <f>SUM(D11:D26)</f>
        <v>673701.20449999999</v>
      </c>
      <c r="E10" s="2"/>
      <c r="F10" s="23">
        <f t="shared" si="1"/>
        <v>11709674.216652982</v>
      </c>
      <c r="G10" s="2">
        <f>SUM(G11:G26)</f>
        <v>10045464.276652981</v>
      </c>
      <c r="H10" s="2">
        <f>SUM(H11:H26)</f>
        <v>1664209.9400000004</v>
      </c>
      <c r="I10" s="2"/>
      <c r="J10" s="2">
        <f>SUM(J11:J26)</f>
        <v>15101822</v>
      </c>
      <c r="K10" s="2">
        <f>SUM(K11:K26)</f>
        <v>16574727.689999968</v>
      </c>
      <c r="L10" s="2">
        <f>SUM(L11:L26)</f>
        <v>21476572.449999999</v>
      </c>
      <c r="M10" s="2">
        <f>SUM(M11:M26)</f>
        <v>28247167.650000002</v>
      </c>
      <c r="N10" s="2">
        <f>SUM(N11:N26)</f>
        <v>30277717.990000006</v>
      </c>
      <c r="O10" s="31" t="s">
        <v>10</v>
      </c>
      <c r="P10" s="29"/>
      <c r="Q10" s="27"/>
      <c r="S10" s="27"/>
    </row>
    <row r="11" spans="1:19" s="28" customFormat="1" x14ac:dyDescent="0.25">
      <c r="A11" s="32" t="s">
        <v>52</v>
      </c>
      <c r="B11" s="21">
        <f t="shared" si="0"/>
        <v>176859.8</v>
      </c>
      <c r="C11" s="4">
        <v>176859.8</v>
      </c>
      <c r="D11" s="4" t="s">
        <v>1</v>
      </c>
      <c r="E11" s="4"/>
      <c r="F11" s="23">
        <f t="shared" si="1"/>
        <v>386827.68</v>
      </c>
      <c r="G11" s="4">
        <v>277673.48</v>
      </c>
      <c r="H11" s="4">
        <v>109154.2</v>
      </c>
      <c r="I11" s="4"/>
      <c r="J11" s="4">
        <v>112222</v>
      </c>
      <c r="K11" s="4">
        <v>87669.930000000008</v>
      </c>
      <c r="L11" s="4">
        <v>110392</v>
      </c>
      <c r="M11" s="4">
        <v>303486.27</v>
      </c>
      <c r="N11" s="4">
        <v>451313.77</v>
      </c>
      <c r="O11" s="33" t="s">
        <v>53</v>
      </c>
      <c r="P11" s="26"/>
      <c r="Q11" s="27"/>
      <c r="S11" s="27"/>
    </row>
    <row r="12" spans="1:19" s="28" customFormat="1" x14ac:dyDescent="0.25">
      <c r="A12" s="32" t="s">
        <v>54</v>
      </c>
      <c r="B12" s="21">
        <f t="shared" si="0"/>
        <v>68634.59</v>
      </c>
      <c r="C12" s="4">
        <v>68634.59</v>
      </c>
      <c r="D12" s="4" t="s">
        <v>1</v>
      </c>
      <c r="E12" s="4"/>
      <c r="F12" s="23">
        <f t="shared" si="1"/>
        <v>143225.93879999997</v>
      </c>
      <c r="G12" s="4">
        <v>143123.54999999999</v>
      </c>
      <c r="H12" s="4">
        <v>102.3888</v>
      </c>
      <c r="I12" s="4"/>
      <c r="J12" s="4">
        <v>323391</v>
      </c>
      <c r="K12" s="4">
        <v>255617.09</v>
      </c>
      <c r="L12" s="4">
        <v>411540.03</v>
      </c>
      <c r="M12" s="4">
        <v>677867.32</v>
      </c>
      <c r="N12" s="4">
        <v>611016.87</v>
      </c>
      <c r="O12" s="33" t="s">
        <v>55</v>
      </c>
      <c r="P12" s="26"/>
      <c r="Q12" s="27"/>
      <c r="S12" s="27"/>
    </row>
    <row r="13" spans="1:19" s="28" customFormat="1" x14ac:dyDescent="0.25">
      <c r="A13" s="32" t="s">
        <v>408</v>
      </c>
      <c r="B13" s="21">
        <f t="shared" si="0"/>
        <v>5506.5</v>
      </c>
      <c r="C13" s="4">
        <v>5506.5</v>
      </c>
      <c r="D13" s="4" t="s">
        <v>1</v>
      </c>
      <c r="E13" s="4"/>
      <c r="F13" s="23">
        <f t="shared" si="1"/>
        <v>4468.97</v>
      </c>
      <c r="G13" s="4">
        <v>4468.97</v>
      </c>
      <c r="H13" s="4" t="s">
        <v>1</v>
      </c>
      <c r="I13" s="4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34" t="s">
        <v>409</v>
      </c>
      <c r="P13" s="26"/>
      <c r="Q13" s="27"/>
      <c r="S13" s="27"/>
    </row>
    <row r="14" spans="1:19" s="28" customFormat="1" x14ac:dyDescent="0.25">
      <c r="A14" s="32" t="s">
        <v>410</v>
      </c>
      <c r="B14" s="21">
        <f t="shared" si="0"/>
        <v>23352.75</v>
      </c>
      <c r="C14" s="4">
        <v>23352.75</v>
      </c>
      <c r="D14" s="4" t="s">
        <v>1</v>
      </c>
      <c r="E14" s="4"/>
      <c r="F14" s="23">
        <f t="shared" si="1"/>
        <v>33046.019999999997</v>
      </c>
      <c r="G14" s="4">
        <v>33046.019999999997</v>
      </c>
      <c r="H14" s="4" t="s">
        <v>1</v>
      </c>
      <c r="I14" s="4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33" t="s">
        <v>411</v>
      </c>
      <c r="P14" s="26"/>
      <c r="Q14" s="27"/>
      <c r="S14" s="27"/>
    </row>
    <row r="15" spans="1:19" s="28" customFormat="1" x14ac:dyDescent="0.25">
      <c r="A15" s="32" t="s">
        <v>56</v>
      </c>
      <c r="B15" s="21">
        <f t="shared" si="0"/>
        <v>79889.64</v>
      </c>
      <c r="C15" s="4">
        <v>79889.64</v>
      </c>
      <c r="D15" s="4" t="s">
        <v>1</v>
      </c>
      <c r="E15" s="4"/>
      <c r="F15" s="23">
        <f t="shared" si="1"/>
        <v>178770.93</v>
      </c>
      <c r="G15" s="4">
        <v>178770.93</v>
      </c>
      <c r="H15" s="4" t="s">
        <v>1</v>
      </c>
      <c r="I15" s="4"/>
      <c r="J15" s="4">
        <v>81426</v>
      </c>
      <c r="K15" s="4">
        <v>75261.3</v>
      </c>
      <c r="L15" s="4">
        <v>81191.06</v>
      </c>
      <c r="M15" s="4">
        <v>204972.37</v>
      </c>
      <c r="N15" s="4">
        <v>234280.72</v>
      </c>
      <c r="O15" s="33" t="s">
        <v>57</v>
      </c>
      <c r="P15" s="26"/>
      <c r="Q15" s="27"/>
      <c r="S15" s="27"/>
    </row>
    <row r="16" spans="1:19" s="28" customFormat="1" x14ac:dyDescent="0.25">
      <c r="A16" s="32" t="s">
        <v>58</v>
      </c>
      <c r="B16" s="21">
        <f t="shared" si="0"/>
        <v>1298390.7024999999</v>
      </c>
      <c r="C16" s="4">
        <v>1150753.93</v>
      </c>
      <c r="D16" s="4">
        <v>147636.77249999999</v>
      </c>
      <c r="E16" s="4"/>
      <c r="F16" s="23">
        <f t="shared" si="1"/>
        <v>2664887.5546000004</v>
      </c>
      <c r="G16" s="4">
        <v>1943818.36</v>
      </c>
      <c r="H16" s="4">
        <v>721069.19460000005</v>
      </c>
      <c r="I16" s="4"/>
      <c r="J16" s="4">
        <v>1088883</v>
      </c>
      <c r="K16" s="4">
        <v>1582362.189999999</v>
      </c>
      <c r="L16" s="4">
        <v>3352948.96</v>
      </c>
      <c r="M16" s="4">
        <v>4703349.18</v>
      </c>
      <c r="N16" s="4">
        <v>4215672.88</v>
      </c>
      <c r="O16" s="33" t="s">
        <v>59</v>
      </c>
      <c r="P16" s="26"/>
      <c r="Q16" s="27"/>
      <c r="S16" s="27"/>
    </row>
    <row r="17" spans="1:19" s="28" customFormat="1" x14ac:dyDescent="0.25">
      <c r="A17" s="32" t="s">
        <v>60</v>
      </c>
      <c r="B17" s="21">
        <f t="shared" si="0"/>
        <v>351380.13</v>
      </c>
      <c r="C17" s="4">
        <v>351380.13</v>
      </c>
      <c r="D17" s="4" t="s">
        <v>1</v>
      </c>
      <c r="E17" s="4"/>
      <c r="F17" s="23">
        <f t="shared" si="1"/>
        <v>1034159.728999999</v>
      </c>
      <c r="G17" s="4">
        <v>838992.81299999903</v>
      </c>
      <c r="H17" s="4">
        <v>195166.916</v>
      </c>
      <c r="I17" s="4"/>
      <c r="J17" s="4">
        <v>2953756</v>
      </c>
      <c r="K17" s="4">
        <v>3143087.8599999901</v>
      </c>
      <c r="L17" s="4">
        <v>3699111.32</v>
      </c>
      <c r="M17" s="4">
        <v>4411492.28</v>
      </c>
      <c r="N17" s="4">
        <v>4981885.9800000004</v>
      </c>
      <c r="O17" s="33" t="s">
        <v>61</v>
      </c>
      <c r="P17" s="26"/>
      <c r="Q17" s="27"/>
      <c r="S17" s="27"/>
    </row>
    <row r="18" spans="1:19" s="28" customFormat="1" x14ac:dyDescent="0.25">
      <c r="A18" s="32" t="s">
        <v>62</v>
      </c>
      <c r="B18" s="21">
        <f t="shared" si="0"/>
        <v>741781.37</v>
      </c>
      <c r="C18" s="4">
        <v>709437.02</v>
      </c>
      <c r="D18" s="4">
        <v>32344.35</v>
      </c>
      <c r="E18" s="4"/>
      <c r="F18" s="23">
        <f t="shared" si="1"/>
        <v>1157487.4705000001</v>
      </c>
      <c r="G18" s="4">
        <v>1031577.2825000001</v>
      </c>
      <c r="H18" s="4">
        <v>125910.18799999999</v>
      </c>
      <c r="I18" s="4"/>
      <c r="J18" s="4">
        <v>807570</v>
      </c>
      <c r="K18" s="4">
        <v>756694.43999999901</v>
      </c>
      <c r="L18" s="4">
        <v>1145015.6200000001</v>
      </c>
      <c r="M18" s="4">
        <v>1305014.24</v>
      </c>
      <c r="N18" s="4">
        <v>1410016.69</v>
      </c>
      <c r="O18" s="33" t="s">
        <v>63</v>
      </c>
      <c r="P18" s="26"/>
      <c r="Q18" s="27"/>
      <c r="S18" s="27"/>
    </row>
    <row r="19" spans="1:19" s="28" customFormat="1" x14ac:dyDescent="0.25">
      <c r="A19" s="32" t="s">
        <v>64</v>
      </c>
      <c r="B19" s="21">
        <f t="shared" si="0"/>
        <v>294653.87</v>
      </c>
      <c r="C19" s="4">
        <v>256130.61</v>
      </c>
      <c r="D19" s="4">
        <v>38523.26</v>
      </c>
      <c r="E19" s="4"/>
      <c r="F19" s="23">
        <f t="shared" si="1"/>
        <v>276735.34999999998</v>
      </c>
      <c r="G19" s="4">
        <v>276735.34999999998</v>
      </c>
      <c r="H19" s="4" t="s">
        <v>1</v>
      </c>
      <c r="I19" s="4"/>
      <c r="J19" s="4">
        <v>94094</v>
      </c>
      <c r="K19" s="4">
        <v>166718.16999999899</v>
      </c>
      <c r="L19" s="4">
        <v>223033.25</v>
      </c>
      <c r="M19" s="4">
        <v>206227.25</v>
      </c>
      <c r="N19" s="4">
        <v>280469.34000000003</v>
      </c>
      <c r="O19" s="33" t="s">
        <v>65</v>
      </c>
      <c r="P19" s="27"/>
      <c r="Q19" s="27"/>
      <c r="S19" s="27"/>
    </row>
    <row r="20" spans="1:19" s="28" customFormat="1" x14ac:dyDescent="0.25">
      <c r="A20" s="32" t="s">
        <v>66</v>
      </c>
      <c r="B20" s="21">
        <f t="shared" si="0"/>
        <v>1773084.3860000002</v>
      </c>
      <c r="C20" s="4">
        <v>1459030.85</v>
      </c>
      <c r="D20" s="4">
        <v>314053.53600000002</v>
      </c>
      <c r="E20" s="4"/>
      <c r="F20" s="23">
        <f t="shared" si="1"/>
        <v>2453377.6535999998</v>
      </c>
      <c r="G20" s="4">
        <v>2331551.2799999998</v>
      </c>
      <c r="H20" s="4">
        <v>121826.37360000001</v>
      </c>
      <c r="I20" s="4"/>
      <c r="J20" s="4">
        <v>8179745</v>
      </c>
      <c r="K20" s="4">
        <v>9098526.7899999805</v>
      </c>
      <c r="L20" s="4">
        <v>10578885.48</v>
      </c>
      <c r="M20" s="4">
        <v>13362402.58</v>
      </c>
      <c r="N20" s="4">
        <v>14253200.630000001</v>
      </c>
      <c r="O20" s="33" t="s">
        <v>67</v>
      </c>
      <c r="P20" s="27"/>
      <c r="Q20" s="27"/>
      <c r="S20" s="27"/>
    </row>
    <row r="21" spans="1:19" s="28" customFormat="1" x14ac:dyDescent="0.25">
      <c r="A21" s="32" t="s">
        <v>68</v>
      </c>
      <c r="B21" s="21">
        <f t="shared" si="0"/>
        <v>175538.826</v>
      </c>
      <c r="C21" s="4">
        <v>170473.36</v>
      </c>
      <c r="D21" s="4">
        <v>5065.4660000000003</v>
      </c>
      <c r="E21" s="4"/>
      <c r="F21" s="23">
        <f t="shared" si="1"/>
        <v>345699.15179999999</v>
      </c>
      <c r="G21" s="4">
        <v>273976.26</v>
      </c>
      <c r="H21" s="4">
        <v>71722.891799999998</v>
      </c>
      <c r="I21" s="4"/>
      <c r="J21" s="4">
        <v>121701</v>
      </c>
      <c r="K21" s="4">
        <v>107401.38</v>
      </c>
      <c r="L21" s="4">
        <v>242342.2</v>
      </c>
      <c r="M21" s="4">
        <v>514528.94</v>
      </c>
      <c r="N21" s="4">
        <v>493447.92</v>
      </c>
      <c r="O21" s="33" t="s">
        <v>69</v>
      </c>
      <c r="P21" s="27"/>
      <c r="Q21" s="27"/>
      <c r="S21" s="27"/>
    </row>
    <row r="22" spans="1:19" s="28" customFormat="1" x14ac:dyDescent="0.25">
      <c r="A22" s="32" t="s">
        <v>70</v>
      </c>
      <c r="B22" s="21">
        <f t="shared" si="0"/>
        <v>261619.57</v>
      </c>
      <c r="C22" s="4">
        <v>214945.93</v>
      </c>
      <c r="D22" s="4">
        <v>46673.64</v>
      </c>
      <c r="E22" s="4"/>
      <c r="F22" s="23">
        <f t="shared" si="1"/>
        <v>334453.19999999902</v>
      </c>
      <c r="G22" s="4">
        <v>304453.19999999902</v>
      </c>
      <c r="H22" s="4">
        <v>30000</v>
      </c>
      <c r="I22" s="4"/>
      <c r="J22" s="4">
        <v>200319</v>
      </c>
      <c r="K22" s="4">
        <v>212756.69</v>
      </c>
      <c r="L22" s="4">
        <v>387950.96</v>
      </c>
      <c r="M22" s="4">
        <v>717320.22</v>
      </c>
      <c r="N22" s="4">
        <v>832886.51</v>
      </c>
      <c r="O22" s="33" t="s">
        <v>71</v>
      </c>
      <c r="P22" s="27"/>
      <c r="Q22" s="27"/>
      <c r="S22" s="27"/>
    </row>
    <row r="23" spans="1:19" s="28" customFormat="1" x14ac:dyDescent="0.25">
      <c r="A23" s="32" t="s">
        <v>72</v>
      </c>
      <c r="B23" s="21">
        <f t="shared" si="0"/>
        <v>579951.42000000004</v>
      </c>
      <c r="C23" s="4">
        <v>490886.95</v>
      </c>
      <c r="D23" s="4">
        <v>89064.47</v>
      </c>
      <c r="E23" s="4"/>
      <c r="F23" s="23">
        <f t="shared" si="1"/>
        <v>825601.955752988</v>
      </c>
      <c r="G23" s="4">
        <v>746262.240152988</v>
      </c>
      <c r="H23" s="4">
        <v>79339.715599999996</v>
      </c>
      <c r="I23" s="4"/>
      <c r="J23" s="4">
        <v>101465</v>
      </c>
      <c r="K23" s="4">
        <v>96374.569999999992</v>
      </c>
      <c r="L23" s="4">
        <v>112240.23</v>
      </c>
      <c r="M23" s="4">
        <v>164197.39000000001</v>
      </c>
      <c r="N23" s="4">
        <v>337649.41</v>
      </c>
      <c r="O23" s="33" t="s">
        <v>73</v>
      </c>
      <c r="P23" s="27"/>
      <c r="Q23" s="27"/>
      <c r="S23" s="27"/>
    </row>
    <row r="24" spans="1:19" s="28" customFormat="1" x14ac:dyDescent="0.25">
      <c r="A24" s="32" t="s">
        <v>74</v>
      </c>
      <c r="B24" s="21">
        <f t="shared" si="0"/>
        <v>302499.87</v>
      </c>
      <c r="C24" s="4">
        <v>302499.87</v>
      </c>
      <c r="D24" s="4" t="s">
        <v>1</v>
      </c>
      <c r="E24" s="4"/>
      <c r="F24" s="23">
        <f t="shared" si="1"/>
        <v>412799.74719999899</v>
      </c>
      <c r="G24" s="4">
        <v>408317.76999999897</v>
      </c>
      <c r="H24" s="4">
        <v>4481.9772000000003</v>
      </c>
      <c r="I24" s="4"/>
      <c r="J24" s="4">
        <v>39570</v>
      </c>
      <c r="K24" s="4">
        <v>54484.880000000005</v>
      </c>
      <c r="L24" s="4">
        <v>94363.97</v>
      </c>
      <c r="M24" s="4">
        <v>138161.99</v>
      </c>
      <c r="N24" s="4">
        <v>322104.03000000003</v>
      </c>
      <c r="O24" s="33" t="s">
        <v>75</v>
      </c>
      <c r="P24" s="26"/>
      <c r="Q24" s="27"/>
      <c r="S24" s="27"/>
    </row>
    <row r="25" spans="1:19" s="28" customFormat="1" x14ac:dyDescent="0.25">
      <c r="A25" s="32" t="s">
        <v>76</v>
      </c>
      <c r="B25" s="21">
        <f t="shared" si="0"/>
        <v>292081.84999999998</v>
      </c>
      <c r="C25" s="4">
        <v>292081.84999999998</v>
      </c>
      <c r="D25" s="4" t="s">
        <v>1</v>
      </c>
      <c r="E25" s="4"/>
      <c r="F25" s="23">
        <f t="shared" si="1"/>
        <v>513973.05439999897</v>
      </c>
      <c r="G25" s="4">
        <v>437241.40999999898</v>
      </c>
      <c r="H25" s="4">
        <v>76731.644400000005</v>
      </c>
      <c r="I25" s="4"/>
      <c r="J25" s="4">
        <v>101744</v>
      </c>
      <c r="K25" s="4">
        <v>92398.15</v>
      </c>
      <c r="L25" s="4">
        <v>126094.5</v>
      </c>
      <c r="M25" s="4">
        <v>148149.85999999999</v>
      </c>
      <c r="N25" s="4">
        <v>388530.81</v>
      </c>
      <c r="O25" s="33" t="s">
        <v>77</v>
      </c>
      <c r="P25" s="26"/>
      <c r="Q25" s="27"/>
      <c r="S25" s="27"/>
    </row>
    <row r="26" spans="1:19" s="28" customFormat="1" x14ac:dyDescent="0.25">
      <c r="A26" s="32" t="s">
        <v>78</v>
      </c>
      <c r="B26" s="21">
        <f t="shared" si="0"/>
        <v>344098.87</v>
      </c>
      <c r="C26" s="4">
        <v>343759.16</v>
      </c>
      <c r="D26" s="4">
        <v>339.71</v>
      </c>
      <c r="E26" s="4"/>
      <c r="F26" s="23">
        <f t="shared" si="1"/>
        <v>944159.81099999801</v>
      </c>
      <c r="G26" s="4">
        <v>815455.36099999805</v>
      </c>
      <c r="H26" s="4">
        <v>128704.45</v>
      </c>
      <c r="I26" s="4"/>
      <c r="J26" s="4">
        <v>895936</v>
      </c>
      <c r="K26" s="4">
        <v>845374.24999999988</v>
      </c>
      <c r="L26" s="4">
        <v>911462.87</v>
      </c>
      <c r="M26" s="4">
        <v>1389997.76</v>
      </c>
      <c r="N26" s="4">
        <v>1465242.43</v>
      </c>
      <c r="O26" s="33" t="s">
        <v>79</v>
      </c>
      <c r="P26" s="27"/>
      <c r="Q26" s="27"/>
      <c r="S26" s="27"/>
    </row>
    <row r="27" spans="1:19" s="28" customFormat="1" ht="5.25" customHeight="1" x14ac:dyDescent="0.25">
      <c r="A27" s="32"/>
      <c r="B27" s="21"/>
      <c r="C27" s="4"/>
      <c r="D27" s="4"/>
      <c r="E27" s="4"/>
      <c r="F27" s="23"/>
      <c r="G27" s="4"/>
      <c r="H27" s="4"/>
      <c r="I27" s="4"/>
      <c r="J27" s="4"/>
      <c r="K27" s="4"/>
      <c r="L27" s="4"/>
      <c r="M27" s="4"/>
      <c r="N27" s="4"/>
      <c r="O27" s="33"/>
      <c r="P27" s="27"/>
      <c r="Q27" s="27"/>
      <c r="S27" s="27"/>
    </row>
    <row r="28" spans="1:19" s="28" customFormat="1" x14ac:dyDescent="0.25">
      <c r="A28" s="30" t="s">
        <v>11</v>
      </c>
      <c r="B28" s="21">
        <f t="shared" si="0"/>
        <v>7106429.0500000007</v>
      </c>
      <c r="C28" s="2">
        <f>SUM(C29:C44)</f>
        <v>6284627.4500000011</v>
      </c>
      <c r="D28" s="2">
        <f>SUM(D29:D44)</f>
        <v>821801.59999999986</v>
      </c>
      <c r="E28" s="2"/>
      <c r="F28" s="23">
        <f t="shared" si="1"/>
        <v>12000238.148601541</v>
      </c>
      <c r="G28" s="2">
        <f>SUM(G29:G44)</f>
        <v>9809041.0949015506</v>
      </c>
      <c r="H28" s="2">
        <f>SUM(H29:H44)</f>
        <v>2191197.0536999903</v>
      </c>
      <c r="I28" s="2"/>
      <c r="J28" s="2">
        <f>SUM(J29:J44)</f>
        <v>41415958</v>
      </c>
      <c r="K28" s="2">
        <f>SUM(K29:K44)</f>
        <v>40695134.079999633</v>
      </c>
      <c r="L28" s="2">
        <f>SUM(L29:L44)</f>
        <v>47757008.690000013</v>
      </c>
      <c r="M28" s="2">
        <f>SUM(M29:M44)</f>
        <v>55532820.669999994</v>
      </c>
      <c r="N28" s="2">
        <f>SUM(N29:N44)</f>
        <v>60034554.979999997</v>
      </c>
      <c r="O28" s="31" t="s">
        <v>12</v>
      </c>
      <c r="P28" s="27"/>
      <c r="Q28" s="27"/>
      <c r="S28" s="27"/>
    </row>
    <row r="29" spans="1:19" s="28" customFormat="1" x14ac:dyDescent="0.25">
      <c r="A29" s="32" t="s">
        <v>412</v>
      </c>
      <c r="B29" s="21">
        <f t="shared" si="0"/>
        <v>95314.95</v>
      </c>
      <c r="C29" s="4">
        <v>95314.95</v>
      </c>
      <c r="D29" s="4" t="s">
        <v>1</v>
      </c>
      <c r="E29" s="4"/>
      <c r="F29" s="23">
        <f t="shared" si="1"/>
        <v>63500.449999999903</v>
      </c>
      <c r="G29" s="4">
        <v>63500.449999999903</v>
      </c>
      <c r="H29" s="4" t="s">
        <v>1</v>
      </c>
      <c r="I29" s="4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33" t="s">
        <v>413</v>
      </c>
      <c r="P29" s="26"/>
      <c r="Q29" s="27"/>
      <c r="S29" s="27"/>
    </row>
    <row r="30" spans="1:19" s="28" customFormat="1" x14ac:dyDescent="0.25">
      <c r="A30" s="32" t="s">
        <v>80</v>
      </c>
      <c r="B30" s="21">
        <f t="shared" si="0"/>
        <v>452032.37</v>
      </c>
      <c r="C30" s="4">
        <v>367593.98</v>
      </c>
      <c r="D30" s="4">
        <v>84438.39</v>
      </c>
      <c r="E30" s="4"/>
      <c r="F30" s="23">
        <f t="shared" si="1"/>
        <v>694259.26839999901</v>
      </c>
      <c r="G30" s="4">
        <v>683395.56999999902</v>
      </c>
      <c r="H30" s="4">
        <v>10863.698399999999</v>
      </c>
      <c r="I30" s="4"/>
      <c r="J30" s="4">
        <v>682594</v>
      </c>
      <c r="K30" s="4">
        <v>745573.58</v>
      </c>
      <c r="L30" s="4">
        <v>1156690.17</v>
      </c>
      <c r="M30" s="4">
        <v>2103689.0299999998</v>
      </c>
      <c r="N30" s="4">
        <v>1787015.55</v>
      </c>
      <c r="O30" s="33" t="s">
        <v>81</v>
      </c>
      <c r="P30" s="26"/>
      <c r="Q30" s="27"/>
      <c r="S30" s="27"/>
    </row>
    <row r="31" spans="1:19" s="28" customFormat="1" x14ac:dyDescent="0.25">
      <c r="A31" s="32" t="s">
        <v>82</v>
      </c>
      <c r="B31" s="21">
        <f t="shared" si="0"/>
        <v>110033.47</v>
      </c>
      <c r="C31" s="4">
        <v>110033.47</v>
      </c>
      <c r="D31" s="4" t="s">
        <v>1</v>
      </c>
      <c r="E31" s="4"/>
      <c r="F31" s="23">
        <f t="shared" si="1"/>
        <v>192094.84999999902</v>
      </c>
      <c r="G31" s="4">
        <v>174370.71999999901</v>
      </c>
      <c r="H31" s="4">
        <v>17724.13</v>
      </c>
      <c r="I31" s="4"/>
      <c r="J31" s="4">
        <v>52867</v>
      </c>
      <c r="K31" s="4">
        <v>59868.97</v>
      </c>
      <c r="L31" s="4">
        <v>83180.509999999995</v>
      </c>
      <c r="M31" s="4">
        <v>183434.67</v>
      </c>
      <c r="N31" s="4">
        <v>259759.1</v>
      </c>
      <c r="O31" s="33" t="s">
        <v>83</v>
      </c>
      <c r="P31" s="26"/>
      <c r="Q31" s="27"/>
      <c r="S31" s="27"/>
    </row>
    <row r="32" spans="1:19" s="28" customFormat="1" x14ac:dyDescent="0.25">
      <c r="A32" s="32" t="s">
        <v>84</v>
      </c>
      <c r="B32" s="21">
        <f t="shared" si="0"/>
        <v>256222.99</v>
      </c>
      <c r="C32" s="4">
        <v>206592.87</v>
      </c>
      <c r="D32" s="4">
        <v>49630.12</v>
      </c>
      <c r="E32" s="4"/>
      <c r="F32" s="23">
        <f t="shared" si="1"/>
        <v>503303.03020154894</v>
      </c>
      <c r="G32" s="4">
        <v>325417.06020154897</v>
      </c>
      <c r="H32" s="4">
        <v>177885.97</v>
      </c>
      <c r="I32" s="4"/>
      <c r="J32" s="4">
        <v>79964</v>
      </c>
      <c r="K32" s="4">
        <v>78356.459999999992</v>
      </c>
      <c r="L32" s="4">
        <v>78203.05</v>
      </c>
      <c r="M32" s="4">
        <v>71519.429999999993</v>
      </c>
      <c r="N32" s="4">
        <v>267006.81</v>
      </c>
      <c r="O32" s="33" t="s">
        <v>85</v>
      </c>
      <c r="P32" s="26"/>
      <c r="Q32" s="27"/>
      <c r="S32" s="27"/>
    </row>
    <row r="33" spans="1:19" s="28" customFormat="1" x14ac:dyDescent="0.25">
      <c r="A33" s="32" t="s">
        <v>86</v>
      </c>
      <c r="B33" s="21">
        <f t="shared" si="0"/>
        <v>167705.93</v>
      </c>
      <c r="C33" s="4">
        <v>167705.93</v>
      </c>
      <c r="D33" s="4" t="s">
        <v>1</v>
      </c>
      <c r="E33" s="4"/>
      <c r="F33" s="23">
        <f t="shared" si="1"/>
        <v>102189.14</v>
      </c>
      <c r="G33" s="4">
        <v>102189.14</v>
      </c>
      <c r="H33" s="4" t="s">
        <v>1</v>
      </c>
      <c r="I33" s="4"/>
      <c r="J33" s="4">
        <v>91451</v>
      </c>
      <c r="K33" s="4">
        <v>99870</v>
      </c>
      <c r="L33" s="4">
        <v>153295</v>
      </c>
      <c r="M33" s="4">
        <v>215791.45</v>
      </c>
      <c r="N33" s="4">
        <v>259951.67</v>
      </c>
      <c r="O33" s="33" t="s">
        <v>87</v>
      </c>
      <c r="P33" s="26"/>
      <c r="Q33" s="27"/>
      <c r="S33" s="27"/>
    </row>
    <row r="34" spans="1:19" s="28" customFormat="1" x14ac:dyDescent="0.25">
      <c r="A34" s="32" t="s">
        <v>88</v>
      </c>
      <c r="B34" s="21">
        <f t="shared" si="0"/>
        <v>104294.02</v>
      </c>
      <c r="C34" s="4">
        <v>104294.02</v>
      </c>
      <c r="D34" s="4" t="s">
        <v>1</v>
      </c>
      <c r="E34" s="4"/>
      <c r="F34" s="23">
        <f t="shared" si="1"/>
        <v>255633.66</v>
      </c>
      <c r="G34" s="4">
        <v>250403.66</v>
      </c>
      <c r="H34" s="4">
        <v>5230</v>
      </c>
      <c r="I34" s="4"/>
      <c r="J34" s="4">
        <v>228855</v>
      </c>
      <c r="K34" s="4">
        <v>308510.25</v>
      </c>
      <c r="L34" s="4">
        <v>334725</v>
      </c>
      <c r="M34" s="4">
        <v>589297.11</v>
      </c>
      <c r="N34" s="4">
        <v>1009854</v>
      </c>
      <c r="O34" s="33" t="s">
        <v>89</v>
      </c>
      <c r="P34" s="26"/>
      <c r="Q34" s="27"/>
      <c r="S34" s="27"/>
    </row>
    <row r="35" spans="1:19" s="28" customFormat="1" x14ac:dyDescent="0.25">
      <c r="A35" s="32" t="s">
        <v>90</v>
      </c>
      <c r="B35" s="21">
        <f t="shared" si="0"/>
        <v>214683.41999999998</v>
      </c>
      <c r="C35" s="4">
        <v>194455</v>
      </c>
      <c r="D35" s="4">
        <v>20228.419999999998</v>
      </c>
      <c r="E35" s="4"/>
      <c r="F35" s="23">
        <f t="shared" si="1"/>
        <v>387826.4</v>
      </c>
      <c r="G35" s="4">
        <v>357826.4</v>
      </c>
      <c r="H35" s="4">
        <v>30000</v>
      </c>
      <c r="I35" s="4"/>
      <c r="J35" s="4">
        <v>367892</v>
      </c>
      <c r="K35" s="4">
        <v>316773</v>
      </c>
      <c r="L35" s="4">
        <v>537847.75</v>
      </c>
      <c r="M35" s="4">
        <v>737642.33</v>
      </c>
      <c r="N35" s="4">
        <v>897913.32</v>
      </c>
      <c r="O35" s="33" t="s">
        <v>91</v>
      </c>
      <c r="P35" s="26"/>
      <c r="Q35" s="27"/>
      <c r="S35" s="27"/>
    </row>
    <row r="36" spans="1:19" s="28" customFormat="1" x14ac:dyDescent="0.25">
      <c r="A36" s="32" t="s">
        <v>92</v>
      </c>
      <c r="B36" s="21">
        <f t="shared" si="0"/>
        <v>455976.73</v>
      </c>
      <c r="C36" s="4">
        <v>437107.68</v>
      </c>
      <c r="D36" s="4">
        <v>18869.05</v>
      </c>
      <c r="E36" s="4"/>
      <c r="F36" s="23">
        <f t="shared" si="1"/>
        <v>798275.07999999903</v>
      </c>
      <c r="G36" s="4">
        <v>662817.30999999901</v>
      </c>
      <c r="H36" s="4">
        <v>135457.76999999999</v>
      </c>
      <c r="I36" s="4"/>
      <c r="J36" s="4">
        <v>835174</v>
      </c>
      <c r="K36" s="4">
        <v>616901.66999999899</v>
      </c>
      <c r="L36" s="4">
        <v>857834.76</v>
      </c>
      <c r="M36" s="4">
        <v>1580819.32</v>
      </c>
      <c r="N36" s="4">
        <v>1737050.39</v>
      </c>
      <c r="O36" s="33" t="s">
        <v>93</v>
      </c>
      <c r="P36" s="26"/>
      <c r="Q36" s="27"/>
      <c r="S36" s="27"/>
    </row>
    <row r="37" spans="1:19" s="28" customFormat="1" x14ac:dyDescent="0.25">
      <c r="A37" s="32" t="s">
        <v>94</v>
      </c>
      <c r="B37" s="21">
        <f t="shared" si="0"/>
        <v>192051.53</v>
      </c>
      <c r="C37" s="4">
        <v>192051.53</v>
      </c>
      <c r="D37" s="4" t="s">
        <v>1</v>
      </c>
      <c r="E37" s="4"/>
      <c r="F37" s="23">
        <f t="shared" si="1"/>
        <v>354499.43299999897</v>
      </c>
      <c r="G37" s="4">
        <v>350700.83999999898</v>
      </c>
      <c r="H37" s="4">
        <v>3798.5929999999998</v>
      </c>
      <c r="I37" s="4"/>
      <c r="J37" s="4">
        <v>130348</v>
      </c>
      <c r="K37" s="4">
        <v>117230.5</v>
      </c>
      <c r="L37" s="4">
        <v>118700</v>
      </c>
      <c r="M37" s="4">
        <v>191866.23999999999</v>
      </c>
      <c r="N37" s="4">
        <v>468932.15</v>
      </c>
      <c r="O37" s="33" t="s">
        <v>95</v>
      </c>
      <c r="P37" s="26"/>
      <c r="Q37" s="27"/>
      <c r="S37" s="27"/>
    </row>
    <row r="38" spans="1:19" s="28" customFormat="1" x14ac:dyDescent="0.25">
      <c r="A38" s="32" t="s">
        <v>96</v>
      </c>
      <c r="B38" s="21">
        <f t="shared" si="0"/>
        <v>91988.78</v>
      </c>
      <c r="C38" s="4">
        <v>91988.78</v>
      </c>
      <c r="D38" s="4" t="s">
        <v>1</v>
      </c>
      <c r="E38" s="4"/>
      <c r="F38" s="23">
        <f t="shared" si="1"/>
        <v>91237.419999999896</v>
      </c>
      <c r="G38" s="4">
        <v>56412.729999999901</v>
      </c>
      <c r="H38" s="4">
        <v>34824.69</v>
      </c>
      <c r="I38" s="4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33" t="s">
        <v>97</v>
      </c>
      <c r="P38" s="27"/>
      <c r="Q38" s="27"/>
      <c r="S38" s="27"/>
    </row>
    <row r="39" spans="1:19" s="28" customFormat="1" x14ac:dyDescent="0.25">
      <c r="A39" s="32" t="s">
        <v>98</v>
      </c>
      <c r="B39" s="21">
        <f t="shared" si="0"/>
        <v>3403955.4699999997</v>
      </c>
      <c r="C39" s="4">
        <v>2925725.28</v>
      </c>
      <c r="D39" s="4">
        <v>478230.19</v>
      </c>
      <c r="E39" s="4"/>
      <c r="F39" s="23">
        <f t="shared" si="1"/>
        <v>5494395.033499999</v>
      </c>
      <c r="G39" s="4">
        <v>4397129.5527000092</v>
      </c>
      <c r="H39" s="4">
        <v>1097265.48079999</v>
      </c>
      <c r="I39" s="4"/>
      <c r="J39" s="4">
        <v>37017744</v>
      </c>
      <c r="K39" s="4">
        <v>36509577.75999964</v>
      </c>
      <c r="L39" s="4">
        <v>42500703.460000001</v>
      </c>
      <c r="M39" s="4">
        <v>46939884.149999999</v>
      </c>
      <c r="N39" s="4">
        <v>49614847.119999997</v>
      </c>
      <c r="O39" s="33" t="s">
        <v>99</v>
      </c>
      <c r="P39" s="26"/>
      <c r="Q39" s="27"/>
      <c r="S39" s="27"/>
    </row>
    <row r="40" spans="1:19" s="28" customFormat="1" x14ac:dyDescent="0.25">
      <c r="A40" s="32" t="s">
        <v>100</v>
      </c>
      <c r="B40" s="21">
        <f t="shared" si="0"/>
        <v>198563.24</v>
      </c>
      <c r="C40" s="4">
        <v>197573.66</v>
      </c>
      <c r="D40" s="4">
        <v>989.58</v>
      </c>
      <c r="E40" s="4"/>
      <c r="F40" s="23">
        <f t="shared" si="1"/>
        <v>633238.87170000002</v>
      </c>
      <c r="G40" s="4">
        <v>451452.56</v>
      </c>
      <c r="H40" s="4">
        <v>181786.31169999999</v>
      </c>
      <c r="I40" s="4"/>
      <c r="J40" s="4">
        <v>248590</v>
      </c>
      <c r="K40" s="4">
        <v>243955.98</v>
      </c>
      <c r="L40" s="4">
        <v>290414.17</v>
      </c>
      <c r="M40" s="4">
        <v>460509.17</v>
      </c>
      <c r="N40" s="4">
        <v>828111.26</v>
      </c>
      <c r="O40" s="33" t="s">
        <v>101</v>
      </c>
      <c r="P40" s="26"/>
      <c r="Q40" s="27"/>
      <c r="S40" s="27"/>
    </row>
    <row r="41" spans="1:19" s="28" customFormat="1" x14ac:dyDescent="0.25">
      <c r="A41" s="32" t="s">
        <v>102</v>
      </c>
      <c r="B41" s="21">
        <f t="shared" si="0"/>
        <v>189081.41</v>
      </c>
      <c r="C41" s="4">
        <v>189081.41</v>
      </c>
      <c r="D41" s="4" t="s">
        <v>1</v>
      </c>
      <c r="E41" s="4"/>
      <c r="F41" s="23">
        <f t="shared" si="1"/>
        <v>495462.94019999902</v>
      </c>
      <c r="G41" s="4">
        <v>359949.97199999902</v>
      </c>
      <c r="H41" s="4">
        <v>135512.9682</v>
      </c>
      <c r="I41" s="4"/>
      <c r="J41" s="4">
        <v>554206</v>
      </c>
      <c r="K41" s="4">
        <v>246971.9</v>
      </c>
      <c r="L41" s="4">
        <v>190844.34</v>
      </c>
      <c r="M41" s="4">
        <v>371840.32</v>
      </c>
      <c r="N41" s="4">
        <v>474984.73</v>
      </c>
      <c r="O41" s="33" t="s">
        <v>103</v>
      </c>
      <c r="P41" s="27"/>
      <c r="Q41" s="27"/>
      <c r="S41" s="27"/>
    </row>
    <row r="42" spans="1:19" s="28" customFormat="1" x14ac:dyDescent="0.25">
      <c r="A42" s="32" t="s">
        <v>104</v>
      </c>
      <c r="B42" s="21">
        <f t="shared" si="0"/>
        <v>662232.36</v>
      </c>
      <c r="C42" s="4">
        <v>608307.62</v>
      </c>
      <c r="D42" s="4">
        <v>53924.74</v>
      </c>
      <c r="E42" s="4"/>
      <c r="F42" s="23">
        <f t="shared" si="1"/>
        <v>1251462.2147999979</v>
      </c>
      <c r="G42" s="4">
        <v>904769.56999999797</v>
      </c>
      <c r="H42" s="4">
        <v>346692.64480000001</v>
      </c>
      <c r="I42" s="4"/>
      <c r="J42" s="4">
        <v>243895</v>
      </c>
      <c r="K42" s="4">
        <v>405834.62</v>
      </c>
      <c r="L42" s="4">
        <v>362644.81</v>
      </c>
      <c r="M42" s="4">
        <v>668781.98</v>
      </c>
      <c r="N42" s="4">
        <v>813192.78</v>
      </c>
      <c r="O42" s="33" t="s">
        <v>105</v>
      </c>
      <c r="P42" s="27"/>
      <c r="Q42" s="27"/>
      <c r="S42" s="27"/>
    </row>
    <row r="43" spans="1:19" s="28" customFormat="1" x14ac:dyDescent="0.25">
      <c r="A43" s="32" t="s">
        <v>106</v>
      </c>
      <c r="B43" s="21">
        <f t="shared" si="0"/>
        <v>107899.87</v>
      </c>
      <c r="C43" s="4">
        <v>107899.87</v>
      </c>
      <c r="D43" s="4" t="s">
        <v>1</v>
      </c>
      <c r="E43" s="4"/>
      <c r="F43" s="23">
        <f t="shared" si="1"/>
        <v>165431.25</v>
      </c>
      <c r="G43" s="4">
        <v>165431.25</v>
      </c>
      <c r="H43" s="4" t="s">
        <v>1</v>
      </c>
      <c r="I43" s="4"/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33" t="s">
        <v>107</v>
      </c>
      <c r="P43" s="27"/>
      <c r="Q43" s="27"/>
      <c r="S43" s="27"/>
    </row>
    <row r="44" spans="1:19" s="28" customFormat="1" x14ac:dyDescent="0.25">
      <c r="A44" s="32" t="s">
        <v>108</v>
      </c>
      <c r="B44" s="21">
        <f t="shared" si="0"/>
        <v>404392.51</v>
      </c>
      <c r="C44" s="4">
        <v>288901.40000000002</v>
      </c>
      <c r="D44" s="4">
        <v>115491.11</v>
      </c>
      <c r="E44" s="4"/>
      <c r="F44" s="23">
        <f t="shared" si="1"/>
        <v>517429.10680000001</v>
      </c>
      <c r="G44" s="4">
        <v>503274.31</v>
      </c>
      <c r="H44" s="4">
        <v>14154.7968</v>
      </c>
      <c r="I44" s="4"/>
      <c r="J44" s="4">
        <v>882378</v>
      </c>
      <c r="K44" s="4">
        <v>945709.39</v>
      </c>
      <c r="L44" s="4">
        <v>1091925.67</v>
      </c>
      <c r="M44" s="4">
        <v>1417745.47</v>
      </c>
      <c r="N44" s="4">
        <v>1615936.1</v>
      </c>
      <c r="O44" s="33" t="s">
        <v>109</v>
      </c>
      <c r="P44" s="27"/>
      <c r="Q44" s="27"/>
      <c r="S44" s="27"/>
    </row>
    <row r="45" spans="1:19" s="28" customFormat="1" ht="9.75" customHeight="1" x14ac:dyDescent="0.25">
      <c r="A45" s="32"/>
      <c r="B45" s="21"/>
      <c r="C45" s="4"/>
      <c r="D45" s="4"/>
      <c r="E45" s="4"/>
      <c r="F45" s="23"/>
      <c r="G45" s="4"/>
      <c r="H45" s="4"/>
      <c r="I45" s="4"/>
      <c r="J45" s="4"/>
      <c r="K45" s="4"/>
      <c r="L45" s="4"/>
      <c r="M45" s="4"/>
      <c r="N45" s="4"/>
      <c r="O45" s="33"/>
      <c r="P45" s="27"/>
      <c r="Q45" s="27"/>
      <c r="S45" s="27"/>
    </row>
    <row r="46" spans="1:19" s="28" customFormat="1" x14ac:dyDescent="0.25">
      <c r="A46" s="30" t="s">
        <v>13</v>
      </c>
      <c r="B46" s="21">
        <f t="shared" si="0"/>
        <v>3439443.8099999996</v>
      </c>
      <c r="C46" s="2">
        <f>SUM(C47:C62)</f>
        <v>3087992.8899999997</v>
      </c>
      <c r="D46" s="2">
        <f>SUM(D47:D62)</f>
        <v>351450.92</v>
      </c>
      <c r="E46" s="2"/>
      <c r="F46" s="23">
        <f t="shared" si="1"/>
        <v>5706671.2631579963</v>
      </c>
      <c r="G46" s="2">
        <f>SUM(G47:G62)</f>
        <v>4973565.9746579966</v>
      </c>
      <c r="H46" s="2">
        <f>SUM(H47:H62)</f>
        <v>733105.28850000002</v>
      </c>
      <c r="I46" s="2"/>
      <c r="J46" s="2">
        <f>SUM(J47:J62)</f>
        <v>13338409</v>
      </c>
      <c r="K46" s="2">
        <f>SUM(K47:K62)</f>
        <v>13893985.419999983</v>
      </c>
      <c r="L46" s="2">
        <f>SUM(L47:L62)</f>
        <v>18573633.77</v>
      </c>
      <c r="M46" s="2">
        <f>SUM(M47:M62)</f>
        <v>22929493.009999998</v>
      </c>
      <c r="N46" s="2">
        <f>SUM(N47:N62)</f>
        <v>21043099.035</v>
      </c>
      <c r="O46" s="31" t="s">
        <v>14</v>
      </c>
      <c r="P46" s="26"/>
      <c r="Q46" s="27"/>
      <c r="S46" s="27"/>
    </row>
    <row r="47" spans="1:19" s="28" customFormat="1" x14ac:dyDescent="0.25">
      <c r="A47" s="32" t="s">
        <v>110</v>
      </c>
      <c r="B47" s="21">
        <f t="shared" si="0"/>
        <v>325198.41000000003</v>
      </c>
      <c r="C47" s="4">
        <v>283675.89</v>
      </c>
      <c r="D47" s="4">
        <v>41522.519999999997</v>
      </c>
      <c r="E47" s="4"/>
      <c r="F47" s="23">
        <f t="shared" si="1"/>
        <v>496255.66079999891</v>
      </c>
      <c r="G47" s="4">
        <v>437757.27999999892</v>
      </c>
      <c r="H47" s="4">
        <v>58498.380799999999</v>
      </c>
      <c r="I47" s="4"/>
      <c r="J47" s="4">
        <v>1086023</v>
      </c>
      <c r="K47" s="4">
        <v>1247248.399999998</v>
      </c>
      <c r="L47" s="4">
        <v>1916814.11</v>
      </c>
      <c r="M47" s="4">
        <v>2005957.3</v>
      </c>
      <c r="N47" s="4">
        <v>1443174.78</v>
      </c>
      <c r="O47" s="33" t="s">
        <v>111</v>
      </c>
      <c r="P47" s="26"/>
      <c r="Q47" s="27"/>
      <c r="S47" s="27"/>
    </row>
    <row r="48" spans="1:19" s="28" customFormat="1" x14ac:dyDescent="0.25">
      <c r="A48" s="32" t="s">
        <v>112</v>
      </c>
      <c r="B48" s="21">
        <f t="shared" si="0"/>
        <v>99181.01</v>
      </c>
      <c r="C48" s="4">
        <v>99181.01</v>
      </c>
      <c r="D48" s="4" t="s">
        <v>1</v>
      </c>
      <c r="E48" s="4"/>
      <c r="F48" s="23">
        <f t="shared" si="1"/>
        <v>72402.23000000001</v>
      </c>
      <c r="G48" s="4">
        <v>72402.23000000001</v>
      </c>
      <c r="H48" s="4" t="s">
        <v>1</v>
      </c>
      <c r="I48" s="4"/>
      <c r="J48" s="4">
        <v>0</v>
      </c>
      <c r="K48" s="4">
        <v>0</v>
      </c>
      <c r="L48" s="4">
        <v>0</v>
      </c>
      <c r="M48" s="4">
        <v>146172.37</v>
      </c>
      <c r="N48" s="4">
        <v>149908.75</v>
      </c>
      <c r="O48" s="33" t="s">
        <v>113</v>
      </c>
      <c r="P48" s="26"/>
      <c r="Q48" s="27"/>
      <c r="S48" s="27"/>
    </row>
    <row r="49" spans="1:19" s="28" customFormat="1" x14ac:dyDescent="0.25">
      <c r="A49" s="32" t="s">
        <v>114</v>
      </c>
      <c r="B49" s="21">
        <f t="shared" si="0"/>
        <v>125736.98</v>
      </c>
      <c r="C49" s="4">
        <v>125736.98</v>
      </c>
      <c r="D49" s="4" t="s">
        <v>1</v>
      </c>
      <c r="E49" s="4"/>
      <c r="F49" s="23">
        <f t="shared" si="1"/>
        <v>286547.14110000001</v>
      </c>
      <c r="G49" s="4">
        <v>238433.61</v>
      </c>
      <c r="H49" s="4">
        <v>48113.5311</v>
      </c>
      <c r="I49" s="4"/>
      <c r="J49" s="4">
        <v>143620</v>
      </c>
      <c r="K49" s="4">
        <v>60400</v>
      </c>
      <c r="L49" s="4">
        <v>162856.45000000001</v>
      </c>
      <c r="M49" s="4">
        <v>566642.56000000006</v>
      </c>
      <c r="N49" s="4">
        <v>511234.82</v>
      </c>
      <c r="O49" s="33" t="s">
        <v>115</v>
      </c>
      <c r="P49" s="26"/>
      <c r="Q49" s="27"/>
      <c r="S49" s="27"/>
    </row>
    <row r="50" spans="1:19" s="28" customFormat="1" x14ac:dyDescent="0.25">
      <c r="A50" s="32" t="s">
        <v>116</v>
      </c>
      <c r="B50" s="21">
        <f t="shared" si="0"/>
        <v>217112.57</v>
      </c>
      <c r="C50" s="4">
        <v>198753.71</v>
      </c>
      <c r="D50" s="4">
        <v>18358.86</v>
      </c>
      <c r="E50" s="4"/>
      <c r="F50" s="23">
        <f t="shared" si="1"/>
        <v>250205.03000000003</v>
      </c>
      <c r="G50" s="4">
        <v>219512.05000000002</v>
      </c>
      <c r="H50" s="4">
        <v>30692.98</v>
      </c>
      <c r="I50" s="4"/>
      <c r="J50" s="4">
        <v>307166</v>
      </c>
      <c r="K50" s="4">
        <v>301428.179999999</v>
      </c>
      <c r="L50" s="4">
        <v>376774.56</v>
      </c>
      <c r="M50" s="4">
        <v>929150.15</v>
      </c>
      <c r="N50" s="4">
        <v>917681.68</v>
      </c>
      <c r="O50" s="33" t="s">
        <v>117</v>
      </c>
      <c r="P50" s="26"/>
      <c r="Q50" s="27"/>
      <c r="S50" s="27"/>
    </row>
    <row r="51" spans="1:19" s="28" customFormat="1" x14ac:dyDescent="0.25">
      <c r="A51" s="32" t="s">
        <v>118</v>
      </c>
      <c r="B51" s="21">
        <f t="shared" si="0"/>
        <v>192012.15</v>
      </c>
      <c r="C51" s="4">
        <v>192012.15</v>
      </c>
      <c r="D51" s="4" t="s">
        <v>1</v>
      </c>
      <c r="E51" s="4"/>
      <c r="F51" s="23">
        <f t="shared" si="1"/>
        <v>231132.389999999</v>
      </c>
      <c r="G51" s="4">
        <v>231132.389999999</v>
      </c>
      <c r="H51" s="4" t="s">
        <v>1</v>
      </c>
      <c r="I51" s="4"/>
      <c r="J51" s="4">
        <v>189933</v>
      </c>
      <c r="K51" s="4">
        <v>166399.39000000001</v>
      </c>
      <c r="L51" s="4">
        <v>438753.18</v>
      </c>
      <c r="M51" s="4">
        <v>424495.77</v>
      </c>
      <c r="N51" s="4">
        <v>346459.08</v>
      </c>
      <c r="O51" s="33" t="s">
        <v>119</v>
      </c>
      <c r="P51" s="26"/>
      <c r="Q51" s="27"/>
      <c r="S51" s="27"/>
    </row>
    <row r="52" spans="1:19" s="28" customFormat="1" x14ac:dyDescent="0.25">
      <c r="A52" s="32" t="s">
        <v>120</v>
      </c>
      <c r="B52" s="21">
        <f t="shared" si="0"/>
        <v>111720.7</v>
      </c>
      <c r="C52" s="4">
        <v>111720.7</v>
      </c>
      <c r="D52" s="4" t="s">
        <v>1</v>
      </c>
      <c r="E52" s="4"/>
      <c r="F52" s="23">
        <f t="shared" si="1"/>
        <v>304725.88219999999</v>
      </c>
      <c r="G52" s="4">
        <v>220927.28</v>
      </c>
      <c r="H52" s="4">
        <v>83798.602199999994</v>
      </c>
      <c r="I52" s="4"/>
      <c r="J52" s="4">
        <v>183294</v>
      </c>
      <c r="K52" s="4">
        <v>160865</v>
      </c>
      <c r="L52" s="4">
        <v>205963.96</v>
      </c>
      <c r="M52" s="4">
        <v>656631.29</v>
      </c>
      <c r="N52" s="4">
        <v>722529.7</v>
      </c>
      <c r="O52" s="33" t="s">
        <v>121</v>
      </c>
      <c r="P52" s="27"/>
      <c r="Q52" s="27"/>
      <c r="S52" s="27"/>
    </row>
    <row r="53" spans="1:19" s="28" customFormat="1" x14ac:dyDescent="0.25">
      <c r="A53" s="32" t="s">
        <v>122</v>
      </c>
      <c r="B53" s="21">
        <f t="shared" si="0"/>
        <v>186580.43</v>
      </c>
      <c r="C53" s="4">
        <v>113420.44</v>
      </c>
      <c r="D53" s="4">
        <v>73159.990000000005</v>
      </c>
      <c r="E53" s="4"/>
      <c r="F53" s="23">
        <f t="shared" si="1"/>
        <v>300020.4942999999</v>
      </c>
      <c r="G53" s="4">
        <v>257836.22999999998</v>
      </c>
      <c r="H53" s="4">
        <v>42184.264299999901</v>
      </c>
      <c r="I53" s="4"/>
      <c r="J53" s="4">
        <v>634873</v>
      </c>
      <c r="K53" s="4">
        <v>984003.61</v>
      </c>
      <c r="L53" s="4">
        <v>1442908.87</v>
      </c>
      <c r="M53" s="4">
        <v>1660194.03</v>
      </c>
      <c r="N53" s="4">
        <v>1650789.19</v>
      </c>
      <c r="O53" s="33" t="s">
        <v>123</v>
      </c>
      <c r="P53" s="27"/>
      <c r="Q53" s="27"/>
      <c r="S53" s="27"/>
    </row>
    <row r="54" spans="1:19" s="28" customFormat="1" x14ac:dyDescent="0.25">
      <c r="A54" s="32" t="s">
        <v>124</v>
      </c>
      <c r="B54" s="21">
        <f t="shared" si="0"/>
        <v>42546.92</v>
      </c>
      <c r="C54" s="4">
        <v>42546.92</v>
      </c>
      <c r="D54" s="4" t="s">
        <v>1</v>
      </c>
      <c r="E54" s="4"/>
      <c r="F54" s="23">
        <f t="shared" si="1"/>
        <v>52669.2</v>
      </c>
      <c r="G54" s="4">
        <v>52669.2</v>
      </c>
      <c r="H54" s="4" t="s">
        <v>1</v>
      </c>
      <c r="I54" s="4"/>
      <c r="J54" s="4">
        <v>99001</v>
      </c>
      <c r="K54" s="4">
        <v>174935</v>
      </c>
      <c r="L54" s="4">
        <v>107673</v>
      </c>
      <c r="M54" s="4">
        <v>366538.72</v>
      </c>
      <c r="N54" s="4">
        <v>471272.28</v>
      </c>
      <c r="O54" s="33" t="s">
        <v>125</v>
      </c>
      <c r="P54" s="27"/>
      <c r="Q54" s="27"/>
      <c r="S54" s="27"/>
    </row>
    <row r="55" spans="1:19" s="28" customFormat="1" x14ac:dyDescent="0.25">
      <c r="A55" s="32" t="s">
        <v>414</v>
      </c>
      <c r="B55" s="21">
        <f t="shared" si="0"/>
        <v>17582.77</v>
      </c>
      <c r="C55" s="4">
        <v>17582.77</v>
      </c>
      <c r="D55" s="4" t="s">
        <v>1</v>
      </c>
      <c r="E55" s="4"/>
      <c r="F55" s="23">
        <f t="shared" si="1"/>
        <v>15962.33</v>
      </c>
      <c r="G55" s="4">
        <v>15962.33</v>
      </c>
      <c r="H55" s="4" t="s">
        <v>1</v>
      </c>
      <c r="I55" s="4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33" t="s">
        <v>415</v>
      </c>
      <c r="P55" s="26"/>
      <c r="Q55" s="27"/>
      <c r="S55" s="27"/>
    </row>
    <row r="56" spans="1:19" s="28" customFormat="1" x14ac:dyDescent="0.25">
      <c r="A56" s="32" t="s">
        <v>126</v>
      </c>
      <c r="B56" s="21">
        <f t="shared" si="0"/>
        <v>219464.63</v>
      </c>
      <c r="C56" s="4">
        <v>218483.44</v>
      </c>
      <c r="D56" s="4">
        <v>981.19</v>
      </c>
      <c r="E56" s="4"/>
      <c r="F56" s="23">
        <f t="shared" si="1"/>
        <v>361479.13189999899</v>
      </c>
      <c r="G56" s="4">
        <v>293144.05999999901</v>
      </c>
      <c r="H56" s="4">
        <v>68335.071899999995</v>
      </c>
      <c r="I56" s="4"/>
      <c r="J56" s="4">
        <v>69069</v>
      </c>
      <c r="K56" s="4">
        <v>116065.69999999901</v>
      </c>
      <c r="L56" s="4">
        <v>120150</v>
      </c>
      <c r="M56" s="4">
        <v>354031.05</v>
      </c>
      <c r="N56" s="4">
        <v>277678.78000000003</v>
      </c>
      <c r="O56" s="33" t="s">
        <v>127</v>
      </c>
      <c r="P56" s="26"/>
      <c r="Q56" s="27"/>
      <c r="S56" s="27"/>
    </row>
    <row r="57" spans="1:19" s="28" customFormat="1" x14ac:dyDescent="0.25">
      <c r="A57" s="32" t="s">
        <v>128</v>
      </c>
      <c r="B57" s="21">
        <f t="shared" si="0"/>
        <v>151416.26999999999</v>
      </c>
      <c r="C57" s="4">
        <v>151416.26999999999</v>
      </c>
      <c r="D57" s="4" t="s">
        <v>1</v>
      </c>
      <c r="E57" s="4"/>
      <c r="F57" s="23">
        <f t="shared" si="1"/>
        <v>176584.59000000003</v>
      </c>
      <c r="G57" s="4">
        <v>176584.59000000003</v>
      </c>
      <c r="H57" s="4" t="s">
        <v>1</v>
      </c>
      <c r="I57" s="4"/>
      <c r="J57" s="4">
        <v>138175</v>
      </c>
      <c r="K57" s="4">
        <v>118986.5</v>
      </c>
      <c r="L57" s="4">
        <v>158963.49</v>
      </c>
      <c r="M57" s="4">
        <v>275149.17</v>
      </c>
      <c r="N57" s="4">
        <v>331950.06</v>
      </c>
      <c r="O57" s="33" t="s">
        <v>129</v>
      </c>
      <c r="P57" s="27"/>
      <c r="Q57" s="27"/>
      <c r="S57" s="27"/>
    </row>
    <row r="58" spans="1:19" s="28" customFormat="1" x14ac:dyDescent="0.25">
      <c r="A58" s="32" t="s">
        <v>416</v>
      </c>
      <c r="B58" s="21">
        <f t="shared" si="0"/>
        <v>1709.4</v>
      </c>
      <c r="C58" s="4">
        <v>1709.4</v>
      </c>
      <c r="D58" s="4" t="s">
        <v>1</v>
      </c>
      <c r="E58" s="4"/>
      <c r="F58" s="23">
        <f t="shared" si="1"/>
        <v>4254.03</v>
      </c>
      <c r="G58" s="4">
        <v>4254.03</v>
      </c>
      <c r="H58" s="4" t="s">
        <v>1</v>
      </c>
      <c r="I58" s="4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33" t="s">
        <v>417</v>
      </c>
      <c r="P58" s="26"/>
      <c r="Q58" s="27"/>
      <c r="S58" s="27"/>
    </row>
    <row r="59" spans="1:19" s="28" customFormat="1" x14ac:dyDescent="0.25">
      <c r="A59" s="32" t="s">
        <v>130</v>
      </c>
      <c r="B59" s="21">
        <f t="shared" si="0"/>
        <v>411988.62</v>
      </c>
      <c r="C59" s="4">
        <v>371201.37</v>
      </c>
      <c r="D59" s="4">
        <v>40787.25</v>
      </c>
      <c r="E59" s="4"/>
      <c r="F59" s="23">
        <f t="shared" si="1"/>
        <v>813036.5416999989</v>
      </c>
      <c r="G59" s="4">
        <v>704265.66749999893</v>
      </c>
      <c r="H59" s="4">
        <v>108770.87420000001</v>
      </c>
      <c r="I59" s="4"/>
      <c r="J59" s="4">
        <v>1632855</v>
      </c>
      <c r="K59" s="4">
        <v>1856062.5999999989</v>
      </c>
      <c r="L59" s="4">
        <v>2166089.8199999998</v>
      </c>
      <c r="M59" s="4">
        <v>2013241.44</v>
      </c>
      <c r="N59" s="4">
        <v>2142286.21</v>
      </c>
      <c r="O59" s="33" t="s">
        <v>131</v>
      </c>
      <c r="P59" s="26"/>
      <c r="Q59" s="27"/>
      <c r="S59" s="27"/>
    </row>
    <row r="60" spans="1:19" s="28" customFormat="1" x14ac:dyDescent="0.25">
      <c r="A60" s="32" t="s">
        <v>132</v>
      </c>
      <c r="B60" s="21">
        <f t="shared" si="0"/>
        <v>323222.73</v>
      </c>
      <c r="C60" s="4">
        <v>165116.44</v>
      </c>
      <c r="D60" s="4">
        <v>158106.29</v>
      </c>
      <c r="E60" s="4"/>
      <c r="F60" s="23">
        <f t="shared" si="1"/>
        <v>414222.67059999902</v>
      </c>
      <c r="G60" s="4">
        <v>348362.859999999</v>
      </c>
      <c r="H60" s="4">
        <v>65859.810599999997</v>
      </c>
      <c r="I60" s="4"/>
      <c r="J60" s="4">
        <v>485263</v>
      </c>
      <c r="K60" s="4">
        <v>460918</v>
      </c>
      <c r="L60" s="4">
        <v>640597</v>
      </c>
      <c r="M60" s="4">
        <v>981259.44</v>
      </c>
      <c r="N60" s="4">
        <v>1010101.16</v>
      </c>
      <c r="O60" s="33" t="s">
        <v>133</v>
      </c>
      <c r="P60" s="27"/>
      <c r="Q60" s="27"/>
      <c r="S60" s="27"/>
    </row>
    <row r="61" spans="1:19" s="28" customFormat="1" x14ac:dyDescent="0.25">
      <c r="A61" s="32" t="s">
        <v>134</v>
      </c>
      <c r="B61" s="21">
        <f t="shared" si="0"/>
        <v>573363.78</v>
      </c>
      <c r="C61" s="4">
        <v>558920.5</v>
      </c>
      <c r="D61" s="4">
        <v>14443.28</v>
      </c>
      <c r="E61" s="4"/>
      <c r="F61" s="23">
        <f t="shared" si="1"/>
        <v>923943.85675800091</v>
      </c>
      <c r="G61" s="4">
        <v>810504.41715800087</v>
      </c>
      <c r="H61" s="4">
        <v>113439.4396</v>
      </c>
      <c r="I61" s="4"/>
      <c r="J61" s="4">
        <v>5315465</v>
      </c>
      <c r="K61" s="4">
        <v>4147086.3599999901</v>
      </c>
      <c r="L61" s="4">
        <v>6108888.4500000002</v>
      </c>
      <c r="M61" s="4">
        <v>6901970.8300000001</v>
      </c>
      <c r="N61" s="4">
        <v>6165861.7450000001</v>
      </c>
      <c r="O61" s="33" t="s">
        <v>135</v>
      </c>
      <c r="P61" s="27"/>
      <c r="Q61" s="27"/>
      <c r="S61" s="27"/>
    </row>
    <row r="62" spans="1:19" s="28" customFormat="1" x14ac:dyDescent="0.25">
      <c r="A62" s="32" t="s">
        <v>418</v>
      </c>
      <c r="B62" s="21">
        <f t="shared" si="0"/>
        <v>440606.44</v>
      </c>
      <c r="C62" s="4">
        <v>436514.9</v>
      </c>
      <c r="D62" s="4">
        <v>4091.54</v>
      </c>
      <c r="E62" s="4"/>
      <c r="F62" s="23">
        <f t="shared" si="1"/>
        <v>1003230.083800001</v>
      </c>
      <c r="G62" s="4">
        <v>889817.75000000093</v>
      </c>
      <c r="H62" s="4">
        <v>113412.33379999999</v>
      </c>
      <c r="I62" s="4"/>
      <c r="J62" s="4">
        <v>3053672</v>
      </c>
      <c r="K62" s="4">
        <v>4099586.6799999988</v>
      </c>
      <c r="L62" s="4">
        <v>4727200.88</v>
      </c>
      <c r="M62" s="4">
        <v>5648058.8899999997</v>
      </c>
      <c r="N62" s="4">
        <v>4902170.8</v>
      </c>
      <c r="O62" s="34" t="s">
        <v>419</v>
      </c>
      <c r="P62" s="26"/>
      <c r="Q62" s="27"/>
      <c r="S62" s="27"/>
    </row>
    <row r="63" spans="1:19" s="28" customFormat="1" x14ac:dyDescent="0.25">
      <c r="A63" s="32"/>
      <c r="B63" s="21"/>
      <c r="C63" s="4"/>
      <c r="D63" s="4"/>
      <c r="E63" s="4"/>
      <c r="F63" s="23"/>
      <c r="G63" s="4"/>
      <c r="H63" s="4"/>
      <c r="I63" s="4"/>
      <c r="J63" s="4"/>
      <c r="K63" s="4"/>
      <c r="L63" s="4"/>
      <c r="M63" s="4"/>
      <c r="N63" s="4"/>
      <c r="O63" s="34"/>
      <c r="P63" s="26"/>
      <c r="Q63" s="27"/>
      <c r="S63" s="27"/>
    </row>
    <row r="64" spans="1:19" s="28" customFormat="1" x14ac:dyDescent="0.25">
      <c r="A64" s="30" t="s">
        <v>15</v>
      </c>
      <c r="B64" s="21">
        <f t="shared" si="0"/>
        <v>3876037.1799999997</v>
      </c>
      <c r="C64" s="2">
        <f>SUM(C65:C77)</f>
        <v>3248051.12</v>
      </c>
      <c r="D64" s="2">
        <f>SUM(D65:D77)</f>
        <v>627986.05999999982</v>
      </c>
      <c r="E64" s="2"/>
      <c r="F64" s="23">
        <f t="shared" si="1"/>
        <v>6795547.7153829793</v>
      </c>
      <c r="G64" s="2">
        <f>SUM(G65:G77)</f>
        <v>5956733.4745829804</v>
      </c>
      <c r="H64" s="2">
        <f>SUM(H65:H77)</f>
        <v>838814.24079999886</v>
      </c>
      <c r="I64" s="2"/>
      <c r="J64" s="2">
        <f>SUM(J65:J77)</f>
        <v>9433955</v>
      </c>
      <c r="K64" s="2">
        <f>SUM(K65:K77)</f>
        <v>8314019.0199999837</v>
      </c>
      <c r="L64" s="2">
        <f>SUM(L65:L77)</f>
        <v>11788026.34</v>
      </c>
      <c r="M64" s="2">
        <f>SUM(M65:M77)</f>
        <v>16282824.600000001</v>
      </c>
      <c r="N64" s="2">
        <f>SUM(N65:N77)</f>
        <v>16255000.77</v>
      </c>
      <c r="O64" s="31" t="s">
        <v>16</v>
      </c>
      <c r="P64" s="26"/>
      <c r="Q64" s="27"/>
      <c r="S64" s="27"/>
    </row>
    <row r="65" spans="1:19" s="28" customFormat="1" x14ac:dyDescent="0.25">
      <c r="A65" s="32" t="s">
        <v>136</v>
      </c>
      <c r="B65" s="21">
        <f t="shared" si="0"/>
        <v>127116.98999999999</v>
      </c>
      <c r="C65" s="4">
        <v>102200.53</v>
      </c>
      <c r="D65" s="4">
        <v>24916.46</v>
      </c>
      <c r="E65" s="4"/>
      <c r="F65" s="23">
        <f t="shared" si="1"/>
        <v>203809.58879999898</v>
      </c>
      <c r="G65" s="4">
        <v>163830.68999999898</v>
      </c>
      <c r="H65" s="4">
        <v>39978.898800000003</v>
      </c>
      <c r="I65" s="4"/>
      <c r="J65" s="4">
        <v>24900</v>
      </c>
      <c r="K65" s="4">
        <v>300</v>
      </c>
      <c r="L65" s="4">
        <v>0</v>
      </c>
      <c r="M65" s="4">
        <v>148639.25</v>
      </c>
      <c r="N65" s="4">
        <v>232530.21</v>
      </c>
      <c r="O65" s="33" t="s">
        <v>137</v>
      </c>
      <c r="P65" s="26"/>
      <c r="Q65" s="27"/>
      <c r="S65" s="27"/>
    </row>
    <row r="66" spans="1:19" s="28" customFormat="1" x14ac:dyDescent="0.25">
      <c r="A66" s="32" t="s">
        <v>138</v>
      </c>
      <c r="B66" s="21">
        <f t="shared" si="0"/>
        <v>253851.51999999999</v>
      </c>
      <c r="C66" s="4">
        <v>220708.05</v>
      </c>
      <c r="D66" s="4">
        <v>33143.47</v>
      </c>
      <c r="E66" s="4"/>
      <c r="F66" s="23">
        <f t="shared" si="1"/>
        <v>654656.55419999897</v>
      </c>
      <c r="G66" s="4">
        <v>510928.02999999898</v>
      </c>
      <c r="H66" s="4">
        <v>143728.52419999999</v>
      </c>
      <c r="I66" s="4"/>
      <c r="J66" s="4">
        <v>616072</v>
      </c>
      <c r="K66" s="4">
        <v>420101.81</v>
      </c>
      <c r="L66" s="4">
        <v>606837.87</v>
      </c>
      <c r="M66" s="4">
        <v>1061596.77</v>
      </c>
      <c r="N66" s="4">
        <v>1076196.96</v>
      </c>
      <c r="O66" s="33" t="s">
        <v>139</v>
      </c>
      <c r="P66" s="26"/>
      <c r="Q66" s="27"/>
      <c r="S66" s="27"/>
    </row>
    <row r="67" spans="1:19" s="28" customFormat="1" x14ac:dyDescent="0.25">
      <c r="A67" s="32" t="s">
        <v>140</v>
      </c>
      <c r="B67" s="21">
        <f t="shared" si="0"/>
        <v>141822.62</v>
      </c>
      <c r="C67" s="4">
        <v>141822.62</v>
      </c>
      <c r="D67" s="4" t="s">
        <v>1</v>
      </c>
      <c r="E67" s="4"/>
      <c r="F67" s="23">
        <f t="shared" si="1"/>
        <v>443631.25999999879</v>
      </c>
      <c r="G67" s="4">
        <v>313742.049999999</v>
      </c>
      <c r="H67" s="4">
        <v>129889.20999999979</v>
      </c>
      <c r="I67" s="4"/>
      <c r="J67" s="4">
        <v>128884</v>
      </c>
      <c r="K67" s="4">
        <v>124615.81</v>
      </c>
      <c r="L67" s="4">
        <v>47575.94</v>
      </c>
      <c r="M67" s="4">
        <v>299677.95</v>
      </c>
      <c r="N67" s="4">
        <v>397981.52</v>
      </c>
      <c r="O67" s="33" t="s">
        <v>141</v>
      </c>
      <c r="P67" s="26"/>
      <c r="Q67" s="27"/>
      <c r="S67" s="27"/>
    </row>
    <row r="68" spans="1:19" s="28" customFormat="1" x14ac:dyDescent="0.25">
      <c r="A68" s="32" t="s">
        <v>142</v>
      </c>
      <c r="B68" s="21">
        <f t="shared" si="0"/>
        <v>151183.87</v>
      </c>
      <c r="C68" s="4">
        <v>151183.87</v>
      </c>
      <c r="D68" s="4" t="s">
        <v>1</v>
      </c>
      <c r="E68" s="4"/>
      <c r="F68" s="23">
        <f t="shared" si="1"/>
        <v>386659.141</v>
      </c>
      <c r="G68" s="4">
        <v>277079.76</v>
      </c>
      <c r="H68" s="4">
        <v>109579.38099999999</v>
      </c>
      <c r="I68" s="4"/>
      <c r="J68" s="4">
        <v>169487</v>
      </c>
      <c r="K68" s="4">
        <v>217228.53</v>
      </c>
      <c r="L68" s="4">
        <v>238740.26</v>
      </c>
      <c r="M68" s="4">
        <v>476223.97</v>
      </c>
      <c r="N68" s="4">
        <v>701131.11</v>
      </c>
      <c r="O68" s="33" t="s">
        <v>143</v>
      </c>
      <c r="P68" s="26"/>
      <c r="Q68" s="27"/>
      <c r="S68" s="27"/>
    </row>
    <row r="69" spans="1:19" s="28" customFormat="1" x14ac:dyDescent="0.25">
      <c r="A69" s="32" t="s">
        <v>144</v>
      </c>
      <c r="B69" s="21">
        <f t="shared" si="0"/>
        <v>239921.02</v>
      </c>
      <c r="C69" s="4">
        <v>163436.04999999999</v>
      </c>
      <c r="D69" s="4">
        <v>76484.97</v>
      </c>
      <c r="E69" s="4"/>
      <c r="F69" s="23">
        <f t="shared" si="1"/>
        <v>282198.56</v>
      </c>
      <c r="G69" s="4">
        <v>282198.56</v>
      </c>
      <c r="H69" s="4" t="s">
        <v>1</v>
      </c>
      <c r="I69" s="4"/>
      <c r="J69" s="4">
        <v>146789</v>
      </c>
      <c r="K69" s="4">
        <v>199038.53</v>
      </c>
      <c r="L69" s="4">
        <v>371000</v>
      </c>
      <c r="M69" s="4">
        <v>488195.9</v>
      </c>
      <c r="N69" s="4">
        <v>636530.34</v>
      </c>
      <c r="O69" s="33" t="s">
        <v>145</v>
      </c>
      <c r="P69" s="26"/>
      <c r="Q69" s="27"/>
      <c r="S69" s="27"/>
    </row>
    <row r="70" spans="1:19" s="28" customFormat="1" x14ac:dyDescent="0.25">
      <c r="A70" s="32" t="s">
        <v>146</v>
      </c>
      <c r="B70" s="21">
        <f t="shared" si="0"/>
        <v>137471.65</v>
      </c>
      <c r="C70" s="4">
        <v>137471.65</v>
      </c>
      <c r="D70" s="4" t="s">
        <v>1</v>
      </c>
      <c r="E70" s="4"/>
      <c r="F70" s="23">
        <f t="shared" si="1"/>
        <v>226202.19239999898</v>
      </c>
      <c r="G70" s="4">
        <v>220724.69999999899</v>
      </c>
      <c r="H70" s="4">
        <v>5477.4924000000001</v>
      </c>
      <c r="I70" s="4"/>
      <c r="J70" s="4">
        <v>121240</v>
      </c>
      <c r="K70" s="4">
        <v>0</v>
      </c>
      <c r="L70" s="4">
        <v>15900</v>
      </c>
      <c r="M70" s="4">
        <v>72492.61</v>
      </c>
      <c r="N70" s="4">
        <v>404205.71</v>
      </c>
      <c r="O70" s="33" t="s">
        <v>147</v>
      </c>
      <c r="P70" s="26"/>
      <c r="Q70" s="27"/>
      <c r="S70" s="27"/>
    </row>
    <row r="71" spans="1:19" s="28" customFormat="1" x14ac:dyDescent="0.25">
      <c r="A71" s="32" t="s">
        <v>148</v>
      </c>
      <c r="B71" s="21">
        <f t="shared" si="0"/>
        <v>151077.76000000001</v>
      </c>
      <c r="C71" s="4">
        <v>111031.93</v>
      </c>
      <c r="D71" s="4">
        <v>40045.83</v>
      </c>
      <c r="E71" s="4"/>
      <c r="F71" s="23">
        <f t="shared" si="1"/>
        <v>384542.57759999897</v>
      </c>
      <c r="G71" s="4">
        <v>342753.01999999897</v>
      </c>
      <c r="H71" s="4">
        <v>41789.5576</v>
      </c>
      <c r="I71" s="4"/>
      <c r="J71" s="4">
        <v>112741</v>
      </c>
      <c r="K71" s="4">
        <v>106905.37</v>
      </c>
      <c r="L71" s="4">
        <v>180303.18</v>
      </c>
      <c r="M71" s="4">
        <v>367827</v>
      </c>
      <c r="N71" s="4">
        <v>462868.82</v>
      </c>
      <c r="O71" s="33" t="s">
        <v>149</v>
      </c>
      <c r="P71" s="26"/>
      <c r="Q71" s="27"/>
      <c r="S71" s="27"/>
    </row>
    <row r="72" spans="1:19" s="28" customFormat="1" x14ac:dyDescent="0.25">
      <c r="A72" s="32" t="s">
        <v>150</v>
      </c>
      <c r="B72" s="21">
        <f t="shared" ref="B72:B135" si="3">SUM(C72:D72)</f>
        <v>163199.66</v>
      </c>
      <c r="C72" s="4">
        <v>163199.66</v>
      </c>
      <c r="D72" s="4" t="s">
        <v>1</v>
      </c>
      <c r="E72" s="4"/>
      <c r="F72" s="23">
        <f t="shared" ref="F72:F135" si="4">SUM(G72:H72)</f>
        <v>341228.36299999896</v>
      </c>
      <c r="G72" s="4">
        <v>331228.36299999896</v>
      </c>
      <c r="H72" s="4">
        <v>10000</v>
      </c>
      <c r="I72" s="4"/>
      <c r="J72" s="4">
        <v>112699</v>
      </c>
      <c r="K72" s="4">
        <v>134662.16999999899</v>
      </c>
      <c r="L72" s="4">
        <v>190654.24</v>
      </c>
      <c r="M72" s="4">
        <v>275196.34999999998</v>
      </c>
      <c r="N72" s="4">
        <v>629712.55000000005</v>
      </c>
      <c r="O72" s="33" t="s">
        <v>151</v>
      </c>
      <c r="P72" s="26"/>
      <c r="Q72" s="27"/>
      <c r="S72" s="27"/>
    </row>
    <row r="73" spans="1:19" s="28" customFormat="1" x14ac:dyDescent="0.25">
      <c r="A73" s="32" t="s">
        <v>152</v>
      </c>
      <c r="B73" s="21">
        <f t="shared" si="3"/>
        <v>138120.72999999998</v>
      </c>
      <c r="C73" s="4">
        <v>36751.64</v>
      </c>
      <c r="D73" s="4">
        <v>101369.09</v>
      </c>
      <c r="E73" s="4"/>
      <c r="F73" s="23">
        <f t="shared" si="4"/>
        <v>100711.25999999989</v>
      </c>
      <c r="G73" s="4">
        <v>100711.25999999989</v>
      </c>
      <c r="H73" s="4" t="s">
        <v>1</v>
      </c>
      <c r="I73" s="4"/>
      <c r="J73" s="4">
        <v>0</v>
      </c>
      <c r="K73" s="4">
        <v>0</v>
      </c>
      <c r="L73" s="4">
        <v>0</v>
      </c>
      <c r="M73" s="4">
        <v>45743.46</v>
      </c>
      <c r="N73" s="4">
        <v>292395.99</v>
      </c>
      <c r="O73" s="33" t="s">
        <v>153</v>
      </c>
      <c r="P73" s="27"/>
      <c r="Q73" s="27"/>
      <c r="S73" s="27"/>
    </row>
    <row r="74" spans="1:19" s="28" customFormat="1" x14ac:dyDescent="0.25">
      <c r="A74" s="32" t="s">
        <v>154</v>
      </c>
      <c r="B74" s="21">
        <f t="shared" si="3"/>
        <v>742155.98</v>
      </c>
      <c r="C74" s="4">
        <v>469329.9</v>
      </c>
      <c r="D74" s="4">
        <v>272826.08</v>
      </c>
      <c r="E74" s="4"/>
      <c r="F74" s="23">
        <f t="shared" si="4"/>
        <v>648339.08158299793</v>
      </c>
      <c r="G74" s="4">
        <v>637579.00158299797</v>
      </c>
      <c r="H74" s="4">
        <v>10760.08</v>
      </c>
      <c r="I74" s="4"/>
      <c r="J74" s="4">
        <v>4128416</v>
      </c>
      <c r="K74" s="4">
        <v>2969093.61</v>
      </c>
      <c r="L74" s="4">
        <v>5003030.05</v>
      </c>
      <c r="M74" s="4">
        <v>6594631.7000000002</v>
      </c>
      <c r="N74" s="4">
        <v>5151014.55</v>
      </c>
      <c r="O74" s="33" t="s">
        <v>155</v>
      </c>
      <c r="P74" s="27"/>
      <c r="Q74" s="27"/>
      <c r="S74" s="27"/>
    </row>
    <row r="75" spans="1:19" s="28" customFormat="1" x14ac:dyDescent="0.25">
      <c r="A75" s="32" t="s">
        <v>156</v>
      </c>
      <c r="B75" s="21">
        <f t="shared" si="3"/>
        <v>858355.99</v>
      </c>
      <c r="C75" s="4">
        <v>804365.41</v>
      </c>
      <c r="D75" s="4">
        <v>53990.58</v>
      </c>
      <c r="E75" s="4"/>
      <c r="F75" s="23">
        <f t="shared" si="4"/>
        <v>1156920.1901999901</v>
      </c>
      <c r="G75" s="4">
        <v>1028781.22999999</v>
      </c>
      <c r="H75" s="4">
        <v>128138.9602</v>
      </c>
      <c r="I75" s="4"/>
      <c r="J75" s="4">
        <v>1797368</v>
      </c>
      <c r="K75" s="4">
        <v>2404751.50999999</v>
      </c>
      <c r="L75" s="4">
        <v>3187746.11</v>
      </c>
      <c r="M75" s="4">
        <v>3765359.72</v>
      </c>
      <c r="N75" s="4">
        <v>2952036.8200000003</v>
      </c>
      <c r="O75" s="33" t="s">
        <v>157</v>
      </c>
      <c r="P75" s="27"/>
      <c r="Q75" s="27"/>
      <c r="S75" s="27"/>
    </row>
    <row r="76" spans="1:19" s="28" customFormat="1" x14ac:dyDescent="0.25">
      <c r="A76" s="32" t="s">
        <v>158</v>
      </c>
      <c r="B76" s="21">
        <f t="shared" si="3"/>
        <v>136551.04000000001</v>
      </c>
      <c r="C76" s="4">
        <v>136551.04000000001</v>
      </c>
      <c r="D76" s="4" t="s">
        <v>1</v>
      </c>
      <c r="E76" s="4"/>
      <c r="F76" s="23">
        <f t="shared" si="4"/>
        <v>754353.67119999893</v>
      </c>
      <c r="G76" s="4">
        <v>720924.87999999896</v>
      </c>
      <c r="H76" s="4">
        <v>33428.7912</v>
      </c>
      <c r="I76" s="4"/>
      <c r="J76" s="4">
        <v>0</v>
      </c>
      <c r="K76" s="4">
        <v>0</v>
      </c>
      <c r="L76" s="4">
        <v>9000</v>
      </c>
      <c r="M76" s="4">
        <v>128544.07</v>
      </c>
      <c r="N76" s="4">
        <v>183876.98</v>
      </c>
      <c r="O76" s="33" t="s">
        <v>159</v>
      </c>
      <c r="P76" s="27"/>
      <c r="Q76" s="27"/>
      <c r="S76" s="27"/>
    </row>
    <row r="77" spans="1:19" s="28" customFormat="1" x14ac:dyDescent="0.25">
      <c r="A77" s="32" t="s">
        <v>160</v>
      </c>
      <c r="B77" s="21">
        <f t="shared" si="3"/>
        <v>635208.35</v>
      </c>
      <c r="C77" s="4">
        <v>609998.77</v>
      </c>
      <c r="D77" s="4">
        <v>25209.58</v>
      </c>
      <c r="E77" s="4"/>
      <c r="F77" s="23">
        <f t="shared" si="4"/>
        <v>1212295.275399999</v>
      </c>
      <c r="G77" s="4">
        <v>1026251.9299999999</v>
      </c>
      <c r="H77" s="4">
        <v>186043.345399999</v>
      </c>
      <c r="I77" s="4"/>
      <c r="J77" s="4">
        <v>2075359</v>
      </c>
      <c r="K77" s="4">
        <v>1737321.679999995</v>
      </c>
      <c r="L77" s="4">
        <v>1937238.69</v>
      </c>
      <c r="M77" s="4">
        <v>2558695.85</v>
      </c>
      <c r="N77" s="4">
        <v>3134519.21</v>
      </c>
      <c r="O77" s="33" t="s">
        <v>161</v>
      </c>
      <c r="P77" s="26"/>
      <c r="Q77" s="27"/>
      <c r="S77" s="27"/>
    </row>
    <row r="78" spans="1:19" s="28" customFormat="1" ht="8.25" customHeight="1" x14ac:dyDescent="0.25">
      <c r="A78" s="32"/>
      <c r="B78" s="21"/>
      <c r="C78" s="4"/>
      <c r="D78" s="4"/>
      <c r="E78" s="4"/>
      <c r="F78" s="23"/>
      <c r="G78" s="4"/>
      <c r="H78" s="4"/>
      <c r="I78" s="4"/>
      <c r="J78" s="4"/>
      <c r="K78" s="4"/>
      <c r="L78" s="4"/>
      <c r="M78" s="4"/>
      <c r="N78" s="4"/>
      <c r="O78" s="33"/>
      <c r="P78" s="26"/>
      <c r="Q78" s="27"/>
      <c r="S78" s="27"/>
    </row>
    <row r="79" spans="1:19" s="28" customFormat="1" x14ac:dyDescent="0.25">
      <c r="A79" s="30" t="s">
        <v>17</v>
      </c>
      <c r="B79" s="21">
        <f t="shared" si="3"/>
        <v>4840611.5375000006</v>
      </c>
      <c r="C79" s="2">
        <f>SUM(C80:C96)</f>
        <v>3877443.9800000004</v>
      </c>
      <c r="D79" s="2">
        <f>SUM(D80:D96)</f>
        <v>963167.55749999988</v>
      </c>
      <c r="E79" s="2"/>
      <c r="F79" s="23">
        <f t="shared" si="4"/>
        <v>8924217.2891959883</v>
      </c>
      <c r="G79" s="2">
        <f>SUM(G80:G96)</f>
        <v>7144658.7453959892</v>
      </c>
      <c r="H79" s="2">
        <f>SUM(H80:H96)</f>
        <v>1779558.5437999992</v>
      </c>
      <c r="I79" s="2"/>
      <c r="J79" s="2">
        <f>SUM(J80:J96)</f>
        <v>19126765</v>
      </c>
      <c r="K79" s="2">
        <f>SUM(K80:K96)</f>
        <v>20668283.130000003</v>
      </c>
      <c r="L79" s="2">
        <f>SUM(L80:L96)</f>
        <v>29304498.352999996</v>
      </c>
      <c r="M79" s="2">
        <f>SUM(M80:M96)</f>
        <v>40394300.451000005</v>
      </c>
      <c r="N79" s="2">
        <f>SUM(N80:N96)</f>
        <v>43959957.410000004</v>
      </c>
      <c r="O79" s="31" t="s">
        <v>18</v>
      </c>
      <c r="P79" s="26"/>
      <c r="Q79" s="27"/>
      <c r="S79" s="27"/>
    </row>
    <row r="80" spans="1:19" s="28" customFormat="1" x14ac:dyDescent="0.25">
      <c r="A80" s="32" t="s">
        <v>162</v>
      </c>
      <c r="B80" s="21">
        <f t="shared" si="3"/>
        <v>825964.42</v>
      </c>
      <c r="C80" s="4">
        <v>537470.52</v>
      </c>
      <c r="D80" s="4">
        <v>288493.90000000002</v>
      </c>
      <c r="E80" s="4"/>
      <c r="F80" s="23">
        <f t="shared" si="4"/>
        <v>1242715.9795999969</v>
      </c>
      <c r="G80" s="4">
        <v>963642.63999999803</v>
      </c>
      <c r="H80" s="4">
        <v>279073.33959999902</v>
      </c>
      <c r="I80" s="4"/>
      <c r="J80" s="4">
        <v>1849428</v>
      </c>
      <c r="K80" s="4">
        <v>2039674.01</v>
      </c>
      <c r="L80" s="4">
        <v>2308805</v>
      </c>
      <c r="M80" s="4">
        <v>2929837.51</v>
      </c>
      <c r="N80" s="4">
        <v>3387522.5300000003</v>
      </c>
      <c r="O80" s="33" t="s">
        <v>163</v>
      </c>
      <c r="P80" s="26"/>
      <c r="Q80" s="27"/>
      <c r="S80" s="27"/>
    </row>
    <row r="81" spans="1:19" s="28" customFormat="1" x14ac:dyDescent="0.25">
      <c r="A81" s="32" t="s">
        <v>164</v>
      </c>
      <c r="B81" s="21">
        <f t="shared" si="3"/>
        <v>121122.81</v>
      </c>
      <c r="C81" s="4">
        <v>120024.06</v>
      </c>
      <c r="D81" s="4">
        <v>1098.75</v>
      </c>
      <c r="E81" s="4"/>
      <c r="F81" s="23">
        <f t="shared" si="4"/>
        <v>204407.88</v>
      </c>
      <c r="G81" s="4">
        <v>204407.88</v>
      </c>
      <c r="H81" s="4" t="s">
        <v>1</v>
      </c>
      <c r="I81" s="4"/>
      <c r="J81" s="4">
        <v>35277</v>
      </c>
      <c r="K81" s="4">
        <v>11215</v>
      </c>
      <c r="L81" s="4">
        <v>28645</v>
      </c>
      <c r="M81" s="4">
        <v>82831.460000000006</v>
      </c>
      <c r="N81" s="4">
        <v>381734</v>
      </c>
      <c r="O81" s="33" t="s">
        <v>165</v>
      </c>
      <c r="P81" s="26"/>
      <c r="Q81" s="27"/>
      <c r="S81" s="27"/>
    </row>
    <row r="82" spans="1:19" s="28" customFormat="1" x14ac:dyDescent="0.25">
      <c r="A82" s="32" t="s">
        <v>166</v>
      </c>
      <c r="B82" s="21">
        <f t="shared" si="3"/>
        <v>374468.14</v>
      </c>
      <c r="C82" s="4">
        <v>363546.57</v>
      </c>
      <c r="D82" s="4">
        <v>10921.57</v>
      </c>
      <c r="E82" s="4"/>
      <c r="F82" s="23">
        <f t="shared" si="4"/>
        <v>667888.15419999894</v>
      </c>
      <c r="G82" s="4">
        <v>568710.09999999893</v>
      </c>
      <c r="H82" s="4">
        <v>99178.054199999999</v>
      </c>
      <c r="I82" s="4"/>
      <c r="J82" s="4">
        <v>133529</v>
      </c>
      <c r="K82" s="4">
        <v>141348.59</v>
      </c>
      <c r="L82" s="4">
        <v>241235.84</v>
      </c>
      <c r="M82" s="4">
        <v>448564.03</v>
      </c>
      <c r="N82" s="4">
        <v>549593.17999999993</v>
      </c>
      <c r="O82" s="33" t="s">
        <v>167</v>
      </c>
      <c r="P82" s="26"/>
      <c r="Q82" s="27"/>
      <c r="S82" s="27"/>
    </row>
    <row r="83" spans="1:19" s="28" customFormat="1" x14ac:dyDescent="0.25">
      <c r="A83" s="32" t="s">
        <v>168</v>
      </c>
      <c r="B83" s="21">
        <f t="shared" si="3"/>
        <v>90963.59</v>
      </c>
      <c r="C83" s="4">
        <v>90963.59</v>
      </c>
      <c r="D83" s="4" t="s">
        <v>1</v>
      </c>
      <c r="E83" s="4"/>
      <c r="F83" s="23">
        <f t="shared" si="4"/>
        <v>190556.429999999</v>
      </c>
      <c r="G83" s="4">
        <v>190556.429999999</v>
      </c>
      <c r="H83" s="4" t="s">
        <v>1</v>
      </c>
      <c r="I83" s="4"/>
      <c r="J83" s="4">
        <v>10400</v>
      </c>
      <c r="K83" s="4">
        <v>13030</v>
      </c>
      <c r="L83" s="4">
        <v>53005</v>
      </c>
      <c r="M83" s="4">
        <v>158479.45000000001</v>
      </c>
      <c r="N83" s="4">
        <v>244541</v>
      </c>
      <c r="O83" s="33" t="s">
        <v>169</v>
      </c>
      <c r="P83" s="26"/>
      <c r="Q83" s="27"/>
      <c r="S83" s="27"/>
    </row>
    <row r="84" spans="1:19" s="28" customFormat="1" x14ac:dyDescent="0.25">
      <c r="A84" s="32" t="s">
        <v>170</v>
      </c>
      <c r="B84" s="21">
        <f t="shared" si="3"/>
        <v>418435.26</v>
      </c>
      <c r="C84" s="4">
        <v>375081.38</v>
      </c>
      <c r="D84" s="4">
        <v>43353.88</v>
      </c>
      <c r="E84" s="4"/>
      <c r="F84" s="23">
        <f t="shared" si="4"/>
        <v>654448.33639999898</v>
      </c>
      <c r="G84" s="4">
        <v>597821.31999999902</v>
      </c>
      <c r="H84" s="4">
        <v>56627.0164</v>
      </c>
      <c r="I84" s="4"/>
      <c r="J84" s="4">
        <v>13652116</v>
      </c>
      <c r="K84" s="4">
        <v>14039888.07</v>
      </c>
      <c r="L84" s="4">
        <v>19260786.272999998</v>
      </c>
      <c r="M84" s="4">
        <v>23992138.561000001</v>
      </c>
      <c r="N84" s="4">
        <v>24537790.300000001</v>
      </c>
      <c r="O84" s="33" t="s">
        <v>171</v>
      </c>
      <c r="P84" s="26"/>
      <c r="Q84" s="27"/>
      <c r="S84" s="27"/>
    </row>
    <row r="85" spans="1:19" s="28" customFormat="1" x14ac:dyDescent="0.25">
      <c r="A85" s="32" t="s">
        <v>420</v>
      </c>
      <c r="B85" s="21">
        <f t="shared" si="3"/>
        <v>659099.12</v>
      </c>
      <c r="C85" s="4">
        <v>463014.19</v>
      </c>
      <c r="D85" s="4">
        <v>196084.93</v>
      </c>
      <c r="E85" s="4"/>
      <c r="F85" s="23">
        <f t="shared" si="4"/>
        <v>1596558.1193999979</v>
      </c>
      <c r="G85" s="4">
        <v>1028811.9699999979</v>
      </c>
      <c r="H85" s="4">
        <v>567746.14939999999</v>
      </c>
      <c r="I85" s="4"/>
      <c r="J85" s="4">
        <v>823948</v>
      </c>
      <c r="K85" s="4">
        <v>1040279.34</v>
      </c>
      <c r="L85" s="4">
        <v>1621450.36</v>
      </c>
      <c r="M85" s="4">
        <v>2303823.92</v>
      </c>
      <c r="N85" s="4">
        <v>0</v>
      </c>
      <c r="O85" s="34" t="s">
        <v>421</v>
      </c>
      <c r="P85" s="26"/>
      <c r="Q85" s="27"/>
      <c r="S85" s="27"/>
    </row>
    <row r="86" spans="1:19" s="28" customFormat="1" x14ac:dyDescent="0.25">
      <c r="A86" s="32" t="s">
        <v>422</v>
      </c>
      <c r="B86" s="21"/>
      <c r="C86" s="4" t="s">
        <v>1</v>
      </c>
      <c r="D86" s="4" t="s">
        <v>1</v>
      </c>
      <c r="E86" s="4"/>
      <c r="F86" s="23">
        <f t="shared" si="4"/>
        <v>1053.4000000000001</v>
      </c>
      <c r="G86" s="4">
        <v>1053.4000000000001</v>
      </c>
      <c r="H86" s="4" t="s">
        <v>1</v>
      </c>
      <c r="I86" s="4"/>
      <c r="J86" s="4">
        <v>0</v>
      </c>
      <c r="K86" s="4">
        <v>0</v>
      </c>
      <c r="L86" s="4">
        <v>427180.2</v>
      </c>
      <c r="M86" s="4">
        <v>1634144.96</v>
      </c>
      <c r="N86" s="4">
        <v>4646827.63</v>
      </c>
      <c r="O86" s="33" t="s">
        <v>172</v>
      </c>
      <c r="P86" s="27"/>
      <c r="Q86" s="27"/>
      <c r="S86" s="27"/>
    </row>
    <row r="87" spans="1:19" s="28" customFormat="1" x14ac:dyDescent="0.25">
      <c r="A87" s="32" t="s">
        <v>173</v>
      </c>
      <c r="B87" s="21">
        <f t="shared" si="3"/>
        <v>181520.484</v>
      </c>
      <c r="C87" s="4">
        <v>146034.29999999999</v>
      </c>
      <c r="D87" s="4">
        <v>35486.184000000001</v>
      </c>
      <c r="E87" s="4"/>
      <c r="F87" s="23">
        <f t="shared" si="4"/>
        <v>343342.03</v>
      </c>
      <c r="G87" s="4">
        <v>343342.03</v>
      </c>
      <c r="H87" s="4" t="s">
        <v>1</v>
      </c>
      <c r="I87" s="4"/>
      <c r="J87" s="4">
        <v>95961</v>
      </c>
      <c r="K87" s="4">
        <v>129157.3</v>
      </c>
      <c r="L87" s="4">
        <v>236449.36</v>
      </c>
      <c r="M87" s="4">
        <v>406044.4</v>
      </c>
      <c r="N87" s="4">
        <v>585573.97</v>
      </c>
      <c r="O87" s="33" t="s">
        <v>174</v>
      </c>
      <c r="P87" s="27"/>
      <c r="Q87" s="27"/>
      <c r="S87" s="27"/>
    </row>
    <row r="88" spans="1:19" s="28" customFormat="1" x14ac:dyDescent="0.25">
      <c r="A88" s="32" t="s">
        <v>175</v>
      </c>
      <c r="B88" s="21">
        <f t="shared" si="3"/>
        <v>286652.65999999997</v>
      </c>
      <c r="C88" s="4">
        <v>286652.65999999997</v>
      </c>
      <c r="D88" s="4" t="s">
        <v>1</v>
      </c>
      <c r="E88" s="4"/>
      <c r="F88" s="23">
        <f t="shared" si="4"/>
        <v>691563.47080000001</v>
      </c>
      <c r="G88" s="4">
        <v>459170.18</v>
      </c>
      <c r="H88" s="4">
        <v>232393.29079999999</v>
      </c>
      <c r="I88" s="4"/>
      <c r="J88" s="4">
        <v>93113</v>
      </c>
      <c r="K88" s="4">
        <v>121477</v>
      </c>
      <c r="L88" s="4">
        <v>182173</v>
      </c>
      <c r="M88" s="4">
        <v>262477.98</v>
      </c>
      <c r="N88" s="4">
        <v>478663.5</v>
      </c>
      <c r="O88" s="33" t="s">
        <v>176</v>
      </c>
      <c r="P88" s="27"/>
      <c r="Q88" s="27"/>
      <c r="S88" s="27"/>
    </row>
    <row r="89" spans="1:19" s="28" customFormat="1" x14ac:dyDescent="0.25">
      <c r="A89" s="32" t="s">
        <v>177</v>
      </c>
      <c r="B89" s="21">
        <f t="shared" si="3"/>
        <v>202623.31</v>
      </c>
      <c r="C89" s="4">
        <v>168976.35</v>
      </c>
      <c r="D89" s="4">
        <v>33646.959999999999</v>
      </c>
      <c r="E89" s="4"/>
      <c r="F89" s="23">
        <f t="shared" si="4"/>
        <v>460074.695396</v>
      </c>
      <c r="G89" s="4">
        <v>454484.945396</v>
      </c>
      <c r="H89" s="4">
        <v>5589.75</v>
      </c>
      <c r="I89" s="4"/>
      <c r="J89" s="4">
        <v>100080</v>
      </c>
      <c r="K89" s="4">
        <v>141250</v>
      </c>
      <c r="L89" s="4">
        <v>137990.70000000001</v>
      </c>
      <c r="M89" s="4">
        <v>455179.47</v>
      </c>
      <c r="N89" s="4">
        <v>603487.47</v>
      </c>
      <c r="O89" s="33" t="s">
        <v>178</v>
      </c>
      <c r="P89" s="27"/>
      <c r="Q89" s="27"/>
      <c r="S89" s="27"/>
    </row>
    <row r="90" spans="1:19" s="28" customFormat="1" x14ac:dyDescent="0.25">
      <c r="A90" s="32" t="s">
        <v>179</v>
      </c>
      <c r="B90" s="21">
        <f t="shared" si="3"/>
        <v>373757.897</v>
      </c>
      <c r="C90" s="4">
        <v>303552.03999999998</v>
      </c>
      <c r="D90" s="4">
        <v>70205.857000000004</v>
      </c>
      <c r="E90" s="4"/>
      <c r="F90" s="23">
        <f t="shared" si="4"/>
        <v>547495.55700000003</v>
      </c>
      <c r="G90" s="4">
        <v>413419.76</v>
      </c>
      <c r="H90" s="4">
        <v>134075.79699999999</v>
      </c>
      <c r="I90" s="4"/>
      <c r="J90" s="4">
        <v>345215</v>
      </c>
      <c r="K90" s="4">
        <v>602496.59</v>
      </c>
      <c r="L90" s="4">
        <v>1194051.29</v>
      </c>
      <c r="M90" s="4">
        <v>1654839.11</v>
      </c>
      <c r="N90" s="4">
        <v>1986241.9699999997</v>
      </c>
      <c r="O90" s="33" t="s">
        <v>180</v>
      </c>
      <c r="P90" s="27"/>
      <c r="Q90" s="27"/>
      <c r="S90" s="27"/>
    </row>
    <row r="91" spans="1:19" s="28" customFormat="1" x14ac:dyDescent="0.25">
      <c r="A91" s="32" t="s">
        <v>181</v>
      </c>
      <c r="B91" s="21">
        <f t="shared" si="3"/>
        <v>482286.29649999994</v>
      </c>
      <c r="C91" s="4">
        <v>350218.23</v>
      </c>
      <c r="D91" s="4">
        <v>132068.06649999999</v>
      </c>
      <c r="E91" s="4"/>
      <c r="F91" s="23">
        <f t="shared" si="4"/>
        <v>717131.282799999</v>
      </c>
      <c r="G91" s="4">
        <v>635068.50999999896</v>
      </c>
      <c r="H91" s="4">
        <v>82062.772800000006</v>
      </c>
      <c r="I91" s="4"/>
      <c r="J91" s="4">
        <v>359831</v>
      </c>
      <c r="K91" s="4">
        <v>429456.89999999898</v>
      </c>
      <c r="L91" s="4">
        <v>950579.85</v>
      </c>
      <c r="M91" s="4">
        <v>1759178.74</v>
      </c>
      <c r="N91" s="4">
        <v>1643465.24</v>
      </c>
      <c r="O91" s="33" t="s">
        <v>182</v>
      </c>
      <c r="P91" s="27"/>
      <c r="Q91" s="27"/>
      <c r="S91" s="27"/>
    </row>
    <row r="92" spans="1:19" s="28" customFormat="1" x14ac:dyDescent="0.25">
      <c r="A92" s="32" t="s">
        <v>183</v>
      </c>
      <c r="B92" s="21">
        <f t="shared" si="3"/>
        <v>53138.46</v>
      </c>
      <c r="C92" s="4">
        <v>53138.46</v>
      </c>
      <c r="D92" s="4" t="s">
        <v>1</v>
      </c>
      <c r="E92" s="4"/>
      <c r="F92" s="23">
        <f t="shared" si="4"/>
        <v>138737.89999999898</v>
      </c>
      <c r="G92" s="4">
        <v>138737.89999999898</v>
      </c>
      <c r="H92" s="4" t="s">
        <v>1</v>
      </c>
      <c r="I92" s="4"/>
      <c r="J92" s="4">
        <v>0</v>
      </c>
      <c r="K92" s="4">
        <v>0</v>
      </c>
      <c r="L92" s="4">
        <v>17940</v>
      </c>
      <c r="M92" s="4">
        <v>150063.57</v>
      </c>
      <c r="N92" s="4">
        <v>262729.53000000003</v>
      </c>
      <c r="O92" s="33" t="s">
        <v>184</v>
      </c>
      <c r="P92" s="27"/>
      <c r="Q92" s="27"/>
      <c r="S92" s="27"/>
    </row>
    <row r="93" spans="1:19" s="28" customFormat="1" x14ac:dyDescent="0.25">
      <c r="A93" s="32" t="s">
        <v>185</v>
      </c>
      <c r="B93" s="21">
        <f t="shared" si="3"/>
        <v>409513.37</v>
      </c>
      <c r="C93" s="4">
        <v>327452.68</v>
      </c>
      <c r="D93" s="4">
        <v>82060.69</v>
      </c>
      <c r="E93" s="4"/>
      <c r="F93" s="23">
        <f t="shared" si="4"/>
        <v>642085.41479999991</v>
      </c>
      <c r="G93" s="4">
        <v>549317.68999999994</v>
      </c>
      <c r="H93" s="4">
        <v>92767.724799999996</v>
      </c>
      <c r="I93" s="4"/>
      <c r="J93" s="4">
        <v>354403</v>
      </c>
      <c r="K93" s="4">
        <v>326252</v>
      </c>
      <c r="L93" s="4">
        <v>710064.3</v>
      </c>
      <c r="M93" s="4">
        <v>1206728.29</v>
      </c>
      <c r="N93" s="4">
        <v>1650484.49</v>
      </c>
      <c r="O93" s="33" t="s">
        <v>186</v>
      </c>
      <c r="P93" s="26"/>
      <c r="Q93" s="27"/>
      <c r="S93" s="27"/>
    </row>
    <row r="94" spans="1:19" s="28" customFormat="1" x14ac:dyDescent="0.25">
      <c r="A94" s="32" t="s">
        <v>187</v>
      </c>
      <c r="B94" s="21">
        <f t="shared" si="3"/>
        <v>152231.08000000002</v>
      </c>
      <c r="C94" s="4">
        <v>113461.91</v>
      </c>
      <c r="D94" s="4">
        <v>38769.17</v>
      </c>
      <c r="E94" s="4"/>
      <c r="F94" s="23">
        <f t="shared" si="4"/>
        <v>275820.99710000004</v>
      </c>
      <c r="G94" s="4">
        <v>156731.26</v>
      </c>
      <c r="H94" s="4">
        <v>119089.7371</v>
      </c>
      <c r="I94" s="4"/>
      <c r="J94" s="4">
        <v>81550</v>
      </c>
      <c r="K94" s="4">
        <v>136490</v>
      </c>
      <c r="L94" s="4">
        <v>209698.75</v>
      </c>
      <c r="M94" s="4">
        <v>217974.82</v>
      </c>
      <c r="N94" s="4">
        <v>279534.28000000003</v>
      </c>
      <c r="O94" s="33" t="s">
        <v>188</v>
      </c>
      <c r="P94" s="26"/>
      <c r="Q94" s="27"/>
      <c r="S94" s="27"/>
    </row>
    <row r="95" spans="1:19" s="28" customFormat="1" x14ac:dyDescent="0.25">
      <c r="A95" s="32" t="s">
        <v>189</v>
      </c>
      <c r="B95" s="21">
        <f t="shared" si="3"/>
        <v>206951.04000000001</v>
      </c>
      <c r="C95" s="4">
        <v>175973.44</v>
      </c>
      <c r="D95" s="4">
        <v>30977.599999999999</v>
      </c>
      <c r="E95" s="4"/>
      <c r="F95" s="23">
        <f t="shared" si="4"/>
        <v>540885.72169999999</v>
      </c>
      <c r="G95" s="4">
        <v>429930.81</v>
      </c>
      <c r="H95" s="4">
        <v>110954.9117</v>
      </c>
      <c r="I95" s="4"/>
      <c r="J95" s="4">
        <v>1191914</v>
      </c>
      <c r="K95" s="4">
        <v>1496268.33</v>
      </c>
      <c r="L95" s="4">
        <v>1724443.43</v>
      </c>
      <c r="M95" s="4">
        <v>2731994.18</v>
      </c>
      <c r="N95" s="4">
        <v>2721768.32</v>
      </c>
      <c r="O95" s="33" t="s">
        <v>190</v>
      </c>
      <c r="P95" s="26"/>
      <c r="Q95" s="27"/>
      <c r="S95" s="27"/>
    </row>
    <row r="96" spans="1:19" s="28" customFormat="1" ht="17.25" x14ac:dyDescent="0.25">
      <c r="A96" s="32" t="s">
        <v>423</v>
      </c>
      <c r="B96" s="21">
        <f t="shared" si="3"/>
        <v>1883.6</v>
      </c>
      <c r="C96" s="4">
        <v>1883.6</v>
      </c>
      <c r="D96" s="4" t="s">
        <v>1</v>
      </c>
      <c r="E96" s="4"/>
      <c r="F96" s="23">
        <f t="shared" si="4"/>
        <v>9451.9199999999892</v>
      </c>
      <c r="G96" s="4">
        <v>9451.9199999999892</v>
      </c>
      <c r="H96" s="4" t="s">
        <v>1</v>
      </c>
      <c r="I96" s="4"/>
      <c r="J96" s="4"/>
      <c r="K96" s="4">
        <v>0</v>
      </c>
      <c r="L96" s="4">
        <v>0</v>
      </c>
      <c r="M96" s="4">
        <v>0</v>
      </c>
      <c r="N96" s="4">
        <v>0</v>
      </c>
      <c r="O96" s="35" t="s">
        <v>424</v>
      </c>
      <c r="P96" s="26"/>
      <c r="Q96" s="27"/>
      <c r="S96" s="27"/>
    </row>
    <row r="97" spans="1:19" s="28" customFormat="1" ht="12" customHeight="1" x14ac:dyDescent="0.25">
      <c r="A97" s="32"/>
      <c r="B97" s="21"/>
      <c r="C97" s="4"/>
      <c r="D97" s="4"/>
      <c r="E97" s="4"/>
      <c r="F97" s="23"/>
      <c r="G97" s="4"/>
      <c r="H97" s="4"/>
      <c r="I97" s="4"/>
      <c r="J97" s="4"/>
      <c r="K97" s="4"/>
      <c r="L97" s="4"/>
      <c r="M97" s="4"/>
      <c r="N97" s="4"/>
      <c r="O97" s="36"/>
      <c r="P97" s="26"/>
      <c r="Q97" s="27"/>
      <c r="S97" s="27"/>
    </row>
    <row r="98" spans="1:19" s="28" customFormat="1" x14ac:dyDescent="0.25">
      <c r="A98" s="30" t="s">
        <v>19</v>
      </c>
      <c r="B98" s="21">
        <f t="shared" si="3"/>
        <v>4940124.7489999998</v>
      </c>
      <c r="C98" s="2">
        <f>SUM(C99:C111)</f>
        <v>4753614.66</v>
      </c>
      <c r="D98" s="2">
        <f>SUM(D99:D111)</f>
        <v>186510.08900000001</v>
      </c>
      <c r="E98" s="2"/>
      <c r="F98" s="23">
        <f t="shared" si="4"/>
        <v>9106537.9256169852</v>
      </c>
      <c r="G98" s="2">
        <f>SUM(G99:G111)</f>
        <v>8418459.732716985</v>
      </c>
      <c r="H98" s="2">
        <f>SUM(H99:H111)</f>
        <v>688078.19289999967</v>
      </c>
      <c r="I98" s="2"/>
      <c r="J98" s="2">
        <f>SUM(J99:J111)</f>
        <v>10273872</v>
      </c>
      <c r="K98" s="2">
        <f>SUM(K99:K111)</f>
        <v>9666175.0999999754</v>
      </c>
      <c r="L98" s="2">
        <f>SUM(L99:L111)</f>
        <v>15482386.66</v>
      </c>
      <c r="M98" s="2">
        <f>SUM(M99:M111)</f>
        <v>21675172.101000007</v>
      </c>
      <c r="N98" s="2">
        <f>SUM(N99:N111)</f>
        <v>26651220.370000005</v>
      </c>
      <c r="O98" s="31" t="s">
        <v>20</v>
      </c>
      <c r="P98" s="26"/>
      <c r="Q98" s="27"/>
      <c r="S98" s="27"/>
    </row>
    <row r="99" spans="1:19" s="28" customFormat="1" x14ac:dyDescent="0.25">
      <c r="A99" s="32" t="s">
        <v>191</v>
      </c>
      <c r="B99" s="21">
        <f t="shared" si="3"/>
        <v>300426.51</v>
      </c>
      <c r="C99" s="4">
        <v>253595.14</v>
      </c>
      <c r="D99" s="4">
        <v>46831.37</v>
      </c>
      <c r="E99" s="4"/>
      <c r="F99" s="23">
        <f t="shared" si="4"/>
        <v>557841.76759999886</v>
      </c>
      <c r="G99" s="4">
        <v>516712.53759999899</v>
      </c>
      <c r="H99" s="4">
        <v>41129.229999999901</v>
      </c>
      <c r="I99" s="4"/>
      <c r="J99" s="4">
        <v>174412</v>
      </c>
      <c r="K99" s="4">
        <v>158393.91999999899</v>
      </c>
      <c r="L99" s="4">
        <v>170837.14</v>
      </c>
      <c r="M99" s="4">
        <v>362232.12</v>
      </c>
      <c r="N99" s="4">
        <v>641767.24</v>
      </c>
      <c r="O99" s="33" t="s">
        <v>192</v>
      </c>
      <c r="P99" s="27"/>
      <c r="Q99" s="27"/>
      <c r="S99" s="27"/>
    </row>
    <row r="100" spans="1:19" s="28" customFormat="1" x14ac:dyDescent="0.25">
      <c r="A100" s="32" t="s">
        <v>193</v>
      </c>
      <c r="B100" s="21">
        <f t="shared" si="3"/>
        <v>182871.33</v>
      </c>
      <c r="C100" s="4">
        <v>120476.45</v>
      </c>
      <c r="D100" s="4">
        <v>62394.879999999997</v>
      </c>
      <c r="E100" s="4"/>
      <c r="F100" s="23">
        <f t="shared" si="4"/>
        <v>195751.14</v>
      </c>
      <c r="G100" s="4">
        <v>165751.14000000001</v>
      </c>
      <c r="H100" s="4">
        <v>30000</v>
      </c>
      <c r="I100" s="4"/>
      <c r="J100" s="4">
        <v>8157</v>
      </c>
      <c r="K100" s="4">
        <v>6080.8199999999897</v>
      </c>
      <c r="L100" s="4">
        <v>61144.99</v>
      </c>
      <c r="M100" s="4">
        <v>383590.23</v>
      </c>
      <c r="N100" s="4">
        <v>576655.37</v>
      </c>
      <c r="O100" s="33" t="s">
        <v>194</v>
      </c>
      <c r="P100" s="27"/>
      <c r="Q100" s="27"/>
      <c r="S100" s="27"/>
    </row>
    <row r="101" spans="1:19" s="28" customFormat="1" x14ac:dyDescent="0.25">
      <c r="A101" s="32" t="s">
        <v>195</v>
      </c>
      <c r="B101" s="21">
        <f t="shared" si="3"/>
        <v>190539.25</v>
      </c>
      <c r="C101" s="4">
        <v>190539.25</v>
      </c>
      <c r="D101" s="4" t="s">
        <v>1</v>
      </c>
      <c r="E101" s="4"/>
      <c r="F101" s="23">
        <f t="shared" si="4"/>
        <v>541776.57899999898</v>
      </c>
      <c r="G101" s="4">
        <v>511098.86999999901</v>
      </c>
      <c r="H101" s="4">
        <v>30677.708999999999</v>
      </c>
      <c r="I101" s="4"/>
      <c r="J101" s="4">
        <v>1049514</v>
      </c>
      <c r="K101" s="4">
        <v>1256411.8199999989</v>
      </c>
      <c r="L101" s="4">
        <v>1569339.82</v>
      </c>
      <c r="M101" s="4">
        <v>2128974.84</v>
      </c>
      <c r="N101" s="4">
        <v>3513938.54</v>
      </c>
      <c r="O101" s="33" t="s">
        <v>196</v>
      </c>
      <c r="P101" s="27"/>
      <c r="Q101" s="27"/>
      <c r="S101" s="27"/>
    </row>
    <row r="102" spans="1:19" s="28" customFormat="1" x14ac:dyDescent="0.25">
      <c r="A102" s="32" t="s">
        <v>197</v>
      </c>
      <c r="B102" s="21">
        <f t="shared" si="3"/>
        <v>104501.52</v>
      </c>
      <c r="C102" s="4">
        <v>104501.52</v>
      </c>
      <c r="D102" s="4" t="s">
        <v>1</v>
      </c>
      <c r="E102" s="4"/>
      <c r="F102" s="23">
        <f t="shared" si="4"/>
        <v>111956.22</v>
      </c>
      <c r="G102" s="4">
        <v>111956.22</v>
      </c>
      <c r="H102" s="4" t="s">
        <v>1</v>
      </c>
      <c r="I102" s="4"/>
      <c r="J102" s="4">
        <v>0</v>
      </c>
      <c r="K102" s="4">
        <v>12908.9</v>
      </c>
      <c r="L102" s="4">
        <v>45417.67</v>
      </c>
      <c r="M102" s="4">
        <v>174813.16</v>
      </c>
      <c r="N102" s="4">
        <v>307325.44</v>
      </c>
      <c r="O102" s="33" t="s">
        <v>198</v>
      </c>
      <c r="P102" s="27"/>
      <c r="Q102" s="27"/>
      <c r="S102" s="27"/>
    </row>
    <row r="103" spans="1:19" s="28" customFormat="1" x14ac:dyDescent="0.25">
      <c r="A103" s="32" t="s">
        <v>199</v>
      </c>
      <c r="B103" s="21">
        <f t="shared" si="3"/>
        <v>124169.17</v>
      </c>
      <c r="C103" s="4">
        <v>124169.17</v>
      </c>
      <c r="D103" s="4" t="s">
        <v>1</v>
      </c>
      <c r="E103" s="4"/>
      <c r="F103" s="23">
        <f t="shared" si="4"/>
        <v>184167.20999999897</v>
      </c>
      <c r="G103" s="4">
        <v>184167.20999999897</v>
      </c>
      <c r="H103" s="4" t="s">
        <v>1</v>
      </c>
      <c r="I103" s="4"/>
      <c r="J103" s="4">
        <v>0</v>
      </c>
      <c r="K103" s="4">
        <v>12176.25</v>
      </c>
      <c r="L103" s="4">
        <v>71157.56</v>
      </c>
      <c r="M103" s="4">
        <v>218391.37</v>
      </c>
      <c r="N103" s="4">
        <v>450463.44</v>
      </c>
      <c r="O103" s="33" t="s">
        <v>200</v>
      </c>
      <c r="P103" s="27"/>
      <c r="Q103" s="27"/>
      <c r="S103" s="27"/>
    </row>
    <row r="104" spans="1:19" s="28" customFormat="1" x14ac:dyDescent="0.25">
      <c r="A104" s="32" t="s">
        <v>201</v>
      </c>
      <c r="B104" s="21">
        <f t="shared" si="3"/>
        <v>441310.25999999995</v>
      </c>
      <c r="C104" s="4">
        <v>435253.16</v>
      </c>
      <c r="D104" s="4">
        <v>6057.1</v>
      </c>
      <c r="E104" s="4"/>
      <c r="F104" s="23">
        <f t="shared" si="4"/>
        <v>645127.01439999789</v>
      </c>
      <c r="G104" s="4">
        <v>589949.83299999801</v>
      </c>
      <c r="H104" s="4">
        <v>55177.181399999899</v>
      </c>
      <c r="I104" s="4"/>
      <c r="J104" s="4">
        <v>427213</v>
      </c>
      <c r="K104" s="4">
        <v>475620.15999999898</v>
      </c>
      <c r="L104" s="4">
        <v>431435.39</v>
      </c>
      <c r="M104" s="4">
        <v>1185989.03</v>
      </c>
      <c r="N104" s="4">
        <v>1386717.03</v>
      </c>
      <c r="O104" s="33" t="s">
        <v>202</v>
      </c>
      <c r="P104" s="27"/>
      <c r="Q104" s="27"/>
      <c r="S104" s="27"/>
    </row>
    <row r="105" spans="1:19" s="28" customFormat="1" x14ac:dyDescent="0.25">
      <c r="A105" s="32" t="s">
        <v>203</v>
      </c>
      <c r="B105" s="21">
        <f t="shared" si="3"/>
        <v>208395.23</v>
      </c>
      <c r="C105" s="4">
        <v>208395.23</v>
      </c>
      <c r="D105" s="4" t="s">
        <v>1</v>
      </c>
      <c r="E105" s="4"/>
      <c r="F105" s="23">
        <f t="shared" si="4"/>
        <v>261143.93549999999</v>
      </c>
      <c r="G105" s="4">
        <v>261143.93549999999</v>
      </c>
      <c r="H105" s="4" t="s">
        <v>1</v>
      </c>
      <c r="I105" s="4"/>
      <c r="J105" s="4">
        <v>108702</v>
      </c>
      <c r="K105" s="4">
        <v>172132.61</v>
      </c>
      <c r="L105" s="4">
        <v>248420</v>
      </c>
      <c r="M105" s="4">
        <v>359272.72</v>
      </c>
      <c r="N105" s="4">
        <v>344303.16000000003</v>
      </c>
      <c r="O105" s="33" t="s">
        <v>204</v>
      </c>
      <c r="P105" s="27"/>
      <c r="Q105" s="27"/>
      <c r="S105" s="27"/>
    </row>
    <row r="106" spans="1:19" s="28" customFormat="1" x14ac:dyDescent="0.25">
      <c r="A106" s="32" t="s">
        <v>205</v>
      </c>
      <c r="B106" s="21">
        <f t="shared" si="3"/>
        <v>1569465.6099999999</v>
      </c>
      <c r="C106" s="4">
        <v>1537200.92</v>
      </c>
      <c r="D106" s="4">
        <v>32264.69</v>
      </c>
      <c r="E106" s="4"/>
      <c r="F106" s="23">
        <f t="shared" si="4"/>
        <v>2130867.0562</v>
      </c>
      <c r="G106" s="4">
        <v>1975679.25</v>
      </c>
      <c r="H106" s="4">
        <v>155187.80619999999</v>
      </c>
      <c r="I106" s="4"/>
      <c r="J106" s="4">
        <v>5422842</v>
      </c>
      <c r="K106" s="4">
        <v>4906160.1999999899</v>
      </c>
      <c r="L106" s="4">
        <v>8875930.7599999998</v>
      </c>
      <c r="M106" s="4">
        <v>11092706.071</v>
      </c>
      <c r="N106" s="4">
        <v>12930193.189999999</v>
      </c>
      <c r="O106" s="33" t="s">
        <v>206</v>
      </c>
      <c r="P106" s="27"/>
      <c r="Q106" s="27"/>
      <c r="S106" s="27"/>
    </row>
    <row r="107" spans="1:19" s="28" customFormat="1" x14ac:dyDescent="0.25">
      <c r="A107" s="32" t="s">
        <v>207</v>
      </c>
      <c r="B107" s="21">
        <f t="shared" si="3"/>
        <v>928523.5</v>
      </c>
      <c r="C107" s="4">
        <v>902266.98</v>
      </c>
      <c r="D107" s="4">
        <v>26256.52</v>
      </c>
      <c r="E107" s="4"/>
      <c r="F107" s="23">
        <f t="shared" si="4"/>
        <v>2573988.8990170001</v>
      </c>
      <c r="G107" s="4">
        <v>2380017.6966170003</v>
      </c>
      <c r="H107" s="4">
        <v>193971.20240000001</v>
      </c>
      <c r="I107" s="4"/>
      <c r="J107" s="4">
        <v>2258058</v>
      </c>
      <c r="K107" s="4">
        <v>1716123.0799999898</v>
      </c>
      <c r="L107" s="4">
        <v>2619512.86</v>
      </c>
      <c r="M107" s="4">
        <v>3385799.49</v>
      </c>
      <c r="N107" s="4">
        <v>3618460.4400000004</v>
      </c>
      <c r="O107" s="33" t="s">
        <v>208</v>
      </c>
      <c r="P107" s="26"/>
      <c r="Q107" s="27"/>
      <c r="S107" s="27"/>
    </row>
    <row r="108" spans="1:19" s="28" customFormat="1" x14ac:dyDescent="0.25">
      <c r="A108" s="32" t="s">
        <v>209</v>
      </c>
      <c r="B108" s="21">
        <f t="shared" si="3"/>
        <v>519784.56</v>
      </c>
      <c r="C108" s="4">
        <v>514579.96</v>
      </c>
      <c r="D108" s="4">
        <v>5204.6000000000004</v>
      </c>
      <c r="E108" s="4"/>
      <c r="F108" s="23">
        <f t="shared" si="4"/>
        <v>1196760.06069999</v>
      </c>
      <c r="G108" s="4">
        <v>1086358.1499999901</v>
      </c>
      <c r="H108" s="4">
        <v>110401.91069999999</v>
      </c>
      <c r="I108" s="4"/>
      <c r="J108" s="4">
        <v>511716</v>
      </c>
      <c r="K108" s="4">
        <v>544674.91999999993</v>
      </c>
      <c r="L108" s="4">
        <v>773734.9</v>
      </c>
      <c r="M108" s="4">
        <v>1305030.6000000001</v>
      </c>
      <c r="N108" s="4">
        <v>1668405.7100000002</v>
      </c>
      <c r="O108" s="33" t="s">
        <v>210</v>
      </c>
      <c r="P108" s="26"/>
      <c r="Q108" s="27"/>
      <c r="S108" s="27"/>
    </row>
    <row r="109" spans="1:19" s="28" customFormat="1" x14ac:dyDescent="0.25">
      <c r="A109" s="32" t="s">
        <v>211</v>
      </c>
      <c r="B109" s="21">
        <f t="shared" si="3"/>
        <v>70688.27</v>
      </c>
      <c r="C109" s="4">
        <v>70688.27</v>
      </c>
      <c r="D109" s="4" t="s">
        <v>1</v>
      </c>
      <c r="E109" s="4"/>
      <c r="F109" s="23">
        <f t="shared" si="4"/>
        <v>201514.4632</v>
      </c>
      <c r="G109" s="4">
        <v>159981.31</v>
      </c>
      <c r="H109" s="4">
        <v>41533.153200000001</v>
      </c>
      <c r="I109" s="4"/>
      <c r="J109" s="4">
        <v>0</v>
      </c>
      <c r="K109" s="4">
        <v>1544.1599999999901</v>
      </c>
      <c r="L109" s="4">
        <v>5200</v>
      </c>
      <c r="M109" s="4">
        <v>60645.599999999999</v>
      </c>
      <c r="N109" s="4">
        <v>142165.76000000001</v>
      </c>
      <c r="O109" s="33" t="s">
        <v>212</v>
      </c>
      <c r="P109" s="26"/>
      <c r="Q109" s="27"/>
      <c r="S109" s="27"/>
    </row>
    <row r="110" spans="1:19" s="28" customFormat="1" x14ac:dyDescent="0.25">
      <c r="A110" s="32" t="s">
        <v>213</v>
      </c>
      <c r="B110" s="21">
        <f t="shared" si="3"/>
        <v>71372.548999999999</v>
      </c>
      <c r="C110" s="4">
        <v>63871.62</v>
      </c>
      <c r="D110" s="4">
        <v>7500.9290000000001</v>
      </c>
      <c r="E110" s="4"/>
      <c r="F110" s="23">
        <f t="shared" si="4"/>
        <v>160312.26999999999</v>
      </c>
      <c r="G110" s="4">
        <v>130312.26999999999</v>
      </c>
      <c r="H110" s="4">
        <v>30000</v>
      </c>
      <c r="I110" s="4"/>
      <c r="J110" s="4">
        <v>0</v>
      </c>
      <c r="K110" s="4">
        <v>100</v>
      </c>
      <c r="L110" s="4">
        <v>5240</v>
      </c>
      <c r="M110" s="4">
        <v>26717.51</v>
      </c>
      <c r="N110" s="4">
        <v>63135.969999999994</v>
      </c>
      <c r="O110" s="33" t="s">
        <v>214</v>
      </c>
      <c r="P110" s="26"/>
      <c r="Q110" s="27"/>
      <c r="S110" s="27"/>
    </row>
    <row r="111" spans="1:19" s="28" customFormat="1" x14ac:dyDescent="0.25">
      <c r="A111" s="32" t="s">
        <v>114</v>
      </c>
      <c r="B111" s="21">
        <f t="shared" si="3"/>
        <v>228076.99</v>
      </c>
      <c r="C111" s="4">
        <v>228076.99</v>
      </c>
      <c r="D111" s="4" t="s">
        <v>1</v>
      </c>
      <c r="E111" s="4"/>
      <c r="F111" s="23">
        <f t="shared" si="4"/>
        <v>345331.31</v>
      </c>
      <c r="G111" s="4">
        <v>345331.31</v>
      </c>
      <c r="H111" s="4"/>
      <c r="I111" s="4"/>
      <c r="J111" s="4">
        <v>313258</v>
      </c>
      <c r="K111" s="4">
        <v>403848.26</v>
      </c>
      <c r="L111" s="4">
        <v>605015.56999999995</v>
      </c>
      <c r="M111" s="4">
        <v>991009.36</v>
      </c>
      <c r="N111" s="4">
        <v>1007689.0800000001</v>
      </c>
      <c r="O111" s="33" t="s">
        <v>115</v>
      </c>
      <c r="P111" s="27"/>
      <c r="Q111" s="27"/>
      <c r="S111" s="27"/>
    </row>
    <row r="112" spans="1:19" s="28" customFormat="1" ht="6" customHeight="1" x14ac:dyDescent="0.25">
      <c r="A112" s="32"/>
      <c r="B112" s="21"/>
      <c r="C112" s="4"/>
      <c r="D112" s="4"/>
      <c r="E112" s="4"/>
      <c r="F112" s="23"/>
      <c r="G112" s="4"/>
      <c r="H112" s="4"/>
      <c r="I112" s="4"/>
      <c r="J112" s="4"/>
      <c r="K112" s="4"/>
      <c r="L112" s="4"/>
      <c r="M112" s="4"/>
      <c r="N112" s="4"/>
      <c r="O112" s="36"/>
      <c r="P112" s="27"/>
      <c r="Q112" s="27"/>
      <c r="S112" s="27"/>
    </row>
    <row r="113" spans="1:19" s="28" customFormat="1" x14ac:dyDescent="0.25">
      <c r="A113" s="30" t="s">
        <v>21</v>
      </c>
      <c r="B113" s="21">
        <f t="shared" si="3"/>
        <v>6033668.5216999995</v>
      </c>
      <c r="C113" s="2">
        <f>SUM(C114:C118)</f>
        <v>5335350.8499999996</v>
      </c>
      <c r="D113" s="2">
        <f>SUM(D114:D117)</f>
        <v>698317.67170000006</v>
      </c>
      <c r="E113" s="2"/>
      <c r="F113" s="23">
        <f t="shared" si="4"/>
        <v>7587552.8982999995</v>
      </c>
      <c r="G113" s="2">
        <f>SUM(G114:G118)</f>
        <v>6887507.7994999997</v>
      </c>
      <c r="H113" s="2">
        <f>SUM(H114:H118)</f>
        <v>700045.09880000004</v>
      </c>
      <c r="I113" s="2"/>
      <c r="J113" s="2">
        <f>SUM(J114:J118)</f>
        <v>19693974</v>
      </c>
      <c r="K113" s="2">
        <f>SUM(K114:K118)</f>
        <v>17144245.799999919</v>
      </c>
      <c r="L113" s="2">
        <f>SUM(L114:L118)</f>
        <v>23688972.940000001</v>
      </c>
      <c r="M113" s="2">
        <f>SUM(M114:M118)</f>
        <v>27147750.809999999</v>
      </c>
      <c r="N113" s="2">
        <f>SUM(N114:N118)</f>
        <v>31816789.559999999</v>
      </c>
      <c r="O113" s="31" t="s">
        <v>22</v>
      </c>
      <c r="P113" s="27"/>
      <c r="Q113" s="27"/>
      <c r="S113" s="27"/>
    </row>
    <row r="114" spans="1:19" s="28" customFormat="1" x14ac:dyDescent="0.25">
      <c r="A114" s="32" t="s">
        <v>215</v>
      </c>
      <c r="B114" s="21">
        <f t="shared" si="3"/>
        <v>1991050.2417000001</v>
      </c>
      <c r="C114" s="4">
        <v>1558116.24</v>
      </c>
      <c r="D114" s="4">
        <v>432934.00170000002</v>
      </c>
      <c r="E114" s="4"/>
      <c r="F114" s="23">
        <f t="shared" si="4"/>
        <v>2487937.3207999999</v>
      </c>
      <c r="G114" s="4">
        <v>2145585.1949999998</v>
      </c>
      <c r="H114" s="4">
        <v>342352.12579999998</v>
      </c>
      <c r="I114" s="4"/>
      <c r="J114" s="4">
        <v>3810512</v>
      </c>
      <c r="K114" s="4">
        <v>4125961.3499999703</v>
      </c>
      <c r="L114" s="4">
        <v>5211588.9800000004</v>
      </c>
      <c r="M114" s="4">
        <v>5255065.95</v>
      </c>
      <c r="N114" s="4">
        <v>5472344.1100000003</v>
      </c>
      <c r="O114" s="33" t="s">
        <v>216</v>
      </c>
      <c r="P114" s="26"/>
      <c r="Q114" s="27"/>
      <c r="S114" s="27"/>
    </row>
    <row r="115" spans="1:19" s="28" customFormat="1" x14ac:dyDescent="0.25">
      <c r="A115" s="32" t="s">
        <v>217</v>
      </c>
      <c r="B115" s="21">
        <f t="shared" si="3"/>
        <v>3209520.4540000004</v>
      </c>
      <c r="C115" s="4">
        <v>3046702.97</v>
      </c>
      <c r="D115" s="4">
        <v>162817.484</v>
      </c>
      <c r="E115" s="4"/>
      <c r="F115" s="23">
        <f t="shared" si="4"/>
        <v>3725337.2716000103</v>
      </c>
      <c r="G115" s="4">
        <v>3460259.0945000104</v>
      </c>
      <c r="H115" s="4">
        <v>265078.17709999997</v>
      </c>
      <c r="I115" s="4"/>
      <c r="J115" s="4">
        <v>12607569</v>
      </c>
      <c r="K115" s="4">
        <v>9868936.4599999487</v>
      </c>
      <c r="L115" s="4">
        <v>14589799.16</v>
      </c>
      <c r="M115" s="4">
        <v>18087255.73</v>
      </c>
      <c r="N115" s="4">
        <v>21723160.109999999</v>
      </c>
      <c r="O115" s="33" t="s">
        <v>218</v>
      </c>
      <c r="P115" s="26"/>
      <c r="Q115" s="27"/>
      <c r="S115" s="27"/>
    </row>
    <row r="116" spans="1:19" s="28" customFormat="1" x14ac:dyDescent="0.25">
      <c r="A116" s="32" t="s">
        <v>219</v>
      </c>
      <c r="B116" s="21">
        <f t="shared" si="3"/>
        <v>667227.326</v>
      </c>
      <c r="C116" s="4">
        <v>572319.22</v>
      </c>
      <c r="D116" s="4">
        <v>94908.106</v>
      </c>
      <c r="E116" s="4"/>
      <c r="F116" s="23">
        <f t="shared" si="4"/>
        <v>1196704.29589999</v>
      </c>
      <c r="G116" s="4">
        <v>1111622.1699999899</v>
      </c>
      <c r="H116" s="4">
        <v>85082.125899999999</v>
      </c>
      <c r="I116" s="4"/>
      <c r="J116" s="4">
        <v>3090679</v>
      </c>
      <c r="K116" s="4">
        <v>2906821.45</v>
      </c>
      <c r="L116" s="4">
        <v>3692388.03</v>
      </c>
      <c r="M116" s="4">
        <v>3325713.58</v>
      </c>
      <c r="N116" s="4">
        <v>3919278.3</v>
      </c>
      <c r="O116" s="33" t="s">
        <v>220</v>
      </c>
      <c r="P116" s="26"/>
      <c r="Q116" s="27"/>
      <c r="S116" s="27"/>
    </row>
    <row r="117" spans="1:19" s="28" customFormat="1" x14ac:dyDescent="0.25">
      <c r="A117" s="32" t="s">
        <v>221</v>
      </c>
      <c r="B117" s="21">
        <f t="shared" si="3"/>
        <v>165870.5</v>
      </c>
      <c r="C117" s="4">
        <v>158212.42000000001</v>
      </c>
      <c r="D117" s="4">
        <v>7658.08</v>
      </c>
      <c r="E117" s="4"/>
      <c r="F117" s="23">
        <f t="shared" si="4"/>
        <v>177326.21000000002</v>
      </c>
      <c r="G117" s="4">
        <v>169793.54</v>
      </c>
      <c r="H117" s="4">
        <v>7532.67</v>
      </c>
      <c r="I117" s="4"/>
      <c r="J117" s="4">
        <v>184529</v>
      </c>
      <c r="K117" s="4">
        <v>177945.59</v>
      </c>
      <c r="L117" s="4">
        <v>195196.77</v>
      </c>
      <c r="M117" s="4">
        <v>479715.55</v>
      </c>
      <c r="N117" s="4">
        <v>702007.04</v>
      </c>
      <c r="O117" s="33" t="s">
        <v>222</v>
      </c>
      <c r="P117" s="26"/>
      <c r="Q117" s="27"/>
      <c r="S117" s="27"/>
    </row>
    <row r="118" spans="1:19" s="28" customFormat="1" x14ac:dyDescent="0.25">
      <c r="A118" s="32" t="s">
        <v>223</v>
      </c>
      <c r="B118" s="21"/>
      <c r="C118" s="4" t="s">
        <v>1</v>
      </c>
      <c r="D118" s="4" t="s">
        <v>1</v>
      </c>
      <c r="E118" s="4"/>
      <c r="F118" s="23">
        <f t="shared" si="4"/>
        <v>247.8</v>
      </c>
      <c r="G118" s="4">
        <v>247.8</v>
      </c>
      <c r="H118" s="4" t="s">
        <v>1</v>
      </c>
      <c r="I118" s="4"/>
      <c r="J118" s="4">
        <v>685</v>
      </c>
      <c r="K118" s="4">
        <v>64580.95</v>
      </c>
      <c r="L118" s="4"/>
      <c r="M118" s="4">
        <v>0</v>
      </c>
      <c r="N118" s="4">
        <v>0</v>
      </c>
      <c r="O118" s="33" t="s">
        <v>224</v>
      </c>
      <c r="P118" s="26"/>
      <c r="Q118" s="27"/>
      <c r="S118" s="27"/>
    </row>
    <row r="119" spans="1:19" s="28" customFormat="1" ht="7.5" customHeight="1" x14ac:dyDescent="0.25">
      <c r="A119" s="32"/>
      <c r="B119" s="21"/>
      <c r="C119" s="4"/>
      <c r="D119" s="4"/>
      <c r="E119" s="4"/>
      <c r="F119" s="23"/>
      <c r="G119" s="4"/>
      <c r="H119" s="4"/>
      <c r="I119" s="4"/>
      <c r="J119" s="4"/>
      <c r="K119" s="4"/>
      <c r="L119" s="4"/>
      <c r="M119" s="4"/>
      <c r="N119" s="4"/>
      <c r="O119" s="36"/>
      <c r="P119" s="26"/>
      <c r="Q119" s="27"/>
      <c r="S119" s="27"/>
    </row>
    <row r="120" spans="1:19" s="28" customFormat="1" x14ac:dyDescent="0.25">
      <c r="A120" s="30" t="s">
        <v>23</v>
      </c>
      <c r="B120" s="21">
        <f t="shared" si="3"/>
        <v>2697275.7549999999</v>
      </c>
      <c r="C120" s="2">
        <f>SUM(C121:C129)</f>
        <v>2495813.3199999998</v>
      </c>
      <c r="D120" s="2">
        <f>SUM(D121:D129)</f>
        <v>201462.43500000003</v>
      </c>
      <c r="E120" s="2"/>
      <c r="F120" s="23">
        <f t="shared" si="4"/>
        <v>4579405.779699997</v>
      </c>
      <c r="G120" s="2">
        <f>SUM(G121:G129)</f>
        <v>4075372.9319999972</v>
      </c>
      <c r="H120" s="2">
        <f>SUM(H121:H129)</f>
        <v>504032.84769999993</v>
      </c>
      <c r="I120" s="2"/>
      <c r="J120" s="2">
        <f>SUM(J121:J129)</f>
        <v>4089031</v>
      </c>
      <c r="K120" s="2">
        <f>SUM(K121:K129)</f>
        <v>4086512.3099999991</v>
      </c>
      <c r="L120" s="2">
        <f>SUM(L121:L129)</f>
        <v>7724957.6299999999</v>
      </c>
      <c r="M120" s="2">
        <f>SUM(M121:M129)</f>
        <v>12281541.290000001</v>
      </c>
      <c r="N120" s="2">
        <f>SUM(N121:N129)</f>
        <v>14543865.75</v>
      </c>
      <c r="O120" s="31" t="s">
        <v>24</v>
      </c>
      <c r="P120" s="26"/>
      <c r="Q120" s="27"/>
      <c r="S120" s="27"/>
    </row>
    <row r="121" spans="1:19" s="28" customFormat="1" x14ac:dyDescent="0.25">
      <c r="A121" s="32" t="s">
        <v>225</v>
      </c>
      <c r="B121" s="21">
        <f t="shared" si="3"/>
        <v>365078.86499999999</v>
      </c>
      <c r="C121" s="4">
        <v>323482.36</v>
      </c>
      <c r="D121" s="4">
        <v>41596.504999999997</v>
      </c>
      <c r="E121" s="4"/>
      <c r="F121" s="23">
        <f t="shared" si="4"/>
        <v>618353.82579999894</v>
      </c>
      <c r="G121" s="4">
        <v>614414.16999999899</v>
      </c>
      <c r="H121" s="4">
        <v>3939.6558</v>
      </c>
      <c r="I121" s="4"/>
      <c r="J121" s="4">
        <v>1502837</v>
      </c>
      <c r="K121" s="4">
        <v>965466.09000000008</v>
      </c>
      <c r="L121" s="4">
        <v>1686982.19</v>
      </c>
      <c r="M121" s="4">
        <v>2023441.13</v>
      </c>
      <c r="N121" s="4">
        <v>2607396.13</v>
      </c>
      <c r="O121" s="33" t="s">
        <v>226</v>
      </c>
      <c r="P121" s="26"/>
      <c r="Q121" s="27"/>
      <c r="S121" s="27"/>
    </row>
    <row r="122" spans="1:19" s="28" customFormat="1" x14ac:dyDescent="0.25">
      <c r="A122" s="32" t="s">
        <v>227</v>
      </c>
      <c r="B122" s="21">
        <f t="shared" si="3"/>
        <v>233139.88</v>
      </c>
      <c r="C122" s="4">
        <v>227974.1</v>
      </c>
      <c r="D122" s="4">
        <v>5165.78</v>
      </c>
      <c r="E122" s="4"/>
      <c r="F122" s="23">
        <f t="shared" si="4"/>
        <v>426777.78699999902</v>
      </c>
      <c r="G122" s="4">
        <v>425376.87999999902</v>
      </c>
      <c r="H122" s="4">
        <v>1400.9069999999999</v>
      </c>
      <c r="I122" s="4"/>
      <c r="J122" s="4">
        <v>299368</v>
      </c>
      <c r="K122" s="4">
        <v>542718.26</v>
      </c>
      <c r="L122" s="4">
        <v>785531.32</v>
      </c>
      <c r="M122" s="4">
        <v>880446.88</v>
      </c>
      <c r="N122" s="4">
        <v>758286.34000000008</v>
      </c>
      <c r="O122" s="33" t="s">
        <v>228</v>
      </c>
      <c r="P122" s="27"/>
      <c r="Q122" s="27"/>
      <c r="S122" s="27"/>
    </row>
    <row r="123" spans="1:19" s="28" customFormat="1" x14ac:dyDescent="0.25">
      <c r="A123" s="32" t="s">
        <v>229</v>
      </c>
      <c r="B123" s="21">
        <f t="shared" si="3"/>
        <v>288251.02</v>
      </c>
      <c r="C123" s="4">
        <v>192475.17</v>
      </c>
      <c r="D123" s="4">
        <v>95775.85</v>
      </c>
      <c r="E123" s="4"/>
      <c r="F123" s="23">
        <f t="shared" si="4"/>
        <v>490479.68999999994</v>
      </c>
      <c r="G123" s="4">
        <v>313259.32999999996</v>
      </c>
      <c r="H123" s="4">
        <v>177220.36</v>
      </c>
      <c r="I123" s="4"/>
      <c r="J123" s="4">
        <v>47308</v>
      </c>
      <c r="K123" s="4">
        <v>217667.25</v>
      </c>
      <c r="L123" s="4">
        <v>378379</v>
      </c>
      <c r="M123" s="4">
        <v>933943.47</v>
      </c>
      <c r="N123" s="4">
        <v>912630.24999999988</v>
      </c>
      <c r="O123" s="33" t="s">
        <v>230</v>
      </c>
      <c r="P123" s="27"/>
      <c r="Q123" s="27"/>
      <c r="S123" s="27"/>
    </row>
    <row r="124" spans="1:19" s="28" customFormat="1" x14ac:dyDescent="0.25">
      <c r="A124" s="32" t="s">
        <v>231</v>
      </c>
      <c r="B124" s="21">
        <f t="shared" si="3"/>
        <v>422997.52</v>
      </c>
      <c r="C124" s="4">
        <v>383877.71</v>
      </c>
      <c r="D124" s="4">
        <v>39119.81</v>
      </c>
      <c r="E124" s="4"/>
      <c r="F124" s="23">
        <f t="shared" si="4"/>
        <v>567946.89480000001</v>
      </c>
      <c r="G124" s="4">
        <v>517849.13199999998</v>
      </c>
      <c r="H124" s="4">
        <v>50097.762799999997</v>
      </c>
      <c r="I124" s="4"/>
      <c r="J124" s="4">
        <v>758702</v>
      </c>
      <c r="K124" s="4">
        <v>696462.35000000009</v>
      </c>
      <c r="L124" s="4">
        <v>1321672.06</v>
      </c>
      <c r="M124" s="4">
        <v>2358049.16</v>
      </c>
      <c r="N124" s="4">
        <v>2087148.0899999999</v>
      </c>
      <c r="O124" s="33" t="s">
        <v>232</v>
      </c>
      <c r="P124" s="27"/>
      <c r="Q124" s="27"/>
      <c r="S124" s="27"/>
    </row>
    <row r="125" spans="1:19" s="28" customFormat="1" x14ac:dyDescent="0.25">
      <c r="A125" s="32" t="s">
        <v>233</v>
      </c>
      <c r="B125" s="21">
        <f t="shared" si="3"/>
        <v>211412.73</v>
      </c>
      <c r="C125" s="4">
        <v>211412.73</v>
      </c>
      <c r="D125" s="4" t="s">
        <v>1</v>
      </c>
      <c r="E125" s="4"/>
      <c r="F125" s="23">
        <f t="shared" si="4"/>
        <v>263496.51</v>
      </c>
      <c r="G125" s="4">
        <v>263496.51</v>
      </c>
      <c r="H125" s="4"/>
      <c r="I125" s="4"/>
      <c r="J125" s="4">
        <v>87875</v>
      </c>
      <c r="K125" s="4">
        <v>200325</v>
      </c>
      <c r="L125" s="4">
        <v>345484</v>
      </c>
      <c r="M125" s="4">
        <v>486100.11</v>
      </c>
      <c r="N125" s="4">
        <v>800334.13</v>
      </c>
      <c r="O125" s="33" t="s">
        <v>234</v>
      </c>
      <c r="P125" s="26"/>
      <c r="Q125" s="27"/>
      <c r="S125" s="27"/>
    </row>
    <row r="126" spans="1:19" s="28" customFormat="1" x14ac:dyDescent="0.25">
      <c r="A126" s="32" t="s">
        <v>235</v>
      </c>
      <c r="B126" s="21">
        <f t="shared" si="3"/>
        <v>358777.88999999996</v>
      </c>
      <c r="C126" s="4">
        <v>348167.41</v>
      </c>
      <c r="D126" s="4">
        <v>10610.48</v>
      </c>
      <c r="E126" s="4"/>
      <c r="F126" s="23">
        <f t="shared" si="4"/>
        <v>678203.31960000005</v>
      </c>
      <c r="G126" s="4">
        <v>645545.6100000001</v>
      </c>
      <c r="H126" s="4">
        <v>32657.709599999998</v>
      </c>
      <c r="I126" s="4"/>
      <c r="J126" s="4">
        <v>43214</v>
      </c>
      <c r="K126" s="4">
        <v>179981.71999999898</v>
      </c>
      <c r="L126" s="4">
        <v>733764.13</v>
      </c>
      <c r="M126" s="4">
        <v>732587.88</v>
      </c>
      <c r="N126" s="4">
        <v>1119073.06</v>
      </c>
      <c r="O126" s="33" t="s">
        <v>236</v>
      </c>
      <c r="P126" s="26"/>
      <c r="Q126" s="27"/>
      <c r="S126" s="27"/>
    </row>
    <row r="127" spans="1:19" s="28" customFormat="1" x14ac:dyDescent="0.25">
      <c r="A127" s="32" t="s">
        <v>237</v>
      </c>
      <c r="B127" s="21">
        <f t="shared" si="3"/>
        <v>113760.14</v>
      </c>
      <c r="C127" s="4">
        <v>113760.14</v>
      </c>
      <c r="D127" s="4" t="s">
        <v>1</v>
      </c>
      <c r="E127" s="4"/>
      <c r="F127" s="23">
        <f t="shared" si="4"/>
        <v>291926.5184</v>
      </c>
      <c r="G127" s="4">
        <v>261858.51</v>
      </c>
      <c r="H127" s="4">
        <v>30068.008399999999</v>
      </c>
      <c r="I127" s="4"/>
      <c r="J127" s="4">
        <v>39909</v>
      </c>
      <c r="K127" s="4">
        <v>0</v>
      </c>
      <c r="L127" s="4">
        <v>188054.36</v>
      </c>
      <c r="M127" s="4">
        <v>311566.28000000003</v>
      </c>
      <c r="N127" s="4">
        <v>511363.64999999997</v>
      </c>
      <c r="O127" s="33" t="s">
        <v>238</v>
      </c>
      <c r="P127" s="26"/>
      <c r="Q127" s="27"/>
      <c r="S127" s="27"/>
    </row>
    <row r="128" spans="1:19" s="28" customFormat="1" x14ac:dyDescent="0.25">
      <c r="A128" s="32" t="s">
        <v>239</v>
      </c>
      <c r="B128" s="21">
        <f t="shared" si="3"/>
        <v>385384.01</v>
      </c>
      <c r="C128" s="4">
        <v>381929.03</v>
      </c>
      <c r="D128" s="4">
        <v>3454.98</v>
      </c>
      <c r="E128" s="4"/>
      <c r="F128" s="23">
        <f t="shared" si="4"/>
        <v>592539.11979999894</v>
      </c>
      <c r="G128" s="4">
        <v>515956.76999999897</v>
      </c>
      <c r="H128" s="4">
        <v>76582.349799999996</v>
      </c>
      <c r="I128" s="4"/>
      <c r="J128" s="4">
        <v>1084625</v>
      </c>
      <c r="K128" s="4">
        <v>945123</v>
      </c>
      <c r="L128" s="4">
        <v>1184284.1000000001</v>
      </c>
      <c r="M128" s="4">
        <v>1801720.99</v>
      </c>
      <c r="N128" s="4">
        <v>2411620.4300000002</v>
      </c>
      <c r="O128" s="33" t="s">
        <v>240</v>
      </c>
      <c r="P128" s="27"/>
      <c r="Q128" s="27"/>
      <c r="S128" s="27"/>
    </row>
    <row r="129" spans="1:19" s="28" customFormat="1" x14ac:dyDescent="0.25">
      <c r="A129" s="32" t="s">
        <v>241</v>
      </c>
      <c r="B129" s="21">
        <f t="shared" si="3"/>
        <v>318473.7</v>
      </c>
      <c r="C129" s="4">
        <v>312734.67</v>
      </c>
      <c r="D129" s="4">
        <v>5739.03</v>
      </c>
      <c r="E129" s="4"/>
      <c r="F129" s="23">
        <f t="shared" si="4"/>
        <v>649682.11430000002</v>
      </c>
      <c r="G129" s="4">
        <v>517616.01999999996</v>
      </c>
      <c r="H129" s="4">
        <v>132066.0943</v>
      </c>
      <c r="I129" s="4"/>
      <c r="J129" s="4">
        <v>225193</v>
      </c>
      <c r="K129" s="4">
        <v>338768.64000000001</v>
      </c>
      <c r="L129" s="4">
        <v>1100806.47</v>
      </c>
      <c r="M129" s="4">
        <v>2753685.39</v>
      </c>
      <c r="N129" s="4">
        <v>3336013.67</v>
      </c>
      <c r="O129" s="33" t="s">
        <v>242</v>
      </c>
      <c r="P129" s="27"/>
      <c r="Q129" s="27"/>
      <c r="S129" s="27"/>
    </row>
    <row r="130" spans="1:19" s="28" customFormat="1" ht="7.5" customHeight="1" x14ac:dyDescent="0.25">
      <c r="A130" s="32"/>
      <c r="B130" s="21"/>
      <c r="C130" s="4"/>
      <c r="D130" s="4"/>
      <c r="E130" s="4"/>
      <c r="F130" s="23"/>
      <c r="G130" s="4"/>
      <c r="H130" s="4"/>
      <c r="I130" s="4"/>
      <c r="J130" s="4"/>
      <c r="K130" s="4"/>
      <c r="L130" s="4"/>
      <c r="M130" s="4"/>
      <c r="N130" s="4"/>
      <c r="O130" s="36"/>
      <c r="P130" s="27"/>
      <c r="Q130" s="27"/>
      <c r="S130" s="27"/>
    </row>
    <row r="131" spans="1:19" s="28" customFormat="1" x14ac:dyDescent="0.25">
      <c r="A131" s="30" t="s">
        <v>25</v>
      </c>
      <c r="B131" s="21">
        <f t="shared" si="3"/>
        <v>3604608.9539999999</v>
      </c>
      <c r="C131" s="2">
        <f>SUM(C132:C139)</f>
        <v>2775778.61</v>
      </c>
      <c r="D131" s="2">
        <f>SUM(D132:D139)</f>
        <v>828830.34400000004</v>
      </c>
      <c r="E131" s="2"/>
      <c r="F131" s="23">
        <f t="shared" si="4"/>
        <v>4425758.268899994</v>
      </c>
      <c r="G131" s="2">
        <f>SUM(G132:G139)</f>
        <v>3949250.7349999943</v>
      </c>
      <c r="H131" s="2">
        <f>SUM(H132:H139)</f>
        <v>476507.53389999992</v>
      </c>
      <c r="I131" s="2"/>
      <c r="J131" s="2">
        <f>SUM(J132:J139)</f>
        <v>4155717</v>
      </c>
      <c r="K131" s="2">
        <f>SUM(K132:K139)</f>
        <v>3627549.2800000003</v>
      </c>
      <c r="L131" s="2">
        <f>SUM(L132:L139)</f>
        <v>3540685.4400000004</v>
      </c>
      <c r="M131" s="2">
        <f>SUM(M132:M139)</f>
        <v>7471919.1500000004</v>
      </c>
      <c r="N131" s="2">
        <f>SUM(N132:N139)</f>
        <v>8698613.1500000004</v>
      </c>
      <c r="O131" s="31" t="s">
        <v>26</v>
      </c>
      <c r="P131" s="26"/>
      <c r="Q131" s="27"/>
      <c r="S131" s="27"/>
    </row>
    <row r="132" spans="1:19" s="28" customFormat="1" x14ac:dyDescent="0.25">
      <c r="A132" s="32" t="s">
        <v>243</v>
      </c>
      <c r="B132" s="21">
        <f t="shared" si="3"/>
        <v>365312.98000000004</v>
      </c>
      <c r="C132" s="4">
        <v>289219.65000000002</v>
      </c>
      <c r="D132" s="4">
        <v>76093.33</v>
      </c>
      <c r="E132" s="4"/>
      <c r="F132" s="23">
        <f t="shared" si="4"/>
        <v>492691.45999999897</v>
      </c>
      <c r="G132" s="4">
        <v>469591.83999999898</v>
      </c>
      <c r="H132" s="4">
        <v>23099.62</v>
      </c>
      <c r="I132" s="4"/>
      <c r="J132" s="4">
        <v>699485</v>
      </c>
      <c r="K132" s="4">
        <v>754062.83000000007</v>
      </c>
      <c r="L132" s="4">
        <v>730184.88</v>
      </c>
      <c r="M132" s="4">
        <v>1616295.94</v>
      </c>
      <c r="N132" s="4">
        <v>1849399.2</v>
      </c>
      <c r="O132" s="33" t="s">
        <v>244</v>
      </c>
      <c r="P132" s="26"/>
      <c r="Q132" s="27"/>
      <c r="S132" s="27"/>
    </row>
    <row r="133" spans="1:19" s="28" customFormat="1" x14ac:dyDescent="0.25">
      <c r="A133" s="32" t="s">
        <v>245</v>
      </c>
      <c r="B133" s="21">
        <f t="shared" si="3"/>
        <v>473618.10499999998</v>
      </c>
      <c r="C133" s="4">
        <v>458643.97</v>
      </c>
      <c r="D133" s="4">
        <v>14974.135</v>
      </c>
      <c r="E133" s="4"/>
      <c r="F133" s="23">
        <f t="shared" si="4"/>
        <v>769290.54999999888</v>
      </c>
      <c r="G133" s="4">
        <v>691566.33999999904</v>
      </c>
      <c r="H133" s="4">
        <v>77724.209999999905</v>
      </c>
      <c r="I133" s="4"/>
      <c r="J133" s="4">
        <v>1432548</v>
      </c>
      <c r="K133" s="4">
        <v>1042876.26</v>
      </c>
      <c r="L133" s="4">
        <v>949970.55</v>
      </c>
      <c r="M133" s="4">
        <v>1979743.34</v>
      </c>
      <c r="N133" s="4">
        <v>2629416.4500000002</v>
      </c>
      <c r="O133" s="33" t="s">
        <v>246</v>
      </c>
      <c r="P133" s="26"/>
      <c r="Q133" s="27"/>
      <c r="S133" s="27"/>
    </row>
    <row r="134" spans="1:19" s="28" customFormat="1" x14ac:dyDescent="0.25">
      <c r="A134" s="32" t="s">
        <v>247</v>
      </c>
      <c r="B134" s="21">
        <f t="shared" si="3"/>
        <v>772848.72900000005</v>
      </c>
      <c r="C134" s="4">
        <v>368747.49</v>
      </c>
      <c r="D134" s="4">
        <v>404101.239</v>
      </c>
      <c r="E134" s="4"/>
      <c r="F134" s="23">
        <f t="shared" si="4"/>
        <v>548013.09139999899</v>
      </c>
      <c r="G134" s="4">
        <v>418553.47999999899</v>
      </c>
      <c r="H134" s="4">
        <v>129459.61139999999</v>
      </c>
      <c r="I134" s="4"/>
      <c r="J134" s="4">
        <v>391073</v>
      </c>
      <c r="K134" s="4">
        <v>480687.19</v>
      </c>
      <c r="L134" s="4">
        <v>463996.78</v>
      </c>
      <c r="M134" s="4">
        <v>849612.67</v>
      </c>
      <c r="N134" s="4">
        <v>1056558.51</v>
      </c>
      <c r="O134" s="33" t="s">
        <v>248</v>
      </c>
      <c r="P134" s="26"/>
      <c r="Q134" s="27"/>
      <c r="S134" s="27"/>
    </row>
    <row r="135" spans="1:19" s="28" customFormat="1" x14ac:dyDescent="0.25">
      <c r="A135" s="32" t="s">
        <v>249</v>
      </c>
      <c r="B135" s="21">
        <f t="shared" si="3"/>
        <v>587146.02</v>
      </c>
      <c r="C135" s="4">
        <v>482441.23</v>
      </c>
      <c r="D135" s="4">
        <v>104704.79</v>
      </c>
      <c r="E135" s="4"/>
      <c r="F135" s="23">
        <f t="shared" si="4"/>
        <v>584699.68139999895</v>
      </c>
      <c r="G135" s="4">
        <v>584095.679999999</v>
      </c>
      <c r="H135" s="4">
        <v>604.00139999999999</v>
      </c>
      <c r="I135" s="4"/>
      <c r="J135" s="4">
        <v>385389</v>
      </c>
      <c r="K135" s="4">
        <v>296926.06</v>
      </c>
      <c r="L135" s="4">
        <v>330701.21000000002</v>
      </c>
      <c r="M135" s="4">
        <v>779524.99</v>
      </c>
      <c r="N135" s="4">
        <v>831145.56</v>
      </c>
      <c r="O135" s="33" t="s">
        <v>250</v>
      </c>
      <c r="P135" s="26"/>
      <c r="Q135" s="27"/>
      <c r="S135" s="27"/>
    </row>
    <row r="136" spans="1:19" s="28" customFormat="1" x14ac:dyDescent="0.25">
      <c r="A136" s="32" t="s">
        <v>251</v>
      </c>
      <c r="B136" s="21">
        <f t="shared" ref="B136:B199" si="5">SUM(C136:D136)</f>
        <v>216816.9</v>
      </c>
      <c r="C136" s="4">
        <v>147020.4</v>
      </c>
      <c r="D136" s="4">
        <v>69796.5</v>
      </c>
      <c r="E136" s="4"/>
      <c r="F136" s="23">
        <f t="shared" ref="F136:F199" si="6">SUM(G136:H136)</f>
        <v>299710.70279999985</v>
      </c>
      <c r="G136" s="4">
        <v>252751.55999999988</v>
      </c>
      <c r="H136" s="4">
        <v>46959.142800000001</v>
      </c>
      <c r="I136" s="4"/>
      <c r="J136" s="4">
        <v>362562</v>
      </c>
      <c r="K136" s="4">
        <v>250024.97</v>
      </c>
      <c r="L136" s="4">
        <v>397867.6</v>
      </c>
      <c r="M136" s="4">
        <v>500225.26</v>
      </c>
      <c r="N136" s="4">
        <v>668373.68999999994</v>
      </c>
      <c r="O136" s="37" t="s">
        <v>252</v>
      </c>
      <c r="P136" s="26"/>
      <c r="Q136" s="27"/>
      <c r="S136" s="27"/>
    </row>
    <row r="137" spans="1:19" s="28" customFormat="1" x14ac:dyDescent="0.25">
      <c r="A137" s="32" t="s">
        <v>253</v>
      </c>
      <c r="B137" s="21">
        <f t="shared" si="5"/>
        <v>542594.98</v>
      </c>
      <c r="C137" s="4">
        <v>430143.74</v>
      </c>
      <c r="D137" s="4">
        <v>112451.24</v>
      </c>
      <c r="E137" s="4"/>
      <c r="F137" s="23">
        <f t="shared" si="6"/>
        <v>521592.01999999897</v>
      </c>
      <c r="G137" s="4">
        <v>491592.01999999897</v>
      </c>
      <c r="H137" s="4">
        <v>30000</v>
      </c>
      <c r="I137" s="4"/>
      <c r="J137" s="4">
        <v>324532</v>
      </c>
      <c r="K137" s="4">
        <v>334795.21999999997</v>
      </c>
      <c r="L137" s="4">
        <v>258494.18</v>
      </c>
      <c r="M137" s="4">
        <v>743912.91</v>
      </c>
      <c r="N137" s="4">
        <v>467304.22</v>
      </c>
      <c r="O137" s="33" t="s">
        <v>254</v>
      </c>
      <c r="P137" s="26"/>
      <c r="Q137" s="27"/>
      <c r="S137" s="27"/>
    </row>
    <row r="138" spans="1:19" s="28" customFormat="1" x14ac:dyDescent="0.25">
      <c r="A138" s="32" t="s">
        <v>203</v>
      </c>
      <c r="B138" s="21">
        <f t="shared" si="5"/>
        <v>368697.59999999998</v>
      </c>
      <c r="C138" s="4">
        <v>321988.49</v>
      </c>
      <c r="D138" s="4">
        <v>46709.11</v>
      </c>
      <c r="E138" s="4"/>
      <c r="F138" s="23">
        <f t="shared" si="6"/>
        <v>733562.18030000001</v>
      </c>
      <c r="G138" s="4">
        <v>671406.8</v>
      </c>
      <c r="H138" s="4">
        <v>62155.380299999997</v>
      </c>
      <c r="I138" s="4"/>
      <c r="J138" s="4">
        <v>150683</v>
      </c>
      <c r="K138" s="4">
        <v>166159.70000000001</v>
      </c>
      <c r="L138" s="4">
        <v>161595.74</v>
      </c>
      <c r="M138" s="4">
        <v>368201.76</v>
      </c>
      <c r="N138" s="4">
        <v>532952.52</v>
      </c>
      <c r="O138" s="33" t="s">
        <v>204</v>
      </c>
      <c r="P138" s="27"/>
      <c r="Q138" s="27"/>
      <c r="S138" s="27"/>
    </row>
    <row r="139" spans="1:19" s="28" customFormat="1" x14ac:dyDescent="0.25">
      <c r="A139" s="32" t="s">
        <v>255</v>
      </c>
      <c r="B139" s="21">
        <f t="shared" si="5"/>
        <v>277573.64</v>
      </c>
      <c r="C139" s="4">
        <v>277573.64</v>
      </c>
      <c r="D139" s="4" t="s">
        <v>1</v>
      </c>
      <c r="E139" s="4"/>
      <c r="F139" s="23">
        <f t="shared" si="6"/>
        <v>476198.58299999905</v>
      </c>
      <c r="G139" s="4">
        <v>369693.01499999902</v>
      </c>
      <c r="H139" s="4">
        <v>106505.568</v>
      </c>
      <c r="I139" s="4"/>
      <c r="J139" s="4">
        <v>409445</v>
      </c>
      <c r="K139" s="4">
        <v>302017.05</v>
      </c>
      <c r="L139" s="4">
        <v>247874.5</v>
      </c>
      <c r="M139" s="4">
        <v>634402.28</v>
      </c>
      <c r="N139" s="4">
        <v>663463</v>
      </c>
      <c r="O139" s="33" t="s">
        <v>256</v>
      </c>
      <c r="P139" s="27"/>
      <c r="Q139" s="27"/>
      <c r="S139" s="27"/>
    </row>
    <row r="140" spans="1:19" s="28" customFormat="1" ht="6" customHeight="1" x14ac:dyDescent="0.25">
      <c r="A140" s="32"/>
      <c r="B140" s="21"/>
      <c r="C140" s="4"/>
      <c r="D140" s="4"/>
      <c r="E140" s="4"/>
      <c r="F140" s="23"/>
      <c r="G140" s="4"/>
      <c r="H140" s="4"/>
      <c r="I140" s="4"/>
      <c r="J140" s="4"/>
      <c r="K140" s="4"/>
      <c r="L140" s="4"/>
      <c r="M140" s="4"/>
      <c r="N140" s="4"/>
      <c r="O140" s="36"/>
      <c r="P140" s="27"/>
      <c r="Q140" s="27"/>
      <c r="S140" s="27"/>
    </row>
    <row r="141" spans="1:19" s="28" customFormat="1" x14ac:dyDescent="0.25">
      <c r="A141" s="30" t="s">
        <v>27</v>
      </c>
      <c r="B141" s="21">
        <f t="shared" si="5"/>
        <v>3663797.27</v>
      </c>
      <c r="C141" s="2">
        <f>SUM(C142:C151)</f>
        <v>3417506.75</v>
      </c>
      <c r="D141" s="2">
        <f>SUM(D142:D151)</f>
        <v>246290.52</v>
      </c>
      <c r="E141" s="2"/>
      <c r="F141" s="23">
        <f t="shared" si="6"/>
        <v>5932681.1008999944</v>
      </c>
      <c r="G141" s="2">
        <f>SUM(G142:G151)</f>
        <v>5807767.5759999948</v>
      </c>
      <c r="H141" s="2">
        <f>SUM(H142:H151)</f>
        <v>124913.5248999999</v>
      </c>
      <c r="I141" s="2"/>
      <c r="J141" s="2">
        <f>SUM(J142:J151)</f>
        <v>8195340</v>
      </c>
      <c r="K141" s="2">
        <f>SUM(K142:K151)</f>
        <v>11106707.47999998</v>
      </c>
      <c r="L141" s="2">
        <f>SUM(L142:L151)</f>
        <v>13156080.829999998</v>
      </c>
      <c r="M141" s="2">
        <f>SUM(M142:M151)</f>
        <v>17498120.029999997</v>
      </c>
      <c r="N141" s="2">
        <f>SUM(N142:N151)</f>
        <v>21983644.339999996</v>
      </c>
      <c r="O141" s="31" t="s">
        <v>28</v>
      </c>
      <c r="P141" s="27"/>
      <c r="Q141" s="27"/>
      <c r="S141" s="27"/>
    </row>
    <row r="142" spans="1:19" s="28" customFormat="1" x14ac:dyDescent="0.25">
      <c r="A142" s="32" t="s">
        <v>257</v>
      </c>
      <c r="B142" s="21">
        <f t="shared" si="5"/>
        <v>303953.52</v>
      </c>
      <c r="C142" s="4">
        <v>230041.23</v>
      </c>
      <c r="D142" s="4">
        <v>73912.289999999994</v>
      </c>
      <c r="E142" s="4"/>
      <c r="F142" s="23">
        <f t="shared" si="6"/>
        <v>321424.80999999901</v>
      </c>
      <c r="G142" s="4">
        <v>321424.80999999901</v>
      </c>
      <c r="H142" s="4" t="s">
        <v>1</v>
      </c>
      <c r="I142" s="4"/>
      <c r="J142" s="4">
        <v>14035</v>
      </c>
      <c r="K142" s="4">
        <v>32965</v>
      </c>
      <c r="L142" s="4">
        <v>221711</v>
      </c>
      <c r="M142" s="4">
        <v>482694.29</v>
      </c>
      <c r="N142" s="4">
        <v>549963.77</v>
      </c>
      <c r="O142" s="33" t="s">
        <v>258</v>
      </c>
      <c r="P142" s="27"/>
      <c r="Q142" s="27"/>
      <c r="S142" s="27"/>
    </row>
    <row r="143" spans="1:19" s="28" customFormat="1" x14ac:dyDescent="0.25">
      <c r="A143" s="32" t="s">
        <v>259</v>
      </c>
      <c r="B143" s="21">
        <f t="shared" si="5"/>
        <v>400792.54000000004</v>
      </c>
      <c r="C143" s="4">
        <v>399510.53</v>
      </c>
      <c r="D143" s="4">
        <v>1282.01</v>
      </c>
      <c r="E143" s="4"/>
      <c r="F143" s="23">
        <f t="shared" si="6"/>
        <v>683394.77719999896</v>
      </c>
      <c r="G143" s="4">
        <v>662153.23999999894</v>
      </c>
      <c r="H143" s="4">
        <v>21241.537199999999</v>
      </c>
      <c r="I143" s="4"/>
      <c r="J143" s="4">
        <v>89739</v>
      </c>
      <c r="K143" s="4">
        <v>761843.49</v>
      </c>
      <c r="L143" s="4">
        <v>855463.42</v>
      </c>
      <c r="M143" s="4">
        <v>767029.33</v>
      </c>
      <c r="N143" s="4">
        <v>957376.89000000013</v>
      </c>
      <c r="O143" s="33" t="s">
        <v>260</v>
      </c>
      <c r="P143" s="27"/>
      <c r="Q143" s="27"/>
      <c r="S143" s="27"/>
    </row>
    <row r="144" spans="1:19" s="28" customFormat="1" x14ac:dyDescent="0.25">
      <c r="A144" s="32" t="s">
        <v>261</v>
      </c>
      <c r="B144" s="21">
        <f t="shared" si="5"/>
        <v>113562.22</v>
      </c>
      <c r="C144" s="4">
        <v>95578.15</v>
      </c>
      <c r="D144" s="4">
        <v>17984.07</v>
      </c>
      <c r="E144" s="4"/>
      <c r="F144" s="23">
        <f t="shared" si="6"/>
        <v>166490.16999999899</v>
      </c>
      <c r="G144" s="4">
        <v>166490.16999999899</v>
      </c>
      <c r="H144" s="4" t="s">
        <v>1</v>
      </c>
      <c r="I144" s="4"/>
      <c r="J144" s="4">
        <v>0</v>
      </c>
      <c r="K144" s="4">
        <v>20972</v>
      </c>
      <c r="L144" s="4">
        <v>62825</v>
      </c>
      <c r="M144" s="4">
        <v>139067.81</v>
      </c>
      <c r="N144" s="4">
        <v>269218.27</v>
      </c>
      <c r="O144" s="33" t="s">
        <v>97</v>
      </c>
      <c r="P144" s="27"/>
      <c r="Q144" s="27"/>
      <c r="S144" s="27"/>
    </row>
    <row r="145" spans="1:19" s="28" customFormat="1" x14ac:dyDescent="0.25">
      <c r="A145" s="32" t="s">
        <v>262</v>
      </c>
      <c r="B145" s="21">
        <f t="shared" si="5"/>
        <v>1285025.1100000001</v>
      </c>
      <c r="C145" s="4">
        <v>1191059.6000000001</v>
      </c>
      <c r="D145" s="4">
        <v>93965.51</v>
      </c>
      <c r="E145" s="4"/>
      <c r="F145" s="23">
        <f t="shared" si="6"/>
        <v>1627508.5776</v>
      </c>
      <c r="G145" s="4">
        <v>1623825.2</v>
      </c>
      <c r="H145" s="4">
        <v>3683.3775999999998</v>
      </c>
      <c r="I145" s="4"/>
      <c r="J145" s="4">
        <v>5181989</v>
      </c>
      <c r="K145" s="4">
        <v>6080175.8999999901</v>
      </c>
      <c r="L145" s="4">
        <v>6375648.2599999998</v>
      </c>
      <c r="M145" s="4">
        <v>8354922.8300000001</v>
      </c>
      <c r="N145" s="4">
        <v>11948441.439999999</v>
      </c>
      <c r="O145" s="33" t="s">
        <v>263</v>
      </c>
      <c r="P145" s="27"/>
      <c r="Q145" s="27"/>
      <c r="S145" s="27"/>
    </row>
    <row r="146" spans="1:19" s="28" customFormat="1" x14ac:dyDescent="0.25">
      <c r="A146" s="32" t="s">
        <v>264</v>
      </c>
      <c r="B146" s="21">
        <f t="shared" si="5"/>
        <v>152373.95000000001</v>
      </c>
      <c r="C146" s="4">
        <v>152373.95000000001</v>
      </c>
      <c r="D146" s="4" t="s">
        <v>1</v>
      </c>
      <c r="E146" s="4"/>
      <c r="F146" s="23">
        <f t="shared" si="6"/>
        <v>183495.609999999</v>
      </c>
      <c r="G146" s="4">
        <v>183495.609999999</v>
      </c>
      <c r="H146" s="4" t="s">
        <v>1</v>
      </c>
      <c r="I146" s="4"/>
      <c r="J146" s="4">
        <v>0</v>
      </c>
      <c r="K146" s="4">
        <v>0</v>
      </c>
      <c r="L146" s="4">
        <v>7496</v>
      </c>
      <c r="M146" s="4">
        <v>108285.86</v>
      </c>
      <c r="N146" s="4">
        <v>339876.29</v>
      </c>
      <c r="O146" s="33" t="s">
        <v>425</v>
      </c>
      <c r="P146" s="27"/>
      <c r="Q146" s="27"/>
      <c r="S146" s="27"/>
    </row>
    <row r="147" spans="1:19" s="28" customFormat="1" x14ac:dyDescent="0.25">
      <c r="A147" s="32" t="s">
        <v>265</v>
      </c>
      <c r="B147" s="21">
        <f t="shared" si="5"/>
        <v>363914.94</v>
      </c>
      <c r="C147" s="4">
        <v>330387.75</v>
      </c>
      <c r="D147" s="4">
        <v>33527.19</v>
      </c>
      <c r="E147" s="4"/>
      <c r="F147" s="23">
        <f t="shared" si="6"/>
        <v>986925.2510999979</v>
      </c>
      <c r="G147" s="4">
        <v>896787.25099999795</v>
      </c>
      <c r="H147" s="4">
        <v>90138.000099999903</v>
      </c>
      <c r="I147" s="4"/>
      <c r="J147" s="4">
        <v>255731</v>
      </c>
      <c r="K147" s="4">
        <v>358272.14999999898</v>
      </c>
      <c r="L147" s="4">
        <v>549895.6</v>
      </c>
      <c r="M147" s="4">
        <v>1298788.7</v>
      </c>
      <c r="N147" s="4">
        <v>952041.58000000007</v>
      </c>
      <c r="O147" s="33" t="s">
        <v>266</v>
      </c>
      <c r="P147" s="27"/>
      <c r="Q147" s="27"/>
      <c r="S147" s="27"/>
    </row>
    <row r="148" spans="1:19" s="28" customFormat="1" x14ac:dyDescent="0.25">
      <c r="A148" s="32" t="s">
        <v>267</v>
      </c>
      <c r="B148" s="21">
        <f t="shared" si="5"/>
        <v>275525.31</v>
      </c>
      <c r="C148" s="4">
        <v>270223.90999999997</v>
      </c>
      <c r="D148" s="4">
        <v>5301.4</v>
      </c>
      <c r="E148" s="4"/>
      <c r="F148" s="23">
        <f t="shared" si="6"/>
        <v>477361.45500000002</v>
      </c>
      <c r="G148" s="4">
        <v>477361.45500000002</v>
      </c>
      <c r="H148" s="4" t="s">
        <v>1</v>
      </c>
      <c r="I148" s="4"/>
      <c r="J148" s="4">
        <v>51976</v>
      </c>
      <c r="K148" s="4">
        <v>258152.94</v>
      </c>
      <c r="L148" s="4">
        <v>351441</v>
      </c>
      <c r="M148" s="4">
        <v>804038.71</v>
      </c>
      <c r="N148" s="4">
        <v>708373.45</v>
      </c>
      <c r="O148" s="37" t="s">
        <v>268</v>
      </c>
      <c r="P148" s="27"/>
      <c r="Q148" s="27"/>
      <c r="S148" s="27"/>
    </row>
    <row r="149" spans="1:19" s="28" customFormat="1" x14ac:dyDescent="0.25">
      <c r="A149" s="32" t="s">
        <v>269</v>
      </c>
      <c r="B149" s="21">
        <f t="shared" si="5"/>
        <v>278728.98</v>
      </c>
      <c r="C149" s="4">
        <v>278728.98</v>
      </c>
      <c r="D149" s="4" t="s">
        <v>1</v>
      </c>
      <c r="E149" s="4"/>
      <c r="F149" s="23">
        <f t="shared" si="6"/>
        <v>479197.04</v>
      </c>
      <c r="G149" s="4">
        <v>470773.86</v>
      </c>
      <c r="H149" s="4">
        <v>8423.18</v>
      </c>
      <c r="I149" s="4"/>
      <c r="J149" s="4">
        <v>62584</v>
      </c>
      <c r="K149" s="4">
        <v>366525</v>
      </c>
      <c r="L149" s="4">
        <v>817824.87</v>
      </c>
      <c r="M149" s="4">
        <v>1276878.81</v>
      </c>
      <c r="N149" s="4">
        <v>1533052.27</v>
      </c>
      <c r="O149" s="33" t="s">
        <v>270</v>
      </c>
      <c r="P149" s="27"/>
      <c r="Q149" s="27"/>
      <c r="S149" s="27"/>
    </row>
    <row r="150" spans="1:19" s="28" customFormat="1" x14ac:dyDescent="0.25">
      <c r="A150" s="32" t="s">
        <v>66</v>
      </c>
      <c r="B150" s="21">
        <f t="shared" si="5"/>
        <v>26740.84</v>
      </c>
      <c r="C150" s="4">
        <v>26740.84</v>
      </c>
      <c r="D150" s="4" t="s">
        <v>1</v>
      </c>
      <c r="E150" s="4"/>
      <c r="F150" s="23">
        <f t="shared" si="6"/>
        <v>32183.109999999899</v>
      </c>
      <c r="G150" s="4">
        <v>32183.109999999899</v>
      </c>
      <c r="H150" s="4" t="s">
        <v>1</v>
      </c>
      <c r="I150" s="4"/>
      <c r="J150" s="4">
        <v>0</v>
      </c>
      <c r="K150" s="4">
        <v>0</v>
      </c>
      <c r="L150" s="4">
        <v>0</v>
      </c>
      <c r="M150" s="4">
        <v>199985.2</v>
      </c>
      <c r="N150" s="4">
        <v>285358.06</v>
      </c>
      <c r="O150" s="33" t="s">
        <v>67</v>
      </c>
      <c r="P150" s="27"/>
      <c r="Q150" s="27"/>
      <c r="R150" s="27"/>
      <c r="S150" s="27"/>
    </row>
    <row r="151" spans="1:19" s="28" customFormat="1" x14ac:dyDescent="0.25">
      <c r="A151" s="32" t="s">
        <v>271</v>
      </c>
      <c r="B151" s="21">
        <f t="shared" si="5"/>
        <v>463179.86</v>
      </c>
      <c r="C151" s="4">
        <v>442861.81</v>
      </c>
      <c r="D151" s="4">
        <v>20318.05</v>
      </c>
      <c r="E151" s="4"/>
      <c r="F151" s="23">
        <f t="shared" si="6"/>
        <v>974700.3</v>
      </c>
      <c r="G151" s="4">
        <v>973272.87</v>
      </c>
      <c r="H151" s="4">
        <v>1427.43</v>
      </c>
      <c r="I151" s="4"/>
      <c r="J151" s="4">
        <v>2539286</v>
      </c>
      <c r="K151" s="4">
        <v>3227800.9999999898</v>
      </c>
      <c r="L151" s="4">
        <v>3913775.68</v>
      </c>
      <c r="M151" s="4">
        <v>4066428.49</v>
      </c>
      <c r="N151" s="4">
        <v>4439942.32</v>
      </c>
      <c r="O151" s="33" t="s">
        <v>272</v>
      </c>
      <c r="P151" s="27"/>
      <c r="Q151" s="27"/>
      <c r="R151" s="27"/>
      <c r="S151" s="27"/>
    </row>
    <row r="152" spans="1:19" s="28" customFormat="1" ht="9" customHeight="1" x14ac:dyDescent="0.25">
      <c r="A152" s="32"/>
      <c r="B152" s="21"/>
      <c r="C152" s="4"/>
      <c r="D152" s="4"/>
      <c r="E152" s="4"/>
      <c r="F152" s="23"/>
      <c r="G152" s="4"/>
      <c r="H152" s="4"/>
      <c r="I152" s="4"/>
      <c r="J152" s="4"/>
      <c r="K152" s="4"/>
      <c r="L152" s="4"/>
      <c r="M152" s="4"/>
      <c r="N152" s="4"/>
      <c r="O152" s="36"/>
      <c r="P152" s="27"/>
      <c r="Q152" s="27"/>
      <c r="R152" s="27"/>
      <c r="S152" s="27"/>
    </row>
    <row r="153" spans="1:19" s="28" customFormat="1" x14ac:dyDescent="0.25">
      <c r="A153" s="30" t="s">
        <v>29</v>
      </c>
      <c r="B153" s="21">
        <f t="shared" si="5"/>
        <v>643440.08000000007</v>
      </c>
      <c r="C153" s="2">
        <f>SUM(C154:C158)</f>
        <v>643440.08000000007</v>
      </c>
      <c r="D153" s="2">
        <v>0</v>
      </c>
      <c r="E153" s="2"/>
      <c r="F153" s="23">
        <f t="shared" si="6"/>
        <v>1323878.6352116792</v>
      </c>
      <c r="G153" s="2">
        <f>SUM(G154:G158)</f>
        <v>1069243.0408116791</v>
      </c>
      <c r="H153" s="2">
        <f>SUM(H154:H158)</f>
        <v>254635.59440000003</v>
      </c>
      <c r="I153" s="2"/>
      <c r="J153" s="2">
        <f>SUM(J154:J158)</f>
        <v>409251</v>
      </c>
      <c r="K153" s="2">
        <f>SUM(K154:K158)</f>
        <v>543378.02999999898</v>
      </c>
      <c r="L153" s="2">
        <f>SUM(L154:L158)</f>
        <v>563786.18999999994</v>
      </c>
      <c r="M153" s="2">
        <f>SUM(M154:M158)</f>
        <v>1773766.73</v>
      </c>
      <c r="N153" s="2">
        <f>SUM(N154:N158)</f>
        <v>2451686.34</v>
      </c>
      <c r="O153" s="31" t="s">
        <v>30</v>
      </c>
      <c r="P153" s="27"/>
      <c r="Q153" s="27"/>
      <c r="R153" s="27"/>
      <c r="S153" s="27"/>
    </row>
    <row r="154" spans="1:19" s="28" customFormat="1" x14ac:dyDescent="0.25">
      <c r="A154" s="32" t="s">
        <v>273</v>
      </c>
      <c r="B154" s="21">
        <f t="shared" si="5"/>
        <v>138394.12</v>
      </c>
      <c r="C154" s="4">
        <v>138394.12</v>
      </c>
      <c r="D154" s="4" t="s">
        <v>1</v>
      </c>
      <c r="E154" s="4"/>
      <c r="F154" s="23">
        <f t="shared" si="6"/>
        <v>289928.99639999901</v>
      </c>
      <c r="G154" s="4">
        <v>159848.80999999898</v>
      </c>
      <c r="H154" s="4">
        <v>130080.18640000001</v>
      </c>
      <c r="I154" s="4"/>
      <c r="J154" s="4">
        <v>0</v>
      </c>
      <c r="K154" s="4">
        <v>7863.24</v>
      </c>
      <c r="L154" s="4">
        <v>0</v>
      </c>
      <c r="M154" s="4">
        <v>101094.57</v>
      </c>
      <c r="N154" s="4">
        <v>204392.07</v>
      </c>
      <c r="O154" s="33" t="s">
        <v>274</v>
      </c>
      <c r="P154" s="26"/>
      <c r="Q154" s="27"/>
      <c r="S154" s="27"/>
    </row>
    <row r="155" spans="1:19" s="28" customFormat="1" x14ac:dyDescent="0.25">
      <c r="A155" s="32" t="s">
        <v>275</v>
      </c>
      <c r="B155" s="21">
        <f t="shared" si="5"/>
        <v>89580.23</v>
      </c>
      <c r="C155" s="4">
        <v>89580.23</v>
      </c>
      <c r="D155" s="4" t="s">
        <v>1</v>
      </c>
      <c r="E155" s="4"/>
      <c r="F155" s="23">
        <f t="shared" si="6"/>
        <v>196834.22200000001</v>
      </c>
      <c r="G155" s="4">
        <v>117537.87</v>
      </c>
      <c r="H155" s="4">
        <v>79296.351999999999</v>
      </c>
      <c r="I155" s="4"/>
      <c r="J155" s="4">
        <v>0</v>
      </c>
      <c r="K155" s="4">
        <v>0</v>
      </c>
      <c r="L155" s="4">
        <v>0</v>
      </c>
      <c r="M155" s="4">
        <v>3016.7</v>
      </c>
      <c r="N155" s="4">
        <v>2058.6</v>
      </c>
      <c r="O155" s="33" t="s">
        <v>276</v>
      </c>
      <c r="P155" s="27"/>
      <c r="Q155" s="27"/>
      <c r="S155" s="27"/>
    </row>
    <row r="156" spans="1:19" s="28" customFormat="1" x14ac:dyDescent="0.25">
      <c r="A156" s="32" t="s">
        <v>277</v>
      </c>
      <c r="B156" s="21">
        <f t="shared" si="5"/>
        <v>274026.86</v>
      </c>
      <c r="C156" s="4">
        <v>274026.86</v>
      </c>
      <c r="D156" s="4" t="s">
        <v>1</v>
      </c>
      <c r="E156" s="4"/>
      <c r="F156" s="23">
        <f t="shared" si="6"/>
        <v>389925.16999999899</v>
      </c>
      <c r="G156" s="4">
        <v>374925.16999999899</v>
      </c>
      <c r="H156" s="4">
        <v>15000</v>
      </c>
      <c r="I156" s="4"/>
      <c r="J156" s="4">
        <v>401102</v>
      </c>
      <c r="K156" s="4">
        <v>527651.549999999</v>
      </c>
      <c r="L156" s="4">
        <v>555286.18999999994</v>
      </c>
      <c r="M156" s="4">
        <v>1353638.3</v>
      </c>
      <c r="N156" s="4">
        <v>1706034.72</v>
      </c>
      <c r="O156" s="33" t="s">
        <v>278</v>
      </c>
      <c r="P156" s="26"/>
      <c r="Q156" s="27"/>
      <c r="S156" s="27"/>
    </row>
    <row r="157" spans="1:19" s="28" customFormat="1" x14ac:dyDescent="0.25">
      <c r="A157" s="32" t="s">
        <v>279</v>
      </c>
      <c r="B157" s="21">
        <f t="shared" si="5"/>
        <v>80719.31</v>
      </c>
      <c r="C157" s="4">
        <v>80719.31</v>
      </c>
      <c r="D157" s="4" t="s">
        <v>1</v>
      </c>
      <c r="E157" s="4"/>
      <c r="F157" s="23">
        <f t="shared" si="6"/>
        <v>310783.39</v>
      </c>
      <c r="G157" s="4">
        <v>280783.39</v>
      </c>
      <c r="H157" s="4">
        <v>30000</v>
      </c>
      <c r="I157" s="4"/>
      <c r="J157" s="4">
        <v>8149</v>
      </c>
      <c r="K157" s="4">
        <v>7863.24</v>
      </c>
      <c r="L157" s="4">
        <v>8500</v>
      </c>
      <c r="M157" s="4">
        <v>264335.27</v>
      </c>
      <c r="N157" s="4">
        <v>383026.62</v>
      </c>
      <c r="O157" s="33" t="s">
        <v>280</v>
      </c>
      <c r="P157" s="26"/>
      <c r="Q157" s="27"/>
      <c r="S157" s="27"/>
    </row>
    <row r="158" spans="1:19" s="28" customFormat="1" x14ac:dyDescent="0.25">
      <c r="A158" s="32" t="s">
        <v>281</v>
      </c>
      <c r="B158" s="21">
        <f t="shared" si="5"/>
        <v>60719.56</v>
      </c>
      <c r="C158" s="4">
        <v>60719.56</v>
      </c>
      <c r="D158" s="4" t="s">
        <v>1</v>
      </c>
      <c r="E158" s="4"/>
      <c r="F158" s="23">
        <f t="shared" si="6"/>
        <v>136406.85681168101</v>
      </c>
      <c r="G158" s="4">
        <v>136147.80081168099</v>
      </c>
      <c r="H158" s="4">
        <v>259.05599999999998</v>
      </c>
      <c r="I158" s="4"/>
      <c r="J158" s="4">
        <v>0</v>
      </c>
      <c r="K158" s="4">
        <v>0</v>
      </c>
      <c r="L158" s="4">
        <v>0</v>
      </c>
      <c r="M158" s="4">
        <v>51681.89</v>
      </c>
      <c r="N158" s="4">
        <v>156174.32999999999</v>
      </c>
      <c r="O158" s="33" t="s">
        <v>282</v>
      </c>
      <c r="P158" s="27"/>
      <c r="Q158" s="27"/>
      <c r="S158" s="27"/>
    </row>
    <row r="159" spans="1:19" s="28" customFormat="1" ht="12" customHeight="1" x14ac:dyDescent="0.25">
      <c r="A159" s="32"/>
      <c r="B159" s="21"/>
      <c r="C159" s="4"/>
      <c r="D159" s="4"/>
      <c r="E159" s="4"/>
      <c r="F159" s="23"/>
      <c r="G159" s="4"/>
      <c r="H159" s="4"/>
      <c r="I159" s="4"/>
      <c r="J159" s="4"/>
      <c r="K159" s="4"/>
      <c r="L159" s="4"/>
      <c r="M159" s="4"/>
      <c r="N159" s="4"/>
      <c r="O159" s="36"/>
      <c r="P159" s="27"/>
      <c r="Q159" s="27"/>
      <c r="S159" s="27"/>
    </row>
    <row r="160" spans="1:19" s="28" customFormat="1" x14ac:dyDescent="0.25">
      <c r="A160" s="30" t="s">
        <v>31</v>
      </c>
      <c r="B160" s="21">
        <f t="shared" si="5"/>
        <v>2220109.7739999997</v>
      </c>
      <c r="C160" s="2">
        <f>SUM(C161:C169)</f>
        <v>2030050.4499999997</v>
      </c>
      <c r="D160" s="2">
        <f>SUM(D161:D169)</f>
        <v>190059.32399999999</v>
      </c>
      <c r="E160" s="2"/>
      <c r="F160" s="23">
        <f t="shared" si="6"/>
        <v>4245618.8515999932</v>
      </c>
      <c r="G160" s="2">
        <f>SUM(G161:G169)</f>
        <v>3682169.5319999945</v>
      </c>
      <c r="H160" s="2">
        <f>SUM(H161:H169)</f>
        <v>563449.31959999888</v>
      </c>
      <c r="I160" s="2"/>
      <c r="J160" s="2">
        <f>SUM(J161:J169)</f>
        <v>4320592</v>
      </c>
      <c r="K160" s="2">
        <f>SUM(K161:K169)</f>
        <v>4438872.0499999886</v>
      </c>
      <c r="L160" s="2">
        <f>SUM(L161:L169)</f>
        <v>9125266.5999999978</v>
      </c>
      <c r="M160" s="2">
        <f>SUM(M161:M169)</f>
        <v>12610137.149999997</v>
      </c>
      <c r="N160" s="2">
        <f>SUM(N161:N169)</f>
        <v>11946502.880000001</v>
      </c>
      <c r="O160" s="31" t="s">
        <v>32</v>
      </c>
      <c r="P160" s="27"/>
      <c r="Q160" s="27"/>
      <c r="S160" s="27"/>
    </row>
    <row r="161" spans="1:19" s="28" customFormat="1" x14ac:dyDescent="0.25">
      <c r="A161" s="32" t="s">
        <v>283</v>
      </c>
      <c r="B161" s="21">
        <f t="shared" si="5"/>
        <v>79846.039999999994</v>
      </c>
      <c r="C161" s="4">
        <v>79846.039999999994</v>
      </c>
      <c r="D161" s="4" t="s">
        <v>1</v>
      </c>
      <c r="E161" s="4"/>
      <c r="F161" s="23">
        <f t="shared" si="6"/>
        <v>131811.41999999899</v>
      </c>
      <c r="G161" s="4">
        <v>131811.41999999899</v>
      </c>
      <c r="H161" s="4" t="s">
        <v>1</v>
      </c>
      <c r="I161" s="4"/>
      <c r="J161" s="4">
        <v>0</v>
      </c>
      <c r="K161" s="4">
        <v>0</v>
      </c>
      <c r="L161" s="4">
        <v>0</v>
      </c>
      <c r="M161" s="4">
        <v>57095.32</v>
      </c>
      <c r="N161" s="4">
        <v>102018.86</v>
      </c>
      <c r="O161" s="33" t="s">
        <v>284</v>
      </c>
      <c r="P161" s="26"/>
      <c r="Q161" s="27"/>
      <c r="S161" s="27"/>
    </row>
    <row r="162" spans="1:19" s="28" customFormat="1" x14ac:dyDescent="0.25">
      <c r="A162" s="32" t="s">
        <v>426</v>
      </c>
      <c r="B162" s="21">
        <f t="shared" si="5"/>
        <v>20072.3</v>
      </c>
      <c r="C162" s="4">
        <v>20072.3</v>
      </c>
      <c r="D162" s="4" t="s">
        <v>1</v>
      </c>
      <c r="E162" s="4"/>
      <c r="F162" s="23">
        <f t="shared" si="6"/>
        <v>42366.559999999998</v>
      </c>
      <c r="G162" s="4">
        <v>42366.559999999998</v>
      </c>
      <c r="H162" s="4" t="s">
        <v>1</v>
      </c>
      <c r="I162" s="4"/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33" t="s">
        <v>427</v>
      </c>
      <c r="P162" s="26"/>
      <c r="Q162" s="27"/>
      <c r="S162" s="27"/>
    </row>
    <row r="163" spans="1:19" s="28" customFormat="1" x14ac:dyDescent="0.25">
      <c r="A163" s="32" t="s">
        <v>285</v>
      </c>
      <c r="B163" s="21">
        <f t="shared" si="5"/>
        <v>133548.18</v>
      </c>
      <c r="C163" s="4">
        <v>133548.18</v>
      </c>
      <c r="D163" s="4" t="s">
        <v>1</v>
      </c>
      <c r="E163" s="4"/>
      <c r="F163" s="23">
        <f t="shared" si="6"/>
        <v>195845.99</v>
      </c>
      <c r="G163" s="4">
        <v>162199.54999999999</v>
      </c>
      <c r="H163" s="4">
        <v>33646.44</v>
      </c>
      <c r="I163" s="4"/>
      <c r="J163" s="4">
        <v>0</v>
      </c>
      <c r="K163" s="4">
        <v>0</v>
      </c>
      <c r="L163" s="4">
        <v>100</v>
      </c>
      <c r="M163" s="4">
        <v>79088.02</v>
      </c>
      <c r="N163" s="4">
        <v>144733.15</v>
      </c>
      <c r="O163" s="33" t="s">
        <v>286</v>
      </c>
      <c r="P163" s="26"/>
      <c r="Q163" s="27"/>
      <c r="S163" s="27"/>
    </row>
    <row r="164" spans="1:19" s="28" customFormat="1" x14ac:dyDescent="0.25">
      <c r="A164" s="32" t="s">
        <v>287</v>
      </c>
      <c r="B164" s="21">
        <f t="shared" si="5"/>
        <v>319658.02999999997</v>
      </c>
      <c r="C164" s="4">
        <v>314413.15999999997</v>
      </c>
      <c r="D164" s="4">
        <v>5244.87</v>
      </c>
      <c r="E164" s="4"/>
      <c r="F164" s="23">
        <f t="shared" si="6"/>
        <v>682773.37599999912</v>
      </c>
      <c r="G164" s="4">
        <v>661856.91699999908</v>
      </c>
      <c r="H164" s="4">
        <v>20916.458999999999</v>
      </c>
      <c r="I164" s="4"/>
      <c r="J164" s="4">
        <v>581593</v>
      </c>
      <c r="K164" s="4">
        <v>473074.62</v>
      </c>
      <c r="L164" s="4">
        <v>932544.02</v>
      </c>
      <c r="M164" s="4">
        <v>1294933.77</v>
      </c>
      <c r="N164" s="4">
        <v>1354828.67</v>
      </c>
      <c r="O164" s="33" t="s">
        <v>288</v>
      </c>
      <c r="P164" s="26"/>
      <c r="Q164" s="27"/>
      <c r="S164" s="27"/>
    </row>
    <row r="165" spans="1:19" s="28" customFormat="1" x14ac:dyDescent="0.25">
      <c r="A165" s="32" t="s">
        <v>289</v>
      </c>
      <c r="B165" s="21">
        <f t="shared" si="5"/>
        <v>378055.15400000004</v>
      </c>
      <c r="C165" s="4">
        <v>363618.64</v>
      </c>
      <c r="D165" s="4">
        <v>14436.513999999999</v>
      </c>
      <c r="E165" s="4"/>
      <c r="F165" s="23">
        <f t="shared" si="6"/>
        <v>735869.22279999894</v>
      </c>
      <c r="G165" s="4">
        <v>687833.19999999902</v>
      </c>
      <c r="H165" s="4">
        <v>48036.022799999904</v>
      </c>
      <c r="I165" s="4"/>
      <c r="J165" s="4">
        <v>2570482</v>
      </c>
      <c r="K165" s="4">
        <v>3036526.8399999901</v>
      </c>
      <c r="L165" s="4">
        <v>7143463.2699999996</v>
      </c>
      <c r="M165" s="4">
        <v>9167843.1999999993</v>
      </c>
      <c r="N165" s="4">
        <v>7976522.79</v>
      </c>
      <c r="O165" s="33" t="s">
        <v>290</v>
      </c>
      <c r="P165" s="26"/>
      <c r="Q165" s="27"/>
      <c r="S165" s="27"/>
    </row>
    <row r="166" spans="1:19" s="28" customFormat="1" x14ac:dyDescent="0.25">
      <c r="A166" s="32" t="s">
        <v>291</v>
      </c>
      <c r="B166" s="21">
        <f t="shared" si="5"/>
        <v>117970.88</v>
      </c>
      <c r="C166" s="4">
        <v>117970.88</v>
      </c>
      <c r="D166" s="4" t="s">
        <v>1</v>
      </c>
      <c r="E166" s="4"/>
      <c r="F166" s="23">
        <f t="shared" si="6"/>
        <v>171330.36</v>
      </c>
      <c r="G166" s="4">
        <v>141330.35999999999</v>
      </c>
      <c r="H166" s="4">
        <v>30000</v>
      </c>
      <c r="I166" s="4"/>
      <c r="J166" s="4">
        <v>0</v>
      </c>
      <c r="K166" s="4">
        <v>0</v>
      </c>
      <c r="L166" s="4">
        <v>18035</v>
      </c>
      <c r="M166" s="4">
        <v>225582.82</v>
      </c>
      <c r="N166" s="4">
        <v>348981.85</v>
      </c>
      <c r="O166" s="33" t="s">
        <v>292</v>
      </c>
      <c r="P166" s="26"/>
      <c r="Q166" s="27"/>
      <c r="S166" s="27"/>
    </row>
    <row r="167" spans="1:19" s="28" customFormat="1" x14ac:dyDescent="0.25">
      <c r="A167" s="32" t="s">
        <v>293</v>
      </c>
      <c r="B167" s="21">
        <f t="shared" si="5"/>
        <v>562654.94999999995</v>
      </c>
      <c r="C167" s="4">
        <v>494246.85</v>
      </c>
      <c r="D167" s="4">
        <v>68408.100000000006</v>
      </c>
      <c r="E167" s="4"/>
      <c r="F167" s="23">
        <f t="shared" si="6"/>
        <v>841043.73459999997</v>
      </c>
      <c r="G167" s="4">
        <v>681684.5</v>
      </c>
      <c r="H167" s="4">
        <v>159359.2346</v>
      </c>
      <c r="I167" s="4"/>
      <c r="J167" s="4">
        <v>239650</v>
      </c>
      <c r="K167" s="4">
        <v>261462.72999999899</v>
      </c>
      <c r="L167" s="4">
        <v>472559.9</v>
      </c>
      <c r="M167" s="4">
        <v>633070.78</v>
      </c>
      <c r="N167" s="4">
        <v>867751.96</v>
      </c>
      <c r="O167" s="33" t="s">
        <v>294</v>
      </c>
      <c r="P167" s="26"/>
      <c r="Q167" s="27"/>
      <c r="S167" s="27"/>
    </row>
    <row r="168" spans="1:19" s="28" customFormat="1" x14ac:dyDescent="0.25">
      <c r="A168" s="32" t="s">
        <v>295</v>
      </c>
      <c r="B168" s="21">
        <f t="shared" si="5"/>
        <v>291718.84999999998</v>
      </c>
      <c r="C168" s="4">
        <v>230873.5</v>
      </c>
      <c r="D168" s="4">
        <v>60845.35</v>
      </c>
      <c r="E168" s="4"/>
      <c r="F168" s="23">
        <f t="shared" si="6"/>
        <v>845591.46039999893</v>
      </c>
      <c r="G168" s="4">
        <v>678492.82999999891</v>
      </c>
      <c r="H168" s="4">
        <v>167098.63039999999</v>
      </c>
      <c r="I168" s="4"/>
      <c r="J168" s="4">
        <v>704152</v>
      </c>
      <c r="K168" s="4">
        <v>448606.67999999988</v>
      </c>
      <c r="L168" s="4">
        <v>374490.37</v>
      </c>
      <c r="M168" s="4">
        <v>708228.21</v>
      </c>
      <c r="N168" s="4">
        <v>751402.6</v>
      </c>
      <c r="O168" s="33" t="s">
        <v>296</v>
      </c>
      <c r="P168" s="26"/>
      <c r="Q168" s="27"/>
      <c r="S168" s="27"/>
    </row>
    <row r="169" spans="1:19" s="28" customFormat="1" x14ac:dyDescent="0.25">
      <c r="A169" s="32" t="s">
        <v>179</v>
      </c>
      <c r="B169" s="21">
        <f t="shared" si="5"/>
        <v>316585.39</v>
      </c>
      <c r="C169" s="4">
        <v>275460.90000000002</v>
      </c>
      <c r="D169" s="4">
        <v>41124.49</v>
      </c>
      <c r="E169" s="4"/>
      <c r="F169" s="23">
        <f t="shared" si="6"/>
        <v>598986.72779999801</v>
      </c>
      <c r="G169" s="4">
        <v>494594.19499999902</v>
      </c>
      <c r="H169" s="4">
        <v>104392.532799999</v>
      </c>
      <c r="I169" s="4"/>
      <c r="J169" s="4">
        <v>224715</v>
      </c>
      <c r="K169" s="4">
        <v>219201.18</v>
      </c>
      <c r="L169" s="4">
        <v>184074.04</v>
      </c>
      <c r="M169" s="4">
        <v>444295.03</v>
      </c>
      <c r="N169" s="4">
        <v>400263</v>
      </c>
      <c r="O169" s="33" t="s">
        <v>180</v>
      </c>
      <c r="P169" s="27"/>
      <c r="Q169" s="27"/>
      <c r="S169" s="27"/>
    </row>
    <row r="170" spans="1:19" s="28" customFormat="1" ht="8.25" customHeight="1" x14ac:dyDescent="0.25">
      <c r="A170" s="32"/>
      <c r="B170" s="21"/>
      <c r="C170" s="4"/>
      <c r="D170" s="4"/>
      <c r="E170" s="4"/>
      <c r="F170" s="23"/>
      <c r="G170" s="4"/>
      <c r="H170" s="4"/>
      <c r="I170" s="4"/>
      <c r="J170" s="4"/>
      <c r="K170" s="4"/>
      <c r="L170" s="4"/>
      <c r="M170" s="4"/>
      <c r="N170" s="4"/>
      <c r="O170" s="36"/>
      <c r="P170" s="27"/>
      <c r="Q170" s="27"/>
      <c r="S170" s="27"/>
    </row>
    <row r="171" spans="1:19" s="28" customFormat="1" x14ac:dyDescent="0.25">
      <c r="A171" s="30" t="s">
        <v>33</v>
      </c>
      <c r="B171" s="21">
        <f t="shared" si="5"/>
        <v>1172738.3570000001</v>
      </c>
      <c r="C171" s="2">
        <f>SUM(C172:C176)</f>
        <v>1089725.73</v>
      </c>
      <c r="D171" s="2">
        <f>SUM(D172:D176)</f>
        <v>83012.627000000008</v>
      </c>
      <c r="E171" s="2"/>
      <c r="F171" s="23">
        <f t="shared" si="6"/>
        <v>2302572.4065384828</v>
      </c>
      <c r="G171" s="2">
        <f>SUM(G172:G176)</f>
        <v>1665373.4041384831</v>
      </c>
      <c r="H171" s="2">
        <f>SUM(H172:H176)</f>
        <v>637199.00239999988</v>
      </c>
      <c r="I171" s="2"/>
      <c r="J171" s="2">
        <f>SUM(J172:J176)</f>
        <v>5387983</v>
      </c>
      <c r="K171" s="2">
        <f>SUM(K172:K176)</f>
        <v>4886885.8999999883</v>
      </c>
      <c r="L171" s="2">
        <f>SUM(L172:L176)</f>
        <v>6589192.25</v>
      </c>
      <c r="M171" s="2">
        <f>SUM(M172:M176)</f>
        <v>9723321.2799999993</v>
      </c>
      <c r="N171" s="2">
        <f>SUM(N172:N176)</f>
        <v>10153645.83</v>
      </c>
      <c r="O171" s="31" t="s">
        <v>34</v>
      </c>
      <c r="P171" s="27"/>
      <c r="Q171" s="27"/>
      <c r="S171" s="27"/>
    </row>
    <row r="172" spans="1:19" s="28" customFormat="1" x14ac:dyDescent="0.25">
      <c r="A172" s="32" t="s">
        <v>297</v>
      </c>
      <c r="B172" s="21">
        <f t="shared" si="5"/>
        <v>190682.79</v>
      </c>
      <c r="C172" s="4">
        <v>169580.39</v>
      </c>
      <c r="D172" s="4">
        <v>21102.400000000001</v>
      </c>
      <c r="E172" s="4"/>
      <c r="F172" s="23">
        <f t="shared" si="6"/>
        <v>260898.48</v>
      </c>
      <c r="G172" s="4">
        <v>260898.48</v>
      </c>
      <c r="H172" s="4" t="s">
        <v>1</v>
      </c>
      <c r="I172" s="4"/>
      <c r="J172" s="4">
        <v>2992848</v>
      </c>
      <c r="K172" s="4">
        <v>2531224.21999999</v>
      </c>
      <c r="L172" s="4">
        <v>3006325.82</v>
      </c>
      <c r="M172" s="4">
        <v>4783051.7699999996</v>
      </c>
      <c r="N172" s="4">
        <v>4292375.6100000003</v>
      </c>
      <c r="O172" s="33" t="s">
        <v>298</v>
      </c>
      <c r="P172" s="27"/>
      <c r="Q172" s="27"/>
      <c r="S172" s="27"/>
    </row>
    <row r="173" spans="1:19" s="28" customFormat="1" x14ac:dyDescent="0.25">
      <c r="A173" s="32" t="s">
        <v>299</v>
      </c>
      <c r="B173" s="21">
        <f t="shared" si="5"/>
        <v>289691.23700000002</v>
      </c>
      <c r="C173" s="4">
        <v>242753.01</v>
      </c>
      <c r="D173" s="4">
        <v>46938.226999999999</v>
      </c>
      <c r="E173" s="4"/>
      <c r="F173" s="23">
        <f t="shared" si="6"/>
        <v>619503.7247999988</v>
      </c>
      <c r="G173" s="4">
        <v>394740.32999999897</v>
      </c>
      <c r="H173" s="4">
        <v>224763.39479999989</v>
      </c>
      <c r="I173" s="4"/>
      <c r="J173" s="4">
        <v>555958</v>
      </c>
      <c r="K173" s="4">
        <v>699732.179999999</v>
      </c>
      <c r="L173" s="4">
        <v>773280.33</v>
      </c>
      <c r="M173" s="4">
        <v>1461210.3</v>
      </c>
      <c r="N173" s="4">
        <v>1773017.39</v>
      </c>
      <c r="O173" s="33" t="s">
        <v>300</v>
      </c>
      <c r="P173" s="27"/>
      <c r="Q173" s="27"/>
      <c r="S173" s="27"/>
    </row>
    <row r="174" spans="1:19" s="28" customFormat="1" x14ac:dyDescent="0.25">
      <c r="A174" s="32" t="s">
        <v>152</v>
      </c>
      <c r="B174" s="21">
        <f t="shared" si="5"/>
        <v>160131.85</v>
      </c>
      <c r="C174" s="4">
        <v>157040.87</v>
      </c>
      <c r="D174" s="4">
        <v>3090.98</v>
      </c>
      <c r="E174" s="4"/>
      <c r="F174" s="23">
        <f t="shared" si="6"/>
        <v>519402.874138485</v>
      </c>
      <c r="G174" s="4">
        <v>360072.38413848501</v>
      </c>
      <c r="H174" s="4">
        <v>159330.49</v>
      </c>
      <c r="I174" s="4"/>
      <c r="J174" s="4">
        <v>497440</v>
      </c>
      <c r="K174" s="4">
        <v>432365.08999999898</v>
      </c>
      <c r="L174" s="4">
        <v>602066.24</v>
      </c>
      <c r="M174" s="4">
        <v>782428.6</v>
      </c>
      <c r="N174" s="4">
        <v>822283.2</v>
      </c>
      <c r="O174" s="33" t="s">
        <v>153</v>
      </c>
      <c r="P174" s="26"/>
      <c r="Q174" s="27"/>
      <c r="S174" s="27"/>
    </row>
    <row r="175" spans="1:19" s="28" customFormat="1" x14ac:dyDescent="0.25">
      <c r="A175" s="32" t="s">
        <v>301</v>
      </c>
      <c r="B175" s="21">
        <f t="shared" si="5"/>
        <v>175281.19999999998</v>
      </c>
      <c r="C175" s="4">
        <v>163400.18</v>
      </c>
      <c r="D175" s="4">
        <v>11881.02</v>
      </c>
      <c r="E175" s="4"/>
      <c r="F175" s="23">
        <f t="shared" si="6"/>
        <v>189325.40999999898</v>
      </c>
      <c r="G175" s="4">
        <v>158074.43999999898</v>
      </c>
      <c r="H175" s="4">
        <v>31250.97</v>
      </c>
      <c r="I175" s="4"/>
      <c r="J175" s="4">
        <v>84815</v>
      </c>
      <c r="K175" s="4">
        <v>80600.51999999999</v>
      </c>
      <c r="L175" s="4">
        <v>198613.37</v>
      </c>
      <c r="M175" s="4">
        <v>318410.55</v>
      </c>
      <c r="N175" s="4">
        <v>253350.59</v>
      </c>
      <c r="O175" s="33" t="s">
        <v>302</v>
      </c>
      <c r="P175" s="26"/>
      <c r="Q175" s="27"/>
      <c r="S175" s="27"/>
    </row>
    <row r="176" spans="1:19" s="28" customFormat="1" x14ac:dyDescent="0.25">
      <c r="A176" s="32" t="s">
        <v>303</v>
      </c>
      <c r="B176" s="21">
        <f t="shared" si="5"/>
        <v>356951.28</v>
      </c>
      <c r="C176" s="4">
        <v>356951.28</v>
      </c>
      <c r="D176" s="4" t="s">
        <v>1</v>
      </c>
      <c r="E176" s="4"/>
      <c r="F176" s="23">
        <f t="shared" si="6"/>
        <v>713441.91759999993</v>
      </c>
      <c r="G176" s="4">
        <v>491587.7699999999</v>
      </c>
      <c r="H176" s="4">
        <v>221854.1476</v>
      </c>
      <c r="I176" s="4"/>
      <c r="J176" s="4">
        <v>1256922</v>
      </c>
      <c r="K176" s="4">
        <v>1142963.8900000001</v>
      </c>
      <c r="L176" s="4">
        <v>2008906.49</v>
      </c>
      <c r="M176" s="4">
        <v>2378220.06</v>
      </c>
      <c r="N176" s="4">
        <v>3012619.04</v>
      </c>
      <c r="O176" s="33" t="s">
        <v>304</v>
      </c>
      <c r="P176" s="26"/>
      <c r="Q176" s="27"/>
      <c r="S176" s="27"/>
    </row>
    <row r="177" spans="1:19" s="28" customFormat="1" ht="9.75" customHeight="1" x14ac:dyDescent="0.25">
      <c r="A177" s="32"/>
      <c r="B177" s="21"/>
      <c r="C177" s="4"/>
      <c r="D177" s="4"/>
      <c r="E177" s="4"/>
      <c r="F177" s="23"/>
      <c r="G177" s="4"/>
      <c r="H177" s="4"/>
      <c r="I177" s="4"/>
      <c r="J177" s="4"/>
      <c r="K177" s="4"/>
      <c r="L177" s="4"/>
      <c r="M177" s="4"/>
      <c r="N177" s="4"/>
      <c r="O177" s="36"/>
      <c r="P177" s="26"/>
      <c r="Q177" s="27"/>
      <c r="S177" s="27"/>
    </row>
    <row r="178" spans="1:19" s="28" customFormat="1" x14ac:dyDescent="0.25">
      <c r="A178" s="30" t="s">
        <v>35</v>
      </c>
      <c r="B178" s="21">
        <f t="shared" si="5"/>
        <v>2486260.4210000001</v>
      </c>
      <c r="C178" s="2">
        <f>SUM(C179:C186)</f>
        <v>2308653.12</v>
      </c>
      <c r="D178" s="2">
        <f>SUM(D179:D186)</f>
        <v>177607.30100000001</v>
      </c>
      <c r="E178" s="2"/>
      <c r="F178" s="23">
        <f t="shared" si="6"/>
        <v>4238458.5711005405</v>
      </c>
      <c r="G178" s="2">
        <f>SUM(G179:G186)</f>
        <v>3747889.6093005417</v>
      </c>
      <c r="H178" s="2">
        <f>SUM(H179:H186)</f>
        <v>490568.961799999</v>
      </c>
      <c r="I178" s="2"/>
      <c r="J178" s="2">
        <f>SUM(J179:J186)</f>
        <v>9032373</v>
      </c>
      <c r="K178" s="2">
        <f>SUM(K179:K186)</f>
        <v>9196467.5899999663</v>
      </c>
      <c r="L178" s="2">
        <f>SUM(L179:L186)</f>
        <v>9874084.1600000001</v>
      </c>
      <c r="M178" s="2">
        <f>SUM(M179:M186)</f>
        <v>12434694.649999999</v>
      </c>
      <c r="N178" s="2">
        <f>SUM(N179:N186)</f>
        <v>11807838.66</v>
      </c>
      <c r="O178" s="31" t="s">
        <v>36</v>
      </c>
      <c r="P178" s="26"/>
      <c r="Q178" s="27"/>
      <c r="S178" s="27"/>
    </row>
    <row r="179" spans="1:19" s="28" customFormat="1" x14ac:dyDescent="0.25">
      <c r="A179" s="32" t="s">
        <v>185</v>
      </c>
      <c r="B179" s="21">
        <f t="shared" si="5"/>
        <v>227173.11000000002</v>
      </c>
      <c r="C179" s="4">
        <v>224692.57</v>
      </c>
      <c r="D179" s="4">
        <v>2480.54</v>
      </c>
      <c r="E179" s="4"/>
      <c r="F179" s="23">
        <f t="shared" si="6"/>
        <v>650423.88099999796</v>
      </c>
      <c r="G179" s="4">
        <v>504279.28999999899</v>
      </c>
      <c r="H179" s="4">
        <v>146144.590999999</v>
      </c>
      <c r="I179" s="4"/>
      <c r="J179" s="4">
        <v>497160</v>
      </c>
      <c r="K179" s="4">
        <v>650387.50999999896</v>
      </c>
      <c r="L179" s="4">
        <v>860300.08</v>
      </c>
      <c r="M179" s="4">
        <v>1096727.83</v>
      </c>
      <c r="N179" s="4">
        <v>1528718.54</v>
      </c>
      <c r="O179" s="33" t="s">
        <v>186</v>
      </c>
      <c r="P179" s="26"/>
      <c r="Q179" s="27"/>
      <c r="S179" s="27"/>
    </row>
    <row r="180" spans="1:19" s="28" customFormat="1" x14ac:dyDescent="0.25">
      <c r="A180" s="32" t="s">
        <v>305</v>
      </c>
      <c r="B180" s="21">
        <f t="shared" si="5"/>
        <v>224709.73</v>
      </c>
      <c r="C180" s="4">
        <v>224709.73</v>
      </c>
      <c r="D180" s="4" t="s">
        <v>1</v>
      </c>
      <c r="E180" s="4"/>
      <c r="F180" s="23">
        <f t="shared" si="6"/>
        <v>218430.63210000002</v>
      </c>
      <c r="G180" s="4">
        <v>218430.63210000002</v>
      </c>
      <c r="H180" s="4" t="s">
        <v>1</v>
      </c>
      <c r="I180" s="4"/>
      <c r="J180" s="4">
        <v>496261</v>
      </c>
      <c r="K180" s="4">
        <v>540969.38999999897</v>
      </c>
      <c r="L180" s="4">
        <v>487061.5</v>
      </c>
      <c r="M180" s="4">
        <v>949103.09</v>
      </c>
      <c r="N180" s="4">
        <v>800381.21</v>
      </c>
      <c r="O180" s="33" t="s">
        <v>306</v>
      </c>
      <c r="P180" s="26"/>
      <c r="Q180" s="27"/>
      <c r="S180" s="27"/>
    </row>
    <row r="181" spans="1:19" s="28" customFormat="1" x14ac:dyDescent="0.25">
      <c r="A181" s="32" t="s">
        <v>307</v>
      </c>
      <c r="B181" s="21">
        <f t="shared" si="5"/>
        <v>212856.98099999997</v>
      </c>
      <c r="C181" s="4">
        <v>147979.60999999999</v>
      </c>
      <c r="D181" s="4">
        <v>64877.370999999999</v>
      </c>
      <c r="E181" s="4"/>
      <c r="F181" s="23">
        <f t="shared" si="6"/>
        <v>122735.14</v>
      </c>
      <c r="G181" s="4">
        <v>117446.08</v>
      </c>
      <c r="H181" s="4">
        <v>5289.06</v>
      </c>
      <c r="I181" s="4"/>
      <c r="J181" s="4">
        <v>0</v>
      </c>
      <c r="K181" s="4">
        <v>0</v>
      </c>
      <c r="L181" s="4">
        <v>0</v>
      </c>
      <c r="M181" s="4">
        <v>140576</v>
      </c>
      <c r="N181" s="4">
        <v>262146.08</v>
      </c>
      <c r="O181" s="33" t="s">
        <v>308</v>
      </c>
      <c r="P181" s="26"/>
      <c r="Q181" s="27"/>
      <c r="S181" s="27"/>
    </row>
    <row r="182" spans="1:19" s="28" customFormat="1" x14ac:dyDescent="0.25">
      <c r="A182" s="32" t="s">
        <v>309</v>
      </c>
      <c r="B182" s="21">
        <f t="shared" si="5"/>
        <v>230527.78</v>
      </c>
      <c r="C182" s="4">
        <v>208902.99</v>
      </c>
      <c r="D182" s="4">
        <v>21624.79</v>
      </c>
      <c r="E182" s="4"/>
      <c r="F182" s="23">
        <f t="shared" si="6"/>
        <v>528105.16189999995</v>
      </c>
      <c r="G182" s="4">
        <v>500560.2635</v>
      </c>
      <c r="H182" s="4">
        <v>27544.898399999998</v>
      </c>
      <c r="I182" s="4"/>
      <c r="J182" s="4">
        <v>502601</v>
      </c>
      <c r="K182" s="4">
        <v>881236.86999999906</v>
      </c>
      <c r="L182" s="4">
        <v>880391.22</v>
      </c>
      <c r="M182" s="4">
        <v>1145420.03</v>
      </c>
      <c r="N182" s="4">
        <v>1011121.3</v>
      </c>
      <c r="O182" s="33" t="s">
        <v>310</v>
      </c>
      <c r="P182" s="26"/>
      <c r="Q182" s="27"/>
      <c r="S182" s="27"/>
    </row>
    <row r="183" spans="1:19" s="28" customFormat="1" x14ac:dyDescent="0.25">
      <c r="A183" s="32" t="s">
        <v>428</v>
      </c>
      <c r="B183" s="21">
        <f t="shared" si="5"/>
        <v>56792.59</v>
      </c>
      <c r="C183" s="4">
        <v>56792.59</v>
      </c>
      <c r="D183" s="4" t="s">
        <v>1</v>
      </c>
      <c r="E183" s="4"/>
      <c r="F183" s="23">
        <f t="shared" si="6"/>
        <v>19760.439999999999</v>
      </c>
      <c r="G183" s="4">
        <v>19760.439999999999</v>
      </c>
      <c r="H183" s="4" t="s">
        <v>1</v>
      </c>
      <c r="I183" s="4"/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34" t="s">
        <v>429</v>
      </c>
      <c r="P183" s="26"/>
      <c r="Q183" s="27"/>
      <c r="S183" s="27"/>
    </row>
    <row r="184" spans="1:19" s="28" customFormat="1" x14ac:dyDescent="0.25">
      <c r="A184" s="32" t="s">
        <v>311</v>
      </c>
      <c r="B184" s="21">
        <f t="shared" si="5"/>
        <v>111142.02</v>
      </c>
      <c r="C184" s="4">
        <v>111142.02</v>
      </c>
      <c r="D184" s="4" t="s">
        <v>1</v>
      </c>
      <c r="E184" s="4"/>
      <c r="F184" s="23">
        <f t="shared" si="6"/>
        <v>142810.43</v>
      </c>
      <c r="G184" s="4">
        <v>142810.43</v>
      </c>
      <c r="H184" s="4" t="s">
        <v>1</v>
      </c>
      <c r="I184" s="4"/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33" t="s">
        <v>312</v>
      </c>
      <c r="P184" s="27"/>
      <c r="Q184" s="27"/>
      <c r="S184" s="27"/>
    </row>
    <row r="185" spans="1:19" s="28" customFormat="1" x14ac:dyDescent="0.25">
      <c r="A185" s="32" t="s">
        <v>313</v>
      </c>
      <c r="B185" s="21">
        <f t="shared" si="5"/>
        <v>301203.11</v>
      </c>
      <c r="C185" s="4">
        <v>279246.01</v>
      </c>
      <c r="D185" s="4">
        <v>21957.1</v>
      </c>
      <c r="E185" s="4"/>
      <c r="F185" s="23">
        <f t="shared" si="6"/>
        <v>428686.40080154303</v>
      </c>
      <c r="G185" s="4">
        <v>398686.40080154303</v>
      </c>
      <c r="H185" s="4">
        <v>30000</v>
      </c>
      <c r="I185" s="4"/>
      <c r="J185" s="4">
        <v>0</v>
      </c>
      <c r="K185" s="4">
        <v>210411.08999999991</v>
      </c>
      <c r="L185" s="4">
        <v>342079.06</v>
      </c>
      <c r="M185" s="4">
        <v>574582.66</v>
      </c>
      <c r="N185" s="4">
        <v>755309.09</v>
      </c>
      <c r="O185" s="33" t="s">
        <v>314</v>
      </c>
      <c r="P185" s="27"/>
      <c r="Q185" s="27"/>
      <c r="S185" s="27"/>
    </row>
    <row r="186" spans="1:19" s="28" customFormat="1" x14ac:dyDescent="0.25">
      <c r="A186" s="32" t="s">
        <v>315</v>
      </c>
      <c r="B186" s="21">
        <f t="shared" si="5"/>
        <v>1121855.1000000001</v>
      </c>
      <c r="C186" s="4">
        <v>1055187.6000000001</v>
      </c>
      <c r="D186" s="4">
        <v>66667.5</v>
      </c>
      <c r="E186" s="4"/>
      <c r="F186" s="23">
        <f t="shared" si="6"/>
        <v>2127506.4852990001</v>
      </c>
      <c r="G186" s="4">
        <v>1845916.072899</v>
      </c>
      <c r="H186" s="4">
        <v>281590.41239999997</v>
      </c>
      <c r="I186" s="4"/>
      <c r="J186" s="4">
        <v>7536351</v>
      </c>
      <c r="K186" s="4">
        <v>6913462.7299999697</v>
      </c>
      <c r="L186" s="4">
        <v>7304252.2999999998</v>
      </c>
      <c r="M186" s="4">
        <v>8528285.0399999991</v>
      </c>
      <c r="N186" s="4">
        <v>7450162.4400000004</v>
      </c>
      <c r="O186" s="33" t="s">
        <v>316</v>
      </c>
      <c r="P186" s="27"/>
      <c r="Q186" s="27"/>
      <c r="S186" s="27"/>
    </row>
    <row r="187" spans="1:19" s="28" customFormat="1" ht="8.25" customHeight="1" x14ac:dyDescent="0.25">
      <c r="A187" s="32"/>
      <c r="B187" s="21"/>
      <c r="C187" s="4"/>
      <c r="D187" s="4"/>
      <c r="E187" s="4"/>
      <c r="F187" s="23"/>
      <c r="G187" s="4"/>
      <c r="H187" s="4"/>
      <c r="I187" s="4"/>
      <c r="J187" s="4"/>
      <c r="K187" s="4"/>
      <c r="L187" s="4"/>
      <c r="M187" s="4"/>
      <c r="N187" s="4"/>
      <c r="O187" s="36"/>
      <c r="P187" s="27"/>
      <c r="Q187" s="27"/>
      <c r="S187" s="27"/>
    </row>
    <row r="188" spans="1:19" s="28" customFormat="1" x14ac:dyDescent="0.25">
      <c r="A188" s="30" t="s">
        <v>37</v>
      </c>
      <c r="B188" s="21">
        <f t="shared" si="5"/>
        <v>5273164.8800000008</v>
      </c>
      <c r="C188" s="2">
        <f>SUM(C189:C201)</f>
        <v>4583103.4300000006</v>
      </c>
      <c r="D188" s="2">
        <f>SUM(D189:D201)</f>
        <v>690061.45000000007</v>
      </c>
      <c r="E188" s="2"/>
      <c r="F188" s="23">
        <f t="shared" si="6"/>
        <v>7668957.2865999807</v>
      </c>
      <c r="G188" s="2">
        <f>SUM(G189:G201)</f>
        <v>6823349.6430999823</v>
      </c>
      <c r="H188" s="2">
        <f>SUM(H189:H201)</f>
        <v>845607.64349999884</v>
      </c>
      <c r="I188" s="2"/>
      <c r="J188" s="2">
        <f>SUM(J189:J201)</f>
        <v>10105484</v>
      </c>
      <c r="K188" s="2">
        <f>SUM(K189:K201)</f>
        <v>10945367.059999997</v>
      </c>
      <c r="L188" s="2">
        <f>SUM(L189:L201)</f>
        <v>15424283.250000002</v>
      </c>
      <c r="M188" s="2">
        <f>SUM(M189:M201)</f>
        <v>20505081.599999998</v>
      </c>
      <c r="N188" s="2">
        <f>SUM(N189:N201)</f>
        <v>22462983.789999995</v>
      </c>
      <c r="O188" s="31" t="s">
        <v>38</v>
      </c>
      <c r="P188" s="27"/>
      <c r="Q188" s="27"/>
      <c r="S188" s="27"/>
    </row>
    <row r="189" spans="1:19" s="28" customFormat="1" x14ac:dyDescent="0.25">
      <c r="A189" s="32" t="s">
        <v>317</v>
      </c>
      <c r="B189" s="21">
        <f t="shared" si="5"/>
        <v>286887.51</v>
      </c>
      <c r="C189" s="4">
        <v>257265.53</v>
      </c>
      <c r="D189" s="4">
        <v>29621.98</v>
      </c>
      <c r="E189" s="4"/>
      <c r="F189" s="23">
        <f t="shared" si="6"/>
        <v>253235.41949999999</v>
      </c>
      <c r="G189" s="4">
        <v>231332.2395</v>
      </c>
      <c r="H189" s="4">
        <v>21903.18</v>
      </c>
      <c r="I189" s="4"/>
      <c r="J189" s="4">
        <v>182534</v>
      </c>
      <c r="K189" s="4">
        <v>261581.84999999992</v>
      </c>
      <c r="L189" s="4">
        <v>542764.73</v>
      </c>
      <c r="M189" s="4">
        <v>537529.36</v>
      </c>
      <c r="N189" s="4">
        <v>535288.37</v>
      </c>
      <c r="O189" s="33" t="s">
        <v>318</v>
      </c>
      <c r="P189" s="26"/>
      <c r="Q189" s="27"/>
      <c r="S189" s="27"/>
    </row>
    <row r="190" spans="1:19" s="28" customFormat="1" x14ac:dyDescent="0.25">
      <c r="A190" s="32" t="s">
        <v>430</v>
      </c>
      <c r="B190" s="21">
        <f t="shared" si="5"/>
        <v>907625.91</v>
      </c>
      <c r="C190" s="4">
        <v>747663.79</v>
      </c>
      <c r="D190" s="4">
        <v>159962.12</v>
      </c>
      <c r="E190" s="4"/>
      <c r="F190" s="23">
        <f t="shared" si="6"/>
        <v>850289.42569999909</v>
      </c>
      <c r="G190" s="4">
        <v>726723.51999999909</v>
      </c>
      <c r="H190" s="4">
        <v>123565.9057</v>
      </c>
      <c r="I190" s="4"/>
      <c r="J190" s="4">
        <v>491137</v>
      </c>
      <c r="K190" s="4">
        <v>609866.99999999895</v>
      </c>
      <c r="L190" s="4">
        <v>1017088.8</v>
      </c>
      <c r="M190" s="4">
        <v>1626901.82</v>
      </c>
      <c r="N190" s="4">
        <v>2389527.81</v>
      </c>
      <c r="O190" s="34" t="s">
        <v>431</v>
      </c>
      <c r="P190" s="26"/>
      <c r="Q190" s="27"/>
      <c r="S190" s="27"/>
    </row>
    <row r="191" spans="1:19" s="28" customFormat="1" x14ac:dyDescent="0.25">
      <c r="A191" s="32" t="s">
        <v>319</v>
      </c>
      <c r="B191" s="21">
        <f t="shared" si="5"/>
        <v>348579.53</v>
      </c>
      <c r="C191" s="4">
        <v>276543.88</v>
      </c>
      <c r="D191" s="4">
        <v>72035.649999999994</v>
      </c>
      <c r="E191" s="4"/>
      <c r="F191" s="23">
        <f t="shared" si="6"/>
        <v>527176.29079999891</v>
      </c>
      <c r="G191" s="4">
        <v>495368.44999999896</v>
      </c>
      <c r="H191" s="4">
        <v>31807.8407999999</v>
      </c>
      <c r="I191" s="4"/>
      <c r="J191" s="4">
        <v>59071</v>
      </c>
      <c r="K191" s="4">
        <v>250836.9</v>
      </c>
      <c r="L191" s="4">
        <v>413280.34</v>
      </c>
      <c r="M191" s="4">
        <v>878553.08</v>
      </c>
      <c r="N191" s="4">
        <v>852214.39</v>
      </c>
      <c r="O191" s="33" t="s">
        <v>320</v>
      </c>
      <c r="P191" s="26"/>
      <c r="Q191" s="27"/>
      <c r="S191" s="27"/>
    </row>
    <row r="192" spans="1:19" s="28" customFormat="1" x14ac:dyDescent="0.25">
      <c r="A192" s="32" t="s">
        <v>321</v>
      </c>
      <c r="B192" s="21">
        <f t="shared" si="5"/>
        <v>224981.45</v>
      </c>
      <c r="C192" s="4">
        <v>224981.45</v>
      </c>
      <c r="D192" s="4" t="s">
        <v>1</v>
      </c>
      <c r="E192" s="4"/>
      <c r="F192" s="23">
        <f t="shared" si="6"/>
        <v>267666.05</v>
      </c>
      <c r="G192" s="4">
        <v>267666.05</v>
      </c>
      <c r="H192" s="4" t="s">
        <v>1</v>
      </c>
      <c r="I192" s="4"/>
      <c r="J192" s="4">
        <v>112893</v>
      </c>
      <c r="K192" s="4">
        <v>175945.98</v>
      </c>
      <c r="L192" s="4">
        <v>176222.38</v>
      </c>
      <c r="M192" s="4">
        <v>665202.23</v>
      </c>
      <c r="N192" s="4">
        <v>564413.30000000005</v>
      </c>
      <c r="O192" s="33" t="s">
        <v>322</v>
      </c>
      <c r="P192" s="26"/>
      <c r="Q192" s="27"/>
      <c r="S192" s="27"/>
    </row>
    <row r="193" spans="1:19" s="28" customFormat="1" x14ac:dyDescent="0.25">
      <c r="A193" s="32" t="s">
        <v>241</v>
      </c>
      <c r="B193" s="21">
        <f t="shared" si="5"/>
        <v>652466.61</v>
      </c>
      <c r="C193" s="4">
        <v>571729.22</v>
      </c>
      <c r="D193" s="4">
        <v>80737.39</v>
      </c>
      <c r="E193" s="4"/>
      <c r="F193" s="23">
        <f t="shared" si="6"/>
        <v>1136876.8776999889</v>
      </c>
      <c r="G193" s="4">
        <v>1027172.98149999</v>
      </c>
      <c r="H193" s="4">
        <v>109703.896199999</v>
      </c>
      <c r="I193" s="4"/>
      <c r="J193" s="4">
        <v>765075</v>
      </c>
      <c r="K193" s="4">
        <v>1471504.0399999998</v>
      </c>
      <c r="L193" s="4">
        <v>1890259.22</v>
      </c>
      <c r="M193" s="4">
        <v>2367729.7799999998</v>
      </c>
      <c r="N193" s="4">
        <v>2698274.24</v>
      </c>
      <c r="O193" s="33" t="s">
        <v>242</v>
      </c>
      <c r="P193" s="26"/>
      <c r="Q193" s="27"/>
      <c r="S193" s="27"/>
    </row>
    <row r="194" spans="1:19" s="28" customFormat="1" x14ac:dyDescent="0.25">
      <c r="A194" s="32" t="s">
        <v>323</v>
      </c>
      <c r="B194" s="21">
        <f t="shared" si="5"/>
        <v>419818.59</v>
      </c>
      <c r="C194" s="4">
        <v>411008.39</v>
      </c>
      <c r="D194" s="4">
        <v>8810.2000000000007</v>
      </c>
      <c r="E194" s="4"/>
      <c r="F194" s="23">
        <f t="shared" si="6"/>
        <v>657030.89339999901</v>
      </c>
      <c r="G194" s="4">
        <v>597262.27499999898</v>
      </c>
      <c r="H194" s="4">
        <v>59768.618399999999</v>
      </c>
      <c r="I194" s="4"/>
      <c r="J194" s="4">
        <v>117000</v>
      </c>
      <c r="K194" s="4">
        <v>112995</v>
      </c>
      <c r="L194" s="4">
        <v>193481.8</v>
      </c>
      <c r="M194" s="4">
        <v>484320.08</v>
      </c>
      <c r="N194" s="4">
        <v>587893.54</v>
      </c>
      <c r="O194" s="33" t="s">
        <v>324</v>
      </c>
      <c r="P194" s="26"/>
      <c r="Q194" s="27"/>
      <c r="S194" s="27"/>
    </row>
    <row r="195" spans="1:19" s="28" customFormat="1" x14ac:dyDescent="0.25">
      <c r="A195" s="32" t="s">
        <v>325</v>
      </c>
      <c r="B195" s="21">
        <f t="shared" si="5"/>
        <v>30045.65</v>
      </c>
      <c r="C195" s="4">
        <v>30045.65</v>
      </c>
      <c r="D195" s="4" t="s">
        <v>1</v>
      </c>
      <c r="E195" s="4"/>
      <c r="F195" s="23">
        <f t="shared" si="6"/>
        <v>73975.099999999889</v>
      </c>
      <c r="G195" s="4">
        <v>73975.099999999889</v>
      </c>
      <c r="H195" s="4" t="s">
        <v>1</v>
      </c>
      <c r="I195" s="4"/>
      <c r="J195" s="4">
        <v>0</v>
      </c>
      <c r="K195" s="4">
        <v>0</v>
      </c>
      <c r="L195" s="4">
        <v>29710.12</v>
      </c>
      <c r="M195" s="4">
        <v>136854.35999999999</v>
      </c>
      <c r="N195" s="4">
        <v>209342.76</v>
      </c>
      <c r="O195" s="33" t="s">
        <v>326</v>
      </c>
      <c r="P195" s="26"/>
      <c r="Q195" s="27"/>
      <c r="S195" s="27"/>
    </row>
    <row r="196" spans="1:19" s="28" customFormat="1" x14ac:dyDescent="0.25">
      <c r="A196" s="32" t="s">
        <v>327</v>
      </c>
      <c r="B196" s="21">
        <f t="shared" si="5"/>
        <v>205696.47999999998</v>
      </c>
      <c r="C196" s="4">
        <v>204422.71</v>
      </c>
      <c r="D196" s="4">
        <v>1273.77</v>
      </c>
      <c r="E196" s="4"/>
      <c r="F196" s="23">
        <f t="shared" si="6"/>
        <v>311366.92</v>
      </c>
      <c r="G196" s="4">
        <v>302803.03999999998</v>
      </c>
      <c r="H196" s="4">
        <v>8563.8799999999992</v>
      </c>
      <c r="I196" s="4"/>
      <c r="J196" s="4">
        <v>673999</v>
      </c>
      <c r="K196" s="4">
        <v>891753.40999999992</v>
      </c>
      <c r="L196" s="4">
        <v>1274485.23</v>
      </c>
      <c r="M196" s="4">
        <v>1633334.55</v>
      </c>
      <c r="N196" s="4">
        <v>1838537.32</v>
      </c>
      <c r="O196" s="33" t="s">
        <v>328</v>
      </c>
      <c r="P196" s="27"/>
      <c r="Q196" s="27"/>
      <c r="S196" s="27"/>
    </row>
    <row r="197" spans="1:19" s="28" customFormat="1" x14ac:dyDescent="0.25">
      <c r="A197" s="32" t="s">
        <v>329</v>
      </c>
      <c r="B197" s="21">
        <f t="shared" si="5"/>
        <v>159545.29999999999</v>
      </c>
      <c r="C197" s="4">
        <v>86359.84</v>
      </c>
      <c r="D197" s="4">
        <v>73185.460000000006</v>
      </c>
      <c r="E197" s="4"/>
      <c r="F197" s="23">
        <f t="shared" si="6"/>
        <v>266035.28999999899</v>
      </c>
      <c r="G197" s="4">
        <v>149273.52999999898</v>
      </c>
      <c r="H197" s="4">
        <v>116761.76</v>
      </c>
      <c r="I197" s="4"/>
      <c r="J197" s="4">
        <v>46546</v>
      </c>
      <c r="K197" s="4">
        <v>71298.05</v>
      </c>
      <c r="L197" s="4">
        <v>172272.83</v>
      </c>
      <c r="M197" s="4">
        <v>259761.18</v>
      </c>
      <c r="N197" s="4">
        <v>322150.37</v>
      </c>
      <c r="O197" s="33" t="s">
        <v>330</v>
      </c>
      <c r="P197" s="27"/>
      <c r="Q197" s="27"/>
      <c r="S197" s="27"/>
    </row>
    <row r="198" spans="1:19" s="28" customFormat="1" x14ac:dyDescent="0.25">
      <c r="A198" s="32" t="s">
        <v>331</v>
      </c>
      <c r="B198" s="21">
        <f t="shared" si="5"/>
        <v>935121.27</v>
      </c>
      <c r="C198" s="4">
        <v>832428.76</v>
      </c>
      <c r="D198" s="4">
        <v>102692.51</v>
      </c>
      <c r="E198" s="4"/>
      <c r="F198" s="23">
        <f t="shared" si="6"/>
        <v>1225811.6100999988</v>
      </c>
      <c r="G198" s="4">
        <v>994631.37009999889</v>
      </c>
      <c r="H198" s="4">
        <v>231180.24</v>
      </c>
      <c r="I198" s="4"/>
      <c r="J198" s="4">
        <v>912981</v>
      </c>
      <c r="K198" s="4">
        <v>721180.66</v>
      </c>
      <c r="L198" s="4">
        <v>981325.06</v>
      </c>
      <c r="M198" s="4">
        <v>1566689.44</v>
      </c>
      <c r="N198" s="4">
        <v>1977662.31</v>
      </c>
      <c r="O198" s="33" t="s">
        <v>332</v>
      </c>
      <c r="P198" s="27"/>
      <c r="Q198" s="27"/>
      <c r="S198" s="27"/>
    </row>
    <row r="199" spans="1:19" s="28" customFormat="1" x14ac:dyDescent="0.25">
      <c r="A199" s="32" t="s">
        <v>333</v>
      </c>
      <c r="B199" s="21">
        <f t="shared" si="5"/>
        <v>436118.07</v>
      </c>
      <c r="C199" s="4">
        <v>351053.28</v>
      </c>
      <c r="D199" s="4">
        <v>85064.79</v>
      </c>
      <c r="E199" s="4"/>
      <c r="F199" s="23">
        <f t="shared" si="6"/>
        <v>710749.78319999785</v>
      </c>
      <c r="G199" s="4">
        <v>622237.38999999792</v>
      </c>
      <c r="H199" s="4">
        <v>88512.393199999904</v>
      </c>
      <c r="I199" s="4"/>
      <c r="J199" s="4">
        <v>6490953</v>
      </c>
      <c r="K199" s="4">
        <v>6133083.5700000003</v>
      </c>
      <c r="L199" s="4">
        <v>8383508.1100000003</v>
      </c>
      <c r="M199" s="4">
        <v>9184973.7599999998</v>
      </c>
      <c r="N199" s="4">
        <v>9233968.0299999993</v>
      </c>
      <c r="O199" s="33" t="s">
        <v>334</v>
      </c>
      <c r="P199" s="27"/>
      <c r="Q199" s="27"/>
      <c r="S199" s="27"/>
    </row>
    <row r="200" spans="1:19" s="28" customFormat="1" x14ac:dyDescent="0.25">
      <c r="A200" s="32" t="s">
        <v>335</v>
      </c>
      <c r="B200" s="21">
        <f t="shared" ref="B200:B254" si="7">SUM(C200:D200)</f>
        <v>390819.11</v>
      </c>
      <c r="C200" s="4">
        <v>390819.11</v>
      </c>
      <c r="D200" s="4" t="s">
        <v>1</v>
      </c>
      <c r="E200" s="4"/>
      <c r="F200" s="23">
        <f t="shared" ref="F200:F254" si="8">SUM(G200:H200)</f>
        <v>944265.16</v>
      </c>
      <c r="G200" s="4">
        <v>944265.16</v>
      </c>
      <c r="H200" s="4" t="s">
        <v>1</v>
      </c>
      <c r="I200" s="4"/>
      <c r="J200" s="4">
        <v>108780</v>
      </c>
      <c r="K200" s="4">
        <v>120971.12</v>
      </c>
      <c r="L200" s="4">
        <v>180192.5</v>
      </c>
      <c r="M200" s="4">
        <v>665196.06000000006</v>
      </c>
      <c r="N200" s="4">
        <v>779451.4</v>
      </c>
      <c r="O200" s="33" t="s">
        <v>336</v>
      </c>
      <c r="P200" s="27"/>
      <c r="Q200" s="27"/>
      <c r="S200" s="27"/>
    </row>
    <row r="201" spans="1:19" s="28" customFormat="1" x14ac:dyDescent="0.25">
      <c r="A201" s="32" t="s">
        <v>259</v>
      </c>
      <c r="B201" s="21">
        <f t="shared" si="7"/>
        <v>275459.40000000002</v>
      </c>
      <c r="C201" s="4">
        <v>198781.82</v>
      </c>
      <c r="D201" s="4">
        <v>76677.58</v>
      </c>
      <c r="E201" s="4"/>
      <c r="F201" s="23">
        <f t="shared" si="8"/>
        <v>444478.46619999991</v>
      </c>
      <c r="G201" s="4">
        <v>390638.53699999989</v>
      </c>
      <c r="H201" s="4">
        <v>53839.929199999999</v>
      </c>
      <c r="I201" s="4"/>
      <c r="J201" s="4">
        <v>144515</v>
      </c>
      <c r="K201" s="4">
        <v>124349.47999999901</v>
      </c>
      <c r="L201" s="4">
        <v>169692.13</v>
      </c>
      <c r="M201" s="4">
        <v>498035.9</v>
      </c>
      <c r="N201" s="4">
        <v>474259.95</v>
      </c>
      <c r="O201" s="33" t="s">
        <v>260</v>
      </c>
      <c r="P201" s="27"/>
      <c r="Q201" s="27"/>
      <c r="S201" s="27"/>
    </row>
    <row r="202" spans="1:19" s="28" customFormat="1" ht="9" customHeight="1" x14ac:dyDescent="0.25">
      <c r="A202" s="32"/>
      <c r="B202" s="21"/>
      <c r="C202" s="4"/>
      <c r="D202" s="4"/>
      <c r="E202" s="4"/>
      <c r="F202" s="23"/>
      <c r="G202" s="4"/>
      <c r="H202" s="4"/>
      <c r="I202" s="4"/>
      <c r="J202" s="4"/>
      <c r="K202" s="4"/>
      <c r="L202" s="4"/>
      <c r="M202" s="4"/>
      <c r="N202" s="4"/>
      <c r="O202" s="33"/>
      <c r="P202" s="27"/>
      <c r="Q202" s="27"/>
      <c r="S202" s="27"/>
    </row>
    <row r="203" spans="1:19" s="28" customFormat="1" x14ac:dyDescent="0.25">
      <c r="A203" s="30" t="s">
        <v>39</v>
      </c>
      <c r="B203" s="21">
        <f t="shared" si="7"/>
        <v>3092723.3610000005</v>
      </c>
      <c r="C203" s="2">
        <f>SUM(C204:C215)</f>
        <v>2627929.0500000003</v>
      </c>
      <c r="D203" s="2">
        <f>SUM(D204:D215)</f>
        <v>464794.31099999999</v>
      </c>
      <c r="E203" s="2"/>
      <c r="F203" s="23">
        <f t="shared" si="8"/>
        <v>4448510.1711999858</v>
      </c>
      <c r="G203" s="2">
        <f>SUM(G204:G215)</f>
        <v>4039115.5589999864</v>
      </c>
      <c r="H203" s="2">
        <f>SUM(H204:H215)</f>
        <v>409394.6121999998</v>
      </c>
      <c r="I203" s="2"/>
      <c r="J203" s="2">
        <f>SUM(J204:J215)</f>
        <v>12373132</v>
      </c>
      <c r="K203" s="2">
        <f>SUM(K204:K215)</f>
        <v>11644595.34999999</v>
      </c>
      <c r="L203" s="2">
        <f>SUM(L204:L215)</f>
        <v>19121149.299999997</v>
      </c>
      <c r="M203" s="2">
        <f>SUM(M204:M215)</f>
        <v>27347316.960000001</v>
      </c>
      <c r="N203" s="2">
        <f>SUM(N204:N215)</f>
        <v>30750547.939999998</v>
      </c>
      <c r="O203" s="31" t="s">
        <v>40</v>
      </c>
      <c r="P203" s="26"/>
      <c r="Q203" s="27"/>
      <c r="S203" s="27"/>
    </row>
    <row r="204" spans="1:19" s="28" customFormat="1" x14ac:dyDescent="0.25">
      <c r="A204" s="32" t="s">
        <v>337</v>
      </c>
      <c r="B204" s="21">
        <f t="shared" si="7"/>
        <v>341051.11</v>
      </c>
      <c r="C204" s="4">
        <v>341051.11</v>
      </c>
      <c r="D204" s="4" t="s">
        <v>1</v>
      </c>
      <c r="E204" s="4"/>
      <c r="F204" s="23">
        <f t="shared" si="8"/>
        <v>572876.99499999895</v>
      </c>
      <c r="G204" s="4">
        <v>496460.25499999896</v>
      </c>
      <c r="H204" s="4">
        <v>76416.740000000005</v>
      </c>
      <c r="I204" s="4"/>
      <c r="J204" s="4">
        <v>345331</v>
      </c>
      <c r="K204" s="4">
        <v>405092.25</v>
      </c>
      <c r="L204" s="4">
        <v>354237.1</v>
      </c>
      <c r="M204" s="4">
        <v>870215.65</v>
      </c>
      <c r="N204" s="4">
        <v>1254590.08</v>
      </c>
      <c r="O204" s="33" t="s">
        <v>338</v>
      </c>
      <c r="P204" s="26"/>
      <c r="Q204" s="27"/>
      <c r="S204" s="27"/>
    </row>
    <row r="205" spans="1:19" s="28" customFormat="1" x14ac:dyDescent="0.25">
      <c r="A205" s="32" t="s">
        <v>339</v>
      </c>
      <c r="B205" s="21">
        <f t="shared" si="7"/>
        <v>276108.13</v>
      </c>
      <c r="C205" s="4">
        <v>154474.17000000001</v>
      </c>
      <c r="D205" s="4">
        <v>121633.96</v>
      </c>
      <c r="E205" s="4"/>
      <c r="F205" s="23">
        <f t="shared" si="8"/>
        <v>258156.81999999899</v>
      </c>
      <c r="G205" s="4">
        <v>228156.81999999899</v>
      </c>
      <c r="H205" s="4">
        <v>30000</v>
      </c>
      <c r="I205" s="4"/>
      <c r="J205" s="4">
        <v>135135</v>
      </c>
      <c r="K205" s="4">
        <v>137025</v>
      </c>
      <c r="L205" s="4">
        <v>211830</v>
      </c>
      <c r="M205" s="4">
        <v>300491.92</v>
      </c>
      <c r="N205" s="4">
        <v>603164.36</v>
      </c>
      <c r="O205" s="33" t="s">
        <v>340</v>
      </c>
      <c r="P205" s="26"/>
      <c r="Q205" s="27"/>
      <c r="S205" s="27"/>
    </row>
    <row r="206" spans="1:19" s="28" customFormat="1" x14ac:dyDescent="0.25">
      <c r="A206" s="32" t="s">
        <v>341</v>
      </c>
      <c r="B206" s="21">
        <f t="shared" si="7"/>
        <v>376808.52099999995</v>
      </c>
      <c r="C206" s="4">
        <v>203228.27</v>
      </c>
      <c r="D206" s="4">
        <v>173580.25099999999</v>
      </c>
      <c r="E206" s="4"/>
      <c r="F206" s="23">
        <f t="shared" si="8"/>
        <v>324165.50999999989</v>
      </c>
      <c r="G206" s="4">
        <v>263007.89</v>
      </c>
      <c r="H206" s="4">
        <v>61157.619999999901</v>
      </c>
      <c r="I206" s="4"/>
      <c r="J206" s="4">
        <v>457350</v>
      </c>
      <c r="K206" s="4">
        <v>257660.3</v>
      </c>
      <c r="L206" s="4">
        <v>214381.1</v>
      </c>
      <c r="M206" s="4">
        <v>452842.75</v>
      </c>
      <c r="N206" s="4">
        <v>322166.84999999998</v>
      </c>
      <c r="O206" s="33" t="s">
        <v>342</v>
      </c>
      <c r="P206" s="26"/>
      <c r="Q206" s="27"/>
      <c r="S206" s="27"/>
    </row>
    <row r="207" spans="1:19" s="28" customFormat="1" x14ac:dyDescent="0.25">
      <c r="A207" s="32" t="s">
        <v>343</v>
      </c>
      <c r="B207" s="21">
        <f t="shared" si="7"/>
        <v>121987.88</v>
      </c>
      <c r="C207" s="4">
        <v>103930.78</v>
      </c>
      <c r="D207" s="4">
        <v>18057.099999999999</v>
      </c>
      <c r="E207" s="4"/>
      <c r="F207" s="23">
        <f t="shared" si="8"/>
        <v>156843.57999999999</v>
      </c>
      <c r="G207" s="4">
        <v>123434.37</v>
      </c>
      <c r="H207" s="4">
        <v>33409.21</v>
      </c>
      <c r="I207" s="4"/>
      <c r="J207" s="4">
        <v>8060</v>
      </c>
      <c r="K207" s="4">
        <v>14305</v>
      </c>
      <c r="L207" s="4">
        <v>27820</v>
      </c>
      <c r="M207" s="4">
        <v>145192.95999999999</v>
      </c>
      <c r="N207" s="4">
        <v>95358.66</v>
      </c>
      <c r="O207" s="33" t="s">
        <v>344</v>
      </c>
      <c r="P207" s="27"/>
      <c r="Q207" s="27"/>
      <c r="S207" s="27"/>
    </row>
    <row r="208" spans="1:19" s="28" customFormat="1" x14ac:dyDescent="0.25">
      <c r="A208" s="32" t="s">
        <v>345</v>
      </c>
      <c r="B208" s="21">
        <f t="shared" si="7"/>
        <v>87244.51999999999</v>
      </c>
      <c r="C208" s="4">
        <v>69028.7</v>
      </c>
      <c r="D208" s="4">
        <v>18215.82</v>
      </c>
      <c r="E208" s="4"/>
      <c r="F208" s="23">
        <f t="shared" si="8"/>
        <v>84160.56</v>
      </c>
      <c r="G208" s="4">
        <v>84160.56</v>
      </c>
      <c r="H208" s="4" t="s">
        <v>1</v>
      </c>
      <c r="I208" s="4"/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33" t="s">
        <v>346</v>
      </c>
      <c r="P208" s="27"/>
      <c r="Q208" s="27"/>
      <c r="S208" s="27"/>
    </row>
    <row r="209" spans="1:19" s="28" customFormat="1" x14ac:dyDescent="0.25">
      <c r="A209" s="32" t="s">
        <v>347</v>
      </c>
      <c r="B209" s="21">
        <f t="shared" si="7"/>
        <v>681776.43</v>
      </c>
      <c r="C209" s="4">
        <v>556819.66</v>
      </c>
      <c r="D209" s="4">
        <v>124956.77</v>
      </c>
      <c r="E209" s="4"/>
      <c r="F209" s="23">
        <f t="shared" si="8"/>
        <v>1091122.77659999</v>
      </c>
      <c r="G209" s="4">
        <v>1015383.8199999901</v>
      </c>
      <c r="H209" s="4">
        <v>75738.956599999903</v>
      </c>
      <c r="I209" s="4"/>
      <c r="J209" s="4">
        <v>9655443</v>
      </c>
      <c r="K209" s="4">
        <v>9643918.3599999901</v>
      </c>
      <c r="L209" s="4">
        <v>15696148.060000001</v>
      </c>
      <c r="M209" s="4">
        <v>19583745.210000001</v>
      </c>
      <c r="N209" s="4">
        <v>21101781.059999999</v>
      </c>
      <c r="O209" s="33" t="s">
        <v>348</v>
      </c>
      <c r="P209" s="27"/>
      <c r="Q209" s="27"/>
      <c r="S209" s="27"/>
    </row>
    <row r="210" spans="1:19" s="28" customFormat="1" x14ac:dyDescent="0.25">
      <c r="A210" s="32" t="s">
        <v>349</v>
      </c>
      <c r="B210" s="21">
        <f t="shared" si="7"/>
        <v>249022.58</v>
      </c>
      <c r="C210" s="4">
        <v>249022.58</v>
      </c>
      <c r="D210" s="4" t="s">
        <v>1</v>
      </c>
      <c r="E210" s="4"/>
      <c r="F210" s="23">
        <f t="shared" si="8"/>
        <v>602862.973</v>
      </c>
      <c r="G210" s="4">
        <v>567649.01399999997</v>
      </c>
      <c r="H210" s="4">
        <v>35213.959000000003</v>
      </c>
      <c r="I210" s="4"/>
      <c r="J210" s="4">
        <v>589046</v>
      </c>
      <c r="K210" s="4">
        <v>571017</v>
      </c>
      <c r="L210" s="4">
        <v>1071238.1000000001</v>
      </c>
      <c r="M210" s="4">
        <v>2398890.2000000002</v>
      </c>
      <c r="N210" s="4">
        <v>3025174.77</v>
      </c>
      <c r="O210" s="33" t="s">
        <v>350</v>
      </c>
      <c r="P210" s="27"/>
      <c r="Q210" s="27"/>
      <c r="S210" s="27"/>
    </row>
    <row r="211" spans="1:19" s="28" customFormat="1" x14ac:dyDescent="0.25">
      <c r="A211" s="32" t="s">
        <v>351</v>
      </c>
      <c r="B211" s="21">
        <f t="shared" si="7"/>
        <v>468558.56</v>
      </c>
      <c r="C211" s="4">
        <v>468558.56</v>
      </c>
      <c r="D211" s="4" t="s">
        <v>1</v>
      </c>
      <c r="E211" s="4"/>
      <c r="F211" s="23">
        <f t="shared" si="8"/>
        <v>605286.42099999997</v>
      </c>
      <c r="G211" s="4">
        <v>554182.62</v>
      </c>
      <c r="H211" s="4">
        <v>51103.800999999999</v>
      </c>
      <c r="I211" s="4"/>
      <c r="J211" s="4">
        <v>626787</v>
      </c>
      <c r="K211" s="4">
        <v>93419</v>
      </c>
      <c r="L211" s="4">
        <v>559235.9</v>
      </c>
      <c r="M211" s="4">
        <v>1723098.92</v>
      </c>
      <c r="N211" s="4">
        <v>1597041.42</v>
      </c>
      <c r="O211" s="33" t="s">
        <v>352</v>
      </c>
      <c r="P211" s="26"/>
      <c r="Q211" s="27"/>
      <c r="S211" s="27"/>
    </row>
    <row r="212" spans="1:19" s="28" customFormat="1" x14ac:dyDescent="0.25">
      <c r="A212" s="32" t="s">
        <v>353</v>
      </c>
      <c r="B212" s="21">
        <f t="shared" si="7"/>
        <v>139884.62</v>
      </c>
      <c r="C212" s="4">
        <v>135454.37</v>
      </c>
      <c r="D212" s="4">
        <v>4430.25</v>
      </c>
      <c r="E212" s="4"/>
      <c r="F212" s="23">
        <f t="shared" si="8"/>
        <v>216450.300599999</v>
      </c>
      <c r="G212" s="4">
        <v>206813.87999999899</v>
      </c>
      <c r="H212" s="4">
        <v>9636.4205999999995</v>
      </c>
      <c r="I212" s="4"/>
      <c r="J212" s="4">
        <v>2810</v>
      </c>
      <c r="K212" s="4">
        <v>5140</v>
      </c>
      <c r="L212" s="4">
        <v>2320</v>
      </c>
      <c r="M212" s="4">
        <v>8440</v>
      </c>
      <c r="N212" s="4">
        <v>2855</v>
      </c>
      <c r="O212" s="33" t="s">
        <v>354</v>
      </c>
      <c r="P212" s="26"/>
      <c r="Q212" s="27"/>
      <c r="S212" s="27"/>
    </row>
    <row r="213" spans="1:19" s="28" customFormat="1" x14ac:dyDescent="0.25">
      <c r="A213" s="32" t="s">
        <v>355</v>
      </c>
      <c r="B213" s="21">
        <f t="shared" si="7"/>
        <v>192724.84</v>
      </c>
      <c r="C213" s="4">
        <v>188804.68</v>
      </c>
      <c r="D213" s="4">
        <v>3920.16</v>
      </c>
      <c r="E213" s="4"/>
      <c r="F213" s="23">
        <f t="shared" si="8"/>
        <v>327782.32539999904</v>
      </c>
      <c r="G213" s="4">
        <v>297670.03999999905</v>
      </c>
      <c r="H213" s="4">
        <v>30112.285400000001</v>
      </c>
      <c r="I213" s="4"/>
      <c r="J213" s="4">
        <v>228009</v>
      </c>
      <c r="K213" s="4">
        <v>87960</v>
      </c>
      <c r="L213" s="4">
        <v>24490</v>
      </c>
      <c r="M213" s="4">
        <v>0</v>
      </c>
      <c r="N213" s="4">
        <v>900</v>
      </c>
      <c r="O213" s="33" t="s">
        <v>356</v>
      </c>
      <c r="P213" s="26"/>
      <c r="Q213" s="27"/>
      <c r="S213" s="27"/>
    </row>
    <row r="214" spans="1:19" s="28" customFormat="1" x14ac:dyDescent="0.25">
      <c r="A214" s="32" t="s">
        <v>357</v>
      </c>
      <c r="B214" s="21">
        <f t="shared" si="7"/>
        <v>124672.12</v>
      </c>
      <c r="C214" s="4">
        <v>124672.12</v>
      </c>
      <c r="D214" s="4" t="s">
        <v>1</v>
      </c>
      <c r="E214" s="4"/>
      <c r="F214" s="23">
        <f t="shared" si="8"/>
        <v>139146.68059999999</v>
      </c>
      <c r="G214" s="4">
        <v>132702.19999999998</v>
      </c>
      <c r="H214" s="4">
        <v>6444.4805999999999</v>
      </c>
      <c r="I214" s="4"/>
      <c r="J214" s="4">
        <v>203336</v>
      </c>
      <c r="K214" s="4">
        <v>320373.43999999901</v>
      </c>
      <c r="L214" s="4">
        <v>830349.04</v>
      </c>
      <c r="M214" s="4">
        <v>1365877.1</v>
      </c>
      <c r="N214" s="4">
        <v>1891888.03</v>
      </c>
      <c r="O214" s="33" t="s">
        <v>358</v>
      </c>
      <c r="P214" s="26"/>
      <c r="Q214" s="27"/>
      <c r="S214" s="27"/>
    </row>
    <row r="215" spans="1:19" s="28" customFormat="1" x14ac:dyDescent="0.25">
      <c r="A215" s="32" t="s">
        <v>359</v>
      </c>
      <c r="B215" s="21">
        <f t="shared" si="7"/>
        <v>32884.050000000003</v>
      </c>
      <c r="C215" s="4">
        <v>32884.050000000003</v>
      </c>
      <c r="D215" s="4" t="s">
        <v>1</v>
      </c>
      <c r="E215" s="4"/>
      <c r="F215" s="23">
        <f t="shared" si="8"/>
        <v>69655.228999999992</v>
      </c>
      <c r="G215" s="4">
        <v>69494.09</v>
      </c>
      <c r="H215" s="4">
        <v>161.13900000000001</v>
      </c>
      <c r="I215" s="4"/>
      <c r="J215" s="4">
        <v>121825</v>
      </c>
      <c r="K215" s="4">
        <v>108685</v>
      </c>
      <c r="L215" s="4">
        <v>129100</v>
      </c>
      <c r="M215" s="4">
        <v>498522.25</v>
      </c>
      <c r="N215" s="4">
        <v>855627.71</v>
      </c>
      <c r="O215" s="33" t="s">
        <v>360</v>
      </c>
      <c r="P215" s="26"/>
      <c r="Q215" s="27"/>
      <c r="S215" s="27"/>
    </row>
    <row r="216" spans="1:19" s="28" customFormat="1" ht="9" customHeight="1" x14ac:dyDescent="0.25">
      <c r="A216" s="32"/>
      <c r="B216" s="21"/>
      <c r="C216" s="4"/>
      <c r="D216" s="4"/>
      <c r="E216" s="4"/>
      <c r="F216" s="23"/>
      <c r="G216" s="4"/>
      <c r="H216" s="4"/>
      <c r="I216" s="4"/>
      <c r="J216" s="4"/>
      <c r="K216" s="4"/>
      <c r="L216" s="4"/>
      <c r="M216" s="4"/>
      <c r="N216" s="4"/>
      <c r="O216" s="36"/>
      <c r="P216" s="26"/>
      <c r="Q216" s="27"/>
      <c r="S216" s="27"/>
    </row>
    <row r="217" spans="1:19" s="28" customFormat="1" x14ac:dyDescent="0.25">
      <c r="A217" s="30" t="s">
        <v>41</v>
      </c>
      <c r="B217" s="21">
        <f t="shared" si="7"/>
        <v>4713745.459999999</v>
      </c>
      <c r="C217" s="2">
        <f>SUM(C218:C227)</f>
        <v>4269452.209999999</v>
      </c>
      <c r="D217" s="2">
        <f>SUM(D218:D227)</f>
        <v>444293.25000000006</v>
      </c>
      <c r="E217" s="2"/>
      <c r="F217" s="23">
        <f t="shared" si="8"/>
        <v>12854042.360984365</v>
      </c>
      <c r="G217" s="2">
        <f>SUM(G218:G227)</f>
        <v>11965537.605484365</v>
      </c>
      <c r="H217" s="2">
        <f>SUM(H218:H227)</f>
        <v>888504.75549999974</v>
      </c>
      <c r="I217" s="2"/>
      <c r="J217" s="2">
        <f>SUM(J218:J227)</f>
        <v>12513632</v>
      </c>
      <c r="K217" s="2">
        <f>SUM(K218:K227)</f>
        <v>11341319.889999971</v>
      </c>
      <c r="L217" s="2">
        <f>SUM(L218:L227)</f>
        <v>14483951.450000003</v>
      </c>
      <c r="M217" s="2">
        <f>SUM(M218:M227)</f>
        <v>21910210.289999995</v>
      </c>
      <c r="N217" s="2">
        <f>SUM(N218:N227)</f>
        <v>25050862.830000002</v>
      </c>
      <c r="O217" s="31" t="s">
        <v>42</v>
      </c>
      <c r="P217" s="26"/>
      <c r="Q217" s="27"/>
      <c r="S217" s="27"/>
    </row>
    <row r="218" spans="1:19" s="28" customFormat="1" x14ac:dyDescent="0.25">
      <c r="A218" s="32" t="s">
        <v>361</v>
      </c>
      <c r="B218" s="21">
        <f t="shared" si="7"/>
        <v>602479.97</v>
      </c>
      <c r="C218" s="4">
        <v>594736.81999999995</v>
      </c>
      <c r="D218" s="4">
        <v>7743.15</v>
      </c>
      <c r="E218" s="4"/>
      <c r="F218" s="23">
        <f t="shared" si="8"/>
        <v>1546398.9179999901</v>
      </c>
      <c r="G218" s="4">
        <v>1381759.74999999</v>
      </c>
      <c r="H218" s="4">
        <v>164639.16800000001</v>
      </c>
      <c r="I218" s="4"/>
      <c r="J218" s="4">
        <v>478526</v>
      </c>
      <c r="K218" s="4">
        <v>643839.23999999906</v>
      </c>
      <c r="L218" s="4">
        <v>1271232.72</v>
      </c>
      <c r="M218" s="4">
        <v>1902744.76</v>
      </c>
      <c r="N218" s="4">
        <v>1978679.99</v>
      </c>
      <c r="O218" s="33" t="s">
        <v>362</v>
      </c>
      <c r="P218" s="26"/>
      <c r="Q218" s="27"/>
      <c r="S218" s="27"/>
    </row>
    <row r="219" spans="1:19" s="28" customFormat="1" x14ac:dyDescent="0.25">
      <c r="A219" s="32" t="s">
        <v>363</v>
      </c>
      <c r="B219" s="21">
        <f t="shared" si="7"/>
        <v>1371081.91</v>
      </c>
      <c r="C219" s="4">
        <v>1251189.23</v>
      </c>
      <c r="D219" s="4">
        <v>119892.68</v>
      </c>
      <c r="E219" s="4"/>
      <c r="F219" s="23">
        <f t="shared" si="8"/>
        <v>4136083.8196713999</v>
      </c>
      <c r="G219" s="4">
        <v>3952787.1342714</v>
      </c>
      <c r="H219" s="4">
        <v>183296.68539999999</v>
      </c>
      <c r="I219" s="4"/>
      <c r="J219" s="4">
        <v>8803306</v>
      </c>
      <c r="K219" s="4">
        <v>7091069.9499999806</v>
      </c>
      <c r="L219" s="4">
        <v>8045464.4100000001</v>
      </c>
      <c r="M219" s="4">
        <v>12387461.039999999</v>
      </c>
      <c r="N219" s="4">
        <v>15430316.74</v>
      </c>
      <c r="O219" s="33" t="s">
        <v>364</v>
      </c>
      <c r="P219" s="26"/>
      <c r="Q219" s="27"/>
      <c r="S219" s="27"/>
    </row>
    <row r="220" spans="1:19" s="28" customFormat="1" x14ac:dyDescent="0.25">
      <c r="A220" s="32" t="s">
        <v>355</v>
      </c>
      <c r="B220" s="21">
        <f t="shared" si="7"/>
        <v>404822.66</v>
      </c>
      <c r="C220" s="4">
        <v>373546.05</v>
      </c>
      <c r="D220" s="4">
        <v>31276.61</v>
      </c>
      <c r="E220" s="4"/>
      <c r="F220" s="23">
        <f t="shared" si="8"/>
        <v>1440294.3425999898</v>
      </c>
      <c r="G220" s="4">
        <v>1306010.6099999899</v>
      </c>
      <c r="H220" s="4">
        <v>134283.73259999999</v>
      </c>
      <c r="I220" s="4"/>
      <c r="J220" s="4">
        <v>462173</v>
      </c>
      <c r="K220" s="4">
        <v>359672.98000000004</v>
      </c>
      <c r="L220" s="4">
        <v>533551.99</v>
      </c>
      <c r="M220" s="4">
        <v>1287144.67</v>
      </c>
      <c r="N220" s="4">
        <v>1032043.43</v>
      </c>
      <c r="O220" s="33" t="s">
        <v>356</v>
      </c>
      <c r="P220" s="27"/>
      <c r="Q220" s="27"/>
      <c r="S220" s="27"/>
    </row>
    <row r="221" spans="1:19" s="28" customFormat="1" x14ac:dyDescent="0.25">
      <c r="A221" s="32" t="s">
        <v>303</v>
      </c>
      <c r="B221" s="21">
        <f t="shared" si="7"/>
        <v>431709.21</v>
      </c>
      <c r="C221" s="4">
        <v>340469.77</v>
      </c>
      <c r="D221" s="4">
        <v>91239.44</v>
      </c>
      <c r="E221" s="4"/>
      <c r="F221" s="23">
        <f t="shared" si="8"/>
        <v>800180.99939999892</v>
      </c>
      <c r="G221" s="4">
        <v>641253.37999999896</v>
      </c>
      <c r="H221" s="4">
        <v>158927.6194</v>
      </c>
      <c r="I221" s="4"/>
      <c r="J221" s="4">
        <v>87324</v>
      </c>
      <c r="K221" s="4">
        <v>25000</v>
      </c>
      <c r="L221" s="4">
        <v>45870.5</v>
      </c>
      <c r="M221" s="4">
        <v>420942.12</v>
      </c>
      <c r="N221" s="4">
        <v>785263.28</v>
      </c>
      <c r="O221" s="33" t="s">
        <v>304</v>
      </c>
      <c r="P221" s="27"/>
      <c r="Q221" s="27"/>
      <c r="S221" s="27"/>
    </row>
    <row r="222" spans="1:19" s="28" customFormat="1" x14ac:dyDescent="0.25">
      <c r="A222" s="32" t="s">
        <v>365</v>
      </c>
      <c r="B222" s="21">
        <f t="shared" si="7"/>
        <v>652667.75</v>
      </c>
      <c r="C222" s="4">
        <v>565925.72</v>
      </c>
      <c r="D222" s="4">
        <v>86742.03</v>
      </c>
      <c r="E222" s="4"/>
      <c r="F222" s="23">
        <f t="shared" si="8"/>
        <v>1744171.61681299</v>
      </c>
      <c r="G222" s="4">
        <v>1656426.4112129901</v>
      </c>
      <c r="H222" s="4">
        <v>87745.205599999899</v>
      </c>
      <c r="I222" s="4"/>
      <c r="J222" s="4">
        <v>2205185</v>
      </c>
      <c r="K222" s="4">
        <v>2487061.6299999901</v>
      </c>
      <c r="L222" s="4">
        <v>2810854.07</v>
      </c>
      <c r="M222" s="4">
        <v>3087984.56</v>
      </c>
      <c r="N222" s="4">
        <v>3092449.68</v>
      </c>
      <c r="O222" s="33" t="s">
        <v>366</v>
      </c>
      <c r="P222" s="27"/>
      <c r="Q222" s="27"/>
      <c r="S222" s="27"/>
    </row>
    <row r="223" spans="1:19" s="28" customFormat="1" x14ac:dyDescent="0.25">
      <c r="A223" s="32" t="s">
        <v>367</v>
      </c>
      <c r="B223" s="21">
        <f t="shared" si="7"/>
        <v>523705.82</v>
      </c>
      <c r="C223" s="4">
        <v>523102.92</v>
      </c>
      <c r="D223" s="4">
        <v>602.9</v>
      </c>
      <c r="E223" s="4"/>
      <c r="F223" s="23">
        <f t="shared" si="8"/>
        <v>993414.31879999896</v>
      </c>
      <c r="G223" s="4">
        <v>977402.03999999899</v>
      </c>
      <c r="H223" s="4">
        <v>16012.2788</v>
      </c>
      <c r="I223" s="4"/>
      <c r="J223" s="4">
        <v>258947</v>
      </c>
      <c r="K223" s="4">
        <v>244927.28999999989</v>
      </c>
      <c r="L223" s="4">
        <v>548321.14</v>
      </c>
      <c r="M223" s="4">
        <v>941583.4</v>
      </c>
      <c r="N223" s="4">
        <v>828185.62</v>
      </c>
      <c r="O223" s="33" t="s">
        <v>368</v>
      </c>
      <c r="P223" s="27"/>
      <c r="Q223" s="27"/>
      <c r="S223" s="27"/>
    </row>
    <row r="224" spans="1:19" s="28" customFormat="1" x14ac:dyDescent="0.25">
      <c r="A224" s="32" t="s">
        <v>369</v>
      </c>
      <c r="B224" s="21">
        <f t="shared" si="7"/>
        <v>94640.07</v>
      </c>
      <c r="C224" s="4">
        <v>94640.07</v>
      </c>
      <c r="D224" s="4" t="s">
        <v>1</v>
      </c>
      <c r="E224" s="4"/>
      <c r="F224" s="23">
        <f t="shared" si="8"/>
        <v>332388.68</v>
      </c>
      <c r="G224" s="4">
        <v>332388.68</v>
      </c>
      <c r="H224" s="4" t="s">
        <v>1</v>
      </c>
      <c r="I224" s="4"/>
      <c r="J224" s="4">
        <v>0</v>
      </c>
      <c r="K224" s="4">
        <v>0</v>
      </c>
      <c r="L224" s="4">
        <v>52324</v>
      </c>
      <c r="M224" s="4">
        <v>242502.02</v>
      </c>
      <c r="N224" s="4">
        <v>241414.09</v>
      </c>
      <c r="O224" s="33" t="s">
        <v>370</v>
      </c>
      <c r="P224" s="27"/>
      <c r="Q224" s="27"/>
      <c r="S224" s="27"/>
    </row>
    <row r="225" spans="1:19" s="28" customFormat="1" ht="15.75" x14ac:dyDescent="0.25">
      <c r="A225" s="32" t="s">
        <v>432</v>
      </c>
      <c r="B225" s="21">
        <f t="shared" si="7"/>
        <v>52367.08</v>
      </c>
      <c r="C225" s="4">
        <v>52367.08</v>
      </c>
      <c r="D225" s="4" t="s">
        <v>1</v>
      </c>
      <c r="E225" s="4"/>
      <c r="F225" s="23">
        <f t="shared" si="8"/>
        <v>69022.16</v>
      </c>
      <c r="G225" s="4">
        <v>69022.16</v>
      </c>
      <c r="H225" s="4" t="s">
        <v>1</v>
      </c>
      <c r="I225" s="4"/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33" t="s">
        <v>371</v>
      </c>
      <c r="P225" s="27"/>
      <c r="Q225" s="27"/>
      <c r="S225" s="27"/>
    </row>
    <row r="226" spans="1:19" s="28" customFormat="1" x14ac:dyDescent="0.25">
      <c r="A226" s="32" t="s">
        <v>372</v>
      </c>
      <c r="B226" s="21">
        <f t="shared" si="7"/>
        <v>377754.76</v>
      </c>
      <c r="C226" s="4">
        <v>271316.8</v>
      </c>
      <c r="D226" s="4">
        <v>106437.96</v>
      </c>
      <c r="E226" s="4"/>
      <c r="F226" s="23">
        <f t="shared" si="8"/>
        <v>1011406.8821999979</v>
      </c>
      <c r="G226" s="4">
        <v>931839.26999999792</v>
      </c>
      <c r="H226" s="4">
        <v>79567.612200000003</v>
      </c>
      <c r="I226" s="4"/>
      <c r="J226" s="4">
        <v>218171</v>
      </c>
      <c r="K226" s="4">
        <v>480062.55000000005</v>
      </c>
      <c r="L226" s="4">
        <v>1157432.6200000001</v>
      </c>
      <c r="M226" s="4">
        <v>1342849.49</v>
      </c>
      <c r="N226" s="4">
        <v>1252589.26</v>
      </c>
      <c r="O226" s="33" t="s">
        <v>373</v>
      </c>
      <c r="P226" s="27"/>
      <c r="Q226" s="27"/>
      <c r="S226" s="27"/>
    </row>
    <row r="227" spans="1:19" s="28" customFormat="1" x14ac:dyDescent="0.25">
      <c r="A227" s="32" t="s">
        <v>374</v>
      </c>
      <c r="B227" s="21">
        <f t="shared" si="7"/>
        <v>202516.23</v>
      </c>
      <c r="C227" s="4">
        <v>202157.75</v>
      </c>
      <c r="D227" s="4">
        <v>358.48</v>
      </c>
      <c r="E227" s="4"/>
      <c r="F227" s="23">
        <f t="shared" si="8"/>
        <v>780680.62349999789</v>
      </c>
      <c r="G227" s="4">
        <v>716648.16999999795</v>
      </c>
      <c r="H227" s="4">
        <v>64032.453500000003</v>
      </c>
      <c r="I227" s="4"/>
      <c r="J227" s="4">
        <v>0</v>
      </c>
      <c r="K227" s="4">
        <v>9686.25</v>
      </c>
      <c r="L227" s="4">
        <v>18900</v>
      </c>
      <c r="M227" s="4">
        <v>296998.23</v>
      </c>
      <c r="N227" s="4">
        <v>409920.74</v>
      </c>
      <c r="O227" s="33" t="s">
        <v>375</v>
      </c>
      <c r="P227" s="26"/>
      <c r="Q227" s="27"/>
      <c r="S227" s="27"/>
    </row>
    <row r="228" spans="1:19" s="28" customFormat="1" ht="8.25" customHeight="1" x14ac:dyDescent="0.25">
      <c r="A228" s="32"/>
      <c r="B228" s="21"/>
      <c r="C228" s="4"/>
      <c r="D228" s="4"/>
      <c r="E228" s="4"/>
      <c r="F228" s="23"/>
      <c r="G228" s="4"/>
      <c r="H228" s="4"/>
      <c r="I228" s="4"/>
      <c r="J228" s="4"/>
      <c r="K228" s="4"/>
      <c r="L228" s="4"/>
      <c r="M228" s="4"/>
      <c r="N228" s="4"/>
      <c r="O228" s="36"/>
      <c r="P228" s="26"/>
      <c r="Q228" s="27"/>
      <c r="S228" s="27"/>
    </row>
    <row r="229" spans="1:19" s="28" customFormat="1" x14ac:dyDescent="0.25">
      <c r="A229" s="30" t="s">
        <v>43</v>
      </c>
      <c r="B229" s="21">
        <f t="shared" si="7"/>
        <v>7785487.5720000006</v>
      </c>
      <c r="C229" s="2">
        <f>SUM(C230:C240)</f>
        <v>6336523.6699999999</v>
      </c>
      <c r="D229" s="2">
        <f>SUM(D230:D240)</f>
        <v>1448963.9020000002</v>
      </c>
      <c r="E229" s="2"/>
      <c r="F229" s="23">
        <f t="shared" si="8"/>
        <v>14291553.258515356</v>
      </c>
      <c r="G229" s="2">
        <f>SUM(G230:G240)</f>
        <v>12637781.478315357</v>
      </c>
      <c r="H229" s="2">
        <f>SUM(H230:H240)</f>
        <v>1653771.780199999</v>
      </c>
      <c r="I229" s="2"/>
      <c r="J229" s="2">
        <f>SUM(J230:J240)</f>
        <v>21084401</v>
      </c>
      <c r="K229" s="2">
        <f>SUM(K230:K240)</f>
        <v>22821907.679999966</v>
      </c>
      <c r="L229" s="2">
        <f>SUM(L230:L240)</f>
        <v>27642128.07</v>
      </c>
      <c r="M229" s="2">
        <f>SUM(M230:M240)</f>
        <v>34260241.729999997</v>
      </c>
      <c r="N229" s="2">
        <f>SUM(N230:N240)</f>
        <v>39536598.640000001</v>
      </c>
      <c r="O229" s="31" t="s">
        <v>44</v>
      </c>
      <c r="P229" s="26"/>
      <c r="Q229" s="27"/>
      <c r="S229" s="27"/>
    </row>
    <row r="230" spans="1:19" s="28" customFormat="1" x14ac:dyDescent="0.25">
      <c r="A230" s="32" t="s">
        <v>376</v>
      </c>
      <c r="B230" s="21">
        <f t="shared" si="7"/>
        <v>659375.09</v>
      </c>
      <c r="C230" s="4">
        <v>609928.84</v>
      </c>
      <c r="D230" s="4">
        <v>49446.25</v>
      </c>
      <c r="E230" s="4"/>
      <c r="F230" s="23">
        <f t="shared" si="8"/>
        <v>1633275.7461999899</v>
      </c>
      <c r="G230" s="4">
        <v>1595313.1699999899</v>
      </c>
      <c r="H230" s="4">
        <v>37962.576200000003</v>
      </c>
      <c r="I230" s="4"/>
      <c r="J230" s="4">
        <v>369626</v>
      </c>
      <c r="K230" s="4">
        <v>331956.89999999898</v>
      </c>
      <c r="L230" s="4">
        <v>363036.92</v>
      </c>
      <c r="M230" s="4">
        <v>1050945.76</v>
      </c>
      <c r="N230" s="4">
        <v>1122121.94</v>
      </c>
      <c r="O230" s="33" t="s">
        <v>377</v>
      </c>
      <c r="P230" s="26"/>
      <c r="Q230" s="27"/>
      <c r="S230" s="27"/>
    </row>
    <row r="231" spans="1:19" s="28" customFormat="1" x14ac:dyDescent="0.25">
      <c r="A231" s="32" t="s">
        <v>378</v>
      </c>
      <c r="B231" s="21">
        <f t="shared" si="7"/>
        <v>434972.23</v>
      </c>
      <c r="C231" s="4">
        <v>357076.93</v>
      </c>
      <c r="D231" s="4">
        <v>77895.3</v>
      </c>
      <c r="E231" s="4"/>
      <c r="F231" s="23">
        <f t="shared" si="8"/>
        <v>783735.27499999898</v>
      </c>
      <c r="G231" s="4">
        <v>662451.49999999895</v>
      </c>
      <c r="H231" s="4">
        <v>121283.77499999999</v>
      </c>
      <c r="I231" s="4"/>
      <c r="J231" s="4">
        <v>208038</v>
      </c>
      <c r="K231" s="4">
        <v>175574.42999999991</v>
      </c>
      <c r="L231" s="4">
        <v>252771.9</v>
      </c>
      <c r="M231" s="4">
        <v>566139.19999999995</v>
      </c>
      <c r="N231" s="4">
        <v>878988.21</v>
      </c>
      <c r="O231" s="33" t="s">
        <v>379</v>
      </c>
      <c r="P231" s="26"/>
      <c r="Q231" s="27"/>
      <c r="S231" s="27"/>
    </row>
    <row r="232" spans="1:19" s="28" customFormat="1" x14ac:dyDescent="0.25">
      <c r="A232" s="32" t="s">
        <v>380</v>
      </c>
      <c r="B232" s="21">
        <f t="shared" si="7"/>
        <v>403086.14</v>
      </c>
      <c r="C232" s="4">
        <v>338667.17</v>
      </c>
      <c r="D232" s="4">
        <v>64418.97</v>
      </c>
      <c r="E232" s="4"/>
      <c r="F232" s="23">
        <f t="shared" si="8"/>
        <v>851230.11499999999</v>
      </c>
      <c r="G232" s="4">
        <v>784166.99</v>
      </c>
      <c r="H232" s="4">
        <v>67063.125</v>
      </c>
      <c r="I232" s="4"/>
      <c r="J232" s="4">
        <v>402010</v>
      </c>
      <c r="K232" s="4">
        <v>329456</v>
      </c>
      <c r="L232" s="4">
        <v>345834</v>
      </c>
      <c r="M232" s="4">
        <v>679513.03</v>
      </c>
      <c r="N232" s="4">
        <v>961524.9</v>
      </c>
      <c r="O232" s="33" t="s">
        <v>381</v>
      </c>
      <c r="P232" s="26"/>
      <c r="Q232" s="27"/>
      <c r="S232" s="27"/>
    </row>
    <row r="233" spans="1:19" s="28" customFormat="1" x14ac:dyDescent="0.25">
      <c r="A233" s="32" t="s">
        <v>382</v>
      </c>
      <c r="B233" s="21">
        <f t="shared" si="7"/>
        <v>1392094.4640000002</v>
      </c>
      <c r="C233" s="4">
        <v>1063787.0900000001</v>
      </c>
      <c r="D233" s="4">
        <v>328307.37400000001</v>
      </c>
      <c r="E233" s="4"/>
      <c r="F233" s="23">
        <f t="shared" si="8"/>
        <v>1688043.5009999999</v>
      </c>
      <c r="G233" s="4">
        <v>1616470.8</v>
      </c>
      <c r="H233" s="4">
        <v>71572.700999999899</v>
      </c>
      <c r="I233" s="4"/>
      <c r="J233" s="4">
        <v>2522616</v>
      </c>
      <c r="K233" s="4">
        <v>1718540.8099999982</v>
      </c>
      <c r="L233" s="4">
        <v>2491722.0699999998</v>
      </c>
      <c r="M233" s="4">
        <v>2867595.38</v>
      </c>
      <c r="N233" s="4">
        <v>3502187.7</v>
      </c>
      <c r="O233" s="33" t="s">
        <v>383</v>
      </c>
      <c r="P233" s="27"/>
      <c r="Q233" s="27"/>
      <c r="S233" s="27"/>
    </row>
    <row r="234" spans="1:19" s="28" customFormat="1" x14ac:dyDescent="0.25">
      <c r="A234" s="32" t="s">
        <v>384</v>
      </c>
      <c r="B234" s="21">
        <f t="shared" si="7"/>
        <v>823764.23</v>
      </c>
      <c r="C234" s="4">
        <v>787774.52</v>
      </c>
      <c r="D234" s="4">
        <v>35989.71</v>
      </c>
      <c r="E234" s="4"/>
      <c r="F234" s="23">
        <f t="shared" si="8"/>
        <v>1548179.7209153988</v>
      </c>
      <c r="G234" s="4">
        <v>1409166.3783153999</v>
      </c>
      <c r="H234" s="4">
        <v>139013.34259999901</v>
      </c>
      <c r="I234" s="4"/>
      <c r="J234" s="4">
        <v>241984</v>
      </c>
      <c r="K234" s="4">
        <v>155049.00999999989</v>
      </c>
      <c r="L234" s="4">
        <v>390537.85</v>
      </c>
      <c r="M234" s="4">
        <v>1054781.5</v>
      </c>
      <c r="N234" s="4">
        <v>1164141.1100000001</v>
      </c>
      <c r="O234" s="33" t="s">
        <v>385</v>
      </c>
      <c r="P234" s="27"/>
      <c r="Q234" s="27"/>
      <c r="S234" s="27"/>
    </row>
    <row r="235" spans="1:19" s="28" customFormat="1" x14ac:dyDescent="0.25">
      <c r="A235" s="32" t="s">
        <v>164</v>
      </c>
      <c r="B235" s="21">
        <f t="shared" si="7"/>
        <v>572678.07999999996</v>
      </c>
      <c r="C235" s="4">
        <v>359943.05</v>
      </c>
      <c r="D235" s="4">
        <v>212735.03</v>
      </c>
      <c r="E235" s="4"/>
      <c r="F235" s="23">
        <f t="shared" si="8"/>
        <v>494524.38679999905</v>
      </c>
      <c r="G235" s="4">
        <v>441270.40999999904</v>
      </c>
      <c r="H235" s="4">
        <v>53253.976799999997</v>
      </c>
      <c r="I235" s="4"/>
      <c r="J235" s="4">
        <v>225998</v>
      </c>
      <c r="K235" s="4">
        <v>174779.52000000002</v>
      </c>
      <c r="L235" s="4">
        <v>507327.83</v>
      </c>
      <c r="M235" s="4">
        <v>926156.72</v>
      </c>
      <c r="N235" s="4">
        <v>939196.24</v>
      </c>
      <c r="O235" s="33" t="s">
        <v>165</v>
      </c>
      <c r="P235" s="27"/>
      <c r="Q235" s="27"/>
      <c r="S235" s="27"/>
    </row>
    <row r="236" spans="1:19" s="28" customFormat="1" x14ac:dyDescent="0.25">
      <c r="A236" s="32" t="s">
        <v>386</v>
      </c>
      <c r="B236" s="21">
        <f t="shared" si="7"/>
        <v>369891.37</v>
      </c>
      <c r="C236" s="4">
        <v>366619.07</v>
      </c>
      <c r="D236" s="4">
        <v>3272.3</v>
      </c>
      <c r="E236" s="4"/>
      <c r="F236" s="23">
        <f t="shared" si="8"/>
        <v>683232.20039999997</v>
      </c>
      <c r="G236" s="4">
        <v>543176.80999999994</v>
      </c>
      <c r="H236" s="4">
        <v>140055.3904</v>
      </c>
      <c r="I236" s="4"/>
      <c r="J236" s="4">
        <v>431452</v>
      </c>
      <c r="K236" s="4">
        <v>383148.80000000005</v>
      </c>
      <c r="L236" s="4">
        <v>958469.15</v>
      </c>
      <c r="M236" s="4">
        <v>1322924.8799999999</v>
      </c>
      <c r="N236" s="4">
        <v>1194700.75</v>
      </c>
      <c r="O236" s="33" t="s">
        <v>387</v>
      </c>
      <c r="P236" s="27"/>
      <c r="Q236" s="27"/>
      <c r="S236" s="27"/>
    </row>
    <row r="237" spans="1:19" s="28" customFormat="1" x14ac:dyDescent="0.25">
      <c r="A237" s="32" t="s">
        <v>388</v>
      </c>
      <c r="B237" s="21">
        <f t="shared" si="7"/>
        <v>695933.58</v>
      </c>
      <c r="C237" s="4">
        <v>474926.36</v>
      </c>
      <c r="D237" s="4">
        <v>221007.22</v>
      </c>
      <c r="E237" s="4"/>
      <c r="F237" s="23">
        <f t="shared" si="8"/>
        <v>1038667.7789999999</v>
      </c>
      <c r="G237" s="4">
        <v>808862.42999999993</v>
      </c>
      <c r="H237" s="4">
        <v>229805.34899999999</v>
      </c>
      <c r="I237" s="4"/>
      <c r="J237" s="4">
        <v>412998</v>
      </c>
      <c r="K237" s="4">
        <v>458538.46999999991</v>
      </c>
      <c r="L237" s="4">
        <v>394652.61</v>
      </c>
      <c r="M237" s="4">
        <v>1020507.97</v>
      </c>
      <c r="N237" s="4">
        <v>1840761.81</v>
      </c>
      <c r="O237" s="33" t="s">
        <v>389</v>
      </c>
      <c r="P237" s="27"/>
      <c r="Q237" s="27"/>
      <c r="S237" s="27"/>
    </row>
    <row r="238" spans="1:19" s="28" customFormat="1" x14ac:dyDescent="0.25">
      <c r="A238" s="32" t="s">
        <v>433</v>
      </c>
      <c r="B238" s="21">
        <f t="shared" si="7"/>
        <v>2894.5</v>
      </c>
      <c r="C238" s="4">
        <v>2894.5</v>
      </c>
      <c r="D238" s="4" t="s">
        <v>1</v>
      </c>
      <c r="E238" s="4"/>
      <c r="F238" s="23">
        <f t="shared" si="8"/>
        <v>11453.48</v>
      </c>
      <c r="G238" s="4">
        <v>11453.48</v>
      </c>
      <c r="H238" s="4" t="s">
        <v>1</v>
      </c>
      <c r="I238" s="4"/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33" t="s">
        <v>434</v>
      </c>
      <c r="P238" s="27"/>
      <c r="Q238" s="27"/>
      <c r="S238" s="27"/>
    </row>
    <row r="239" spans="1:19" s="28" customFormat="1" x14ac:dyDescent="0.25">
      <c r="A239" s="32" t="s">
        <v>435</v>
      </c>
      <c r="B239" s="21"/>
      <c r="C239" s="4" t="s">
        <v>1</v>
      </c>
      <c r="D239" s="4" t="s">
        <v>1</v>
      </c>
      <c r="E239" s="4"/>
      <c r="F239" s="23">
        <f t="shared" si="8"/>
        <v>0</v>
      </c>
      <c r="G239" s="4" t="s">
        <v>1</v>
      </c>
      <c r="H239" s="4" t="s">
        <v>1</v>
      </c>
      <c r="I239" s="4"/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33" t="s">
        <v>436</v>
      </c>
      <c r="P239" s="27"/>
      <c r="Q239" s="27"/>
      <c r="S239" s="27"/>
    </row>
    <row r="240" spans="1:19" s="28" customFormat="1" x14ac:dyDescent="0.25">
      <c r="A240" s="32" t="s">
        <v>275</v>
      </c>
      <c r="B240" s="21">
        <f t="shared" si="7"/>
        <v>2430797.8879999998</v>
      </c>
      <c r="C240" s="4">
        <v>1974906.14</v>
      </c>
      <c r="D240" s="4">
        <v>455891.74800000002</v>
      </c>
      <c r="E240" s="4"/>
      <c r="F240" s="23">
        <f t="shared" si="8"/>
        <v>5559211.0541999713</v>
      </c>
      <c r="G240" s="4">
        <v>4765449.5099999709</v>
      </c>
      <c r="H240" s="4">
        <v>793761.5442</v>
      </c>
      <c r="I240" s="4"/>
      <c r="J240" s="4">
        <v>16269679</v>
      </c>
      <c r="K240" s="4">
        <v>19094863.739999969</v>
      </c>
      <c r="L240" s="4">
        <v>21937775.739999998</v>
      </c>
      <c r="M240" s="4">
        <v>24771677.289999999</v>
      </c>
      <c r="N240" s="4">
        <v>27932975.98</v>
      </c>
      <c r="O240" s="33" t="s">
        <v>276</v>
      </c>
      <c r="P240" s="27"/>
      <c r="Q240" s="27"/>
      <c r="S240" s="27"/>
    </row>
    <row r="241" spans="1:19" s="28" customFormat="1" ht="11.25" customHeight="1" x14ac:dyDescent="0.25">
      <c r="A241" s="32"/>
      <c r="B241" s="21"/>
      <c r="C241" s="4"/>
      <c r="D241" s="4"/>
      <c r="E241" s="4"/>
      <c r="F241" s="23"/>
      <c r="G241" s="4"/>
      <c r="H241" s="4"/>
      <c r="I241" s="4"/>
      <c r="J241" s="4"/>
      <c r="K241" s="4"/>
      <c r="L241" s="4"/>
      <c r="M241" s="4"/>
      <c r="N241" s="4"/>
      <c r="O241" s="36"/>
      <c r="P241" s="27"/>
      <c r="Q241" s="27"/>
      <c r="S241" s="27"/>
    </row>
    <row r="242" spans="1:19" s="28" customFormat="1" x14ac:dyDescent="0.25">
      <c r="A242" s="30" t="s">
        <v>45</v>
      </c>
      <c r="B242" s="21">
        <f t="shared" si="7"/>
        <v>4335884.8</v>
      </c>
      <c r="C242" s="2">
        <v>4031233.16</v>
      </c>
      <c r="D242" s="2">
        <v>304651.64</v>
      </c>
      <c r="E242" s="2"/>
      <c r="F242" s="23">
        <f t="shared" si="8"/>
        <v>6345405.6915599992</v>
      </c>
      <c r="G242" s="2">
        <f>SUM(G243)</f>
        <v>5648552.5923600001</v>
      </c>
      <c r="H242" s="2">
        <f>SUM(H243)</f>
        <v>696853.09919999901</v>
      </c>
      <c r="I242" s="2"/>
      <c r="J242" s="2">
        <f>SUM(J243)</f>
        <v>12733438</v>
      </c>
      <c r="K242" s="2">
        <f>SUM(K243)</f>
        <v>10712175.139999989</v>
      </c>
      <c r="L242" s="2">
        <f>SUM(L243)</f>
        <v>12905259.859999999</v>
      </c>
      <c r="M242" s="2">
        <f>SUM(M243)</f>
        <v>19379941.390000001</v>
      </c>
      <c r="N242" s="2">
        <f>SUM(N243)</f>
        <v>20312685.899999999</v>
      </c>
      <c r="O242" s="31" t="s">
        <v>46</v>
      </c>
      <c r="P242" s="27"/>
      <c r="Q242" s="27"/>
      <c r="S242" s="27"/>
    </row>
    <row r="243" spans="1:19" s="28" customFormat="1" x14ac:dyDescent="0.25">
      <c r="A243" s="32" t="s">
        <v>390</v>
      </c>
      <c r="B243" s="21">
        <f t="shared" si="7"/>
        <v>4335884.8</v>
      </c>
      <c r="C243" s="4">
        <v>4031233.16</v>
      </c>
      <c r="D243" s="4">
        <v>304651.64</v>
      </c>
      <c r="E243" s="4"/>
      <c r="F243" s="23">
        <f t="shared" si="8"/>
        <v>6345405.6915599992</v>
      </c>
      <c r="G243" s="4">
        <v>5648552.5923600001</v>
      </c>
      <c r="H243" s="4">
        <v>696853.09919999901</v>
      </c>
      <c r="I243" s="4"/>
      <c r="J243" s="4">
        <v>12733438</v>
      </c>
      <c r="K243" s="4">
        <v>10712175.139999989</v>
      </c>
      <c r="L243" s="4">
        <v>12905259.859999999</v>
      </c>
      <c r="M243" s="4">
        <v>19379941.390000001</v>
      </c>
      <c r="N243" s="4">
        <v>20312685.899999999</v>
      </c>
      <c r="O243" s="33" t="s">
        <v>391</v>
      </c>
      <c r="P243" s="27"/>
      <c r="Q243" s="27"/>
      <c r="S243" s="27"/>
    </row>
    <row r="244" spans="1:19" s="28" customFormat="1" ht="8.25" customHeight="1" x14ac:dyDescent="0.25">
      <c r="A244" s="32"/>
      <c r="B244" s="21"/>
      <c r="C244" s="4"/>
      <c r="D244" s="4"/>
      <c r="E244" s="4"/>
      <c r="F244" s="23"/>
      <c r="G244" s="4"/>
      <c r="H244" s="4"/>
      <c r="I244" s="4"/>
      <c r="J244" s="4"/>
      <c r="K244" s="4"/>
      <c r="L244" s="4"/>
      <c r="M244" s="4"/>
      <c r="N244" s="4"/>
      <c r="O244" s="36"/>
      <c r="P244" s="27"/>
      <c r="Q244" s="27"/>
      <c r="S244" s="27"/>
    </row>
    <row r="245" spans="1:19" s="28" customFormat="1" x14ac:dyDescent="0.25">
      <c r="A245" s="30" t="s">
        <v>47</v>
      </c>
      <c r="B245" s="21">
        <f t="shared" si="7"/>
        <v>20864830.573500004</v>
      </c>
      <c r="C245" s="2">
        <f>SUM(C246:C251)</f>
        <v>18694373.990000002</v>
      </c>
      <c r="D245" s="2">
        <f>SUM(D246:D251)</f>
        <v>2170456.5835000002</v>
      </c>
      <c r="E245" s="2"/>
      <c r="F245" s="23">
        <f t="shared" si="8"/>
        <v>35290438.490867175</v>
      </c>
      <c r="G245" s="2">
        <f>SUM(G246:G251)</f>
        <v>32960756.247667179</v>
      </c>
      <c r="H245" s="2">
        <f>SUM(H246:H251)</f>
        <v>2329682.2431999971</v>
      </c>
      <c r="I245" s="2"/>
      <c r="J245" s="2">
        <f>SUM(J246:J251)</f>
        <v>31975010</v>
      </c>
      <c r="K245" s="2">
        <f>SUM(K246:K251)</f>
        <v>35202422.389999956</v>
      </c>
      <c r="L245" s="2">
        <f>SUM(L246:L251)</f>
        <v>55981769.233300008</v>
      </c>
      <c r="M245" s="2">
        <f>SUM(M246:M251)</f>
        <v>74119274.931099996</v>
      </c>
      <c r="N245" s="2">
        <f>SUM(N246:N251)</f>
        <v>102346229.71000001</v>
      </c>
      <c r="O245" s="31" t="s">
        <v>48</v>
      </c>
      <c r="P245" s="27"/>
      <c r="Q245" s="27"/>
      <c r="S245" s="27"/>
    </row>
    <row r="246" spans="1:19" s="28" customFormat="1" x14ac:dyDescent="0.25">
      <c r="A246" s="32" t="s">
        <v>185</v>
      </c>
      <c r="B246" s="21">
        <f t="shared" si="7"/>
        <v>1273805.1059999999</v>
      </c>
      <c r="C246" s="4">
        <v>1164795.5</v>
      </c>
      <c r="D246" s="4">
        <v>109009.606</v>
      </c>
      <c r="E246" s="4"/>
      <c r="F246" s="23">
        <f t="shared" si="8"/>
        <v>2547104.8849757789</v>
      </c>
      <c r="G246" s="4">
        <v>2362524.3951757797</v>
      </c>
      <c r="H246" s="4">
        <v>184580.48979999899</v>
      </c>
      <c r="I246" s="4"/>
      <c r="J246" s="4">
        <v>9922</v>
      </c>
      <c r="K246" s="4">
        <v>1242020.03999999</v>
      </c>
      <c r="L246" s="4">
        <v>3005819.96</v>
      </c>
      <c r="M246" s="4">
        <v>3478400.98</v>
      </c>
      <c r="N246" s="4">
        <v>3766139.66</v>
      </c>
      <c r="O246" s="33" t="s">
        <v>186</v>
      </c>
      <c r="P246" s="27"/>
      <c r="Q246" s="27"/>
      <c r="S246" s="27"/>
    </row>
    <row r="247" spans="1:19" s="28" customFormat="1" x14ac:dyDescent="0.25">
      <c r="A247" s="32" t="s">
        <v>357</v>
      </c>
      <c r="B247" s="21">
        <f t="shared" si="7"/>
        <v>10713981.645</v>
      </c>
      <c r="C247" s="4">
        <v>10091944.060000001</v>
      </c>
      <c r="D247" s="4">
        <v>622037.58499999996</v>
      </c>
      <c r="E247" s="4"/>
      <c r="F247" s="23">
        <f t="shared" si="8"/>
        <v>17585881.120895401</v>
      </c>
      <c r="G247" s="4">
        <v>16663859.2132954</v>
      </c>
      <c r="H247" s="4">
        <v>922021.90760000004</v>
      </c>
      <c r="I247" s="4"/>
      <c r="J247" s="4">
        <v>24382733</v>
      </c>
      <c r="K247" s="4">
        <v>25195131.329999998</v>
      </c>
      <c r="L247" s="4">
        <v>41976292.043300003</v>
      </c>
      <c r="M247" s="4">
        <v>53183566.141099997</v>
      </c>
      <c r="N247" s="4">
        <v>62067489.68</v>
      </c>
      <c r="O247" s="33" t="s">
        <v>358</v>
      </c>
      <c r="P247" s="27"/>
      <c r="Q247" s="27"/>
      <c r="S247" s="27"/>
    </row>
    <row r="248" spans="1:19" s="28" customFormat="1" x14ac:dyDescent="0.25">
      <c r="A248" s="32" t="s">
        <v>392</v>
      </c>
      <c r="B248" s="21">
        <f t="shared" si="7"/>
        <v>1824777.08</v>
      </c>
      <c r="C248" s="4">
        <v>1600496.97</v>
      </c>
      <c r="D248" s="4">
        <v>224280.11</v>
      </c>
      <c r="E248" s="4"/>
      <c r="F248" s="23">
        <f t="shared" si="8"/>
        <v>3302755.4562960193</v>
      </c>
      <c r="G248" s="4">
        <v>3016740.28919602</v>
      </c>
      <c r="H248" s="4">
        <v>286015.16709999903</v>
      </c>
      <c r="I248" s="4"/>
      <c r="J248" s="4">
        <v>1031556</v>
      </c>
      <c r="K248" s="4">
        <v>1496770.7299999902</v>
      </c>
      <c r="L248" s="4">
        <v>3425764.24</v>
      </c>
      <c r="M248" s="4">
        <v>3679508.85</v>
      </c>
      <c r="N248" s="4">
        <v>9117224.4100000001</v>
      </c>
      <c r="O248" s="33" t="s">
        <v>393</v>
      </c>
      <c r="P248" s="27"/>
      <c r="Q248" s="27"/>
      <c r="S248" s="27"/>
    </row>
    <row r="249" spans="1:19" s="28" customFormat="1" x14ac:dyDescent="0.25">
      <c r="A249" s="32" t="s">
        <v>116</v>
      </c>
      <c r="B249" s="21">
        <f t="shared" si="7"/>
        <v>2822103.4824999999</v>
      </c>
      <c r="C249" s="4">
        <v>2677766.58</v>
      </c>
      <c r="D249" s="4">
        <v>144336.9025</v>
      </c>
      <c r="E249" s="4"/>
      <c r="F249" s="23">
        <f t="shared" si="8"/>
        <v>5230856.3788999999</v>
      </c>
      <c r="G249" s="4">
        <v>4838291.28</v>
      </c>
      <c r="H249" s="4">
        <v>392565.09889999998</v>
      </c>
      <c r="I249" s="4"/>
      <c r="J249" s="4">
        <v>2645557</v>
      </c>
      <c r="K249" s="4">
        <v>2532301.7299999897</v>
      </c>
      <c r="L249" s="4">
        <v>2742664.45</v>
      </c>
      <c r="M249" s="4">
        <v>8542310.2300000004</v>
      </c>
      <c r="N249" s="4">
        <v>18755836.59</v>
      </c>
      <c r="O249" s="33" t="s">
        <v>117</v>
      </c>
      <c r="P249" s="27"/>
      <c r="Q249" s="27"/>
      <c r="S249" s="27"/>
    </row>
    <row r="250" spans="1:19" x14ac:dyDescent="0.25">
      <c r="A250" s="38" t="s">
        <v>394</v>
      </c>
      <c r="B250" s="21">
        <f t="shared" si="7"/>
        <v>1690609.25</v>
      </c>
      <c r="C250" s="3">
        <v>841555.58</v>
      </c>
      <c r="D250" s="3">
        <v>849053.67</v>
      </c>
      <c r="E250" s="3"/>
      <c r="F250" s="23">
        <f t="shared" si="8"/>
        <v>2081858.6559999899</v>
      </c>
      <c r="G250" s="3">
        <v>1976824.9099999899</v>
      </c>
      <c r="H250" s="3">
        <v>105033.746</v>
      </c>
      <c r="I250" s="3"/>
      <c r="J250" s="3">
        <v>2795404</v>
      </c>
      <c r="K250" s="3">
        <v>2644507.62</v>
      </c>
      <c r="L250" s="3">
        <v>1827831.24</v>
      </c>
      <c r="M250" s="3">
        <v>2083316.76</v>
      </c>
      <c r="N250" s="3">
        <v>5849697.0599999996</v>
      </c>
      <c r="O250" s="33" t="s">
        <v>395</v>
      </c>
    </row>
    <row r="251" spans="1:19" x14ac:dyDescent="0.25">
      <c r="A251" s="32" t="s">
        <v>396</v>
      </c>
      <c r="B251" s="21">
        <f t="shared" si="7"/>
        <v>2539554.0099999998</v>
      </c>
      <c r="C251" s="4">
        <v>2317815.2999999998</v>
      </c>
      <c r="D251" s="4">
        <v>221738.71</v>
      </c>
      <c r="E251" s="4"/>
      <c r="F251" s="23">
        <f t="shared" si="8"/>
        <v>4541981.9937999891</v>
      </c>
      <c r="G251" s="4">
        <v>4102516.1599999899</v>
      </c>
      <c r="H251" s="4">
        <v>439465.83379999897</v>
      </c>
      <c r="I251" s="4"/>
      <c r="J251" s="4">
        <v>1109838</v>
      </c>
      <c r="K251" s="4">
        <v>2091690.9399999899</v>
      </c>
      <c r="L251" s="4">
        <v>3003397.3</v>
      </c>
      <c r="M251" s="4">
        <v>3152171.97</v>
      </c>
      <c r="N251" s="4">
        <v>2789842.31</v>
      </c>
      <c r="O251" s="33" t="s">
        <v>397</v>
      </c>
    </row>
    <row r="252" spans="1:19" x14ac:dyDescent="0.25">
      <c r="A252" s="32"/>
      <c r="B252" s="21"/>
      <c r="C252" s="4"/>
      <c r="D252" s="4"/>
      <c r="E252" s="4"/>
      <c r="F252" s="23"/>
      <c r="G252" s="4"/>
      <c r="H252" s="4"/>
      <c r="I252" s="4"/>
      <c r="J252" s="4"/>
      <c r="K252" s="4"/>
      <c r="L252" s="4"/>
      <c r="M252" s="4"/>
      <c r="N252" s="4"/>
      <c r="O252" s="33"/>
    </row>
    <row r="253" spans="1:19" ht="17.25" x14ac:dyDescent="0.25">
      <c r="A253" s="30" t="s">
        <v>437</v>
      </c>
      <c r="B253" s="21">
        <f t="shared" si="7"/>
        <v>4335884.8</v>
      </c>
      <c r="C253" s="2">
        <v>4031233.16</v>
      </c>
      <c r="D253" s="2">
        <v>304651.64</v>
      </c>
      <c r="E253" s="2"/>
      <c r="F253" s="23">
        <f t="shared" si="8"/>
        <v>6345405.6915599992</v>
      </c>
      <c r="G253" s="2">
        <f>SUM(G254)</f>
        <v>5648552.5923600001</v>
      </c>
      <c r="H253" s="2">
        <f>SUM(H254)</f>
        <v>696853.09919999901</v>
      </c>
      <c r="I253" s="2"/>
      <c r="J253" s="2">
        <v>68522375</v>
      </c>
      <c r="K253" s="2">
        <v>74367384.260000005</v>
      </c>
      <c r="L253" s="2">
        <f>SUM(L254)</f>
        <v>169006647.32120001</v>
      </c>
      <c r="M253" s="2">
        <f>SUM(M254)</f>
        <v>222306097.64719999</v>
      </c>
      <c r="N253" s="2">
        <f>SUM(N254)</f>
        <v>223353684.25080001</v>
      </c>
      <c r="O253" s="24" t="s">
        <v>401</v>
      </c>
    </row>
    <row r="254" spans="1:19" ht="17.25" x14ac:dyDescent="0.25">
      <c r="A254" s="40" t="s">
        <v>437</v>
      </c>
      <c r="B254" s="41">
        <f t="shared" si="7"/>
        <v>4335884.8</v>
      </c>
      <c r="C254" s="5">
        <v>4031233.16</v>
      </c>
      <c r="D254" s="5">
        <v>304651.64</v>
      </c>
      <c r="E254" s="5"/>
      <c r="F254" s="42">
        <f t="shared" si="8"/>
        <v>6345405.6915599992</v>
      </c>
      <c r="G254" s="5">
        <v>5648552.5923600001</v>
      </c>
      <c r="H254" s="5">
        <v>696853.09919999901</v>
      </c>
      <c r="I254" s="5"/>
      <c r="J254" s="5">
        <v>68522375</v>
      </c>
      <c r="K254" s="5">
        <v>74367384.260000005</v>
      </c>
      <c r="L254" s="5">
        <v>169006647.32120001</v>
      </c>
      <c r="M254" s="5">
        <v>222306097.64719999</v>
      </c>
      <c r="N254" s="5">
        <v>223353684.25080001</v>
      </c>
      <c r="O254" s="43" t="s">
        <v>401</v>
      </c>
    </row>
    <row r="255" spans="1:19" x14ac:dyDescent="0.25">
      <c r="A255" s="44" t="s">
        <v>438</v>
      </c>
      <c r="B255" s="45"/>
      <c r="O255" s="47" t="s">
        <v>439</v>
      </c>
    </row>
    <row r="256" spans="1:19" x14ac:dyDescent="0.25">
      <c r="A256" s="44" t="s">
        <v>440</v>
      </c>
      <c r="B256" s="45"/>
      <c r="O256" s="47" t="s">
        <v>441</v>
      </c>
    </row>
    <row r="257" spans="1:19" x14ac:dyDescent="0.25">
      <c r="A257" s="44" t="s">
        <v>442</v>
      </c>
      <c r="B257" s="45"/>
      <c r="O257" s="47" t="s">
        <v>443</v>
      </c>
      <c r="P257" s="25"/>
      <c r="Q257" s="25"/>
      <c r="S257" s="25"/>
    </row>
    <row r="258" spans="1:19" ht="17.25" x14ac:dyDescent="0.25">
      <c r="A258" s="44" t="s">
        <v>402</v>
      </c>
      <c r="B258" s="45"/>
      <c r="O258" s="48" t="s">
        <v>403</v>
      </c>
      <c r="P258" s="25"/>
      <c r="Q258" s="25"/>
      <c r="S258" s="25"/>
    </row>
    <row r="259" spans="1:19" ht="17.25" x14ac:dyDescent="0.25">
      <c r="A259" s="49" t="s">
        <v>49</v>
      </c>
      <c r="B259" s="50"/>
      <c r="O259" s="6" t="s">
        <v>50</v>
      </c>
      <c r="P259" s="25"/>
      <c r="Q259" s="25"/>
      <c r="S259" s="25"/>
    </row>
  </sheetData>
  <mergeCells count="15">
    <mergeCell ref="A1:O1"/>
    <mergeCell ref="A2:O2"/>
    <mergeCell ref="A3:A6"/>
    <mergeCell ref="B3:D3"/>
    <mergeCell ref="F3:H3"/>
    <mergeCell ref="O3:O6"/>
    <mergeCell ref="C5:C6"/>
    <mergeCell ref="D5:D6"/>
    <mergeCell ref="G5:G6"/>
    <mergeCell ref="H5:H6"/>
    <mergeCell ref="J5:J6"/>
    <mergeCell ref="K5:K6"/>
    <mergeCell ref="L5:L6"/>
    <mergeCell ref="M5:M6"/>
    <mergeCell ref="N5:N6"/>
  </mergeCells>
  <pageMargins left="0.7" right="0.7" top="0.75" bottom="0.75" header="0.3" footer="0.3"/>
  <pageSetup scale="78" orientation="portrait" horizontalDpi="4294967295" verticalDpi="4294967295" r:id="rId1"/>
  <rowBreaks count="3" manualBreakCount="3">
    <brk id="112" max="14" man="1"/>
    <brk id="169" max="14" man="1"/>
    <brk id="227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18.23</vt:lpstr>
      <vt:lpstr>'18.23'!Print_Area</vt:lpstr>
      <vt:lpstr>'18.23'!Print_Titles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2017-07-04T09:07:37Z</cp:lastPrinted>
  <dcterms:modified xsi:type="dcterms:W3CDTF">2017-07-04T09:07:39Z</dcterms:modified>
</cp:coreProperties>
</file>