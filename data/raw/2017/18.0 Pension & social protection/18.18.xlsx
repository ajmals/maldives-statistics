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18" sheetId="18" r:id="rId1"/>
  </sheets>
  <definedNames>
    <definedName name="_xlnm.Print_Area" localSheetId="0">'18.18'!$A$1:$I$36</definedName>
  </definedNames>
  <calcPr calcId="144525"/>
</workbook>
</file>

<file path=xl/calcChain.xml><?xml version="1.0" encoding="utf-8"?>
<calcChain xmlns="http://schemas.openxmlformats.org/spreadsheetml/2006/main">
  <c r="T30" i="18" l="1"/>
  <c r="U30" i="18"/>
  <c r="V30" i="18"/>
  <c r="W30" i="18"/>
  <c r="X30" i="18"/>
  <c r="X29" i="18" l="1"/>
  <c r="W29" i="18"/>
  <c r="V29" i="18"/>
  <c r="U29" i="18"/>
  <c r="T29" i="18"/>
  <c r="H6" i="18"/>
  <c r="G6" i="18"/>
  <c r="X28" i="18" s="1"/>
  <c r="X31" i="18" s="1"/>
  <c r="F6" i="18"/>
  <c r="W28" i="18" s="1"/>
  <c r="W31" i="18" s="1"/>
  <c r="E6" i="18"/>
  <c r="V28" i="18" s="1"/>
  <c r="V31" i="18" s="1"/>
  <c r="D6" i="18"/>
  <c r="U28" i="18" s="1"/>
  <c r="U31" i="18" s="1"/>
  <c r="C6" i="18"/>
  <c r="T28" i="18" s="1"/>
  <c r="T31" i="18" s="1"/>
  <c r="B6" i="18"/>
</calcChain>
</file>

<file path=xl/sharedStrings.xml><?xml version="1.0" encoding="utf-8"?>
<sst xmlns="http://schemas.openxmlformats.org/spreadsheetml/2006/main" count="50" uniqueCount="45">
  <si>
    <t>ޖުމްލަ</t>
  </si>
  <si>
    <t>Total</t>
  </si>
  <si>
    <t>Month</t>
  </si>
  <si>
    <t>މަސް</t>
  </si>
  <si>
    <t>ޖެނުއަރީ</t>
  </si>
  <si>
    <t>ފެބްރުއަރީ</t>
  </si>
  <si>
    <t>May</t>
  </si>
  <si>
    <t>މެއި</t>
  </si>
  <si>
    <t>ޖޫން</t>
  </si>
  <si>
    <t>ޖުލައި</t>
  </si>
  <si>
    <t>އޮގަސްޓް</t>
  </si>
  <si>
    <t>ސެޕްޓެމްބަރ</t>
  </si>
  <si>
    <t>އޮކްޓޫބަރ</t>
  </si>
  <si>
    <t>ނޮވެމްބަރ</t>
  </si>
  <si>
    <t>ޑިސެމްބަރ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</si>
  <si>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</si>
  <si>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</si>
  <si>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</si>
  <si>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</si>
  <si>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Source: National Social Protection Agency</t>
  </si>
  <si>
    <t xml:space="preserve">މަޢުލޫމާތު ދެއްވީ: ނެޝަނަލް ސޯޝަލް ޕްރޮޓެކްޝަން އޭޖެންސީ </t>
  </si>
  <si>
    <t>DISABILITY ALLOWANCE</t>
  </si>
  <si>
    <t>އާސަންދަ</t>
  </si>
  <si>
    <t>ތާވަލް 18.18: އިޖްތިމާއީ ރައްކާތެރިކަމުގެ ދަށުންދެވޭ ޚިދުމަތްތަކަށް ދައުލަތުންކުރެވުނު ޚަރަދު (ރުފިޔާއިން)، 2016</t>
  </si>
  <si>
    <t>Table 18.18 :  GOVERNMENT EXPENDITURE ON  DIFFERENT SOCIAL PROTECTION SCHEMES BY TYPE (in MVR),  2016</t>
  </si>
  <si>
    <t>TOTAL</t>
  </si>
  <si>
    <t>AASANDHA</t>
  </si>
  <si>
    <t xml:space="preserve"> SINGLE PARENT ALLOWANCE</t>
  </si>
  <si>
    <t>FOSTER PARENT ALLOWANCE</t>
  </si>
  <si>
    <t xml:space="preserve">EMERGENCY MEDICAL WELFARE </t>
  </si>
  <si>
    <t>FOOD SUBSIDY</t>
  </si>
  <si>
    <t>އެކަނިވެރި މައިނަށް ދެވޭ އެހީ</t>
  </si>
  <si>
    <t>January</t>
  </si>
  <si>
    <t>February</t>
  </si>
  <si>
    <t>March</t>
  </si>
  <si>
    <t>މާރޗް</t>
  </si>
  <si>
    <t>April</t>
  </si>
  <si>
    <t>އޭޕްރިލް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</si>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</sst>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6" formatCode="#,##0.0"/>
    <numFmt numFmtId="167" formatCode="General_)"/>
  </numFmts>
  <fonts count="24" x14ac:knownFonts="1">
    <font>
      <sz val="11"/>
      <color rgb="FF000000"/>
      <name val="Calibri"/>
    </font>
    <font>
      <sz val="11"/>
      <color theme="1"/>
      <name val="Calibri"/>
      <family val="2"/>
    </font>
    <font>
      <sz val="11"/>
      <color rgb="FF000000"/>
      <name val="Calibri"/>
    </font>
    <font>
      <sz val="10"/>
      <name val="Arial"/>
      <family val="2"/>
    </font>
    <font>
      <b/>
      <sz val="10"/>
      <color theme="1"/>
      <name val="Faruma"/>
    </font>
    <font>
      <b/>
      <sz val="9"/>
      <color theme="1"/>
      <name val="Faruma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0"/>
      <color theme="1"/>
      <name val="Calibri"/>
      <family val="2"/>
      <charset val="1"/>
      <scheme val="minor"/>
    </font>
    <font>
      <b/>
      <sz val="11"/>
      <color theme="1"/>
      <name val="Faruma"/>
    </font>
    <font>
      <b/>
      <sz val="11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theme="1" tint="0.14999847407452621"/>
      <name val="Calibri"/>
      <family val="2"/>
    </font>
    <font>
      <sz val="10"/>
      <color theme="1"/>
      <name val="Faruma"/>
    </font>
    <font>
      <sz val="10"/>
      <color theme="1"/>
      <name val="Calibri"/>
      <family val="2"/>
    </font>
    <font>
      <sz val="9"/>
      <name val="Calibri"/>
      <family val="2"/>
    </font>
    <font>
      <b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3" fillId="0" borderId="0"/>
    <xf numFmtId="164" fontId="6" fillId="0" borderId="0"/>
    <xf numFmtId="0" fontId="6" fillId="0" borderId="0"/>
    <xf numFmtId="0" fontId="3" fillId="0" borderId="0"/>
  </cellStyleXfs>
  <cellXfs count="67">
    <xf numFmtId="0" fontId="0" fillId="0" borderId="0" xfId="0" applyFont="1" applyAlignment="1"/>
    <xf numFmtId="167" fontId="12" fillId="2" borderId="0" xfId="3" applyNumberFormat="1" applyFont="1" applyFill="1" applyBorder="1" applyAlignment="1" applyProtection="1">
      <alignment horizontal="left" vertical="center"/>
    </xf>
    <xf numFmtId="167" fontId="13" fillId="2" borderId="0" xfId="4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right" vertical="center" wrapText="1"/>
    </xf>
    <xf numFmtId="167" fontId="1" fillId="2" borderId="0" xfId="0" applyNumberFormat="1" applyFont="1" applyFill="1"/>
    <xf numFmtId="167" fontId="17" fillId="2" borderId="0" xfId="0" applyNumberFormat="1" applyFont="1" applyFill="1" applyBorder="1"/>
    <xf numFmtId="167" fontId="18" fillId="2" borderId="0" xfId="3" applyNumberFormat="1" applyFont="1" applyFill="1" applyBorder="1" applyAlignment="1">
      <alignment horizontal="right" vertical="center" wrapText="1"/>
    </xf>
    <xf numFmtId="3" fontId="19" fillId="2" borderId="0" xfId="2" applyNumberFormat="1" applyFont="1" applyFill="1" applyBorder="1"/>
    <xf numFmtId="3" fontId="9" fillId="2" borderId="0" xfId="2" applyNumberFormat="1" applyFont="1" applyFill="1" applyBorder="1" applyAlignment="1">
      <alignment horizontal="right" vertical="center" wrapText="1"/>
    </xf>
    <xf numFmtId="167" fontId="18" fillId="2" borderId="0" xfId="3" applyNumberFormat="1" applyFont="1" applyFill="1" applyBorder="1" applyAlignment="1" applyProtection="1">
      <alignment horizontal="left" vertical="center"/>
    </xf>
    <xf numFmtId="0" fontId="4" fillId="2" borderId="1" xfId="0" applyFont="1" applyFill="1" applyBorder="1" applyAlignment="1">
      <alignment horizontal="right" vertical="center" wrapText="1"/>
    </xf>
    <xf numFmtId="167" fontId="4" fillId="2" borderId="1" xfId="0" applyNumberFormat="1" applyFont="1" applyFill="1" applyBorder="1" applyAlignment="1">
      <alignment horizontal="right" vertical="center" wrapText="1"/>
    </xf>
    <xf numFmtId="0" fontId="5" fillId="2" borderId="4" xfId="0" applyFont="1" applyFill="1" applyBorder="1" applyAlignment="1">
      <alignment vertical="center" wrapText="1"/>
    </xf>
    <xf numFmtId="3" fontId="19" fillId="2" borderId="0" xfId="2" applyNumberFormat="1" applyFont="1" applyFill="1" applyBorder="1" applyAlignment="1">
      <alignment horizontal="right" vertical="center" wrapText="1"/>
    </xf>
    <xf numFmtId="167" fontId="18" fillId="2" borderId="2" xfId="3" applyNumberFormat="1" applyFont="1" applyFill="1" applyBorder="1" applyAlignment="1" applyProtection="1">
      <alignment horizontal="left" vertical="center"/>
    </xf>
    <xf numFmtId="43" fontId="18" fillId="2" borderId="2" xfId="1" applyFont="1" applyFill="1" applyBorder="1" applyAlignment="1">
      <alignment horizontal="center" vertical="center" wrapText="1"/>
    </xf>
    <xf numFmtId="164" fontId="8" fillId="2" borderId="0" xfId="1" applyNumberFormat="1" applyFont="1" applyFill="1" applyBorder="1" applyAlignment="1">
      <alignment horizontal="right" vertical="center"/>
    </xf>
    <xf numFmtId="164" fontId="8" fillId="2" borderId="0" xfId="0" applyNumberFormat="1" applyFont="1" applyFill="1" applyBorder="1" applyAlignment="1">
      <alignment horizontal="right" vertical="center"/>
    </xf>
    <xf numFmtId="164" fontId="7" fillId="2" borderId="0" xfId="1" applyNumberFormat="1" applyFont="1" applyFill="1" applyBorder="1" applyAlignment="1" applyProtection="1">
      <alignment horizontal="right" vertical="center"/>
    </xf>
    <xf numFmtId="167" fontId="20" fillId="2" borderId="2" xfId="0" applyNumberFormat="1" applyFont="1" applyFill="1" applyBorder="1" applyAlignment="1">
      <alignment horizontal="right" vertical="center" wrapText="1"/>
    </xf>
    <xf numFmtId="167" fontId="17" fillId="2" borderId="0" xfId="3" applyNumberFormat="1" applyFont="1" applyFill="1" applyBorder="1" applyAlignment="1" applyProtection="1">
      <alignment horizontal="left" vertical="center"/>
    </xf>
    <xf numFmtId="43" fontId="17" fillId="2" borderId="0" xfId="1" applyFont="1" applyFill="1" applyBorder="1"/>
    <xf numFmtId="167" fontId="20" fillId="2" borderId="0" xfId="0" applyNumberFormat="1" applyFont="1" applyFill="1" applyBorder="1" applyAlignment="1">
      <alignment horizontal="right" vertical="center" wrapText="1"/>
    </xf>
    <xf numFmtId="167" fontId="17" fillId="2" borderId="1" xfId="3" applyNumberFormat="1" applyFont="1" applyFill="1" applyBorder="1" applyAlignment="1" applyProtection="1">
      <alignment horizontal="left" vertical="center"/>
    </xf>
    <xf numFmtId="43" fontId="17" fillId="2" borderId="1" xfId="1" applyFont="1" applyFill="1" applyBorder="1"/>
    <xf numFmtId="167" fontId="20" fillId="2" borderId="1" xfId="0" applyNumberFormat="1" applyFont="1" applyFill="1" applyBorder="1" applyAlignment="1">
      <alignment horizontal="right" vertical="center" wrapText="1"/>
    </xf>
    <xf numFmtId="167" fontId="1" fillId="2" borderId="0" xfId="0" applyNumberFormat="1" applyFont="1" applyFill="1" applyAlignment="1">
      <alignment horizontal="center" vertical="center"/>
    </xf>
    <xf numFmtId="3" fontId="21" fillId="2" borderId="0" xfId="2" applyNumberFormat="1" applyFont="1" applyFill="1"/>
    <xf numFmtId="167" fontId="22" fillId="2" borderId="0" xfId="0" applyNumberFormat="1" applyFont="1" applyFill="1"/>
    <xf numFmtId="0" fontId="14" fillId="2" borderId="0" xfId="0" applyFont="1" applyFill="1" applyBorder="1" applyAlignment="1">
      <alignment horizontal="right" wrapText="1"/>
    </xf>
    <xf numFmtId="167" fontId="22" fillId="2" borderId="0" xfId="0" applyNumberFormat="1" applyFont="1" applyFill="1" applyBorder="1"/>
    <xf numFmtId="167" fontId="21" fillId="2" borderId="0" xfId="0" applyNumberFormat="1" applyFont="1" applyFill="1"/>
    <xf numFmtId="164" fontId="11" fillId="2" borderId="0" xfId="1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>
      <alignment horizontal="right" vertical="center"/>
    </xf>
    <xf numFmtId="164" fontId="10" fillId="2" borderId="0" xfId="1" applyNumberFormat="1" applyFont="1" applyFill="1" applyBorder="1" applyAlignment="1" applyProtection="1">
      <alignment horizontal="right" vertical="center"/>
    </xf>
    <xf numFmtId="167" fontId="18" fillId="2" borderId="0" xfId="3" applyNumberFormat="1" applyFont="1" applyFill="1" applyBorder="1" applyAlignment="1">
      <alignment vertical="center" wrapText="1"/>
    </xf>
    <xf numFmtId="164" fontId="10" fillId="2" borderId="0" xfId="1" applyNumberFormat="1" applyFont="1" applyFill="1" applyBorder="1" applyAlignment="1">
      <alignment horizontal="right" vertical="center"/>
    </xf>
    <xf numFmtId="164" fontId="11" fillId="2" borderId="0" xfId="1" applyNumberFormat="1" applyFont="1" applyFill="1" applyAlignment="1">
      <alignment vertical="center"/>
    </xf>
    <xf numFmtId="164" fontId="11" fillId="2" borderId="1" xfId="1" applyNumberFormat="1" applyFont="1" applyFill="1" applyBorder="1" applyAlignment="1">
      <alignment horizontal="right" vertical="center"/>
    </xf>
    <xf numFmtId="164" fontId="10" fillId="2" borderId="1" xfId="1" applyNumberFormat="1" applyFont="1" applyFill="1" applyBorder="1" applyAlignment="1">
      <alignment horizontal="right" vertical="center"/>
    </xf>
    <xf numFmtId="164" fontId="11" fillId="2" borderId="1" xfId="0" applyNumberFormat="1" applyFont="1" applyFill="1" applyBorder="1" applyAlignment="1">
      <alignment horizontal="right" vertical="center"/>
    </xf>
    <xf numFmtId="167" fontId="18" fillId="2" borderId="2" xfId="3" applyNumberFormat="1" applyFont="1" applyFill="1" applyBorder="1" applyAlignment="1">
      <alignment vertical="center"/>
    </xf>
    <xf numFmtId="166" fontId="21" fillId="2" borderId="0" xfId="0" applyNumberFormat="1" applyFont="1" applyFill="1"/>
    <xf numFmtId="167" fontId="1" fillId="2" borderId="0" xfId="0" applyNumberFormat="1" applyFont="1" applyFill="1" applyAlignment="1">
      <alignment horizontal="right"/>
    </xf>
    <xf numFmtId="167" fontId="23" fillId="2" borderId="0" xfId="3" applyNumberFormat="1" applyFont="1" applyFill="1" applyBorder="1" applyAlignment="1">
      <alignment vertical="center"/>
    </xf>
    <xf numFmtId="164" fontId="0" fillId="2" borderId="0" xfId="0" applyNumberFormat="1" applyFill="1"/>
    <xf numFmtId="167" fontId="1" fillId="2" borderId="0" xfId="0" applyNumberFormat="1" applyFont="1" applyFill="1" applyAlignment="1">
      <alignment vertical="top"/>
    </xf>
    <xf numFmtId="167" fontId="13" fillId="2" borderId="0" xfId="4" applyNumberFormat="1" applyFont="1" applyFill="1" applyBorder="1" applyAlignment="1">
      <alignment horizontal="right" vertical="center"/>
    </xf>
    <xf numFmtId="167" fontId="1" fillId="2" borderId="0" xfId="0" applyNumberFormat="1" applyFont="1" applyFill="1" applyBorder="1"/>
    <xf numFmtId="167" fontId="1" fillId="2" borderId="0" xfId="0" applyNumberFormat="1" applyFont="1" applyFill="1" applyBorder="1" applyAlignment="1">
      <alignment horizontal="center" vertical="center"/>
    </xf>
    <xf numFmtId="3" fontId="21" fillId="2" borderId="0" xfId="2" applyNumberFormat="1" applyFont="1" applyFill="1" applyBorder="1"/>
    <xf numFmtId="167" fontId="4" fillId="2" borderId="0" xfId="0" applyNumberFormat="1" applyFont="1" applyFill="1" applyBorder="1" applyAlignment="1">
      <alignment horizontal="right" vertical="center" wrapText="1"/>
    </xf>
    <xf numFmtId="43" fontId="18" fillId="2" borderId="0" xfId="1" applyFont="1" applyFill="1" applyBorder="1" applyAlignment="1">
      <alignment horizontal="center" vertical="center" wrapText="1"/>
    </xf>
    <xf numFmtId="167" fontId="21" fillId="2" borderId="0" xfId="0" applyNumberFormat="1" applyFont="1" applyFill="1" applyBorder="1"/>
    <xf numFmtId="164" fontId="11" fillId="2" borderId="0" xfId="1" applyNumberFormat="1" applyFont="1" applyFill="1" applyBorder="1" applyAlignment="1">
      <alignment vertical="center"/>
    </xf>
    <xf numFmtId="3" fontId="15" fillId="2" borderId="0" xfId="2" applyNumberFormat="1" applyFont="1" applyFill="1" applyBorder="1" applyAlignment="1">
      <alignment horizontal="center" vertical="center" readingOrder="2"/>
    </xf>
    <xf numFmtId="3" fontId="16" fillId="2" borderId="0" xfId="2" applyNumberFormat="1" applyFont="1" applyFill="1" applyBorder="1" applyAlignment="1" applyProtection="1">
      <alignment horizontal="center" vertical="center"/>
    </xf>
    <xf numFmtId="167" fontId="18" fillId="2" borderId="0" xfId="3" applyNumberFormat="1" applyFont="1" applyFill="1" applyBorder="1" applyAlignment="1">
      <alignment horizontal="center" vertical="center" wrapText="1"/>
    </xf>
    <xf numFmtId="167" fontId="18" fillId="2" borderId="0" xfId="3" applyNumberFormat="1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right"/>
    </xf>
    <xf numFmtId="0" fontId="14" fillId="2" borderId="0" xfId="0" applyFont="1" applyFill="1" applyBorder="1" applyAlignment="1">
      <alignment horizontal="right" wrapText="1"/>
    </xf>
    <xf numFmtId="3" fontId="15" fillId="2" borderId="0" xfId="2" applyNumberFormat="1" applyFont="1" applyFill="1" applyAlignment="1">
      <alignment horizontal="center" vertical="center" readingOrder="2"/>
    </xf>
    <xf numFmtId="3" fontId="16" fillId="2" borderId="1" xfId="2" applyNumberFormat="1" applyFont="1" applyFill="1" applyBorder="1" applyAlignment="1" applyProtection="1">
      <alignment horizontal="center" vertical="center"/>
    </xf>
    <xf numFmtId="167" fontId="18" fillId="2" borderId="2" xfId="3" applyNumberFormat="1" applyFont="1" applyFill="1" applyBorder="1" applyAlignment="1">
      <alignment horizontal="right" vertical="center" wrapText="1"/>
    </xf>
    <xf numFmtId="167" fontId="18" fillId="2" borderId="3" xfId="3" applyNumberFormat="1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/>
    </xf>
    <xf numFmtId="0" fontId="14" fillId="2" borderId="3" xfId="0" applyFont="1" applyFill="1" applyBorder="1" applyAlignment="1">
      <alignment horizontal="right" wrapText="1"/>
    </xf>
  </cellXfs>
  <cellStyles count="6">
    <cellStyle name="Comma" xfId="1" builtinId="3"/>
    <cellStyle name="Normal" xfId="0" builtinId="0"/>
    <cellStyle name="Normal 2" xfId="3"/>
    <cellStyle name="Normal 5" xfId="5"/>
    <cellStyle name="Normal_3 Population." xfId="4"/>
    <cellStyle name="Normal_II-15(Population) 2" xfId="2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835635299685899E-2"/>
          <c:y val="0.16577143121606758"/>
          <c:w val="0.89996923540295171"/>
          <c:h val="0.69750277298831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'18.18'!$S$29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F8A45E"/>
            </a:solidFill>
          </c:spPr>
          <c:invertIfNegative val="0"/>
          <c:cat>
            <c:strRef>
              <c:f>'18.18'!$T$25:$X$25</c:f>
              <c:strCache>
                <c:ptCount val="5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</c:strCache>
            </c:strRef>
          </c:cat>
          <c:val>
            <c:numRef>
              <c:f>'18.18'!$T$29:$X$29</c:f>
              <c:numCache>
                <c:formatCode>#,##0.0</c:formatCode>
                <c:ptCount val="5"/>
                <c:pt idx="0">
                  <c:v>1400.6098419113</c:v>
                </c:pt>
                <c:pt idx="1">
                  <c:v>62.871000000000002</c:v>
                </c:pt>
                <c:pt idx="2">
                  <c:v>2.4645000000000001</c:v>
                </c:pt>
                <c:pt idx="3">
                  <c:v>51.002563189999996</c:v>
                </c:pt>
                <c:pt idx="4">
                  <c:v>154.048</c:v>
                </c:pt>
              </c:numCache>
            </c:numRef>
          </c:val>
        </c:ser>
        <c:ser>
          <c:idx val="1"/>
          <c:order val="1"/>
          <c:tx>
            <c:strRef>
              <c:f>'18.18'!$S$30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'18.18'!$T$25:$X$25</c:f>
              <c:strCache>
                <c:ptCount val="5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</c:strCache>
            </c:strRef>
          </c:cat>
          <c:val>
            <c:numRef>
              <c:f>'18.18'!$T$30:$X$30</c:f>
              <c:numCache>
                <c:formatCode>#,##0.0</c:formatCode>
                <c:ptCount val="5"/>
                <c:pt idx="0">
                  <c:v>1063.0546801289001</c:v>
                </c:pt>
                <c:pt idx="1">
                  <c:v>70.378</c:v>
                </c:pt>
                <c:pt idx="2">
                  <c:v>1.8069999999999999</c:v>
                </c:pt>
                <c:pt idx="3">
                  <c:v>35.665347009999998</c:v>
                </c:pt>
                <c:pt idx="4">
                  <c:v>127.91800000000001</c:v>
                </c:pt>
              </c:numCache>
            </c:numRef>
          </c:val>
        </c:ser>
        <c:ser>
          <c:idx val="2"/>
          <c:order val="2"/>
          <c:tx>
            <c:strRef>
              <c:f>'18.18'!$S$31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rgbClr val="FAC090"/>
            </a:solidFill>
          </c:spPr>
          <c:invertIfNegative val="0"/>
          <c:cat>
            <c:strRef>
              <c:f>'18.18'!$T$25:$X$25</c:f>
              <c:strCache>
                <c:ptCount val="5"/>
                <c:pt idx="0">
                  <c:v>AASANDHA</c:v>
                </c:pt>
                <c:pt idx="1">
                  <c:v> SINGLE PARENT ALLOWANCE</c:v>
                </c:pt>
                <c:pt idx="2">
                  <c:v>FOSTER PARENT ALLOWANCE</c:v>
                </c:pt>
                <c:pt idx="3">
                  <c:v>EMERGENCY MEDICAL WELFARE </c:v>
                </c:pt>
                <c:pt idx="4">
                  <c:v>DISABILITY ALLOWANCE</c:v>
                </c:pt>
              </c:strCache>
            </c:strRef>
          </c:cat>
          <c:val>
            <c:numRef>
              <c:f>'18.18'!$T$31:$X$31</c:f>
              <c:numCache>
                <c:formatCode>#,##0.0</c:formatCode>
                <c:ptCount val="5"/>
                <c:pt idx="0">
                  <c:v>1675.1991867771001</c:v>
                </c:pt>
                <c:pt idx="1">
                  <c:v>58.122</c:v>
                </c:pt>
                <c:pt idx="2">
                  <c:v>2.4159999999999999</c:v>
                </c:pt>
                <c:pt idx="3">
                  <c:v>75.254785549999994</c:v>
                </c:pt>
                <c:pt idx="4">
                  <c:v>155.797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834304"/>
        <c:axId val="120860672"/>
      </c:barChart>
      <c:catAx>
        <c:axId val="120834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0860672"/>
        <c:crosses val="autoZero"/>
        <c:auto val="1"/>
        <c:lblAlgn val="ctr"/>
        <c:lblOffset val="100"/>
        <c:noMultiLvlLbl val="0"/>
      </c:catAx>
      <c:valAx>
        <c:axId val="12086067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crossAx val="12083430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1020016626035622"/>
          <c:y val="0.2616147908447744"/>
          <c:w val="0.21897497956198098"/>
          <c:h val="8.776620610159931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20</xdr:row>
      <xdr:rowOff>66674</xdr:rowOff>
    </xdr:from>
    <xdr:to>
      <xdr:col>8</xdr:col>
      <xdr:colOff>419100</xdr:colOff>
      <xdr:row>34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238125</xdr:colOff>
      <xdr:row>21</xdr:row>
      <xdr:rowOff>123825</xdr:rowOff>
    </xdr:from>
    <xdr:to>
      <xdr:col>7</xdr:col>
      <xdr:colOff>409576</xdr:colOff>
      <xdr:row>21</xdr:row>
      <xdr:rowOff>123825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2105025" y="5476875"/>
          <a:ext cx="5019676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2</xdr:col>
      <xdr:colOff>314325</xdr:colOff>
      <xdr:row>20</xdr:row>
      <xdr:rowOff>209550</xdr:rowOff>
    </xdr:from>
    <xdr:to>
      <xdr:col>7</xdr:col>
      <xdr:colOff>1181100</xdr:colOff>
      <xdr:row>22</xdr:row>
      <xdr:rowOff>9525</xdr:rowOff>
    </xdr:to>
    <xdr:sp macro="" textlink="">
      <xdr:nvSpPr>
        <xdr:cNvPr id="4" name="TextBox 3"/>
        <xdr:cNvSpPr txBox="1"/>
      </xdr:nvSpPr>
      <xdr:spPr>
        <a:xfrm>
          <a:off x="1038225" y="5343525"/>
          <a:ext cx="68580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18.21:  GOVERNMENT EXPENDITURE ON  DIFFERENT SOCIAL PROTECTION SCHEMES BY TYPE,  2014  -  2016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2</xdr:col>
      <xdr:colOff>342900</xdr:colOff>
      <xdr:row>22</xdr:row>
      <xdr:rowOff>19050</xdr:rowOff>
    </xdr:from>
    <xdr:to>
      <xdr:col>8</xdr:col>
      <xdr:colOff>2583</xdr:colOff>
      <xdr:row>22</xdr:row>
      <xdr:rowOff>27122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066800" y="5591175"/>
          <a:ext cx="6917733" cy="8072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74"/>
  <sheetViews>
    <sheetView tabSelected="1" zoomScaleNormal="100" workbookViewId="0">
      <selection activeCell="O1" sqref="O1:P1048576"/>
    </sheetView>
  </sheetViews>
  <sheetFormatPr defaultColWidth="9.140625" defaultRowHeight="15" x14ac:dyDescent="0.25"/>
  <cols>
    <col min="1" max="1" width="10.85546875" style="4" customWidth="1"/>
    <col min="2" max="2" width="14.42578125" style="4" hidden="1" customWidth="1"/>
    <col min="3" max="3" width="17.140625" style="26" customWidth="1"/>
    <col min="4" max="4" width="16.85546875" style="4" customWidth="1"/>
    <col min="5" max="5" width="17.85546875" style="4" customWidth="1"/>
    <col min="6" max="8" width="19" style="4" customWidth="1"/>
    <col min="9" max="9" width="14.5703125" style="43" customWidth="1"/>
    <col min="10" max="10" width="5.7109375" style="4" customWidth="1"/>
    <col min="11" max="11" width="26.28515625" style="4" bestFit="1" customWidth="1"/>
    <col min="12" max="12" width="13.5703125" style="4" bestFit="1" customWidth="1"/>
    <col min="13" max="13" width="9.42578125" style="4" customWidth="1"/>
    <col min="14" max="19" width="15.28515625" style="4" customWidth="1"/>
    <col min="20" max="24" width="12" style="4" customWidth="1"/>
    <col min="25" max="25" width="10.140625" style="4" customWidth="1"/>
    <col min="26" max="16384" width="9.140625" style="4"/>
  </cols>
  <sheetData>
    <row r="1" spans="1:9" ht="21" x14ac:dyDescent="0.25">
      <c r="A1" s="61" t="s">
        <v>23</v>
      </c>
      <c r="B1" s="61"/>
      <c r="C1" s="61"/>
      <c r="D1" s="61"/>
      <c r="E1" s="61"/>
      <c r="F1" s="61"/>
      <c r="G1" s="61"/>
      <c r="H1" s="61"/>
      <c r="I1" s="61"/>
    </row>
    <row r="2" spans="1:9" x14ac:dyDescent="0.25">
      <c r="A2" s="62" t="s">
        <v>24</v>
      </c>
      <c r="B2" s="62"/>
      <c r="C2" s="62"/>
      <c r="D2" s="62"/>
      <c r="E2" s="62"/>
      <c r="F2" s="62"/>
      <c r="G2" s="62"/>
      <c r="H2" s="62"/>
      <c r="I2" s="62"/>
    </row>
    <row r="3" spans="1:9" ht="15" customHeight="1" x14ac:dyDescent="0.25">
      <c r="A3" s="5"/>
      <c r="B3" s="57" t="s">
        <v>25</v>
      </c>
      <c r="C3" s="63" t="s">
        <v>26</v>
      </c>
      <c r="D3" s="63" t="s">
        <v>27</v>
      </c>
      <c r="E3" s="63" t="s">
        <v>28</v>
      </c>
      <c r="F3" s="63" t="s">
        <v>29</v>
      </c>
      <c r="G3" s="63" t="s">
        <v>21</v>
      </c>
      <c r="H3" s="63" t="s">
        <v>30</v>
      </c>
      <c r="I3" s="6"/>
    </row>
    <row r="4" spans="1:9" ht="18.75" x14ac:dyDescent="0.25">
      <c r="A4" s="7" t="s">
        <v>2</v>
      </c>
      <c r="B4" s="57"/>
      <c r="C4" s="64"/>
      <c r="D4" s="64"/>
      <c r="E4" s="64"/>
      <c r="F4" s="65"/>
      <c r="G4" s="66"/>
      <c r="H4" s="66"/>
      <c r="I4" s="8" t="s">
        <v>3</v>
      </c>
    </row>
    <row r="5" spans="1:9" ht="56.25" x14ac:dyDescent="0.25">
      <c r="A5" s="9"/>
      <c r="B5" s="57"/>
      <c r="C5" s="10" t="s">
        <v>22</v>
      </c>
      <c r="D5" s="10" t="s">
        <v>31</v>
      </c>
      <c r="E5" s="10" t="s">
        <v>15</v>
      </c>
      <c r="F5" s="11" t="s">
        <v>16</v>
      </c>
      <c r="G5" s="10" t="s">
        <v>17</v>
      </c>
      <c r="H5" s="12" t="s">
        <v>18</v>
      </c>
      <c r="I5" s="13"/>
    </row>
    <row r="6" spans="1:9" ht="18.75" x14ac:dyDescent="0.25">
      <c r="A6" s="14" t="s">
        <v>1</v>
      </c>
      <c r="B6" s="15">
        <f t="shared" ref="B6:E6" si="0">SUM(B7:B18)</f>
        <v>0</v>
      </c>
      <c r="C6" s="16">
        <f t="shared" si="0"/>
        <v>1675199186.7771001</v>
      </c>
      <c r="D6" s="16">
        <f t="shared" si="0"/>
        <v>58122000</v>
      </c>
      <c r="E6" s="17">
        <f t="shared" si="0"/>
        <v>2416000</v>
      </c>
      <c r="F6" s="17">
        <f>SUM(F7:F18)</f>
        <v>75254785.549999997</v>
      </c>
      <c r="G6" s="18">
        <f t="shared" ref="G6:H6" si="1">SUM(G7:G18)</f>
        <v>155797000</v>
      </c>
      <c r="H6" s="18">
        <f t="shared" si="1"/>
        <v>34800</v>
      </c>
      <c r="I6" s="19" t="s">
        <v>0</v>
      </c>
    </row>
    <row r="7" spans="1:9" ht="18.75" x14ac:dyDescent="0.25">
      <c r="A7" s="20" t="s">
        <v>32</v>
      </c>
      <c r="B7" s="21"/>
      <c r="C7" s="34">
        <v>136534809.9474</v>
      </c>
      <c r="D7" s="32">
        <v>7000</v>
      </c>
      <c r="E7" s="33">
        <v>207500</v>
      </c>
      <c r="F7" s="33">
        <v>3826488.7199999997</v>
      </c>
      <c r="G7" s="34">
        <v>12528000</v>
      </c>
      <c r="H7" s="34">
        <v>0</v>
      </c>
      <c r="I7" s="22" t="s">
        <v>4</v>
      </c>
    </row>
    <row r="8" spans="1:9" ht="18.75" x14ac:dyDescent="0.25">
      <c r="A8" s="20" t="s">
        <v>33</v>
      </c>
      <c r="B8" s="21"/>
      <c r="C8" s="34">
        <v>129704217.5892</v>
      </c>
      <c r="D8" s="32">
        <v>10201000</v>
      </c>
      <c r="E8" s="34">
        <v>209500</v>
      </c>
      <c r="F8" s="33">
        <v>3159072.43</v>
      </c>
      <c r="G8" s="32">
        <v>12634000</v>
      </c>
      <c r="H8" s="32">
        <v>0</v>
      </c>
      <c r="I8" s="22" t="s">
        <v>5</v>
      </c>
    </row>
    <row r="9" spans="1:9" ht="18.75" x14ac:dyDescent="0.25">
      <c r="A9" s="20" t="s">
        <v>34</v>
      </c>
      <c r="B9" s="21"/>
      <c r="C9" s="34">
        <v>143129429.52450001</v>
      </c>
      <c r="D9" s="32">
        <v>5028000</v>
      </c>
      <c r="E9" s="34">
        <v>206500</v>
      </c>
      <c r="F9" s="33">
        <v>9201945.2400000002</v>
      </c>
      <c r="G9" s="32">
        <v>12666000</v>
      </c>
      <c r="H9" s="32">
        <v>0</v>
      </c>
      <c r="I9" s="22" t="s">
        <v>35</v>
      </c>
    </row>
    <row r="10" spans="1:9" ht="18.75" x14ac:dyDescent="0.25">
      <c r="A10" s="20" t="s">
        <v>36</v>
      </c>
      <c r="B10" s="21"/>
      <c r="C10" s="34">
        <v>133747675.5882</v>
      </c>
      <c r="D10" s="32">
        <v>5012000</v>
      </c>
      <c r="E10" s="34">
        <v>201500</v>
      </c>
      <c r="F10" s="33">
        <v>4513984.2700000005</v>
      </c>
      <c r="G10" s="32">
        <v>12586000</v>
      </c>
      <c r="H10" s="32">
        <v>0</v>
      </c>
      <c r="I10" s="22" t="s">
        <v>37</v>
      </c>
    </row>
    <row r="11" spans="1:9" ht="18.75" x14ac:dyDescent="0.25">
      <c r="A11" s="20" t="s">
        <v>6</v>
      </c>
      <c r="B11" s="21"/>
      <c r="C11" s="34">
        <v>143706772.23269999</v>
      </c>
      <c r="D11" s="32">
        <v>5015000</v>
      </c>
      <c r="E11" s="34">
        <v>200000</v>
      </c>
      <c r="F11" s="33">
        <v>4309162.09</v>
      </c>
      <c r="G11" s="32">
        <v>12844000</v>
      </c>
      <c r="H11" s="32">
        <v>480</v>
      </c>
      <c r="I11" s="22" t="s">
        <v>7</v>
      </c>
    </row>
    <row r="12" spans="1:9" ht="18.75" x14ac:dyDescent="0.25">
      <c r="A12" s="20" t="s">
        <v>38</v>
      </c>
      <c r="B12" s="21"/>
      <c r="C12" s="34">
        <v>108297209.2693</v>
      </c>
      <c r="D12" s="36">
        <v>5024000</v>
      </c>
      <c r="E12" s="34">
        <v>198500</v>
      </c>
      <c r="F12" s="33">
        <v>2827054.2199999997</v>
      </c>
      <c r="G12" s="32">
        <v>12760000</v>
      </c>
      <c r="H12" s="32">
        <v>840</v>
      </c>
      <c r="I12" s="22" t="s">
        <v>8</v>
      </c>
    </row>
    <row r="13" spans="1:9" ht="18.75" x14ac:dyDescent="0.25">
      <c r="A13" s="20" t="s">
        <v>39</v>
      </c>
      <c r="B13" s="21"/>
      <c r="C13" s="34">
        <v>120877626.5302</v>
      </c>
      <c r="D13" s="32">
        <v>3273000</v>
      </c>
      <c r="E13" s="34">
        <v>198500</v>
      </c>
      <c r="F13" s="33">
        <v>5208135.4700000007</v>
      </c>
      <c r="G13" s="32">
        <v>14539000</v>
      </c>
      <c r="H13" s="37">
        <v>1320</v>
      </c>
      <c r="I13" s="22" t="s">
        <v>9</v>
      </c>
    </row>
    <row r="14" spans="1:9" ht="18.75" x14ac:dyDescent="0.25">
      <c r="A14" s="20" t="s">
        <v>40</v>
      </c>
      <c r="B14" s="21"/>
      <c r="C14" s="34">
        <v>153567643.46020001</v>
      </c>
      <c r="D14" s="32">
        <v>4903000</v>
      </c>
      <c r="E14" s="34">
        <v>200000</v>
      </c>
      <c r="F14" s="33">
        <v>5827407.6199999992</v>
      </c>
      <c r="G14" s="37">
        <v>12894000</v>
      </c>
      <c r="H14" s="32">
        <v>2280</v>
      </c>
      <c r="I14" s="22" t="s">
        <v>10</v>
      </c>
    </row>
    <row r="15" spans="1:9" ht="18.75" x14ac:dyDescent="0.25">
      <c r="A15" s="20" t="s">
        <v>41</v>
      </c>
      <c r="B15" s="21"/>
      <c r="C15" s="34">
        <v>134925368.35859999</v>
      </c>
      <c r="D15" s="32">
        <v>4906000</v>
      </c>
      <c r="E15" s="34">
        <v>198500</v>
      </c>
      <c r="F15" s="33">
        <v>3637070.72</v>
      </c>
      <c r="G15" s="32">
        <v>12984000</v>
      </c>
      <c r="H15" s="32">
        <v>2280</v>
      </c>
      <c r="I15" s="22" t="s">
        <v>11</v>
      </c>
    </row>
    <row r="16" spans="1:9" ht="18.75" x14ac:dyDescent="0.25">
      <c r="A16" s="20" t="s">
        <v>42</v>
      </c>
      <c r="B16" s="21"/>
      <c r="C16" s="34">
        <v>156136586.3468</v>
      </c>
      <c r="D16" s="32">
        <v>4901000</v>
      </c>
      <c r="E16" s="34">
        <v>196000</v>
      </c>
      <c r="F16" s="33">
        <v>5762774.4900000002</v>
      </c>
      <c r="G16" s="32">
        <v>13084000</v>
      </c>
      <c r="H16" s="32">
        <v>3840</v>
      </c>
      <c r="I16" s="22" t="s">
        <v>12</v>
      </c>
    </row>
    <row r="17" spans="1:28" ht="18.75" x14ac:dyDescent="0.25">
      <c r="A17" s="20" t="s">
        <v>43</v>
      </c>
      <c r="B17" s="21"/>
      <c r="C17" s="34">
        <v>148694513.90270001</v>
      </c>
      <c r="D17" s="32">
        <v>4925000</v>
      </c>
      <c r="E17" s="34">
        <v>199000</v>
      </c>
      <c r="F17" s="33">
        <v>8156361.7599999998</v>
      </c>
      <c r="G17" s="32">
        <v>13142000</v>
      </c>
      <c r="H17" s="36">
        <v>8960</v>
      </c>
      <c r="I17" s="22" t="s">
        <v>13</v>
      </c>
    </row>
    <row r="18" spans="1:28" ht="18.75" x14ac:dyDescent="0.25">
      <c r="A18" s="23" t="s">
        <v>44</v>
      </c>
      <c r="B18" s="24"/>
      <c r="C18" s="38">
        <v>165877334.0273</v>
      </c>
      <c r="D18" s="38">
        <v>4927000</v>
      </c>
      <c r="E18" s="39">
        <v>200500</v>
      </c>
      <c r="F18" s="40">
        <v>18825328.52</v>
      </c>
      <c r="G18" s="39">
        <v>13136000</v>
      </c>
      <c r="H18" s="38">
        <v>14800</v>
      </c>
      <c r="I18" s="25" t="s">
        <v>14</v>
      </c>
    </row>
    <row r="19" spans="1:28" ht="17.25" x14ac:dyDescent="0.25">
      <c r="A19" s="1" t="s">
        <v>19</v>
      </c>
      <c r="G19" s="2"/>
      <c r="H19" s="2"/>
      <c r="I19" s="2" t="s">
        <v>20</v>
      </c>
    </row>
    <row r="20" spans="1:28" ht="17.25" x14ac:dyDescent="0.25">
      <c r="A20" s="1"/>
      <c r="G20" s="2"/>
      <c r="H20" s="2"/>
      <c r="I20" s="2"/>
    </row>
    <row r="21" spans="1:28" ht="17.25" x14ac:dyDescent="0.25">
      <c r="A21" s="1"/>
      <c r="G21" s="2"/>
      <c r="H21" s="2"/>
      <c r="I21" s="2"/>
    </row>
    <row r="22" spans="1:28" ht="17.25" x14ac:dyDescent="0.25">
      <c r="A22" s="1"/>
      <c r="G22" s="2"/>
      <c r="H22" s="2"/>
      <c r="I22" s="2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 spans="1:28" ht="17.25" x14ac:dyDescent="0.25">
      <c r="A23" s="1"/>
      <c r="B23" s="48"/>
      <c r="C23" s="49"/>
      <c r="D23" s="48"/>
      <c r="E23" s="48"/>
      <c r="F23" s="48"/>
      <c r="G23" s="47"/>
      <c r="H23" s="47"/>
      <c r="I23" s="47"/>
      <c r="J23" s="48"/>
      <c r="K23" s="48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 spans="1:28" s="27" customFormat="1" ht="21" x14ac:dyDescent="0.2">
      <c r="A24" s="55"/>
      <c r="B24" s="55"/>
      <c r="C24" s="55"/>
      <c r="D24" s="55"/>
      <c r="E24" s="55"/>
      <c r="F24" s="55"/>
      <c r="G24" s="55"/>
      <c r="H24" s="55"/>
      <c r="I24" s="55"/>
      <c r="J24" s="50"/>
      <c r="K24" s="50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r="25" spans="1:28" s="27" customFormat="1" x14ac:dyDescent="0.2">
      <c r="A25" s="56"/>
      <c r="B25" s="56"/>
      <c r="C25" s="56"/>
      <c r="D25" s="56"/>
      <c r="E25" s="56"/>
      <c r="F25" s="56"/>
      <c r="G25" s="56"/>
      <c r="H25" s="56"/>
      <c r="I25" s="56"/>
      <c r="J25" s="50"/>
      <c r="K25" s="50"/>
      <c r="S25" s="31"/>
      <c r="T25" s="41" t="s">
        <v>26</v>
      </c>
      <c r="U25" s="41" t="s">
        <v>27</v>
      </c>
      <c r="V25" s="41" t="s">
        <v>28</v>
      </c>
      <c r="W25" s="41" t="s">
        <v>29</v>
      </c>
      <c r="X25" s="41" t="s">
        <v>21</v>
      </c>
      <c r="Y25" s="31"/>
      <c r="Z25" s="31"/>
      <c r="AA25" s="31"/>
      <c r="AB25" s="31"/>
    </row>
    <row r="26" spans="1:28" s="28" customFormat="1" ht="12.75" x14ac:dyDescent="0.2">
      <c r="A26" s="5"/>
      <c r="B26" s="57"/>
      <c r="C26" s="58"/>
      <c r="D26" s="58"/>
      <c r="E26" s="58"/>
      <c r="F26" s="58"/>
      <c r="G26" s="58"/>
      <c r="H26" s="6"/>
      <c r="I26" s="6"/>
      <c r="J26" s="30"/>
      <c r="K26" s="30"/>
      <c r="S26" s="31">
        <v>2014</v>
      </c>
      <c r="T26" s="31">
        <v>1400609841.9112999</v>
      </c>
      <c r="U26" s="31">
        <v>62871000</v>
      </c>
      <c r="V26" s="31">
        <v>2464500</v>
      </c>
      <c r="W26" s="31">
        <v>51002563.189999998</v>
      </c>
      <c r="X26" s="31">
        <v>154048000</v>
      </c>
      <c r="Y26" s="31"/>
      <c r="Z26" s="31"/>
      <c r="AA26" s="31"/>
      <c r="AB26" s="31"/>
    </row>
    <row r="27" spans="1:28" s="30" customFormat="1" ht="18.75" x14ac:dyDescent="0.2">
      <c r="A27" s="7"/>
      <c r="B27" s="57"/>
      <c r="C27" s="58"/>
      <c r="D27" s="58"/>
      <c r="E27" s="58"/>
      <c r="F27" s="59"/>
      <c r="G27" s="60"/>
      <c r="H27" s="29"/>
      <c r="I27" s="8"/>
      <c r="S27" s="31">
        <v>2015</v>
      </c>
      <c r="T27" s="31">
        <v>1063054680.1289001</v>
      </c>
      <c r="U27" s="31">
        <v>70378000</v>
      </c>
      <c r="V27" s="31">
        <v>1807000</v>
      </c>
      <c r="W27" s="31">
        <v>35665347.009999998</v>
      </c>
      <c r="X27" s="31">
        <v>127918000</v>
      </c>
      <c r="Y27" s="31"/>
      <c r="Z27" s="31"/>
      <c r="AA27" s="31"/>
      <c r="AB27" s="31"/>
    </row>
    <row r="28" spans="1:28" ht="18.75" x14ac:dyDescent="0.25">
      <c r="A28" s="9"/>
      <c r="B28" s="57"/>
      <c r="C28" s="3"/>
      <c r="D28" s="3"/>
      <c r="E28" s="3"/>
      <c r="F28" s="51"/>
      <c r="G28" s="3"/>
      <c r="H28" s="3"/>
      <c r="I28" s="13"/>
      <c r="J28" s="48"/>
      <c r="K28" s="48"/>
      <c r="S28" s="31">
        <v>2016</v>
      </c>
      <c r="T28" s="4">
        <f>C6</f>
        <v>1675199186.7771001</v>
      </c>
      <c r="U28" s="4">
        <f>D6</f>
        <v>58122000</v>
      </c>
      <c r="V28" s="4">
        <f>E6</f>
        <v>2416000</v>
      </c>
      <c r="W28" s="4">
        <f>F6</f>
        <v>75254785.549999997</v>
      </c>
      <c r="X28" s="4">
        <f>G6</f>
        <v>155797000</v>
      </c>
      <c r="Y28" s="31"/>
      <c r="Z28" s="31"/>
      <c r="AA28" s="31"/>
      <c r="AB28" s="31"/>
    </row>
    <row r="29" spans="1:28" s="31" customFormat="1" ht="18.75" x14ac:dyDescent="0.2">
      <c r="A29" s="9"/>
      <c r="B29" s="52"/>
      <c r="C29" s="16"/>
      <c r="D29" s="16"/>
      <c r="E29" s="17"/>
      <c r="F29" s="17"/>
      <c r="G29" s="18"/>
      <c r="H29" s="18"/>
      <c r="I29" s="22"/>
      <c r="J29" s="53"/>
      <c r="K29" s="53"/>
      <c r="S29" s="31">
        <v>2014</v>
      </c>
      <c r="T29" s="42">
        <f>T26/1000000</f>
        <v>1400.6098419113</v>
      </c>
      <c r="U29" s="42">
        <f>U26/1000000</f>
        <v>62.871000000000002</v>
      </c>
      <c r="V29" s="42">
        <f>V26/1000000</f>
        <v>2.4645000000000001</v>
      </c>
      <c r="W29" s="42">
        <f>W26/1000000</f>
        <v>51.002563189999996</v>
      </c>
      <c r="X29" s="42">
        <f>X26/1000000</f>
        <v>154.048</v>
      </c>
    </row>
    <row r="30" spans="1:28" s="31" customFormat="1" ht="18.75" x14ac:dyDescent="0.2">
      <c r="A30" s="20"/>
      <c r="B30" s="21"/>
      <c r="C30" s="32"/>
      <c r="D30" s="32"/>
      <c r="E30" s="33"/>
      <c r="F30" s="33"/>
      <c r="G30" s="34"/>
      <c r="H30" s="34"/>
      <c r="I30" s="22"/>
      <c r="J30" s="53"/>
      <c r="K30" s="53"/>
      <c r="S30" s="31">
        <v>2015</v>
      </c>
      <c r="T30" s="42">
        <f t="shared" ref="T30:X30" si="2">T27/1000000</f>
        <v>1063.0546801289001</v>
      </c>
      <c r="U30" s="42">
        <f t="shared" si="2"/>
        <v>70.378</v>
      </c>
      <c r="V30" s="42">
        <f t="shared" si="2"/>
        <v>1.8069999999999999</v>
      </c>
      <c r="W30" s="42">
        <f t="shared" si="2"/>
        <v>35.665347009999998</v>
      </c>
      <c r="X30" s="42">
        <f t="shared" si="2"/>
        <v>127.91800000000001</v>
      </c>
    </row>
    <row r="31" spans="1:28" s="31" customFormat="1" ht="18.75" x14ac:dyDescent="0.2">
      <c r="A31" s="20"/>
      <c r="B31" s="21"/>
      <c r="C31" s="32"/>
      <c r="D31" s="32"/>
      <c r="E31" s="34"/>
      <c r="F31" s="33"/>
      <c r="G31" s="32"/>
      <c r="H31" s="32"/>
      <c r="I31" s="22"/>
      <c r="J31" s="53"/>
      <c r="K31" s="35"/>
      <c r="L31" s="16"/>
      <c r="S31" s="31">
        <v>2016</v>
      </c>
      <c r="T31" s="42">
        <f t="shared" ref="T31:X31" si="3">T28/1000000</f>
        <v>1675.1991867771001</v>
      </c>
      <c r="U31" s="42">
        <f t="shared" si="3"/>
        <v>58.122</v>
      </c>
      <c r="V31" s="42">
        <f t="shared" si="3"/>
        <v>2.4159999999999999</v>
      </c>
      <c r="W31" s="42">
        <f t="shared" si="3"/>
        <v>75.254785549999994</v>
      </c>
      <c r="X31" s="42">
        <f t="shared" si="3"/>
        <v>155.797</v>
      </c>
    </row>
    <row r="32" spans="1:28" s="31" customFormat="1" ht="18.75" x14ac:dyDescent="0.2">
      <c r="A32" s="20"/>
      <c r="B32" s="21"/>
      <c r="C32" s="32"/>
      <c r="D32" s="32"/>
      <c r="E32" s="34"/>
      <c r="F32" s="33"/>
      <c r="G32" s="32"/>
      <c r="H32" s="32"/>
      <c r="I32" s="22"/>
      <c r="J32" s="53"/>
      <c r="K32" s="35"/>
      <c r="L32" s="16"/>
    </row>
    <row r="33" spans="1:12" s="31" customFormat="1" ht="18.75" x14ac:dyDescent="0.2">
      <c r="A33" s="20"/>
      <c r="B33" s="21"/>
      <c r="C33" s="32"/>
      <c r="D33" s="32"/>
      <c r="E33" s="34"/>
      <c r="F33" s="33"/>
      <c r="G33" s="32"/>
      <c r="H33" s="32"/>
      <c r="I33" s="22"/>
      <c r="J33" s="53"/>
      <c r="K33" s="35"/>
      <c r="L33" s="17"/>
    </row>
    <row r="34" spans="1:12" s="31" customFormat="1" ht="18.75" x14ac:dyDescent="0.2">
      <c r="A34" s="20"/>
      <c r="B34" s="21"/>
      <c r="C34" s="32"/>
      <c r="D34" s="32"/>
      <c r="E34" s="34"/>
      <c r="F34" s="33"/>
      <c r="G34" s="32"/>
      <c r="H34" s="32"/>
      <c r="I34" s="22"/>
      <c r="J34" s="53"/>
      <c r="K34" s="35"/>
      <c r="L34" s="17"/>
    </row>
    <row r="35" spans="1:12" s="31" customFormat="1" ht="18.75" x14ac:dyDescent="0.2">
      <c r="A35" s="20"/>
      <c r="B35" s="21"/>
      <c r="C35" s="32"/>
      <c r="D35" s="36"/>
      <c r="E35" s="34"/>
      <c r="F35" s="33"/>
      <c r="G35" s="32"/>
      <c r="H35" s="32"/>
      <c r="I35" s="22"/>
      <c r="J35" s="53"/>
      <c r="K35" s="35"/>
      <c r="L35" s="18"/>
    </row>
    <row r="36" spans="1:12" s="31" customFormat="1" ht="18.75" x14ac:dyDescent="0.2">
      <c r="A36" s="20"/>
      <c r="B36" s="21"/>
      <c r="C36" s="32"/>
      <c r="D36" s="32"/>
      <c r="E36" s="34"/>
      <c r="F36" s="33"/>
      <c r="G36" s="32"/>
      <c r="H36" s="32"/>
      <c r="I36" s="22"/>
      <c r="J36" s="53"/>
      <c r="K36" s="53"/>
    </row>
    <row r="37" spans="1:12" s="31" customFormat="1" ht="18.75" x14ac:dyDescent="0.2">
      <c r="A37" s="20"/>
      <c r="B37" s="21"/>
      <c r="C37" s="32"/>
      <c r="D37" s="32"/>
      <c r="E37" s="34"/>
      <c r="F37" s="33"/>
      <c r="G37" s="54"/>
      <c r="H37" s="54"/>
      <c r="I37" s="22"/>
      <c r="J37" s="53"/>
      <c r="K37" s="53"/>
    </row>
    <row r="38" spans="1:12" s="31" customFormat="1" ht="18.75" x14ac:dyDescent="0.2">
      <c r="A38" s="20"/>
      <c r="B38" s="21"/>
      <c r="C38" s="32"/>
      <c r="D38" s="32"/>
      <c r="E38" s="34"/>
      <c r="F38" s="33"/>
      <c r="G38" s="32"/>
      <c r="H38" s="32"/>
      <c r="I38" s="22"/>
      <c r="J38" s="53"/>
      <c r="K38" s="53"/>
    </row>
    <row r="39" spans="1:12" s="31" customFormat="1" ht="18.75" x14ac:dyDescent="0.2">
      <c r="A39" s="20"/>
      <c r="B39" s="21"/>
      <c r="C39" s="32"/>
      <c r="D39" s="32"/>
      <c r="E39" s="34"/>
      <c r="F39" s="33"/>
      <c r="G39" s="32"/>
      <c r="H39" s="32"/>
      <c r="I39" s="22"/>
      <c r="J39" s="53"/>
      <c r="K39" s="53"/>
    </row>
    <row r="40" spans="1:12" s="31" customFormat="1" ht="18.75" x14ac:dyDescent="0.2">
      <c r="A40" s="20"/>
      <c r="B40" s="21"/>
      <c r="C40" s="32"/>
      <c r="D40" s="32"/>
      <c r="E40" s="34"/>
      <c r="F40" s="33"/>
      <c r="G40" s="32"/>
      <c r="H40" s="32"/>
      <c r="I40" s="22"/>
      <c r="J40" s="53"/>
      <c r="K40" s="53"/>
    </row>
    <row r="41" spans="1:12" s="31" customFormat="1" ht="18.75" x14ac:dyDescent="0.2">
      <c r="A41" s="20"/>
      <c r="B41" s="21"/>
      <c r="C41" s="32"/>
      <c r="D41" s="32"/>
      <c r="E41" s="36"/>
      <c r="F41" s="33"/>
      <c r="G41" s="36"/>
      <c r="H41" s="36"/>
      <c r="I41" s="22"/>
      <c r="J41" s="53"/>
      <c r="K41" s="53"/>
    </row>
    <row r="42" spans="1:12" ht="17.25" x14ac:dyDescent="0.25">
      <c r="A42" s="1"/>
      <c r="B42" s="48"/>
      <c r="C42" s="49"/>
      <c r="D42" s="48"/>
      <c r="E42" s="48"/>
      <c r="F42" s="48"/>
      <c r="G42" s="47"/>
      <c r="H42" s="47"/>
      <c r="I42" s="47"/>
      <c r="J42" s="48"/>
      <c r="K42" s="48"/>
    </row>
    <row r="43" spans="1:12" ht="17.25" x14ac:dyDescent="0.25">
      <c r="A43" s="1"/>
      <c r="B43" s="48"/>
      <c r="C43" s="49"/>
      <c r="D43" s="48"/>
      <c r="E43" s="48"/>
      <c r="F43" s="48"/>
      <c r="G43" s="47"/>
      <c r="H43" s="47"/>
      <c r="I43" s="47"/>
      <c r="J43" s="48"/>
      <c r="K43" s="48"/>
    </row>
    <row r="44" spans="1:12" s="27" customFormat="1" ht="21" x14ac:dyDescent="0.2">
      <c r="A44" s="55"/>
      <c r="B44" s="55"/>
      <c r="C44" s="55"/>
      <c r="D44" s="55"/>
      <c r="E44" s="55"/>
      <c r="F44" s="55"/>
      <c r="G44" s="55"/>
      <c r="H44" s="55"/>
      <c r="I44" s="55"/>
      <c r="J44" s="50"/>
      <c r="K44" s="50"/>
    </row>
    <row r="45" spans="1:12" s="27" customFormat="1" x14ac:dyDescent="0.2">
      <c r="A45" s="56"/>
      <c r="B45" s="56"/>
      <c r="C45" s="56"/>
      <c r="D45" s="56"/>
      <c r="E45" s="56"/>
      <c r="F45" s="56"/>
      <c r="G45" s="56"/>
      <c r="H45" s="56"/>
      <c r="I45" s="56"/>
      <c r="J45" s="50"/>
      <c r="K45" s="50"/>
    </row>
    <row r="46" spans="1:12" s="28" customFormat="1" ht="12.75" x14ac:dyDescent="0.2">
      <c r="A46" s="5"/>
      <c r="B46" s="57"/>
      <c r="C46" s="58"/>
      <c r="D46" s="58"/>
      <c r="E46" s="58"/>
      <c r="F46" s="58"/>
      <c r="G46" s="58"/>
      <c r="H46" s="6"/>
      <c r="I46" s="6"/>
      <c r="J46" s="30"/>
      <c r="K46" s="30"/>
    </row>
    <row r="47" spans="1:12" s="30" customFormat="1" ht="18.75" x14ac:dyDescent="0.2">
      <c r="A47" s="7"/>
      <c r="B47" s="57"/>
      <c r="C47" s="58"/>
      <c r="D47" s="58"/>
      <c r="E47" s="58"/>
      <c r="F47" s="59"/>
      <c r="G47" s="60"/>
      <c r="H47" s="29"/>
      <c r="I47" s="8"/>
    </row>
    <row r="48" spans="1:12" ht="18.75" x14ac:dyDescent="0.25">
      <c r="A48" s="9"/>
      <c r="B48" s="57"/>
      <c r="C48" s="3"/>
      <c r="D48" s="3"/>
      <c r="E48" s="3"/>
      <c r="F48" s="51"/>
      <c r="G48" s="3"/>
      <c r="H48" s="3"/>
      <c r="I48" s="13"/>
      <c r="J48" s="48"/>
      <c r="K48" s="48"/>
    </row>
    <row r="49" spans="1:11" s="31" customFormat="1" ht="18.75" x14ac:dyDescent="0.2">
      <c r="A49" s="9"/>
      <c r="B49" s="52"/>
      <c r="C49" s="16"/>
      <c r="D49" s="16"/>
      <c r="E49" s="17"/>
      <c r="F49" s="17"/>
      <c r="G49" s="18"/>
      <c r="H49" s="18"/>
      <c r="I49" s="22"/>
      <c r="J49" s="53"/>
      <c r="K49" s="53"/>
    </row>
    <row r="50" spans="1:11" s="31" customFormat="1" ht="18.75" x14ac:dyDescent="0.2">
      <c r="A50" s="20"/>
      <c r="B50" s="21"/>
      <c r="C50" s="32"/>
      <c r="D50" s="32"/>
      <c r="E50" s="33"/>
      <c r="F50" s="33"/>
      <c r="G50" s="34"/>
      <c r="H50" s="34"/>
      <c r="I50" s="22"/>
      <c r="J50" s="53"/>
      <c r="K50" s="53"/>
    </row>
    <row r="51" spans="1:11" s="31" customFormat="1" ht="18.75" x14ac:dyDescent="0.2">
      <c r="A51" s="20"/>
      <c r="B51" s="21"/>
      <c r="C51" s="32"/>
      <c r="D51" s="32"/>
      <c r="E51" s="34"/>
      <c r="F51" s="33"/>
      <c r="G51" s="32"/>
      <c r="H51" s="32"/>
      <c r="I51" s="22"/>
      <c r="J51" s="53"/>
      <c r="K51" s="53"/>
    </row>
    <row r="52" spans="1:11" s="31" customFormat="1" ht="18.75" x14ac:dyDescent="0.2">
      <c r="A52" s="20"/>
      <c r="B52" s="21"/>
      <c r="C52" s="32"/>
      <c r="D52" s="32"/>
      <c r="E52" s="34"/>
      <c r="F52" s="33"/>
      <c r="G52" s="32"/>
      <c r="H52" s="32"/>
      <c r="I52" s="22"/>
      <c r="J52" s="53"/>
      <c r="K52" s="53"/>
    </row>
    <row r="53" spans="1:11" s="31" customFormat="1" ht="18.75" x14ac:dyDescent="0.2">
      <c r="A53" s="20"/>
      <c r="B53" s="21"/>
      <c r="C53" s="32"/>
      <c r="D53" s="32"/>
      <c r="E53" s="34"/>
      <c r="F53" s="33"/>
      <c r="G53" s="32"/>
      <c r="H53" s="32"/>
      <c r="I53" s="22"/>
      <c r="J53" s="53"/>
      <c r="K53" s="53"/>
    </row>
    <row r="54" spans="1:11" s="31" customFormat="1" ht="18.75" x14ac:dyDescent="0.2">
      <c r="A54" s="20"/>
      <c r="B54" s="21"/>
      <c r="C54" s="32"/>
      <c r="D54" s="32"/>
      <c r="E54" s="34"/>
      <c r="F54" s="33"/>
      <c r="G54" s="32"/>
      <c r="H54" s="32"/>
      <c r="I54" s="22"/>
      <c r="J54" s="53"/>
      <c r="K54" s="53"/>
    </row>
    <row r="55" spans="1:11" s="31" customFormat="1" ht="18.75" x14ac:dyDescent="0.2">
      <c r="A55" s="20"/>
      <c r="B55" s="21"/>
      <c r="C55" s="32"/>
      <c r="D55" s="36"/>
      <c r="E55" s="34"/>
      <c r="F55" s="33"/>
      <c r="G55" s="32"/>
      <c r="H55" s="32"/>
      <c r="I55" s="22"/>
      <c r="J55" s="53"/>
      <c r="K55" s="53"/>
    </row>
    <row r="56" spans="1:11" s="31" customFormat="1" ht="18.75" x14ac:dyDescent="0.2">
      <c r="A56" s="20"/>
      <c r="B56" s="21"/>
      <c r="C56" s="32"/>
      <c r="D56" s="32"/>
      <c r="E56" s="34"/>
      <c r="F56" s="33"/>
      <c r="G56" s="32"/>
      <c r="H56" s="32"/>
      <c r="I56" s="22"/>
      <c r="J56" s="53"/>
      <c r="K56" s="53"/>
    </row>
    <row r="57" spans="1:11" s="31" customFormat="1" ht="18.75" x14ac:dyDescent="0.2">
      <c r="A57" s="20"/>
      <c r="B57" s="21"/>
      <c r="C57" s="32"/>
      <c r="D57" s="32"/>
      <c r="E57" s="34"/>
      <c r="F57" s="33"/>
      <c r="G57" s="54"/>
      <c r="H57" s="54"/>
      <c r="I57" s="22"/>
      <c r="J57" s="53"/>
      <c r="K57" s="53"/>
    </row>
    <row r="58" spans="1:11" s="31" customFormat="1" ht="18.75" x14ac:dyDescent="0.2">
      <c r="A58" s="20"/>
      <c r="B58" s="21"/>
      <c r="C58" s="32"/>
      <c r="D58" s="32"/>
      <c r="E58" s="34"/>
      <c r="F58" s="33"/>
      <c r="G58" s="32"/>
      <c r="H58" s="32"/>
      <c r="I58" s="22"/>
      <c r="J58" s="53"/>
      <c r="K58" s="53"/>
    </row>
    <row r="59" spans="1:11" s="31" customFormat="1" ht="18.75" x14ac:dyDescent="0.2">
      <c r="A59" s="20"/>
      <c r="B59" s="21"/>
      <c r="C59" s="32"/>
      <c r="D59" s="32"/>
      <c r="E59" s="34"/>
      <c r="F59" s="33"/>
      <c r="G59" s="32"/>
      <c r="H59" s="32"/>
      <c r="I59" s="22"/>
      <c r="J59" s="53"/>
      <c r="K59" s="53"/>
    </row>
    <row r="60" spans="1:11" s="31" customFormat="1" ht="18.75" x14ac:dyDescent="0.2">
      <c r="A60" s="20"/>
      <c r="B60" s="21"/>
      <c r="C60" s="32"/>
      <c r="D60" s="32"/>
      <c r="E60" s="34"/>
      <c r="F60" s="33"/>
      <c r="G60" s="32"/>
      <c r="H60" s="32"/>
      <c r="I60" s="22"/>
      <c r="J60" s="53"/>
      <c r="K60" s="53"/>
    </row>
    <row r="61" spans="1:11" s="31" customFormat="1" ht="18.75" x14ac:dyDescent="0.2">
      <c r="A61" s="20"/>
      <c r="B61" s="21"/>
      <c r="C61" s="32"/>
      <c r="D61" s="32"/>
      <c r="E61" s="36"/>
      <c r="F61" s="33"/>
      <c r="G61" s="36"/>
      <c r="H61" s="36"/>
      <c r="I61" s="22"/>
      <c r="J61" s="53"/>
      <c r="K61" s="53"/>
    </row>
    <row r="62" spans="1:11" ht="17.25" x14ac:dyDescent="0.25">
      <c r="A62" s="1"/>
      <c r="B62" s="48"/>
      <c r="C62" s="49"/>
      <c r="D62" s="48"/>
      <c r="E62" s="48"/>
      <c r="F62" s="48"/>
      <c r="G62" s="47"/>
      <c r="H62" s="47"/>
      <c r="I62" s="47"/>
      <c r="J62" s="48"/>
      <c r="K62" s="48"/>
    </row>
    <row r="63" spans="1:11" ht="17.25" x14ac:dyDescent="0.25">
      <c r="A63" s="1"/>
      <c r="G63" s="2"/>
      <c r="H63" s="2"/>
      <c r="I63" s="2"/>
    </row>
    <row r="64" spans="1:11" ht="17.25" x14ac:dyDescent="0.25">
      <c r="A64" s="1"/>
      <c r="G64" s="2"/>
      <c r="H64" s="2"/>
      <c r="I64" s="2"/>
    </row>
    <row r="65" spans="1:18" ht="17.25" x14ac:dyDescent="0.25">
      <c r="A65" s="1"/>
      <c r="G65" s="2"/>
      <c r="H65" s="2"/>
      <c r="I65" s="2"/>
    </row>
    <row r="66" spans="1:18" ht="17.25" x14ac:dyDescent="0.25">
      <c r="A66" s="1"/>
      <c r="G66" s="2"/>
      <c r="H66" s="2"/>
      <c r="I66" s="2"/>
    </row>
    <row r="70" spans="1:18" x14ac:dyDescent="0.25">
      <c r="Q70" s="44"/>
      <c r="R70" s="45"/>
    </row>
    <row r="71" spans="1:18" x14ac:dyDescent="0.25">
      <c r="Q71" s="44"/>
      <c r="R71" s="45"/>
    </row>
    <row r="72" spans="1:18" x14ac:dyDescent="0.25">
      <c r="Q72" s="44"/>
      <c r="R72" s="45"/>
    </row>
    <row r="73" spans="1:18" x14ac:dyDescent="0.25">
      <c r="Q73" s="44"/>
      <c r="R73" s="45"/>
    </row>
    <row r="74" spans="1:18" x14ac:dyDescent="0.25">
      <c r="K74" s="46"/>
      <c r="Q74" s="44"/>
      <c r="R74" s="45"/>
    </row>
  </sheetData>
  <mergeCells count="25">
    <mergeCell ref="A1:I1"/>
    <mergeCell ref="A2:I2"/>
    <mergeCell ref="B3:B5"/>
    <mergeCell ref="C3:C4"/>
    <mergeCell ref="D3:D4"/>
    <mergeCell ref="E3:E4"/>
    <mergeCell ref="F3:F4"/>
    <mergeCell ref="G3:G4"/>
    <mergeCell ref="H3:H4"/>
    <mergeCell ref="A24:I24"/>
    <mergeCell ref="A25:I25"/>
    <mergeCell ref="B26:B28"/>
    <mergeCell ref="C26:C27"/>
    <mergeCell ref="D26:D27"/>
    <mergeCell ref="E26:E27"/>
    <mergeCell ref="F26:F27"/>
    <mergeCell ref="G26:G27"/>
    <mergeCell ref="A44:I44"/>
    <mergeCell ref="A45:I45"/>
    <mergeCell ref="B46:B48"/>
    <mergeCell ref="C46:C47"/>
    <mergeCell ref="D46:D47"/>
    <mergeCell ref="E46:E47"/>
    <mergeCell ref="F46:F47"/>
    <mergeCell ref="G46:G47"/>
  </mergeCells>
  <conditionalFormatting sqref="C49">
    <cfRule type="duplicateValues" dxfId="11" priority="11"/>
    <cfRule type="duplicateValues" dxfId="10" priority="12"/>
  </conditionalFormatting>
  <conditionalFormatting sqref="C50:C61">
    <cfRule type="duplicateValues" dxfId="9" priority="9"/>
    <cfRule type="duplicateValues" dxfId="8" priority="10"/>
  </conditionalFormatting>
  <conditionalFormatting sqref="C29">
    <cfRule type="duplicateValues" dxfId="7" priority="7"/>
    <cfRule type="duplicateValues" dxfId="6" priority="8"/>
  </conditionalFormatting>
  <conditionalFormatting sqref="C30:C41">
    <cfRule type="duplicateValues" dxfId="5" priority="5"/>
    <cfRule type="duplicateValues" dxfId="4" priority="6"/>
  </conditionalFormatting>
  <conditionalFormatting sqref="L31">
    <cfRule type="duplicateValues" dxfId="3" priority="3"/>
    <cfRule type="duplicateValues" dxfId="2" priority="4"/>
  </conditionalFormatting>
  <conditionalFormatting sqref="C6">
    <cfRule type="duplicateValues" dxfId="1" priority="1"/>
    <cfRule type="duplicateValues" dxfId="0" priority="2"/>
  </conditionalFormatting>
  <pageMargins left="0.7" right="0.7" top="0.75" bottom="0.75" header="0.3" footer="0.3"/>
  <pageSetup paperSize="9" scale="97" orientation="landscape" horizontalDpi="4294967295" verticalDpi="4294967295" r:id="rId1"/>
  <rowBreaks count="1" manualBreakCount="1">
    <brk id="20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18.18</vt:lpstr>
      <vt:lpstr>'18.18'!Print_Area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2017-07-04T09:05:45Z</cp:lastPrinted>
  <dcterms:modified xsi:type="dcterms:W3CDTF">2017-07-04T09:05:47Z</dcterms:modified>
</cp:coreProperties>
</file>