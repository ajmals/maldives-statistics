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30" yWindow="570" windowWidth="27495" windowHeight="11700" tabRatio="702"/>
  </bookViews>
  <sheets>
    <sheet name="18.12" sheetId="12" r:id="rId1"/>
  </sheets>
  <externalReferences>
    <externalReference r:id="rId2"/>
    <externalReference r:id="rId3"/>
  </externalReferences>
  <definedNames>
    <definedName name="_xlnm.Print_Area" localSheetId="0">'18.12'!$A$1:$J$71</definedName>
  </definedNames>
  <calcPr calcId="144525"/>
</workbook>
</file>

<file path=xl/calcChain.xml><?xml version="1.0" encoding="utf-8"?>
<calcChain xmlns="http://schemas.openxmlformats.org/spreadsheetml/2006/main">
  <c r="B112" i="12" l="1"/>
  <c r="C112" i="12" s="1"/>
  <c r="G31" i="12" l="1"/>
  <c r="G30" i="12"/>
  <c r="G29" i="12"/>
  <c r="G28" i="12"/>
  <c r="G27" i="12"/>
  <c r="G26" i="12"/>
  <c r="G25" i="12"/>
  <c r="G24" i="12"/>
  <c r="G23" i="12"/>
  <c r="G22" i="12"/>
  <c r="G21" i="12"/>
  <c r="G20" i="12"/>
  <c r="G19" i="12"/>
  <c r="G18" i="12"/>
  <c r="G17" i="12"/>
  <c r="G16" i="12"/>
  <c r="G15" i="12"/>
  <c r="G14" i="12"/>
  <c r="G13" i="12"/>
  <c r="G12" i="12"/>
  <c r="G11" i="12"/>
  <c r="G10" i="12"/>
  <c r="G9" i="12"/>
  <c r="G8" i="12"/>
  <c r="G7" i="12"/>
  <c r="F6" i="12"/>
  <c r="AF37" i="12" s="1"/>
  <c r="E6" i="12"/>
  <c r="AE37" i="12" s="1"/>
  <c r="D6" i="12"/>
  <c r="AD37" i="12" s="1"/>
  <c r="C6" i="12"/>
  <c r="AC37" i="12" s="1"/>
  <c r="B6" i="12"/>
  <c r="AB37" i="12" s="1"/>
  <c r="G6" i="12" l="1"/>
  <c r="H31" i="12" s="1"/>
  <c r="AG37" i="12"/>
  <c r="H17" i="12" l="1"/>
  <c r="H19" i="12"/>
  <c r="H16" i="12"/>
  <c r="H10" i="12"/>
  <c r="H21" i="12"/>
  <c r="H20" i="12"/>
  <c r="H12" i="12"/>
  <c r="H25" i="12"/>
  <c r="H8" i="12"/>
  <c r="H29" i="12"/>
  <c r="H15" i="12"/>
  <c r="H9" i="12"/>
  <c r="H23" i="12"/>
  <c r="H14" i="12"/>
  <c r="H13" i="12"/>
  <c r="H27" i="12"/>
  <c r="H30" i="12"/>
  <c r="H26" i="12"/>
  <c r="H22" i="12"/>
  <c r="H18" i="12"/>
  <c r="H28" i="12"/>
  <c r="H24" i="12"/>
  <c r="H7" i="12"/>
  <c r="H11" i="12"/>
  <c r="H6" i="12" l="1"/>
</calcChain>
</file>

<file path=xl/sharedStrings.xml><?xml version="1.0" encoding="utf-8"?>
<sst xmlns="http://schemas.openxmlformats.org/spreadsheetml/2006/main" count="98" uniqueCount="66">
  <si>
    <t>% share</t>
  </si>
  <si>
    <t>ޖުމްލަ</t>
  </si>
  <si>
    <t>Total</t>
  </si>
  <si>
    <t>Source: Maldives Pension Administration</t>
  </si>
  <si>
    <t>މަޢުލޫމާތު ދެއްވި ފަރާތް: މޯލްޑިވްސް ޕެންޝަން އެޑްމިނިސްޓްރޭޝަން</t>
  </si>
  <si>
    <t>ތާވަލު  18.12 : އެކި ދާއިރާތަކުން ރިޓާޔަމަންޓް ޕެންޝަން ސްކީމްގައި ރެޖިސްޓްރީކޮށްފައިވާ ތަންތަނުގެ ޢަދަދު، ތަނުގެމުވައްޒަފުންގެ ގިންތިން ، 2016</t>
  </si>
  <si>
    <t>TABLE   18.12:   ESTABLISHMENTS REGISTERED IN THE RETIREMENT PENSION SCHEME, BY EMPLOYMENT SIZE, END 2016</t>
  </si>
  <si>
    <t>Sector</t>
  </si>
  <si>
    <t xml:space="preserve">Establishments by Employment size </t>
  </si>
  <si>
    <t xml:space="preserve">މަސައްކަތްކުރާ ތަނުގެ ދާއިރާ </t>
  </si>
  <si>
    <t>0-9</t>
  </si>
  <si>
    <t>10-49</t>
  </si>
  <si>
    <t>50-99</t>
  </si>
  <si>
    <t>100-299</t>
  </si>
  <si>
    <t>&gt;300</t>
  </si>
  <si>
    <t>Agriculture</t>
  </si>
  <si>
    <t>ދަނޑުވެރިކަން</t>
  </si>
  <si>
    <t>Air Transportation</t>
  </si>
  <si>
    <t>ވައިގެ ދަތުރުފަތުރު</t>
  </si>
  <si>
    <t>Clothing industry</t>
  </si>
  <si>
    <t xml:space="preserve">އަންނައުނު </t>
  </si>
  <si>
    <t>Coffee, tea shops</t>
  </si>
  <si>
    <t>ކޮފީ ޝޮޕް، ސައި ހޮޓާ</t>
  </si>
  <si>
    <t>Construction</t>
  </si>
  <si>
    <t>އިމާރާތްކުރުން</t>
  </si>
  <si>
    <t>Electricity</t>
  </si>
  <si>
    <t>ކަރަންޓް</t>
  </si>
  <si>
    <t>Financial sector, Banks, Investment Funds, Insurance companies Investment</t>
  </si>
  <si>
    <t>ފައިސާގެ ޚިދުމަތް، ބެންކް، އިންވެސްޓްމަންޓް ފަންޑް، އިންޝުއަރެންސް ކުންފުނިތަކުގެ އިންވެސްޓްމަންޓް</t>
  </si>
  <si>
    <t>Fishing Industry</t>
  </si>
  <si>
    <t>މަސްވެރިކަމުގެ ދާއިރާ</t>
  </si>
  <si>
    <t>Garbage, and Recycling industry</t>
  </si>
  <si>
    <t>ކުނި އަދި ރީސައިކަލްކުރުން</t>
  </si>
  <si>
    <t>Government agencies, public institutions</t>
  </si>
  <si>
    <t xml:space="preserve">ސަރުކާރުގެ އޮފީސްތަކާއި ކުންފުނިތައް </t>
  </si>
  <si>
    <t>Health Sector, hospitals, clinics</t>
  </si>
  <si>
    <t>ޞިއްޚީ ޙިދުމަތް، ހޮސްޕިޓަލް އަދި ކްލިނިކްތައް</t>
  </si>
  <si>
    <t>Hotels, Tourist resorts, travel agencies</t>
  </si>
  <si>
    <t>ހޮޓާ، ރިސޯޓް، ޓްރެވަލް އޭޖެންސީ</t>
  </si>
  <si>
    <t xml:space="preserve">Housing Development </t>
  </si>
  <si>
    <t>ހައުސިންގ ޑިވެލޮޕްމަންޓް</t>
  </si>
  <si>
    <t>Land Transportation, taxis, buses etc</t>
  </si>
  <si>
    <t>އެއްގަމު ދަތުރުފަތުރު، ޓެކްސީ، ބަސް ފަދަ</t>
  </si>
  <si>
    <t>Mining Industry</t>
  </si>
  <si>
    <t>ގަލާއި ވެލިނެގުން</t>
  </si>
  <si>
    <t>Pharmacies</t>
  </si>
  <si>
    <t>ބޭސް ފިހާރަތައް</t>
  </si>
  <si>
    <t>Restaurants</t>
  </si>
  <si>
    <t>ރެސްޓޯރަންޓްތައް</t>
  </si>
  <si>
    <t>Sales of Motor Vehicles</t>
  </si>
  <si>
    <t>ސްޕެއަރޕާޓް ވިއްކުން</t>
  </si>
  <si>
    <t>Schools and educational centers</t>
  </si>
  <si>
    <t>ސްކޫލްތަކާއި ތަޢުލީމްދޭ މަރުކަޒުތައް</t>
  </si>
  <si>
    <t>Sea Transportation, shipping</t>
  </si>
  <si>
    <t xml:space="preserve">ކަނޑުދަތުރުފަތުރު، ޝިޕިންގ </t>
  </si>
  <si>
    <t>Shops, small and medium commercial retail</t>
  </si>
  <si>
    <t>ކުދި އަދި މެދުފަންތީގެ ވިޔަފާރި</t>
  </si>
  <si>
    <t>Telecommunications</t>
  </si>
  <si>
    <t>މުވާސަލާތީ ޚިދުމަތް</t>
  </si>
  <si>
    <t>Water processing</t>
  </si>
  <si>
    <t>ފެން އުފެއްދުން</t>
  </si>
  <si>
    <t>Wholesale retailers</t>
  </si>
  <si>
    <t>ހޯލްސޭލް ރީޓެއިލާރސް</t>
  </si>
  <si>
    <t>Others</t>
  </si>
  <si>
    <t>އެހެނިހެން</t>
  </si>
  <si>
    <t>establishments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</si>
</sst>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_(* #,##0_);_(* \(#,##0\);_(* &quot;-&quot;??_);_(@_)"/>
    <numFmt numFmtId="165" formatCode="0.0"/>
  </numFmts>
  <fonts count="10" x14ac:knownFonts="1">
    <font>
      <sz val="11"/>
      <color rgb="FF000000"/>
      <name val="Calibri"/>
    </font>
    <font>
      <b/>
      <sz val="11"/>
      <color rgb="FF000000"/>
      <name val="Faruma"/>
    </font>
    <font>
      <sz val="1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Faruma"/>
    </font>
    <font>
      <i/>
      <sz val="10"/>
      <color rgb="FF000000"/>
      <name val="Calibri"/>
      <family val="2"/>
    </font>
    <font>
      <sz val="9"/>
      <color rgb="FF000000"/>
      <name val="Calibri"/>
      <family val="2"/>
    </font>
    <font>
      <sz val="9"/>
      <color rgb="FF000000"/>
      <name val="Faruma"/>
    </font>
    <font>
      <sz val="10"/>
      <name val="Arial"/>
      <family val="2"/>
    </font>
    <font>
      <sz val="10"/>
      <name val="Courier"/>
      <family val="3"/>
    </font>
  </fonts>
  <fills count="5">
    <fill>
      <patternFill patternType="none"/>
    </fill>
    <fill>
      <patternFill patternType="gray125"/>
    </fill>
    <fill>
      <patternFill patternType="solid">
        <fgColor theme="0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C2D69B"/>
      </patternFill>
    </fill>
  </fills>
  <borders count="5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</borders>
  <cellStyleXfs count="3">
    <xf numFmtId="0" fontId="0" fillId="0" borderId="0"/>
    <xf numFmtId="164" fontId="9" fillId="0" borderId="0"/>
    <xf numFmtId="0" fontId="8" fillId="0" borderId="0"/>
  </cellStyleXfs>
  <cellXfs count="41">
    <xf numFmtId="0" fontId="0" fillId="0" borderId="0" xfId="0" applyFont="1" applyAlignment="1"/>
    <xf numFmtId="0" fontId="0" fillId="2" borderId="0" xfId="0" applyFont="1" applyFill="1" applyBorder="1"/>
    <xf numFmtId="0" fontId="0" fillId="3" borderId="0" xfId="0" applyFont="1" applyFill="1" applyAlignment="1"/>
    <xf numFmtId="0" fontId="3" fillId="2" borderId="0" xfId="0" applyFont="1" applyFill="1" applyBorder="1"/>
    <xf numFmtId="0" fontId="0" fillId="2" borderId="0" xfId="0" applyFont="1" applyFill="1" applyBorder="1" applyAlignment="1">
      <alignment vertical="center"/>
    </xf>
    <xf numFmtId="0" fontId="1" fillId="2" borderId="0" xfId="0" applyFont="1" applyFill="1" applyBorder="1" applyAlignment="1"/>
    <xf numFmtId="0" fontId="4" fillId="2" borderId="0" xfId="0" applyFont="1" applyFill="1" applyBorder="1" applyAlignment="1"/>
    <xf numFmtId="0" fontId="4" fillId="2" borderId="3" xfId="0" applyFont="1" applyFill="1" applyBorder="1" applyAlignment="1"/>
    <xf numFmtId="0" fontId="5" fillId="2" borderId="0" xfId="0" applyFont="1" applyFill="1" applyBorder="1" applyAlignment="1">
      <alignment vertical="center"/>
    </xf>
    <xf numFmtId="43" fontId="0" fillId="2" borderId="0" xfId="0" applyNumberFormat="1" applyFont="1" applyFill="1" applyBorder="1"/>
    <xf numFmtId="0" fontId="0" fillId="2" borderId="0" xfId="0" applyFont="1" applyFill="1" applyBorder="1" applyAlignment="1">
      <alignment horizontal="left" vertical="center"/>
    </xf>
    <xf numFmtId="3" fontId="0" fillId="2" borderId="0" xfId="0" applyNumberFormat="1" applyFont="1" applyFill="1" applyBorder="1" applyAlignment="1">
      <alignment horizontal="right" vertical="center"/>
    </xf>
    <xf numFmtId="3" fontId="0" fillId="4" borderId="0" xfId="0" applyNumberFormat="1" applyFont="1" applyFill="1" applyBorder="1" applyAlignment="1">
      <alignment horizontal="right" vertical="center"/>
    </xf>
    <xf numFmtId="3" fontId="0" fillId="2" borderId="0" xfId="0" applyNumberFormat="1" applyFont="1" applyFill="1" applyBorder="1"/>
    <xf numFmtId="0" fontId="0" fillId="2" borderId="3" xfId="0" applyFont="1" applyFill="1" applyBorder="1" applyAlignment="1">
      <alignment horizontal="left" vertical="center"/>
    </xf>
    <xf numFmtId="3" fontId="0" fillId="2" borderId="3" xfId="0" applyNumberFormat="1" applyFont="1" applyFill="1" applyBorder="1" applyAlignment="1">
      <alignment horizontal="right" vertical="center"/>
    </xf>
    <xf numFmtId="3" fontId="0" fillId="4" borderId="3" xfId="0" applyNumberFormat="1" applyFont="1" applyFill="1" applyBorder="1" applyAlignment="1">
      <alignment horizontal="right" vertical="center"/>
    </xf>
    <xf numFmtId="0" fontId="6" fillId="2" borderId="0" xfId="0" applyFont="1" applyFill="1" applyBorder="1"/>
    <xf numFmtId="0" fontId="7" fillId="2" borderId="0" xfId="0" applyFont="1" applyFill="1" applyBorder="1" applyAlignment="1"/>
    <xf numFmtId="3" fontId="3" fillId="2" borderId="1" xfId="0" applyNumberFormat="1" applyFont="1" applyFill="1" applyBorder="1" applyAlignment="1">
      <alignment horizontal="right" vertical="center"/>
    </xf>
    <xf numFmtId="0" fontId="0" fillId="2" borderId="0" xfId="0" applyFont="1" applyFill="1" applyBorder="1" applyAlignment="1">
      <alignment horizontal="left" vertical="center" wrapText="1"/>
    </xf>
    <xf numFmtId="165" fontId="0" fillId="2" borderId="0" xfId="0" applyNumberFormat="1" applyFont="1" applyFill="1" applyBorder="1" applyAlignment="1">
      <alignment horizontal="right" vertical="center"/>
    </xf>
    <xf numFmtId="0" fontId="4" fillId="2" borderId="0" xfId="0" applyFont="1" applyFill="1" applyBorder="1" applyAlignment="1">
      <alignment horizontal="right" vertical="center" wrapText="1"/>
    </xf>
    <xf numFmtId="0" fontId="3" fillId="2" borderId="1" xfId="0" applyFont="1" applyFill="1" applyBorder="1" applyAlignment="1">
      <alignment horizontal="left" vertical="center"/>
    </xf>
    <xf numFmtId="0" fontId="3" fillId="2" borderId="0" xfId="0" applyFont="1" applyFill="1" applyBorder="1" applyAlignment="1">
      <alignment horizontal="center" vertical="center"/>
    </xf>
    <xf numFmtId="49" fontId="3" fillId="2" borderId="3" xfId="0" applyNumberFormat="1" applyFont="1" applyFill="1" applyBorder="1" applyAlignment="1">
      <alignment horizontal="right" vertical="center"/>
    </xf>
    <xf numFmtId="49" fontId="3" fillId="2" borderId="4" xfId="0" applyNumberFormat="1" applyFont="1" applyFill="1" applyBorder="1" applyAlignment="1">
      <alignment horizontal="right" vertical="center"/>
    </xf>
    <xf numFmtId="3" fontId="0" fillId="4" borderId="0" xfId="0" applyNumberFormat="1" applyFont="1" applyFill="1" applyBorder="1" applyAlignment="1">
      <alignment horizontal="right" vertical="center" wrapText="1"/>
    </xf>
    <xf numFmtId="3" fontId="0" fillId="2" borderId="0" xfId="0" applyNumberFormat="1" applyFont="1" applyFill="1" applyBorder="1" applyAlignment="1">
      <alignment horizontal="right" vertical="center" wrapText="1"/>
    </xf>
    <xf numFmtId="0" fontId="0" fillId="2" borderId="0" xfId="0" applyFont="1" applyFill="1" applyBorder="1" applyAlignment="1">
      <alignment horizontal="right" vertical="center" wrapText="1"/>
    </xf>
    <xf numFmtId="165" fontId="0" fillId="2" borderId="3" xfId="0" applyNumberFormat="1" applyFont="1" applyFill="1" applyBorder="1" applyAlignment="1">
      <alignment horizontal="right" vertical="center"/>
    </xf>
    <xf numFmtId="49" fontId="0" fillId="2" borderId="0" xfId="0" applyNumberFormat="1" applyFont="1" applyFill="1" applyBorder="1"/>
    <xf numFmtId="0" fontId="3" fillId="2" borderId="0" xfId="0" applyFont="1" applyFill="1" applyBorder="1" applyAlignment="1">
      <alignment horizontal="center" vertical="center"/>
    </xf>
    <xf numFmtId="0" fontId="2" fillId="3" borderId="0" xfId="0" applyFont="1" applyFill="1" applyBorder="1"/>
    <xf numFmtId="0" fontId="3" fillId="2" borderId="2" xfId="0" applyFont="1" applyFill="1" applyBorder="1" applyAlignment="1">
      <alignment horizontal="center" vertical="center"/>
    </xf>
    <xf numFmtId="0" fontId="2" fillId="3" borderId="2" xfId="0" applyFont="1" applyFill="1" applyBorder="1"/>
    <xf numFmtId="0" fontId="3" fillId="2" borderId="1" xfId="0" applyFont="1" applyFill="1" applyBorder="1" applyAlignment="1">
      <alignment horizontal="left" vertical="center"/>
    </xf>
    <xf numFmtId="0" fontId="2" fillId="3" borderId="3" xfId="0" applyFont="1" applyFill="1" applyBorder="1"/>
    <xf numFmtId="0" fontId="1" fillId="2" borderId="1" xfId="0" applyFont="1" applyFill="1" applyBorder="1" applyAlignment="1">
      <alignment horizontal="right" vertical="center"/>
    </xf>
    <xf numFmtId="0" fontId="1" fillId="2" borderId="0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right" vertical="center"/>
    </xf>
  </cellXfs>
  <cellStyles count="3">
    <cellStyle name="Normal" xfId="0" builtinId="0"/>
    <cellStyle name="Normal 2" xfId="1"/>
    <cellStyle name="Normal 5" xfId="2"/>
  </cellStyles>
  <dxfs count="0"/>
  <tableStyles count="0" defaultTableStyle="TableStyleMedium2" defaultPivotStyle="PivotStyleLight16"/>
  <colors>
    <mruColors>
      <color rgb="FFF8A45E"/>
      <color rgb="FF953735"/>
      <color rgb="FFFAC02C"/>
      <color rgb="FFFAC090"/>
      <color rgb="FFFDEADA"/>
      <color rgb="FFFF3399"/>
      <color rgb="FFFFE5F2"/>
      <color rgb="FFFFD5EA"/>
      <color rgb="FFFFC5E2"/>
      <color rgb="FFFF85C2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9.9058962503189102E-2"/>
          <c:y val="0.23107109904777262"/>
          <c:w val="0.87629120927127779"/>
          <c:h val="0.63099226931104602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'18.12'!$AA$37</c:f>
              <c:strCache>
                <c:ptCount val="1"/>
                <c:pt idx="0">
                  <c:v>establishments</c:v>
                </c:pt>
              </c:strCache>
            </c:strRef>
          </c:tx>
          <c:spPr>
            <a:solidFill>
              <a:srgbClr val="C0504D"/>
            </a:solidFill>
          </c:spPr>
          <c:invertIfNegative val="1"/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'18.12'!$AB$36:$AF$36</c:f>
              <c:strCache>
                <c:ptCount val="5"/>
                <c:pt idx="0">
                  <c:v>0-9</c:v>
                </c:pt>
                <c:pt idx="1">
                  <c:v>10-49</c:v>
                </c:pt>
                <c:pt idx="2">
                  <c:v>50-99</c:v>
                </c:pt>
                <c:pt idx="3">
                  <c:v>100-299</c:v>
                </c:pt>
                <c:pt idx="4">
                  <c:v>&gt;300</c:v>
                </c:pt>
              </c:strCache>
            </c:strRef>
          </c:cat>
          <c:val>
            <c:numRef>
              <c:f>'18.12'!$AB$37:$AF$37</c:f>
              <c:numCache>
                <c:formatCode>#,##0</c:formatCode>
                <c:ptCount val="5"/>
                <c:pt idx="0">
                  <c:v>880</c:v>
                </c:pt>
                <c:pt idx="1">
                  <c:v>509</c:v>
                </c:pt>
                <c:pt idx="2">
                  <c:v>137</c:v>
                </c:pt>
                <c:pt idx="3">
                  <c:v>139</c:v>
                </c:pt>
                <c:pt idx="4">
                  <c:v>44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7961088"/>
        <c:axId val="97962624"/>
      </c:barChart>
      <c:catAx>
        <c:axId val="97961088"/>
        <c:scaling>
          <c:orientation val="minMax"/>
        </c:scaling>
        <c:delete val="0"/>
        <c:axPos val="b"/>
        <c:majorTickMark val="cross"/>
        <c:minorTickMark val="cross"/>
        <c:tickLblPos val="nextTo"/>
        <c:txPr>
          <a:bodyPr/>
          <a:lstStyle/>
          <a:p>
            <a:pPr lvl="0">
              <a:defRPr sz="1100" b="1" i="0"/>
            </a:pPr>
            <a:endParaRPr lang="en-US"/>
          </a:p>
        </c:txPr>
        <c:crossAx val="97962624"/>
        <c:crosses val="autoZero"/>
        <c:auto val="1"/>
        <c:lblAlgn val="ctr"/>
        <c:lblOffset val="100"/>
        <c:noMultiLvlLbl val="1"/>
      </c:catAx>
      <c:valAx>
        <c:axId val="97962624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title>
          <c:tx>
            <c:rich>
              <a:bodyPr/>
              <a:lstStyle/>
              <a:p>
                <a:pPr lvl="0">
                  <a:defRPr b="0" i="0"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1.4272623378802017E-2"/>
              <c:y val="0.35234634919781788"/>
            </c:manualLayout>
          </c:layout>
          <c:overlay val="0"/>
        </c:title>
        <c:numFmt formatCode="#,##0" sourceLinked="1"/>
        <c:majorTickMark val="cross"/>
        <c:minorTickMark val="cross"/>
        <c:tickLblPos val="nextTo"/>
        <c:spPr>
          <a:ln w="47625">
            <a:noFill/>
          </a:ln>
        </c:spPr>
        <c:txPr>
          <a:bodyPr/>
          <a:lstStyle/>
          <a:p>
            <a:pPr lvl="0">
              <a:defRPr/>
            </a:pPr>
            <a:endParaRPr lang="en-US"/>
          </a:p>
        </c:txPr>
        <c:crossAx val="97961088"/>
        <c:crosses val="autoZero"/>
        <c:crossBetween val="between"/>
      </c:valAx>
      <c:spPr>
        <a:solidFill>
          <a:schemeClr val="bg1"/>
        </a:solidFill>
        <a:ln>
          <a:solidFill>
            <a:schemeClr val="bg1">
              <a:lumMod val="75000"/>
            </a:schemeClr>
          </a:solidFill>
        </a:ln>
      </c:spPr>
    </c:plotArea>
    <c:plotVisOnly val="1"/>
    <c:dispBlanksAs val="zero"/>
    <c:showDLblsOverMax val="1"/>
  </c:chart>
  <c:spPr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7.9496680095815689E-2"/>
          <c:y val="0.14817546687763775"/>
          <c:w val="0.89411978685898819"/>
          <c:h val="0.36677698177357632"/>
        </c:manualLayout>
      </c:layout>
      <c:barChart>
        <c:barDir val="col"/>
        <c:grouping val="clustered"/>
        <c:varyColors val="1"/>
        <c:ser>
          <c:idx val="0"/>
          <c:order val="0"/>
          <c:spPr>
            <a:solidFill>
              <a:srgbClr val="C0504D"/>
            </a:solidFill>
          </c:spPr>
          <c:invertIfNegative val="1"/>
          <c:cat>
            <c:strRef>
              <c:f>'18.12'!$A$93:$A$110</c:f>
              <c:strCache>
                <c:ptCount val="18"/>
                <c:pt idx="0">
                  <c:v>Government agencies, public institutions</c:v>
                </c:pt>
                <c:pt idx="1">
                  <c:v>Hotels, Tourist resorts, travel agencies</c:v>
                </c:pt>
                <c:pt idx="2">
                  <c:v>Shops, small and medium commercial retail</c:v>
                </c:pt>
                <c:pt idx="3">
                  <c:v>Others</c:v>
                </c:pt>
                <c:pt idx="4">
                  <c:v>Construction</c:v>
                </c:pt>
                <c:pt idx="5">
                  <c:v>Wholesale retailers</c:v>
                </c:pt>
                <c:pt idx="6">
                  <c:v>Financial sector, Banks, Investment Funds, Insurance companies Investment</c:v>
                </c:pt>
                <c:pt idx="7">
                  <c:v>Sea Transportation, shipping</c:v>
                </c:pt>
                <c:pt idx="8">
                  <c:v>Schools and educational centers</c:v>
                </c:pt>
                <c:pt idx="9">
                  <c:v>Health Sector, hospitals, clinics</c:v>
                </c:pt>
                <c:pt idx="10">
                  <c:v>Telecommunications</c:v>
                </c:pt>
                <c:pt idx="11">
                  <c:v>Air Transportation</c:v>
                </c:pt>
                <c:pt idx="12">
                  <c:v>Restaurants</c:v>
                </c:pt>
                <c:pt idx="13">
                  <c:v>Fishing Industry</c:v>
                </c:pt>
                <c:pt idx="14">
                  <c:v>Agriculture</c:v>
                </c:pt>
                <c:pt idx="15">
                  <c:v>Electricity</c:v>
                </c:pt>
                <c:pt idx="16">
                  <c:v>Coffee, tea shops</c:v>
                </c:pt>
                <c:pt idx="17">
                  <c:v>Pharmacies</c:v>
                </c:pt>
              </c:strCache>
            </c:strRef>
          </c:cat>
          <c:val>
            <c:numRef>
              <c:f>'18.12'!$B$93:$B$110</c:f>
              <c:numCache>
                <c:formatCode>General</c:formatCode>
                <c:ptCount val="18"/>
                <c:pt idx="0">
                  <c:v>383</c:v>
                </c:pt>
                <c:pt idx="1">
                  <c:v>288</c:v>
                </c:pt>
                <c:pt idx="2">
                  <c:v>263</c:v>
                </c:pt>
                <c:pt idx="3">
                  <c:v>230</c:v>
                </c:pt>
                <c:pt idx="4">
                  <c:v>114</c:v>
                </c:pt>
                <c:pt idx="5">
                  <c:v>114</c:v>
                </c:pt>
                <c:pt idx="6">
                  <c:v>77</c:v>
                </c:pt>
                <c:pt idx="7">
                  <c:v>48</c:v>
                </c:pt>
                <c:pt idx="8">
                  <c:v>44</c:v>
                </c:pt>
                <c:pt idx="9">
                  <c:v>37</c:v>
                </c:pt>
                <c:pt idx="10">
                  <c:v>24</c:v>
                </c:pt>
                <c:pt idx="11">
                  <c:v>19</c:v>
                </c:pt>
                <c:pt idx="12">
                  <c:v>16</c:v>
                </c:pt>
                <c:pt idx="13">
                  <c:v>14</c:v>
                </c:pt>
                <c:pt idx="14">
                  <c:v>11</c:v>
                </c:pt>
                <c:pt idx="15">
                  <c:v>10</c:v>
                </c:pt>
                <c:pt idx="16">
                  <c:v>9</c:v>
                </c:pt>
                <c:pt idx="17">
                  <c:v>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9265152"/>
        <c:axId val="99283328"/>
      </c:barChart>
      <c:catAx>
        <c:axId val="99265152"/>
        <c:scaling>
          <c:orientation val="minMax"/>
        </c:scaling>
        <c:delete val="0"/>
        <c:axPos val="b"/>
        <c:majorTickMark val="cross"/>
        <c:minorTickMark val="cross"/>
        <c:tickLblPos val="nextTo"/>
        <c:txPr>
          <a:bodyPr rot="-5400000" vert="horz"/>
          <a:lstStyle/>
          <a:p>
            <a:pPr lvl="0">
              <a:defRPr sz="1000" b="0" i="0"/>
            </a:pPr>
            <a:endParaRPr lang="en-US"/>
          </a:p>
        </c:txPr>
        <c:crossAx val="99283328"/>
        <c:crosses val="autoZero"/>
        <c:auto val="1"/>
        <c:lblAlgn val="ctr"/>
        <c:lblOffset val="100"/>
        <c:noMultiLvlLbl val="1"/>
      </c:catAx>
      <c:valAx>
        <c:axId val="99283328"/>
        <c:scaling>
          <c:orientation val="minMax"/>
        </c:scaling>
        <c:delete val="0"/>
        <c:axPos val="l"/>
        <c:majorGridlines>
          <c:spPr>
            <a:ln>
              <a:solidFill>
                <a:schemeClr val="bg1"/>
              </a:solidFill>
            </a:ln>
          </c:spPr>
        </c:majorGridlines>
        <c:numFmt formatCode="General" sourceLinked="1"/>
        <c:majorTickMark val="cross"/>
        <c:minorTickMark val="cross"/>
        <c:tickLblPos val="nextTo"/>
        <c:spPr>
          <a:ln w="47625">
            <a:noFill/>
          </a:ln>
        </c:spPr>
        <c:txPr>
          <a:bodyPr/>
          <a:lstStyle/>
          <a:p>
            <a:pPr lvl="0">
              <a:defRPr/>
            </a:pPr>
            <a:endParaRPr lang="en-US"/>
          </a:p>
        </c:txPr>
        <c:crossAx val="99265152"/>
        <c:crosses val="autoZero"/>
        <c:crossBetween val="between"/>
      </c:valAx>
      <c:spPr>
        <a:solidFill>
          <a:schemeClr val="bg1"/>
        </a:solidFill>
        <a:ln>
          <a:solidFill>
            <a:schemeClr val="bg1">
              <a:lumMod val="75000"/>
            </a:schemeClr>
          </a:solidFill>
        </a:ln>
      </c:spPr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1695450</xdr:colOff>
      <xdr:row>33</xdr:row>
      <xdr:rowOff>114300</xdr:rowOff>
    </xdr:from>
    <xdr:to>
      <xdr:col>8</xdr:col>
      <xdr:colOff>2162175</xdr:colOff>
      <xdr:row>48</xdr:row>
      <xdr:rowOff>47625</xdr:rowOff>
    </xdr:to>
    <xdr:graphicFrame macro="">
      <xdr:nvGraphicFramePr>
        <xdr:cNvPr id="16" name="Chart 1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twoCellAnchor>
  <xdr:twoCellAnchor>
    <xdr:from>
      <xdr:col>0</xdr:col>
      <xdr:colOff>1794689</xdr:colOff>
      <xdr:row>49</xdr:row>
      <xdr:rowOff>105218</xdr:rowOff>
    </xdr:from>
    <xdr:to>
      <xdr:col>8</xdr:col>
      <xdr:colOff>2060058</xdr:colOff>
      <xdr:row>70</xdr:row>
      <xdr:rowOff>54047</xdr:rowOff>
    </xdr:to>
    <xdr:graphicFrame macro="">
      <xdr:nvGraphicFramePr>
        <xdr:cNvPr id="17" name="Chart 1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twoCellAnchor>
  <xdr:twoCellAnchor>
    <xdr:from>
      <xdr:col>0</xdr:col>
      <xdr:colOff>1841870</xdr:colOff>
      <xdr:row>54</xdr:row>
      <xdr:rowOff>71772</xdr:rowOff>
    </xdr:from>
    <xdr:to>
      <xdr:col>0</xdr:col>
      <xdr:colOff>2030155</xdr:colOff>
      <xdr:row>58</xdr:row>
      <xdr:rowOff>99682</xdr:rowOff>
    </xdr:to>
    <xdr:sp macro="" textlink="">
      <xdr:nvSpPr>
        <xdr:cNvPr id="21" name="Shape 21"/>
        <xdr:cNvSpPr txBox="1"/>
      </xdr:nvSpPr>
      <xdr:spPr>
        <a:xfrm rot="16200000">
          <a:off x="1545488" y="12878023"/>
          <a:ext cx="781050" cy="188285"/>
        </a:xfrm>
        <a:prstGeom prst="rect">
          <a:avLst/>
        </a:prstGeom>
        <a:noFill/>
        <a:ln>
          <a:noFill/>
        </a:ln>
      </xdr:spPr>
      <xdr:txBody>
        <a:bodyPr vert="horz" lIns="91425" tIns="45700" rIns="91425" bIns="45700" anchor="t" anchorCtr="0">
          <a:noAutofit/>
        </a:bodyPr>
        <a:lstStyle/>
        <a:p>
          <a:pPr lvl="0">
            <a:spcBef>
              <a:spcPts val="0"/>
            </a:spcBef>
            <a:buNone/>
          </a:pPr>
          <a:r>
            <a:rPr lang="en-US" sz="10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in numbers</a:t>
          </a:r>
        </a:p>
      </xdr:txBody>
    </xdr:sp>
    <xdr:clientData fLocksWithSheet="0"/>
  </xdr:twoCellAnchor>
  <xdr:twoCellAnchor>
    <xdr:from>
      <xdr:col>0</xdr:col>
      <xdr:colOff>0</xdr:colOff>
      <xdr:row>0</xdr:row>
      <xdr:rowOff>0</xdr:rowOff>
    </xdr:from>
    <xdr:to>
      <xdr:col>9</xdr:col>
      <xdr:colOff>180975</xdr:colOff>
      <xdr:row>38</xdr:row>
      <xdr:rowOff>0</xdr:rowOff>
    </xdr:to>
    <xdr:sp macro="" textlink="">
      <xdr:nvSpPr>
        <xdr:cNvPr id="1026" name="Rectangle 2" hidden="1"/>
        <xdr:cNvSpPr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180975</xdr:colOff>
      <xdr:row>38</xdr:row>
      <xdr:rowOff>0</xdr:rowOff>
    </xdr:to>
    <xdr:sp macro="" textlink="">
      <xdr:nvSpPr>
        <xdr:cNvPr id="4" name="AutoShape 2"/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180975</xdr:colOff>
      <xdr:row>38</xdr:row>
      <xdr:rowOff>0</xdr:rowOff>
    </xdr:to>
    <xdr:sp macro="" textlink="">
      <xdr:nvSpPr>
        <xdr:cNvPr id="5" name="AutoShape 2"/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180975</xdr:colOff>
      <xdr:row>38</xdr:row>
      <xdr:rowOff>0</xdr:rowOff>
    </xdr:to>
    <xdr:sp macro="" textlink="">
      <xdr:nvSpPr>
        <xdr:cNvPr id="6" name="AutoShape 2"/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r" b="b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180975</xdr:colOff>
      <xdr:row>38</xdr:row>
      <xdr:rowOff>0</xdr:rowOff>
    </xdr:to>
    <xdr:sp macro="" textlink="">
      <xdr:nvSpPr>
        <xdr:cNvPr id="7" name="AutoShape 2"/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r" b="b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9525</xdr:colOff>
      <xdr:row>34</xdr:row>
      <xdr:rowOff>12404</xdr:rowOff>
    </xdr:from>
    <xdr:to>
      <xdr:col>8</xdr:col>
      <xdr:colOff>1638300</xdr:colOff>
      <xdr:row>36</xdr:row>
      <xdr:rowOff>104775</xdr:rowOff>
    </xdr:to>
    <xdr:sp macro="" textlink="">
      <xdr:nvSpPr>
        <xdr:cNvPr id="8" name="TextBox 7"/>
        <xdr:cNvSpPr txBox="1"/>
      </xdr:nvSpPr>
      <xdr:spPr>
        <a:xfrm>
          <a:off x="2495550" y="8775404"/>
          <a:ext cx="5829300" cy="47337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Consolas" pitchFamily="49" charset="0"/>
              <a:ea typeface="+mn-ea"/>
              <a:cs typeface="Consolas" pitchFamily="49" charset="0"/>
            </a:rPr>
            <a:t>Figure 18.15: Establishments registered in the retirement pension scheme, by employment size, 2016 </a:t>
          </a:r>
          <a:endParaRPr lang="en-US">
            <a:effectLst/>
            <a:latin typeface="Consolas" pitchFamily="49" charset="0"/>
            <a:cs typeface="Consolas" pitchFamily="49" charset="0"/>
          </a:endParaRPr>
        </a:p>
        <a:p>
          <a:endParaRPr lang="en-US" sz="1100"/>
        </a:p>
      </xdr:txBody>
    </xdr:sp>
    <xdr:clientData/>
  </xdr:twoCellAnchor>
  <xdr:twoCellAnchor>
    <xdr:from>
      <xdr:col>1</xdr:col>
      <xdr:colOff>9525</xdr:colOff>
      <xdr:row>36</xdr:row>
      <xdr:rowOff>76200</xdr:rowOff>
    </xdr:from>
    <xdr:to>
      <xdr:col>8</xdr:col>
      <xdr:colOff>1685925</xdr:colOff>
      <xdr:row>36</xdr:row>
      <xdr:rowOff>76200</xdr:rowOff>
    </xdr:to>
    <xdr:sp macro="" textlink="">
      <xdr:nvSpPr>
        <xdr:cNvPr id="13" name="Line 4"/>
        <xdr:cNvSpPr>
          <a:spLocks noChangeShapeType="1"/>
        </xdr:cNvSpPr>
      </xdr:nvSpPr>
      <xdr:spPr bwMode="auto">
        <a:xfrm flipV="1">
          <a:off x="2495550" y="9220200"/>
          <a:ext cx="5876925" cy="0"/>
        </a:xfrm>
        <a:prstGeom prst="line">
          <a:avLst/>
        </a:prstGeom>
        <a:ln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sp>
    <xdr:clientData/>
  </xdr:twoCellAnchor>
  <xdr:twoCellAnchor>
    <xdr:from>
      <xdr:col>1</xdr:col>
      <xdr:colOff>9525</xdr:colOff>
      <xdr:row>52</xdr:row>
      <xdr:rowOff>19050</xdr:rowOff>
    </xdr:from>
    <xdr:to>
      <xdr:col>8</xdr:col>
      <xdr:colOff>1447800</xdr:colOff>
      <xdr:row>52</xdr:row>
      <xdr:rowOff>19050</xdr:rowOff>
    </xdr:to>
    <xdr:sp macro="" textlink="">
      <xdr:nvSpPr>
        <xdr:cNvPr id="15" name="Line 4"/>
        <xdr:cNvSpPr>
          <a:spLocks noChangeShapeType="1"/>
        </xdr:cNvSpPr>
      </xdr:nvSpPr>
      <xdr:spPr bwMode="auto">
        <a:xfrm flipV="1">
          <a:off x="2495550" y="12211050"/>
          <a:ext cx="5638800" cy="0"/>
        </a:xfrm>
        <a:prstGeom prst="line">
          <a:avLst/>
        </a:prstGeom>
        <a:ln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sp>
    <xdr:clientData/>
  </xdr:twoCellAnchor>
  <xdr:twoCellAnchor>
    <xdr:from>
      <xdr:col>0</xdr:col>
      <xdr:colOff>2305050</xdr:colOff>
      <xdr:row>49</xdr:row>
      <xdr:rowOff>152399</xdr:rowOff>
    </xdr:from>
    <xdr:to>
      <xdr:col>8</xdr:col>
      <xdr:colOff>1962150</xdr:colOff>
      <xdr:row>52</xdr:row>
      <xdr:rowOff>38100</xdr:rowOff>
    </xdr:to>
    <xdr:sp macro="" textlink="">
      <xdr:nvSpPr>
        <xdr:cNvPr id="2" name="TextBox 1"/>
        <xdr:cNvSpPr txBox="1"/>
      </xdr:nvSpPr>
      <xdr:spPr>
        <a:xfrm>
          <a:off x="2305050" y="11772899"/>
          <a:ext cx="6343650" cy="45720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Consolas" pitchFamily="49" charset="0"/>
              <a:ea typeface="+mn-ea"/>
              <a:cs typeface="Consolas" pitchFamily="49" charset="0"/>
            </a:rPr>
            <a:t>Figure 18.16: Number of registered establishments in the retirement pension scheme  by sector, 2016</a:t>
          </a:r>
          <a:endParaRPr lang="en-US">
            <a:effectLst/>
            <a:latin typeface="Consolas" pitchFamily="49" charset="0"/>
            <a:cs typeface="Consolas" pitchFamily="49" charset="0"/>
          </a:endParaRPr>
        </a:p>
        <a:p>
          <a:endParaRPr lang="en-US" sz="1100">
            <a:latin typeface="Consolas" pitchFamily="49" charset="0"/>
            <a:cs typeface="Consolas" pitchFamily="49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athimath.shifaza\AppData\Local\Microsoft\Windows\INetCache\Content.Outlook\362P0D1J\Copy%20of%20Statistical%20Year%20book%20for%20the%20year%202016%20for%20NSPA%20_%20NBS%20Comments%20_%20NSPA%20p%20%20%20%20(2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hifaza\AppData\Local\Microsoft\Windows\INetCache\Content.Outlook\ODPSUPO0\Documents%20and%20Settings\f.shifaza\Application%20Data\Microsoft\Excel\18.%20SOCIAL%20PROTECTION%20_%2029%20July%20201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8.16"/>
      <sheetName val="18.17"/>
      <sheetName val="18.18"/>
      <sheetName val="18.19"/>
      <sheetName val="18.20"/>
      <sheetName val="18.21"/>
      <sheetName val="18.22"/>
      <sheetName val="18.23"/>
      <sheetName val="11.24"/>
      <sheetName val="11.25"/>
      <sheetName val="11.26"/>
      <sheetName val="11.2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5">
          <cell r="N5">
            <v>2013</v>
          </cell>
          <cell r="O5">
            <v>2014</v>
          </cell>
          <cell r="P5">
            <v>2015</v>
          </cell>
        </row>
        <row r="6">
          <cell r="N6">
            <v>299661096.44</v>
          </cell>
          <cell r="O6">
            <v>349220698.38999999</v>
          </cell>
          <cell r="P6">
            <v>180614696.01000002</v>
          </cell>
        </row>
        <row r="7">
          <cell r="A7" t="str">
            <v>January</v>
          </cell>
          <cell r="O7">
            <v>23170714.699999999</v>
          </cell>
          <cell r="P7">
            <v>18871576.670000002</v>
          </cell>
        </row>
        <row r="8">
          <cell r="A8" t="str">
            <v>February</v>
          </cell>
          <cell r="O8">
            <v>24382093.82</v>
          </cell>
          <cell r="P8">
            <v>11560674.26</v>
          </cell>
        </row>
        <row r="9">
          <cell r="A9" t="str">
            <v>March</v>
          </cell>
          <cell r="O9">
            <v>65018059.100000001</v>
          </cell>
          <cell r="P9">
            <v>11961755.039999999</v>
          </cell>
        </row>
        <row r="10">
          <cell r="A10" t="str">
            <v>April</v>
          </cell>
          <cell r="O10">
            <v>26571752.030000001</v>
          </cell>
          <cell r="P10">
            <v>14237831.629999999</v>
          </cell>
        </row>
        <row r="11">
          <cell r="A11" t="str">
            <v>May</v>
          </cell>
          <cell r="O11">
            <v>27344862.630000003</v>
          </cell>
          <cell r="P11">
            <v>15232383.639999999</v>
          </cell>
        </row>
        <row r="12">
          <cell r="A12" t="str">
            <v>June</v>
          </cell>
          <cell r="O12">
            <v>27437953.34</v>
          </cell>
          <cell r="P12">
            <v>16698376.539999999</v>
          </cell>
        </row>
        <row r="13">
          <cell r="A13" t="str">
            <v>July</v>
          </cell>
          <cell r="O13">
            <v>27536963.569999997</v>
          </cell>
          <cell r="P13">
            <v>17014342.27</v>
          </cell>
        </row>
        <row r="14">
          <cell r="A14" t="str">
            <v>August</v>
          </cell>
          <cell r="O14">
            <v>27542726.530000001</v>
          </cell>
          <cell r="P14">
            <v>14637041.91</v>
          </cell>
        </row>
        <row r="15">
          <cell r="A15" t="str">
            <v>September</v>
          </cell>
          <cell r="O15">
            <v>26488280.200000003</v>
          </cell>
          <cell r="P15">
            <v>14637041.91</v>
          </cell>
        </row>
        <row r="16">
          <cell r="A16" t="str">
            <v>October</v>
          </cell>
          <cell r="O16">
            <v>26944673.18</v>
          </cell>
          <cell r="P16">
            <v>15266487.300000001</v>
          </cell>
        </row>
        <row r="17">
          <cell r="A17" t="str">
            <v>November</v>
          </cell>
          <cell r="O17">
            <v>24549554.030000001</v>
          </cell>
          <cell r="P17">
            <v>15648041.789999999</v>
          </cell>
        </row>
        <row r="18">
          <cell r="A18" t="str">
            <v>December</v>
          </cell>
          <cell r="O18">
            <v>22233065.260000002</v>
          </cell>
          <cell r="P18">
            <v>14849143.050000001</v>
          </cell>
        </row>
      </sheetData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8.1 "/>
      <sheetName val="18.2 "/>
      <sheetName val="Figures"/>
      <sheetName val="18.3"/>
      <sheetName val="18.4"/>
      <sheetName val="18.5 new"/>
      <sheetName val="18.6"/>
      <sheetName val="18.7"/>
      <sheetName val="18.8"/>
      <sheetName val="18.9"/>
      <sheetName val="18.10"/>
      <sheetName val="Sheet1"/>
      <sheetName val="18.11"/>
      <sheetName val="18.12"/>
      <sheetName val="18.13"/>
      <sheetName val="18.14"/>
      <sheetName val="18.15"/>
      <sheetName val="18.16"/>
      <sheetName val="18.1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5">
          <cell r="C5">
            <v>2010</v>
          </cell>
          <cell r="D5">
            <v>2011</v>
          </cell>
          <cell r="E5">
            <v>2012</v>
          </cell>
        </row>
        <row r="7">
          <cell r="A7" t="str">
            <v>January</v>
          </cell>
          <cell r="D7">
            <v>13828</v>
          </cell>
          <cell r="E7">
            <v>18448</v>
          </cell>
        </row>
        <row r="8">
          <cell r="A8" t="str">
            <v>February</v>
          </cell>
          <cell r="D8">
            <v>13973</v>
          </cell>
          <cell r="E8">
            <v>18752</v>
          </cell>
        </row>
        <row r="9">
          <cell r="A9" t="str">
            <v>March</v>
          </cell>
          <cell r="D9">
            <v>14118</v>
          </cell>
          <cell r="E9">
            <v>18955</v>
          </cell>
        </row>
        <row r="10">
          <cell r="A10" t="str">
            <v>April</v>
          </cell>
          <cell r="D10">
            <v>14339</v>
          </cell>
          <cell r="E10">
            <v>19216</v>
          </cell>
        </row>
        <row r="11">
          <cell r="A11" t="str">
            <v>May</v>
          </cell>
          <cell r="D11">
            <v>14703</v>
          </cell>
          <cell r="E11">
            <v>19500</v>
          </cell>
        </row>
        <row r="12">
          <cell r="A12" t="str">
            <v>June</v>
          </cell>
          <cell r="D12">
            <v>15283</v>
          </cell>
          <cell r="E12">
            <v>19773</v>
          </cell>
        </row>
        <row r="13">
          <cell r="A13" t="str">
            <v>July</v>
          </cell>
          <cell r="D13">
            <v>15897</v>
          </cell>
          <cell r="E13">
            <v>19992</v>
          </cell>
        </row>
        <row r="14">
          <cell r="A14" t="str">
            <v>August</v>
          </cell>
          <cell r="D14">
            <v>16459</v>
          </cell>
          <cell r="E14">
            <v>20166</v>
          </cell>
        </row>
        <row r="15">
          <cell r="A15" t="str">
            <v>September</v>
          </cell>
          <cell r="D15">
            <v>16943</v>
          </cell>
          <cell r="E15">
            <v>20369</v>
          </cell>
        </row>
        <row r="16">
          <cell r="A16" t="str">
            <v>October</v>
          </cell>
          <cell r="D16">
            <v>17538</v>
          </cell>
          <cell r="E16">
            <v>20507</v>
          </cell>
        </row>
        <row r="17">
          <cell r="A17" t="str">
            <v>November</v>
          </cell>
          <cell r="D17">
            <v>17804</v>
          </cell>
          <cell r="E17">
            <v>20638</v>
          </cell>
        </row>
        <row r="18">
          <cell r="A18" t="str">
            <v>December</v>
          </cell>
          <cell r="D18">
            <v>18072</v>
          </cell>
          <cell r="E18">
            <v>20719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H120"/>
  <sheetViews>
    <sheetView tabSelected="1" zoomScaleNormal="100" workbookViewId="0">
      <selection activeCell="N46" sqref="N46"/>
    </sheetView>
  </sheetViews>
  <sheetFormatPr defaultColWidth="15.140625" defaultRowHeight="15" customHeight="1" x14ac:dyDescent="0.25"/>
  <cols>
    <col min="1" max="1" width="37.28515625" style="2" customWidth="1"/>
    <col min="2" max="2" width="8" style="2" customWidth="1"/>
    <col min="3" max="3" width="8.5703125" style="2" customWidth="1"/>
    <col min="4" max="4" width="10.140625" style="2" customWidth="1"/>
    <col min="5" max="5" width="9.7109375" style="2" customWidth="1"/>
    <col min="6" max="8" width="8.85546875" style="2" customWidth="1"/>
    <col min="9" max="9" width="41.7109375" style="2" customWidth="1"/>
    <col min="10" max="10" width="4.140625" style="2" customWidth="1"/>
    <col min="11" max="24" width="8" style="2" customWidth="1"/>
    <col min="25" max="25" width="40.28515625" style="2" customWidth="1"/>
    <col min="26" max="34" width="8" style="2" customWidth="1"/>
    <col min="35" max="16384" width="15.140625" style="2"/>
  </cols>
  <sheetData>
    <row r="1" spans="1:34" ht="17.25" customHeight="1" x14ac:dyDescent="0.25">
      <c r="A1" s="39" t="s">
        <v>5</v>
      </c>
      <c r="B1" s="33"/>
      <c r="C1" s="33"/>
      <c r="D1" s="33"/>
      <c r="E1" s="33"/>
      <c r="F1" s="33"/>
      <c r="G1" s="33"/>
      <c r="H1" s="33"/>
      <c r="I1" s="33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</row>
    <row r="2" spans="1:34" ht="17.25" customHeight="1" x14ac:dyDescent="0.25">
      <c r="A2" s="32" t="s">
        <v>6</v>
      </c>
      <c r="B2" s="33"/>
      <c r="C2" s="33"/>
      <c r="D2" s="33"/>
      <c r="E2" s="33"/>
      <c r="F2" s="33"/>
      <c r="G2" s="33"/>
      <c r="H2" s="33"/>
      <c r="I2" s="33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</row>
    <row r="3" spans="1:34" ht="13.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</row>
    <row r="4" spans="1:34" ht="13.5" customHeight="1" x14ac:dyDescent="0.25">
      <c r="A4" s="36" t="s">
        <v>7</v>
      </c>
      <c r="B4" s="34" t="s">
        <v>8</v>
      </c>
      <c r="C4" s="35"/>
      <c r="D4" s="35"/>
      <c r="E4" s="35"/>
      <c r="F4" s="35"/>
      <c r="G4" s="35"/>
      <c r="H4" s="40" t="s">
        <v>0</v>
      </c>
      <c r="I4" s="38" t="s">
        <v>9</v>
      </c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</row>
    <row r="5" spans="1:34" ht="15" customHeight="1" x14ac:dyDescent="0.25">
      <c r="A5" s="33"/>
      <c r="B5" s="25" t="s">
        <v>10</v>
      </c>
      <c r="C5" s="25" t="s">
        <v>11</v>
      </c>
      <c r="D5" s="25" t="s">
        <v>12</v>
      </c>
      <c r="E5" s="25" t="s">
        <v>13</v>
      </c>
      <c r="F5" s="26" t="s">
        <v>14</v>
      </c>
      <c r="G5" s="25" t="s">
        <v>2</v>
      </c>
      <c r="H5" s="37"/>
      <c r="I5" s="37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</row>
    <row r="6" spans="1:34" ht="21" customHeight="1" x14ac:dyDescent="0.55000000000000004">
      <c r="A6" s="23" t="s">
        <v>2</v>
      </c>
      <c r="B6" s="19">
        <f t="shared" ref="B6:H6" si="0">SUM(B7:B31)</f>
        <v>880</v>
      </c>
      <c r="C6" s="19">
        <f t="shared" si="0"/>
        <v>509</v>
      </c>
      <c r="D6" s="19">
        <f t="shared" si="0"/>
        <v>137</v>
      </c>
      <c r="E6" s="19">
        <f t="shared" si="0"/>
        <v>139</v>
      </c>
      <c r="F6" s="19">
        <f t="shared" si="0"/>
        <v>44</v>
      </c>
      <c r="G6" s="19">
        <f>SUM(G7:G31)</f>
        <v>1709</v>
      </c>
      <c r="H6" s="19">
        <f t="shared" si="0"/>
        <v>100</v>
      </c>
      <c r="I6" s="5" t="s">
        <v>1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</row>
    <row r="7" spans="1:34" ht="21" customHeight="1" x14ac:dyDescent="0.55000000000000004">
      <c r="A7" s="10" t="s">
        <v>15</v>
      </c>
      <c r="B7" s="12">
        <v>7</v>
      </c>
      <c r="C7" s="12">
        <v>3</v>
      </c>
      <c r="D7" s="12">
        <v>1</v>
      </c>
      <c r="E7" s="12">
        <v>0</v>
      </c>
      <c r="F7" s="12">
        <v>0</v>
      </c>
      <c r="G7" s="11">
        <f t="shared" ref="G7:G31" si="1">B7+C7+D7+E7+F7</f>
        <v>11</v>
      </c>
      <c r="H7" s="21">
        <f t="shared" ref="H7:H31" si="2">G7/$G$6*100</f>
        <v>0.64365125804564072</v>
      </c>
      <c r="I7" s="6" t="s">
        <v>16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</row>
    <row r="8" spans="1:34" ht="21" customHeight="1" x14ac:dyDescent="0.55000000000000004">
      <c r="A8" s="10" t="s">
        <v>17</v>
      </c>
      <c r="B8" s="12">
        <v>10</v>
      </c>
      <c r="C8" s="12">
        <v>2</v>
      </c>
      <c r="D8" s="12">
        <v>1</v>
      </c>
      <c r="E8" s="12">
        <v>4</v>
      </c>
      <c r="F8" s="12">
        <v>2</v>
      </c>
      <c r="G8" s="11">
        <f t="shared" si="1"/>
        <v>19</v>
      </c>
      <c r="H8" s="21">
        <f t="shared" si="2"/>
        <v>1.1117612638970158</v>
      </c>
      <c r="I8" s="6" t="s">
        <v>18</v>
      </c>
      <c r="J8" s="1"/>
      <c r="K8" s="1"/>
      <c r="L8" s="9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</row>
    <row r="9" spans="1:34" ht="21" customHeight="1" x14ac:dyDescent="0.55000000000000004">
      <c r="A9" s="10" t="s">
        <v>19</v>
      </c>
      <c r="B9" s="12">
        <v>3</v>
      </c>
      <c r="C9" s="12">
        <v>0</v>
      </c>
      <c r="D9" s="12">
        <v>0</v>
      </c>
      <c r="E9" s="12">
        <v>0</v>
      </c>
      <c r="F9" s="12">
        <v>0</v>
      </c>
      <c r="G9" s="11">
        <f t="shared" si="1"/>
        <v>3</v>
      </c>
      <c r="H9" s="21">
        <f t="shared" si="2"/>
        <v>0.17554125219426564</v>
      </c>
      <c r="I9" s="6" t="s">
        <v>20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</row>
    <row r="10" spans="1:34" ht="21" customHeight="1" x14ac:dyDescent="0.55000000000000004">
      <c r="A10" s="10" t="s">
        <v>21</v>
      </c>
      <c r="B10" s="12">
        <v>9</v>
      </c>
      <c r="C10" s="12">
        <v>0</v>
      </c>
      <c r="D10" s="12">
        <v>0</v>
      </c>
      <c r="E10" s="12">
        <v>0</v>
      </c>
      <c r="F10" s="12">
        <v>0</v>
      </c>
      <c r="G10" s="11">
        <f t="shared" si="1"/>
        <v>9</v>
      </c>
      <c r="H10" s="21">
        <f t="shared" si="2"/>
        <v>0.52662375658279692</v>
      </c>
      <c r="I10" s="6" t="s">
        <v>22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</row>
    <row r="11" spans="1:34" ht="21" customHeight="1" x14ac:dyDescent="0.55000000000000004">
      <c r="A11" s="10" t="s">
        <v>23</v>
      </c>
      <c r="B11" s="12">
        <v>79</v>
      </c>
      <c r="C11" s="12">
        <v>25</v>
      </c>
      <c r="D11" s="12">
        <v>3</v>
      </c>
      <c r="E11" s="12">
        <v>6</v>
      </c>
      <c r="F11" s="12">
        <v>1</v>
      </c>
      <c r="G11" s="11">
        <f t="shared" si="1"/>
        <v>114</v>
      </c>
      <c r="H11" s="21">
        <f t="shared" si="2"/>
        <v>6.6705675833820948</v>
      </c>
      <c r="I11" s="6" t="s">
        <v>24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</row>
    <row r="12" spans="1:34" ht="21" customHeight="1" x14ac:dyDescent="0.55000000000000004">
      <c r="A12" s="10" t="s">
        <v>25</v>
      </c>
      <c r="B12" s="12">
        <v>8</v>
      </c>
      <c r="C12" s="12">
        <v>1</v>
      </c>
      <c r="D12" s="12">
        <v>0</v>
      </c>
      <c r="E12" s="12">
        <v>1</v>
      </c>
      <c r="F12" s="12">
        <v>0</v>
      </c>
      <c r="G12" s="11">
        <f t="shared" si="1"/>
        <v>10</v>
      </c>
      <c r="H12" s="21">
        <f t="shared" si="2"/>
        <v>0.58513750731421887</v>
      </c>
      <c r="I12" s="6" t="s">
        <v>26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</row>
    <row r="13" spans="1:34" ht="44.25" customHeight="1" x14ac:dyDescent="0.25">
      <c r="A13" s="20" t="s">
        <v>27</v>
      </c>
      <c r="B13" s="27">
        <v>35</v>
      </c>
      <c r="C13" s="27">
        <v>30</v>
      </c>
      <c r="D13" s="27">
        <v>2</v>
      </c>
      <c r="E13" s="27">
        <v>6</v>
      </c>
      <c r="F13" s="27">
        <v>4</v>
      </c>
      <c r="G13" s="28">
        <f t="shared" si="1"/>
        <v>77</v>
      </c>
      <c r="H13" s="21">
        <f t="shared" si="2"/>
        <v>4.5055588063194856</v>
      </c>
      <c r="I13" s="22" t="s">
        <v>28</v>
      </c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</row>
    <row r="14" spans="1:34" ht="21" customHeight="1" x14ac:dyDescent="0.55000000000000004">
      <c r="A14" s="10" t="s">
        <v>29</v>
      </c>
      <c r="B14" s="12">
        <v>10</v>
      </c>
      <c r="C14" s="12">
        <v>1</v>
      </c>
      <c r="D14" s="12">
        <v>1</v>
      </c>
      <c r="E14" s="12">
        <v>1</v>
      </c>
      <c r="F14" s="12">
        <v>1</v>
      </c>
      <c r="G14" s="11">
        <f t="shared" si="1"/>
        <v>14</v>
      </c>
      <c r="H14" s="21">
        <f t="shared" si="2"/>
        <v>0.81919251023990647</v>
      </c>
      <c r="I14" s="6" t="s">
        <v>30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</row>
    <row r="15" spans="1:34" ht="21" customHeight="1" x14ac:dyDescent="0.55000000000000004">
      <c r="A15" s="10" t="s">
        <v>31</v>
      </c>
      <c r="B15" s="12">
        <v>1</v>
      </c>
      <c r="C15" s="12">
        <v>2</v>
      </c>
      <c r="D15" s="12">
        <v>0</v>
      </c>
      <c r="E15" s="12">
        <v>0</v>
      </c>
      <c r="F15" s="12">
        <v>0</v>
      </c>
      <c r="G15" s="11">
        <f t="shared" si="1"/>
        <v>3</v>
      </c>
      <c r="H15" s="21">
        <f t="shared" si="2"/>
        <v>0.17554125219426564</v>
      </c>
      <c r="I15" s="6" t="s">
        <v>32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</row>
    <row r="16" spans="1:34" ht="21" customHeight="1" x14ac:dyDescent="0.55000000000000004">
      <c r="A16" s="10" t="s">
        <v>33</v>
      </c>
      <c r="B16" s="12">
        <v>29</v>
      </c>
      <c r="C16" s="12">
        <v>224</v>
      </c>
      <c r="D16" s="12">
        <v>60</v>
      </c>
      <c r="E16" s="12">
        <v>55</v>
      </c>
      <c r="F16" s="12">
        <v>15</v>
      </c>
      <c r="G16" s="11">
        <f t="shared" si="1"/>
        <v>383</v>
      </c>
      <c r="H16" s="21">
        <f t="shared" si="2"/>
        <v>22.41076653013458</v>
      </c>
      <c r="I16" s="6" t="s">
        <v>34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</row>
    <row r="17" spans="1:34" ht="21" customHeight="1" x14ac:dyDescent="0.55000000000000004">
      <c r="A17" s="10" t="s">
        <v>35</v>
      </c>
      <c r="B17" s="12">
        <v>23</v>
      </c>
      <c r="C17" s="12">
        <v>9</v>
      </c>
      <c r="D17" s="12">
        <v>3</v>
      </c>
      <c r="E17" s="12">
        <v>2</v>
      </c>
      <c r="F17" s="12">
        <v>0</v>
      </c>
      <c r="G17" s="11">
        <f t="shared" si="1"/>
        <v>37</v>
      </c>
      <c r="H17" s="21">
        <f t="shared" si="2"/>
        <v>2.1650087770626096</v>
      </c>
      <c r="I17" s="6" t="s">
        <v>36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</row>
    <row r="18" spans="1:34" ht="21" customHeight="1" x14ac:dyDescent="0.55000000000000004">
      <c r="A18" s="10" t="s">
        <v>37</v>
      </c>
      <c r="B18" s="12">
        <v>129</v>
      </c>
      <c r="C18" s="12">
        <v>62</v>
      </c>
      <c r="D18" s="12">
        <v>34</v>
      </c>
      <c r="E18" s="12">
        <v>49</v>
      </c>
      <c r="F18" s="12">
        <v>14</v>
      </c>
      <c r="G18" s="11">
        <f t="shared" si="1"/>
        <v>288</v>
      </c>
      <c r="H18" s="21">
        <f t="shared" si="2"/>
        <v>16.851960210649501</v>
      </c>
      <c r="I18" s="6" t="s">
        <v>38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</row>
    <row r="19" spans="1:34" ht="21" customHeight="1" x14ac:dyDescent="0.55000000000000004">
      <c r="A19" s="10" t="s">
        <v>39</v>
      </c>
      <c r="B19" s="12">
        <v>2</v>
      </c>
      <c r="C19" s="12">
        <v>2</v>
      </c>
      <c r="D19" s="12">
        <v>0</v>
      </c>
      <c r="E19" s="12">
        <v>0</v>
      </c>
      <c r="F19" s="12">
        <v>0</v>
      </c>
      <c r="G19" s="11">
        <f t="shared" si="1"/>
        <v>4</v>
      </c>
      <c r="H19" s="21">
        <f t="shared" si="2"/>
        <v>0.23405500292568754</v>
      </c>
      <c r="I19" s="6" t="s">
        <v>40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</row>
    <row r="20" spans="1:34" ht="21" customHeight="1" x14ac:dyDescent="0.55000000000000004">
      <c r="A20" s="10" t="s">
        <v>41</v>
      </c>
      <c r="B20" s="12">
        <v>2</v>
      </c>
      <c r="C20" s="12">
        <v>0</v>
      </c>
      <c r="D20" s="12">
        <v>0</v>
      </c>
      <c r="E20" s="12">
        <v>0</v>
      </c>
      <c r="F20" s="12">
        <v>0</v>
      </c>
      <c r="G20" s="11">
        <f t="shared" si="1"/>
        <v>2</v>
      </c>
      <c r="H20" s="21">
        <f t="shared" si="2"/>
        <v>0.11702750146284377</v>
      </c>
      <c r="I20" s="6" t="s">
        <v>42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</row>
    <row r="21" spans="1:34" ht="21" customHeight="1" x14ac:dyDescent="0.55000000000000004">
      <c r="A21" s="10" t="s">
        <v>43</v>
      </c>
      <c r="B21" s="12">
        <v>1</v>
      </c>
      <c r="C21" s="12">
        <v>0</v>
      </c>
      <c r="D21" s="12">
        <v>0</v>
      </c>
      <c r="E21" s="12">
        <v>0</v>
      </c>
      <c r="F21" s="12">
        <v>0</v>
      </c>
      <c r="G21" s="11">
        <f t="shared" si="1"/>
        <v>1</v>
      </c>
      <c r="H21" s="21">
        <f t="shared" si="2"/>
        <v>5.8513750731421885E-2</v>
      </c>
      <c r="I21" s="6" t="s">
        <v>44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</row>
    <row r="22" spans="1:34" ht="21" customHeight="1" x14ac:dyDescent="0.55000000000000004">
      <c r="A22" s="10" t="s">
        <v>45</v>
      </c>
      <c r="B22" s="12">
        <v>7</v>
      </c>
      <c r="C22" s="12">
        <v>1</v>
      </c>
      <c r="D22" s="12">
        <v>0</v>
      </c>
      <c r="E22" s="12">
        <v>0</v>
      </c>
      <c r="F22" s="12">
        <v>0</v>
      </c>
      <c r="G22" s="11">
        <f t="shared" si="1"/>
        <v>8</v>
      </c>
      <c r="H22" s="21">
        <f t="shared" si="2"/>
        <v>0.46811000585137508</v>
      </c>
      <c r="I22" s="6" t="s">
        <v>46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</row>
    <row r="23" spans="1:34" ht="21" customHeight="1" x14ac:dyDescent="0.55000000000000004">
      <c r="A23" s="10" t="s">
        <v>47</v>
      </c>
      <c r="B23" s="12">
        <v>13</v>
      </c>
      <c r="C23" s="12">
        <v>3</v>
      </c>
      <c r="D23" s="12">
        <v>0</v>
      </c>
      <c r="E23" s="12">
        <v>0</v>
      </c>
      <c r="F23" s="12">
        <v>0</v>
      </c>
      <c r="G23" s="11">
        <f t="shared" si="1"/>
        <v>16</v>
      </c>
      <c r="H23" s="21">
        <f t="shared" si="2"/>
        <v>0.93622001170275015</v>
      </c>
      <c r="I23" s="6" t="s">
        <v>48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</row>
    <row r="24" spans="1:34" ht="21" customHeight="1" x14ac:dyDescent="0.55000000000000004">
      <c r="A24" s="10" t="s">
        <v>49</v>
      </c>
      <c r="B24" s="12">
        <v>1</v>
      </c>
      <c r="C24" s="12">
        <v>1</v>
      </c>
      <c r="D24" s="12">
        <v>1</v>
      </c>
      <c r="E24" s="12">
        <v>0</v>
      </c>
      <c r="F24" s="12">
        <v>0</v>
      </c>
      <c r="G24" s="11">
        <f t="shared" si="1"/>
        <v>3</v>
      </c>
      <c r="H24" s="21">
        <f t="shared" si="2"/>
        <v>0.17554125219426564</v>
      </c>
      <c r="I24" s="6" t="s">
        <v>50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</row>
    <row r="25" spans="1:34" ht="21" customHeight="1" x14ac:dyDescent="0.55000000000000004">
      <c r="A25" s="10" t="s">
        <v>51</v>
      </c>
      <c r="B25" s="12">
        <v>21</v>
      </c>
      <c r="C25" s="12">
        <v>15</v>
      </c>
      <c r="D25" s="12">
        <v>5</v>
      </c>
      <c r="E25" s="12">
        <v>3</v>
      </c>
      <c r="F25" s="12">
        <v>0</v>
      </c>
      <c r="G25" s="11">
        <f t="shared" si="1"/>
        <v>44</v>
      </c>
      <c r="H25" s="21">
        <f t="shared" si="2"/>
        <v>2.5746050321825629</v>
      </c>
      <c r="I25" s="6" t="s">
        <v>52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</row>
    <row r="26" spans="1:34" ht="21" customHeight="1" x14ac:dyDescent="0.55000000000000004">
      <c r="A26" s="10" t="s">
        <v>53</v>
      </c>
      <c r="B26" s="12">
        <v>34</v>
      </c>
      <c r="C26" s="12">
        <v>9</v>
      </c>
      <c r="D26" s="12">
        <v>2</v>
      </c>
      <c r="E26" s="12">
        <v>1</v>
      </c>
      <c r="F26" s="12">
        <v>2</v>
      </c>
      <c r="G26" s="11">
        <f t="shared" si="1"/>
        <v>48</v>
      </c>
      <c r="H26" s="21">
        <f t="shared" si="2"/>
        <v>2.8086600351082502</v>
      </c>
      <c r="I26" s="6" t="s">
        <v>54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</row>
    <row r="27" spans="1:34" ht="21" customHeight="1" x14ac:dyDescent="0.55000000000000004">
      <c r="A27" s="10" t="s">
        <v>55</v>
      </c>
      <c r="B27" s="12">
        <v>188</v>
      </c>
      <c r="C27" s="12">
        <v>60</v>
      </c>
      <c r="D27" s="12">
        <v>10</v>
      </c>
      <c r="E27" s="12">
        <v>5</v>
      </c>
      <c r="F27" s="12">
        <v>0</v>
      </c>
      <c r="G27" s="11">
        <f t="shared" si="1"/>
        <v>263</v>
      </c>
      <c r="H27" s="21">
        <f t="shared" si="2"/>
        <v>15.389116442363957</v>
      </c>
      <c r="I27" s="6" t="s">
        <v>56</v>
      </c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</row>
    <row r="28" spans="1:34" ht="21" customHeight="1" x14ac:dyDescent="0.55000000000000004">
      <c r="A28" s="10" t="s">
        <v>57</v>
      </c>
      <c r="B28" s="12">
        <v>9</v>
      </c>
      <c r="C28" s="12">
        <v>8</v>
      </c>
      <c r="D28" s="12">
        <v>3</v>
      </c>
      <c r="E28" s="12">
        <v>2</v>
      </c>
      <c r="F28" s="12">
        <v>2</v>
      </c>
      <c r="G28" s="11">
        <f t="shared" si="1"/>
        <v>24</v>
      </c>
      <c r="H28" s="21">
        <f t="shared" si="2"/>
        <v>1.4043300175541251</v>
      </c>
      <c r="I28" s="6" t="s">
        <v>58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</row>
    <row r="29" spans="1:34" ht="21" customHeight="1" x14ac:dyDescent="0.55000000000000004">
      <c r="A29" s="10" t="s">
        <v>59</v>
      </c>
      <c r="B29" s="12">
        <v>2</v>
      </c>
      <c r="C29" s="12">
        <v>1</v>
      </c>
      <c r="D29" s="12">
        <v>0</v>
      </c>
      <c r="E29" s="12">
        <v>0</v>
      </c>
      <c r="F29" s="12">
        <v>0</v>
      </c>
      <c r="G29" s="11">
        <f t="shared" si="1"/>
        <v>3</v>
      </c>
      <c r="H29" s="21">
        <f t="shared" si="2"/>
        <v>0.17554125219426564</v>
      </c>
      <c r="I29" s="6" t="s">
        <v>60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</row>
    <row r="30" spans="1:34" ht="21" customHeight="1" x14ac:dyDescent="0.55000000000000004">
      <c r="A30" s="10" t="s">
        <v>61</v>
      </c>
      <c r="B30" s="12">
        <v>86</v>
      </c>
      <c r="C30" s="12">
        <v>20</v>
      </c>
      <c r="D30" s="12">
        <v>5</v>
      </c>
      <c r="E30" s="12">
        <v>1</v>
      </c>
      <c r="F30" s="12">
        <v>2</v>
      </c>
      <c r="G30" s="11">
        <f t="shared" si="1"/>
        <v>114</v>
      </c>
      <c r="H30" s="21">
        <f t="shared" si="2"/>
        <v>6.6705675833820948</v>
      </c>
      <c r="I30" s="6" t="s">
        <v>62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</row>
    <row r="31" spans="1:34" ht="21" customHeight="1" x14ac:dyDescent="0.55000000000000004">
      <c r="A31" s="14" t="s">
        <v>63</v>
      </c>
      <c r="B31" s="16">
        <v>171</v>
      </c>
      <c r="C31" s="16">
        <v>30</v>
      </c>
      <c r="D31" s="16">
        <v>6</v>
      </c>
      <c r="E31" s="16">
        <v>3</v>
      </c>
      <c r="F31" s="16">
        <v>1</v>
      </c>
      <c r="G31" s="15">
        <f t="shared" si="1"/>
        <v>211</v>
      </c>
      <c r="H31" s="30">
        <f t="shared" si="2"/>
        <v>12.346401404330019</v>
      </c>
      <c r="I31" s="7" t="s">
        <v>64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</row>
    <row r="32" spans="1:34" ht="17.25" customHeight="1" x14ac:dyDescent="0.45">
      <c r="A32" s="8" t="s">
        <v>3</v>
      </c>
      <c r="B32" s="17"/>
      <c r="C32" s="17"/>
      <c r="D32" s="17"/>
      <c r="E32" s="17"/>
      <c r="F32" s="17"/>
      <c r="G32" s="17"/>
      <c r="H32" s="17"/>
      <c r="I32" s="18" t="s">
        <v>4</v>
      </c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</row>
    <row r="33" spans="1:34" ht="12" customHeight="1" x14ac:dyDescent="0.25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>
        <v>515</v>
      </c>
      <c r="AC33" s="17">
        <v>455</v>
      </c>
      <c r="AD33" s="17">
        <v>127</v>
      </c>
      <c r="AE33" s="17">
        <v>112</v>
      </c>
      <c r="AF33" s="17">
        <v>41</v>
      </c>
      <c r="AG33" s="17">
        <v>1250</v>
      </c>
      <c r="AH33" s="17">
        <v>100</v>
      </c>
    </row>
    <row r="34" spans="1:34" x14ac:dyDescent="0.25">
      <c r="A34" s="1"/>
      <c r="B34" s="1"/>
      <c r="C34" s="1"/>
      <c r="D34" s="31"/>
      <c r="E34" s="31"/>
      <c r="F34" s="3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</row>
    <row r="35" spans="1:34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</row>
    <row r="36" spans="1:34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31" t="s">
        <v>10</v>
      </c>
      <c r="AC36" s="31" t="s">
        <v>11</v>
      </c>
      <c r="AD36" s="31" t="s">
        <v>12</v>
      </c>
      <c r="AE36" s="31" t="s">
        <v>13</v>
      </c>
      <c r="AF36" s="31" t="s">
        <v>14</v>
      </c>
      <c r="AG36" s="1" t="s">
        <v>2</v>
      </c>
      <c r="AH36" s="1"/>
    </row>
    <row r="37" spans="1:34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 t="s">
        <v>65</v>
      </c>
      <c r="AB37" s="13">
        <f>B6</f>
        <v>880</v>
      </c>
      <c r="AC37" s="13">
        <f t="shared" ref="AC37:AF37" si="3">C6</f>
        <v>509</v>
      </c>
      <c r="AD37" s="13">
        <f t="shared" si="3"/>
        <v>137</v>
      </c>
      <c r="AE37" s="13">
        <f t="shared" si="3"/>
        <v>139</v>
      </c>
      <c r="AF37" s="13">
        <f t="shared" si="3"/>
        <v>44</v>
      </c>
      <c r="AG37" s="13">
        <f>SUM(AB37:AF37)</f>
        <v>1709</v>
      </c>
      <c r="AH37" s="1"/>
    </row>
    <row r="38" spans="1:34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</row>
    <row r="39" spans="1:34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</row>
    <row r="40" spans="1:34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</row>
    <row r="41" spans="1:34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</row>
    <row r="42" spans="1:34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</row>
    <row r="43" spans="1:34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</row>
    <row r="44" spans="1:34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</row>
    <row r="45" spans="1:34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</row>
    <row r="46" spans="1:34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</row>
    <row r="47" spans="1:34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</row>
    <row r="48" spans="1:34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</row>
    <row r="49" spans="1:34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</row>
    <row r="50" spans="1:34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</row>
    <row r="51" spans="1:34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</row>
    <row r="52" spans="1:34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</row>
    <row r="53" spans="1:34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</row>
    <row r="54" spans="1:34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</row>
    <row r="55" spans="1:34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</row>
    <row r="56" spans="1:34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</row>
    <row r="57" spans="1:34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</row>
    <row r="58" spans="1:34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</row>
    <row r="59" spans="1:34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</row>
    <row r="60" spans="1:34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</row>
    <row r="61" spans="1:34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</row>
    <row r="62" spans="1:34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</row>
    <row r="63" spans="1:34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</row>
    <row r="64" spans="1:34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</row>
    <row r="65" spans="1:34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</row>
    <row r="66" spans="1:34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</row>
    <row r="67" spans="1:34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</row>
    <row r="68" spans="1:34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</row>
    <row r="69" spans="1:34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</row>
    <row r="70" spans="1:34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</row>
    <row r="71" spans="1:34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</row>
    <row r="72" spans="1:34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</row>
    <row r="73" spans="1:34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</row>
    <row r="74" spans="1:34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</row>
    <row r="75" spans="1:34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</row>
    <row r="76" spans="1:34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</row>
    <row r="77" spans="1:34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</row>
    <row r="78" spans="1:34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</row>
    <row r="79" spans="1:34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</row>
    <row r="80" spans="1:34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</row>
    <row r="81" spans="1:34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</row>
    <row r="82" spans="1:34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</row>
    <row r="83" spans="1:34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</row>
    <row r="84" spans="1:34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</row>
    <row r="85" spans="1:34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</row>
    <row r="86" spans="1:34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</row>
    <row r="87" spans="1:34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</row>
    <row r="88" spans="1:34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</row>
    <row r="89" spans="1:34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</row>
    <row r="90" spans="1:34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</row>
    <row r="91" spans="1:34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</row>
    <row r="92" spans="1:34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</row>
    <row r="93" spans="1:34" x14ac:dyDescent="0.25">
      <c r="A93" s="10" t="s">
        <v>33</v>
      </c>
      <c r="B93" s="1">
        <v>383</v>
      </c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</row>
    <row r="94" spans="1:34" x14ac:dyDescent="0.25">
      <c r="A94" s="10" t="s">
        <v>37</v>
      </c>
      <c r="B94" s="1">
        <v>288</v>
      </c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</row>
    <row r="95" spans="1:34" x14ac:dyDescent="0.25">
      <c r="A95" s="10" t="s">
        <v>55</v>
      </c>
      <c r="B95" s="1">
        <v>263</v>
      </c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</row>
    <row r="96" spans="1:34" x14ac:dyDescent="0.25">
      <c r="A96" s="10" t="s">
        <v>63</v>
      </c>
      <c r="B96" s="1">
        <v>230</v>
      </c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</row>
    <row r="97" spans="1:34" x14ac:dyDescent="0.25">
      <c r="A97" s="10" t="s">
        <v>23</v>
      </c>
      <c r="B97" s="1">
        <v>114</v>
      </c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</row>
    <row r="98" spans="1:34" x14ac:dyDescent="0.25">
      <c r="A98" s="10" t="s">
        <v>61</v>
      </c>
      <c r="B98" s="1">
        <v>114</v>
      </c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</row>
    <row r="99" spans="1:34" ht="30" x14ac:dyDescent="0.25">
      <c r="A99" s="20" t="s">
        <v>27</v>
      </c>
      <c r="B99" s="1">
        <v>77</v>
      </c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</row>
    <row r="100" spans="1:34" x14ac:dyDescent="0.25">
      <c r="A100" s="10" t="s">
        <v>53</v>
      </c>
      <c r="B100" s="1">
        <v>48</v>
      </c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</row>
    <row r="101" spans="1:34" x14ac:dyDescent="0.25">
      <c r="A101" s="10" t="s">
        <v>51</v>
      </c>
      <c r="B101" s="2">
        <v>44</v>
      </c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</row>
    <row r="102" spans="1:34" x14ac:dyDescent="0.25">
      <c r="A102" s="10" t="s">
        <v>35</v>
      </c>
      <c r="B102" s="1">
        <v>37</v>
      </c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</row>
    <row r="103" spans="1:34" x14ac:dyDescent="0.25">
      <c r="A103" s="10" t="s">
        <v>57</v>
      </c>
      <c r="B103" s="1">
        <v>24</v>
      </c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</row>
    <row r="104" spans="1:34" x14ac:dyDescent="0.25">
      <c r="A104" s="10" t="s">
        <v>17</v>
      </c>
      <c r="B104" s="1">
        <v>19</v>
      </c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</row>
    <row r="105" spans="1:34" x14ac:dyDescent="0.25">
      <c r="A105" s="10" t="s">
        <v>47</v>
      </c>
      <c r="B105" s="1">
        <v>16</v>
      </c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</row>
    <row r="106" spans="1:34" x14ac:dyDescent="0.25">
      <c r="A106" s="10" t="s">
        <v>29</v>
      </c>
      <c r="B106" s="1">
        <v>14</v>
      </c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</row>
    <row r="107" spans="1:34" x14ac:dyDescent="0.25">
      <c r="A107" s="10" t="s">
        <v>15</v>
      </c>
      <c r="B107" s="1">
        <v>11</v>
      </c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</row>
    <row r="108" spans="1:34" x14ac:dyDescent="0.25">
      <c r="A108" s="10" t="s">
        <v>25</v>
      </c>
      <c r="B108" s="1">
        <v>10</v>
      </c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</row>
    <row r="109" spans="1:34" x14ac:dyDescent="0.25">
      <c r="A109" s="10" t="s">
        <v>21</v>
      </c>
      <c r="B109" s="1">
        <v>9</v>
      </c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</row>
    <row r="110" spans="1:34" x14ac:dyDescent="0.25">
      <c r="A110" s="10" t="s">
        <v>45</v>
      </c>
      <c r="B110" s="1">
        <v>8</v>
      </c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</row>
    <row r="111" spans="1:34" x14ac:dyDescent="0.25">
      <c r="A111" s="10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</row>
    <row r="112" spans="1:34" x14ac:dyDescent="0.25">
      <c r="A112" s="10"/>
      <c r="B112" s="1">
        <f>SUM(B113:B119)</f>
        <v>19</v>
      </c>
      <c r="C112" s="1">
        <f>B112+B96</f>
        <v>249</v>
      </c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</row>
    <row r="113" spans="1:34" x14ac:dyDescent="0.25">
      <c r="A113" s="10" t="s">
        <v>39</v>
      </c>
      <c r="B113" s="1">
        <v>4</v>
      </c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</row>
    <row r="114" spans="1:34" x14ac:dyDescent="0.25">
      <c r="A114" s="10" t="s">
        <v>19</v>
      </c>
      <c r="B114" s="1">
        <v>3</v>
      </c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</row>
    <row r="115" spans="1:34" x14ac:dyDescent="0.25">
      <c r="A115" s="10" t="s">
        <v>31</v>
      </c>
      <c r="B115" s="1">
        <v>3</v>
      </c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</row>
    <row r="116" spans="1:34" x14ac:dyDescent="0.25">
      <c r="A116" s="10" t="s">
        <v>49</v>
      </c>
      <c r="B116" s="1">
        <v>3</v>
      </c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</row>
    <row r="117" spans="1:34" x14ac:dyDescent="0.25">
      <c r="A117" s="10" t="s">
        <v>59</v>
      </c>
      <c r="B117" s="1">
        <v>3</v>
      </c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</row>
    <row r="118" spans="1:34" x14ac:dyDescent="0.25">
      <c r="A118" s="10" t="s">
        <v>41</v>
      </c>
      <c r="B118" s="1">
        <v>2</v>
      </c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</row>
    <row r="119" spans="1:34" x14ac:dyDescent="0.25">
      <c r="A119" s="14" t="s">
        <v>43</v>
      </c>
      <c r="B119" s="1">
        <v>1</v>
      </c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</row>
    <row r="120" spans="1:34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</row>
  </sheetData>
  <sortState ref="A93:B117">
    <sortCondition descending="1" ref="B93:B117"/>
  </sortState>
  <mergeCells count="6">
    <mergeCell ref="A1:I1"/>
    <mergeCell ref="A2:I2"/>
    <mergeCell ref="A4:A5"/>
    <mergeCell ref="B4:G4"/>
    <mergeCell ref="I4:I5"/>
    <mergeCell ref="H4:H5"/>
  </mergeCells>
  <pageMargins left="0.7" right="0.7" top="0.75" bottom="0.75" header="0.3" footer="0.3"/>
  <pageSetup paperSize="9" scale="76" orientation="landscape" horizontalDpi="4294967295" verticalDpi="4294967295" r:id="rId1"/>
  <rowBreaks count="2" manualBreakCount="2">
    <brk id="32" max="9" man="1"/>
    <brk id="71" max="9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18.12</vt:lpstr>
      <vt:lpstr>'18.12'!Print_Area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2017-07-04T08:56:18Z</cp:lastPrinted>
  <dcterms:modified xsi:type="dcterms:W3CDTF">2017-07-04T08:56:20Z</dcterms:modified>
</cp:coreProperties>
</file>