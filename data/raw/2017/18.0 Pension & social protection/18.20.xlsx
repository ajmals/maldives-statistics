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70" windowWidth="27495" windowHeight="11700" tabRatio="702"/>
  </bookViews>
  <sheets>
    <sheet name="18.20" sheetId="20" r:id="rId1"/>
  </sheets>
  <definedNames>
    <definedName name="_xlnm.Print_Area" localSheetId="0">'18.20'!$A$1:$I$50</definedName>
  </definedNames>
  <calcPr calcId="144525"/>
</workbook>
</file>

<file path=xl/calcChain.xml><?xml version="1.0" encoding="utf-8"?>
<calcChain xmlns="http://schemas.openxmlformats.org/spreadsheetml/2006/main">
  <c r="B29" i="20" l="1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F8" i="20"/>
  <c r="F6" i="20" s="1"/>
  <c r="E8" i="20"/>
  <c r="D8" i="20"/>
  <c r="D6" i="20" s="1"/>
  <c r="C8" i="20"/>
  <c r="C6" i="20" s="1"/>
  <c r="B7" i="20"/>
  <c r="H6" i="20"/>
  <c r="G6" i="20"/>
  <c r="E6" i="20"/>
  <c r="B8" i="20" l="1"/>
  <c r="B6" i="20" s="1"/>
</calcChain>
</file>

<file path=xl/sharedStrings.xml><?xml version="1.0" encoding="utf-8"?>
<sst xmlns="http://schemas.openxmlformats.org/spreadsheetml/2006/main" count="74" uniqueCount="70">
  <si>
    <t>Pharmacies</t>
  </si>
  <si>
    <t>ތަން</t>
  </si>
  <si>
    <t>Locality</t>
  </si>
  <si>
    <t>Republic</t>
  </si>
  <si>
    <t xml:space="preserve">Male' </t>
  </si>
  <si>
    <t>މާލެ</t>
  </si>
  <si>
    <t>Atolls</t>
  </si>
  <si>
    <t>އަތޮޅުތައް</t>
  </si>
  <si>
    <t>North Thiladhunmathi (HA)</t>
  </si>
  <si>
    <t>South Thiladhunmathi (HDh)</t>
  </si>
  <si>
    <t>North Miladhunmadulu (Sh)</t>
  </si>
  <si>
    <t>South Miladhunmadulu (N)</t>
  </si>
  <si>
    <t>North Maalhosmadulu (R)</t>
  </si>
  <si>
    <t>South Maalhosmadulu (B)</t>
  </si>
  <si>
    <t>Faadhippolhu (Lh)</t>
  </si>
  <si>
    <t>North Ari Atoll (AA)</t>
  </si>
  <si>
    <t>South Ari Atoll (ADh)</t>
  </si>
  <si>
    <t>Felidhu Atoll (V)</t>
  </si>
  <si>
    <t>Mulakatholhu (M)</t>
  </si>
  <si>
    <t>North Nilandhe Atoll (F)</t>
  </si>
  <si>
    <t>South Nilandhe Atoll (Dh)</t>
  </si>
  <si>
    <t>Kolhumadulu (Th)</t>
  </si>
  <si>
    <t>Hadhdhunmathi (L)</t>
  </si>
  <si>
    <t>North Huvadhu Atoll (GA)</t>
  </si>
  <si>
    <t>South Huvadhu Atoll (GDh)</t>
  </si>
  <si>
    <t>Fuvahmulah (Gn)</t>
  </si>
  <si>
    <t>Addu Atoll (S)</t>
  </si>
  <si>
    <t>N</t>
  </si>
  <si>
    <t>L</t>
  </si>
  <si>
    <t>S</t>
  </si>
  <si>
    <t>Total Expenditure (MVR)</t>
  </si>
  <si>
    <t>Hospitals</t>
  </si>
  <si>
    <t>Opticals</t>
  </si>
  <si>
    <t>Clinics</t>
  </si>
  <si>
    <t>Emergency Evacuation - Sea</t>
  </si>
  <si>
    <t>ޖުމްލަ ޚަރަދު</t>
  </si>
  <si>
    <t>clwTiPcsoh</t>
  </si>
  <si>
    <t>IswmWf</t>
  </si>
  <si>
    <t>ctwmcdiKegulol</t>
  </si>
  <si>
    <t>ckiniluk</t>
  </si>
  <si>
    <t>ޓިކެޓް ޚަރަދު</t>
  </si>
  <si>
    <t>އިމަޖެންސީ އިވަކުއޭޝަން</t>
  </si>
  <si>
    <t>ރާއްޖެ</t>
  </si>
  <si>
    <t>ތާވަލް 18.20: އިޖްތިމާއީ ރައްކާތެރިކަމުގެ ދަށުން އަތޮޅުތަކުން ދެވޭ ޙިދުމަތްތައް ފޯރުކޮށްދޭ ތަންތަނަށް ކުރެވިފައިވާ ޚަރަދު، 2016</t>
  </si>
  <si>
    <t>Table 18.20 :  EXPENDITURE ON AASANDHA SERVICES BY TYPE OF INSTITUTION AND ATOLL ,  2016</t>
  </si>
  <si>
    <r>
      <t>Airfare Tickets</t>
    </r>
    <r>
      <rPr>
        <b/>
        <vertAlign val="superscript"/>
        <sz val="11"/>
        <color theme="1"/>
        <rFont val="Calibri"/>
        <family val="2"/>
        <scheme val="minor"/>
      </rPr>
      <t>1_</t>
    </r>
    <r>
      <rPr>
        <b/>
        <sz val="11"/>
        <color theme="1"/>
        <rFont val="Calibri"/>
        <family val="2"/>
        <scheme val="minor"/>
      </rPr>
      <t>/</t>
    </r>
  </si>
  <si>
    <t>Emergency Evacuation - Sea2_/</t>
  </si>
  <si>
    <t xml:space="preserve">      ah </t>
  </si>
  <si>
    <t>dh</t>
  </si>
  <si>
    <t>n</t>
  </si>
  <si>
    <t>r</t>
  </si>
  <si>
    <t>b</t>
  </si>
  <si>
    <t>Male Atoll (K)</t>
  </si>
  <si>
    <t>k</t>
  </si>
  <si>
    <t>އa</t>
  </si>
  <si>
    <t>da</t>
  </si>
  <si>
    <t>v</t>
  </si>
  <si>
    <t>m</t>
  </si>
  <si>
    <t>f</t>
  </si>
  <si>
    <t>d</t>
  </si>
  <si>
    <t>t</t>
  </si>
  <si>
    <t>l</t>
  </si>
  <si>
    <t>ag</t>
  </si>
  <si>
    <t xml:space="preserve"> dg</t>
  </si>
  <si>
    <t>s</t>
  </si>
  <si>
    <t>Overseas hospitals</t>
  </si>
  <si>
    <t>ރާއްޖޭން ބޭރު ހޮސްޕިޓަލުތައް</t>
  </si>
  <si>
    <r>
      <rPr>
        <i/>
        <vertAlign val="superscript"/>
        <sz val="9"/>
        <color theme="1"/>
        <rFont val="Calibri"/>
        <family val="2"/>
        <scheme val="minor"/>
      </rPr>
      <t>1.</t>
    </r>
    <r>
      <rPr>
        <i/>
        <sz val="9"/>
        <color theme="1"/>
        <rFont val="Calibri"/>
        <family val="2"/>
        <scheme val="minor"/>
      </rPr>
      <t xml:space="preserve"> Type 'Airfare Tickets' is designated for the ticket expenditure on cases referred abroad</t>
    </r>
  </si>
  <si>
    <r>
      <rPr>
        <i/>
        <vertAlign val="superscript"/>
        <sz val="10"/>
        <color theme="1"/>
        <rFont val="Calibri"/>
        <family val="2"/>
        <scheme val="minor"/>
      </rPr>
      <t>2.</t>
    </r>
    <r>
      <rPr>
        <i/>
        <sz val="10"/>
        <color theme="1"/>
        <rFont val="Calibri"/>
        <family val="2"/>
        <scheme val="minor"/>
      </rPr>
      <t>Expenditure aggregated based on Service Provider's geograpical location as specified above</t>
    </r>
  </si>
  <si>
    <r>
      <t>Airfare Tickets</t>
    </r>
    <r>
      <rPr>
        <b/>
        <vertAlign val="superscript"/>
        <sz val="11"/>
        <color theme="1"/>
        <rFont val="Calibri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</si>
</sst>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7" formatCode="General_)"/>
    <numFmt numFmtId="168" formatCode="_-* #,##0.00_-;\-* #,##0.00_-;_-* &quot;-&quot;??_-;_-@_-"/>
    <numFmt numFmtId="169" formatCode="_-* #,##0_-;\-* #,##0_-;_-* &quot;-&quot;??_-;_-@_-"/>
  </numFmts>
  <fonts count="31" x14ac:knownFonts="1">
    <font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 tint="0.14999847407452621"/>
      <name val="Faruma"/>
    </font>
    <font>
      <b/>
      <sz val="11"/>
      <color theme="1" tint="0.14999847407452621"/>
      <name val="Calibri"/>
      <family val="2"/>
      <scheme val="minor"/>
    </font>
    <font>
      <b/>
      <sz val="10"/>
      <color theme="1"/>
      <name val="Faruma"/>
    </font>
    <font>
      <sz val="9"/>
      <color theme="1"/>
      <name val="Faruma"/>
    </font>
    <font>
      <sz val="10"/>
      <name val="Courier"/>
      <family val="3"/>
    </font>
    <font>
      <b/>
      <sz val="8"/>
      <name val="Calibri"/>
      <family val="2"/>
      <scheme val="minor"/>
    </font>
    <font>
      <b/>
      <sz val="10"/>
      <name val="Faruma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charset val="1"/>
      <scheme val="minor"/>
    </font>
    <font>
      <sz val="9"/>
      <color theme="1"/>
      <name val="Calibri"/>
      <family val="2"/>
      <charset val="1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Faruma"/>
    </font>
    <font>
      <b/>
      <sz val="10"/>
      <name val="A_Randhoo"/>
    </font>
    <font>
      <b/>
      <vertAlign val="superscript"/>
      <sz val="11"/>
      <color theme="1"/>
      <name val="Calibri"/>
      <family val="2"/>
      <scheme val="minor"/>
    </font>
    <font>
      <sz val="10"/>
      <color theme="1" tint="0.14999847407452621"/>
      <name val="A_Funa"/>
    </font>
    <font>
      <sz val="8"/>
      <color theme="1"/>
      <name val="Calibri"/>
      <family val="2"/>
      <scheme val="minor"/>
    </font>
    <font>
      <sz val="10"/>
      <color theme="1" tint="0.14999847407452621"/>
      <name val="Faruma"/>
    </font>
    <font>
      <i/>
      <vertAlign val="superscript"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vertAlign val="superscript"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8" fillId="0" borderId="0"/>
    <xf numFmtId="0" fontId="3" fillId="0" borderId="0"/>
  </cellStyleXfs>
  <cellXfs count="53">
    <xf numFmtId="0" fontId="0" fillId="0" borderId="0" xfId="0" applyFont="1" applyAlignment="1"/>
    <xf numFmtId="167" fontId="10" fillId="2" borderId="1" xfId="3" applyNumberFormat="1" applyFont="1" applyFill="1" applyBorder="1" applyAlignment="1">
      <alignment horizontal="right" vertical="center" wrapText="1"/>
    </xf>
    <xf numFmtId="0" fontId="0" fillId="2" borderId="0" xfId="0" applyFill="1"/>
    <xf numFmtId="0" fontId="11" fillId="2" borderId="0" xfId="0" applyFont="1" applyFill="1"/>
    <xf numFmtId="168" fontId="2" fillId="2" borderId="3" xfId="1" applyNumberFormat="1" applyFont="1" applyFill="1" applyBorder="1" applyAlignment="1">
      <alignment horizontal="right" vertical="center" wrapText="1"/>
    </xf>
    <xf numFmtId="167" fontId="16" fillId="2" borderId="3" xfId="3" applyNumberFormat="1" applyFont="1" applyFill="1" applyBorder="1" applyAlignment="1">
      <alignment horizontal="right" vertical="center" wrapText="1"/>
    </xf>
    <xf numFmtId="168" fontId="2" fillId="2" borderId="3" xfId="1" applyNumberFormat="1" applyFont="1" applyFill="1" applyBorder="1" applyAlignment="1">
      <alignment horizontal="right" vertical="center"/>
    </xf>
    <xf numFmtId="168" fontId="12" fillId="2" borderId="3" xfId="1" applyNumberFormat="1" applyFont="1" applyFill="1" applyBorder="1" applyAlignment="1">
      <alignment horizontal="right" vertical="center" wrapText="1"/>
    </xf>
    <xf numFmtId="0" fontId="0" fillId="2" borderId="0" xfId="0" applyFill="1" applyAlignment="1">
      <alignment horizontal="center" vertical="center"/>
    </xf>
    <xf numFmtId="167" fontId="23" fillId="2" borderId="1" xfId="3" applyNumberFormat="1" applyFont="1" applyFill="1" applyBorder="1" applyAlignment="1">
      <alignment horizontal="right" vertical="center" wrapText="1"/>
    </xf>
    <xf numFmtId="169" fontId="19" fillId="2" borderId="0" xfId="0" applyNumberFormat="1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164" fontId="18" fillId="2" borderId="0" xfId="1" applyNumberFormat="1" applyFont="1" applyFill="1" applyBorder="1" applyAlignment="1">
      <alignment horizontal="right" vertical="center"/>
    </xf>
    <xf numFmtId="164" fontId="18" fillId="2" borderId="1" xfId="1" applyNumberFormat="1" applyFont="1" applyFill="1" applyBorder="1" applyAlignment="1">
      <alignment horizontal="right" vertical="center"/>
    </xf>
    <xf numFmtId="0" fontId="0" fillId="2" borderId="0" xfId="0" applyFill="1" applyBorder="1" applyAlignment="1">
      <alignment horizontal="center" vertical="center"/>
    </xf>
    <xf numFmtId="3" fontId="5" fillId="2" borderId="0" xfId="2" applyNumberFormat="1" applyFont="1" applyFill="1" applyBorder="1" applyAlignment="1" applyProtection="1">
      <alignment horizontal="center" vertical="top" wrapText="1"/>
    </xf>
    <xf numFmtId="169" fontId="12" fillId="2" borderId="0" xfId="1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right" vertical="center" indent="3"/>
    </xf>
    <xf numFmtId="169" fontId="13" fillId="2" borderId="0" xfId="1" applyNumberFormat="1" applyFont="1" applyFill="1" applyBorder="1" applyAlignment="1"/>
    <xf numFmtId="169" fontId="19" fillId="2" borderId="0" xfId="1" applyNumberFormat="1" applyFont="1" applyFill="1"/>
    <xf numFmtId="169" fontId="14" fillId="2" borderId="0" xfId="1" applyNumberFormat="1" applyFont="1" applyFill="1" applyBorder="1" applyAlignment="1"/>
    <xf numFmtId="169" fontId="18" fillId="2" borderId="0" xfId="1" applyNumberFormat="1" applyFont="1" applyFill="1"/>
    <xf numFmtId="3" fontId="25" fillId="2" borderId="0" xfId="2" applyNumberFormat="1" applyFont="1" applyFill="1" applyBorder="1" applyAlignment="1" applyProtection="1">
      <alignment horizontal="right" vertical="center" indent="3"/>
    </xf>
    <xf numFmtId="168" fontId="2" fillId="2" borderId="0" xfId="0" applyNumberFormat="1" applyFont="1" applyFill="1" applyBorder="1" applyAlignment="1">
      <alignment horizontal="right"/>
    </xf>
    <xf numFmtId="0" fontId="0" fillId="2" borderId="0" xfId="0" applyFill="1" applyBorder="1"/>
    <xf numFmtId="0" fontId="26" fillId="2" borderId="0" xfId="0" applyFont="1" applyFill="1" applyBorder="1"/>
    <xf numFmtId="169" fontId="18" fillId="2" borderId="0" xfId="1" applyNumberFormat="1" applyFont="1" applyFill="1" applyBorder="1" applyAlignment="1"/>
    <xf numFmtId="168" fontId="21" fillId="2" borderId="0" xfId="1" applyNumberFormat="1" applyFont="1" applyFill="1" applyBorder="1" applyAlignment="1">
      <alignment horizontal="right" vertical="center" wrapText="1"/>
    </xf>
    <xf numFmtId="167" fontId="9" fillId="2" borderId="0" xfId="3" applyNumberFormat="1" applyFont="1" applyFill="1" applyBorder="1" applyAlignment="1">
      <alignment horizontal="right" vertical="center" wrapText="1"/>
    </xf>
    <xf numFmtId="168" fontId="21" fillId="2" borderId="0" xfId="1" applyNumberFormat="1" applyFont="1" applyFill="1" applyBorder="1" applyAlignment="1">
      <alignment horizontal="right" vertical="center"/>
    </xf>
    <xf numFmtId="169" fontId="21" fillId="2" borderId="0" xfId="1" applyNumberFormat="1" applyFont="1" applyFill="1" applyBorder="1" applyAlignment="1">
      <alignment horizontal="center" vertical="center"/>
    </xf>
    <xf numFmtId="169" fontId="21" fillId="2" borderId="0" xfId="1" applyNumberFormat="1" applyFont="1" applyFill="1" applyBorder="1" applyAlignment="1">
      <alignment horizontal="right" vertical="center"/>
    </xf>
    <xf numFmtId="169" fontId="26" fillId="2" borderId="0" xfId="1" applyNumberFormat="1" applyFont="1" applyFill="1" applyBorder="1"/>
    <xf numFmtId="169" fontId="0" fillId="2" borderId="0" xfId="0" applyNumberFormat="1" applyFill="1" applyBorder="1"/>
    <xf numFmtId="169" fontId="14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3" fontId="27" fillId="2" borderId="1" xfId="2" applyNumberFormat="1" applyFont="1" applyFill="1" applyBorder="1" applyAlignment="1" applyProtection="1">
      <alignment horizontal="right" vertical="center"/>
    </xf>
    <xf numFmtId="0" fontId="17" fillId="2" borderId="0" xfId="0" applyNumberFormat="1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0" fillId="2" borderId="0" xfId="0" applyFont="1" applyFill="1" applyBorder="1" applyAlignment="1">
      <alignment vertical="center"/>
    </xf>
    <xf numFmtId="0" fontId="29" fillId="2" borderId="0" xfId="0" applyNumberFormat="1" applyFont="1" applyFill="1" applyAlignment="1">
      <alignment vertical="center"/>
    </xf>
    <xf numFmtId="169" fontId="18" fillId="2" borderId="0" xfId="1" applyNumberFormat="1" applyFont="1" applyFill="1" applyAlignment="1">
      <alignment horizontal="right"/>
    </xf>
    <xf numFmtId="169" fontId="15" fillId="2" borderId="1" xfId="1" applyNumberFormat="1" applyFont="1" applyFill="1" applyBorder="1" applyAlignment="1">
      <alignment vertical="center"/>
    </xf>
    <xf numFmtId="168" fontId="0" fillId="2" borderId="0" xfId="1" applyNumberFormat="1" applyFont="1" applyFill="1"/>
    <xf numFmtId="168" fontId="0" fillId="2" borderId="0" xfId="1" applyNumberFormat="1" applyFont="1" applyFill="1" applyAlignment="1">
      <alignment horizontal="right"/>
    </xf>
    <xf numFmtId="168" fontId="2" fillId="2" borderId="0" xfId="1" applyNumberFormat="1" applyFont="1" applyFill="1"/>
    <xf numFmtId="167" fontId="16" fillId="2" borderId="2" xfId="3" applyNumberFormat="1" applyFont="1" applyFill="1" applyBorder="1" applyAlignment="1">
      <alignment horizontal="left" vertical="center" wrapText="1"/>
    </xf>
    <xf numFmtId="167" fontId="16" fillId="2" borderId="1" xfId="3" applyNumberFormat="1" applyFont="1" applyFill="1" applyBorder="1" applyAlignment="1">
      <alignment horizontal="left" vertical="center" wrapText="1"/>
    </xf>
    <xf numFmtId="3" fontId="4" fillId="2" borderId="0" xfId="2" applyNumberFormat="1" applyFont="1" applyFill="1" applyAlignment="1">
      <alignment horizontal="center" wrapText="1" readingOrder="2"/>
    </xf>
    <xf numFmtId="3" fontId="5" fillId="2" borderId="0" xfId="2" applyNumberFormat="1" applyFont="1" applyFill="1" applyBorder="1" applyAlignment="1" applyProtection="1">
      <alignment horizontal="center" vertical="top" wrapText="1"/>
    </xf>
    <xf numFmtId="0" fontId="22" fillId="2" borderId="2" xfId="0" applyFont="1" applyFill="1" applyBorder="1" applyAlignment="1">
      <alignment horizontal="right" vertical="center" indent="2"/>
    </xf>
    <xf numFmtId="0" fontId="22" fillId="2" borderId="1" xfId="0" applyFont="1" applyFill="1" applyBorder="1" applyAlignment="1">
      <alignment horizontal="right" vertical="center" indent="2"/>
    </xf>
  </cellXfs>
  <cellStyles count="5">
    <cellStyle name="Comma" xfId="1" builtinId="3"/>
    <cellStyle name="Normal" xfId="0" builtinId="0"/>
    <cellStyle name="Normal 2" xfId="3"/>
    <cellStyle name="Normal 5" xfId="4"/>
    <cellStyle name="Normal_II-15(Population) 2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18.24: Percentage share of expenditure on Aasandha by Institution, 2016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27552427821522402"/>
          <c:y val="0.12947453070043619"/>
          <c:w val="0.32249083637528503"/>
          <c:h val="0.81840157908845013"/>
        </c:manualLayout>
      </c:layout>
      <c:doughnutChart>
        <c:varyColors val="1"/>
        <c:ser>
          <c:idx val="0"/>
          <c:order val="0"/>
          <c:explosion val="6"/>
          <c:dPt>
            <c:idx val="0"/>
            <c:bubble3D val="0"/>
            <c:spPr>
              <a:solidFill>
                <a:srgbClr val="953735"/>
              </a:solidFill>
            </c:spPr>
          </c:dPt>
          <c:dPt>
            <c:idx val="1"/>
            <c:bubble3D val="0"/>
          </c:dPt>
          <c:dPt>
            <c:idx val="2"/>
            <c:bubble3D val="0"/>
          </c:dPt>
          <c:dPt>
            <c:idx val="4"/>
            <c:bubble3D val="0"/>
          </c:dPt>
          <c:dLbls>
            <c:dLbl>
              <c:idx val="0"/>
              <c:layout>
                <c:manualLayout>
                  <c:x val="-6.431013058586268E-3"/>
                  <c:y val="-1.98019133848247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1.4961257450445476E-2"/>
                  <c:y val="-2.948291308533624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6.4764912549443374E-2"/>
                  <c:y val="-2.345672554455631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6.1309848048117815E-2"/>
                  <c:y val="2.20532010995450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8.6207291830634719E-2"/>
                  <c:y val="4.940429556061926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2158737774360055"/>
                  <c:y val="9.02851775946247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'18.20'!$O$38:$T$38</c:f>
              <c:strCache>
                <c:ptCount val="6"/>
                <c:pt idx="0">
                  <c:v>Hospitals</c:v>
                </c:pt>
                <c:pt idx="1">
                  <c:v>Pharmacies</c:v>
                </c:pt>
                <c:pt idx="2">
                  <c:v>Opticals</c:v>
                </c:pt>
                <c:pt idx="3">
                  <c:v>Clinics</c:v>
                </c:pt>
                <c:pt idx="4">
                  <c:v>Airfare Tickets</c:v>
                </c:pt>
                <c:pt idx="5">
                  <c:v>Emergency Evacuation - Sea</c:v>
                </c:pt>
              </c:strCache>
            </c:strRef>
          </c:cat>
          <c:val>
            <c:numRef>
              <c:f>'18.20'!$O$39:$T$39</c:f>
              <c:numCache>
                <c:formatCode>General</c:formatCode>
                <c:ptCount val="6"/>
                <c:pt idx="0">
                  <c:v>1036845552.4108</c:v>
                </c:pt>
                <c:pt idx="1">
                  <c:v>471275340.50999999</c:v>
                </c:pt>
                <c:pt idx="2">
                  <c:v>33165876.919999998</c:v>
                </c:pt>
                <c:pt idx="3">
                  <c:v>48209795</c:v>
                </c:pt>
                <c:pt idx="4">
                  <c:v>48969974</c:v>
                </c:pt>
                <c:pt idx="5">
                  <c:v>36732648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115"/>
        <c:holeSize val="50"/>
      </c:doughnutChart>
    </c:plotArea>
    <c:plotVisOnly val="1"/>
    <c:dispBlanksAs val="zero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95248</xdr:colOff>
      <xdr:row>32</xdr:row>
      <xdr:rowOff>55999</xdr:rowOff>
    </xdr:from>
    <xdr:to>
      <xdr:col>7</xdr:col>
      <xdr:colOff>1209674</xdr:colOff>
      <xdr:row>48</xdr:row>
      <xdr:rowOff>28574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958936</xdr:colOff>
      <xdr:row>33</xdr:row>
      <xdr:rowOff>154458</xdr:rowOff>
    </xdr:from>
    <xdr:to>
      <xdr:col>7</xdr:col>
      <xdr:colOff>347534</xdr:colOff>
      <xdr:row>33</xdr:row>
      <xdr:rowOff>154459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2870372" y="7497718"/>
          <a:ext cx="6081841" cy="1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52"/>
  <sheetViews>
    <sheetView tabSelected="1" zoomScale="148" zoomScaleNormal="148" workbookViewId="0">
      <selection activeCell="H118" sqref="H110:H118"/>
    </sheetView>
  </sheetViews>
  <sheetFormatPr defaultColWidth="9.140625" defaultRowHeight="15" x14ac:dyDescent="0.25"/>
  <cols>
    <col min="1" max="1" width="28.7109375" style="2" customWidth="1"/>
    <col min="2" max="2" width="18.28515625" style="2" customWidth="1"/>
    <col min="3" max="3" width="16.7109375" style="2" bestFit="1" customWidth="1"/>
    <col min="4" max="6" width="15.7109375" style="2" customWidth="1"/>
    <col min="7" max="8" width="18.28515625" style="2" customWidth="1"/>
    <col min="9" max="9" width="22" style="2" bestFit="1" customWidth="1"/>
    <col min="10" max="12" width="9.140625" style="2"/>
    <col min="13" max="13" width="10.7109375" style="2" customWidth="1"/>
    <col min="14" max="14" width="9.85546875" style="2" customWidth="1"/>
    <col min="15" max="15" width="15.28515625" style="2" customWidth="1"/>
    <col min="16" max="17" width="9.7109375" style="2" customWidth="1"/>
    <col min="18" max="18" width="8.85546875" style="2" customWidth="1"/>
    <col min="19" max="19" width="11.28515625" style="2" bestFit="1" customWidth="1"/>
    <col min="20" max="20" width="11" style="2" bestFit="1" customWidth="1"/>
    <col min="21" max="16384" width="9.140625" style="2"/>
  </cols>
  <sheetData>
    <row r="1" spans="1:19" ht="21" x14ac:dyDescent="0.55000000000000004">
      <c r="A1" s="49" t="s">
        <v>43</v>
      </c>
      <c r="B1" s="49"/>
      <c r="C1" s="49"/>
      <c r="D1" s="49"/>
      <c r="E1" s="49"/>
      <c r="F1" s="49"/>
      <c r="G1" s="49"/>
      <c r="H1" s="49"/>
      <c r="I1" s="49"/>
    </row>
    <row r="2" spans="1:19" s="14" customFormat="1" x14ac:dyDescent="0.25">
      <c r="A2" s="50" t="s">
        <v>44</v>
      </c>
      <c r="B2" s="50"/>
      <c r="C2" s="50"/>
      <c r="D2" s="50"/>
      <c r="E2" s="50"/>
      <c r="F2" s="50"/>
      <c r="G2" s="50"/>
      <c r="H2" s="50"/>
      <c r="I2" s="50"/>
    </row>
    <row r="3" spans="1:19" s="8" customFormat="1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9" s="8" customFormat="1" ht="30" x14ac:dyDescent="0.25">
      <c r="A4" s="47" t="s">
        <v>2</v>
      </c>
      <c r="B4" s="4" t="s">
        <v>30</v>
      </c>
      <c r="C4" s="5" t="s">
        <v>31</v>
      </c>
      <c r="D4" s="5" t="s">
        <v>0</v>
      </c>
      <c r="E4" s="5" t="s">
        <v>32</v>
      </c>
      <c r="F4" s="5" t="s">
        <v>33</v>
      </c>
      <c r="G4" s="6" t="s">
        <v>45</v>
      </c>
      <c r="H4" s="7" t="s">
        <v>46</v>
      </c>
      <c r="I4" s="51" t="s">
        <v>1</v>
      </c>
    </row>
    <row r="5" spans="1:19" s="8" customFormat="1" ht="18.75" x14ac:dyDescent="0.25">
      <c r="A5" s="48"/>
      <c r="B5" s="1" t="s">
        <v>35</v>
      </c>
      <c r="C5" s="9" t="s">
        <v>36</v>
      </c>
      <c r="D5" s="9" t="s">
        <v>37</v>
      </c>
      <c r="E5" s="9" t="s">
        <v>38</v>
      </c>
      <c r="F5" s="9" t="s">
        <v>39</v>
      </c>
      <c r="G5" s="1" t="s">
        <v>40</v>
      </c>
      <c r="H5" s="1" t="s">
        <v>41</v>
      </c>
      <c r="I5" s="52"/>
    </row>
    <row r="6" spans="1:19" s="11" customFormat="1" ht="18.75" x14ac:dyDescent="0.25">
      <c r="A6" s="10" t="s">
        <v>3</v>
      </c>
      <c r="B6" s="16">
        <f>SUM(B7:B8)+B29</f>
        <v>1675199186.8408003</v>
      </c>
      <c r="C6" s="16">
        <f>SUM(C7:C8)+C29</f>
        <v>1036845552.4108</v>
      </c>
      <c r="D6" s="16">
        <f>SUM(D7:D8)</f>
        <v>471275340.50999999</v>
      </c>
      <c r="E6" s="16">
        <f>SUM(E7:E8)</f>
        <v>33165876.919999998</v>
      </c>
      <c r="F6" s="16">
        <f>SUM(F7:F8)</f>
        <v>48209795</v>
      </c>
      <c r="G6" s="16">
        <f>SUM(G7:G8)</f>
        <v>48969974</v>
      </c>
      <c r="H6" s="16">
        <f>SUM(H7:H8)</f>
        <v>36732648</v>
      </c>
      <c r="I6" s="17" t="s">
        <v>42</v>
      </c>
    </row>
    <row r="7" spans="1:19" s="3" customFormat="1" ht="18.75" x14ac:dyDescent="0.25">
      <c r="A7" s="18" t="s">
        <v>4</v>
      </c>
      <c r="B7" s="19">
        <f>SUM(C7:H7)</f>
        <v>899761456.92000008</v>
      </c>
      <c r="C7" s="19">
        <v>527808382</v>
      </c>
      <c r="D7" s="19">
        <v>220341266.97999999</v>
      </c>
      <c r="E7" s="19">
        <v>31638475.939999998</v>
      </c>
      <c r="F7" s="19">
        <v>34270710</v>
      </c>
      <c r="G7" s="19">
        <v>48969974</v>
      </c>
      <c r="H7" s="19">
        <v>36732648</v>
      </c>
      <c r="I7" s="17" t="s">
        <v>5</v>
      </c>
    </row>
    <row r="8" spans="1:19" s="3" customFormat="1" ht="18.75" x14ac:dyDescent="0.25">
      <c r="A8" s="18" t="s">
        <v>6</v>
      </c>
      <c r="B8" s="19">
        <f>SUM(B9:B28)</f>
        <v>552084045.66999996</v>
      </c>
      <c r="C8" s="19">
        <f>SUM(C9:C28)</f>
        <v>285683486.15999997</v>
      </c>
      <c r="D8" s="19">
        <f t="shared" ref="D8:F8" si="0">SUM(D9:D28)</f>
        <v>250934073.52999997</v>
      </c>
      <c r="E8" s="19">
        <f t="shared" si="0"/>
        <v>1527400.98</v>
      </c>
      <c r="F8" s="19">
        <f t="shared" si="0"/>
        <v>13939085</v>
      </c>
      <c r="G8" s="12">
        <v>0</v>
      </c>
      <c r="H8" s="12">
        <v>0</v>
      </c>
      <c r="I8" s="17" t="s">
        <v>7</v>
      </c>
    </row>
    <row r="9" spans="1:19" ht="16.5" x14ac:dyDescent="0.25">
      <c r="A9" s="20" t="s">
        <v>8</v>
      </c>
      <c r="B9" s="21">
        <f>SUM(C9:G9)</f>
        <v>30277717.869999997</v>
      </c>
      <c r="C9" s="12">
        <v>15664580.719999999</v>
      </c>
      <c r="D9" s="21">
        <v>14613137.15</v>
      </c>
      <c r="E9" s="12"/>
      <c r="F9" s="12">
        <v>0</v>
      </c>
      <c r="G9" s="12">
        <v>0</v>
      </c>
      <c r="H9" s="12">
        <v>0</v>
      </c>
      <c r="I9" s="22" t="s">
        <v>47</v>
      </c>
    </row>
    <row r="10" spans="1:19" ht="16.5" x14ac:dyDescent="0.25">
      <c r="A10" s="20" t="s">
        <v>9</v>
      </c>
      <c r="B10" s="21">
        <f>SUM(C10:G10)</f>
        <v>60034554.909999989</v>
      </c>
      <c r="C10" s="12">
        <v>36857390.019999996</v>
      </c>
      <c r="D10" s="21">
        <v>23103892.889999993</v>
      </c>
      <c r="E10" s="21">
        <v>73272</v>
      </c>
      <c r="F10" s="12">
        <v>0</v>
      </c>
      <c r="G10" s="12">
        <v>0</v>
      </c>
      <c r="H10" s="12">
        <v>0</v>
      </c>
      <c r="I10" s="22" t="s">
        <v>48</v>
      </c>
    </row>
    <row r="11" spans="1:19" ht="16.5" x14ac:dyDescent="0.25">
      <c r="A11" s="20" t="s">
        <v>10</v>
      </c>
      <c r="B11" s="21">
        <f t="shared" ref="B11:B28" si="1">SUM(C11:G11)</f>
        <v>21043099.035</v>
      </c>
      <c r="C11" s="12">
        <v>10658418.295</v>
      </c>
      <c r="D11" s="21">
        <v>10384680.74</v>
      </c>
      <c r="E11" s="12">
        <v>0</v>
      </c>
      <c r="F11" s="12">
        <v>0</v>
      </c>
      <c r="G11" s="12">
        <v>0</v>
      </c>
      <c r="H11" s="12">
        <v>0</v>
      </c>
      <c r="I11" s="22" t="s">
        <v>29</v>
      </c>
      <c r="J11" s="23"/>
    </row>
    <row r="12" spans="1:19" ht="16.5" x14ac:dyDescent="0.25">
      <c r="A12" s="20" t="s">
        <v>11</v>
      </c>
      <c r="B12" s="21">
        <f t="shared" si="1"/>
        <v>16255000.770000001</v>
      </c>
      <c r="C12" s="12">
        <v>8442977</v>
      </c>
      <c r="D12" s="21">
        <v>7812023.7700000014</v>
      </c>
      <c r="E12" s="12">
        <v>0</v>
      </c>
      <c r="F12" s="12">
        <v>0</v>
      </c>
      <c r="G12" s="12">
        <v>0</v>
      </c>
      <c r="H12" s="12">
        <v>0</v>
      </c>
      <c r="I12" s="22" t="s">
        <v>49</v>
      </c>
    </row>
    <row r="13" spans="1:19" ht="16.5" x14ac:dyDescent="0.25">
      <c r="A13" s="20" t="s">
        <v>12</v>
      </c>
      <c r="B13" s="21">
        <f t="shared" si="1"/>
        <v>43959957.414999992</v>
      </c>
      <c r="C13" s="12">
        <v>26004305.584999997</v>
      </c>
      <c r="D13" s="21">
        <v>17955651.829999998</v>
      </c>
      <c r="E13" s="12">
        <v>0</v>
      </c>
      <c r="F13" s="12">
        <v>0</v>
      </c>
      <c r="G13" s="12">
        <v>0</v>
      </c>
      <c r="H13" s="12">
        <v>0</v>
      </c>
      <c r="I13" s="22" t="s">
        <v>50</v>
      </c>
    </row>
    <row r="14" spans="1:19" ht="16.5" x14ac:dyDescent="0.25">
      <c r="A14" s="20" t="s">
        <v>13</v>
      </c>
      <c r="B14" s="21">
        <f t="shared" si="1"/>
        <v>26651220.370000001</v>
      </c>
      <c r="C14" s="12">
        <v>13114327.280000001</v>
      </c>
      <c r="D14" s="21">
        <v>13536893.09</v>
      </c>
      <c r="E14" s="12">
        <v>0</v>
      </c>
      <c r="F14" s="12">
        <v>0</v>
      </c>
      <c r="G14" s="12">
        <v>0</v>
      </c>
      <c r="H14" s="12">
        <v>0</v>
      </c>
      <c r="I14" s="22" t="s">
        <v>51</v>
      </c>
      <c r="L14" s="24"/>
      <c r="M14" s="24"/>
      <c r="N14" s="24"/>
      <c r="O14" s="24"/>
      <c r="P14" s="24"/>
      <c r="Q14" s="24"/>
      <c r="R14" s="24"/>
      <c r="S14" s="24"/>
    </row>
    <row r="15" spans="1:19" ht="16.5" x14ac:dyDescent="0.25">
      <c r="A15" s="20" t="s">
        <v>14</v>
      </c>
      <c r="B15" s="21">
        <f t="shared" si="1"/>
        <v>31816789.560000002</v>
      </c>
      <c r="C15" s="12">
        <v>11945711.74</v>
      </c>
      <c r="D15" s="21">
        <v>19871077.82</v>
      </c>
      <c r="E15" s="12">
        <v>0</v>
      </c>
      <c r="F15" s="12">
        <v>0</v>
      </c>
      <c r="G15" s="12">
        <v>0</v>
      </c>
      <c r="H15" s="12">
        <v>0</v>
      </c>
      <c r="I15" s="22" t="s">
        <v>28</v>
      </c>
      <c r="L15" s="24"/>
      <c r="M15" s="24"/>
      <c r="N15" s="24"/>
      <c r="O15" s="24"/>
      <c r="P15" s="24"/>
      <c r="Q15" s="24"/>
      <c r="R15" s="24"/>
      <c r="S15" s="24"/>
    </row>
    <row r="16" spans="1:19" ht="16.5" x14ac:dyDescent="0.25">
      <c r="A16" s="20" t="s">
        <v>52</v>
      </c>
      <c r="B16" s="21">
        <f t="shared" si="1"/>
        <v>14543865.744999999</v>
      </c>
      <c r="C16" s="12">
        <v>7550186.6449999996</v>
      </c>
      <c r="D16" s="21">
        <v>6993679.0999999996</v>
      </c>
      <c r="E16" s="12">
        <v>0</v>
      </c>
      <c r="F16" s="12">
        <v>0</v>
      </c>
      <c r="G16" s="12">
        <v>0</v>
      </c>
      <c r="H16" s="12">
        <v>0</v>
      </c>
      <c r="I16" s="22" t="s">
        <v>53</v>
      </c>
      <c r="L16" s="24"/>
      <c r="M16" s="25"/>
      <c r="N16" s="25"/>
      <c r="O16" s="25"/>
      <c r="P16" s="25"/>
      <c r="Q16" s="25"/>
      <c r="R16" s="25"/>
      <c r="S16" s="24"/>
    </row>
    <row r="17" spans="1:19" ht="16.5" x14ac:dyDescent="0.25">
      <c r="A17" s="26" t="s">
        <v>15</v>
      </c>
      <c r="B17" s="21">
        <f t="shared" si="1"/>
        <v>8698613.1500000004</v>
      </c>
      <c r="C17" s="12">
        <v>5090378.2299999995</v>
      </c>
      <c r="D17" s="21">
        <v>3608234.9200000004</v>
      </c>
      <c r="E17" s="12">
        <v>0</v>
      </c>
      <c r="F17" s="12">
        <v>0</v>
      </c>
      <c r="G17" s="12">
        <v>0</v>
      </c>
      <c r="H17" s="12">
        <v>0</v>
      </c>
      <c r="I17" s="22" t="s">
        <v>54</v>
      </c>
      <c r="L17" s="24"/>
      <c r="M17" s="27"/>
      <c r="N17" s="28"/>
      <c r="O17" s="28"/>
      <c r="P17" s="28"/>
      <c r="Q17" s="28"/>
      <c r="R17" s="29"/>
      <c r="S17" s="29"/>
    </row>
    <row r="18" spans="1:19" ht="16.5" x14ac:dyDescent="0.25">
      <c r="A18" s="20" t="s">
        <v>16</v>
      </c>
      <c r="B18" s="21">
        <f t="shared" si="1"/>
        <v>21983644.324999996</v>
      </c>
      <c r="C18" s="12">
        <v>10126624.814999999</v>
      </c>
      <c r="D18" s="21">
        <v>11407314.509999998</v>
      </c>
      <c r="E18" s="12">
        <v>0</v>
      </c>
      <c r="F18" s="42">
        <v>449705</v>
      </c>
      <c r="G18" s="12">
        <v>0</v>
      </c>
      <c r="H18" s="12">
        <v>0</v>
      </c>
      <c r="I18" s="22" t="s">
        <v>55</v>
      </c>
      <c r="L18" s="24"/>
      <c r="M18" s="30"/>
      <c r="N18" s="30"/>
      <c r="O18" s="30"/>
      <c r="P18" s="30"/>
      <c r="Q18" s="31"/>
      <c r="R18" s="32"/>
      <c r="S18" s="33"/>
    </row>
    <row r="19" spans="1:19" ht="16.5" x14ac:dyDescent="0.25">
      <c r="A19" s="20" t="s">
        <v>17</v>
      </c>
      <c r="B19" s="21">
        <f t="shared" si="1"/>
        <v>2451686.34</v>
      </c>
      <c r="C19" s="12">
        <v>1110226.01</v>
      </c>
      <c r="D19" s="42">
        <v>1341460.33</v>
      </c>
      <c r="E19" s="12">
        <v>0</v>
      </c>
      <c r="F19" s="12">
        <v>0</v>
      </c>
      <c r="G19" s="12">
        <v>0</v>
      </c>
      <c r="H19" s="12">
        <v>0</v>
      </c>
      <c r="I19" s="22" t="s">
        <v>56</v>
      </c>
      <c r="L19" s="24"/>
      <c r="M19" s="25"/>
      <c r="N19" s="25"/>
      <c r="O19" s="25"/>
      <c r="P19" s="25"/>
      <c r="Q19" s="25"/>
      <c r="R19" s="25"/>
      <c r="S19" s="24"/>
    </row>
    <row r="20" spans="1:19" ht="16.5" x14ac:dyDescent="0.25">
      <c r="A20" s="20" t="s">
        <v>18</v>
      </c>
      <c r="B20" s="21">
        <f t="shared" si="1"/>
        <v>11946502.879999999</v>
      </c>
      <c r="C20" s="12">
        <v>5095481.0799999991</v>
      </c>
      <c r="D20" s="21">
        <v>6851021.8000000007</v>
      </c>
      <c r="E20" s="12">
        <v>0</v>
      </c>
      <c r="F20" s="12">
        <v>0</v>
      </c>
      <c r="G20" s="12">
        <v>0</v>
      </c>
      <c r="H20" s="12">
        <v>0</v>
      </c>
      <c r="I20" s="22" t="s">
        <v>57</v>
      </c>
      <c r="L20" s="24"/>
      <c r="M20" s="24"/>
      <c r="N20" s="24"/>
      <c r="O20" s="24"/>
      <c r="P20" s="24"/>
      <c r="Q20" s="24"/>
      <c r="R20" s="24"/>
      <c r="S20" s="24"/>
    </row>
    <row r="21" spans="1:19" ht="16.5" x14ac:dyDescent="0.25">
      <c r="A21" s="20" t="s">
        <v>19</v>
      </c>
      <c r="B21" s="21">
        <f t="shared" si="1"/>
        <v>10153645.83</v>
      </c>
      <c r="C21" s="12">
        <v>5321104.63</v>
      </c>
      <c r="D21" s="21">
        <v>4832541.2</v>
      </c>
      <c r="E21" s="12">
        <v>0</v>
      </c>
      <c r="F21" s="12">
        <v>0</v>
      </c>
      <c r="G21" s="12">
        <v>0</v>
      </c>
      <c r="H21" s="12">
        <v>0</v>
      </c>
      <c r="I21" s="22" t="s">
        <v>58</v>
      </c>
      <c r="L21" s="24"/>
      <c r="M21" s="24"/>
      <c r="N21" s="24"/>
      <c r="O21" s="24"/>
      <c r="P21" s="24"/>
      <c r="Q21" s="24"/>
      <c r="R21" s="24"/>
      <c r="S21" s="24"/>
    </row>
    <row r="22" spans="1:19" ht="16.5" x14ac:dyDescent="0.25">
      <c r="A22" s="20" t="s">
        <v>20</v>
      </c>
      <c r="B22" s="21">
        <f t="shared" si="1"/>
        <v>11807838.66</v>
      </c>
      <c r="C22" s="12">
        <v>7233296.2599999998</v>
      </c>
      <c r="D22" s="21">
        <v>4574542.4000000004</v>
      </c>
      <c r="E22" s="12">
        <v>0</v>
      </c>
      <c r="F22" s="12">
        <v>0</v>
      </c>
      <c r="G22" s="12">
        <v>0</v>
      </c>
      <c r="H22" s="12">
        <v>0</v>
      </c>
      <c r="I22" s="22" t="s">
        <v>59</v>
      </c>
      <c r="L22" s="24"/>
      <c r="M22" s="24"/>
      <c r="N22" s="24"/>
      <c r="O22" s="24"/>
      <c r="P22" s="24"/>
      <c r="Q22" s="24"/>
      <c r="R22" s="24"/>
      <c r="S22" s="24"/>
    </row>
    <row r="23" spans="1:19" ht="16.5" x14ac:dyDescent="0.25">
      <c r="A23" s="20" t="s">
        <v>21</v>
      </c>
      <c r="B23" s="21">
        <f t="shared" si="1"/>
        <v>22462983.789999999</v>
      </c>
      <c r="C23" s="12">
        <v>14047423.739999998</v>
      </c>
      <c r="D23" s="21">
        <v>8415560.0499999989</v>
      </c>
      <c r="E23" s="12">
        <v>0</v>
      </c>
      <c r="F23" s="12">
        <v>0</v>
      </c>
      <c r="G23" s="12">
        <v>0</v>
      </c>
      <c r="H23" s="12">
        <v>0</v>
      </c>
      <c r="I23" s="22" t="s">
        <v>60</v>
      </c>
      <c r="L23" s="24"/>
      <c r="M23" s="24"/>
      <c r="N23" s="24"/>
      <c r="O23" s="24"/>
      <c r="P23" s="24"/>
      <c r="Q23" s="24"/>
      <c r="R23" s="24"/>
      <c r="S23" s="24"/>
    </row>
    <row r="24" spans="1:19" ht="16.5" x14ac:dyDescent="0.25">
      <c r="A24" s="20" t="s">
        <v>22</v>
      </c>
      <c r="B24" s="21">
        <f t="shared" si="1"/>
        <v>30750547.939999998</v>
      </c>
      <c r="C24" s="12">
        <v>18724934.190000001</v>
      </c>
      <c r="D24" s="21">
        <v>12025613.749999998</v>
      </c>
      <c r="E24" s="12">
        <v>0</v>
      </c>
      <c r="F24" s="12">
        <v>0</v>
      </c>
      <c r="G24" s="12">
        <v>0</v>
      </c>
      <c r="H24" s="12">
        <v>0</v>
      </c>
      <c r="I24" s="22" t="s">
        <v>61</v>
      </c>
      <c r="L24" s="24"/>
      <c r="M24" s="24"/>
      <c r="N24" s="24"/>
      <c r="O24" s="24"/>
      <c r="P24" s="24"/>
      <c r="Q24" s="24"/>
      <c r="R24" s="24"/>
      <c r="S24" s="24"/>
    </row>
    <row r="25" spans="1:19" ht="16.5" x14ac:dyDescent="0.25">
      <c r="A25" s="20" t="s">
        <v>23</v>
      </c>
      <c r="B25" s="21">
        <f t="shared" si="1"/>
        <v>25050862.829999998</v>
      </c>
      <c r="C25" s="12">
        <v>12228952.35</v>
      </c>
      <c r="D25" s="21">
        <v>12821910.48</v>
      </c>
      <c r="E25" s="12">
        <v>0</v>
      </c>
      <c r="F25" s="12">
        <v>0</v>
      </c>
      <c r="G25" s="12">
        <v>0</v>
      </c>
      <c r="H25" s="12">
        <v>0</v>
      </c>
      <c r="I25" s="22" t="s">
        <v>62</v>
      </c>
      <c r="L25" s="24"/>
      <c r="M25" s="24"/>
      <c r="N25" s="24"/>
      <c r="O25" s="24"/>
      <c r="P25" s="24"/>
      <c r="Q25" s="24"/>
      <c r="R25" s="24"/>
      <c r="S25" s="24"/>
    </row>
    <row r="26" spans="1:19" ht="16.5" x14ac:dyDescent="0.25">
      <c r="A26" s="20" t="s">
        <v>24</v>
      </c>
      <c r="B26" s="21">
        <f t="shared" si="1"/>
        <v>39536598.640000001</v>
      </c>
      <c r="C26" s="12">
        <v>25002234.319999997</v>
      </c>
      <c r="D26" s="21">
        <v>14534364.320000002</v>
      </c>
      <c r="E26" s="12">
        <v>0</v>
      </c>
      <c r="F26" s="12">
        <v>0</v>
      </c>
      <c r="G26" s="12">
        <v>0</v>
      </c>
      <c r="H26" s="12">
        <v>0</v>
      </c>
      <c r="I26" s="22" t="s">
        <v>63</v>
      </c>
      <c r="L26" s="24"/>
      <c r="M26" s="24"/>
      <c r="N26" s="24"/>
      <c r="O26" s="24"/>
      <c r="P26" s="24"/>
      <c r="Q26" s="24"/>
      <c r="R26" s="24"/>
      <c r="S26" s="24"/>
    </row>
    <row r="27" spans="1:19" ht="16.5" x14ac:dyDescent="0.25">
      <c r="A27" s="20" t="s">
        <v>25</v>
      </c>
      <c r="B27" s="21">
        <f t="shared" si="1"/>
        <v>20312685.899999999</v>
      </c>
      <c r="C27" s="12">
        <v>10181932.07</v>
      </c>
      <c r="D27" s="21">
        <v>8960764.8300000001</v>
      </c>
      <c r="E27" s="42">
        <v>276324</v>
      </c>
      <c r="F27" s="42">
        <v>893665</v>
      </c>
      <c r="G27" s="12">
        <v>0</v>
      </c>
      <c r="H27" s="12">
        <v>0</v>
      </c>
      <c r="I27" s="22" t="s">
        <v>27</v>
      </c>
      <c r="L27" s="24"/>
      <c r="M27" s="24"/>
      <c r="N27" s="24"/>
      <c r="O27" s="24"/>
      <c r="P27" s="24"/>
      <c r="Q27" s="24"/>
      <c r="R27" s="24"/>
      <c r="S27" s="24"/>
    </row>
    <row r="28" spans="1:19" ht="16.5" x14ac:dyDescent="0.25">
      <c r="A28" s="20" t="s">
        <v>26</v>
      </c>
      <c r="B28" s="21">
        <f t="shared" si="1"/>
        <v>102346229.71000001</v>
      </c>
      <c r="C28" s="12">
        <v>41283001.180000007</v>
      </c>
      <c r="D28" s="21">
        <v>47289708.549999997</v>
      </c>
      <c r="E28" s="21">
        <v>1177804.98</v>
      </c>
      <c r="F28" s="42">
        <v>12595715</v>
      </c>
      <c r="G28" s="12">
        <v>0</v>
      </c>
      <c r="H28" s="12">
        <v>0</v>
      </c>
      <c r="I28" s="22" t="s">
        <v>64</v>
      </c>
      <c r="L28" s="24"/>
      <c r="M28" s="24"/>
      <c r="N28" s="24"/>
      <c r="O28" s="24"/>
      <c r="P28" s="24"/>
      <c r="Q28" s="24"/>
      <c r="R28" s="24"/>
      <c r="S28" s="24"/>
    </row>
    <row r="29" spans="1:19" ht="18.75" x14ac:dyDescent="0.25">
      <c r="A29" s="34" t="s">
        <v>65</v>
      </c>
      <c r="B29" s="35">
        <f>SUM(C29:G29)</f>
        <v>223353684.25080001</v>
      </c>
      <c r="C29" s="43">
        <v>223353684.25080001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36" t="s">
        <v>66</v>
      </c>
      <c r="L29" s="24"/>
      <c r="M29" s="24"/>
      <c r="N29" s="24"/>
      <c r="O29" s="24"/>
      <c r="P29" s="24"/>
      <c r="Q29" s="24"/>
      <c r="R29" s="24"/>
      <c r="S29" s="24"/>
    </row>
    <row r="30" spans="1:19" s="38" customFormat="1" ht="17.25" x14ac:dyDescent="0.25">
      <c r="A30" s="37" t="s">
        <v>67</v>
      </c>
      <c r="I30" s="39"/>
      <c r="L30" s="40"/>
      <c r="M30" s="40"/>
      <c r="N30" s="40"/>
      <c r="O30" s="40"/>
      <c r="P30" s="40"/>
      <c r="Q30" s="40"/>
      <c r="R30" s="40"/>
      <c r="S30" s="40"/>
    </row>
    <row r="31" spans="1:19" s="38" customFormat="1" ht="17.25" x14ac:dyDescent="0.25">
      <c r="A31" s="41" t="s">
        <v>68</v>
      </c>
      <c r="I31" s="39"/>
      <c r="L31" s="40"/>
      <c r="M31" s="40"/>
      <c r="N31" s="40"/>
      <c r="O31" s="40"/>
      <c r="P31" s="40"/>
      <c r="Q31" s="40"/>
      <c r="R31" s="40"/>
      <c r="S31" s="40"/>
    </row>
    <row r="32" spans="1:19" s="38" customFormat="1" ht="17.25" x14ac:dyDescent="0.25">
      <c r="A32" s="37"/>
      <c r="I32" s="39"/>
      <c r="L32" s="40"/>
      <c r="M32" s="40"/>
      <c r="N32" s="40"/>
      <c r="O32" s="40"/>
      <c r="P32" s="40"/>
      <c r="Q32" s="40"/>
      <c r="R32" s="40"/>
      <c r="S32" s="40"/>
    </row>
    <row r="33" spans="1:20" s="38" customFormat="1" ht="17.25" x14ac:dyDescent="0.25">
      <c r="A33" s="37"/>
      <c r="I33" s="39"/>
      <c r="L33" s="40"/>
      <c r="M33" s="40"/>
      <c r="N33" s="40"/>
      <c r="O33" s="40"/>
      <c r="P33" s="40"/>
      <c r="Q33" s="40"/>
      <c r="R33" s="40"/>
      <c r="S33" s="40"/>
    </row>
    <row r="34" spans="1:20" ht="17.25" x14ac:dyDescent="0.25">
      <c r="A34" s="37"/>
      <c r="B34" s="38"/>
      <c r="C34" s="38"/>
      <c r="D34" s="38"/>
      <c r="E34" s="38"/>
      <c r="F34" s="38"/>
      <c r="G34" s="38"/>
      <c r="H34" s="38"/>
      <c r="I34" s="39"/>
    </row>
    <row r="38" spans="1:20" ht="38.25" x14ac:dyDescent="0.25">
      <c r="O38" s="5" t="s">
        <v>31</v>
      </c>
      <c r="P38" s="5" t="s">
        <v>0</v>
      </c>
      <c r="Q38" s="5" t="s">
        <v>32</v>
      </c>
      <c r="R38" s="5" t="s">
        <v>33</v>
      </c>
      <c r="S38" s="6" t="s">
        <v>69</v>
      </c>
      <c r="T38" s="7" t="s">
        <v>34</v>
      </c>
    </row>
    <row r="39" spans="1:20" x14ac:dyDescent="0.25">
      <c r="O39" s="2">
        <v>1036845552.4108</v>
      </c>
      <c r="P39" s="2">
        <v>471275340.50999999</v>
      </c>
      <c r="Q39" s="2">
        <v>33165876.919999998</v>
      </c>
      <c r="R39" s="2">
        <v>48209795</v>
      </c>
      <c r="S39" s="2">
        <v>48969974</v>
      </c>
      <c r="T39" s="2">
        <v>36732648</v>
      </c>
    </row>
    <row r="42" spans="1:20" x14ac:dyDescent="0.25">
      <c r="A42" s="44"/>
      <c r="C42" s="45"/>
      <c r="D42" s="45"/>
      <c r="E42" s="45"/>
      <c r="F42" s="45"/>
      <c r="G42" s="45"/>
      <c r="H42" s="45"/>
    </row>
    <row r="43" spans="1:20" x14ac:dyDescent="0.25">
      <c r="A43" s="44"/>
      <c r="B43" s="46"/>
      <c r="C43" s="45"/>
      <c r="D43" s="45"/>
      <c r="E43" s="45"/>
      <c r="F43" s="45"/>
      <c r="G43" s="45"/>
      <c r="H43" s="45"/>
    </row>
    <row r="45" spans="1:20" x14ac:dyDescent="0.25">
      <c r="A45" s="44"/>
      <c r="B45" s="46"/>
      <c r="C45" s="45"/>
      <c r="D45" s="45"/>
      <c r="E45" s="45"/>
      <c r="F45" s="45"/>
      <c r="G45" s="45"/>
      <c r="H45" s="45"/>
    </row>
    <row r="46" spans="1:20" x14ac:dyDescent="0.25">
      <c r="G46" s="45"/>
      <c r="H46" s="45"/>
    </row>
    <row r="47" spans="1:20" x14ac:dyDescent="0.25">
      <c r="G47" s="45"/>
      <c r="H47" s="45"/>
    </row>
    <row r="48" spans="1:20" x14ac:dyDescent="0.25">
      <c r="G48" s="45"/>
      <c r="H48" s="45"/>
    </row>
    <row r="49" spans="7:8" x14ac:dyDescent="0.25">
      <c r="G49" s="45"/>
      <c r="H49" s="45"/>
    </row>
    <row r="50" spans="7:8" x14ac:dyDescent="0.25">
      <c r="G50" s="45"/>
      <c r="H50" s="45"/>
    </row>
    <row r="51" spans="7:8" x14ac:dyDescent="0.25">
      <c r="G51" s="45"/>
      <c r="H51" s="45"/>
    </row>
    <row r="52" spans="7:8" x14ac:dyDescent="0.25">
      <c r="G52" s="45"/>
      <c r="H52" s="45"/>
    </row>
  </sheetData>
  <mergeCells count="4">
    <mergeCell ref="A1:I1"/>
    <mergeCell ref="A2:I2"/>
    <mergeCell ref="A4:A5"/>
    <mergeCell ref="I4:I5"/>
  </mergeCells>
  <pageMargins left="0.7" right="0.7" top="0.75" bottom="0.75" header="0.3" footer="0.3"/>
  <pageSetup paperSize="9" scale="75" orientation="landscape" horizontalDpi="4294967295" verticalDpi="4294967295" r:id="rId1"/>
  <rowBreaks count="1" manualBreakCount="1">
    <brk id="32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18.20</vt:lpstr>
      <vt:lpstr>'18.20'!Print_Area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2017-07-04T09:07:10Z</cp:lastPrinted>
  <dcterms:modified xsi:type="dcterms:W3CDTF">2017-07-04T09:07:11Z</dcterms:modified>
</cp:coreProperties>
</file>