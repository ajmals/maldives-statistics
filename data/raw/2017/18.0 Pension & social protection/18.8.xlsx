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702"/>
  </bookViews>
  <sheets>
    <sheet name="18.8" sheetId="8" r:id="rId1"/>
  </sheets>
  <externalReferences>
    <externalReference r:id="rId2"/>
    <externalReference r:id="rId3"/>
  </externalReferences>
  <definedNames>
    <definedName name="_xlnm.Print_Area" localSheetId="0">'18.8'!$A$1:$I$25</definedName>
  </definedNames>
  <calcPr calcId="144525"/>
</workbook>
</file>

<file path=xl/calcChain.xml><?xml version="1.0" encoding="utf-8"?>
<calcChain xmlns="http://schemas.openxmlformats.org/spreadsheetml/2006/main">
  <c r="AN15" i="8" l="1"/>
  <c r="AN14" i="8"/>
  <c r="AN13" i="8"/>
  <c r="AM12" i="8"/>
  <c r="AL12" i="8"/>
  <c r="AK12" i="8"/>
  <c r="AI12" i="8"/>
  <c r="B11" i="8"/>
  <c r="B10" i="8"/>
  <c r="B9" i="8"/>
  <c r="B8" i="8"/>
  <c r="G7" i="8"/>
  <c r="F7" i="8"/>
  <c r="E7" i="8"/>
  <c r="D7" i="8"/>
  <c r="C7" i="8"/>
  <c r="B7" i="8" l="1"/>
  <c r="AN12" i="8"/>
</calcChain>
</file>

<file path=xl/sharedStrings.xml><?xml version="1.0" encoding="utf-8"?>
<sst xmlns="http://schemas.openxmlformats.org/spreadsheetml/2006/main" count="36" uniqueCount="32">
  <si>
    <t>Type of pension</t>
  </si>
  <si>
    <t>ޕެންޝަންގެ ބާވަތް</t>
  </si>
  <si>
    <t>ޖުމްލަ</t>
  </si>
  <si>
    <t>Total</t>
  </si>
  <si>
    <t>Basic Pension</t>
  </si>
  <si>
    <t>އަސާސީ ޕެންޝަން</t>
  </si>
  <si>
    <t>Retirement Pension</t>
  </si>
  <si>
    <t>ރިޓަޔަރމަންޓް ޕެންޝަން</t>
  </si>
  <si>
    <t>Other Pension</t>
  </si>
  <si>
    <t>އެހެނިހެން ޕެންޝަން</t>
  </si>
  <si>
    <t>ސީނިއަރ ސިޓިޒަން އެލަވަންސް</t>
  </si>
  <si>
    <t>Source: Maldives Pension Administration</t>
  </si>
  <si>
    <t>މަޢުލޫމާތު ދެއްވި ފަރާތް: މޯލްޑިވްސް ޕެންޝަން އެޑްމިނިސްޓްރޭޝަން</t>
  </si>
  <si>
    <t>Senior Citizen Allowance</t>
  </si>
  <si>
    <t>Basic pension</t>
  </si>
  <si>
    <t>65-69</t>
  </si>
  <si>
    <t>70-74</t>
  </si>
  <si>
    <t>75 &amp; over</t>
  </si>
  <si>
    <t>&lt; 55</t>
  </si>
  <si>
    <t>55-64</t>
  </si>
  <si>
    <t>75 +</t>
  </si>
  <si>
    <t>ތާވަލު 18.8:  އެކި ޕެންޝަން ސްކީމްތަކުން ޕެންޝަން ލިބޭ މީހުންގެ އަދަދު އަދި އުމުރުފުރާ، 2016</t>
  </si>
  <si>
    <t>TABLE 18.8: NUMBER OF BEFEFICIARIES BY AGE GROUP FOR  DIFFERENT  PENSION SCHEMES, 2016</t>
  </si>
  <si>
    <t>Age groups, 2016 ( as of end year)</t>
  </si>
  <si>
    <t>All ages</t>
  </si>
  <si>
    <t xml:space="preserve">Total </t>
  </si>
  <si>
    <t>age-group</t>
  </si>
  <si>
    <t>2015 end</t>
  </si>
  <si>
    <t>under 55</t>
  </si>
  <si>
    <t>Other pension</t>
  </si>
  <si>
    <t>Retirement pension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</si>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</sst>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12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12"/>
      <color rgb="FF000000"/>
      <name val="Calibri"/>
      <family val="2"/>
    </font>
    <font>
      <b/>
      <sz val="12"/>
      <color rgb="FF000000"/>
      <name val="Faruma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1" fillId="0" borderId="0"/>
    <xf numFmtId="0" fontId="10" fillId="0" borderId="0"/>
  </cellStyleXfs>
  <cellXfs count="46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1" fillId="2" borderId="0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right" vertical="center"/>
    </xf>
    <xf numFmtId="0" fontId="4" fillId="2" borderId="0" xfId="0" applyFont="1" applyFill="1" applyBorder="1" applyAlignment="1"/>
    <xf numFmtId="0" fontId="4" fillId="2" borderId="0" xfId="0" applyFont="1" applyFill="1" applyBorder="1"/>
    <xf numFmtId="0" fontId="0" fillId="2" borderId="3" xfId="0" applyFont="1" applyFill="1" applyBorder="1"/>
    <xf numFmtId="0" fontId="4" fillId="2" borderId="3" xfId="0" applyFont="1" applyFill="1" applyBorder="1" applyAlignment="1"/>
    <xf numFmtId="164" fontId="0" fillId="2" borderId="0" xfId="0" applyNumberFormat="1" applyFont="1" applyFill="1" applyBorder="1"/>
    <xf numFmtId="0" fontId="3" fillId="2" borderId="0" xfId="0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horizontal="right" vertical="center"/>
    </xf>
    <xf numFmtId="3" fontId="0" fillId="4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/>
    <xf numFmtId="3" fontId="0" fillId="4" borderId="3" xfId="0" applyNumberFormat="1" applyFont="1" applyFill="1" applyBorder="1" applyAlignment="1">
      <alignment horizontal="right" vertical="center"/>
    </xf>
    <xf numFmtId="0" fontId="5" fillId="2" borderId="0" xfId="0" applyFont="1" applyFill="1" applyBorder="1"/>
    <xf numFmtId="0" fontId="6" fillId="2" borderId="0" xfId="0" applyFont="1" applyFill="1" applyBorder="1"/>
    <xf numFmtId="0" fontId="7" fillId="2" borderId="0" xfId="0" applyFont="1" applyFill="1" applyBorder="1" applyAlignment="1"/>
    <xf numFmtId="0" fontId="7" fillId="2" borderId="0" xfId="0" applyFont="1" applyFill="1" applyBorder="1"/>
    <xf numFmtId="0" fontId="0" fillId="2" borderId="0" xfId="0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right" vertical="center"/>
    </xf>
    <xf numFmtId="3" fontId="0" fillId="4" borderId="0" xfId="0" applyNumberFormat="1" applyFont="1" applyFill="1" applyBorder="1" applyAlignment="1">
      <alignment horizontal="right"/>
    </xf>
    <xf numFmtId="3" fontId="0" fillId="4" borderId="3" xfId="0" applyNumberFormat="1" applyFont="1" applyFill="1" applyBorder="1" applyAlignment="1">
      <alignment horizontal="right"/>
    </xf>
    <xf numFmtId="0" fontId="3" fillId="2" borderId="0" xfId="0" applyFont="1" applyFill="1" applyBorder="1" applyAlignment="1">
      <alignment horizontal="right" vertical="center"/>
    </xf>
    <xf numFmtId="164" fontId="0" fillId="2" borderId="3" xfId="0" applyNumberFormat="1" applyFont="1" applyFill="1" applyBorder="1"/>
    <xf numFmtId="3" fontId="0" fillId="2" borderId="3" xfId="0" applyNumberFormat="1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0" fillId="2" borderId="3" xfId="0" applyFont="1" applyFill="1" applyBorder="1" applyAlignment="1">
      <alignment vertical="center"/>
    </xf>
    <xf numFmtId="3" fontId="3" fillId="2" borderId="3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37" fontId="3" fillId="2" borderId="0" xfId="0" applyNumberFormat="1" applyFont="1" applyFill="1" applyBorder="1" applyAlignment="1">
      <alignment horizontal="right" vertical="center"/>
    </xf>
    <xf numFmtId="37" fontId="0" fillId="2" borderId="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2" fillId="3" borderId="0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2" fillId="3" borderId="3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92871132155824"/>
          <c:y val="0.18442576755126069"/>
          <c:w val="0.44231922026382564"/>
          <c:h val="0.75726170304661289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/>
          </c:dPt>
          <c:dPt>
            <c:idx val="1"/>
            <c:bubble3D val="0"/>
          </c:dPt>
          <c:dPt>
            <c:idx val="2"/>
            <c:bubble3D val="0"/>
            <c:spPr/>
          </c:dPt>
          <c:dPt>
            <c:idx val="3"/>
            <c:bubble3D val="0"/>
            <c:spPr/>
          </c:dPt>
          <c:dPt>
            <c:idx val="4"/>
            <c:bubble3D val="0"/>
            <c:spPr>
              <a:solidFill>
                <a:srgbClr val="953735"/>
              </a:solidFill>
            </c:spPr>
          </c:dPt>
          <c:dLbls>
            <c:dLbl>
              <c:idx val="0"/>
              <c:layout>
                <c:manualLayout>
                  <c:x val="0"/>
                  <c:y val="-2.53364982897863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3.8647339536121025E-2"/>
                  <c:y val="-0.1224600742339449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6.8201187416684012E-3"/>
                  <c:y val="4.222749714964394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2.2733729138895088E-3"/>
                  <c:y val="2.95592480047507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'18.8'!$C$6:$G$6</c:f>
              <c:strCache>
                <c:ptCount val="5"/>
                <c:pt idx="0">
                  <c:v>&lt; 55</c:v>
                </c:pt>
                <c:pt idx="1">
                  <c:v>55-64</c:v>
                </c:pt>
                <c:pt idx="2">
                  <c:v>65-69</c:v>
                </c:pt>
                <c:pt idx="3">
                  <c:v>70-74</c:v>
                </c:pt>
                <c:pt idx="4">
                  <c:v>75 +</c:v>
                </c:pt>
              </c:strCache>
            </c:strRef>
          </c:cat>
          <c:val>
            <c:numRef>
              <c:f>'18.8'!$C$7:$G$7</c:f>
              <c:numCache>
                <c:formatCode>#,##0</c:formatCode>
                <c:ptCount val="5"/>
                <c:pt idx="0">
                  <c:v>2316</c:v>
                </c:pt>
                <c:pt idx="1">
                  <c:v>1674</c:v>
                </c:pt>
                <c:pt idx="2">
                  <c:v>9467</c:v>
                </c:pt>
                <c:pt idx="3">
                  <c:v>9634</c:v>
                </c:pt>
                <c:pt idx="4">
                  <c:v>17336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13</xdr:row>
      <xdr:rowOff>95250</xdr:rowOff>
    </xdr:from>
    <xdr:to>
      <xdr:col>7</xdr:col>
      <xdr:colOff>971550</xdr:colOff>
      <xdr:row>24</xdr:row>
      <xdr:rowOff>257175</xdr:rowOff>
    </xdr:to>
    <xdr:graphicFrame macro=""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975122</xdr:colOff>
      <xdr:row>13</xdr:row>
      <xdr:rowOff>157162</xdr:rowOff>
    </xdr:from>
    <xdr:to>
      <xdr:col>7</xdr:col>
      <xdr:colOff>651272</xdr:colOff>
      <xdr:row>15</xdr:row>
      <xdr:rowOff>204787</xdr:rowOff>
    </xdr:to>
    <xdr:sp macro="" textlink="">
      <xdr:nvSpPr>
        <xdr:cNvPr id="15" name="Shape 15"/>
        <xdr:cNvSpPr txBox="1"/>
      </xdr:nvSpPr>
      <xdr:spPr>
        <a:xfrm>
          <a:off x="975122" y="3532584"/>
          <a:ext cx="4938713" cy="428625"/>
        </a:xfrm>
        <a:prstGeom prst="rect">
          <a:avLst/>
        </a:prstGeom>
        <a:noFill/>
        <a:ln>
          <a:noFill/>
        </a:ln>
      </xdr:spPr>
      <xdr:txBody>
        <a:bodyPr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buClr>
              <a:schemeClr val="dk1"/>
            </a:buClr>
            <a:buSzPct val="25000"/>
            <a:buFont typeface="Consolas"/>
            <a:buNone/>
          </a:pPr>
          <a:r>
            <a:rPr lang="en-US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18.10: Number of beneficiaries under different pension schemes by age-groups, end 2016</a:t>
          </a:r>
        </a:p>
        <a:p>
          <a:pPr lvl="0">
            <a:spcBef>
              <a:spcPts val="0"/>
            </a:spcBef>
            <a:buNone/>
          </a:pPr>
          <a:endParaRPr sz="1100"/>
        </a:p>
      </xdr:txBody>
    </xdr:sp>
    <xdr:clientData fLocksWithSheet="0"/>
  </xdr:twoCellAnchor>
  <xdr:twoCellAnchor>
    <xdr:from>
      <xdr:col>0</xdr:col>
      <xdr:colOff>1009650</xdr:colOff>
      <xdr:row>15</xdr:row>
      <xdr:rowOff>104775</xdr:rowOff>
    </xdr:from>
    <xdr:to>
      <xdr:col>7</xdr:col>
      <xdr:colOff>654627</xdr:colOff>
      <xdr:row>15</xdr:row>
      <xdr:rowOff>104775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009650" y="3867150"/>
          <a:ext cx="4893252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Copy%20of%20Statistical%20Year%20book%20for%20the%20year%202016%20for%20NSPA%20_%20NBS%20Comments%20_%20NSPA%20p%20%20%20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1.24"/>
      <sheetName val="11.25"/>
      <sheetName val="11.26"/>
      <sheetName val="11.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N5">
            <v>2013</v>
          </cell>
          <cell r="O5">
            <v>2014</v>
          </cell>
          <cell r="P5">
            <v>2015</v>
          </cell>
        </row>
        <row r="6">
          <cell r="N6">
            <v>299661096.44</v>
          </cell>
          <cell r="O6">
            <v>349220698.38999999</v>
          </cell>
          <cell r="P6">
            <v>180614696.01000002</v>
          </cell>
        </row>
        <row r="7">
          <cell r="A7" t="str">
            <v>January</v>
          </cell>
          <cell r="O7">
            <v>23170714.699999999</v>
          </cell>
          <cell r="P7">
            <v>18871576.670000002</v>
          </cell>
        </row>
        <row r="8">
          <cell r="A8" t="str">
            <v>February</v>
          </cell>
          <cell r="O8">
            <v>24382093.82</v>
          </cell>
          <cell r="P8">
            <v>11560674.26</v>
          </cell>
        </row>
        <row r="9">
          <cell r="A9" t="str">
            <v>March</v>
          </cell>
          <cell r="O9">
            <v>65018059.100000001</v>
          </cell>
          <cell r="P9">
            <v>11961755.039999999</v>
          </cell>
        </row>
        <row r="10">
          <cell r="A10" t="str">
            <v>April</v>
          </cell>
          <cell r="O10">
            <v>26571752.030000001</v>
          </cell>
          <cell r="P10">
            <v>14237831.629999999</v>
          </cell>
        </row>
        <row r="11">
          <cell r="A11" t="str">
            <v>May</v>
          </cell>
          <cell r="O11">
            <v>27344862.630000003</v>
          </cell>
          <cell r="P11">
            <v>15232383.639999999</v>
          </cell>
        </row>
        <row r="12">
          <cell r="A12" t="str">
            <v>June</v>
          </cell>
          <cell r="O12">
            <v>27437953.34</v>
          </cell>
          <cell r="P12">
            <v>16698376.539999999</v>
          </cell>
        </row>
        <row r="13">
          <cell r="A13" t="str">
            <v>July</v>
          </cell>
          <cell r="O13">
            <v>27536963.569999997</v>
          </cell>
          <cell r="P13">
            <v>17014342.27</v>
          </cell>
        </row>
        <row r="14">
          <cell r="A14" t="str">
            <v>August</v>
          </cell>
          <cell r="O14">
            <v>27542726.530000001</v>
          </cell>
          <cell r="P14">
            <v>14637041.91</v>
          </cell>
        </row>
        <row r="15">
          <cell r="A15" t="str">
            <v>September</v>
          </cell>
          <cell r="O15">
            <v>26488280.200000003</v>
          </cell>
          <cell r="P15">
            <v>14637041.91</v>
          </cell>
        </row>
        <row r="16">
          <cell r="A16" t="str">
            <v>October</v>
          </cell>
          <cell r="O16">
            <v>26944673.18</v>
          </cell>
          <cell r="P16">
            <v>15266487.300000001</v>
          </cell>
        </row>
        <row r="17">
          <cell r="A17" t="str">
            <v>November</v>
          </cell>
          <cell r="O17">
            <v>24549554.030000001</v>
          </cell>
          <cell r="P17">
            <v>15648041.789999999</v>
          </cell>
        </row>
        <row r="18">
          <cell r="A18" t="str">
            <v>December</v>
          </cell>
          <cell r="O18">
            <v>22233065.260000002</v>
          </cell>
          <cell r="P18">
            <v>14849143.050000001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26"/>
  <sheetViews>
    <sheetView tabSelected="1" zoomScaleNormal="100" workbookViewId="0">
      <selection activeCell="M17" sqref="M17"/>
    </sheetView>
  </sheetViews>
  <sheetFormatPr defaultColWidth="15.140625" defaultRowHeight="15" customHeight="1" x14ac:dyDescent="0.25"/>
  <cols>
    <col min="1" max="1" width="22.140625" style="2" customWidth="1"/>
    <col min="2" max="7" width="9.42578125" style="2" customWidth="1"/>
    <col min="8" max="8" width="25.5703125" style="2" customWidth="1"/>
    <col min="9" max="9" width="3" style="2" customWidth="1"/>
    <col min="10" max="41" width="8" style="2" customWidth="1"/>
    <col min="42" max="16384" width="15.140625" style="2"/>
  </cols>
  <sheetData>
    <row r="1" spans="1:4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21.75" customHeight="1" x14ac:dyDescent="0.55000000000000004">
      <c r="A2" s="43" t="s">
        <v>21</v>
      </c>
      <c r="B2" s="36"/>
      <c r="C2" s="36"/>
      <c r="D2" s="36"/>
      <c r="E2" s="36"/>
      <c r="F2" s="36"/>
      <c r="G2" s="36"/>
      <c r="H2" s="3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9.5" customHeight="1" x14ac:dyDescent="0.25">
      <c r="A3" s="42" t="s">
        <v>22</v>
      </c>
      <c r="B3" s="36"/>
      <c r="C3" s="36"/>
      <c r="D3" s="36"/>
      <c r="E3" s="36"/>
      <c r="F3" s="36"/>
      <c r="G3" s="36"/>
      <c r="H3" s="3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24" customHeight="1" x14ac:dyDescent="0.25">
      <c r="A5" s="39" t="s">
        <v>0</v>
      </c>
      <c r="B5" s="37" t="s">
        <v>23</v>
      </c>
      <c r="C5" s="38"/>
      <c r="D5" s="38"/>
      <c r="E5" s="38"/>
      <c r="F5" s="38"/>
      <c r="G5" s="38"/>
      <c r="H5" s="41" t="s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21" customHeight="1" x14ac:dyDescent="0.25">
      <c r="A6" s="40"/>
      <c r="B6" s="5" t="s">
        <v>24</v>
      </c>
      <c r="C6" s="28" t="s">
        <v>18</v>
      </c>
      <c r="D6" s="28" t="s">
        <v>19</v>
      </c>
      <c r="E6" s="28" t="s">
        <v>15</v>
      </c>
      <c r="F6" s="28" t="s">
        <v>16</v>
      </c>
      <c r="G6" s="28" t="s">
        <v>20</v>
      </c>
      <c r="H6" s="4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21" customHeight="1" x14ac:dyDescent="0.25">
      <c r="A7" s="11" t="s">
        <v>25</v>
      </c>
      <c r="B7" s="12">
        <f t="shared" ref="B7:B11" si="0">SUM(C7:G7)</f>
        <v>40427</v>
      </c>
      <c r="C7" s="27">
        <f t="shared" ref="C7:G7" si="1">SUM(C8:C11)</f>
        <v>2316</v>
      </c>
      <c r="D7" s="27">
        <f t="shared" si="1"/>
        <v>1674</v>
      </c>
      <c r="E7" s="27">
        <f t="shared" si="1"/>
        <v>9467</v>
      </c>
      <c r="F7" s="27">
        <f t="shared" si="1"/>
        <v>9634</v>
      </c>
      <c r="G7" s="27">
        <f t="shared" si="1"/>
        <v>17336</v>
      </c>
      <c r="H7" s="3" t="s">
        <v>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24" customHeight="1" x14ac:dyDescent="0.55000000000000004">
      <c r="A8" s="4" t="s">
        <v>4</v>
      </c>
      <c r="B8" s="12">
        <f t="shared" si="0"/>
        <v>16321</v>
      </c>
      <c r="C8" s="13">
        <v>0</v>
      </c>
      <c r="D8" s="13">
        <v>0</v>
      </c>
      <c r="E8" s="13">
        <v>4128</v>
      </c>
      <c r="F8" s="13">
        <v>4300</v>
      </c>
      <c r="G8" s="13">
        <v>7893</v>
      </c>
      <c r="H8" s="6" t="s">
        <v>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24" customHeight="1" x14ac:dyDescent="0.55000000000000004">
      <c r="A9" s="4" t="s">
        <v>6</v>
      </c>
      <c r="B9" s="12">
        <f t="shared" si="0"/>
        <v>72</v>
      </c>
      <c r="C9" s="22">
        <v>28</v>
      </c>
      <c r="D9" s="22">
        <v>8</v>
      </c>
      <c r="E9" s="13">
        <v>34</v>
      </c>
      <c r="F9" s="13">
        <v>2</v>
      </c>
      <c r="G9" s="13">
        <v>0</v>
      </c>
      <c r="H9" s="6" t="s">
        <v>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24" customHeight="1" x14ac:dyDescent="0.55000000000000004">
      <c r="A10" s="4" t="s">
        <v>8</v>
      </c>
      <c r="B10" s="12">
        <f t="shared" si="0"/>
        <v>7255</v>
      </c>
      <c r="C10" s="22">
        <v>2288</v>
      </c>
      <c r="D10" s="22">
        <v>1666</v>
      </c>
      <c r="E10" s="22">
        <v>951</v>
      </c>
      <c r="F10" s="22">
        <v>902</v>
      </c>
      <c r="G10" s="22">
        <v>1448</v>
      </c>
      <c r="H10" s="6" t="s">
        <v>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 t="s">
        <v>26</v>
      </c>
      <c r="AJ10" s="1"/>
      <c r="AK10" s="1"/>
      <c r="AL10" s="1"/>
      <c r="AM10" s="1"/>
      <c r="AN10" s="1"/>
      <c r="AO10" s="16"/>
    </row>
    <row r="11" spans="1:41" ht="24" customHeight="1" x14ac:dyDescent="0.55000000000000004">
      <c r="A11" s="29" t="s">
        <v>13</v>
      </c>
      <c r="B11" s="30">
        <f t="shared" si="0"/>
        <v>16779</v>
      </c>
      <c r="C11" s="15">
        <v>0</v>
      </c>
      <c r="D11" s="15">
        <v>0</v>
      </c>
      <c r="E11" s="23">
        <v>4354</v>
      </c>
      <c r="F11" s="23">
        <v>4430</v>
      </c>
      <c r="G11" s="23">
        <v>7995</v>
      </c>
      <c r="H11" s="9" t="s">
        <v>10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31" t="s">
        <v>27</v>
      </c>
      <c r="AI11" s="32" t="s">
        <v>28</v>
      </c>
      <c r="AJ11" s="32" t="s">
        <v>19</v>
      </c>
      <c r="AK11" s="31" t="s">
        <v>15</v>
      </c>
      <c r="AL11" s="31" t="s">
        <v>16</v>
      </c>
      <c r="AM11" s="31" t="s">
        <v>17</v>
      </c>
      <c r="AN11" s="31" t="s">
        <v>3</v>
      </c>
      <c r="AO11" s="1"/>
    </row>
    <row r="12" spans="1:41" ht="18" customHeight="1" x14ac:dyDescent="0.45">
      <c r="A12" s="17" t="s">
        <v>11</v>
      </c>
      <c r="B12" s="16"/>
      <c r="C12" s="16"/>
      <c r="D12" s="16"/>
      <c r="E12" s="16"/>
      <c r="F12" s="16"/>
      <c r="G12" s="16"/>
      <c r="H12" s="18" t="s">
        <v>12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" t="s">
        <v>14</v>
      </c>
      <c r="AI12" s="1">
        <f>0</f>
        <v>0</v>
      </c>
      <c r="AJ12" s="1">
        <v>0</v>
      </c>
      <c r="AK12" s="14" t="e">
        <f>#REF!</f>
        <v>#REF!</v>
      </c>
      <c r="AL12" s="14" t="e">
        <f>#REF!</f>
        <v>#REF!</v>
      </c>
      <c r="AM12" s="14" t="e">
        <f>#REF!</f>
        <v>#REF!</v>
      </c>
      <c r="AN12" s="1" t="e">
        <f t="shared" ref="AN12:AN15" si="2">SUM(AI12:AM12)</f>
        <v>#REF!</v>
      </c>
      <c r="AO12" s="1"/>
    </row>
    <row r="13" spans="1:4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29</v>
      </c>
      <c r="AI13" s="25">
        <v>2441</v>
      </c>
      <c r="AJ13" s="25">
        <v>1593</v>
      </c>
      <c r="AK13" s="25">
        <v>930</v>
      </c>
      <c r="AL13" s="25">
        <v>933</v>
      </c>
      <c r="AM13" s="25">
        <v>1367</v>
      </c>
      <c r="AN13" s="10">
        <f t="shared" si="2"/>
        <v>7264</v>
      </c>
      <c r="AO13" s="1"/>
    </row>
    <row r="14" spans="1:4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30</v>
      </c>
      <c r="AI14" s="1">
        <v>11</v>
      </c>
      <c r="AJ14" s="26">
        <v>7</v>
      </c>
      <c r="AK14" s="26">
        <v>708</v>
      </c>
      <c r="AL14" s="26">
        <v>169</v>
      </c>
      <c r="AM14" s="26" t="s">
        <v>31</v>
      </c>
      <c r="AN14" s="1">
        <f t="shared" si="2"/>
        <v>895</v>
      </c>
      <c r="AO14" s="1"/>
    </row>
    <row r="15" spans="1:4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8" t="s">
        <v>13</v>
      </c>
      <c r="AI15" s="1"/>
      <c r="AJ15" s="1"/>
      <c r="AK15" s="25">
        <v>4147</v>
      </c>
      <c r="AL15" s="25">
        <v>4656</v>
      </c>
      <c r="AM15" s="25">
        <v>7758</v>
      </c>
      <c r="AN15" s="1">
        <f t="shared" si="2"/>
        <v>16561</v>
      </c>
      <c r="AO15" s="1"/>
    </row>
    <row r="16" spans="1:41" ht="21.75" customHeight="1" x14ac:dyDescent="0.55000000000000004">
      <c r="A16" s="43"/>
      <c r="B16" s="36"/>
      <c r="C16" s="36"/>
      <c r="D16" s="36"/>
      <c r="E16" s="36"/>
      <c r="F16" s="36"/>
      <c r="G16" s="36"/>
      <c r="H16" s="3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ht="19.5" customHeight="1" x14ac:dyDescent="0.25">
      <c r="A17" s="42"/>
      <c r="B17" s="36"/>
      <c r="C17" s="36"/>
      <c r="D17" s="36"/>
      <c r="E17" s="36"/>
      <c r="F17" s="36"/>
      <c r="G17" s="36"/>
      <c r="H17" s="3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ht="24" customHeight="1" x14ac:dyDescent="0.25">
      <c r="A19" s="45"/>
      <c r="B19" s="35"/>
      <c r="C19" s="36"/>
      <c r="D19" s="36"/>
      <c r="E19" s="36"/>
      <c r="F19" s="36"/>
      <c r="G19" s="36"/>
      <c r="H19" s="4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21" customHeight="1" x14ac:dyDescent="0.25">
      <c r="A20" s="36"/>
      <c r="B20" s="24"/>
      <c r="C20" s="21"/>
      <c r="D20" s="21"/>
      <c r="E20" s="21"/>
      <c r="F20" s="21"/>
      <c r="G20" s="21"/>
      <c r="H20" s="3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21" customHeight="1" x14ac:dyDescent="0.25">
      <c r="A21" s="11"/>
      <c r="B21" s="33"/>
      <c r="C21" s="33"/>
      <c r="D21" s="33"/>
      <c r="E21" s="33"/>
      <c r="F21" s="33"/>
      <c r="G21" s="3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24" customHeight="1" x14ac:dyDescent="0.55000000000000004">
      <c r="A22" s="4"/>
      <c r="B22" s="33"/>
      <c r="C22" s="20"/>
      <c r="D22" s="20"/>
      <c r="E22" s="34"/>
      <c r="F22" s="34"/>
      <c r="G22" s="34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ht="24" customHeight="1" x14ac:dyDescent="0.55000000000000004">
      <c r="A23" s="4"/>
      <c r="B23" s="33"/>
      <c r="C23" s="20"/>
      <c r="D23" s="20"/>
      <c r="E23" s="34"/>
      <c r="F23" s="34"/>
      <c r="G23" s="20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24" customHeight="1" x14ac:dyDescent="0.55000000000000004">
      <c r="A24" s="4"/>
      <c r="B24" s="33"/>
      <c r="C24" s="34"/>
      <c r="D24" s="34"/>
      <c r="E24" s="34"/>
      <c r="F24" s="34"/>
      <c r="G24" s="34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24" customHeight="1" x14ac:dyDescent="0.55000000000000004">
      <c r="A25" s="4"/>
      <c r="B25" s="33"/>
      <c r="C25" s="20"/>
      <c r="D25" s="20"/>
      <c r="E25" s="34"/>
      <c r="F25" s="34"/>
      <c r="G25" s="34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ht="17.25" customHeight="1" x14ac:dyDescent="0.45">
      <c r="A26" s="17"/>
      <c r="B26" s="16"/>
      <c r="C26" s="16"/>
      <c r="D26" s="16"/>
      <c r="E26" s="16"/>
      <c r="F26" s="16"/>
      <c r="G26" s="16"/>
      <c r="H26" s="19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</row>
  </sheetData>
  <mergeCells count="10">
    <mergeCell ref="B19:G19"/>
    <mergeCell ref="A17:H17"/>
    <mergeCell ref="A2:H2"/>
    <mergeCell ref="A3:H3"/>
    <mergeCell ref="A5:A6"/>
    <mergeCell ref="B5:G5"/>
    <mergeCell ref="H5:H6"/>
    <mergeCell ref="A16:H16"/>
    <mergeCell ref="H19:H20"/>
    <mergeCell ref="A19:A20"/>
  </mergeCells>
  <pageMargins left="0.7" right="0.7" top="0.75" bottom="0.75" header="0.3" footer="0.3"/>
  <pageSetup paperSize="9" scale="9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18.8</vt:lpstr>
      <vt:lpstr>'18.8'!Print_Area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2017-07-04T07:18:19Z</cp:lastPrinted>
  <dcterms:modified xsi:type="dcterms:W3CDTF">2017-07-04T07:18:21Z</dcterms:modified>
</cp:coreProperties>
</file>