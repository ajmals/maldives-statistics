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806"/>
  </bookViews>
  <sheets>
    <sheet name="18.21" sheetId="21" r:id="rId1"/>
  </sheets>
  <externalReferences>
    <externalReference r:id="rId2"/>
    <externalReference r:id="rId3"/>
  </externalReferences>
  <definedNames>
    <definedName name="_xlnm.Print_Area" localSheetId="0">'18.21'!$A$1:$E$25</definedName>
  </definedNames>
  <calcPr calcId="144525"/>
</workbook>
</file>

<file path=xl/calcChain.xml><?xml version="1.0" encoding="utf-8"?>
<calcChain xmlns="http://schemas.openxmlformats.org/spreadsheetml/2006/main">
  <c r="D5" i="21" l="1"/>
  <c r="C5" i="21"/>
  <c r="B5" i="21"/>
</calcChain>
</file>

<file path=xl/sharedStrings.xml><?xml version="1.0" encoding="utf-8"?>
<sst xmlns="http://schemas.openxmlformats.org/spreadsheetml/2006/main" count="47" uniqueCount="40">
  <si>
    <t>ޖުމްލަ</t>
  </si>
  <si>
    <t>Total</t>
  </si>
  <si>
    <t>-</t>
  </si>
  <si>
    <t>Source: National Social Protection Agency</t>
  </si>
  <si>
    <t xml:space="preserve">މަޢުލޫމާތު ދެއްވީ: ނެޝަނަލް ސޯޝަލް ޕްރޮޓެކްޝަން އޭޖެންސީ </t>
  </si>
  <si>
    <t xml:space="preserve">Note: These expenditures are based on the blocked amount </t>
  </si>
  <si>
    <t>Type of Service</t>
  </si>
  <si>
    <r>
      <t xml:space="preserve">Total Expenditure ( in MVR)  
</t>
    </r>
    <r>
      <rPr>
        <b/>
        <sz val="9"/>
        <color theme="1"/>
        <rFont val="Faruma"/>
      </rPr>
      <t>ޚަރަދު ރުފިޔާއިން</t>
    </r>
  </si>
  <si>
    <t>ޚިދުމަތުގެ ބާވަތް</t>
  </si>
  <si>
    <t>Out-patient care</t>
  </si>
  <si>
    <t>ބެލުނު މީހުން</t>
  </si>
  <si>
    <t>In-patient care</t>
  </si>
  <si>
    <t>އެނދުމަތިކުރެވުނު މީހުން</t>
  </si>
  <si>
    <t xml:space="preserve">   In ICU</t>
  </si>
  <si>
    <t>އައިސީޔޫގައި</t>
  </si>
  <si>
    <t xml:space="preserve">   Admitted in ward</t>
  </si>
  <si>
    <t>ވޯރޑުގައި</t>
  </si>
  <si>
    <t xml:space="preserve">Out patient medicine </t>
  </si>
  <si>
    <t xml:space="preserve">އެޑްމިޓްނުކޮށް ޑޮކްޓަރަށް ދައްކާ ބޭސް ނަގާފައިވާ މީހުން </t>
  </si>
  <si>
    <t xml:space="preserve">In patient medicine </t>
  </si>
  <si>
    <t>އެނދުމަތިކުރެވިގެން ބޭސް ނަގާފައިވާ މީހުން</t>
  </si>
  <si>
    <t>Circumcision</t>
  </si>
  <si>
    <t>ހިތާނުކުރުމަށް</t>
  </si>
  <si>
    <t>Inter-atoll transport for critical patients</t>
  </si>
  <si>
    <t>ހާއްސަހާލަތްތަކުގައި އަތޮޅުތެރޭގައި ކުރެވޭ ދަތުރު</t>
  </si>
  <si>
    <t>Dialysis</t>
  </si>
  <si>
    <t>ޑައިލިސިސް</t>
  </si>
  <si>
    <t>Medical check-up</t>
  </si>
  <si>
    <t>މެޑިކަލް ޗެކްއަޕް</t>
  </si>
  <si>
    <t>Glasses/lense</t>
  </si>
  <si>
    <t>އައިނު/ލެންސް</t>
  </si>
  <si>
    <t>Accidental Dental Treatment</t>
  </si>
  <si>
    <t>އެކްސިޑެންޓަލް ޑެންޓަލް ޓްރީޓްމެންޓް</t>
  </si>
  <si>
    <t>Overseas Airfare</t>
  </si>
  <si>
    <t>ރާއްޖެއިން ބޭރަށް ދަތުރު ކުރުމުގެ ޚަރަދު (އޯވަސީސް އެއަފެއަރ)</t>
  </si>
  <si>
    <t>Joint/ligament  related</t>
  </si>
  <si>
    <t>ޖޮއިންޓް/ލިގަމަންޓް އާއި ގުޅޭ</t>
  </si>
  <si>
    <t xml:space="preserve">ނޯޓް: ޚަރަދު ބަޔާންކުރެވިފައިވަނީ ބްލޮކްކުރެވިފައިވާ ޖުމްލަ ޚަރަދުގެ މަށްޗަށެވެ.  </t>
  </si>
  <si>
    <t>Table 18.21 :  EXPENDITURE ON PERSONS COVERED UNDER AASANDHA POLICIES BY TYPE OF SERVICE, 2014 -   2016</t>
  </si>
  <si>
    <t>ތާވަލް 18.21: ޚިދުމަތުގެ ބާވަތުން އާސަންދައިގެ ދަށުން ކުރެވިފައިވާ ޚަރަދު 2014 - 2016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</si>
</sst>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8" formatCode="General_)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0"/>
      <name val="Arial"/>
      <family val="2"/>
    </font>
    <font>
      <b/>
      <sz val="9"/>
      <color theme="1"/>
      <name val="Faruma"/>
    </font>
    <font>
      <sz val="9"/>
      <color theme="1"/>
      <name val="Faruma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b/>
      <sz val="10.5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Calibri"/>
      <family val="2"/>
      <charset val="1"/>
      <scheme val="minor"/>
    </font>
    <font>
      <b/>
      <sz val="10"/>
      <color theme="1"/>
      <name val="Calibri"/>
      <family val="2"/>
    </font>
    <font>
      <b/>
      <sz val="10.5"/>
      <color theme="1"/>
      <name val="Faruma"/>
    </font>
    <font>
      <sz val="10.5"/>
      <color theme="1"/>
      <name val="Faruma"/>
    </font>
    <font>
      <sz val="9"/>
      <color theme="1"/>
      <name val="Calibri"/>
      <family val="2"/>
    </font>
    <font>
      <b/>
      <sz val="10.5"/>
      <color rgb="FFFF000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3" fillId="0" borderId="0"/>
    <xf numFmtId="164" fontId="6" fillId="0" borderId="0"/>
    <xf numFmtId="0" fontId="6" fillId="0" borderId="0"/>
    <xf numFmtId="0" fontId="3" fillId="0" borderId="0"/>
  </cellStyleXfs>
  <cellXfs count="34">
    <xf numFmtId="0" fontId="0" fillId="0" borderId="0" xfId="0" applyFont="1" applyAlignment="1"/>
    <xf numFmtId="0" fontId="8" fillId="2" borderId="0" xfId="0" applyFont="1" applyFill="1"/>
    <xf numFmtId="164" fontId="8" fillId="2" borderId="1" xfId="1" applyNumberFormat="1" applyFont="1" applyFill="1" applyBorder="1" applyAlignment="1">
      <alignment horizontal="right" vertical="center"/>
    </xf>
    <xf numFmtId="164" fontId="7" fillId="2" borderId="0" xfId="1" applyNumberFormat="1" applyFont="1" applyFill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1" fillId="2" borderId="0" xfId="0" applyFont="1" applyFill="1"/>
    <xf numFmtId="0" fontId="14" fillId="2" borderId="1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8" fillId="2" borderId="0" xfId="0" applyFont="1" applyFill="1" applyBorder="1" applyAlignment="1">
      <alignment vertical="center"/>
    </xf>
    <xf numFmtId="164" fontId="8" fillId="2" borderId="0" xfId="1" applyNumberFormat="1" applyFont="1" applyFill="1" applyAlignment="1">
      <alignment horizontal="right" vertical="center"/>
    </xf>
    <xf numFmtId="0" fontId="16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4" fontId="1" fillId="2" borderId="0" xfId="0" applyNumberFormat="1" applyFont="1" applyFill="1" applyAlignment="1">
      <alignment vertical="center"/>
    </xf>
    <xf numFmtId="0" fontId="8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right" vertical="center"/>
    </xf>
    <xf numFmtId="3" fontId="9" fillId="2" borderId="0" xfId="2" applyNumberFormat="1" applyFont="1" applyFill="1" applyBorder="1" applyAlignment="1">
      <alignment vertical="center"/>
    </xf>
    <xf numFmtId="168" fontId="5" fillId="2" borderId="0" xfId="4" applyNumberFormat="1" applyFont="1" applyFill="1" applyAlignment="1">
      <alignment horizontal="right" vertical="center"/>
    </xf>
    <xf numFmtId="168" fontId="9" fillId="2" borderId="0" xfId="3" applyNumberFormat="1" applyFont="1" applyFill="1" applyBorder="1" applyAlignment="1" applyProtection="1">
      <alignment horizontal="left" vertical="top"/>
    </xf>
    <xf numFmtId="4" fontId="17" fillId="2" borderId="0" xfId="0" applyNumberFormat="1" applyFont="1" applyFill="1" applyAlignment="1">
      <alignment vertical="top"/>
    </xf>
    <xf numFmtId="0" fontId="17" fillId="2" borderId="0" xfId="0" applyFont="1" applyFill="1"/>
    <xf numFmtId="4" fontId="17" fillId="2" borderId="0" xfId="0" applyNumberFormat="1" applyFont="1" applyFill="1"/>
    <xf numFmtId="0" fontId="0" fillId="2" borderId="0" xfId="0" applyFont="1" applyFill="1"/>
    <xf numFmtId="4" fontId="1" fillId="2" borderId="0" xfId="0" applyNumberFormat="1" applyFont="1" applyFill="1"/>
    <xf numFmtId="168" fontId="18" fillId="2" borderId="0" xfId="0" applyNumberFormat="1" applyFont="1" applyFill="1"/>
    <xf numFmtId="3" fontId="10" fillId="2" borderId="0" xfId="2" applyNumberFormat="1" applyFont="1" applyFill="1" applyAlignment="1">
      <alignment horizontal="center" vertical="center" wrapText="1" readingOrder="2"/>
    </xf>
    <xf numFmtId="3" fontId="11" fillId="2" borderId="1" xfId="2" applyNumberFormat="1" applyFont="1" applyFill="1" applyBorder="1" applyAlignment="1" applyProtection="1">
      <alignment horizontal="center" vertical="top" wrapText="1"/>
    </xf>
    <xf numFmtId="0" fontId="12" fillId="2" borderId="2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4" fontId="13" fillId="2" borderId="3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right" vertical="center" wrapText="1"/>
    </xf>
  </cellXfs>
  <cellStyles count="6">
    <cellStyle name="Comma" xfId="1" builtinId="3"/>
    <cellStyle name="Normal" xfId="0" builtinId="0"/>
    <cellStyle name="Normal 2" xfId="3"/>
    <cellStyle name="Normal 5" xfId="5"/>
    <cellStyle name="Normal_3 Population." xfId="4"/>
    <cellStyle name="Normal_II-15(Population) 2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Copy%20of%20Statistical%20Year%20book%20for%20the%20year%202016%20for%20NSPA%20_%20NBS%20Comments%20_%20NSPA%20p%20%20%2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1.24"/>
      <sheetName val="11.25"/>
      <sheetName val="11.26"/>
      <sheetName val="11.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N5">
            <v>2013</v>
          </cell>
          <cell r="O5">
            <v>2014</v>
          </cell>
          <cell r="P5">
            <v>2015</v>
          </cell>
        </row>
        <row r="6">
          <cell r="N6">
            <v>299661096.44</v>
          </cell>
          <cell r="O6">
            <v>349220698.38999999</v>
          </cell>
          <cell r="P6">
            <v>180614696.01000002</v>
          </cell>
        </row>
        <row r="7">
          <cell r="A7" t="str">
            <v>January</v>
          </cell>
          <cell r="O7">
            <v>23170714.699999999</v>
          </cell>
          <cell r="P7">
            <v>18871576.670000002</v>
          </cell>
        </row>
        <row r="8">
          <cell r="A8" t="str">
            <v>February</v>
          </cell>
          <cell r="O8">
            <v>24382093.82</v>
          </cell>
          <cell r="P8">
            <v>11560674.26</v>
          </cell>
        </row>
        <row r="9">
          <cell r="A9" t="str">
            <v>March</v>
          </cell>
          <cell r="O9">
            <v>65018059.100000001</v>
          </cell>
          <cell r="P9">
            <v>11961755.039999999</v>
          </cell>
        </row>
        <row r="10">
          <cell r="A10" t="str">
            <v>April</v>
          </cell>
          <cell r="O10">
            <v>26571752.030000001</v>
          </cell>
          <cell r="P10">
            <v>14237831.629999999</v>
          </cell>
        </row>
        <row r="11">
          <cell r="A11" t="str">
            <v>May</v>
          </cell>
          <cell r="O11">
            <v>27344862.630000003</v>
          </cell>
          <cell r="P11">
            <v>15232383.639999999</v>
          </cell>
        </row>
        <row r="12">
          <cell r="A12" t="str">
            <v>June</v>
          </cell>
          <cell r="O12">
            <v>27437953.34</v>
          </cell>
          <cell r="P12">
            <v>16698376.539999999</v>
          </cell>
        </row>
        <row r="13">
          <cell r="A13" t="str">
            <v>July</v>
          </cell>
          <cell r="O13">
            <v>27536963.569999997</v>
          </cell>
          <cell r="P13">
            <v>17014342.27</v>
          </cell>
        </row>
        <row r="14">
          <cell r="A14" t="str">
            <v>August</v>
          </cell>
          <cell r="O14">
            <v>27542726.530000001</v>
          </cell>
          <cell r="P14">
            <v>14637041.91</v>
          </cell>
        </row>
        <row r="15">
          <cell r="A15" t="str">
            <v>September</v>
          </cell>
          <cell r="O15">
            <v>26488280.200000003</v>
          </cell>
          <cell r="P15">
            <v>14637041.91</v>
          </cell>
        </row>
        <row r="16">
          <cell r="A16" t="str">
            <v>October</v>
          </cell>
          <cell r="O16">
            <v>26944673.18</v>
          </cell>
          <cell r="P16">
            <v>15266487.300000001</v>
          </cell>
        </row>
        <row r="17">
          <cell r="A17" t="str">
            <v>November</v>
          </cell>
          <cell r="O17">
            <v>24549554.030000001</v>
          </cell>
          <cell r="P17">
            <v>15648041.789999999</v>
          </cell>
        </row>
        <row r="18">
          <cell r="A18" t="str">
            <v>December</v>
          </cell>
          <cell r="O18">
            <v>22233065.260000002</v>
          </cell>
          <cell r="P18">
            <v>14849143.050000001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zoomScaleNormal="100" workbookViewId="0">
      <selection activeCell="E28" sqref="E28"/>
    </sheetView>
  </sheetViews>
  <sheetFormatPr defaultColWidth="9.140625" defaultRowHeight="23.25" customHeight="1" x14ac:dyDescent="0.25"/>
  <cols>
    <col min="1" max="1" width="32.28515625" style="5" customWidth="1"/>
    <col min="2" max="4" width="14" style="25" customWidth="1"/>
    <col min="5" max="5" width="47.140625" style="5" customWidth="1"/>
    <col min="6" max="6" width="13.85546875" style="5" bestFit="1" customWidth="1"/>
    <col min="7" max="7" width="16.28515625" style="5" bestFit="1" customWidth="1"/>
    <col min="8" max="8" width="9.140625" style="5"/>
    <col min="9" max="9" width="13.85546875" style="5" bestFit="1" customWidth="1"/>
    <col min="10" max="16384" width="9.140625" style="5"/>
  </cols>
  <sheetData>
    <row r="1" spans="1:9" ht="21" x14ac:dyDescent="0.25">
      <c r="A1" s="27" t="s">
        <v>39</v>
      </c>
      <c r="B1" s="27"/>
      <c r="C1" s="27"/>
      <c r="D1" s="27"/>
      <c r="E1" s="27"/>
    </row>
    <row r="2" spans="1:9" ht="15" x14ac:dyDescent="0.25">
      <c r="A2" s="28" t="s">
        <v>38</v>
      </c>
      <c r="B2" s="28"/>
      <c r="C2" s="28"/>
      <c r="D2" s="28"/>
      <c r="E2" s="28"/>
    </row>
    <row r="3" spans="1:9" ht="26.25" customHeight="1" x14ac:dyDescent="0.25">
      <c r="A3" s="29" t="s">
        <v>6</v>
      </c>
      <c r="B3" s="31" t="s">
        <v>7</v>
      </c>
      <c r="C3" s="31"/>
      <c r="D3" s="31"/>
      <c r="E3" s="32" t="s">
        <v>8</v>
      </c>
    </row>
    <row r="4" spans="1:9" s="1" customFormat="1" ht="12.75" x14ac:dyDescent="0.2">
      <c r="A4" s="30"/>
      <c r="B4" s="6">
        <v>2014</v>
      </c>
      <c r="C4" s="6">
        <v>2015</v>
      </c>
      <c r="D4" s="6">
        <v>2016</v>
      </c>
      <c r="E4" s="33"/>
    </row>
    <row r="5" spans="1:9" s="9" customFormat="1" ht="19.5" x14ac:dyDescent="0.25">
      <c r="A5" s="7" t="s">
        <v>1</v>
      </c>
      <c r="B5" s="3">
        <f t="shared" ref="B5:D5" si="0">SUM(B6:B21)</f>
        <v>1063054680.1289001</v>
      </c>
      <c r="C5" s="3">
        <f t="shared" si="0"/>
        <v>1400609841.9157999</v>
      </c>
      <c r="D5" s="3">
        <f t="shared" si="0"/>
        <v>1675199186.7768998</v>
      </c>
      <c r="E5" s="8" t="s">
        <v>0</v>
      </c>
      <c r="F5" s="26"/>
    </row>
    <row r="6" spans="1:9" s="9" customFormat="1" ht="19.5" x14ac:dyDescent="0.25">
      <c r="A6" s="10" t="s">
        <v>9</v>
      </c>
      <c r="B6" s="11">
        <v>457978292.29900002</v>
      </c>
      <c r="C6" s="11">
        <v>616252278.55999994</v>
      </c>
      <c r="D6" s="11">
        <v>741101647.34019995</v>
      </c>
      <c r="E6" s="12" t="s">
        <v>10</v>
      </c>
    </row>
    <row r="7" spans="1:9" s="9" customFormat="1" ht="19.5" x14ac:dyDescent="0.25">
      <c r="A7" s="10" t="s">
        <v>11</v>
      </c>
      <c r="B7" s="11">
        <v>241051042.8951</v>
      </c>
      <c r="C7" s="11">
        <v>309109177.51999998</v>
      </c>
      <c r="D7" s="11">
        <v>341829709.91359997</v>
      </c>
      <c r="E7" s="12" t="s">
        <v>12</v>
      </c>
    </row>
    <row r="8" spans="1:9" s="9" customFormat="1" ht="19.5" x14ac:dyDescent="0.25">
      <c r="A8" s="13" t="s">
        <v>13</v>
      </c>
      <c r="B8" s="11" t="s">
        <v>2</v>
      </c>
      <c r="C8" s="11" t="s">
        <v>2</v>
      </c>
      <c r="D8" s="11">
        <v>0</v>
      </c>
      <c r="E8" s="12" t="s">
        <v>14</v>
      </c>
    </row>
    <row r="9" spans="1:9" s="9" customFormat="1" ht="19.5" x14ac:dyDescent="0.25">
      <c r="A9" s="13" t="s">
        <v>15</v>
      </c>
      <c r="B9" s="11" t="s">
        <v>2</v>
      </c>
      <c r="C9" s="11" t="s">
        <v>2</v>
      </c>
      <c r="D9" s="11">
        <v>0</v>
      </c>
      <c r="E9" s="12" t="s">
        <v>16</v>
      </c>
    </row>
    <row r="10" spans="1:9" s="9" customFormat="1" ht="19.5" x14ac:dyDescent="0.25">
      <c r="A10" s="14" t="s">
        <v>17</v>
      </c>
      <c r="B10" s="11">
        <v>221737345.31999999</v>
      </c>
      <c r="C10" s="11">
        <v>318890471.87</v>
      </c>
      <c r="D10" s="11">
        <v>427478177.30970001</v>
      </c>
      <c r="E10" s="12" t="s">
        <v>18</v>
      </c>
      <c r="I10" s="15"/>
    </row>
    <row r="11" spans="1:9" s="9" customFormat="1" ht="19.5" x14ac:dyDescent="0.25">
      <c r="A11" s="14" t="s">
        <v>19</v>
      </c>
      <c r="B11" s="11">
        <v>29752803.379999999</v>
      </c>
      <c r="C11" s="11">
        <v>36724829.030000001</v>
      </c>
      <c r="D11" s="11">
        <v>43797163.390000001</v>
      </c>
      <c r="E11" s="12" t="s">
        <v>20</v>
      </c>
      <c r="I11" s="15"/>
    </row>
    <row r="12" spans="1:9" s="9" customFormat="1" ht="19.5" x14ac:dyDescent="0.25">
      <c r="A12" s="10" t="s">
        <v>21</v>
      </c>
      <c r="B12" s="11" t="s">
        <v>2</v>
      </c>
      <c r="C12" s="11"/>
      <c r="D12" s="11">
        <v>0</v>
      </c>
      <c r="E12" s="12" t="s">
        <v>22</v>
      </c>
    </row>
    <row r="13" spans="1:9" s="9" customFormat="1" ht="19.5" x14ac:dyDescent="0.25">
      <c r="A13" s="10" t="s">
        <v>23</v>
      </c>
      <c r="B13" s="11">
        <v>28912582.77</v>
      </c>
      <c r="C13" s="11">
        <v>33979840.740000002</v>
      </c>
      <c r="D13" s="11">
        <v>36732648.099999994</v>
      </c>
      <c r="E13" s="12" t="s">
        <v>24</v>
      </c>
    </row>
    <row r="14" spans="1:9" s="9" customFormat="1" ht="19.5" x14ac:dyDescent="0.25">
      <c r="A14" s="10" t="s">
        <v>25</v>
      </c>
      <c r="B14" s="11">
        <v>4354880.8285999997</v>
      </c>
      <c r="C14" s="11">
        <v>1597653.1602</v>
      </c>
      <c r="D14" s="11">
        <v>2087098.2034</v>
      </c>
      <c r="E14" s="12" t="s">
        <v>26</v>
      </c>
    </row>
    <row r="15" spans="1:9" s="9" customFormat="1" ht="19.5" x14ac:dyDescent="0.25">
      <c r="A15" s="10" t="s">
        <v>27</v>
      </c>
      <c r="B15" s="11" t="s">
        <v>2</v>
      </c>
      <c r="C15" s="11" t="s">
        <v>2</v>
      </c>
      <c r="D15" s="11">
        <v>0</v>
      </c>
      <c r="E15" s="12" t="s">
        <v>28</v>
      </c>
      <c r="I15" s="15"/>
    </row>
    <row r="16" spans="1:9" s="9" customFormat="1" ht="19.5" x14ac:dyDescent="0.25">
      <c r="A16" s="10" t="s">
        <v>29</v>
      </c>
      <c r="B16" s="11">
        <v>25939088.800000001</v>
      </c>
      <c r="C16" s="11">
        <v>22435986.039999999</v>
      </c>
      <c r="D16" s="11">
        <v>33165876.93</v>
      </c>
      <c r="E16" s="12" t="s">
        <v>30</v>
      </c>
    </row>
    <row r="17" spans="1:9" s="9" customFormat="1" ht="19.5" x14ac:dyDescent="0.25">
      <c r="A17" s="10" t="s">
        <v>31</v>
      </c>
      <c r="B17" s="11">
        <v>1563</v>
      </c>
      <c r="C17" s="11">
        <v>7861.8544000000002</v>
      </c>
      <c r="D17" s="11">
        <v>36891.79</v>
      </c>
      <c r="E17" s="12" t="s">
        <v>32</v>
      </c>
      <c r="I17" s="15"/>
    </row>
    <row r="18" spans="1:9" s="9" customFormat="1" ht="19.5" x14ac:dyDescent="0.25">
      <c r="A18" s="10" t="s">
        <v>33</v>
      </c>
      <c r="B18" s="11">
        <v>53327080.836199999</v>
      </c>
      <c r="C18" s="11">
        <v>61611743.141199999</v>
      </c>
      <c r="D18" s="11">
        <v>48969973.799999997</v>
      </c>
      <c r="E18" s="12" t="s">
        <v>34</v>
      </c>
      <c r="I18" s="4"/>
    </row>
    <row r="19" spans="1:9" s="9" customFormat="1" ht="19.5" x14ac:dyDescent="0.25">
      <c r="A19" s="16" t="s">
        <v>35</v>
      </c>
      <c r="B19" s="2" t="s">
        <v>2</v>
      </c>
      <c r="C19" s="2">
        <v>0</v>
      </c>
      <c r="D19" s="2">
        <v>0</v>
      </c>
      <c r="E19" s="17" t="s">
        <v>36</v>
      </c>
    </row>
    <row r="20" spans="1:9" s="9" customFormat="1" ht="17.25" x14ac:dyDescent="0.25">
      <c r="A20" s="18" t="s">
        <v>5</v>
      </c>
      <c r="B20" s="15"/>
      <c r="C20" s="15"/>
      <c r="D20" s="15"/>
      <c r="E20" s="19" t="s">
        <v>37</v>
      </c>
    </row>
    <row r="21" spans="1:9" ht="17.25" x14ac:dyDescent="0.25">
      <c r="A21" s="20" t="s">
        <v>3</v>
      </c>
      <c r="B21" s="21"/>
      <c r="C21" s="21"/>
      <c r="D21" s="21"/>
      <c r="E21" s="19" t="s">
        <v>4</v>
      </c>
      <c r="I21" s="9"/>
    </row>
    <row r="22" spans="1:9" ht="17.25" x14ac:dyDescent="0.25">
      <c r="A22" s="22"/>
      <c r="B22" s="23"/>
      <c r="C22" s="23"/>
      <c r="D22" s="23"/>
      <c r="E22" s="19"/>
      <c r="I22" s="24"/>
    </row>
    <row r="24" spans="1:9" ht="15" x14ac:dyDescent="0.25">
      <c r="I24" s="15"/>
    </row>
    <row r="25" spans="1:9" ht="15" x14ac:dyDescent="0.25">
      <c r="I25" s="25"/>
    </row>
  </sheetData>
  <mergeCells count="5">
    <mergeCell ref="A1:E1"/>
    <mergeCell ref="A2:E2"/>
    <mergeCell ref="A3:A4"/>
    <mergeCell ref="E3:E4"/>
    <mergeCell ref="B3:D3"/>
  </mergeCells>
  <pageMargins left="0.7" right="0.7" top="0.75" bottom="0.75" header="0.3" footer="0.3"/>
  <pageSetup paperSize="9" scale="7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18.21</vt:lpstr>
      <vt:lpstr>'18.21'!Print_Area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2017-07-05T07:00:43Z</cp:lastPrinted>
  <dcterms:modified xsi:type="dcterms:W3CDTF">2017-07-05T07:00:51Z</dcterms:modified>
</cp:coreProperties>
</file>