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5" sheetId="15" r:id="rId1"/>
  </sheets>
  <externalReferences>
    <externalReference r:id="rId2"/>
    <externalReference r:id="rId3"/>
  </externalReferences>
  <definedNames>
    <definedName name="_xlnm.Print_Area" localSheetId="0">'18.15'!$A$1:$W$39</definedName>
  </definedNames>
  <calcPr calcId="144525"/>
</workbook>
</file>

<file path=xl/calcChain.xml><?xml version="1.0" encoding="utf-8"?>
<calcChain xmlns="http://schemas.openxmlformats.org/spreadsheetml/2006/main">
  <c r="K19" i="15" l="1"/>
  <c r="U19" i="15" s="1"/>
  <c r="H19" i="15"/>
  <c r="T19" i="15" s="1"/>
  <c r="E19" i="15"/>
  <c r="S19" i="15" s="1"/>
  <c r="B19" i="15"/>
  <c r="R19" i="15" s="1"/>
  <c r="K18" i="15"/>
  <c r="U18" i="15" s="1"/>
  <c r="H18" i="15"/>
  <c r="T18" i="15" s="1"/>
  <c r="E18" i="15"/>
  <c r="S18" i="15" s="1"/>
  <c r="B18" i="15"/>
  <c r="R18" i="15" s="1"/>
  <c r="K17" i="15"/>
  <c r="U17" i="15" s="1"/>
  <c r="H17" i="15"/>
  <c r="T17" i="15" s="1"/>
  <c r="E17" i="15"/>
  <c r="S17" i="15" s="1"/>
  <c r="B17" i="15"/>
  <c r="R17" i="15" s="1"/>
  <c r="K16" i="15"/>
  <c r="U16" i="15" s="1"/>
  <c r="H16" i="15"/>
  <c r="T16" i="15" s="1"/>
  <c r="E16" i="15"/>
  <c r="S16" i="15" s="1"/>
  <c r="B16" i="15"/>
  <c r="R16" i="15" s="1"/>
  <c r="K15" i="15"/>
  <c r="U15" i="15" s="1"/>
  <c r="H15" i="15"/>
  <c r="T15" i="15" s="1"/>
  <c r="E15" i="15"/>
  <c r="S15" i="15" s="1"/>
  <c r="B15" i="15"/>
  <c r="R15" i="15" s="1"/>
  <c r="K14" i="15"/>
  <c r="U14" i="15" s="1"/>
  <c r="H14" i="15"/>
  <c r="T14" i="15" s="1"/>
  <c r="E14" i="15"/>
  <c r="S14" i="15" s="1"/>
  <c r="B14" i="15"/>
  <c r="R14" i="15" s="1"/>
  <c r="K13" i="15"/>
  <c r="U13" i="15" s="1"/>
  <c r="H13" i="15"/>
  <c r="T13" i="15" s="1"/>
  <c r="E13" i="15"/>
  <c r="S13" i="15" s="1"/>
  <c r="B13" i="15"/>
  <c r="R13" i="15" s="1"/>
  <c r="K12" i="15"/>
  <c r="U12" i="15" s="1"/>
  <c r="H12" i="15"/>
  <c r="T12" i="15" s="1"/>
  <c r="E12" i="15"/>
  <c r="S12" i="15" s="1"/>
  <c r="B12" i="15"/>
  <c r="R12" i="15" s="1"/>
  <c r="K11" i="15"/>
  <c r="U11" i="15" s="1"/>
  <c r="H11" i="15"/>
  <c r="T11" i="15" s="1"/>
  <c r="K10" i="15"/>
  <c r="U10" i="15" s="1"/>
  <c r="H10" i="15"/>
  <c r="T10" i="15" s="1"/>
  <c r="K9" i="15"/>
  <c r="U9" i="15" s="1"/>
  <c r="H9" i="15"/>
  <c r="T9" i="15" s="1"/>
  <c r="E9" i="15"/>
  <c r="S9" i="15" s="1"/>
  <c r="B9" i="15"/>
  <c r="R9" i="15" s="1"/>
  <c r="K8" i="15"/>
  <c r="U8" i="15" s="1"/>
  <c r="H8" i="15"/>
  <c r="T8" i="15" s="1"/>
  <c r="E8" i="15"/>
  <c r="S8" i="15" s="1"/>
  <c r="B8" i="15"/>
  <c r="R8" i="15" s="1"/>
  <c r="M7" i="15"/>
  <c r="L7" i="15"/>
  <c r="J7" i="15"/>
  <c r="I7" i="15"/>
  <c r="G7" i="15"/>
  <c r="F7" i="15"/>
  <c r="D7" i="15"/>
  <c r="C7" i="15"/>
  <c r="H7" i="15" l="1"/>
  <c r="P18" i="15" s="1"/>
  <c r="B7" i="15"/>
  <c r="N8" i="15" s="1"/>
  <c r="K7" i="15"/>
  <c r="Q8" i="15" s="1"/>
  <c r="T7" i="15"/>
  <c r="P8" i="15"/>
  <c r="P13" i="15"/>
  <c r="P17" i="15"/>
  <c r="P19" i="15"/>
  <c r="E7" i="15"/>
  <c r="S7" i="15" s="1"/>
  <c r="P11" i="15"/>
  <c r="P7" i="15"/>
  <c r="P10" i="15"/>
  <c r="P12" i="15"/>
  <c r="P14" i="15"/>
  <c r="P16" i="15"/>
  <c r="P9" i="15" l="1"/>
  <c r="P15" i="15"/>
  <c r="N17" i="15"/>
  <c r="Q19" i="15"/>
  <c r="Q17" i="15"/>
  <c r="Q15" i="15"/>
  <c r="O17" i="15"/>
  <c r="N15" i="15"/>
  <c r="O15" i="15"/>
  <c r="N13" i="15"/>
  <c r="R7" i="15"/>
  <c r="O8" i="15"/>
  <c r="O13" i="15"/>
  <c r="N18" i="15"/>
  <c r="N16" i="15"/>
  <c r="N14" i="15"/>
  <c r="N12" i="15"/>
  <c r="N9" i="15"/>
  <c r="N7" i="15"/>
  <c r="Q18" i="15"/>
  <c r="Q16" i="15"/>
  <c r="Q14" i="15"/>
  <c r="Q12" i="15"/>
  <c r="Q10" i="15"/>
  <c r="Q9" i="15"/>
  <c r="Q7" i="15"/>
  <c r="Q11" i="15"/>
  <c r="Q13" i="15"/>
  <c r="N19" i="15"/>
  <c r="U7" i="15"/>
  <c r="O18" i="15"/>
  <c r="O16" i="15"/>
  <c r="O14" i="15"/>
  <c r="O12" i="15"/>
  <c r="O9" i="15"/>
  <c r="O7" i="15"/>
  <c r="O19" i="15"/>
</calcChain>
</file>

<file path=xl/sharedStrings.xml><?xml version="1.0" encoding="utf-8"?>
<sst xmlns="http://schemas.openxmlformats.org/spreadsheetml/2006/main" count="70" uniqueCount="38">
  <si>
    <t>% share of females</t>
  </si>
  <si>
    <t>ޖުމްލަ</t>
  </si>
  <si>
    <t>ފިރިހެން</t>
  </si>
  <si>
    <t>އަންހެން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</si>
  <si>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</si>
  <si>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</si>
  <si>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</si>
  <si>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</si>
  <si>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</si>
  <si>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</si>
  <si>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</si>
  <si>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ތާވަލު  18.15 : ތަނުގެ ބާވަތުން، ރިޓާޔަމަންޓް ޕެންޝަން ސްކީމްގައި ރެޖިސްޓަރކޮށްފައިވާ މުވައްޒަފުންގެ ޢަދަދު ، 2016</t>
  </si>
  <si>
    <t>TABLE   18.15: EMPLOYEES REGISTERED IN THE RETIREMENT PENSION SCHEME, BY TYPE OF EMPLOYER, END OF 2016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</si>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</sst>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0.0"/>
  </numFmts>
  <fonts count="9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10"/>
      <color rgb="FF000000"/>
      <name val="Faruma"/>
    </font>
    <font>
      <i/>
      <sz val="9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8" fillId="0" borderId="0"/>
    <xf numFmtId="0" fontId="7" fillId="0" borderId="0"/>
  </cellStyleXfs>
  <cellXfs count="71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1" fillId="2" borderId="0" xfId="0" applyFont="1" applyFill="1" applyBorder="1" applyAlignment="1"/>
    <xf numFmtId="0" fontId="4" fillId="2" borderId="0" xfId="0" applyFont="1" applyFill="1" applyBorder="1" applyAlignment="1"/>
    <xf numFmtId="0" fontId="4" fillId="2" borderId="12" xfId="0" applyFont="1" applyFill="1" applyBorder="1" applyAlignment="1"/>
    <xf numFmtId="0" fontId="2" fillId="3" borderId="1" xfId="0" applyFont="1" applyFill="1" applyBorder="1" applyAlignment="1"/>
    <xf numFmtId="0" fontId="2" fillId="3" borderId="10" xfId="0" applyFont="1" applyFill="1" applyBorder="1" applyAlignment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17" xfId="0" applyNumberFormat="1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3" fontId="0" fillId="2" borderId="6" xfId="0" applyNumberFormat="1" applyFont="1" applyFill="1" applyBorder="1" applyAlignment="1">
      <alignment vertical="center"/>
    </xf>
    <xf numFmtId="3" fontId="0" fillId="2" borderId="17" xfId="0" applyNumberFormat="1" applyFont="1" applyFill="1" applyBorder="1" applyAlignment="1">
      <alignment vertical="center"/>
    </xf>
    <xf numFmtId="3" fontId="0" fillId="4" borderId="17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/>
    <xf numFmtId="3" fontId="0" fillId="2" borderId="6" xfId="0" applyNumberFormat="1" applyFont="1" applyFill="1" applyBorder="1" applyAlignment="1">
      <alignment horizontal="right" vertical="center"/>
    </xf>
    <xf numFmtId="0" fontId="0" fillId="2" borderId="12" xfId="0" applyFont="1" applyFill="1" applyBorder="1" applyAlignment="1">
      <alignment horizontal="left" vertical="center"/>
    </xf>
    <xf numFmtId="3" fontId="0" fillId="2" borderId="12" xfId="0" applyNumberFormat="1" applyFont="1" applyFill="1" applyBorder="1" applyAlignment="1">
      <alignment vertical="center"/>
    </xf>
    <xf numFmtId="3" fontId="0" fillId="4" borderId="12" xfId="0" applyNumberFormat="1" applyFont="1" applyFill="1" applyBorder="1" applyAlignment="1">
      <alignment vertical="center"/>
    </xf>
    <xf numFmtId="3" fontId="0" fillId="2" borderId="14" xfId="0" applyNumberFormat="1" applyFont="1" applyFill="1" applyBorder="1" applyAlignment="1">
      <alignment vertical="center"/>
    </xf>
    <xf numFmtId="3" fontId="0" fillId="2" borderId="13" xfId="0" applyNumberFormat="1" applyFont="1" applyFill="1" applyBorder="1" applyAlignment="1">
      <alignment vertical="center"/>
    </xf>
    <xf numFmtId="3" fontId="0" fillId="4" borderId="13" xfId="0" applyNumberFormat="1" applyFont="1" applyFill="1" applyBorder="1" applyAlignment="1">
      <alignment vertical="center"/>
    </xf>
    <xf numFmtId="3" fontId="0" fillId="2" borderId="14" xfId="0" applyNumberFormat="1" applyFont="1" applyFill="1" applyBorder="1" applyAlignment="1">
      <alignment horizontal="right" vertical="center"/>
    </xf>
    <xf numFmtId="3" fontId="0" fillId="2" borderId="12" xfId="0" applyNumberFormat="1" applyFont="1" applyFill="1" applyBorder="1" applyAlignment="1">
      <alignment horizontal="right" vertical="center"/>
    </xf>
    <xf numFmtId="3" fontId="0" fillId="4" borderId="12" xfId="0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3" fontId="3" fillId="2" borderId="6" xfId="0" applyNumberFormat="1" applyFont="1" applyFill="1" applyBorder="1" applyAlignment="1">
      <alignment vertical="center"/>
    </xf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0" fontId="0" fillId="2" borderId="17" xfId="0" applyFont="1" applyFill="1" applyBorder="1"/>
    <xf numFmtId="0" fontId="3" fillId="2" borderId="9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2" fillId="3" borderId="11" xfId="0" applyFont="1" applyFill="1" applyBorder="1" applyAlignment="1"/>
    <xf numFmtId="0" fontId="2" fillId="3" borderId="19" xfId="0" applyFont="1" applyFill="1" applyBorder="1" applyAlignment="1"/>
    <xf numFmtId="0" fontId="1" fillId="2" borderId="14" xfId="0" applyFont="1" applyFill="1" applyBorder="1" applyAlignment="1"/>
    <xf numFmtId="0" fontId="1" fillId="2" borderId="12" xfId="0" applyFont="1" applyFill="1" applyBorder="1" applyAlignment="1"/>
    <xf numFmtId="0" fontId="1" fillId="2" borderId="13" xfId="0" applyFont="1" applyFill="1" applyBorder="1" applyAlignment="1"/>
    <xf numFmtId="0" fontId="3" fillId="2" borderId="16" xfId="0" applyFont="1" applyFill="1" applyBorder="1"/>
    <xf numFmtId="0" fontId="3" fillId="2" borderId="15" xfId="0" applyFont="1" applyFill="1" applyBorder="1"/>
    <xf numFmtId="0" fontId="3" fillId="2" borderId="20" xfId="0" applyFont="1" applyFill="1" applyBorder="1"/>
    <xf numFmtId="0" fontId="3" fillId="2" borderId="12" xfId="0" applyFont="1" applyFill="1" applyBorder="1"/>
    <xf numFmtId="3" fontId="3" fillId="2" borderId="2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0" fillId="4" borderId="18" xfId="0" applyNumberFormat="1" applyFont="1" applyFill="1" applyBorder="1" applyAlignment="1">
      <alignment horizontal="right" vertical="center"/>
    </xf>
    <xf numFmtId="3" fontId="0" fillId="4" borderId="17" xfId="0" applyNumberFormat="1" applyFont="1" applyFill="1" applyBorder="1" applyAlignment="1">
      <alignment horizontal="right" vertical="center"/>
    </xf>
    <xf numFmtId="3" fontId="0" fillId="4" borderId="13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1" fontId="0" fillId="2" borderId="0" xfId="0" applyNumberFormat="1" applyFont="1" applyFill="1" applyBorder="1" applyAlignment="1">
      <alignment horizontal="right" vertical="center"/>
    </xf>
    <xf numFmtId="1" fontId="0" fillId="2" borderId="12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12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/>
            </a:pPr>
            <a:r>
              <a:rPr lang="en-US"/>
              <a:t>Figure 18.19: Percentage share of female employees registered in the retirement pension scheme, by type of employer, end of  2016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4605382494518863"/>
          <c:y val="0.17189398738950734"/>
          <c:w val="0.7082664268560056"/>
          <c:h val="0.69398316589736631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F8A45E"/>
            </a:solidFill>
          </c:spPr>
          <c:invertIfNegative val="1"/>
          <c:dLbls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'18.15'!$AN$24:$AN$35</c:f>
              <c:strCache>
                <c:ptCount val="12"/>
                <c:pt idx="0">
                  <c:v>Police/ NSS</c:v>
                </c:pt>
                <c:pt idx="1">
                  <c:v>Other Private Sector</c:v>
                </c:pt>
                <c:pt idx="2">
                  <c:v>State owned enterprises</c:v>
                </c:pt>
                <c:pt idx="3">
                  <c:v>Island councils</c:v>
                </c:pt>
                <c:pt idx="4">
                  <c:v>Atoll councils</c:v>
                </c:pt>
                <c:pt idx="5">
                  <c:v>Independent Agencies</c:v>
                </c:pt>
                <c:pt idx="6">
                  <c:v>Government Offices</c:v>
                </c:pt>
                <c:pt idx="7">
                  <c:v>Judiciary</c:v>
                </c:pt>
                <c:pt idx="8">
                  <c:v>Others</c:v>
                </c:pt>
                <c:pt idx="9">
                  <c:v>City councils</c:v>
                </c:pt>
                <c:pt idx="10">
                  <c:v>Hospitals/health Care facilities</c:v>
                </c:pt>
                <c:pt idx="11">
                  <c:v>Schools/universitiy</c:v>
                </c:pt>
              </c:strCache>
            </c:strRef>
          </c:cat>
          <c:val>
            <c:numRef>
              <c:f>'18.15'!$AO$24:$AO$35</c:f>
              <c:numCache>
                <c:formatCode>0</c:formatCode>
                <c:ptCount val="12"/>
                <c:pt idx="0">
                  <c:v>9.1311343523732909</c:v>
                </c:pt>
                <c:pt idx="1">
                  <c:v>17.803310391900347</c:v>
                </c:pt>
                <c:pt idx="2">
                  <c:v>24.986595174262735</c:v>
                </c:pt>
                <c:pt idx="3">
                  <c:v>27.578124999999996</c:v>
                </c:pt>
                <c:pt idx="4">
                  <c:v>34.500875656742558</c:v>
                </c:pt>
                <c:pt idx="5">
                  <c:v>49.908508691674292</c:v>
                </c:pt>
                <c:pt idx="6">
                  <c:v>53.076601088321475</c:v>
                </c:pt>
                <c:pt idx="7">
                  <c:v>55.686274509803923</c:v>
                </c:pt>
                <c:pt idx="8">
                  <c:v>58.712121212121218</c:v>
                </c:pt>
                <c:pt idx="9">
                  <c:v>64.622641509433961</c:v>
                </c:pt>
                <c:pt idx="10">
                  <c:v>69.73684210526315</c:v>
                </c:pt>
                <c:pt idx="11">
                  <c:v>74.764595103578159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99552"/>
        <c:axId val="97401088"/>
      </c:barChart>
      <c:catAx>
        <c:axId val="97399552"/>
        <c:scaling>
          <c:orientation val="maxMin"/>
        </c:scaling>
        <c:delete val="0"/>
        <c:axPos val="l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97401088"/>
        <c:crosses val="autoZero"/>
        <c:auto val="1"/>
        <c:lblAlgn val="ctr"/>
        <c:lblOffset val="100"/>
        <c:noMultiLvlLbl val="1"/>
      </c:catAx>
      <c:valAx>
        <c:axId val="97401088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% share of  females</a:t>
                </a:r>
              </a:p>
            </c:rich>
          </c:tx>
          <c:layout>
            <c:manualLayout>
              <c:xMode val="edge"/>
              <c:yMode val="edge"/>
              <c:x val="0.55193552997110418"/>
              <c:y val="0.92737774157540653"/>
            </c:manualLayout>
          </c:layout>
          <c:overlay val="0"/>
        </c:title>
        <c:numFmt formatCode="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97399552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DEADA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1085849</xdr:colOff>
      <xdr:row>21</xdr:row>
      <xdr:rowOff>9525</xdr:rowOff>
    </xdr:from>
    <xdr:to>
      <xdr:col>21</xdr:col>
      <xdr:colOff>1104899</xdr:colOff>
      <xdr:row>38</xdr:row>
      <xdr:rowOff>85725</xdr:rowOff>
    </xdr:to>
    <xdr:graphicFrame macro=""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152400</xdr:colOff>
      <xdr:row>23</xdr:row>
      <xdr:rowOff>47625</xdr:rowOff>
    </xdr:from>
    <xdr:to>
      <xdr:col>21</xdr:col>
      <xdr:colOff>561975</xdr:colOff>
      <xdr:row>23</xdr:row>
      <xdr:rowOff>47625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838325" y="5495925"/>
          <a:ext cx="58769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39"/>
  <sheetViews>
    <sheetView tabSelected="1" zoomScaleNormal="100" workbookViewId="0">
      <selection activeCell="AK1" sqref="AK1:AK1048576"/>
    </sheetView>
  </sheetViews>
  <sheetFormatPr defaultColWidth="15.140625" defaultRowHeight="15" customHeight="1" x14ac:dyDescent="0.25"/>
  <cols>
    <col min="1" max="1" width="25.28515625" style="2" customWidth="1"/>
    <col min="2" max="7" width="7.7109375" style="2" hidden="1" customWidth="1"/>
    <col min="8" max="13" width="7.7109375" style="2" customWidth="1"/>
    <col min="14" max="15" width="8.7109375" style="2" hidden="1" customWidth="1"/>
    <col min="16" max="17" width="8.7109375" style="2" customWidth="1"/>
    <col min="18" max="19" width="9.140625" style="2" hidden="1" customWidth="1"/>
    <col min="20" max="21" width="9.140625" style="2" customWidth="1"/>
    <col min="22" max="22" width="30.5703125" style="2" customWidth="1"/>
    <col min="23" max="23" width="4.140625" style="2" customWidth="1"/>
    <col min="24" max="41" width="8" style="2" customWidth="1"/>
    <col min="42" max="16384" width="15.140625" style="2"/>
  </cols>
  <sheetData>
    <row r="1" spans="1:41" ht="19.5" customHeight="1" x14ac:dyDescent="0.55000000000000004">
      <c r="A1" s="58" t="s">
        <v>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25" customHeight="1" x14ac:dyDescent="0.25">
      <c r="A2" s="57" t="s">
        <v>12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6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4.25" customHeight="1" x14ac:dyDescent="0.25">
      <c r="A4" s="62" t="s">
        <v>13</v>
      </c>
      <c r="B4" s="66">
        <v>2013</v>
      </c>
      <c r="C4" s="60"/>
      <c r="D4" s="60"/>
      <c r="E4" s="66">
        <v>2014</v>
      </c>
      <c r="F4" s="60"/>
      <c r="G4" s="60"/>
      <c r="H4" s="65">
        <v>2015</v>
      </c>
      <c r="I4" s="60"/>
      <c r="J4" s="61"/>
      <c r="K4" s="65">
        <v>2016</v>
      </c>
      <c r="L4" s="60"/>
      <c r="M4" s="61"/>
      <c r="O4" s="7"/>
      <c r="P4" s="67" t="s">
        <v>14</v>
      </c>
      <c r="Q4" s="68"/>
      <c r="S4" s="7"/>
      <c r="T4" s="69" t="s">
        <v>0</v>
      </c>
      <c r="U4" s="70"/>
      <c r="V4" s="64" t="s">
        <v>15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8" customHeight="1" x14ac:dyDescent="0.25">
      <c r="A5" s="59"/>
      <c r="B5" s="37" t="s">
        <v>4</v>
      </c>
      <c r="C5" s="38" t="s">
        <v>5</v>
      </c>
      <c r="D5" s="38" t="s">
        <v>6</v>
      </c>
      <c r="E5" s="37" t="s">
        <v>4</v>
      </c>
      <c r="F5" s="38" t="s">
        <v>5</v>
      </c>
      <c r="G5" s="38" t="s">
        <v>6</v>
      </c>
      <c r="H5" s="38" t="s">
        <v>4</v>
      </c>
      <c r="I5" s="38" t="s">
        <v>5</v>
      </c>
      <c r="J5" s="39" t="s">
        <v>6</v>
      </c>
      <c r="K5" s="38" t="s">
        <v>4</v>
      </c>
      <c r="L5" s="38" t="s">
        <v>5</v>
      </c>
      <c r="M5" s="39" t="s">
        <v>6</v>
      </c>
      <c r="N5" s="40"/>
      <c r="O5" s="8"/>
      <c r="P5" s="8"/>
      <c r="Q5" s="41"/>
      <c r="R5" s="40"/>
      <c r="S5" s="8"/>
      <c r="T5" s="8"/>
      <c r="U5" s="8"/>
      <c r="V5" s="5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1" customHeight="1" x14ac:dyDescent="0.55000000000000004">
      <c r="A6" s="63"/>
      <c r="B6" s="42" t="s">
        <v>1</v>
      </c>
      <c r="C6" s="43" t="s">
        <v>2</v>
      </c>
      <c r="D6" s="43" t="s">
        <v>3</v>
      </c>
      <c r="E6" s="42" t="s">
        <v>1</v>
      </c>
      <c r="F6" s="43" t="s">
        <v>2</v>
      </c>
      <c r="G6" s="43" t="s">
        <v>3</v>
      </c>
      <c r="H6" s="43" t="s">
        <v>1</v>
      </c>
      <c r="I6" s="43" t="s">
        <v>2</v>
      </c>
      <c r="J6" s="44" t="s">
        <v>3</v>
      </c>
      <c r="K6" s="43" t="s">
        <v>1</v>
      </c>
      <c r="L6" s="43" t="s">
        <v>2</v>
      </c>
      <c r="M6" s="44" t="s">
        <v>3</v>
      </c>
      <c r="N6" s="45">
        <v>2013</v>
      </c>
      <c r="O6" s="46">
        <v>2014</v>
      </c>
      <c r="P6" s="46">
        <v>2015</v>
      </c>
      <c r="Q6" s="47">
        <v>2016</v>
      </c>
      <c r="R6" s="48">
        <v>2013</v>
      </c>
      <c r="S6" s="48">
        <v>2014</v>
      </c>
      <c r="T6" s="48">
        <v>2015</v>
      </c>
      <c r="U6" s="48">
        <v>2016</v>
      </c>
      <c r="V6" s="6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1" customHeight="1" x14ac:dyDescent="0.55000000000000004">
      <c r="A7" s="9" t="s">
        <v>4</v>
      </c>
      <c r="B7" s="33">
        <f t="shared" ref="B7:M7" si="0">SUM(B8:B19)</f>
        <v>69948</v>
      </c>
      <c r="C7" s="11">
        <f t="shared" si="0"/>
        <v>49826</v>
      </c>
      <c r="D7" s="11">
        <f t="shared" si="0"/>
        <v>20122</v>
      </c>
      <c r="E7" s="33">
        <f t="shared" si="0"/>
        <v>75453</v>
      </c>
      <c r="F7" s="11">
        <f t="shared" si="0"/>
        <v>52991</v>
      </c>
      <c r="G7" s="11">
        <f t="shared" si="0"/>
        <v>22462</v>
      </c>
      <c r="H7" s="11">
        <f t="shared" si="0"/>
        <v>82413</v>
      </c>
      <c r="I7" s="11">
        <f t="shared" si="0"/>
        <v>56531</v>
      </c>
      <c r="J7" s="12">
        <f t="shared" si="0"/>
        <v>25882</v>
      </c>
      <c r="K7" s="11">
        <f t="shared" si="0"/>
        <v>79995</v>
      </c>
      <c r="L7" s="11">
        <f t="shared" si="0"/>
        <v>55148</v>
      </c>
      <c r="M7" s="12">
        <f t="shared" si="0"/>
        <v>24847</v>
      </c>
      <c r="N7" s="49">
        <f t="shared" ref="N7:N9" si="1">B7/$B$7*100</f>
        <v>100</v>
      </c>
      <c r="O7" s="50">
        <f t="shared" ref="O7:O9" si="2">E7/$E$7*100</f>
        <v>100</v>
      </c>
      <c r="P7" s="50">
        <f t="shared" ref="P7:P19" si="3">H7/$H$7*100</f>
        <v>100</v>
      </c>
      <c r="Q7" s="51">
        <f t="shared" ref="Q7:Q19" si="4">K7/$K$7*100</f>
        <v>100</v>
      </c>
      <c r="R7" s="10">
        <f t="shared" ref="R7:R9" si="5">D7/B7*100</f>
        <v>28.767084119631726</v>
      </c>
      <c r="S7" s="10">
        <f t="shared" ref="S7:S9" si="6">G7/E7*100</f>
        <v>29.769525399917828</v>
      </c>
      <c r="T7" s="10">
        <f t="shared" ref="T7:T19" si="7">J7/H7*100</f>
        <v>31.405239464647565</v>
      </c>
      <c r="U7" s="10">
        <f t="shared" ref="U7:U19" si="8">M7/K7*100</f>
        <v>31.060691293205828</v>
      </c>
      <c r="V7" s="4" t="s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ht="21" customHeight="1" x14ac:dyDescent="0.55000000000000004">
      <c r="A8" s="13" t="s">
        <v>16</v>
      </c>
      <c r="B8" s="16">
        <f t="shared" ref="B8:B9" si="9">SUM(C8:D8)</f>
        <v>4939</v>
      </c>
      <c r="C8" s="14">
        <v>2609</v>
      </c>
      <c r="D8" s="14">
        <v>2330</v>
      </c>
      <c r="E8" s="16">
        <f t="shared" ref="E8:E9" si="10">SUM(F8:G8)</f>
        <v>4278</v>
      </c>
      <c r="F8" s="14">
        <v>2315</v>
      </c>
      <c r="G8" s="14">
        <v>1963</v>
      </c>
      <c r="H8" s="14">
        <f t="shared" ref="H8:H19" si="11">SUM(I8:J8)</f>
        <v>11028</v>
      </c>
      <c r="I8" s="14">
        <v>5487</v>
      </c>
      <c r="J8" s="17">
        <v>5541</v>
      </c>
      <c r="K8" s="14">
        <f t="shared" ref="K8:K19" si="12">SUM(L8:M8)</f>
        <v>9556</v>
      </c>
      <c r="L8" s="15">
        <v>4484</v>
      </c>
      <c r="M8" s="18">
        <v>5072</v>
      </c>
      <c r="N8" s="22">
        <f t="shared" si="1"/>
        <v>7.0609595699662604</v>
      </c>
      <c r="O8" s="19">
        <f t="shared" si="2"/>
        <v>5.6697546817223969</v>
      </c>
      <c r="P8" s="19">
        <f t="shared" si="3"/>
        <v>13.381384004950675</v>
      </c>
      <c r="Q8" s="52">
        <f t="shared" si="4"/>
        <v>11.945746609163074</v>
      </c>
      <c r="R8" s="19">
        <f t="shared" si="5"/>
        <v>47.175541607612878</v>
      </c>
      <c r="S8" s="19">
        <f t="shared" si="6"/>
        <v>45.885928003740069</v>
      </c>
      <c r="T8" s="19">
        <f t="shared" si="7"/>
        <v>50.244831338411323</v>
      </c>
      <c r="U8" s="20">
        <f t="shared" si="8"/>
        <v>53.076601088321475</v>
      </c>
      <c r="V8" s="5" t="s">
        <v>17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1" customHeight="1" x14ac:dyDescent="0.55000000000000004">
      <c r="A9" s="13" t="s">
        <v>18</v>
      </c>
      <c r="B9" s="16">
        <f t="shared" si="9"/>
        <v>3194</v>
      </c>
      <c r="C9" s="14">
        <v>1845</v>
      </c>
      <c r="D9" s="14">
        <v>1349</v>
      </c>
      <c r="E9" s="16">
        <f t="shared" si="10"/>
        <v>3624</v>
      </c>
      <c r="F9" s="14">
        <v>2147</v>
      </c>
      <c r="G9" s="14">
        <v>1477</v>
      </c>
      <c r="H9" s="14">
        <f t="shared" si="11"/>
        <v>1956</v>
      </c>
      <c r="I9" s="14">
        <v>1015</v>
      </c>
      <c r="J9" s="17">
        <v>941</v>
      </c>
      <c r="K9" s="14">
        <f t="shared" si="12"/>
        <v>2186</v>
      </c>
      <c r="L9" s="15">
        <v>1095</v>
      </c>
      <c r="M9" s="18">
        <v>1091</v>
      </c>
      <c r="N9" s="22">
        <f t="shared" si="1"/>
        <v>4.5662492137016075</v>
      </c>
      <c r="O9" s="19">
        <f t="shared" si="2"/>
        <v>4.8029899407578229</v>
      </c>
      <c r="P9" s="19">
        <f t="shared" si="3"/>
        <v>2.3734119617050706</v>
      </c>
      <c r="Q9" s="52">
        <f t="shared" si="4"/>
        <v>2.7326707919244955</v>
      </c>
      <c r="R9" s="19">
        <f t="shared" si="5"/>
        <v>42.235441452723862</v>
      </c>
      <c r="S9" s="19">
        <f t="shared" si="6"/>
        <v>40.756070640176603</v>
      </c>
      <c r="T9" s="19">
        <f t="shared" si="7"/>
        <v>48.108384458077708</v>
      </c>
      <c r="U9" s="20">
        <f t="shared" si="8"/>
        <v>49.908508691674292</v>
      </c>
      <c r="V9" s="5" t="s">
        <v>19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1" customHeight="1" x14ac:dyDescent="0.55000000000000004">
      <c r="A10" s="13" t="s">
        <v>20</v>
      </c>
      <c r="B10" s="16">
        <v>0</v>
      </c>
      <c r="C10" s="14">
        <v>0</v>
      </c>
      <c r="D10" s="14">
        <v>0</v>
      </c>
      <c r="E10" s="16">
        <v>0</v>
      </c>
      <c r="F10" s="14">
        <v>0</v>
      </c>
      <c r="G10" s="14">
        <v>0</v>
      </c>
      <c r="H10" s="14">
        <f t="shared" si="11"/>
        <v>1073</v>
      </c>
      <c r="I10" s="14">
        <v>611</v>
      </c>
      <c r="J10" s="17">
        <v>462</v>
      </c>
      <c r="K10" s="14">
        <f t="shared" si="12"/>
        <v>510</v>
      </c>
      <c r="L10" s="15">
        <v>226</v>
      </c>
      <c r="M10" s="18">
        <v>284</v>
      </c>
      <c r="N10" s="22">
        <v>0</v>
      </c>
      <c r="O10" s="19">
        <v>0</v>
      </c>
      <c r="P10" s="19">
        <f t="shared" si="3"/>
        <v>1.3019790567022194</v>
      </c>
      <c r="Q10" s="52">
        <f t="shared" si="4"/>
        <v>0.63753984624038995</v>
      </c>
      <c r="R10" s="19">
        <v>0</v>
      </c>
      <c r="S10" s="19">
        <v>0</v>
      </c>
      <c r="T10" s="19">
        <f t="shared" si="7"/>
        <v>43.056849953401674</v>
      </c>
      <c r="U10" s="20">
        <f t="shared" si="8"/>
        <v>55.686274509803923</v>
      </c>
      <c r="V10" s="5" t="s">
        <v>21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1" customHeight="1" x14ac:dyDescent="0.55000000000000004">
      <c r="A11" s="13" t="s">
        <v>22</v>
      </c>
      <c r="B11" s="16">
        <v>0</v>
      </c>
      <c r="C11" s="14">
        <v>0</v>
      </c>
      <c r="D11" s="14">
        <v>0</v>
      </c>
      <c r="E11" s="16">
        <v>0</v>
      </c>
      <c r="F11" s="14">
        <v>0</v>
      </c>
      <c r="G11" s="14">
        <v>0</v>
      </c>
      <c r="H11" s="14">
        <f t="shared" si="11"/>
        <v>588</v>
      </c>
      <c r="I11" s="14">
        <v>270</v>
      </c>
      <c r="J11" s="17">
        <v>318</v>
      </c>
      <c r="K11" s="14">
        <f t="shared" si="12"/>
        <v>212</v>
      </c>
      <c r="L11" s="15">
        <v>75</v>
      </c>
      <c r="M11" s="18">
        <v>137</v>
      </c>
      <c r="N11" s="22">
        <v>0</v>
      </c>
      <c r="O11" s="19">
        <v>0</v>
      </c>
      <c r="P11" s="19">
        <f t="shared" si="3"/>
        <v>0.71347966946962249</v>
      </c>
      <c r="Q11" s="52">
        <f t="shared" si="4"/>
        <v>0.26501656353522096</v>
      </c>
      <c r="R11" s="19">
        <v>0</v>
      </c>
      <c r="S11" s="19">
        <v>0</v>
      </c>
      <c r="T11" s="19">
        <f t="shared" si="7"/>
        <v>54.081632653061227</v>
      </c>
      <c r="U11" s="20">
        <f t="shared" si="8"/>
        <v>64.622641509433961</v>
      </c>
      <c r="V11" s="5" t="s">
        <v>23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1" customHeight="1" x14ac:dyDescent="0.55000000000000004">
      <c r="A12" s="13" t="s">
        <v>24</v>
      </c>
      <c r="B12" s="16">
        <f t="shared" ref="B12:B19" si="13">SUM(C12:D12)</f>
        <v>1087</v>
      </c>
      <c r="C12" s="14">
        <v>708</v>
      </c>
      <c r="D12" s="14">
        <v>379</v>
      </c>
      <c r="E12" s="16">
        <f t="shared" ref="E12:E19" si="14">SUM(F12:G12)</f>
        <v>1015</v>
      </c>
      <c r="F12" s="14">
        <v>644</v>
      </c>
      <c r="G12" s="14">
        <v>371</v>
      </c>
      <c r="H12" s="14">
        <f t="shared" si="11"/>
        <v>647</v>
      </c>
      <c r="I12" s="14">
        <v>432</v>
      </c>
      <c r="J12" s="17">
        <v>215</v>
      </c>
      <c r="K12" s="14">
        <f t="shared" si="12"/>
        <v>571</v>
      </c>
      <c r="L12" s="15">
        <v>374</v>
      </c>
      <c r="M12" s="18">
        <v>197</v>
      </c>
      <c r="N12" s="22">
        <f t="shared" ref="N12:N19" si="15">B12/$B$7*100</f>
        <v>1.5540115514382111</v>
      </c>
      <c r="O12" s="19">
        <f t="shared" ref="O12:O19" si="16">E12/$E$7*100</f>
        <v>1.3452082753502179</v>
      </c>
      <c r="P12" s="19">
        <f t="shared" si="3"/>
        <v>0.78507031657626836</v>
      </c>
      <c r="Q12" s="52">
        <f t="shared" si="4"/>
        <v>0.71379461216326012</v>
      </c>
      <c r="R12" s="19">
        <f t="shared" ref="R12:R19" si="17">D12/B12*100</f>
        <v>34.866605335786574</v>
      </c>
      <c r="S12" s="19">
        <f t="shared" ref="S12:S19" si="18">G12/E12*100</f>
        <v>36.551724137931032</v>
      </c>
      <c r="T12" s="19">
        <f t="shared" si="7"/>
        <v>33.23029366306028</v>
      </c>
      <c r="U12" s="20">
        <f t="shared" si="8"/>
        <v>34.500875656742558</v>
      </c>
      <c r="V12" s="5" t="s">
        <v>25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1" customHeight="1" x14ac:dyDescent="0.55000000000000004">
      <c r="A13" s="13" t="s">
        <v>26</v>
      </c>
      <c r="B13" s="16">
        <f t="shared" si="13"/>
        <v>3157</v>
      </c>
      <c r="C13" s="14">
        <v>2462</v>
      </c>
      <c r="D13" s="14">
        <v>695</v>
      </c>
      <c r="E13" s="16">
        <f t="shared" si="14"/>
        <v>3204</v>
      </c>
      <c r="F13" s="14">
        <v>2462</v>
      </c>
      <c r="G13" s="14">
        <v>742</v>
      </c>
      <c r="H13" s="14">
        <f t="shared" si="11"/>
        <v>3972</v>
      </c>
      <c r="I13" s="14">
        <v>3014</v>
      </c>
      <c r="J13" s="17">
        <v>958</v>
      </c>
      <c r="K13" s="14">
        <f t="shared" si="12"/>
        <v>2560</v>
      </c>
      <c r="L13" s="15">
        <v>1854</v>
      </c>
      <c r="M13" s="18">
        <v>706</v>
      </c>
      <c r="N13" s="22">
        <f t="shared" si="15"/>
        <v>4.5133527763481442</v>
      </c>
      <c r="O13" s="19">
        <f t="shared" si="16"/>
        <v>4.2463520337163532</v>
      </c>
      <c r="P13" s="19">
        <f t="shared" si="3"/>
        <v>4.8196279713152057</v>
      </c>
      <c r="Q13" s="52">
        <f t="shared" si="4"/>
        <v>3.2002000125007815</v>
      </c>
      <c r="R13" s="19">
        <f t="shared" si="17"/>
        <v>22.014570795058599</v>
      </c>
      <c r="S13" s="19">
        <f t="shared" si="18"/>
        <v>23.158551810237206</v>
      </c>
      <c r="T13" s="19">
        <f t="shared" si="7"/>
        <v>24.118831822759315</v>
      </c>
      <c r="U13" s="20">
        <f t="shared" si="8"/>
        <v>27.578124999999996</v>
      </c>
      <c r="V13" s="5" t="s">
        <v>27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21" customHeight="1" x14ac:dyDescent="0.55000000000000004">
      <c r="A14" s="13" t="s">
        <v>28</v>
      </c>
      <c r="B14" s="16">
        <f t="shared" si="13"/>
        <v>3076</v>
      </c>
      <c r="C14" s="14">
        <v>965</v>
      </c>
      <c r="D14" s="14">
        <v>2111</v>
      </c>
      <c r="E14" s="16">
        <f t="shared" si="14"/>
        <v>4379</v>
      </c>
      <c r="F14" s="14">
        <v>1290</v>
      </c>
      <c r="G14" s="14">
        <v>3089</v>
      </c>
      <c r="H14" s="14">
        <f t="shared" si="11"/>
        <v>5764</v>
      </c>
      <c r="I14" s="14">
        <v>1785</v>
      </c>
      <c r="J14" s="17">
        <v>3979</v>
      </c>
      <c r="K14" s="14">
        <f t="shared" si="12"/>
        <v>5016</v>
      </c>
      <c r="L14" s="15">
        <v>1518</v>
      </c>
      <c r="M14" s="18">
        <v>3498</v>
      </c>
      <c r="N14" s="22">
        <f t="shared" si="15"/>
        <v>4.397552467547321</v>
      </c>
      <c r="O14" s="19">
        <f t="shared" si="16"/>
        <v>5.8036128450823687</v>
      </c>
      <c r="P14" s="19">
        <f t="shared" si="3"/>
        <v>6.9940422020797683</v>
      </c>
      <c r="Q14" s="52">
        <f t="shared" si="4"/>
        <v>6.2703918994937187</v>
      </c>
      <c r="R14" s="19">
        <f t="shared" si="17"/>
        <v>68.628088426527952</v>
      </c>
      <c r="S14" s="19">
        <f t="shared" si="18"/>
        <v>70.541219456496918</v>
      </c>
      <c r="T14" s="19">
        <f t="shared" si="7"/>
        <v>69.031922276197093</v>
      </c>
      <c r="U14" s="20">
        <f t="shared" si="8"/>
        <v>69.73684210526315</v>
      </c>
      <c r="V14" s="5" t="s">
        <v>29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21" customHeight="1" x14ac:dyDescent="0.55000000000000004">
      <c r="A15" s="13" t="s">
        <v>30</v>
      </c>
      <c r="B15" s="16">
        <f t="shared" si="13"/>
        <v>8778</v>
      </c>
      <c r="C15" s="14">
        <v>3026</v>
      </c>
      <c r="D15" s="14">
        <v>5752</v>
      </c>
      <c r="E15" s="16">
        <f t="shared" si="14"/>
        <v>9361</v>
      </c>
      <c r="F15" s="14">
        <v>3075</v>
      </c>
      <c r="G15" s="14">
        <v>6286</v>
      </c>
      <c r="H15" s="14">
        <f t="shared" si="11"/>
        <v>5890</v>
      </c>
      <c r="I15" s="14">
        <v>1574</v>
      </c>
      <c r="J15" s="17">
        <v>4316</v>
      </c>
      <c r="K15" s="14">
        <f t="shared" si="12"/>
        <v>5310</v>
      </c>
      <c r="L15" s="15">
        <v>1340</v>
      </c>
      <c r="M15" s="18">
        <v>3970</v>
      </c>
      <c r="N15" s="22">
        <f t="shared" si="15"/>
        <v>12.549322353748499</v>
      </c>
      <c r="O15" s="19">
        <f t="shared" si="16"/>
        <v>12.406398685274276</v>
      </c>
      <c r="P15" s="19">
        <f t="shared" si="3"/>
        <v>7.146930702680403</v>
      </c>
      <c r="Q15" s="52">
        <f t="shared" si="4"/>
        <v>6.6379148696793555</v>
      </c>
      <c r="R15" s="19">
        <f t="shared" si="17"/>
        <v>65.527455001139217</v>
      </c>
      <c r="S15" s="19">
        <f t="shared" si="18"/>
        <v>67.150945411814973</v>
      </c>
      <c r="T15" s="19">
        <f t="shared" si="7"/>
        <v>73.276740237691001</v>
      </c>
      <c r="U15" s="20">
        <f t="shared" si="8"/>
        <v>74.764595103578159</v>
      </c>
      <c r="V15" s="5" t="s">
        <v>31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21" customHeight="1" x14ac:dyDescent="0.55000000000000004">
      <c r="A16" s="13" t="s">
        <v>32</v>
      </c>
      <c r="B16" s="16">
        <f t="shared" si="13"/>
        <v>7026</v>
      </c>
      <c r="C16" s="14">
        <v>6432</v>
      </c>
      <c r="D16" s="14">
        <v>594</v>
      </c>
      <c r="E16" s="16">
        <f t="shared" si="14"/>
        <v>7210</v>
      </c>
      <c r="F16" s="14">
        <v>6578</v>
      </c>
      <c r="G16" s="14">
        <v>632</v>
      </c>
      <c r="H16" s="14">
        <f t="shared" si="11"/>
        <v>7135</v>
      </c>
      <c r="I16" s="14">
        <v>6503</v>
      </c>
      <c r="J16" s="17">
        <v>632</v>
      </c>
      <c r="K16" s="14">
        <f t="shared" si="12"/>
        <v>7458</v>
      </c>
      <c r="L16" s="15">
        <v>6777</v>
      </c>
      <c r="M16" s="18">
        <v>681</v>
      </c>
      <c r="N16" s="22">
        <f t="shared" si="15"/>
        <v>10.044604563389948</v>
      </c>
      <c r="O16" s="19">
        <f t="shared" si="16"/>
        <v>9.555617404211894</v>
      </c>
      <c r="P16" s="19">
        <f t="shared" si="3"/>
        <v>8.6576146967104712</v>
      </c>
      <c r="Q16" s="52">
        <f t="shared" si="4"/>
        <v>9.3230826926682919</v>
      </c>
      <c r="R16" s="19">
        <f t="shared" si="17"/>
        <v>8.4543125533731853</v>
      </c>
      <c r="S16" s="19">
        <f t="shared" si="18"/>
        <v>8.7656033287101245</v>
      </c>
      <c r="T16" s="19">
        <f t="shared" si="7"/>
        <v>8.8577435178696575</v>
      </c>
      <c r="U16" s="20">
        <f t="shared" si="8"/>
        <v>9.1311343523732909</v>
      </c>
      <c r="V16" s="5" t="s">
        <v>33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21" customHeight="1" x14ac:dyDescent="0.55000000000000004">
      <c r="A17" s="13" t="s">
        <v>34</v>
      </c>
      <c r="B17" s="16">
        <f t="shared" si="13"/>
        <v>11216</v>
      </c>
      <c r="C17" s="14">
        <v>8796</v>
      </c>
      <c r="D17" s="14">
        <v>2420</v>
      </c>
      <c r="E17" s="16">
        <f t="shared" si="14"/>
        <v>12731</v>
      </c>
      <c r="F17" s="14">
        <v>9858</v>
      </c>
      <c r="G17" s="14">
        <v>2873</v>
      </c>
      <c r="H17" s="14">
        <f t="shared" si="11"/>
        <v>10243</v>
      </c>
      <c r="I17" s="14">
        <v>7666</v>
      </c>
      <c r="J17" s="17">
        <v>2577</v>
      </c>
      <c r="K17" s="14">
        <f t="shared" si="12"/>
        <v>11190</v>
      </c>
      <c r="L17" s="15">
        <v>8394</v>
      </c>
      <c r="M17" s="18">
        <v>2796</v>
      </c>
      <c r="N17" s="22">
        <f t="shared" si="15"/>
        <v>16.034768685309086</v>
      </c>
      <c r="O17" s="19">
        <f t="shared" si="16"/>
        <v>16.872755225107021</v>
      </c>
      <c r="P17" s="19">
        <f t="shared" si="3"/>
        <v>12.428864378192761</v>
      </c>
      <c r="Q17" s="52">
        <f t="shared" si="4"/>
        <v>13.988374273392088</v>
      </c>
      <c r="R17" s="19">
        <f t="shared" si="17"/>
        <v>21.576319543509275</v>
      </c>
      <c r="S17" s="19">
        <f t="shared" si="18"/>
        <v>22.566962532401224</v>
      </c>
      <c r="T17" s="19">
        <f t="shared" si="7"/>
        <v>25.158644928243678</v>
      </c>
      <c r="U17" s="20">
        <f t="shared" si="8"/>
        <v>24.986595174262735</v>
      </c>
      <c r="V17" s="5" t="s">
        <v>35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21" customHeight="1" x14ac:dyDescent="0.55000000000000004">
      <c r="A18" s="13" t="s">
        <v>36</v>
      </c>
      <c r="B18" s="16">
        <f t="shared" si="13"/>
        <v>27068</v>
      </c>
      <c r="C18" s="14">
        <v>22699</v>
      </c>
      <c r="D18" s="14">
        <v>4369</v>
      </c>
      <c r="E18" s="16">
        <f t="shared" si="14"/>
        <v>28826</v>
      </c>
      <c r="F18" s="14">
        <v>24021</v>
      </c>
      <c r="G18" s="14">
        <v>4805</v>
      </c>
      <c r="H18" s="14">
        <f t="shared" si="11"/>
        <v>33922</v>
      </c>
      <c r="I18" s="14">
        <v>28094</v>
      </c>
      <c r="J18" s="17">
        <v>5828</v>
      </c>
      <c r="K18" s="14">
        <f t="shared" si="12"/>
        <v>35162</v>
      </c>
      <c r="L18" s="15">
        <v>28902</v>
      </c>
      <c r="M18" s="18">
        <v>6260</v>
      </c>
      <c r="N18" s="22">
        <f t="shared" si="15"/>
        <v>38.697318007662837</v>
      </c>
      <c r="O18" s="19">
        <f t="shared" si="16"/>
        <v>38.203915019946194</v>
      </c>
      <c r="P18" s="19">
        <f t="shared" si="3"/>
        <v>41.160981883926077</v>
      </c>
      <c r="Q18" s="52">
        <f t="shared" si="4"/>
        <v>43.955247202950183</v>
      </c>
      <c r="R18" s="19">
        <f t="shared" si="17"/>
        <v>16.140830500960544</v>
      </c>
      <c r="S18" s="19">
        <f t="shared" si="18"/>
        <v>16.668979393602999</v>
      </c>
      <c r="T18" s="19">
        <f t="shared" si="7"/>
        <v>17.180590767053829</v>
      </c>
      <c r="U18" s="20">
        <f t="shared" si="8"/>
        <v>17.803310391900347</v>
      </c>
      <c r="V18" s="5" t="s">
        <v>37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1" customHeight="1" x14ac:dyDescent="0.55000000000000004">
      <c r="A19" s="23" t="s">
        <v>9</v>
      </c>
      <c r="B19" s="26">
        <f t="shared" si="13"/>
        <v>407</v>
      </c>
      <c r="C19" s="24">
        <v>284</v>
      </c>
      <c r="D19" s="24">
        <v>123</v>
      </c>
      <c r="E19" s="26">
        <f t="shared" si="14"/>
        <v>825</v>
      </c>
      <c r="F19" s="24">
        <v>601</v>
      </c>
      <c r="G19" s="24">
        <v>224</v>
      </c>
      <c r="H19" s="24">
        <f t="shared" si="11"/>
        <v>195</v>
      </c>
      <c r="I19" s="24">
        <v>80</v>
      </c>
      <c r="J19" s="27">
        <v>115</v>
      </c>
      <c r="K19" s="24">
        <f t="shared" si="12"/>
        <v>264</v>
      </c>
      <c r="L19" s="25">
        <v>109</v>
      </c>
      <c r="M19" s="28">
        <v>155</v>
      </c>
      <c r="N19" s="29">
        <f t="shared" si="15"/>
        <v>0.58186081088808828</v>
      </c>
      <c r="O19" s="30">
        <f t="shared" si="16"/>
        <v>1.0933958888314581</v>
      </c>
      <c r="P19" s="30">
        <f t="shared" si="3"/>
        <v>0.23661315569145644</v>
      </c>
      <c r="Q19" s="53">
        <f t="shared" si="4"/>
        <v>0.33002062628914308</v>
      </c>
      <c r="R19" s="30">
        <f t="shared" si="17"/>
        <v>30.22113022113022</v>
      </c>
      <c r="S19" s="30">
        <f t="shared" si="18"/>
        <v>27.151515151515156</v>
      </c>
      <c r="T19" s="30">
        <f t="shared" si="7"/>
        <v>58.974358974358978</v>
      </c>
      <c r="U19" s="31">
        <f t="shared" si="8"/>
        <v>58.712121212121218</v>
      </c>
      <c r="V19" s="6" t="s">
        <v>10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8.75" customHeight="1" x14ac:dyDescent="0.5">
      <c r="A20" s="32" t="s">
        <v>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54" t="s">
        <v>8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8" customHeight="1" x14ac:dyDescent="0.25">
      <c r="A21" s="1"/>
      <c r="B21" s="21"/>
      <c r="C21" s="1"/>
      <c r="D21" s="1"/>
      <c r="E21" s="21"/>
      <c r="F21" s="1"/>
      <c r="G21" s="1"/>
      <c r="H21" s="21"/>
      <c r="I21" s="1"/>
      <c r="J21" s="1"/>
      <c r="K21" s="21"/>
      <c r="L21" s="1"/>
      <c r="M21" s="1"/>
      <c r="N21" s="1"/>
      <c r="O21" s="1"/>
      <c r="P21" s="1"/>
      <c r="Q21" s="1"/>
      <c r="R21" s="3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x14ac:dyDescent="0.25">
      <c r="A22" s="1"/>
      <c r="B22" s="21"/>
      <c r="C22" s="1"/>
      <c r="D22" s="1"/>
      <c r="E22" s="21"/>
      <c r="F22" s="1"/>
      <c r="G22" s="1"/>
      <c r="H22" s="21"/>
      <c r="I22" s="1"/>
      <c r="J22" s="1"/>
      <c r="K22" s="21"/>
      <c r="L22" s="1"/>
      <c r="M22" s="1"/>
      <c r="N22" s="1"/>
      <c r="O22" s="1"/>
      <c r="P22" s="1"/>
      <c r="Q22" s="1"/>
      <c r="R22" s="3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x14ac:dyDescent="0.25">
      <c r="A23" s="1"/>
      <c r="B23" s="21"/>
      <c r="C23" s="1"/>
      <c r="D23" s="1"/>
      <c r="E23" s="21"/>
      <c r="F23" s="1"/>
      <c r="G23" s="1"/>
      <c r="H23" s="21"/>
      <c r="I23" s="1"/>
      <c r="J23" s="1"/>
      <c r="K23" s="21"/>
      <c r="L23" s="1"/>
      <c r="M23" s="1"/>
      <c r="N23" s="1"/>
      <c r="O23" s="1"/>
      <c r="P23" s="1"/>
      <c r="Q23" s="1"/>
      <c r="R23" s="3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x14ac:dyDescent="0.25">
      <c r="A24" s="1"/>
      <c r="B24" s="21"/>
      <c r="C24" s="1"/>
      <c r="D24" s="1"/>
      <c r="E24" s="21"/>
      <c r="F24" s="1"/>
      <c r="G24" s="1"/>
      <c r="H24" s="21"/>
      <c r="I24" s="1"/>
      <c r="J24" s="1"/>
      <c r="K24" s="21"/>
      <c r="L24" s="1"/>
      <c r="M24" s="1"/>
      <c r="N24" s="1"/>
      <c r="O24" s="1"/>
      <c r="P24" s="1"/>
      <c r="Q24" s="1"/>
      <c r="R24" s="3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3" t="s">
        <v>32</v>
      </c>
      <c r="AO24" s="55">
        <v>9.1311343523732909</v>
      </c>
    </row>
    <row r="25" spans="1:4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3" t="s">
        <v>36</v>
      </c>
      <c r="AO25" s="55">
        <v>17.803310391900347</v>
      </c>
    </row>
    <row r="26" spans="1:4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3" t="s">
        <v>34</v>
      </c>
      <c r="AO26" s="55">
        <v>24.986595174262735</v>
      </c>
    </row>
    <row r="27" spans="1:4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3" t="s">
        <v>26</v>
      </c>
      <c r="AO27" s="55">
        <v>27.578124999999996</v>
      </c>
    </row>
    <row r="28" spans="1:4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3" t="s">
        <v>24</v>
      </c>
      <c r="AO28" s="55">
        <v>34.500875656742558</v>
      </c>
    </row>
    <row r="29" spans="1:4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3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3" t="s">
        <v>18</v>
      </c>
      <c r="AO29" s="55">
        <v>49.908508691674292</v>
      </c>
    </row>
    <row r="30" spans="1:4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3" t="s">
        <v>16</v>
      </c>
      <c r="AO30" s="55">
        <v>53.076601088321475</v>
      </c>
    </row>
    <row r="31" spans="1:4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3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3" t="s">
        <v>20</v>
      </c>
      <c r="AO31" s="55">
        <v>55.686274509803923</v>
      </c>
    </row>
    <row r="32" spans="1: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3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3" t="s">
        <v>9</v>
      </c>
      <c r="AO32" s="55">
        <v>58.712121212121218</v>
      </c>
    </row>
    <row r="33" spans="1: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5"/>
      <c r="S33" s="1"/>
      <c r="T33" s="1"/>
      <c r="U33" s="1"/>
      <c r="V33" s="1"/>
      <c r="W33" s="1"/>
      <c r="X33" s="1"/>
      <c r="Y33" s="34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3" t="s">
        <v>22</v>
      </c>
      <c r="AO33" s="55">
        <v>64.622641509433961</v>
      </c>
    </row>
    <row r="34" spans="1: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3" t="s">
        <v>28</v>
      </c>
      <c r="AO34" s="56">
        <v>69.73684210526315</v>
      </c>
    </row>
    <row r="35" spans="1: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23" t="s">
        <v>30</v>
      </c>
      <c r="AO35" s="55">
        <v>74.764595103578159</v>
      </c>
    </row>
    <row r="36" spans="1: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3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3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3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</sheetData>
  <sortState ref="AN24:AO35">
    <sortCondition ref="AO33:AO44"/>
  </sortState>
  <mergeCells count="10">
    <mergeCell ref="V4:V6"/>
    <mergeCell ref="A1:V1"/>
    <mergeCell ref="A2:V2"/>
    <mergeCell ref="K4:M4"/>
    <mergeCell ref="B4:D4"/>
    <mergeCell ref="A4:A6"/>
    <mergeCell ref="E4:G4"/>
    <mergeCell ref="H4:J4"/>
    <mergeCell ref="P4:Q4"/>
    <mergeCell ref="T4:U4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2017-07-04T09:00:43Z</cp:lastPrinted>
  <dcterms:modified xsi:type="dcterms:W3CDTF">2017-07-04T09:00:53Z</dcterms:modified>
</cp:coreProperties>
</file>