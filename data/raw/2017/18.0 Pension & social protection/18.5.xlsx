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5" sheetId="5" r:id="rId1"/>
  </sheets>
  <externalReferences>
    <externalReference r:id="rId2"/>
    <externalReference r:id="rId3"/>
  </externalReferences>
  <definedNames>
    <definedName name="_xlnm.Print_Area" localSheetId="0">'18.5'!$A$1:$U$39</definedName>
  </definedNames>
  <calcPr calcId="144525"/>
</workbook>
</file>

<file path=xl/calcChain.xml><?xml version="1.0" encoding="utf-8"?>
<calcChain xmlns="http://schemas.openxmlformats.org/spreadsheetml/2006/main">
  <c r="AZ20" i="5" l="1"/>
  <c r="BA20" i="5"/>
  <c r="AY20" i="5"/>
  <c r="AX20" i="5" l="1"/>
  <c r="O19" i="5"/>
  <c r="K19" i="5"/>
  <c r="G19" i="5"/>
  <c r="B19" i="5"/>
  <c r="O18" i="5"/>
  <c r="K18" i="5"/>
  <c r="G18" i="5"/>
  <c r="B18" i="5"/>
  <c r="O17" i="5"/>
  <c r="K17" i="5"/>
  <c r="G17" i="5"/>
  <c r="B17" i="5"/>
  <c r="O16" i="5"/>
  <c r="K16" i="5"/>
  <c r="G16" i="5"/>
  <c r="B16" i="5"/>
  <c r="O15" i="5"/>
  <c r="K15" i="5"/>
  <c r="G15" i="5"/>
  <c r="B15" i="5"/>
  <c r="O14" i="5"/>
  <c r="K14" i="5"/>
  <c r="G14" i="5"/>
  <c r="B14" i="5"/>
  <c r="O13" i="5"/>
  <c r="K13" i="5"/>
  <c r="G13" i="5"/>
  <c r="B13" i="5"/>
  <c r="O12" i="5"/>
  <c r="K12" i="5"/>
  <c r="G12" i="5"/>
  <c r="B12" i="5"/>
  <c r="O11" i="5"/>
  <c r="K11" i="5"/>
  <c r="G11" i="5"/>
  <c r="B11" i="5"/>
  <c r="O10" i="5"/>
  <c r="K10" i="5"/>
  <c r="G10" i="5"/>
  <c r="B10" i="5"/>
  <c r="O9" i="5"/>
  <c r="K9" i="5"/>
  <c r="G9" i="5"/>
  <c r="B9" i="5"/>
  <c r="O8" i="5"/>
  <c r="K8" i="5"/>
  <c r="G8" i="5"/>
  <c r="B8" i="5"/>
</calcChain>
</file>

<file path=xl/sharedStrings.xml><?xml version="1.0" encoding="utf-8"?>
<sst xmlns="http://schemas.openxmlformats.org/spreadsheetml/2006/main" count="53" uniqueCount="41">
  <si>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</si>
  <si>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</si>
  <si>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</si>
  <si>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</si>
  <si>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</si>
  <si>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</si>
  <si>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</si>
  <si>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</si>
  <si>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</si>
  <si>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</si>
  <si>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</si>
  <si>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</si>
  <si>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</si>
  <si>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</si>
  <si>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</si>
  <si>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</si>
  <si>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</si>
  <si>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</si>
  <si>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</si>
  <si>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</si>
  <si>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</si>
  <si>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</si>
  <si>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</si>
  <si>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</si>
  <si>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</si>
  <si>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</si>
  <si>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</si>
  <si>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</si>
  <si>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</si>
  <si>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</si>
  <si>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</si>
  <si>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t>75 &amp; over</t>
  </si>
  <si>
    <t>65-69 yrs</t>
  </si>
  <si>
    <t>ތާވަލު  18.5 :ރިޓާޔަމަންޓް ޕެންޝަން ލިބޭ މީހުންގެ އަދަދު އަދި ޢުމުރުފުރާތައް، 2015 - 2016</t>
  </si>
  <si>
    <t>TABLE   18.5: NUMBER OF BENEFICIARIES OF RETIREMENT PENSION SCHEME BY AGE, 2015 - 2016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</si>
  <si>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</si>
  <si>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</si>
  <si>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</si>
  <si>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&lt; 65  yrs</t>
  </si>
  <si>
    <t>70-74 yrs</t>
  </si>
  <si>
    <t>Note:  Payment for some MRPS pensioners was processed for two months in November which accounts for the decrease in MRPS pensioners processed in                         December 2016.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</si>
</sst>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12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</borders>
  <cellStyleXfs count="3">
    <xf numFmtId="0" fontId="0" fillId="0" borderId="0"/>
    <xf numFmtId="164" fontId="11" fillId="0" borderId="0"/>
    <xf numFmtId="0" fontId="10" fillId="0" borderId="0"/>
  </cellStyleXfs>
  <cellXfs count="47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/>
    </xf>
    <xf numFmtId="0" fontId="0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right" vertical="center"/>
    </xf>
    <xf numFmtId="0" fontId="6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 applyAlignment="1"/>
    <xf numFmtId="0" fontId="0" fillId="2" borderId="0" xfId="0" applyFont="1" applyFill="1" applyBorder="1" applyAlignment="1">
      <alignment horizontal="center"/>
    </xf>
    <xf numFmtId="14" fontId="0" fillId="2" borderId="0" xfId="0" applyNumberFormat="1" applyFont="1" applyFill="1" applyBorder="1"/>
    <xf numFmtId="0" fontId="0" fillId="2" borderId="0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3" fontId="0" fillId="2" borderId="0" xfId="0" applyNumberFormat="1" applyFont="1" applyFill="1" applyBorder="1" applyAlignment="1">
      <alignment vertical="center" wrapText="1"/>
    </xf>
    <xf numFmtId="3" fontId="0" fillId="2" borderId="10" xfId="0" applyNumberFormat="1" applyFont="1" applyFill="1" applyBorder="1" applyAlignment="1">
      <alignment vertical="center" wrapText="1"/>
    </xf>
    <xf numFmtId="3" fontId="0" fillId="2" borderId="6" xfId="0" applyNumberFormat="1" applyFont="1" applyFill="1" applyBorder="1" applyAlignment="1">
      <alignment vertical="center" wrapText="1"/>
    </xf>
    <xf numFmtId="164" fontId="0" fillId="2" borderId="0" xfId="0" applyNumberFormat="1" applyFont="1" applyFill="1" applyBorder="1" applyAlignment="1">
      <alignment vertical="center" wrapText="1"/>
    </xf>
    <xf numFmtId="164" fontId="0" fillId="4" borderId="0" xfId="0" applyNumberFormat="1" applyFont="1" applyFill="1" applyBorder="1" applyAlignment="1">
      <alignment vertical="center" wrapText="1"/>
    </xf>
    <xf numFmtId="3" fontId="0" fillId="2" borderId="7" xfId="0" applyNumberFormat="1" applyFont="1" applyFill="1" applyBorder="1" applyAlignment="1">
      <alignment vertical="center" wrapText="1"/>
    </xf>
    <xf numFmtId="3" fontId="0" fillId="2" borderId="8" xfId="0" applyNumberFormat="1" applyFont="1" applyFill="1" applyBorder="1" applyAlignment="1">
      <alignment vertical="center" wrapText="1"/>
    </xf>
    <xf numFmtId="3" fontId="0" fillId="2" borderId="9" xfId="0" applyNumberFormat="1" applyFont="1" applyFill="1" applyBorder="1" applyAlignment="1">
      <alignment vertical="center" wrapText="1"/>
    </xf>
    <xf numFmtId="164" fontId="0" fillId="2" borderId="7" xfId="0" applyNumberFormat="1" applyFont="1" applyFill="1" applyBorder="1" applyAlignment="1">
      <alignment vertical="center" wrapText="1"/>
    </xf>
    <xf numFmtId="164" fontId="0" fillId="4" borderId="7" xfId="0" applyNumberFormat="1" applyFont="1" applyFill="1" applyBorder="1" applyAlignment="1">
      <alignment vertical="center" wrapText="1"/>
    </xf>
    <xf numFmtId="0" fontId="6" fillId="2" borderId="0" xfId="0" applyFont="1" applyFill="1" applyBorder="1" applyAlignment="1">
      <alignment wrapText="1"/>
    </xf>
    <xf numFmtId="164" fontId="6" fillId="2" borderId="0" xfId="0" applyNumberFormat="1" applyFont="1" applyFill="1" applyBorder="1"/>
    <xf numFmtId="2" fontId="0" fillId="2" borderId="0" xfId="0" applyNumberFormat="1" applyFont="1" applyFill="1" applyBorder="1" applyAlignment="1">
      <alignment wrapText="1"/>
    </xf>
    <xf numFmtId="164" fontId="0" fillId="2" borderId="10" xfId="0" applyNumberFormat="1" applyFont="1" applyFill="1" applyBorder="1" applyAlignment="1">
      <alignment vertical="center" wrapText="1"/>
    </xf>
    <xf numFmtId="164" fontId="0" fillId="2" borderId="8" xfId="0" applyNumberFormat="1" applyFont="1" applyFill="1" applyBorder="1" applyAlignment="1">
      <alignment vertical="center" wrapText="1"/>
    </xf>
    <xf numFmtId="0" fontId="2" fillId="3" borderId="2" xfId="0" applyFont="1" applyFill="1" applyBorder="1"/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170167886122355"/>
          <c:y val="0.19600135466937602"/>
          <c:w val="0.37867997808685128"/>
          <c:h val="0.78423401913470492"/>
        </c:manualLayout>
      </c:layout>
      <c:doughnutChart>
        <c:varyColors val="1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explosion val="3"/>
          <c:dPt>
            <c:idx val="0"/>
            <c:bubble3D val="0"/>
            <c:spPr>
              <a:solidFill>
                <a:srgbClr val="F8A45E"/>
              </a:solidFill>
            </c:spPr>
          </c:dPt>
          <c:dPt>
            <c:idx val="1"/>
            <c:bubble3D val="0"/>
            <c:spPr>
              <a:solidFill>
                <a:srgbClr val="953735"/>
              </a:solidFill>
            </c:spPr>
          </c:dPt>
          <c:dPt>
            <c:idx val="2"/>
            <c:bubble3D val="0"/>
            <c:spPr>
              <a:solidFill>
                <a:srgbClr val="FAC090"/>
              </a:solidFill>
            </c:spPr>
          </c:dPt>
          <c:dLbls>
            <c:dLbl>
              <c:idx val="0"/>
              <c:layout>
                <c:manualLayout>
                  <c:x val="-1.8626310421233201E-2"/>
                  <c:y val="3.44086021505376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8.278360187214789E-3"/>
                  <c:y val="3.9426067844190946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6.6226881497718312E-2"/>
                  <c:y val="-6.45164676996020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'18.5'!$AY$19:$BA$19</c:f>
              <c:strCache>
                <c:ptCount val="3"/>
                <c:pt idx="0">
                  <c:v>&lt; 65  yrs</c:v>
                </c:pt>
                <c:pt idx="1">
                  <c:v>65-69 yrs</c:v>
                </c:pt>
                <c:pt idx="2">
                  <c:v>70-74 yrs</c:v>
                </c:pt>
              </c:strCache>
            </c:strRef>
          </c:cat>
          <c:val>
            <c:numRef>
              <c:f>'18.5'!$AY$20:$BA$20</c:f>
              <c:numCache>
                <c:formatCode>_(* #,##0_);_(* \(#,##0\);_(* "-"??_);_(@_)</c:formatCode>
                <c:ptCount val="3"/>
                <c:pt idx="0">
                  <c:v>36</c:v>
                </c:pt>
                <c:pt idx="1">
                  <c:v>34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44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201216</xdr:colOff>
      <xdr:row>22</xdr:row>
      <xdr:rowOff>159544</xdr:rowOff>
    </xdr:from>
    <xdr:to>
      <xdr:col>18</xdr:col>
      <xdr:colOff>527447</xdr:colOff>
      <xdr:row>38</xdr:row>
      <xdr:rowOff>64294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333375</xdr:colOff>
      <xdr:row>25</xdr:row>
      <xdr:rowOff>85724</xdr:rowOff>
    </xdr:from>
    <xdr:to>
      <xdr:col>17</xdr:col>
      <xdr:colOff>485775</xdr:colOff>
      <xdr:row>25</xdr:row>
      <xdr:rowOff>85724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781175" y="5848349"/>
          <a:ext cx="44958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0.09818</cdr:x>
      <cdr:y>0.02661</cdr:y>
    </cdr:from>
    <cdr:to>
      <cdr:x>0.92278</cdr:x>
      <cdr:y>0.17984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2456" y="78581"/>
          <a:ext cx="5060156" cy="4524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 rtl="0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18.7: Percentage share of beneficiaries of retirement pension scheme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2016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A41"/>
  <sheetViews>
    <sheetView tabSelected="1" zoomScaleNormal="100" workbookViewId="0">
      <selection activeCell="W20" sqref="W20"/>
    </sheetView>
  </sheetViews>
  <sheetFormatPr defaultColWidth="15.140625" defaultRowHeight="15" customHeight="1" x14ac:dyDescent="0.25"/>
  <cols>
    <col min="1" max="1" width="10.5703125" style="2" customWidth="1"/>
    <col min="2" max="6" width="7.28515625" style="2" hidden="1" customWidth="1"/>
    <col min="7" max="7" width="6.5703125" style="2" hidden="1" customWidth="1"/>
    <col min="8" max="9" width="8.42578125" style="2" hidden="1" customWidth="1"/>
    <col min="10" max="10" width="0.28515625" style="2" customWidth="1"/>
    <col min="11" max="19" width="10.85546875" style="2" customWidth="1"/>
    <col min="20" max="20" width="13.42578125" style="2" customWidth="1"/>
    <col min="21" max="21" width="3.7109375" style="2" customWidth="1"/>
    <col min="22" max="44" width="8" style="2" customWidth="1"/>
    <col min="45" max="45" width="12.28515625" style="2" customWidth="1"/>
    <col min="46" max="53" width="8" style="2" customWidth="1"/>
    <col min="54" max="16384" width="15.140625" style="2"/>
  </cols>
  <sheetData>
    <row r="1" spans="1:53" ht="4.5" customHeight="1" x14ac:dyDescent="0.25">
      <c r="A1" s="1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1" customHeight="1" x14ac:dyDescent="0.55000000000000004">
      <c r="A2" s="35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5.75" customHeight="1" x14ac:dyDescent="0.25">
      <c r="A3" s="42" t="s">
        <v>34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9" customHeight="1" x14ac:dyDescent="0.25">
      <c r="A4" s="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8" customHeight="1" x14ac:dyDescent="0.55000000000000004">
      <c r="A5" s="39" t="s">
        <v>3</v>
      </c>
      <c r="B5" s="43" t="s">
        <v>35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14"/>
      <c r="T5" s="41" t="s">
        <v>4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5" customHeight="1" x14ac:dyDescent="0.25">
      <c r="A6" s="36"/>
      <c r="B6" s="45">
        <v>2013</v>
      </c>
      <c r="C6" s="37"/>
      <c r="D6" s="37"/>
      <c r="E6" s="37"/>
      <c r="F6" s="38"/>
      <c r="G6" s="46">
        <v>2014</v>
      </c>
      <c r="H6" s="37"/>
      <c r="I6" s="37"/>
      <c r="J6" s="37"/>
      <c r="K6" s="45">
        <v>2015</v>
      </c>
      <c r="L6" s="37"/>
      <c r="M6" s="37"/>
      <c r="N6" s="38"/>
      <c r="O6" s="46">
        <v>2016</v>
      </c>
      <c r="P6" s="37"/>
      <c r="Q6" s="37"/>
      <c r="R6" s="37"/>
      <c r="S6" s="15"/>
      <c r="T6" s="36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5" customHeight="1" x14ac:dyDescent="0.25">
      <c r="A7" s="40"/>
      <c r="B7" s="16" t="s">
        <v>0</v>
      </c>
      <c r="C7" s="16" t="s">
        <v>36</v>
      </c>
      <c r="D7" s="16" t="s">
        <v>29</v>
      </c>
      <c r="E7" s="16" t="s">
        <v>30</v>
      </c>
      <c r="F7" s="17" t="s">
        <v>31</v>
      </c>
      <c r="G7" s="18" t="s">
        <v>0</v>
      </c>
      <c r="H7" s="16" t="s">
        <v>36</v>
      </c>
      <c r="I7" s="16" t="s">
        <v>29</v>
      </c>
      <c r="J7" s="16" t="s">
        <v>30</v>
      </c>
      <c r="K7" s="16" t="s">
        <v>0</v>
      </c>
      <c r="L7" s="16" t="s">
        <v>36</v>
      </c>
      <c r="M7" s="16" t="s">
        <v>29</v>
      </c>
      <c r="N7" s="17" t="s">
        <v>30</v>
      </c>
      <c r="O7" s="18" t="s">
        <v>0</v>
      </c>
      <c r="P7" s="16" t="s">
        <v>36</v>
      </c>
      <c r="Q7" s="16" t="s">
        <v>29</v>
      </c>
      <c r="R7" s="16" t="s">
        <v>30</v>
      </c>
      <c r="S7" s="16" t="s">
        <v>37</v>
      </c>
      <c r="T7" s="40"/>
      <c r="U7" s="1"/>
      <c r="V7" s="1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21" customHeight="1" x14ac:dyDescent="0.25">
      <c r="A8" s="3" t="s">
        <v>5</v>
      </c>
      <c r="B8" s="19">
        <f t="shared" ref="B8:B19" si="0">SUM(C8:F8)</f>
        <v>339</v>
      </c>
      <c r="C8" s="19">
        <v>19</v>
      </c>
      <c r="D8" s="19">
        <v>320</v>
      </c>
      <c r="E8" s="19">
        <v>0</v>
      </c>
      <c r="F8" s="20">
        <v>0</v>
      </c>
      <c r="G8" s="21">
        <f t="shared" ref="G8:G19" si="1">SUM(H8:J8)</f>
        <v>583</v>
      </c>
      <c r="H8" s="19">
        <v>54</v>
      </c>
      <c r="I8" s="19">
        <v>529</v>
      </c>
      <c r="J8" s="19">
        <v>0</v>
      </c>
      <c r="K8" s="19">
        <f t="shared" ref="K8:K19" si="2">SUM(L8:N8)</f>
        <v>700</v>
      </c>
      <c r="L8" s="22">
        <v>34</v>
      </c>
      <c r="M8" s="22">
        <v>577</v>
      </c>
      <c r="N8" s="32">
        <v>89</v>
      </c>
      <c r="O8" s="21">
        <f t="shared" ref="O8:O19" si="3">SUM(P8:R8)</f>
        <v>990</v>
      </c>
      <c r="P8" s="23">
        <v>39</v>
      </c>
      <c r="Q8" s="23">
        <v>781</v>
      </c>
      <c r="R8" s="23">
        <v>170</v>
      </c>
      <c r="S8" s="23">
        <v>0</v>
      </c>
      <c r="T8" s="4" t="s">
        <v>6</v>
      </c>
      <c r="U8" s="1"/>
      <c r="V8" s="1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21" customHeight="1" x14ac:dyDescent="0.25">
      <c r="A9" s="3" t="s">
        <v>7</v>
      </c>
      <c r="B9" s="19">
        <f t="shared" si="0"/>
        <v>355</v>
      </c>
      <c r="C9" s="19">
        <v>29</v>
      </c>
      <c r="D9" s="19">
        <v>326</v>
      </c>
      <c r="E9" s="19">
        <v>0</v>
      </c>
      <c r="F9" s="20">
        <v>0</v>
      </c>
      <c r="G9" s="21">
        <f t="shared" si="1"/>
        <v>551</v>
      </c>
      <c r="H9" s="19">
        <v>28</v>
      </c>
      <c r="I9" s="19">
        <v>523</v>
      </c>
      <c r="J9" s="19">
        <v>0</v>
      </c>
      <c r="K9" s="19">
        <f t="shared" si="2"/>
        <v>794</v>
      </c>
      <c r="L9" s="22">
        <v>91</v>
      </c>
      <c r="M9" s="22">
        <v>612</v>
      </c>
      <c r="N9" s="32">
        <v>91</v>
      </c>
      <c r="O9" s="21">
        <f t="shared" si="3"/>
        <v>992</v>
      </c>
      <c r="P9" s="23">
        <v>38</v>
      </c>
      <c r="Q9" s="23">
        <v>787</v>
      </c>
      <c r="R9" s="23">
        <v>167</v>
      </c>
      <c r="S9" s="23">
        <v>0</v>
      </c>
      <c r="T9" s="4" t="s">
        <v>8</v>
      </c>
      <c r="U9" s="1"/>
      <c r="V9" s="1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21" customHeight="1" x14ac:dyDescent="0.25">
      <c r="A10" s="3" t="s">
        <v>9</v>
      </c>
      <c r="B10" s="19">
        <f t="shared" si="0"/>
        <v>339</v>
      </c>
      <c r="C10" s="19">
        <v>16</v>
      </c>
      <c r="D10" s="19">
        <v>323</v>
      </c>
      <c r="E10" s="19">
        <v>0</v>
      </c>
      <c r="F10" s="20">
        <v>0</v>
      </c>
      <c r="G10" s="21">
        <f t="shared" si="1"/>
        <v>561</v>
      </c>
      <c r="H10" s="19">
        <v>23</v>
      </c>
      <c r="I10" s="19">
        <v>538</v>
      </c>
      <c r="J10" s="19">
        <v>0</v>
      </c>
      <c r="K10" s="19">
        <f t="shared" si="2"/>
        <v>866</v>
      </c>
      <c r="L10" s="22">
        <v>27</v>
      </c>
      <c r="M10" s="22">
        <v>739</v>
      </c>
      <c r="N10" s="32">
        <v>100</v>
      </c>
      <c r="O10" s="21">
        <f t="shared" si="3"/>
        <v>996</v>
      </c>
      <c r="P10" s="23">
        <v>24</v>
      </c>
      <c r="Q10" s="23">
        <v>803</v>
      </c>
      <c r="R10" s="23">
        <v>169</v>
      </c>
      <c r="S10" s="23">
        <v>0</v>
      </c>
      <c r="T10" s="4" t="s">
        <v>10</v>
      </c>
      <c r="U10" s="1"/>
      <c r="V10" s="1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21" customHeight="1" x14ac:dyDescent="0.25">
      <c r="A11" s="3" t="s">
        <v>11</v>
      </c>
      <c r="B11" s="19">
        <f t="shared" si="0"/>
        <v>482</v>
      </c>
      <c r="C11" s="19">
        <v>14</v>
      </c>
      <c r="D11" s="19">
        <v>466</v>
      </c>
      <c r="E11" s="19">
        <v>1</v>
      </c>
      <c r="F11" s="20">
        <v>1</v>
      </c>
      <c r="G11" s="21">
        <f t="shared" si="1"/>
        <v>561</v>
      </c>
      <c r="H11" s="19">
        <v>23</v>
      </c>
      <c r="I11" s="19">
        <v>538</v>
      </c>
      <c r="J11" s="19">
        <v>0</v>
      </c>
      <c r="K11" s="19">
        <f t="shared" si="2"/>
        <v>793</v>
      </c>
      <c r="L11" s="22">
        <v>40</v>
      </c>
      <c r="M11" s="22">
        <v>654</v>
      </c>
      <c r="N11" s="32">
        <v>99</v>
      </c>
      <c r="O11" s="21">
        <f t="shared" si="3"/>
        <v>1012</v>
      </c>
      <c r="P11" s="23">
        <v>30</v>
      </c>
      <c r="Q11" s="23">
        <v>808</v>
      </c>
      <c r="R11" s="23">
        <v>174</v>
      </c>
      <c r="S11" s="23">
        <v>0</v>
      </c>
      <c r="T11" s="4" t="s">
        <v>12</v>
      </c>
      <c r="U11" s="1"/>
      <c r="V11" s="1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21" customHeight="1" x14ac:dyDescent="0.25">
      <c r="A12" s="3" t="s">
        <v>13</v>
      </c>
      <c r="B12" s="19">
        <f t="shared" si="0"/>
        <v>489</v>
      </c>
      <c r="C12" s="19">
        <v>5</v>
      </c>
      <c r="D12" s="19">
        <v>482</v>
      </c>
      <c r="E12" s="19">
        <v>1</v>
      </c>
      <c r="F12" s="20">
        <v>1</v>
      </c>
      <c r="G12" s="21">
        <f t="shared" si="1"/>
        <v>578</v>
      </c>
      <c r="H12" s="19">
        <v>38</v>
      </c>
      <c r="I12" s="19">
        <v>536</v>
      </c>
      <c r="J12" s="19">
        <v>4</v>
      </c>
      <c r="K12" s="19">
        <f t="shared" si="2"/>
        <v>785</v>
      </c>
      <c r="L12" s="22">
        <v>27</v>
      </c>
      <c r="M12" s="22">
        <v>662</v>
      </c>
      <c r="N12" s="32">
        <v>96</v>
      </c>
      <c r="O12" s="21">
        <f t="shared" si="3"/>
        <v>976</v>
      </c>
      <c r="P12" s="23">
        <v>9</v>
      </c>
      <c r="Q12" s="23">
        <v>793</v>
      </c>
      <c r="R12" s="23">
        <v>174</v>
      </c>
      <c r="S12" s="23">
        <v>0</v>
      </c>
      <c r="T12" s="4" t="s">
        <v>14</v>
      </c>
      <c r="U12" s="1"/>
      <c r="V12" s="1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21" customHeight="1" x14ac:dyDescent="0.25">
      <c r="A13" s="3" t="s">
        <v>15</v>
      </c>
      <c r="B13" s="19">
        <f t="shared" si="0"/>
        <v>408</v>
      </c>
      <c r="C13" s="19">
        <v>28</v>
      </c>
      <c r="D13" s="19">
        <v>379</v>
      </c>
      <c r="E13" s="19">
        <v>1</v>
      </c>
      <c r="F13" s="20">
        <v>0</v>
      </c>
      <c r="G13" s="21">
        <f t="shared" si="1"/>
        <v>569</v>
      </c>
      <c r="H13" s="19">
        <v>16</v>
      </c>
      <c r="I13" s="19">
        <v>548</v>
      </c>
      <c r="J13" s="19">
        <v>5</v>
      </c>
      <c r="K13" s="19">
        <f t="shared" si="2"/>
        <v>776</v>
      </c>
      <c r="L13" s="22">
        <v>20</v>
      </c>
      <c r="M13" s="22">
        <v>654</v>
      </c>
      <c r="N13" s="32">
        <v>102</v>
      </c>
      <c r="O13" s="21">
        <f t="shared" si="3"/>
        <v>1002</v>
      </c>
      <c r="P13" s="23">
        <v>29</v>
      </c>
      <c r="Q13" s="23">
        <v>797</v>
      </c>
      <c r="R13" s="23">
        <v>176</v>
      </c>
      <c r="S13" s="23">
        <v>0</v>
      </c>
      <c r="T13" s="4" t="s">
        <v>16</v>
      </c>
      <c r="U13" s="1"/>
      <c r="V13" s="1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21" customHeight="1" x14ac:dyDescent="0.25">
      <c r="A14" s="3" t="s">
        <v>17</v>
      </c>
      <c r="B14" s="19">
        <f t="shared" si="0"/>
        <v>433</v>
      </c>
      <c r="C14" s="19">
        <v>14</v>
      </c>
      <c r="D14" s="19">
        <v>418</v>
      </c>
      <c r="E14" s="19">
        <v>1</v>
      </c>
      <c r="F14" s="20">
        <v>0</v>
      </c>
      <c r="G14" s="21">
        <f t="shared" si="1"/>
        <v>593</v>
      </c>
      <c r="H14" s="19">
        <v>38</v>
      </c>
      <c r="I14" s="19">
        <v>546</v>
      </c>
      <c r="J14" s="19">
        <v>9</v>
      </c>
      <c r="K14" s="19">
        <f t="shared" si="2"/>
        <v>788</v>
      </c>
      <c r="L14" s="22">
        <v>18</v>
      </c>
      <c r="M14" s="22">
        <v>669</v>
      </c>
      <c r="N14" s="32">
        <v>101</v>
      </c>
      <c r="O14" s="21">
        <f t="shared" si="3"/>
        <v>962</v>
      </c>
      <c r="P14" s="23">
        <v>5</v>
      </c>
      <c r="Q14" s="23">
        <v>780</v>
      </c>
      <c r="R14" s="23">
        <v>177</v>
      </c>
      <c r="S14" s="23">
        <v>0</v>
      </c>
      <c r="T14" s="4" t="s">
        <v>18</v>
      </c>
      <c r="U14" s="1"/>
      <c r="V14" s="1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21" customHeight="1" x14ac:dyDescent="0.25">
      <c r="A15" s="3" t="s">
        <v>19</v>
      </c>
      <c r="B15" s="19">
        <f t="shared" si="0"/>
        <v>578</v>
      </c>
      <c r="C15" s="19">
        <v>150</v>
      </c>
      <c r="D15" s="19">
        <v>427</v>
      </c>
      <c r="E15" s="19">
        <v>1</v>
      </c>
      <c r="F15" s="20">
        <v>0</v>
      </c>
      <c r="G15" s="21">
        <f t="shared" si="1"/>
        <v>619</v>
      </c>
      <c r="H15" s="19">
        <v>55</v>
      </c>
      <c r="I15" s="19">
        <v>553</v>
      </c>
      <c r="J15" s="19">
        <v>11</v>
      </c>
      <c r="K15" s="19">
        <f t="shared" si="2"/>
        <v>808</v>
      </c>
      <c r="L15" s="22">
        <v>19</v>
      </c>
      <c r="M15" s="22">
        <v>686</v>
      </c>
      <c r="N15" s="32">
        <v>103</v>
      </c>
      <c r="O15" s="21">
        <f t="shared" si="3"/>
        <v>972</v>
      </c>
      <c r="P15" s="23">
        <v>6</v>
      </c>
      <c r="Q15" s="23">
        <v>768</v>
      </c>
      <c r="R15" s="23">
        <v>198</v>
      </c>
      <c r="S15" s="23">
        <v>0</v>
      </c>
      <c r="T15" s="4" t="s">
        <v>20</v>
      </c>
      <c r="U15" s="1"/>
      <c r="V15" s="1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21" customHeight="1" x14ac:dyDescent="0.25">
      <c r="A16" s="3" t="s">
        <v>21</v>
      </c>
      <c r="B16" s="19">
        <f t="shared" si="0"/>
        <v>469</v>
      </c>
      <c r="C16" s="19">
        <v>59</v>
      </c>
      <c r="D16" s="19">
        <v>409</v>
      </c>
      <c r="E16" s="19">
        <v>1</v>
      </c>
      <c r="F16" s="20">
        <v>0</v>
      </c>
      <c r="G16" s="21">
        <f t="shared" si="1"/>
        <v>585</v>
      </c>
      <c r="H16" s="19">
        <v>24</v>
      </c>
      <c r="I16" s="19">
        <v>549</v>
      </c>
      <c r="J16" s="19">
        <v>12</v>
      </c>
      <c r="K16" s="19">
        <f t="shared" si="2"/>
        <v>830</v>
      </c>
      <c r="L16" s="22">
        <v>25</v>
      </c>
      <c r="M16" s="22">
        <v>662</v>
      </c>
      <c r="N16" s="32">
        <v>143</v>
      </c>
      <c r="O16" s="21">
        <f t="shared" si="3"/>
        <v>1003</v>
      </c>
      <c r="P16" s="23">
        <v>41</v>
      </c>
      <c r="Q16" s="23">
        <v>765</v>
      </c>
      <c r="R16" s="23">
        <v>197</v>
      </c>
      <c r="S16" s="23">
        <v>0</v>
      </c>
      <c r="T16" s="4" t="s">
        <v>22</v>
      </c>
      <c r="U16" s="1"/>
      <c r="V16" s="1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21" customHeight="1" x14ac:dyDescent="0.25">
      <c r="A17" s="3" t="s">
        <v>23</v>
      </c>
      <c r="B17" s="19">
        <f t="shared" si="0"/>
        <v>438</v>
      </c>
      <c r="C17" s="19">
        <v>28</v>
      </c>
      <c r="D17" s="19">
        <v>409</v>
      </c>
      <c r="E17" s="19">
        <v>1</v>
      </c>
      <c r="F17" s="20">
        <v>0</v>
      </c>
      <c r="G17" s="21">
        <f t="shared" si="1"/>
        <v>650</v>
      </c>
      <c r="H17" s="19">
        <v>41</v>
      </c>
      <c r="I17" s="19">
        <v>594</v>
      </c>
      <c r="J17" s="19">
        <v>15</v>
      </c>
      <c r="K17" s="19">
        <f t="shared" si="2"/>
        <v>820</v>
      </c>
      <c r="L17" s="22">
        <v>11</v>
      </c>
      <c r="M17" s="22">
        <v>663</v>
      </c>
      <c r="N17" s="32">
        <v>146</v>
      </c>
      <c r="O17" s="21">
        <f t="shared" si="3"/>
        <v>1008</v>
      </c>
      <c r="P17" s="23">
        <v>23</v>
      </c>
      <c r="Q17" s="23">
        <v>783</v>
      </c>
      <c r="R17" s="23">
        <v>202</v>
      </c>
      <c r="S17" s="23">
        <v>1</v>
      </c>
      <c r="T17" s="4" t="s">
        <v>24</v>
      </c>
      <c r="U17" s="1"/>
      <c r="V17" s="1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21" customHeight="1" x14ac:dyDescent="0.55000000000000004">
      <c r="A18" s="3" t="s">
        <v>25</v>
      </c>
      <c r="B18" s="19">
        <f t="shared" si="0"/>
        <v>462</v>
      </c>
      <c r="C18" s="19">
        <v>38</v>
      </c>
      <c r="D18" s="19">
        <v>423</v>
      </c>
      <c r="E18" s="19">
        <v>1</v>
      </c>
      <c r="F18" s="20">
        <v>0</v>
      </c>
      <c r="G18" s="21">
        <f t="shared" si="1"/>
        <v>696</v>
      </c>
      <c r="H18" s="19">
        <v>45</v>
      </c>
      <c r="I18" s="19">
        <v>629</v>
      </c>
      <c r="J18" s="19">
        <v>22</v>
      </c>
      <c r="K18" s="19">
        <f t="shared" si="2"/>
        <v>998</v>
      </c>
      <c r="L18" s="22">
        <v>31</v>
      </c>
      <c r="M18" s="22">
        <v>741</v>
      </c>
      <c r="N18" s="32">
        <v>226</v>
      </c>
      <c r="O18" s="21">
        <f t="shared" si="3"/>
        <v>1003</v>
      </c>
      <c r="P18" s="23">
        <v>31</v>
      </c>
      <c r="Q18" s="23">
        <v>765</v>
      </c>
      <c r="R18" s="23">
        <v>207</v>
      </c>
      <c r="S18" s="23">
        <v>0</v>
      </c>
      <c r="T18" s="5" t="s">
        <v>26</v>
      </c>
      <c r="U18" s="1"/>
      <c r="V18" s="1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21" customHeight="1" x14ac:dyDescent="0.25">
      <c r="A19" s="6" t="s">
        <v>27</v>
      </c>
      <c r="B19" s="24">
        <f t="shared" si="0"/>
        <v>425</v>
      </c>
      <c r="C19" s="24">
        <v>12</v>
      </c>
      <c r="D19" s="24">
        <v>413</v>
      </c>
      <c r="E19" s="24">
        <v>0</v>
      </c>
      <c r="F19" s="25">
        <v>0</v>
      </c>
      <c r="G19" s="26">
        <f t="shared" si="1"/>
        <v>646</v>
      </c>
      <c r="H19" s="24">
        <v>5</v>
      </c>
      <c r="I19" s="24">
        <v>616</v>
      </c>
      <c r="J19" s="24">
        <v>25</v>
      </c>
      <c r="K19" s="24">
        <f t="shared" si="2"/>
        <v>895</v>
      </c>
      <c r="L19" s="27">
        <v>18</v>
      </c>
      <c r="M19" s="27">
        <v>708</v>
      </c>
      <c r="N19" s="33">
        <v>169</v>
      </c>
      <c r="O19" s="26">
        <f t="shared" si="3"/>
        <v>72</v>
      </c>
      <c r="P19" s="28">
        <v>36</v>
      </c>
      <c r="Q19" s="28">
        <v>34</v>
      </c>
      <c r="R19" s="28">
        <v>2</v>
      </c>
      <c r="S19" s="28">
        <v>0</v>
      </c>
      <c r="T19" s="7" t="s">
        <v>28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6" t="s">
        <v>38</v>
      </c>
      <c r="AZ19" s="16" t="s">
        <v>32</v>
      </c>
      <c r="BA19" s="16" t="s">
        <v>39</v>
      </c>
    </row>
    <row r="20" spans="1:53" ht="25.5" customHeight="1" x14ac:dyDescent="0.25">
      <c r="A20" s="44" t="s">
        <v>40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30">
        <f>SUM(AY20:BA20)</f>
        <v>72</v>
      </c>
      <c r="AY20" s="27">
        <f>P19</f>
        <v>36</v>
      </c>
      <c r="AZ20" s="27">
        <f t="shared" ref="AZ20:BA20" si="4">Q19</f>
        <v>34</v>
      </c>
      <c r="BA20" s="27">
        <f t="shared" si="4"/>
        <v>2</v>
      </c>
    </row>
    <row r="21" spans="1:53" ht="18" x14ac:dyDescent="0.45">
      <c r="A21" s="9" t="s">
        <v>1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10" t="s">
        <v>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3" spans="1:53" x14ac:dyDescent="0.25">
      <c r="A23" s="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31"/>
      <c r="M27" s="13"/>
      <c r="N27" s="13"/>
      <c r="O27" s="13"/>
      <c r="P27" s="31"/>
      <c r="Q27" s="13"/>
      <c r="R27" s="13"/>
      <c r="S27" s="13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</sheetData>
  <mergeCells count="10">
    <mergeCell ref="A20:T20"/>
    <mergeCell ref="B6:F6"/>
    <mergeCell ref="B5:R5"/>
    <mergeCell ref="A2:T2"/>
    <mergeCell ref="A3:T3"/>
    <mergeCell ref="O6:R6"/>
    <mergeCell ref="T5:T7"/>
    <mergeCell ref="A5:A7"/>
    <mergeCell ref="G6:J6"/>
    <mergeCell ref="K6:N6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2017-07-04T07:15:54Z</cp:lastPrinted>
  <dcterms:modified xsi:type="dcterms:W3CDTF">2017-07-04T07:15:57Z</dcterms:modified>
</cp:coreProperties>
</file>