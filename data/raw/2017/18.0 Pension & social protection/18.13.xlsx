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702"/>
  </bookViews>
  <sheets>
    <sheet name="18.13" sheetId="13" r:id="rId1"/>
  </sheets>
  <externalReferences>
    <externalReference r:id="rId2"/>
    <externalReference r:id="rId3"/>
  </externalReferences>
  <definedNames>
    <definedName name="_xlnm.Print_Area" localSheetId="0">'18.13'!$A$1:$I$52</definedName>
  </definedNames>
  <calcPr calcId="144525"/>
</workbook>
</file>

<file path=xl/calcChain.xml><?xml version="1.0" encoding="utf-8"?>
<calcChain xmlns="http://schemas.openxmlformats.org/spreadsheetml/2006/main">
  <c r="G31" i="13" l="1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F6" i="13"/>
  <c r="E6" i="13"/>
  <c r="D6" i="13"/>
  <c r="C6" i="13"/>
  <c r="B6" i="13"/>
  <c r="H11" i="13" l="1"/>
  <c r="G6" i="13"/>
  <c r="H19" i="13" s="1"/>
  <c r="H15" i="13" l="1"/>
  <c r="H7" i="13"/>
  <c r="H9" i="13"/>
  <c r="H8" i="13"/>
  <c r="H12" i="13"/>
  <c r="H29" i="13"/>
  <c r="H16" i="13"/>
  <c r="H21" i="13"/>
  <c r="H17" i="13"/>
  <c r="H31" i="13"/>
  <c r="H30" i="13"/>
  <c r="H26" i="13"/>
  <c r="H22" i="13"/>
  <c r="H18" i="13"/>
  <c r="H6" i="13"/>
  <c r="H28" i="13"/>
  <c r="H24" i="13"/>
  <c r="H14" i="13"/>
  <c r="H10" i="13"/>
  <c r="H25" i="13"/>
  <c r="H13" i="13"/>
  <c r="H20" i="13"/>
  <c r="H27" i="13"/>
  <c r="H23" i="13"/>
</calcChain>
</file>

<file path=xl/sharedStrings.xml><?xml version="1.0" encoding="utf-8"?>
<sst xmlns="http://schemas.openxmlformats.org/spreadsheetml/2006/main" count="66" uniqueCount="65">
  <si>
    <t>% share</t>
  </si>
  <si>
    <t>ޖުމްލަ</t>
  </si>
  <si>
    <t>Total</t>
  </si>
  <si>
    <t>Source: Maldives Pension Administration</t>
  </si>
  <si>
    <t>މަޢުލޫމާތު ދެއްވި ފަރާތް: މޯލްޑިވްސް ޕެންޝަން އެޑްމިނިސްޓްރޭޝަން</t>
  </si>
  <si>
    <t>Sector</t>
  </si>
  <si>
    <t xml:space="preserve">މަސައްކަތްކުރާ ތަނުގެ ދާއިރާ </t>
  </si>
  <si>
    <t>0-9</t>
  </si>
  <si>
    <t>10-49</t>
  </si>
  <si>
    <t>50-99</t>
  </si>
  <si>
    <t>100-299</t>
  </si>
  <si>
    <t>&gt;300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</si>
  <si>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</si>
  <si>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</si>
  <si>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</si>
  <si>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</si>
  <si>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</si>
  <si>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</si>
  <si>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</si>
  <si>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</si>
  <si>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</si>
  <si>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</si>
  <si>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</si>
  <si>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</si>
  <si>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</si>
  <si>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</si>
  <si>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</si>
  <si>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</si>
  <si>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</si>
  <si>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</si>
  <si>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</si>
  <si>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</si>
  <si>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</si>
  <si>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</si>
  <si>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</si>
  <si>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</si>
  <si>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 xml:space="preserve">Housing Development 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</si>
  <si>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</si>
  <si>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</si>
  <si>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</si>
  <si>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</si>
  <si>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</si>
  <si>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</si>
  <si>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</si>
  <si>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</si>
  <si>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</si>
  <si>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</si>
  <si>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</si>
  <si>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</si>
  <si>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</si>
  <si>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</si>
  <si>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</si>
  <si>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</si>
  <si>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</si>
  <si>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</si>
  <si>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</si>
  <si>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</si>
  <si>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</si>
  <si>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</si>
  <si>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</si>
  <si>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>Others</t>
  </si>
  <si>
    <t>އެހެނިހެން</t>
  </si>
  <si>
    <t>ތާވަލު  18.13 : އެކި ދާއިރާތަކުން ރިޓާޔަމަންޓް ޕެންޝަން ސްކީމްގައި ރެޖިސްޓަރކޮށްފައިވާ މުވައްޒަފުންގެ ޢަދަދު، ތަނުގެމުވައްޒަފުންގެ ގިންތިން، 2016</t>
  </si>
  <si>
    <t>TABLE   18.13: EMPLOYEES  REGISTERED IN THE RETIREMENT PENSION SCHEME, BY EMPLOYMENT SIZE, END  2016</t>
  </si>
  <si>
    <t>Employment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</si>
</sst>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??_);_(@_)"/>
    <numFmt numFmtId="165" formatCode="0.0"/>
  </numFmts>
  <fonts count="11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sz val="9"/>
      <color rgb="FF000000"/>
      <name val="Faruma"/>
    </font>
    <font>
      <b/>
      <sz val="12"/>
      <color rgb="FF000000"/>
      <name val="Consolas"/>
      <family val="3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0" fillId="0" borderId="0"/>
    <xf numFmtId="0" fontId="9" fillId="0" borderId="0"/>
  </cellStyleXfs>
  <cellXfs count="38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3" fillId="2" borderId="0" xfId="0" applyFont="1" applyFill="1" applyBorder="1"/>
    <xf numFmtId="0" fontId="1" fillId="2" borderId="0" xfId="0" applyFont="1" applyFill="1" applyBorder="1" applyAlignment="1"/>
    <xf numFmtId="0" fontId="4" fillId="2" borderId="0" xfId="0" applyFont="1" applyFill="1" applyBorder="1" applyAlignment="1"/>
    <xf numFmtId="0" fontId="4" fillId="2" borderId="3" xfId="0" applyFont="1" applyFill="1" applyBorder="1" applyAlignment="1"/>
    <xf numFmtId="0" fontId="0" fillId="2" borderId="0" xfId="0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horizontal="right" vertical="center"/>
    </xf>
    <xf numFmtId="3" fontId="0" fillId="4" borderId="0" xfId="0" applyNumberFormat="1" applyFont="1" applyFill="1" applyBorder="1" applyAlignment="1">
      <alignment horizontal="right" vertical="center"/>
    </xf>
    <xf numFmtId="0" fontId="0" fillId="2" borderId="3" xfId="0" applyFont="1" applyFill="1" applyBorder="1" applyAlignment="1">
      <alignment horizontal="left" vertical="center"/>
    </xf>
    <xf numFmtId="3" fontId="0" fillId="2" borderId="3" xfId="0" applyNumberFormat="1" applyFont="1" applyFill="1" applyBorder="1" applyAlignment="1">
      <alignment horizontal="right" vertical="center"/>
    </xf>
    <xf numFmtId="3" fontId="0" fillId="4" borderId="3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/>
    <xf numFmtId="0" fontId="5" fillId="2" borderId="0" xfId="0" applyFont="1" applyFill="1" applyBorder="1"/>
    <xf numFmtId="0" fontId="6" fillId="2" borderId="0" xfId="0" applyFont="1" applyFill="1" applyBorder="1"/>
    <xf numFmtId="3" fontId="3" fillId="2" borderId="1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left" vertical="center" wrapText="1"/>
    </xf>
    <xf numFmtId="165" fontId="0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9" fontId="3" fillId="2" borderId="3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right" vertical="center"/>
    </xf>
    <xf numFmtId="3" fontId="0" fillId="4" borderId="0" xfId="0" applyNumberFormat="1" applyFont="1" applyFill="1" applyBorder="1" applyAlignment="1">
      <alignment horizontal="right" vertical="center" wrapText="1"/>
    </xf>
    <xf numFmtId="165" fontId="0" fillId="2" borderId="3" xfId="0" applyNumberFormat="1" applyFont="1" applyFill="1" applyBorder="1" applyAlignment="1">
      <alignment horizontal="right" vertical="center"/>
    </xf>
    <xf numFmtId="49" fontId="0" fillId="2" borderId="0" xfId="0" applyNumberFormat="1" applyFont="1" applyFill="1" applyBorder="1"/>
    <xf numFmtId="165" fontId="3" fillId="2" borderId="1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center" vertical="center" readingOrder="1"/>
    </xf>
    <xf numFmtId="0" fontId="3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2" fillId="3" borderId="0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2" fillId="3" borderId="3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1052879008314961"/>
          <c:y val="0.25663307086614173"/>
          <c:w val="0.86731615738394652"/>
          <c:h val="0.57309384153067822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F8A45E"/>
            </a:solidFill>
          </c:spPr>
          <c:invertIfNegative val="1"/>
          <c:cat>
            <c:strRef>
              <c:f>'18.13'!$B$5:$F$5</c:f>
              <c:strCache>
                <c:ptCount val="5"/>
                <c:pt idx="0">
                  <c:v>0-9</c:v>
                </c:pt>
                <c:pt idx="1">
                  <c:v>10-49</c:v>
                </c:pt>
                <c:pt idx="2">
                  <c:v>50-99</c:v>
                </c:pt>
                <c:pt idx="3">
                  <c:v>100-299</c:v>
                </c:pt>
                <c:pt idx="4">
                  <c:v>&gt;300</c:v>
                </c:pt>
              </c:strCache>
            </c:strRef>
          </c:cat>
          <c:val>
            <c:numRef>
              <c:f>'18.13'!$B$6:$F$6</c:f>
              <c:numCache>
                <c:formatCode>#,##0</c:formatCode>
                <c:ptCount val="5"/>
                <c:pt idx="0">
                  <c:v>3225</c:v>
                </c:pt>
                <c:pt idx="1">
                  <c:v>12151</c:v>
                </c:pt>
                <c:pt idx="2">
                  <c:v>10021</c:v>
                </c:pt>
                <c:pt idx="3">
                  <c:v>23013</c:v>
                </c:pt>
                <c:pt idx="4">
                  <c:v>34510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635904"/>
        <c:axId val="96699520"/>
      </c:barChart>
      <c:catAx>
        <c:axId val="96635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/>
                </a:pPr>
                <a:r>
                  <a:rPr lang="en-US"/>
                  <a:t>employment size</a:t>
                </a:r>
              </a:p>
            </c:rich>
          </c:tx>
          <c:layout>
            <c:manualLayout>
              <c:xMode val="edge"/>
              <c:yMode val="edge"/>
              <c:x val="0.45218234630623705"/>
              <c:y val="0.91478740157480321"/>
            </c:manualLayout>
          </c:layout>
          <c:overlay val="0"/>
        </c:title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96699520"/>
        <c:crosses val="autoZero"/>
        <c:auto val="1"/>
        <c:lblAlgn val="ctr"/>
        <c:lblOffset val="100"/>
        <c:noMultiLvlLbl val="1"/>
      </c:catAx>
      <c:valAx>
        <c:axId val="96699520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5985769132557434E-2"/>
              <c:y val="0.4025732283464567"/>
            </c:manualLayout>
          </c:layout>
          <c:overlay val="0"/>
        </c:title>
        <c:numFmt formatCode="#,##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96635904"/>
        <c:crosses val="autoZero"/>
        <c:crossBetween val="between"/>
      </c:valAx>
      <c:spPr>
        <a:solidFill>
          <a:srgbClr val="FFFFFF"/>
        </a:solidFill>
        <a:ln>
          <a:solidFill>
            <a:schemeClr val="bg1">
              <a:lumMod val="75000"/>
            </a:schemeClr>
          </a:solidFill>
        </a:ln>
      </c:spPr>
    </c:plotArea>
    <c:plotVisOnly val="1"/>
    <c:dispBlanksAs val="zero"/>
    <c:showDLblsOverMax val="1"/>
  </c:chart>
  <c:spPr>
    <a:solidFill>
      <a:schemeClr val="bg1"/>
    </a:solidFill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933451</xdr:colOff>
      <xdr:row>32</xdr:row>
      <xdr:rowOff>161924</xdr:rowOff>
    </xdr:from>
    <xdr:to>
      <xdr:col>8</xdr:col>
      <xdr:colOff>838200</xdr:colOff>
      <xdr:row>50</xdr:row>
      <xdr:rowOff>19049</xdr:rowOff>
    </xdr:to>
    <xdr:graphicFrame macro=""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0</xdr:row>
      <xdr:rowOff>0</xdr:rowOff>
    </xdr:from>
    <xdr:to>
      <xdr:col>9</xdr:col>
      <xdr:colOff>438150</xdr:colOff>
      <xdr:row>37</xdr:row>
      <xdr:rowOff>104775</xdr:rowOff>
    </xdr:to>
    <xdr:sp macro="" textlink="">
      <xdr:nvSpPr>
        <xdr:cNvPr id="2050" name="Rectangle 2" hidden="1"/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438150</xdr:colOff>
      <xdr:row>37</xdr:row>
      <xdr:rowOff>104775</xdr:rowOff>
    </xdr:to>
    <xdr:sp macro="" textlink="">
      <xdr:nvSpPr>
        <xdr:cNvPr id="3" name="AutoShape 2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438150</xdr:colOff>
      <xdr:row>37</xdr:row>
      <xdr:rowOff>104775</xdr:rowOff>
    </xdr:to>
    <xdr:sp macro="" textlink="">
      <xdr:nvSpPr>
        <xdr:cNvPr id="4" name="AutoShape 2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438150</xdr:colOff>
      <xdr:row>37</xdr:row>
      <xdr:rowOff>104775</xdr:rowOff>
    </xdr:to>
    <xdr:sp macro="" textlink="">
      <xdr:nvSpPr>
        <xdr:cNvPr id="5" name="AutoShape 2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438150</xdr:colOff>
      <xdr:row>37</xdr:row>
      <xdr:rowOff>104775</xdr:rowOff>
    </xdr:to>
    <xdr:sp macro="" textlink="">
      <xdr:nvSpPr>
        <xdr:cNvPr id="6" name="AutoShape 2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438150</xdr:colOff>
      <xdr:row>37</xdr:row>
      <xdr:rowOff>104775</xdr:rowOff>
    </xdr:to>
    <xdr:sp macro="" textlink="">
      <xdr:nvSpPr>
        <xdr:cNvPr id="2" name="AutoShape 2"/>
        <xdr:cNvSpPr>
          <a:spLocks noChangeArrowheads="1"/>
        </xdr:cNvSpPr>
      </xdr:nvSpPr>
      <xdr:spPr bwMode="auto">
        <a:xfrm>
          <a:off x="0" y="0"/>
          <a:ext cx="99822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2019301</xdr:colOff>
      <xdr:row>35</xdr:row>
      <xdr:rowOff>142875</xdr:rowOff>
    </xdr:from>
    <xdr:to>
      <xdr:col>8</xdr:col>
      <xdr:colOff>333376</xdr:colOff>
      <xdr:row>35</xdr:row>
      <xdr:rowOff>142875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 flipV="1">
          <a:off x="2019301" y="9182100"/>
          <a:ext cx="550545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0.08993</cdr:x>
      <cdr:y>0.01449</cdr:y>
    </cdr:from>
    <cdr:to>
      <cdr:x>0.99195</cdr:x>
      <cdr:y>0.18551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38174" y="47626"/>
          <a:ext cx="6400800" cy="561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18.17: Employees registered in the retirement pension scheme, </a:t>
          </a:r>
        </a:p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by employment size, 2016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Copy%20of%20Statistical%20Year%20book%20for%20the%20year%202016%20for%20NSPA%20_%20NBS%20Comments%20_%20NSPA%20p%20%20%20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1.24"/>
      <sheetName val="11.25"/>
      <sheetName val="11.26"/>
      <sheetName val="11.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N5">
            <v>2013</v>
          </cell>
          <cell r="O5">
            <v>2014</v>
          </cell>
          <cell r="P5">
            <v>2015</v>
          </cell>
        </row>
        <row r="6">
          <cell r="N6">
            <v>299661096.44</v>
          </cell>
          <cell r="O6">
            <v>349220698.38999999</v>
          </cell>
          <cell r="P6">
            <v>180614696.01000002</v>
          </cell>
        </row>
        <row r="7">
          <cell r="A7" t="str">
            <v>January</v>
          </cell>
          <cell r="O7">
            <v>23170714.699999999</v>
          </cell>
          <cell r="P7">
            <v>18871576.670000002</v>
          </cell>
        </row>
        <row r="8">
          <cell r="A8" t="str">
            <v>February</v>
          </cell>
          <cell r="O8">
            <v>24382093.82</v>
          </cell>
          <cell r="P8">
            <v>11560674.26</v>
          </cell>
        </row>
        <row r="9">
          <cell r="A9" t="str">
            <v>March</v>
          </cell>
          <cell r="O9">
            <v>65018059.100000001</v>
          </cell>
          <cell r="P9">
            <v>11961755.039999999</v>
          </cell>
        </row>
        <row r="10">
          <cell r="A10" t="str">
            <v>April</v>
          </cell>
          <cell r="O10">
            <v>26571752.030000001</v>
          </cell>
          <cell r="P10">
            <v>14237831.629999999</v>
          </cell>
        </row>
        <row r="11">
          <cell r="A11" t="str">
            <v>May</v>
          </cell>
          <cell r="O11">
            <v>27344862.630000003</v>
          </cell>
          <cell r="P11">
            <v>15232383.639999999</v>
          </cell>
        </row>
        <row r="12">
          <cell r="A12" t="str">
            <v>June</v>
          </cell>
          <cell r="O12">
            <v>27437953.34</v>
          </cell>
          <cell r="P12">
            <v>16698376.539999999</v>
          </cell>
        </row>
        <row r="13">
          <cell r="A13" t="str">
            <v>July</v>
          </cell>
          <cell r="O13">
            <v>27536963.569999997</v>
          </cell>
          <cell r="P13">
            <v>17014342.27</v>
          </cell>
        </row>
        <row r="14">
          <cell r="A14" t="str">
            <v>August</v>
          </cell>
          <cell r="O14">
            <v>27542726.530000001</v>
          </cell>
          <cell r="P14">
            <v>14637041.91</v>
          </cell>
        </row>
        <row r="15">
          <cell r="A15" t="str">
            <v>September</v>
          </cell>
          <cell r="O15">
            <v>26488280.200000003</v>
          </cell>
          <cell r="P15">
            <v>14637041.91</v>
          </cell>
        </row>
        <row r="16">
          <cell r="A16" t="str">
            <v>October</v>
          </cell>
          <cell r="O16">
            <v>26944673.18</v>
          </cell>
          <cell r="P16">
            <v>15266487.300000001</v>
          </cell>
        </row>
        <row r="17">
          <cell r="A17" t="str">
            <v>November</v>
          </cell>
          <cell r="O17">
            <v>24549554.030000001</v>
          </cell>
          <cell r="P17">
            <v>15648041.789999999</v>
          </cell>
        </row>
        <row r="18">
          <cell r="A18" t="str">
            <v>December</v>
          </cell>
          <cell r="O18">
            <v>22233065.260000002</v>
          </cell>
          <cell r="P18">
            <v>14849143.050000001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52"/>
  <sheetViews>
    <sheetView tabSelected="1" zoomScaleNormal="100" workbookViewId="0">
      <selection activeCell="I16" sqref="I16"/>
    </sheetView>
  </sheetViews>
  <sheetFormatPr defaultColWidth="15.140625" defaultRowHeight="15" customHeight="1" x14ac:dyDescent="0.25"/>
  <cols>
    <col min="1" max="1" width="35.42578125" style="2" customWidth="1"/>
    <col min="2" max="7" width="10.5703125" style="2" customWidth="1"/>
    <col min="8" max="8" width="9" style="2" customWidth="1"/>
    <col min="9" max="9" width="35.28515625" style="2" customWidth="1"/>
    <col min="10" max="26" width="8" style="2" customWidth="1"/>
    <col min="27" max="16384" width="15.140625" style="2"/>
  </cols>
  <sheetData>
    <row r="1" spans="1:26" ht="21" customHeight="1" x14ac:dyDescent="0.55000000000000004">
      <c r="A1" s="30" t="s">
        <v>62</v>
      </c>
      <c r="B1" s="31"/>
      <c r="C1" s="31"/>
      <c r="D1" s="31"/>
      <c r="E1" s="31"/>
      <c r="F1" s="31"/>
      <c r="G1" s="31"/>
      <c r="H1" s="31"/>
      <c r="I1" s="3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9" t="s">
        <v>63</v>
      </c>
      <c r="B2" s="31"/>
      <c r="C2" s="31"/>
      <c r="D2" s="31"/>
      <c r="E2" s="31"/>
      <c r="F2" s="31"/>
      <c r="G2" s="31"/>
      <c r="H2" s="31"/>
      <c r="I2" s="3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34" t="s">
        <v>5</v>
      </c>
      <c r="B4" s="32" t="s">
        <v>64</v>
      </c>
      <c r="C4" s="33"/>
      <c r="D4" s="33"/>
      <c r="E4" s="33"/>
      <c r="F4" s="33"/>
      <c r="G4" s="33"/>
      <c r="H4" s="37" t="s">
        <v>0</v>
      </c>
      <c r="I4" s="36" t="s">
        <v>6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" customHeight="1" x14ac:dyDescent="0.25">
      <c r="A5" s="31"/>
      <c r="B5" s="22" t="s">
        <v>7</v>
      </c>
      <c r="C5" s="22" t="s">
        <v>8</v>
      </c>
      <c r="D5" s="22" t="s">
        <v>9</v>
      </c>
      <c r="E5" s="22" t="s">
        <v>10</v>
      </c>
      <c r="F5" s="23" t="s">
        <v>11</v>
      </c>
      <c r="G5" s="23" t="s">
        <v>2</v>
      </c>
      <c r="H5" s="35"/>
      <c r="I5" s="35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21" customHeight="1" x14ac:dyDescent="0.55000000000000004">
      <c r="A6" s="21" t="s">
        <v>2</v>
      </c>
      <c r="B6" s="16">
        <f t="shared" ref="B6:G6" si="0">SUM(B7:B31)</f>
        <v>3225</v>
      </c>
      <c r="C6" s="16">
        <f t="shared" si="0"/>
        <v>12151</v>
      </c>
      <c r="D6" s="16">
        <f t="shared" si="0"/>
        <v>10021</v>
      </c>
      <c r="E6" s="16">
        <f t="shared" si="0"/>
        <v>23013</v>
      </c>
      <c r="F6" s="16">
        <f t="shared" si="0"/>
        <v>34510</v>
      </c>
      <c r="G6" s="16">
        <f t="shared" si="0"/>
        <v>82920</v>
      </c>
      <c r="H6" s="27">
        <f>G6/G6*100</f>
        <v>100</v>
      </c>
      <c r="I6" s="4" t="s">
        <v>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1" customHeight="1" x14ac:dyDescent="0.55000000000000004">
      <c r="A7" s="7" t="s">
        <v>12</v>
      </c>
      <c r="B7" s="9">
        <v>32</v>
      </c>
      <c r="C7" s="9">
        <v>41</v>
      </c>
      <c r="D7" s="9">
        <v>88</v>
      </c>
      <c r="E7" s="9">
        <v>0</v>
      </c>
      <c r="F7" s="9">
        <v>0</v>
      </c>
      <c r="G7" s="8">
        <f t="shared" ref="G7:G20" si="1">SUM(B7:F7)</f>
        <v>161</v>
      </c>
      <c r="H7" s="18">
        <f t="shared" ref="H7:H31" si="2">G7/$G$6*100</f>
        <v>0.19416304872165943</v>
      </c>
      <c r="I7" s="5" t="s">
        <v>13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customHeight="1" x14ac:dyDescent="0.55000000000000004">
      <c r="A8" s="7" t="s">
        <v>14</v>
      </c>
      <c r="B8" s="9">
        <v>28</v>
      </c>
      <c r="C8" s="9">
        <v>94</v>
      </c>
      <c r="D8" s="9">
        <v>56</v>
      </c>
      <c r="E8" s="9">
        <v>747</v>
      </c>
      <c r="F8" s="9">
        <v>3186</v>
      </c>
      <c r="G8" s="8">
        <f t="shared" si="1"/>
        <v>4111</v>
      </c>
      <c r="H8" s="18">
        <f t="shared" si="2"/>
        <v>4.9577906415822479</v>
      </c>
      <c r="I8" s="5" t="s">
        <v>15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" customHeight="1" x14ac:dyDescent="0.55000000000000004">
      <c r="A9" s="7" t="s">
        <v>16</v>
      </c>
      <c r="B9" s="9">
        <v>3</v>
      </c>
      <c r="C9" s="9">
        <v>12</v>
      </c>
      <c r="D9" s="9">
        <v>0</v>
      </c>
      <c r="E9" s="9">
        <v>0</v>
      </c>
      <c r="F9" s="9">
        <v>0</v>
      </c>
      <c r="G9" s="8">
        <f t="shared" si="1"/>
        <v>15</v>
      </c>
      <c r="H9" s="18">
        <f t="shared" si="2"/>
        <v>1.8089725036179449E-2</v>
      </c>
      <c r="I9" s="5" t="s">
        <v>17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" customHeight="1" x14ac:dyDescent="0.55000000000000004">
      <c r="A10" s="7" t="s">
        <v>18</v>
      </c>
      <c r="B10" s="9">
        <v>33</v>
      </c>
      <c r="C10" s="9">
        <v>0</v>
      </c>
      <c r="D10" s="9">
        <v>0</v>
      </c>
      <c r="E10" s="9">
        <v>0</v>
      </c>
      <c r="F10" s="9">
        <v>0</v>
      </c>
      <c r="G10" s="8">
        <f t="shared" si="1"/>
        <v>33</v>
      </c>
      <c r="H10" s="18">
        <f t="shared" si="2"/>
        <v>3.9797395079594795E-2</v>
      </c>
      <c r="I10" s="5" t="s">
        <v>19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55000000000000004">
      <c r="A11" s="7" t="s">
        <v>20</v>
      </c>
      <c r="B11" s="9">
        <v>236</v>
      </c>
      <c r="C11" s="9">
        <v>433</v>
      </c>
      <c r="D11" s="9">
        <v>225</v>
      </c>
      <c r="E11" s="9">
        <v>635</v>
      </c>
      <c r="F11" s="9">
        <v>744</v>
      </c>
      <c r="G11" s="8">
        <f t="shared" si="1"/>
        <v>2273</v>
      </c>
      <c r="H11" s="18">
        <f t="shared" si="2"/>
        <v>2.7411963338157261</v>
      </c>
      <c r="I11" s="5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55000000000000004">
      <c r="A12" s="7" t="s">
        <v>22</v>
      </c>
      <c r="B12" s="9">
        <v>18</v>
      </c>
      <c r="C12" s="9">
        <v>18</v>
      </c>
      <c r="D12" s="9">
        <v>0</v>
      </c>
      <c r="E12" s="9">
        <v>127</v>
      </c>
      <c r="F12" s="9">
        <v>0</v>
      </c>
      <c r="G12" s="8">
        <f t="shared" si="1"/>
        <v>163</v>
      </c>
      <c r="H12" s="18">
        <f t="shared" si="2"/>
        <v>0.1965750120598167</v>
      </c>
      <c r="I12" s="5" t="s">
        <v>23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25">
      <c r="A13" s="17" t="s">
        <v>24</v>
      </c>
      <c r="B13" s="24">
        <v>160</v>
      </c>
      <c r="C13" s="24">
        <v>468</v>
      </c>
      <c r="D13" s="24">
        <v>216</v>
      </c>
      <c r="E13" s="24">
        <v>842</v>
      </c>
      <c r="F13" s="24">
        <v>2136</v>
      </c>
      <c r="G13" s="8">
        <f t="shared" si="1"/>
        <v>3822</v>
      </c>
      <c r="H13" s="18">
        <f t="shared" si="2"/>
        <v>4.6092619392185235</v>
      </c>
      <c r="I13" s="19" t="s">
        <v>25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3.25" customHeight="1" x14ac:dyDescent="0.55000000000000004">
      <c r="A14" s="7" t="s">
        <v>26</v>
      </c>
      <c r="B14" s="9">
        <v>14</v>
      </c>
      <c r="C14" s="9">
        <v>45</v>
      </c>
      <c r="D14" s="9">
        <v>65</v>
      </c>
      <c r="E14" s="9">
        <v>237</v>
      </c>
      <c r="F14" s="9">
        <v>876</v>
      </c>
      <c r="G14" s="8">
        <f t="shared" si="1"/>
        <v>1237</v>
      </c>
      <c r="H14" s="18">
        <f t="shared" si="2"/>
        <v>1.4917993246502652</v>
      </c>
      <c r="I14" s="5" t="s">
        <v>27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55000000000000004">
      <c r="A15" s="7" t="s">
        <v>28</v>
      </c>
      <c r="B15" s="9">
        <v>8</v>
      </c>
      <c r="C15" s="9">
        <v>76</v>
      </c>
      <c r="D15" s="9">
        <v>0</v>
      </c>
      <c r="E15" s="9">
        <v>0</v>
      </c>
      <c r="F15" s="9">
        <v>0</v>
      </c>
      <c r="G15" s="8">
        <f t="shared" si="1"/>
        <v>84</v>
      </c>
      <c r="H15" s="18">
        <f t="shared" si="2"/>
        <v>0.10130246020260492</v>
      </c>
      <c r="I15" s="5" t="s">
        <v>29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55000000000000004">
      <c r="A16" s="7" t="s">
        <v>30</v>
      </c>
      <c r="B16" s="9">
        <v>104</v>
      </c>
      <c r="C16" s="9">
        <v>6219</v>
      </c>
      <c r="D16" s="9">
        <v>4603</v>
      </c>
      <c r="E16" s="9">
        <v>10713</v>
      </c>
      <c r="F16" s="9">
        <v>14708</v>
      </c>
      <c r="G16" s="8">
        <f t="shared" si="1"/>
        <v>36347</v>
      </c>
      <c r="H16" s="18">
        <f t="shared" si="2"/>
        <v>43.833815726000964</v>
      </c>
      <c r="I16" s="5" t="s">
        <v>31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55000000000000004">
      <c r="A17" s="7" t="s">
        <v>32</v>
      </c>
      <c r="B17" s="9">
        <v>101</v>
      </c>
      <c r="C17" s="9">
        <v>238</v>
      </c>
      <c r="D17" s="9">
        <v>110</v>
      </c>
      <c r="E17" s="9">
        <v>365</v>
      </c>
      <c r="F17" s="9">
        <v>0</v>
      </c>
      <c r="G17" s="8">
        <f t="shared" si="1"/>
        <v>814</v>
      </c>
      <c r="H17" s="18">
        <f t="shared" si="2"/>
        <v>0.98166907863000485</v>
      </c>
      <c r="I17" s="5" t="s">
        <v>33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55000000000000004">
      <c r="A18" s="7" t="s">
        <v>34</v>
      </c>
      <c r="B18" s="9">
        <v>529</v>
      </c>
      <c r="C18" s="9">
        <v>1306</v>
      </c>
      <c r="D18" s="9">
        <v>2435</v>
      </c>
      <c r="E18" s="9">
        <v>7652</v>
      </c>
      <c r="F18" s="9">
        <v>5440</v>
      </c>
      <c r="G18" s="8">
        <f t="shared" si="1"/>
        <v>17362</v>
      </c>
      <c r="H18" s="18">
        <f t="shared" si="2"/>
        <v>20.938253738543175</v>
      </c>
      <c r="I18" s="5" t="s">
        <v>35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55000000000000004">
      <c r="A19" s="7" t="s">
        <v>36</v>
      </c>
      <c r="B19" s="9">
        <v>12</v>
      </c>
      <c r="C19" s="9">
        <v>29</v>
      </c>
      <c r="D19" s="9">
        <v>0</v>
      </c>
      <c r="E19" s="9">
        <v>0</v>
      </c>
      <c r="F19" s="9">
        <v>0</v>
      </c>
      <c r="G19" s="8">
        <f t="shared" si="1"/>
        <v>41</v>
      </c>
      <c r="H19" s="18">
        <f t="shared" si="2"/>
        <v>4.944524843222383E-2</v>
      </c>
      <c r="I19" s="5" t="s">
        <v>37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55000000000000004">
      <c r="A20" s="7" t="s">
        <v>38</v>
      </c>
      <c r="B20" s="9">
        <v>14</v>
      </c>
      <c r="C20" s="9">
        <v>0</v>
      </c>
      <c r="D20" s="9">
        <v>0</v>
      </c>
      <c r="E20" s="9">
        <v>0</v>
      </c>
      <c r="F20" s="9">
        <v>492</v>
      </c>
      <c r="G20" s="8">
        <f t="shared" si="1"/>
        <v>506</v>
      </c>
      <c r="H20" s="18">
        <f t="shared" si="2"/>
        <v>0.61022672455378679</v>
      </c>
      <c r="I20" s="5" t="s">
        <v>39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55000000000000004">
      <c r="A21" s="7" t="s">
        <v>40</v>
      </c>
      <c r="B21" s="9">
        <v>1</v>
      </c>
      <c r="C21" s="9">
        <v>0</v>
      </c>
      <c r="D21" s="9">
        <v>0</v>
      </c>
      <c r="E21" s="9">
        <v>0</v>
      </c>
      <c r="F21" s="9">
        <v>0</v>
      </c>
      <c r="G21" s="8">
        <f>B21+C21+D21+E21+F21</f>
        <v>1</v>
      </c>
      <c r="H21" s="18">
        <f t="shared" si="2"/>
        <v>1.20598166907863E-3</v>
      </c>
      <c r="I21" s="5" t="s">
        <v>41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55000000000000004">
      <c r="A22" s="7" t="s">
        <v>42</v>
      </c>
      <c r="B22" s="9">
        <v>16</v>
      </c>
      <c r="C22" s="9">
        <v>24</v>
      </c>
      <c r="D22" s="9">
        <v>0</v>
      </c>
      <c r="E22" s="9">
        <v>0</v>
      </c>
      <c r="F22" s="9">
        <v>0</v>
      </c>
      <c r="G22" s="8">
        <f t="shared" ref="G22:G31" si="3">SUM(B22:F22)</f>
        <v>40</v>
      </c>
      <c r="H22" s="18">
        <f t="shared" si="2"/>
        <v>4.8239266763145203E-2</v>
      </c>
      <c r="I22" s="5" t="s">
        <v>43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55000000000000004">
      <c r="A23" s="7" t="s">
        <v>44</v>
      </c>
      <c r="B23" s="9">
        <v>60</v>
      </c>
      <c r="C23" s="9">
        <v>43</v>
      </c>
      <c r="D23" s="9">
        <v>0</v>
      </c>
      <c r="E23" s="9">
        <v>0</v>
      </c>
      <c r="F23" s="9">
        <v>0</v>
      </c>
      <c r="G23" s="8">
        <f t="shared" si="3"/>
        <v>103</v>
      </c>
      <c r="H23" s="18">
        <f t="shared" si="2"/>
        <v>0.12421611191509889</v>
      </c>
      <c r="I23" s="5" t="s">
        <v>45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55000000000000004">
      <c r="A24" s="7" t="s">
        <v>46</v>
      </c>
      <c r="B24" s="9">
        <v>4</v>
      </c>
      <c r="C24" s="9">
        <v>27</v>
      </c>
      <c r="D24" s="9">
        <v>51</v>
      </c>
      <c r="E24" s="9">
        <v>0</v>
      </c>
      <c r="F24" s="9">
        <v>0</v>
      </c>
      <c r="G24" s="8">
        <f t="shared" si="3"/>
        <v>82</v>
      </c>
      <c r="H24" s="18">
        <f t="shared" si="2"/>
        <v>9.8890496864447661E-2</v>
      </c>
      <c r="I24" s="5" t="s">
        <v>47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55000000000000004">
      <c r="A25" s="7" t="s">
        <v>48</v>
      </c>
      <c r="B25" s="9">
        <v>217</v>
      </c>
      <c r="C25" s="9">
        <v>534</v>
      </c>
      <c r="D25" s="9">
        <v>199</v>
      </c>
      <c r="E25" s="9">
        <v>475</v>
      </c>
      <c r="F25" s="9">
        <v>0</v>
      </c>
      <c r="G25" s="8">
        <f t="shared" si="3"/>
        <v>1425</v>
      </c>
      <c r="H25" s="18">
        <f t="shared" si="2"/>
        <v>1.7185238784370478</v>
      </c>
      <c r="I25" s="5" t="s">
        <v>49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55000000000000004">
      <c r="A26" s="7" t="s">
        <v>50</v>
      </c>
      <c r="B26" s="9">
        <v>110</v>
      </c>
      <c r="C26" s="9">
        <v>175</v>
      </c>
      <c r="D26" s="9">
        <v>254</v>
      </c>
      <c r="E26" s="9">
        <v>188</v>
      </c>
      <c r="F26" s="9">
        <v>1994</v>
      </c>
      <c r="G26" s="8">
        <f t="shared" si="3"/>
        <v>2721</v>
      </c>
      <c r="H26" s="18">
        <f t="shared" si="2"/>
        <v>3.2814761215629518</v>
      </c>
      <c r="I26" s="5" t="s">
        <v>51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55000000000000004">
      <c r="A27" s="7" t="s">
        <v>52</v>
      </c>
      <c r="B27" s="9">
        <v>735</v>
      </c>
      <c r="C27" s="9">
        <v>1238</v>
      </c>
      <c r="D27" s="9">
        <v>942</v>
      </c>
      <c r="E27" s="9">
        <v>415</v>
      </c>
      <c r="F27" s="9">
        <v>0</v>
      </c>
      <c r="G27" s="8">
        <f t="shared" si="3"/>
        <v>3330</v>
      </c>
      <c r="H27" s="18">
        <f t="shared" si="2"/>
        <v>4.015918958031838</v>
      </c>
      <c r="I27" s="5" t="s">
        <v>53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55000000000000004">
      <c r="A28" s="7" t="s">
        <v>54</v>
      </c>
      <c r="B28" s="9">
        <v>32</v>
      </c>
      <c r="C28" s="9">
        <v>200</v>
      </c>
      <c r="D28" s="9">
        <v>270</v>
      </c>
      <c r="E28" s="9">
        <v>100</v>
      </c>
      <c r="F28" s="9">
        <v>927</v>
      </c>
      <c r="G28" s="8">
        <f t="shared" si="3"/>
        <v>1529</v>
      </c>
      <c r="H28" s="18">
        <f t="shared" si="2"/>
        <v>1.8439459720212252</v>
      </c>
      <c r="I28" s="5" t="s">
        <v>55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55000000000000004">
      <c r="A29" s="7" t="s">
        <v>56</v>
      </c>
      <c r="B29" s="9">
        <v>12</v>
      </c>
      <c r="C29" s="9">
        <v>10</v>
      </c>
      <c r="D29" s="9">
        <v>0</v>
      </c>
      <c r="E29" s="9">
        <v>0</v>
      </c>
      <c r="F29" s="9">
        <v>0</v>
      </c>
      <c r="G29" s="8">
        <f t="shared" si="3"/>
        <v>22</v>
      </c>
      <c r="H29" s="18">
        <f t="shared" si="2"/>
        <v>2.653159671972986E-2</v>
      </c>
      <c r="I29" s="5" t="s">
        <v>57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55000000000000004">
      <c r="A30" s="7" t="s">
        <v>58</v>
      </c>
      <c r="B30" s="9">
        <v>270</v>
      </c>
      <c r="C30" s="9">
        <v>454</v>
      </c>
      <c r="D30" s="9">
        <v>240</v>
      </c>
      <c r="E30" s="9">
        <v>407</v>
      </c>
      <c r="F30" s="9">
        <v>1745</v>
      </c>
      <c r="G30" s="8">
        <f t="shared" si="3"/>
        <v>3116</v>
      </c>
      <c r="H30" s="18">
        <f t="shared" si="2"/>
        <v>3.7578388808490111</v>
      </c>
      <c r="I30" s="5" t="s">
        <v>59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55000000000000004">
      <c r="A31" s="10" t="s">
        <v>60</v>
      </c>
      <c r="B31" s="12">
        <v>476</v>
      </c>
      <c r="C31" s="12">
        <v>467</v>
      </c>
      <c r="D31" s="12">
        <v>267</v>
      </c>
      <c r="E31" s="12">
        <v>110</v>
      </c>
      <c r="F31" s="12">
        <v>2262</v>
      </c>
      <c r="G31" s="11">
        <f t="shared" si="3"/>
        <v>3582</v>
      </c>
      <c r="H31" s="25">
        <f t="shared" si="2"/>
        <v>4.3198263386396523</v>
      </c>
      <c r="I31" s="6" t="s">
        <v>61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 x14ac:dyDescent="0.5">
      <c r="A32" s="14" t="s">
        <v>3</v>
      </c>
      <c r="B32" s="1"/>
      <c r="C32" s="1"/>
      <c r="D32" s="1"/>
      <c r="E32" s="1"/>
      <c r="F32" s="1"/>
      <c r="G32" s="1"/>
      <c r="H32" s="15"/>
      <c r="I32" s="13" t="s">
        <v>4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26"/>
      <c r="E33" s="2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2" spans="1:26" ht="15" customHeight="1" x14ac:dyDescent="0.25">
      <c r="I52" s="28"/>
    </row>
  </sheetData>
  <mergeCells count="6">
    <mergeCell ref="B4:G4"/>
    <mergeCell ref="A4:A5"/>
    <mergeCell ref="A2:I2"/>
    <mergeCell ref="A1:I1"/>
    <mergeCell ref="H4:H5"/>
    <mergeCell ref="I4:I5"/>
  </mergeCells>
  <pageMargins left="0.7" right="0.7" top="0.75" bottom="0.75" header="0.3" footer="0.3"/>
  <pageSetup paperSize="9" scale="75" orientation="landscape" horizontalDpi="4294967295" verticalDpi="4294967295" r:id="rId1"/>
  <rowBreaks count="1" manualBreakCount="1">
    <brk id="3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18.13</vt:lpstr>
      <vt:lpstr>'18.13'!Print_Area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2017-07-04T08:58:32Z</cp:lastPrinted>
  <dcterms:modified xsi:type="dcterms:W3CDTF">2017-07-04T08:58:42Z</dcterms:modified>
</cp:coreProperties>
</file>