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1" sheetId="1" r:id="rId1"/>
  </sheets>
  <externalReferences>
    <externalReference r:id="rId2"/>
  </externalReferences>
  <definedNames>
    <definedName name="_xlnm.Print_Area" localSheetId="0">'13.1'!$A$1:$O$39</definedName>
  </definedNames>
  <calcPr calcId="144525"/>
</workbook>
</file>

<file path=xl/calcChain.xml><?xml version="1.0" encoding="utf-8"?>
<calcChain xmlns="http://schemas.openxmlformats.org/spreadsheetml/2006/main">
  <c r="M33" i="1" l="1"/>
  <c r="L33" i="1"/>
  <c r="K33" i="1"/>
  <c r="M24" i="1" l="1"/>
  <c r="M23" i="1" s="1"/>
  <c r="M8" i="1"/>
  <c r="M21" i="1" l="1"/>
  <c r="L24" i="1" l="1"/>
  <c r="H24" i="1"/>
  <c r="H8" i="1"/>
  <c r="G8" i="1"/>
  <c r="I8" i="1" l="1"/>
  <c r="J8" i="1"/>
  <c r="K8" i="1"/>
  <c r="L8" i="1"/>
  <c r="I24" i="1" l="1"/>
  <c r="J24" i="1"/>
  <c r="J23" i="1" s="1"/>
  <c r="J21" i="1" s="1"/>
  <c r="K24" i="1"/>
  <c r="K23" i="1" s="1"/>
  <c r="K21" i="1" s="1"/>
  <c r="L23" i="1"/>
  <c r="L21" i="1" s="1"/>
  <c r="E8" i="1" l="1"/>
  <c r="D8" i="1"/>
  <c r="C8" i="1"/>
  <c r="B8" i="1"/>
  <c r="I23" i="1" l="1"/>
  <c r="I21" i="1" s="1"/>
  <c r="G24" i="1"/>
  <c r="G23" i="1" s="1"/>
  <c r="G21" i="1" s="1"/>
  <c r="H23" i="1"/>
  <c r="H21" i="1" s="1"/>
  <c r="E24" i="1"/>
  <c r="E23" i="1" s="1"/>
  <c r="E21" i="1" s="1"/>
  <c r="D24" i="1"/>
  <c r="D23" i="1" s="1"/>
  <c r="D21" i="1" s="1"/>
  <c r="C24" i="1"/>
  <c r="B24" i="1"/>
  <c r="C21" i="1"/>
  <c r="F24" i="1" l="1"/>
  <c r="F23" i="1" s="1"/>
  <c r="F8" i="1"/>
  <c r="B21" i="1"/>
  <c r="F21" i="1" l="1"/>
</calcChain>
</file>

<file path=xl/sharedStrings.xml><?xml version="1.0" encoding="utf-8"?>
<sst xmlns="http://schemas.openxmlformats.org/spreadsheetml/2006/main" count="78" uniqueCount="71">
  <si>
    <t>(cniaWyifur cnwailim)</t>
  </si>
  <si>
    <t>Particulars</t>
  </si>
  <si>
    <t>(iawfiverukuhWlcsia)</t>
  </si>
  <si>
    <t>clIBcfwt</t>
  </si>
  <si>
    <t>Actual</t>
  </si>
  <si>
    <t>Revised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</si>
  <si>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</si>
  <si>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</si>
  <si>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</si>
  <si>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</si>
  <si>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</si>
  <si>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</si>
  <si>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Loan accounts</t>
  </si>
  <si>
    <t xml:space="preserve">                             Ebil cSwkwtcTcnuawwkea WrukUd cnOl cnurWkurws  </t>
  </si>
  <si>
    <t>Monetary grants</t>
  </si>
  <si>
    <t xml:space="preserve">                                        cniaWsiawf Ebil iawgutog egIheaElih egurEb   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</si>
  <si>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</si>
  <si>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</si>
  <si>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</si>
  <si>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</si>
  <si>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</si>
  <si>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</si>
  <si>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</si>
  <si>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</si>
  <si>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</si>
  <si>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</si>
  <si>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</si>
  <si>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</si>
  <si>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</si>
  <si>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</si>
  <si>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</si>
  <si>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</si>
  <si>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</si>
  <si>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</si>
  <si>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</si>
  <si>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</si>
  <si>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</si>
  <si>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</si>
  <si>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</si>
  <si>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</si>
  <si>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</si>
  <si>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</si>
  <si>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>Expenditure from Loan accounts</t>
  </si>
  <si>
    <t xml:space="preserve">udwrwK Wruk cnukwtcTcnuawwkea WrukUd cnOl cnurWkurws  </t>
  </si>
  <si>
    <t xml:space="preserve">                                           udwrwK Everuk cniaWsiawf egIheaElih egurEb   </t>
  </si>
  <si>
    <t>ފައިސާގެ ގޮތުގައި ދެވޭ ލޯނު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</si>
  <si>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</si>
  <si>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</si>
  <si>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</si>
  <si>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</si>
  <si>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Development expenditure of projects financed from Domestic loans </t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</si>
  <si>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</si>
  <si>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</si>
  <si>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</si>
  <si>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</si>
  <si>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>2_/  Overall deficit/surplus in this table is difference of Government total Income and Expenditure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</si>
  <si>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</si>
  <si>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</si>
  <si>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       (including grants) plus loan disbursements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</si>
  <si>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</si>
  <si>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</si>
  <si>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</si>
  <si>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</si>
  <si>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</si>
  <si>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(In million MVR)</t>
  </si>
  <si>
    <t>1_/  Revenue includes New revenue Measures approved by the parliament</t>
  </si>
  <si>
    <t>2018 - 2012,ctogEverukudwrwK iaWtogEbilWsiawf cSwTejwb egutwluawd : 13.1 ulwvWt</t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</si>
  <si>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</si>
  <si>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r>
      <t xml:space="preserve">                                udwrwK Everuk cnIhea unOl </t>
    </r>
    <r>
      <rPr>
        <sz val="10"/>
        <color theme="1"/>
        <rFont val="Faruma"/>
      </rPr>
      <t>އެތެރޭގެ</t>
    </r>
    <r>
      <rPr>
        <sz val="10"/>
        <color theme="1"/>
        <rFont val="A_Randhoo"/>
      </rPr>
      <t xml:space="preserve">  Ebil cSwkwtuTckejorcp egIqcawrwt                     </t>
    </r>
  </si>
  <si>
    <t>Table 13.1 :   TOTAL REVENUE AND EXPENDITURE OF  GOVERNMENT BUDGET BY SOURCE, 2012- 2019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</si>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</sst>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70" formatCode="_-* #,##0.00_-;\-* #,##0.00_-;_-* &quot;-&quot;??_-;_-@_-"/>
    <numFmt numFmtId="171" formatCode="#,##0.00\ ;&quot; (&quot;#,##0.00\);&quot; -&quot;#\ ;@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10"/>
      <color theme="1"/>
      <name val="Calibri"/>
      <family val="2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8"/>
      <color theme="1"/>
      <name val="A_Randhoo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62">
    <xf numFmtId="0" fontId="0" fillId="0" borderId="0" xfId="0"/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2" xfId="2" applyNumberFormat="1" applyFont="1" applyFill="1" applyBorder="1" applyAlignment="1" applyProtection="1">
      <alignment horizontal="right" vertical="center"/>
    </xf>
    <xf numFmtId="164" fontId="15" fillId="2" borderId="0" xfId="2" applyNumberFormat="1" applyFont="1" applyFill="1" applyAlignment="1">
      <alignment vertical="center"/>
    </xf>
    <xf numFmtId="164" fontId="16" fillId="2" borderId="0" xfId="2" applyNumberFormat="1" applyFont="1" applyFill="1" applyAlignment="1">
      <alignment vertical="center"/>
    </xf>
    <xf numFmtId="165" fontId="5" fillId="2" borderId="0" xfId="2" applyNumberFormat="1" applyFont="1" applyFill="1" applyBorder="1" applyAlignment="1" applyProtection="1">
      <alignment horizontal="right" vertical="center"/>
    </xf>
    <xf numFmtId="164" fontId="5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4" fontId="9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>
      <alignment vertical="center"/>
    </xf>
    <xf numFmtId="164" fontId="12" fillId="2" borderId="0" xfId="2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vertical="center"/>
    </xf>
    <xf numFmtId="164" fontId="20" fillId="2" borderId="1" xfId="2" applyNumberFormat="1" applyFont="1" applyFill="1" applyBorder="1" applyAlignment="1">
      <alignment vertical="center"/>
    </xf>
    <xf numFmtId="164" fontId="16" fillId="2" borderId="1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 applyProtection="1">
      <alignment horizontal="center" vertical="center"/>
      <protection locked="0"/>
    </xf>
    <xf numFmtId="164" fontId="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 applyBorder="1" applyAlignment="1">
      <alignment vertical="center"/>
    </xf>
    <xf numFmtId="165" fontId="5" fillId="2" borderId="0" xfId="2" applyNumberFormat="1" applyFont="1" applyFill="1" applyAlignment="1" applyProtection="1">
      <alignment horizontal="right" vertical="center"/>
    </xf>
    <xf numFmtId="164" fontId="20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Alignment="1" applyProtection="1">
      <alignment horizontal="left" vertical="center" indent="2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21" fillId="2" borderId="0" xfId="2" applyNumberFormat="1" applyFont="1" applyFill="1" applyAlignment="1">
      <alignment horizontal="right" vertical="center"/>
    </xf>
    <xf numFmtId="43" fontId="11" fillId="2" borderId="0" xfId="1" applyFont="1" applyFill="1" applyAlignment="1" applyProtection="1">
      <alignment horizontal="right" vertical="center"/>
      <protection locked="0"/>
    </xf>
    <xf numFmtId="41" fontId="11" fillId="2" borderId="0" xfId="3" applyNumberFormat="1" applyFont="1" applyFill="1" applyAlignment="1" applyProtection="1">
      <alignment horizontal="right" vertical="center"/>
      <protection locked="0"/>
    </xf>
    <xf numFmtId="164" fontId="13" fillId="2" borderId="0" xfId="2" applyNumberFormat="1" applyFont="1" applyFill="1" applyAlignment="1">
      <alignment horizontal="right" vertical="center"/>
    </xf>
    <xf numFmtId="166" fontId="11" fillId="2" borderId="0" xfId="3" applyNumberFormat="1" applyFont="1" applyFill="1" applyAlignment="1" applyProtection="1">
      <alignment horizontal="right" vertical="center"/>
      <protection locked="0"/>
    </xf>
    <xf numFmtId="164" fontId="13" fillId="2" borderId="0" xfId="2" applyNumberFormat="1" applyFont="1" applyFill="1" applyAlignment="1">
      <alignment horizontal="right" vertical="center" indent="1"/>
    </xf>
    <xf numFmtId="164" fontId="13" fillId="2" borderId="0" xfId="2" applyNumberFormat="1" applyFont="1" applyFill="1" applyAlignment="1">
      <alignment horizontal="right" vertical="center" readingOrder="1"/>
    </xf>
    <xf numFmtId="164" fontId="19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Border="1" applyAlignment="1" applyProtection="1">
      <alignment horizontal="right" vertical="center"/>
      <protection locked="0"/>
    </xf>
    <xf numFmtId="165" fontId="5" fillId="2" borderId="0" xfId="2" applyNumberFormat="1" applyFont="1" applyFill="1" applyAlignment="1" applyProtection="1">
      <alignment horizontal="right" vertical="center"/>
      <protection locked="0"/>
    </xf>
    <xf numFmtId="165" fontId="11" fillId="2" borderId="0" xfId="2" applyNumberFormat="1" applyFont="1" applyFill="1" applyAlignment="1" applyProtection="1">
      <alignment horizontal="right" vertical="center"/>
    </xf>
    <xf numFmtId="167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left" vertical="center" indent="2"/>
    </xf>
    <xf numFmtId="164" fontId="21" fillId="2" borderId="0" xfId="2" applyNumberFormat="1" applyFont="1" applyFill="1" applyBorder="1" applyAlignment="1">
      <alignment horizontal="right" vertical="center"/>
    </xf>
    <xf numFmtId="164" fontId="11" fillId="2" borderId="3" xfId="2" applyNumberFormat="1" applyFont="1" applyFill="1" applyBorder="1" applyAlignment="1" applyProtection="1">
      <alignment horizontal="left" vertical="center" indent="2"/>
    </xf>
    <xf numFmtId="167" fontId="11" fillId="2" borderId="3" xfId="1" applyNumberFormat="1" applyFont="1" applyFill="1" applyBorder="1" applyAlignment="1" applyProtection="1">
      <alignment horizontal="right" vertical="center"/>
      <protection locked="0"/>
    </xf>
    <xf numFmtId="41" fontId="11" fillId="2" borderId="3" xfId="3" applyNumberFormat="1" applyFont="1" applyFill="1" applyBorder="1" applyAlignment="1" applyProtection="1">
      <alignment horizontal="right" vertical="center"/>
      <protection locked="0"/>
    </xf>
    <xf numFmtId="164" fontId="21" fillId="2" borderId="3" xfId="2" applyNumberFormat="1" applyFont="1" applyFill="1" applyBorder="1" applyAlignment="1">
      <alignment horizontal="right" vertical="center" indent="2"/>
    </xf>
    <xf numFmtId="164" fontId="12" fillId="2" borderId="3" xfId="2" applyNumberFormat="1" applyFont="1" applyFill="1" applyBorder="1" applyAlignment="1" applyProtection="1">
      <alignment horizontal="left" vertical="center"/>
    </xf>
    <xf numFmtId="41" fontId="22" fillId="2" borderId="3" xfId="3" applyNumberFormat="1" applyFont="1" applyFill="1" applyBorder="1" applyAlignment="1" applyProtection="1">
      <alignment horizontal="right" vertical="center"/>
      <protection locked="0"/>
    </xf>
    <xf numFmtId="166" fontId="22" fillId="2" borderId="3" xfId="3" applyNumberFormat="1" applyFont="1" applyFill="1" applyBorder="1" applyAlignment="1" applyProtection="1">
      <alignment horizontal="right" vertical="center"/>
      <protection locked="0"/>
    </xf>
    <xf numFmtId="164" fontId="17" fillId="2" borderId="3" xfId="2" applyNumberFormat="1" applyFont="1" applyFill="1" applyBorder="1" applyAlignment="1">
      <alignment horizontal="right" vertical="center"/>
    </xf>
    <xf numFmtId="164" fontId="23" fillId="2" borderId="0" xfId="2" applyNumberFormat="1" applyFont="1" applyFill="1" applyAlignment="1" applyProtection="1">
      <alignment horizontal="left" vertical="center"/>
    </xf>
    <xf numFmtId="164" fontId="24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>
      <alignment vertical="center"/>
    </xf>
    <xf numFmtId="165" fontId="25" fillId="2" borderId="0" xfId="2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>
      <alignment horizontal="right" vertical="center"/>
    </xf>
    <xf numFmtId="164" fontId="19" fillId="2" borderId="3" xfId="2" applyNumberFormat="1" applyFont="1" applyFill="1" applyBorder="1" applyAlignment="1">
      <alignment vertical="center"/>
    </xf>
    <xf numFmtId="164" fontId="20" fillId="2" borderId="1" xfId="2" applyNumberFormat="1" applyFont="1" applyFill="1" applyBorder="1" applyAlignment="1">
      <alignment horizontal="right" vertical="center"/>
    </xf>
    <xf numFmtId="164" fontId="8" fillId="2" borderId="4" xfId="2" applyNumberFormat="1" applyFont="1" applyFill="1" applyBorder="1" applyAlignment="1">
      <alignment horizontal="right" vertical="center"/>
    </xf>
    <xf numFmtId="164" fontId="14" fillId="2" borderId="0" xfId="2" applyNumberFormat="1" applyFont="1" applyFill="1" applyAlignment="1">
      <alignment horizontal="center" vertical="center"/>
    </xf>
    <xf numFmtId="164" fontId="10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Alignment="1">
      <alignment horizontal="center" vertical="center" wrapText="1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5" fillId="2" borderId="1" xfId="2" applyNumberFormat="1" applyFont="1" applyFill="1" applyBorder="1" applyAlignment="1" applyProtection="1">
      <alignment horizontal="left" vertical="center"/>
    </xf>
    <xf numFmtId="164" fontId="5" fillId="2" borderId="0" xfId="2" applyNumberFormat="1" applyFont="1" applyFill="1" applyBorder="1" applyAlignment="1" applyProtection="1">
      <alignment horizontal="left" vertical="center"/>
    </xf>
    <xf numFmtId="164" fontId="5" fillId="2" borderId="2" xfId="2" applyNumberFormat="1" applyFont="1" applyFill="1" applyBorder="1" applyAlignment="1" applyProtection="1">
      <alignment horizontal="left" vertical="center"/>
    </xf>
    <xf numFmtId="164" fontId="20" fillId="2" borderId="1" xfId="2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right" vertical="center"/>
    </xf>
    <xf numFmtId="164" fontId="20" fillId="2" borderId="2" xfId="2" applyNumberFormat="1" applyFont="1" applyFill="1" applyBorder="1" applyAlignment="1">
      <alignment horizontal="right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0</xdr:rowOff>
    </xdr:from>
    <xdr:to>
      <xdr:col>1</xdr:col>
      <xdr:colOff>0</xdr:colOff>
      <xdr:row>38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T39"/>
  <sheetViews>
    <sheetView tabSelected="1" zoomScaleNormal="100" zoomScaleSheetLayoutView="100" workbookViewId="0">
      <selection activeCell="N42" sqref="N42"/>
    </sheetView>
  </sheetViews>
  <sheetFormatPr defaultColWidth="9.140625" defaultRowHeight="12.75" x14ac:dyDescent="0.25"/>
  <cols>
    <col min="1" max="1" width="59.140625" style="3" customWidth="1"/>
    <col min="2" max="2" width="7.85546875" style="3" hidden="1" customWidth="1"/>
    <col min="3" max="4" width="10.42578125" style="3" hidden="1" customWidth="1"/>
    <col min="5" max="5" width="11" style="3" hidden="1" customWidth="1"/>
    <col min="6" max="6" width="10.140625" style="3" customWidth="1"/>
    <col min="7" max="13" width="10.42578125" style="3" customWidth="1"/>
    <col min="14" max="14" width="52" style="3" customWidth="1"/>
    <col min="15" max="15" width="2.5703125" style="3" customWidth="1"/>
    <col min="16" max="16384" width="9.140625" style="3"/>
  </cols>
  <sheetData>
    <row r="1" spans="1:254" ht="19.5" x14ac:dyDescent="0.25">
      <c r="A1" s="52" t="s">
        <v>66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254" s="4" customFormat="1" ht="15" x14ac:dyDescent="0.25">
      <c r="A2" s="53" t="s">
        <v>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254" s="4" customFormat="1" ht="15" x14ac:dyDescent="0.2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254" s="4" customFormat="1" x14ac:dyDescent="0.25">
      <c r="A4" s="55" t="s">
        <v>64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11"/>
    </row>
    <row r="5" spans="1:254" s="8" customFormat="1" ht="15.75" x14ac:dyDescent="0.25">
      <c r="A5" s="56" t="s">
        <v>1</v>
      </c>
      <c r="B5" s="50"/>
      <c r="C5" s="50"/>
      <c r="D5" s="50"/>
      <c r="E5" s="12"/>
      <c r="F5" s="12"/>
      <c r="G5" s="51" t="s">
        <v>2</v>
      </c>
      <c r="H5" s="13"/>
      <c r="I5" s="13"/>
      <c r="J5" s="13"/>
      <c r="K5" s="13"/>
      <c r="L5" s="13"/>
      <c r="M5" s="13"/>
      <c r="N5" s="59" t="s">
        <v>3</v>
      </c>
      <c r="O5" s="59"/>
    </row>
    <row r="6" spans="1:254" s="15" customFormat="1" ht="15" customHeight="1" x14ac:dyDescent="0.25">
      <c r="A6" s="57"/>
      <c r="B6" s="14"/>
      <c r="C6" s="1"/>
      <c r="D6" s="1"/>
      <c r="E6" s="1"/>
      <c r="F6" s="1" t="s">
        <v>4</v>
      </c>
      <c r="G6" s="1" t="s">
        <v>4</v>
      </c>
      <c r="H6" s="1" t="s">
        <v>4</v>
      </c>
      <c r="I6" s="1" t="s">
        <v>4</v>
      </c>
      <c r="J6" s="1" t="s">
        <v>5</v>
      </c>
      <c r="K6" s="1" t="s">
        <v>70</v>
      </c>
      <c r="L6" s="1" t="s">
        <v>70</v>
      </c>
      <c r="M6" s="1" t="s">
        <v>70</v>
      </c>
      <c r="N6" s="60"/>
      <c r="O6" s="60"/>
    </row>
    <row r="7" spans="1:254" s="16" customFormat="1" ht="15" customHeight="1" x14ac:dyDescent="0.25">
      <c r="A7" s="58"/>
      <c r="B7" s="2">
        <v>2008</v>
      </c>
      <c r="C7" s="2">
        <v>2009</v>
      </c>
      <c r="D7" s="2">
        <v>2010</v>
      </c>
      <c r="E7" s="2">
        <v>2011</v>
      </c>
      <c r="F7" s="2">
        <v>2012</v>
      </c>
      <c r="G7" s="2">
        <v>2013</v>
      </c>
      <c r="H7" s="2">
        <v>2014</v>
      </c>
      <c r="I7" s="2">
        <v>2015</v>
      </c>
      <c r="J7" s="2">
        <v>2016</v>
      </c>
      <c r="K7" s="2">
        <v>2017</v>
      </c>
      <c r="L7" s="2">
        <v>2018</v>
      </c>
      <c r="M7" s="2">
        <v>2019</v>
      </c>
      <c r="N7" s="61"/>
      <c r="O7" s="61"/>
    </row>
    <row r="8" spans="1:254" s="8" customFormat="1" ht="15.75" x14ac:dyDescent="0.25">
      <c r="A8" s="6" t="s">
        <v>6</v>
      </c>
      <c r="B8" s="17">
        <f t="shared" ref="B8:F8" si="0">SUM(B9:B20)</f>
        <v>8797.2808289999994</v>
      </c>
      <c r="C8" s="17">
        <f t="shared" si="0"/>
        <v>7838.2088169999997</v>
      </c>
      <c r="D8" s="17">
        <f t="shared" si="0"/>
        <v>9492.8144190000003</v>
      </c>
      <c r="E8" s="17">
        <f t="shared" si="0"/>
        <v>12196.840858</v>
      </c>
      <c r="F8" s="17">
        <f t="shared" si="0"/>
        <v>12287.820168999997</v>
      </c>
      <c r="G8" s="17">
        <f>SUM(G9:G20)</f>
        <v>13223.42540853</v>
      </c>
      <c r="H8" s="17">
        <f>SUM(H9:H20)</f>
        <v>15933.704056</v>
      </c>
      <c r="I8" s="17">
        <f t="shared" ref="I8:L8" si="1">SUM(I9:I20)</f>
        <v>18113.699796549998</v>
      </c>
      <c r="J8" s="17">
        <f t="shared" si="1"/>
        <v>19289.794066034105</v>
      </c>
      <c r="K8" s="17">
        <f t="shared" si="1"/>
        <v>24876.605471492199</v>
      </c>
      <c r="L8" s="17">
        <f t="shared" si="1"/>
        <v>26280.326920712705</v>
      </c>
      <c r="M8" s="17">
        <f t="shared" ref="M8" si="2">SUM(M9:M20)</f>
        <v>27517.762247796098</v>
      </c>
      <c r="N8" s="18" t="s">
        <v>7</v>
      </c>
    </row>
    <row r="9" spans="1:254" s="9" customFormat="1" ht="15.75" x14ac:dyDescent="0.25">
      <c r="A9" s="19" t="s">
        <v>8</v>
      </c>
      <c r="B9" s="20">
        <v>7054.4330769999997</v>
      </c>
      <c r="C9" s="20">
        <v>5467.9178659999998</v>
      </c>
      <c r="D9" s="20">
        <v>6573.7138210000003</v>
      </c>
      <c r="E9" s="20">
        <v>9508.1181149999993</v>
      </c>
      <c r="F9" s="20">
        <v>9817.0309849999994</v>
      </c>
      <c r="G9" s="20">
        <v>11799.703769</v>
      </c>
      <c r="H9" s="20">
        <v>14962.192276</v>
      </c>
      <c r="I9" s="20">
        <v>16655.965295999998</v>
      </c>
      <c r="J9" s="20">
        <v>17681.809837116009</v>
      </c>
      <c r="K9" s="20">
        <v>21026.034912184568</v>
      </c>
      <c r="L9" s="20">
        <v>21307.830007212702</v>
      </c>
      <c r="M9" s="20">
        <v>22307.504371896095</v>
      </c>
      <c r="N9" s="21" t="s">
        <v>9</v>
      </c>
      <c r="Q9" s="15"/>
      <c r="R9" s="15"/>
      <c r="S9" s="15"/>
      <c r="T9" s="15"/>
      <c r="U9" s="15"/>
      <c r="V9" s="15"/>
      <c r="W9" s="15"/>
    </row>
    <row r="10" spans="1:254" s="9" customFormat="1" ht="15.75" x14ac:dyDescent="0.25">
      <c r="A10" s="19" t="s">
        <v>10</v>
      </c>
      <c r="B10" s="20">
        <v>81.193549000000004</v>
      </c>
      <c r="C10" s="22">
        <v>0</v>
      </c>
      <c r="D10" s="23">
        <v>0</v>
      </c>
      <c r="E10" s="20">
        <v>71.725728000000004</v>
      </c>
      <c r="F10" s="20">
        <v>91.006381000000005</v>
      </c>
      <c r="G10" s="20">
        <v>118.874062</v>
      </c>
      <c r="H10" s="20">
        <v>164.495789</v>
      </c>
      <c r="I10" s="20">
        <v>172.402165</v>
      </c>
      <c r="J10" s="20">
        <v>132.07678657142856</v>
      </c>
      <c r="K10" s="20">
        <v>130.89768100000001</v>
      </c>
      <c r="L10" s="20">
        <v>138.428316</v>
      </c>
      <c r="M10" s="20">
        <v>138.596824</v>
      </c>
      <c r="N10" s="21" t="s">
        <v>11</v>
      </c>
      <c r="Q10" s="16"/>
      <c r="R10" s="16"/>
      <c r="S10" s="16"/>
      <c r="T10" s="16"/>
      <c r="U10" s="16"/>
      <c r="V10" s="16"/>
      <c r="W10" s="16"/>
    </row>
    <row r="11" spans="1:254" s="9" customFormat="1" ht="15.75" hidden="1" x14ac:dyDescent="0.25">
      <c r="A11" s="19" t="s">
        <v>12</v>
      </c>
      <c r="B11" s="20">
        <v>7.0724070000000001</v>
      </c>
      <c r="C11" s="20">
        <v>22.433268000000002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1" t="s">
        <v>13</v>
      </c>
      <c r="Q11" s="8"/>
      <c r="R11" s="8"/>
      <c r="S11" s="8"/>
      <c r="T11" s="8"/>
      <c r="U11" s="8"/>
      <c r="V11" s="8"/>
      <c r="W11" s="8"/>
    </row>
    <row r="12" spans="1:254" s="9" customFormat="1" ht="15.75" x14ac:dyDescent="0.25">
      <c r="A12" s="19" t="s">
        <v>14</v>
      </c>
      <c r="B12" s="20">
        <v>55.550635999999997</v>
      </c>
      <c r="C12" s="20">
        <v>52.923622000000002</v>
      </c>
      <c r="D12" s="20">
        <v>47.642878000000003</v>
      </c>
      <c r="E12" s="20">
        <v>318.363</v>
      </c>
      <c r="F12" s="20">
        <v>144.28058300000001</v>
      </c>
      <c r="G12" s="20">
        <v>43.25014952999998</v>
      </c>
      <c r="H12" s="20">
        <v>63.872695</v>
      </c>
      <c r="I12" s="20">
        <v>486.44234219999981</v>
      </c>
      <c r="J12" s="20">
        <v>52.118595346666666</v>
      </c>
      <c r="K12" s="20">
        <v>50</v>
      </c>
      <c r="L12" s="20">
        <v>50</v>
      </c>
      <c r="M12" s="20">
        <v>50</v>
      </c>
      <c r="N12" s="21" t="s">
        <v>15</v>
      </c>
      <c r="Q12" s="15"/>
      <c r="R12" s="15"/>
      <c r="S12" s="15"/>
      <c r="T12" s="15"/>
      <c r="U12" s="15"/>
      <c r="V12" s="15"/>
      <c r="W12" s="15"/>
    </row>
    <row r="13" spans="1:254" s="9" customFormat="1" ht="18.75" hidden="1" x14ac:dyDescent="0.25">
      <c r="A13" s="19" t="s">
        <v>16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4" t="s">
        <v>17</v>
      </c>
      <c r="Q13" s="16"/>
      <c r="R13" s="16"/>
      <c r="S13" s="16"/>
      <c r="T13" s="16"/>
      <c r="U13" s="16"/>
      <c r="V13" s="16"/>
      <c r="W13" s="16"/>
    </row>
    <row r="14" spans="1:254" s="9" customFormat="1" ht="18.75" x14ac:dyDescent="0.25">
      <c r="A14" s="19" t="s">
        <v>18</v>
      </c>
      <c r="B14" s="25">
        <v>382.49900000000002</v>
      </c>
      <c r="C14" s="20">
        <v>637.5</v>
      </c>
      <c r="D14" s="25">
        <v>534.62186399999996</v>
      </c>
      <c r="E14" s="20">
        <v>486.14478600000001</v>
      </c>
      <c r="F14" s="20">
        <v>567.25472300000001</v>
      </c>
      <c r="G14" s="23">
        <v>0</v>
      </c>
      <c r="H14" s="20">
        <v>453.34800000000001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6" t="s">
        <v>19</v>
      </c>
      <c r="Q14" s="8"/>
      <c r="R14" s="8"/>
      <c r="S14" s="8"/>
      <c r="T14" s="8"/>
      <c r="U14" s="8"/>
      <c r="V14" s="8"/>
      <c r="W14" s="8"/>
    </row>
    <row r="15" spans="1:254" s="9" customFormat="1" ht="18.75" x14ac:dyDescent="0.25">
      <c r="A15" s="19" t="s">
        <v>20</v>
      </c>
      <c r="B15" s="23">
        <v>0</v>
      </c>
      <c r="C15" s="23">
        <v>0</v>
      </c>
      <c r="D15" s="23">
        <v>0</v>
      </c>
      <c r="E15" s="23">
        <v>0</v>
      </c>
      <c r="F15" s="20">
        <v>300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6" t="s">
        <v>21</v>
      </c>
      <c r="Q15" s="15"/>
      <c r="R15" s="15"/>
      <c r="S15" s="15"/>
      <c r="T15" s="15"/>
      <c r="U15" s="15"/>
      <c r="V15" s="15"/>
      <c r="W15" s="15"/>
    </row>
    <row r="16" spans="1:254" s="9" customFormat="1" ht="18.75" hidden="1" x14ac:dyDescent="0.25">
      <c r="A16" s="19" t="s">
        <v>22</v>
      </c>
      <c r="B16" s="23">
        <v>0</v>
      </c>
      <c r="C16" s="25">
        <v>510</v>
      </c>
      <c r="D16" s="23">
        <v>946.91444999999999</v>
      </c>
      <c r="E16" s="23">
        <v>0</v>
      </c>
      <c r="F16" s="23">
        <v>0</v>
      </c>
      <c r="G16" s="23">
        <v>0</v>
      </c>
      <c r="H16" s="23">
        <v>0</v>
      </c>
      <c r="I16" s="23"/>
      <c r="J16" s="23"/>
      <c r="K16" s="23"/>
      <c r="L16" s="23"/>
      <c r="M16" s="23"/>
      <c r="N16" s="27" t="s">
        <v>23</v>
      </c>
      <c r="P16" s="28"/>
      <c r="Q16" s="16"/>
      <c r="R16" s="16"/>
      <c r="S16" s="16"/>
      <c r="T16" s="16"/>
      <c r="U16" s="16"/>
      <c r="V16" s="16"/>
      <c r="W16" s="16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</row>
    <row r="17" spans="1:254" s="9" customFormat="1" ht="15.75" x14ac:dyDescent="0.25">
      <c r="A17" s="19" t="s">
        <v>24</v>
      </c>
      <c r="B17" s="20">
        <v>461.42420499999997</v>
      </c>
      <c r="C17" s="29">
        <v>368.59220499999998</v>
      </c>
      <c r="D17" s="20">
        <v>106.900358</v>
      </c>
      <c r="E17" s="20">
        <v>414.07133499999998</v>
      </c>
      <c r="F17" s="20">
        <v>222.38928999999999</v>
      </c>
      <c r="G17" s="20">
        <v>74.405078000000003</v>
      </c>
      <c r="H17" s="20">
        <v>101.40112999999999</v>
      </c>
      <c r="I17" s="20">
        <v>150.49885417000002</v>
      </c>
      <c r="J17" s="20">
        <v>426.75061399999998</v>
      </c>
      <c r="K17" s="20">
        <v>825.60900800000002</v>
      </c>
      <c r="L17" s="20">
        <v>855.50853600000005</v>
      </c>
      <c r="M17" s="20">
        <v>914.30859999999996</v>
      </c>
      <c r="N17" s="21" t="s">
        <v>25</v>
      </c>
      <c r="P17" s="28"/>
      <c r="Q17" s="8"/>
      <c r="R17" s="8"/>
      <c r="S17" s="8"/>
      <c r="T17" s="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</row>
    <row r="18" spans="1:254" s="9" customFormat="1" ht="18.75" x14ac:dyDescent="0.25">
      <c r="A18" s="19" t="s">
        <v>26</v>
      </c>
      <c r="B18" s="20">
        <v>755.10795499999995</v>
      </c>
      <c r="C18" s="29">
        <v>778.84185600000001</v>
      </c>
      <c r="D18" s="20">
        <v>1283.0210480000001</v>
      </c>
      <c r="E18" s="20">
        <v>1398.4178939999999</v>
      </c>
      <c r="F18" s="20">
        <v>1145.858207</v>
      </c>
      <c r="G18" s="20">
        <v>1187.19235</v>
      </c>
      <c r="H18" s="20">
        <v>188.39416600000001</v>
      </c>
      <c r="I18" s="20">
        <v>648.39113917999998</v>
      </c>
      <c r="J18" s="20">
        <v>997.03823299999999</v>
      </c>
      <c r="K18" s="20">
        <v>2844.0638703076334</v>
      </c>
      <c r="L18" s="20">
        <v>3928.5600615000003</v>
      </c>
      <c r="M18" s="20">
        <v>4107.3524519000002</v>
      </c>
      <c r="N18" s="26" t="s">
        <v>27</v>
      </c>
      <c r="P18" s="28"/>
      <c r="Q18" s="15"/>
      <c r="R18" s="15"/>
      <c r="S18" s="15"/>
      <c r="T18" s="15"/>
      <c r="U18" s="15"/>
      <c r="V18" s="15"/>
      <c r="W18" s="15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</row>
    <row r="19" spans="1:254" s="9" customFormat="1" ht="18.75" hidden="1" x14ac:dyDescent="0.25">
      <c r="A19" s="19" t="s">
        <v>28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3">
        <v>0</v>
      </c>
      <c r="H19" s="23">
        <v>0</v>
      </c>
      <c r="I19" s="23"/>
      <c r="J19" s="23"/>
      <c r="K19" s="23"/>
      <c r="L19" s="23"/>
      <c r="M19" s="23"/>
      <c r="N19" s="26" t="s">
        <v>29</v>
      </c>
      <c r="P19" s="28"/>
      <c r="Q19" s="16"/>
      <c r="R19" s="16"/>
      <c r="S19" s="16"/>
      <c r="T19" s="16"/>
      <c r="U19" s="16"/>
      <c r="V19" s="16"/>
      <c r="W19" s="16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</row>
    <row r="20" spans="1:254" s="9" customFormat="1" ht="15" hidden="1" customHeight="1" x14ac:dyDescent="0.25">
      <c r="A20" s="19" t="s">
        <v>30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3">
        <v>0</v>
      </c>
      <c r="I20" s="23"/>
      <c r="J20" s="23"/>
      <c r="K20" s="23"/>
      <c r="L20" s="23"/>
      <c r="M20" s="23"/>
      <c r="N20" s="21"/>
      <c r="P20" s="28"/>
      <c r="Q20" s="8"/>
      <c r="R20" s="8"/>
      <c r="S20" s="8"/>
      <c r="T20" s="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</row>
    <row r="21" spans="1:254" s="8" customFormat="1" ht="15.75" x14ac:dyDescent="0.25">
      <c r="A21" s="6" t="s">
        <v>31</v>
      </c>
      <c r="B21" s="30">
        <f t="shared" ref="B21:E21" si="3">+B8-B23</f>
        <v>-1943.5229260000015</v>
      </c>
      <c r="C21" s="30">
        <f t="shared" si="3"/>
        <v>-3876.7454459999999</v>
      </c>
      <c r="D21" s="30">
        <f t="shared" si="3"/>
        <v>-2380.6923200000019</v>
      </c>
      <c r="E21" s="30">
        <f t="shared" si="3"/>
        <v>-1463.2154230000015</v>
      </c>
      <c r="F21" s="30">
        <f>+F8-F23</f>
        <v>-2764.8567550000025</v>
      </c>
      <c r="G21" s="30">
        <f>+G8-G23</f>
        <v>-2075.0381229599971</v>
      </c>
      <c r="H21" s="30">
        <f t="shared" ref="H21:L21" si="4">+H8-H23</f>
        <v>-2024.5829999999969</v>
      </c>
      <c r="I21" s="30">
        <f t="shared" si="4"/>
        <v>-4554.1666823600026</v>
      </c>
      <c r="J21" s="30">
        <f t="shared" si="4"/>
        <v>-4514.4942324500335</v>
      </c>
      <c r="K21" s="30">
        <f t="shared" si="4"/>
        <v>-1914.9169894354309</v>
      </c>
      <c r="L21" s="30">
        <f t="shared" si="4"/>
        <v>-2360.1776437196968</v>
      </c>
      <c r="M21" s="30">
        <f t="shared" ref="M21" si="5">+M8-M23</f>
        <v>-2456.6628567149528</v>
      </c>
      <c r="N21" s="18" t="s">
        <v>32</v>
      </c>
      <c r="Q21" s="15"/>
      <c r="R21" s="15"/>
      <c r="S21" s="15"/>
      <c r="T21" s="15"/>
      <c r="U21" s="15"/>
      <c r="V21" s="15"/>
      <c r="W21" s="15"/>
    </row>
    <row r="22" spans="1:254" s="8" customFormat="1" ht="15.75" x14ac:dyDescent="0.25">
      <c r="A22" s="6" t="s">
        <v>67</v>
      </c>
      <c r="B22" s="31"/>
      <c r="C22" s="7"/>
      <c r="D22" s="31"/>
      <c r="E22" s="31"/>
      <c r="F22" s="20"/>
      <c r="G22" s="20"/>
      <c r="H22" s="20"/>
      <c r="I22" s="20"/>
      <c r="J22" s="20"/>
      <c r="K22" s="20"/>
      <c r="L22" s="20"/>
      <c r="M22" s="20"/>
      <c r="N22" s="21" t="s">
        <v>33</v>
      </c>
      <c r="Q22" s="16"/>
      <c r="R22" s="16"/>
      <c r="S22" s="16"/>
      <c r="T22" s="16"/>
      <c r="U22" s="16"/>
      <c r="V22" s="16"/>
      <c r="W22" s="16"/>
    </row>
    <row r="23" spans="1:254" s="8" customFormat="1" ht="15.75" x14ac:dyDescent="0.25">
      <c r="A23" s="6" t="s">
        <v>34</v>
      </c>
      <c r="B23" s="17">
        <v>10740.803755000001</v>
      </c>
      <c r="C23" s="5">
        <v>11714.954263</v>
      </c>
      <c r="D23" s="17">
        <f t="shared" ref="D23:M23" si="6">D24</f>
        <v>11873.506739000002</v>
      </c>
      <c r="E23" s="17">
        <f t="shared" si="6"/>
        <v>13660.056281000001</v>
      </c>
      <c r="F23" s="30">
        <f t="shared" si="6"/>
        <v>15052.676923999999</v>
      </c>
      <c r="G23" s="30">
        <f t="shared" si="6"/>
        <v>15298.463531489997</v>
      </c>
      <c r="H23" s="30">
        <f t="shared" si="6"/>
        <v>17958.287055999997</v>
      </c>
      <c r="I23" s="30">
        <f t="shared" si="6"/>
        <v>22667.86647891</v>
      </c>
      <c r="J23" s="30">
        <f t="shared" si="6"/>
        <v>23804.288298484138</v>
      </c>
      <c r="K23" s="30">
        <f t="shared" si="6"/>
        <v>26791.52246092763</v>
      </c>
      <c r="L23" s="30">
        <f t="shared" si="6"/>
        <v>28640.504564432402</v>
      </c>
      <c r="M23" s="30">
        <f t="shared" si="6"/>
        <v>29974.42510451105</v>
      </c>
      <c r="N23" s="18" t="s">
        <v>35</v>
      </c>
    </row>
    <row r="24" spans="1:254" s="8" customFormat="1" ht="15.75" x14ac:dyDescent="0.25">
      <c r="A24" s="6" t="s">
        <v>36</v>
      </c>
      <c r="B24" s="17">
        <f>SUM(B25:B32)</f>
        <v>10740.803754999997</v>
      </c>
      <c r="C24" s="17">
        <f>SUM(C25:C32)</f>
        <v>11714.954263000003</v>
      </c>
      <c r="D24" s="17">
        <f t="shared" ref="D24:K24" si="7">SUM(D25:D32)</f>
        <v>11873.506739000002</v>
      </c>
      <c r="E24" s="17">
        <f t="shared" si="7"/>
        <v>13660.056281000001</v>
      </c>
      <c r="F24" s="30">
        <f t="shared" si="7"/>
        <v>15052.676923999999</v>
      </c>
      <c r="G24" s="30">
        <f t="shared" si="7"/>
        <v>15298.463531489997</v>
      </c>
      <c r="H24" s="30">
        <f>SUM(H25:H32)</f>
        <v>17958.287055999997</v>
      </c>
      <c r="I24" s="30">
        <f t="shared" si="7"/>
        <v>22667.86647891</v>
      </c>
      <c r="J24" s="30">
        <f t="shared" si="7"/>
        <v>23804.288298484138</v>
      </c>
      <c r="K24" s="30">
        <f t="shared" si="7"/>
        <v>26791.52246092763</v>
      </c>
      <c r="L24" s="30">
        <f>SUM(L25:L32)</f>
        <v>28640.504564432402</v>
      </c>
      <c r="M24" s="30">
        <f>SUM(M25:M32)</f>
        <v>29974.42510451105</v>
      </c>
      <c r="N24" s="18" t="s">
        <v>37</v>
      </c>
      <c r="Q24" s="15"/>
      <c r="R24" s="15"/>
      <c r="S24" s="15"/>
      <c r="T24" s="15"/>
      <c r="U24" s="15"/>
      <c r="V24" s="15"/>
      <c r="W24" s="15"/>
    </row>
    <row r="25" spans="1:254" s="9" customFormat="1" ht="15.75" x14ac:dyDescent="0.25">
      <c r="A25" s="19" t="s">
        <v>38</v>
      </c>
      <c r="B25" s="32">
        <v>9028.3429649999998</v>
      </c>
      <c r="C25" s="33">
        <v>10432.388282</v>
      </c>
      <c r="D25" s="32">
        <v>10483.585333000001</v>
      </c>
      <c r="E25" s="32">
        <v>11488.839484</v>
      </c>
      <c r="F25" s="32">
        <v>13526.464507000001</v>
      </c>
      <c r="G25" s="32">
        <v>13892.434722999998</v>
      </c>
      <c r="H25" s="32">
        <v>17516.209221000001</v>
      </c>
      <c r="I25" s="32">
        <v>21623.477435000001</v>
      </c>
      <c r="J25" s="32">
        <v>22261.257720461756</v>
      </c>
      <c r="K25" s="32">
        <v>23030.360210999999</v>
      </c>
      <c r="L25" s="32">
        <v>23766.908142</v>
      </c>
      <c r="M25" s="32">
        <v>24861.547089</v>
      </c>
      <c r="N25" s="21" t="s">
        <v>39</v>
      </c>
      <c r="Q25" s="16"/>
      <c r="R25" s="16"/>
      <c r="S25" s="16"/>
      <c r="T25" s="16"/>
      <c r="U25" s="16"/>
      <c r="V25" s="16"/>
      <c r="W25" s="16"/>
    </row>
    <row r="26" spans="1:254" s="9" customFormat="1" ht="15.75" x14ac:dyDescent="0.25">
      <c r="A26" s="19" t="s">
        <v>40</v>
      </c>
      <c r="B26" s="32">
        <v>58.229534999999998</v>
      </c>
      <c r="C26" s="33">
        <v>57.178566000000004</v>
      </c>
      <c r="D26" s="32">
        <v>0</v>
      </c>
      <c r="E26" s="32">
        <v>60.209864000000003</v>
      </c>
      <c r="F26" s="32">
        <v>89.611200999999994</v>
      </c>
      <c r="G26" s="32">
        <v>103.50774728999973</v>
      </c>
      <c r="H26" s="32">
        <v>98.288548000000006</v>
      </c>
      <c r="I26" s="32">
        <v>144.219314</v>
      </c>
      <c r="J26" s="32">
        <v>67.956366285714282</v>
      </c>
      <c r="K26" s="32">
        <v>68.210291619999992</v>
      </c>
      <c r="L26" s="32">
        <v>66.248744932399987</v>
      </c>
      <c r="M26" s="32">
        <v>67.937883611047994</v>
      </c>
      <c r="N26" s="21" t="s">
        <v>41</v>
      </c>
      <c r="Q26" s="8"/>
      <c r="R26" s="8"/>
      <c r="S26" s="8"/>
      <c r="T26" s="8"/>
      <c r="U26" s="8"/>
      <c r="V26" s="8"/>
      <c r="W26" s="8"/>
    </row>
    <row r="27" spans="1:254" s="9" customFormat="1" ht="15.75" hidden="1" x14ac:dyDescent="0.25">
      <c r="A27" s="19" t="s">
        <v>42</v>
      </c>
      <c r="B27" s="32">
        <v>7.9</v>
      </c>
      <c r="C27" s="33">
        <v>25.029731999999999</v>
      </c>
      <c r="D27" s="32">
        <v>0</v>
      </c>
      <c r="E27" s="32">
        <v>0</v>
      </c>
      <c r="F27" s="32">
        <v>0</v>
      </c>
      <c r="G27" s="23">
        <v>0</v>
      </c>
      <c r="H27" s="23">
        <v>0</v>
      </c>
      <c r="I27" s="23"/>
      <c r="J27" s="23"/>
      <c r="K27" s="23"/>
      <c r="L27" s="23"/>
      <c r="M27" s="23"/>
      <c r="N27" s="21" t="s">
        <v>43</v>
      </c>
      <c r="Q27" s="15"/>
      <c r="R27" s="15"/>
      <c r="S27" s="15"/>
      <c r="T27" s="15"/>
      <c r="U27" s="15"/>
      <c r="V27" s="15"/>
      <c r="W27" s="15"/>
    </row>
    <row r="28" spans="1:254" s="9" customFormat="1" ht="15.75" x14ac:dyDescent="0.25">
      <c r="A28" s="19" t="s">
        <v>14</v>
      </c>
      <c r="B28" s="32">
        <v>47.299860000000002</v>
      </c>
      <c r="C28" s="33">
        <v>52.923622000000002</v>
      </c>
      <c r="D28" s="32">
        <v>0</v>
      </c>
      <c r="E28" s="32">
        <v>298.51770399999998</v>
      </c>
      <c r="F28" s="32">
        <v>68.353718999999998</v>
      </c>
      <c r="G28" s="32">
        <v>40.923633199999962</v>
      </c>
      <c r="H28" s="32">
        <v>53.993991000000001</v>
      </c>
      <c r="I28" s="32">
        <v>101.27973655999992</v>
      </c>
      <c r="J28" s="32">
        <v>51.285364736666637</v>
      </c>
      <c r="K28" s="32">
        <v>23.279079999999997</v>
      </c>
      <c r="L28" s="32">
        <v>23.279079999999997</v>
      </c>
      <c r="M28" s="32">
        <v>23.279079999999997</v>
      </c>
      <c r="N28" s="21" t="s">
        <v>44</v>
      </c>
      <c r="O28" s="16"/>
      <c r="Q28" s="16"/>
      <c r="R28" s="16"/>
      <c r="S28" s="16"/>
      <c r="T28" s="16"/>
      <c r="U28" s="16"/>
      <c r="V28" s="16"/>
      <c r="W28" s="16"/>
    </row>
    <row r="29" spans="1:254" s="9" customFormat="1" ht="18.75" hidden="1" x14ac:dyDescent="0.25">
      <c r="A29" s="19" t="s">
        <v>16</v>
      </c>
      <c r="B29" s="32">
        <v>382.499235</v>
      </c>
      <c r="C29" s="33">
        <v>0</v>
      </c>
      <c r="D29" s="32">
        <v>0</v>
      </c>
      <c r="E29" s="32">
        <v>0</v>
      </c>
      <c r="F29" s="32">
        <v>0</v>
      </c>
      <c r="G29" s="23">
        <v>0</v>
      </c>
      <c r="H29" s="23">
        <v>0</v>
      </c>
      <c r="I29" s="23"/>
      <c r="J29" s="23"/>
      <c r="K29" s="23"/>
      <c r="L29" s="23"/>
      <c r="M29" s="23"/>
      <c r="N29" s="24" t="s">
        <v>45</v>
      </c>
      <c r="O29" s="16"/>
      <c r="Q29" s="8"/>
      <c r="R29" s="8"/>
      <c r="S29" s="8"/>
      <c r="T29" s="8"/>
      <c r="U29" s="8"/>
      <c r="V29" s="8"/>
      <c r="W29" s="8"/>
    </row>
    <row r="30" spans="1:254" s="16" customFormat="1" ht="15.75" x14ac:dyDescent="0.25">
      <c r="A30" s="34" t="s">
        <v>46</v>
      </c>
      <c r="B30" s="33">
        <v>461.42420499999997</v>
      </c>
      <c r="C30" s="33">
        <v>368.59220499999998</v>
      </c>
      <c r="D30" s="33">
        <v>106.900358</v>
      </c>
      <c r="E30" s="33">
        <v>414.07133499999998</v>
      </c>
      <c r="F30" s="32">
        <v>222.38928999999999</v>
      </c>
      <c r="G30" s="32">
        <v>74.405078000000003</v>
      </c>
      <c r="H30" s="32">
        <v>101.40112999999999</v>
      </c>
      <c r="I30" s="32">
        <v>150.49885417000002</v>
      </c>
      <c r="J30" s="32">
        <v>426.75061399999998</v>
      </c>
      <c r="K30" s="32">
        <v>825.60900800000002</v>
      </c>
      <c r="L30" s="32">
        <v>855.50853600000005</v>
      </c>
      <c r="M30" s="32">
        <v>914.30859999999996</v>
      </c>
      <c r="N30" s="35" t="s">
        <v>47</v>
      </c>
      <c r="Q30" s="15"/>
      <c r="R30" s="15"/>
      <c r="S30" s="15"/>
      <c r="T30" s="15"/>
      <c r="U30" s="15"/>
      <c r="V30" s="15"/>
      <c r="W30" s="15"/>
    </row>
    <row r="31" spans="1:254" s="9" customFormat="1" ht="15.75" x14ac:dyDescent="0.25">
      <c r="A31" s="34" t="s">
        <v>48</v>
      </c>
      <c r="B31" s="33">
        <v>755.10795499999995</v>
      </c>
      <c r="C31" s="33">
        <v>778.84185600000001</v>
      </c>
      <c r="D31" s="33">
        <v>1283.0210480000001</v>
      </c>
      <c r="E31" s="33">
        <v>1398.4178939999999</v>
      </c>
      <c r="F31" s="33">
        <v>1145.858207</v>
      </c>
      <c r="G31" s="33">
        <v>1187.19235</v>
      </c>
      <c r="H31" s="33">
        <v>188.39416600000001</v>
      </c>
      <c r="I31" s="33">
        <v>648.39113917999998</v>
      </c>
      <c r="J31" s="33">
        <v>997.03823299999999</v>
      </c>
      <c r="K31" s="33">
        <v>2844.0638703076334</v>
      </c>
      <c r="L31" s="33">
        <v>3928.5600615000003</v>
      </c>
      <c r="M31" s="33">
        <v>4107.3524519000002</v>
      </c>
      <c r="N31" s="21" t="s">
        <v>49</v>
      </c>
      <c r="O31" s="16"/>
      <c r="Q31" s="16"/>
      <c r="R31" s="16"/>
      <c r="S31" s="16"/>
      <c r="T31" s="16"/>
      <c r="U31" s="16"/>
      <c r="V31" s="16"/>
      <c r="W31" s="16"/>
    </row>
    <row r="32" spans="1:254" s="9" customFormat="1" ht="18.75" hidden="1" x14ac:dyDescent="0.25">
      <c r="A32" s="36" t="s">
        <v>50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8">
        <v>0</v>
      </c>
      <c r="H32" s="38">
        <v>0</v>
      </c>
      <c r="I32" s="38"/>
      <c r="J32" s="38"/>
      <c r="K32" s="38"/>
      <c r="L32" s="38"/>
      <c r="M32" s="38"/>
      <c r="N32" s="39" t="s">
        <v>68</v>
      </c>
      <c r="O32" s="16"/>
      <c r="Q32" s="8"/>
      <c r="R32" s="8"/>
      <c r="S32" s="8"/>
      <c r="T32" s="8"/>
      <c r="U32" s="8"/>
      <c r="V32" s="8"/>
      <c r="W32" s="8"/>
    </row>
    <row r="33" spans="1:15" s="16" customFormat="1" ht="15" x14ac:dyDescent="0.25">
      <c r="A33" s="40" t="s">
        <v>51</v>
      </c>
      <c r="B33" s="41">
        <v>0</v>
      </c>
      <c r="C33" s="41">
        <v>0</v>
      </c>
      <c r="D33" s="42">
        <v>0</v>
      </c>
      <c r="E33" s="42">
        <v>0</v>
      </c>
      <c r="F33" s="37">
        <v>0</v>
      </c>
      <c r="G33" s="38">
        <v>0</v>
      </c>
      <c r="H33" s="38">
        <v>0</v>
      </c>
      <c r="I33" s="38">
        <v>0</v>
      </c>
      <c r="J33" s="42">
        <v>0</v>
      </c>
      <c r="K33" s="42">
        <f>23007353/1000000</f>
        <v>23.007352999999998</v>
      </c>
      <c r="L33" s="42">
        <f>23743165/1000000</f>
        <v>23.743165000000001</v>
      </c>
      <c r="M33" s="42">
        <f>24836710/1000000</f>
        <v>24.83671</v>
      </c>
      <c r="N33" s="43" t="s">
        <v>52</v>
      </c>
      <c r="O33" s="49"/>
    </row>
    <row r="34" spans="1:15" s="9" customFormat="1" ht="18.75" x14ac:dyDescent="0.25">
      <c r="A34" s="44" t="s">
        <v>65</v>
      </c>
      <c r="B34" s="10"/>
      <c r="C34" s="10"/>
      <c r="N34" s="24" t="s">
        <v>53</v>
      </c>
      <c r="O34" s="45" t="s">
        <v>54</v>
      </c>
    </row>
    <row r="35" spans="1:15" s="9" customFormat="1" ht="18.75" x14ac:dyDescent="0.25">
      <c r="A35" s="44" t="s">
        <v>55</v>
      </c>
      <c r="B35" s="10"/>
      <c r="C35" s="10"/>
      <c r="N35" s="24" t="s">
        <v>56</v>
      </c>
      <c r="O35" s="45" t="s">
        <v>57</v>
      </c>
    </row>
    <row r="36" spans="1:15" s="9" customFormat="1" ht="18.75" x14ac:dyDescent="0.25">
      <c r="A36" s="44" t="s">
        <v>58</v>
      </c>
      <c r="B36" s="10"/>
      <c r="C36" s="10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24" t="s">
        <v>59</v>
      </c>
      <c r="O36" s="45" t="s">
        <v>60</v>
      </c>
    </row>
    <row r="37" spans="1:15" s="9" customFormat="1" ht="15.75" x14ac:dyDescent="0.25">
      <c r="A37" s="44" t="s">
        <v>61</v>
      </c>
      <c r="B37" s="10"/>
      <c r="C37" s="10"/>
      <c r="N37" s="21"/>
      <c r="O37" s="47" t="s">
        <v>62</v>
      </c>
    </row>
    <row r="38" spans="1:15" s="9" customFormat="1" ht="15" x14ac:dyDescent="0.25">
      <c r="A38" s="44" t="s">
        <v>63</v>
      </c>
      <c r="B38" s="10"/>
      <c r="C38" s="10"/>
      <c r="N38" s="48"/>
    </row>
    <row r="39" spans="1:15" s="9" customFormat="1" ht="12" x14ac:dyDescent="0.25"/>
  </sheetData>
  <mergeCells count="6">
    <mergeCell ref="A1:O1"/>
    <mergeCell ref="A2:O2"/>
    <mergeCell ref="A3:N3"/>
    <mergeCell ref="A4:N4"/>
    <mergeCell ref="A5:A7"/>
    <mergeCell ref="N5:O7"/>
  </mergeCells>
  <pageMargins left="0.18" right="0.16" top="0.75" bottom="0.75" header="0.3" footer="0.3"/>
  <pageSetup paperSize="9" scale="73" orientation="landscape" horizontalDpi="4294967295" verticalDpi="4294967295" r:id="rId1"/>
  <colBreaks count="1" manualBreakCount="1">
    <brk id="15" max="1048575" man="1"/>
  </colBreaks>
  <ignoredErrors>
    <ignoredError sqref="K22 G22:J22 F22:F23 B21:E23 G23:I23" unlockedFormula="1"/>
    <ignoredError sqref="K2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2017-06-05T07:42:58Z</cp:lastPrinted>
  <dcterms:created xsi:type="dcterms:W3CDTF">2014-03-06T08:38:12Z</dcterms:created>
  <dcterms:modified xsi:type="dcterms:W3CDTF">2017-06-05T07:44:18Z</dcterms:modified>
</cp:coreProperties>
</file>