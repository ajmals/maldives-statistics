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735" tabRatio="688"/>
  </bookViews>
  <sheets>
    <sheet name="13.11" sheetId="23" r:id="rId1"/>
  </sheets>
  <externalReferences>
    <externalReference r:id="rId2"/>
  </externalReferences>
  <definedNames>
    <definedName name="_xlnm.Print_Area" localSheetId="0">'13.11'!$A$1:$P$86</definedName>
    <definedName name="_xlnm.Print_Titles" localSheetId="0">'13.11'!$4:$5</definedName>
  </definedNames>
  <calcPr calcId="144525"/>
</workbook>
</file>

<file path=xl/calcChain.xml><?xml version="1.0" encoding="utf-8"?>
<calcChain xmlns="http://schemas.openxmlformats.org/spreadsheetml/2006/main">
  <c r="P10" i="23" l="1"/>
  <c r="P41" i="23"/>
  <c r="P6" i="23" l="1"/>
  <c r="K41" i="23" l="1"/>
  <c r="O41" i="23"/>
  <c r="L10" i="23"/>
  <c r="M10" i="23"/>
  <c r="N10" i="23"/>
  <c r="O10" i="23"/>
  <c r="K10" i="23"/>
  <c r="O6" i="23" l="1"/>
  <c r="N41" i="23" l="1"/>
  <c r="N6" i="23" s="1"/>
  <c r="M41" i="23"/>
  <c r="M6" i="23" s="1"/>
  <c r="L41" i="23"/>
  <c r="L6" i="23" s="1"/>
  <c r="K6" i="23"/>
  <c r="J41" i="23"/>
  <c r="I41" i="23"/>
  <c r="H41" i="23"/>
  <c r="G41" i="23"/>
  <c r="F41" i="23"/>
  <c r="E41" i="23"/>
  <c r="D41" i="23"/>
  <c r="C41" i="23"/>
  <c r="J10" i="23"/>
  <c r="I10" i="23"/>
  <c r="H10" i="23"/>
  <c r="H6" i="23" s="1"/>
  <c r="G10" i="23"/>
  <c r="G6" i="23" s="1"/>
  <c r="F10" i="23"/>
  <c r="F6" i="23" s="1"/>
  <c r="E10" i="23"/>
  <c r="D10" i="23"/>
  <c r="C10" i="23"/>
  <c r="E6" i="23"/>
  <c r="D6" i="23" l="1"/>
  <c r="I6" i="23"/>
  <c r="J6" i="23"/>
  <c r="C6" i="23"/>
</calcChain>
</file>

<file path=xl/sharedStrings.xml><?xml version="1.0" encoding="utf-8"?>
<sst xmlns="http://schemas.openxmlformats.org/spreadsheetml/2006/main" count="626" uniqueCount="89">
  <si>
    <t>Particulars</t>
  </si>
  <si>
    <t>Actual</t>
  </si>
  <si>
    <t>Revised</t>
  </si>
  <si>
    <t>Actuals</t>
  </si>
  <si>
    <t>(In million MVR)</t>
  </si>
  <si>
    <t>-</t>
  </si>
  <si>
    <t>Source: Ministry of Finance and Treasury</t>
  </si>
  <si>
    <t>IDA</t>
  </si>
  <si>
    <t>ADB</t>
  </si>
  <si>
    <t>IDB</t>
  </si>
  <si>
    <t>IFAD</t>
  </si>
  <si>
    <t>Total grants</t>
  </si>
  <si>
    <t>Current</t>
  </si>
  <si>
    <t>Capital</t>
  </si>
  <si>
    <t xml:space="preserve">   Bilateral</t>
  </si>
  <si>
    <t xml:space="preserve">      India</t>
  </si>
  <si>
    <t xml:space="preserve">      China</t>
  </si>
  <si>
    <t xml:space="preserve">      Brunei</t>
  </si>
  <si>
    <t xml:space="preserve">      Denmark</t>
  </si>
  <si>
    <t xml:space="preserve">      Germany</t>
  </si>
  <si>
    <t xml:space="preserve">      Japan</t>
  </si>
  <si>
    <t xml:space="preserve">      Kuwait</t>
  </si>
  <si>
    <t xml:space="preserve">      Norway</t>
  </si>
  <si>
    <t xml:space="preserve">      Saudi Arabia</t>
  </si>
  <si>
    <t xml:space="preserve">      United Kingdom</t>
  </si>
  <si>
    <t xml:space="preserve">      France</t>
  </si>
  <si>
    <t xml:space="preserve">      Oman</t>
  </si>
  <si>
    <t xml:space="preserve">      Australia</t>
  </si>
  <si>
    <t xml:space="preserve">      Sri lanka</t>
  </si>
  <si>
    <t xml:space="preserve">      Qatar</t>
  </si>
  <si>
    <t xml:space="preserve">      America</t>
  </si>
  <si>
    <t xml:space="preserve">      South Korea</t>
  </si>
  <si>
    <t xml:space="preserve">      New Zealand</t>
  </si>
  <si>
    <t xml:space="preserve">      Sweden</t>
  </si>
  <si>
    <t xml:space="preserve">      Canada</t>
  </si>
  <si>
    <t xml:space="preserve">      Pakistan</t>
  </si>
  <si>
    <t xml:space="preserve">      Netherland</t>
  </si>
  <si>
    <t xml:space="preserve">      Bangladesh </t>
  </si>
  <si>
    <t xml:space="preserve">      Other</t>
  </si>
  <si>
    <t xml:space="preserve">   Multilateral</t>
  </si>
  <si>
    <t>UNDP</t>
  </si>
  <si>
    <t>WHO</t>
  </si>
  <si>
    <t>UNESCO</t>
  </si>
  <si>
    <t>UNICEF</t>
  </si>
  <si>
    <t>UNFPA</t>
  </si>
  <si>
    <t>WORLD BANK</t>
  </si>
  <si>
    <t xml:space="preserve">FIDA </t>
  </si>
  <si>
    <t>FAO</t>
  </si>
  <si>
    <t>SAARC</t>
  </si>
  <si>
    <t>UNODC</t>
  </si>
  <si>
    <t>UNOP</t>
  </si>
  <si>
    <t>NGO</t>
  </si>
  <si>
    <t>Global Fund</t>
  </si>
  <si>
    <t>UNCC</t>
  </si>
  <si>
    <t>Europian Union</t>
  </si>
  <si>
    <t>AGFUND</t>
  </si>
  <si>
    <t>UNEP</t>
  </si>
  <si>
    <t>British Council</t>
  </si>
  <si>
    <t>Asian Football Federation</t>
  </si>
  <si>
    <t>Tsunami Assistance</t>
  </si>
  <si>
    <t xml:space="preserve">Common Wealth </t>
  </si>
  <si>
    <t>UNITAR</t>
  </si>
  <si>
    <t>UNIDO</t>
  </si>
  <si>
    <t>LBO</t>
  </si>
  <si>
    <t>UNESCAP</t>
  </si>
  <si>
    <t xml:space="preserve">ISESCO </t>
  </si>
  <si>
    <t>GEF</t>
  </si>
  <si>
    <t xml:space="preserve">      Finland</t>
  </si>
  <si>
    <t xml:space="preserve">       Thailand</t>
  </si>
  <si>
    <t>Saudi Prince</t>
  </si>
  <si>
    <t>ASDB</t>
  </si>
  <si>
    <t>AFPPD</t>
  </si>
  <si>
    <t>PRC</t>
  </si>
  <si>
    <t>UNOPS</t>
  </si>
  <si>
    <t xml:space="preserve">   Italy</t>
  </si>
  <si>
    <t>US Aid /America</t>
  </si>
  <si>
    <t xml:space="preserve"> </t>
  </si>
  <si>
    <t xml:space="preserve">Other  </t>
  </si>
  <si>
    <t>Table  13.11 : FOREIGN GRANTS BY PRINCIPAL DONORS, 2006 - 2019</t>
  </si>
  <si>
    <t>ތާވަލު 13.11: ބޭރުގެ އެހީ، މައިގަނޑު އެހީ ދޭ ފަރާތްތަކުން، 2006 - 2019</t>
  </si>
  <si>
    <t>Estimate</t>
  </si>
  <si>
    <t>Turkey</t>
  </si>
  <si>
    <t>UAE</t>
  </si>
  <si>
    <t>Caritas Italiana</t>
  </si>
  <si>
    <t>FBO</t>
  </si>
  <si>
    <t>UNSD</t>
  </si>
  <si>
    <t>Inter Parliamentary Union</t>
  </si>
  <si>
    <t>Asia Pacific Forum</t>
  </si>
  <si>
    <t>GCF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</si>
</sst>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1"/>
      <color theme="1"/>
      <name val="Faruma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70" fontId="1" fillId="0" borderId="0" applyFont="0" applyFill="0" applyBorder="0" applyAlignment="0" applyProtection="0"/>
    <xf numFmtId="0" fontId="7" fillId="0" borderId="0"/>
    <xf numFmtId="171" fontId="7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35">
    <xf numFmtId="0" fontId="0" fillId="0" borderId="0" xfId="0"/>
    <xf numFmtId="164" fontId="6" fillId="2" borderId="1" xfId="2" applyNumberFormat="1" applyFont="1" applyFill="1" applyBorder="1" applyAlignment="1" applyProtection="1">
      <alignment horizontal="right" vertical="center"/>
    </xf>
    <xf numFmtId="0" fontId="11" fillId="2" borderId="0" xfId="0" applyFont="1" applyFill="1" applyBorder="1" applyAlignment="1"/>
    <xf numFmtId="0" fontId="12" fillId="2" borderId="0" xfId="0" applyFont="1" applyFill="1" applyBorder="1" applyAlignment="1"/>
    <xf numFmtId="0" fontId="0" fillId="2" borderId="0" xfId="0" applyFont="1" applyFill="1" applyAlignment="1">
      <alignment horizontal="left" vertical="center"/>
    </xf>
    <xf numFmtId="165" fontId="9" fillId="2" borderId="2" xfId="3" applyNumberFormat="1" applyFont="1" applyFill="1" applyBorder="1" applyAlignment="1" applyProtection="1">
      <alignment horizontal="right" vertical="center"/>
    </xf>
    <xf numFmtId="164" fontId="9" fillId="2" borderId="2" xfId="3" applyNumberFormat="1" applyFont="1" applyFill="1" applyBorder="1" applyAlignment="1" applyProtection="1">
      <alignment horizontal="right" vertical="center"/>
      <protection locked="0"/>
    </xf>
    <xf numFmtId="0" fontId="9" fillId="2" borderId="0" xfId="0" applyFont="1" applyFill="1" applyAlignment="1">
      <alignment horizontal="left" vertical="center"/>
    </xf>
    <xf numFmtId="164" fontId="9" fillId="2" borderId="1" xfId="3" applyNumberFormat="1" applyFont="1" applyFill="1" applyBorder="1" applyAlignment="1" applyProtection="1">
      <alignment horizontal="right" vertical="center"/>
    </xf>
    <xf numFmtId="43" fontId="9" fillId="2" borderId="0" xfId="1" applyNumberFormat="1" applyFont="1" applyFill="1" applyBorder="1" applyAlignment="1">
      <alignment horizontal="left" vertical="center"/>
    </xf>
    <xf numFmtId="167" fontId="9" fillId="2" borderId="0" xfId="1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43" fontId="0" fillId="2" borderId="0" xfId="1" applyNumberFormat="1" applyFont="1" applyFill="1" applyBorder="1" applyAlignment="1">
      <alignment horizontal="left" vertical="center" indent="1"/>
    </xf>
    <xf numFmtId="167" fontId="0" fillId="2" borderId="0" xfId="1" applyNumberFormat="1" applyFont="1" applyFill="1" applyBorder="1" applyAlignment="1">
      <alignment horizontal="right" vertical="center"/>
    </xf>
    <xf numFmtId="0" fontId="10" fillId="2" borderId="0" xfId="1" applyNumberFormat="1" applyFont="1" applyFill="1" applyAlignment="1">
      <alignment horizontal="left" vertical="center"/>
    </xf>
    <xf numFmtId="168" fontId="0" fillId="2" borderId="0" xfId="0" applyNumberFormat="1" applyFont="1" applyFill="1" applyAlignment="1">
      <alignment horizontal="left" vertical="center"/>
    </xf>
    <xf numFmtId="168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7" fontId="0" fillId="2" borderId="0" xfId="1" applyNumberFormat="1" applyFont="1" applyFill="1" applyBorder="1" applyAlignment="1" applyProtection="1">
      <alignment horizontal="right" vertical="center"/>
    </xf>
    <xf numFmtId="167" fontId="9" fillId="2" borderId="0" xfId="1" applyNumberFormat="1" applyFont="1" applyFill="1" applyBorder="1" applyAlignment="1" applyProtection="1">
      <alignment horizontal="right" vertical="center"/>
    </xf>
    <xf numFmtId="43" fontId="0" fillId="2" borderId="0" xfId="1" applyNumberFormat="1" applyFont="1" applyFill="1" applyBorder="1" applyAlignment="1">
      <alignment horizontal="left" vertical="center" indent="2"/>
    </xf>
    <xf numFmtId="43" fontId="0" fillId="2" borderId="0" xfId="1" applyNumberFormat="1" applyFont="1" applyFill="1" applyBorder="1" applyAlignment="1">
      <alignment horizontal="left" vertical="center" indent="3"/>
    </xf>
    <xf numFmtId="43" fontId="0" fillId="2" borderId="1" xfId="1" applyNumberFormat="1" applyFont="1" applyFill="1" applyBorder="1" applyAlignment="1">
      <alignment horizontal="left" vertical="center" indent="3"/>
    </xf>
    <xf numFmtId="43" fontId="0" fillId="2" borderId="1" xfId="1" applyNumberFormat="1" applyFont="1" applyFill="1" applyBorder="1" applyAlignment="1">
      <alignment horizontal="left" vertical="center" indent="2"/>
    </xf>
    <xf numFmtId="167" fontId="0" fillId="2" borderId="1" xfId="1" applyNumberFormat="1" applyFont="1" applyFill="1" applyBorder="1" applyAlignment="1">
      <alignment horizontal="right" vertical="center"/>
    </xf>
    <xf numFmtId="168" fontId="10" fillId="2" borderId="0" xfId="0" applyNumberFormat="1" applyFont="1" applyFill="1" applyAlignment="1">
      <alignment horizontal="left" vertical="center" indent="1"/>
    </xf>
    <xf numFmtId="11" fontId="0" fillId="2" borderId="0" xfId="0" applyNumberFormat="1" applyFont="1" applyFill="1" applyAlignment="1">
      <alignment horizontal="left" vertical="center"/>
    </xf>
    <xf numFmtId="164" fontId="6" fillId="2" borderId="2" xfId="2" applyNumberFormat="1" applyFont="1" applyFill="1" applyBorder="1" applyAlignment="1" applyProtection="1">
      <alignment horizontal="right" vertical="center"/>
      <protection locked="0"/>
    </xf>
    <xf numFmtId="164" fontId="9" fillId="2" borderId="2" xfId="3" applyNumberFormat="1" applyFont="1" applyFill="1" applyBorder="1" applyAlignment="1" applyProtection="1">
      <alignment horizontal="left" vertical="center"/>
    </xf>
    <xf numFmtId="164" fontId="9" fillId="2" borderId="1" xfId="3" applyNumberFormat="1" applyFont="1" applyFill="1" applyBorder="1" applyAlignment="1" applyProtection="1">
      <alignment horizontal="left" vertical="center"/>
    </xf>
    <xf numFmtId="164" fontId="9" fillId="2" borderId="0" xfId="3" applyNumberFormat="1" applyFont="1" applyFill="1" applyBorder="1" applyAlignment="1" applyProtection="1">
      <alignment horizontal="center" vertical="center"/>
    </xf>
    <xf numFmtId="164" fontId="9" fillId="2" borderId="2" xfId="3" applyNumberFormat="1" applyFont="1" applyFill="1" applyBorder="1" applyAlignment="1" applyProtection="1">
      <alignment horizontal="left" vertical="center"/>
    </xf>
    <xf numFmtId="164" fontId="9" fillId="2" borderId="1" xfId="3" applyNumberFormat="1" applyFont="1" applyFill="1" applyBorder="1" applyAlignment="1" applyProtection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2">
    <cellStyle name="Comma" xfId="1" builtinId="3"/>
    <cellStyle name="Comma 2" xfId="7"/>
    <cellStyle name="Comma 3" xfId="8"/>
    <cellStyle name="Comma 4" xfId="4"/>
    <cellStyle name="Comma 6" xfId="10"/>
    <cellStyle name="Excel Built-in Comma" xfId="6"/>
    <cellStyle name="Excel Built-in Normal" xfId="5"/>
    <cellStyle name="Normal" xfId="0" builtinId="0"/>
    <cellStyle name="Normal 2" xfId="11"/>
    <cellStyle name="Normal 4" xfId="9"/>
    <cellStyle name="Normal_13 Public Finance_done" xfId="2"/>
    <cellStyle name="Normal_13 Public Finance_done 2" xfId="3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s\Statistical%20%20Year%20Book\YEARBOOK%202013\RECEIVED%20TABLES\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71"/>
  <sheetViews>
    <sheetView tabSelected="1" zoomScaleNormal="100" workbookViewId="0">
      <pane ySplit="5" topLeftCell="A42" activePane="bottomLeft" state="frozen"/>
      <selection pane="bottomLeft" activeCell="A2" sqref="A2:P2"/>
    </sheetView>
  </sheetViews>
  <sheetFormatPr defaultColWidth="8.42578125" defaultRowHeight="15" x14ac:dyDescent="0.25"/>
  <cols>
    <col min="1" max="1" width="11" style="4" customWidth="1"/>
    <col min="2" max="2" width="16.7109375" style="4" customWidth="1"/>
    <col min="3" max="3" width="9.42578125" style="4" customWidth="1"/>
    <col min="4" max="4" width="11" style="4" customWidth="1"/>
    <col min="5" max="6" width="9.42578125" style="4" customWidth="1"/>
    <col min="7" max="7" width="9" style="4" customWidth="1"/>
    <col min="8" max="9" width="9.28515625" style="4" customWidth="1"/>
    <col min="10" max="10" width="6.85546875" style="4" customWidth="1"/>
    <col min="11" max="11" width="9.28515625" style="4" bestFit="1" customWidth="1"/>
    <col min="12" max="12" width="10.7109375" style="4" bestFit="1" customWidth="1"/>
    <col min="13" max="13" width="11" style="4" bestFit="1" customWidth="1"/>
    <col min="14" max="14" width="9.42578125" style="4" bestFit="1" customWidth="1"/>
    <col min="15" max="16384" width="8.42578125" style="4"/>
  </cols>
  <sheetData>
    <row r="1" spans="1:19" ht="21" x14ac:dyDescent="0.25">
      <c r="A1" s="34" t="s">
        <v>79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9" x14ac:dyDescent="0.25">
      <c r="A2" s="30" t="s">
        <v>78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9" x14ac:dyDescent="0.25">
      <c r="A3" s="33" t="s">
        <v>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9" s="7" customFormat="1" x14ac:dyDescent="0.25">
      <c r="A4" s="31" t="s">
        <v>0</v>
      </c>
      <c r="B4" s="28"/>
      <c r="C4" s="5"/>
      <c r="D4" s="5"/>
      <c r="E4" s="6"/>
      <c r="F4" s="6"/>
      <c r="G4" s="6"/>
      <c r="H4" s="6"/>
      <c r="I4" s="6"/>
      <c r="J4" s="6"/>
      <c r="K4" s="6" t="s">
        <v>3</v>
      </c>
      <c r="L4" s="27" t="s">
        <v>1</v>
      </c>
      <c r="M4" s="27" t="s">
        <v>2</v>
      </c>
      <c r="N4" s="27" t="s">
        <v>80</v>
      </c>
      <c r="O4" s="27" t="s">
        <v>80</v>
      </c>
      <c r="P4" s="27" t="s">
        <v>80</v>
      </c>
    </row>
    <row r="5" spans="1:19" s="7" customFormat="1" x14ac:dyDescent="0.25">
      <c r="A5" s="32"/>
      <c r="B5" s="29"/>
      <c r="C5" s="8">
        <v>2006</v>
      </c>
      <c r="D5" s="8">
        <v>2007</v>
      </c>
      <c r="E5" s="8">
        <v>2008</v>
      </c>
      <c r="F5" s="8">
        <v>2009</v>
      </c>
      <c r="G5" s="8">
        <v>2010</v>
      </c>
      <c r="H5" s="8">
        <v>2011</v>
      </c>
      <c r="I5" s="8">
        <v>2012</v>
      </c>
      <c r="J5" s="8">
        <v>2013</v>
      </c>
      <c r="K5" s="8">
        <v>2014</v>
      </c>
      <c r="L5" s="1">
        <v>2015</v>
      </c>
      <c r="M5" s="1">
        <v>2016</v>
      </c>
      <c r="N5" s="1">
        <v>2017</v>
      </c>
      <c r="O5" s="1">
        <v>2018</v>
      </c>
      <c r="P5" s="1">
        <v>2019</v>
      </c>
    </row>
    <row r="6" spans="1:19" x14ac:dyDescent="0.25">
      <c r="A6" s="9" t="s">
        <v>11</v>
      </c>
      <c r="B6" s="10"/>
      <c r="C6" s="10">
        <f t="shared" ref="C6:O6" si="0">C10+C41</f>
        <v>867.39999999999986</v>
      </c>
      <c r="D6" s="10">
        <f t="shared" si="0"/>
        <v>1044</v>
      </c>
      <c r="E6" s="10">
        <f t="shared" si="0"/>
        <v>399.27022199999999</v>
      </c>
      <c r="F6" s="10">
        <f t="shared" si="0"/>
        <v>416.93679480000003</v>
      </c>
      <c r="G6" s="10">
        <f t="shared" si="0"/>
        <v>106.90035900000001</v>
      </c>
      <c r="H6" s="10">
        <f t="shared" si="0"/>
        <v>732.43525699999998</v>
      </c>
      <c r="I6" s="10">
        <f t="shared" si="0"/>
        <v>366.59901528</v>
      </c>
      <c r="J6" s="10">
        <f t="shared" si="0"/>
        <v>117.585902</v>
      </c>
      <c r="K6" s="10">
        <f>K10+K41</f>
        <v>165.26972699999999</v>
      </c>
      <c r="L6" s="10">
        <f t="shared" si="0"/>
        <v>636.94119636999983</v>
      </c>
      <c r="M6" s="10">
        <f t="shared" si="0"/>
        <v>478.86920934666659</v>
      </c>
      <c r="N6" s="10">
        <f t="shared" si="0"/>
        <v>875.6090079999999</v>
      </c>
      <c r="O6" s="10">
        <f t="shared" si="0"/>
        <v>905.50853600000005</v>
      </c>
      <c r="P6" s="10">
        <f t="shared" ref="P6" si="1">P10+P41</f>
        <v>964.30860000000007</v>
      </c>
    </row>
    <row r="7" spans="1:19" x14ac:dyDescent="0.25">
      <c r="A7" s="12" t="s">
        <v>12</v>
      </c>
      <c r="B7" s="12"/>
      <c r="C7" s="13">
        <v>74.2</v>
      </c>
      <c r="D7" s="13">
        <v>108.1</v>
      </c>
      <c r="E7" s="13">
        <v>55.550635999999997</v>
      </c>
      <c r="F7" s="13">
        <v>38.580908000000001</v>
      </c>
      <c r="G7" s="13">
        <v>1.7</v>
      </c>
      <c r="H7" s="13">
        <v>321.37</v>
      </c>
      <c r="I7" s="13">
        <v>144.28058300000001</v>
      </c>
      <c r="J7" s="13">
        <v>43.25014952999998</v>
      </c>
      <c r="K7" s="13">
        <v>63.872695</v>
      </c>
      <c r="L7" s="13">
        <v>486.44234219999981</v>
      </c>
      <c r="M7" s="13">
        <v>52.118595346666666</v>
      </c>
      <c r="N7" s="13">
        <v>50</v>
      </c>
      <c r="O7" s="13">
        <v>50</v>
      </c>
      <c r="P7" s="13">
        <v>50</v>
      </c>
    </row>
    <row r="8" spans="1:19" x14ac:dyDescent="0.25">
      <c r="A8" s="12" t="s">
        <v>13</v>
      </c>
      <c r="B8" s="12"/>
      <c r="C8" s="13">
        <v>793.2</v>
      </c>
      <c r="D8" s="13">
        <v>935.9</v>
      </c>
      <c r="E8" s="13">
        <v>461.42420499999997</v>
      </c>
      <c r="F8" s="13">
        <v>382.93491899999998</v>
      </c>
      <c r="G8" s="13">
        <v>105.2</v>
      </c>
      <c r="H8" s="13">
        <v>411.09999999999997</v>
      </c>
      <c r="I8" s="13">
        <v>222.38928999999999</v>
      </c>
      <c r="J8" s="13">
        <v>74.405078000000003</v>
      </c>
      <c r="K8" s="13">
        <v>101.40112999999999</v>
      </c>
      <c r="L8" s="13">
        <v>150.49885417000002</v>
      </c>
      <c r="M8" s="13">
        <v>426.75061399999998</v>
      </c>
      <c r="N8" s="13">
        <v>825.60900800000002</v>
      </c>
      <c r="O8" s="13">
        <v>855.50853600000005</v>
      </c>
      <c r="P8" s="13">
        <v>914.30859999999996</v>
      </c>
      <c r="Q8" s="14"/>
      <c r="R8" s="14"/>
      <c r="S8" s="14"/>
    </row>
    <row r="9" spans="1:19" x14ac:dyDescent="0.25">
      <c r="A9" s="9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5"/>
      <c r="R9" s="15"/>
      <c r="S9" s="15"/>
    </row>
    <row r="10" spans="1:19" s="17" customFormat="1" x14ac:dyDescent="0.25">
      <c r="A10" s="9" t="s">
        <v>14</v>
      </c>
      <c r="B10" s="9"/>
      <c r="C10" s="10">
        <f>SUM(C11:C39)</f>
        <v>61.400000000000006</v>
      </c>
      <c r="D10" s="10">
        <f t="shared" ref="D10:J10" si="2">SUM(D11:D39)</f>
        <v>145.69999999999999</v>
      </c>
      <c r="E10" s="10">
        <f t="shared" si="2"/>
        <v>103.44919200000001</v>
      </c>
      <c r="F10" s="10">
        <f t="shared" si="2"/>
        <v>110.16981440000001</v>
      </c>
      <c r="G10" s="10">
        <f t="shared" si="2"/>
        <v>100.10901800000001</v>
      </c>
      <c r="H10" s="10">
        <f t="shared" si="2"/>
        <v>704.76930299999992</v>
      </c>
      <c r="I10" s="10">
        <f t="shared" si="2"/>
        <v>194.41182400000002</v>
      </c>
      <c r="J10" s="10">
        <f t="shared" si="2"/>
        <v>47.533464000000002</v>
      </c>
      <c r="K10" s="10">
        <f>SUM(K11:K39)</f>
        <v>81.700487999999993</v>
      </c>
      <c r="L10" s="10">
        <f t="shared" ref="L10:O10" si="3">SUM(L11:L39)</f>
        <v>432.32074392999988</v>
      </c>
      <c r="M10" s="10">
        <f t="shared" si="3"/>
        <v>239.51758057999999</v>
      </c>
      <c r="N10" s="10">
        <f t="shared" si="3"/>
        <v>570.1878109999999</v>
      </c>
      <c r="O10" s="10">
        <f t="shared" si="3"/>
        <v>521.24544400000002</v>
      </c>
      <c r="P10" s="10">
        <f t="shared" ref="P10" si="4">SUM(P11:P39)</f>
        <v>542.88599999999997</v>
      </c>
      <c r="Q10" s="16"/>
      <c r="R10" s="16"/>
      <c r="S10" s="16"/>
    </row>
    <row r="11" spans="1:19" x14ac:dyDescent="0.25">
      <c r="A11" s="12" t="s">
        <v>15</v>
      </c>
      <c r="B11" s="12"/>
      <c r="C11" s="13">
        <v>0.2</v>
      </c>
      <c r="D11" s="13">
        <v>31.2</v>
      </c>
      <c r="E11" s="13">
        <v>13.244916999999999</v>
      </c>
      <c r="F11" s="13">
        <v>0.38777200000000001</v>
      </c>
      <c r="G11" s="13" t="s">
        <v>5</v>
      </c>
      <c r="H11" s="13">
        <v>292.81524000000002</v>
      </c>
      <c r="I11" s="13">
        <v>37.245066000000001</v>
      </c>
      <c r="J11" s="13">
        <v>17.073177999999999</v>
      </c>
      <c r="K11" s="13">
        <v>24.416872999999999</v>
      </c>
      <c r="L11" s="13">
        <v>2.2499999999999999E-2</v>
      </c>
      <c r="M11" s="13">
        <v>3.6698823900000002</v>
      </c>
      <c r="N11" s="13">
        <v>55.512</v>
      </c>
      <c r="O11" s="13">
        <v>111.024</v>
      </c>
      <c r="P11" s="13">
        <v>111.024</v>
      </c>
      <c r="Q11" s="15"/>
      <c r="R11" s="15"/>
      <c r="S11" s="15"/>
    </row>
    <row r="12" spans="1:19" x14ac:dyDescent="0.25">
      <c r="A12" s="12" t="s">
        <v>16</v>
      </c>
      <c r="B12" s="12"/>
      <c r="C12" s="13">
        <v>0.8</v>
      </c>
      <c r="D12" s="13">
        <v>2</v>
      </c>
      <c r="E12" s="13">
        <v>21.409351000000001</v>
      </c>
      <c r="F12" s="13">
        <v>44.171931799999996</v>
      </c>
      <c r="G12" s="13">
        <v>98.695518000000007</v>
      </c>
      <c r="H12" s="13">
        <v>204.53121000000002</v>
      </c>
      <c r="I12" s="13">
        <v>0</v>
      </c>
      <c r="J12" s="13" t="s">
        <v>5</v>
      </c>
      <c r="K12" s="13">
        <v>1.518337</v>
      </c>
      <c r="L12" s="13">
        <v>17.469778999999999</v>
      </c>
      <c r="M12" s="13">
        <v>190.57359049999999</v>
      </c>
      <c r="N12" s="13">
        <v>174.846394</v>
      </c>
      <c r="O12" s="13">
        <v>194.292</v>
      </c>
      <c r="P12" s="13">
        <v>242.09399999999999</v>
      </c>
      <c r="Q12" s="15"/>
      <c r="R12" s="15"/>
      <c r="S12" s="15"/>
    </row>
    <row r="13" spans="1:19" x14ac:dyDescent="0.25">
      <c r="A13" s="12" t="s">
        <v>17</v>
      </c>
      <c r="B13" s="12"/>
      <c r="C13" s="13" t="s">
        <v>5</v>
      </c>
      <c r="D13" s="13" t="s">
        <v>5</v>
      </c>
      <c r="E13" s="13" t="s">
        <v>5</v>
      </c>
      <c r="F13" s="13" t="s">
        <v>5</v>
      </c>
      <c r="G13" s="13" t="s">
        <v>5</v>
      </c>
      <c r="H13" s="13" t="s">
        <v>5</v>
      </c>
      <c r="I13" s="13">
        <v>1.647303</v>
      </c>
      <c r="J13" s="13">
        <v>1.214658</v>
      </c>
      <c r="K13" s="13">
        <v>0.47871999999999998</v>
      </c>
      <c r="L13" s="13">
        <v>0.38303172999999996</v>
      </c>
      <c r="M13" s="13" t="s">
        <v>5</v>
      </c>
      <c r="N13" s="13" t="s">
        <v>5</v>
      </c>
      <c r="O13" s="13" t="s">
        <v>5</v>
      </c>
      <c r="P13" s="13" t="s">
        <v>5</v>
      </c>
      <c r="Q13" s="15"/>
      <c r="R13" s="15"/>
      <c r="S13" s="15"/>
    </row>
    <row r="14" spans="1:19" x14ac:dyDescent="0.25">
      <c r="A14" s="12" t="s">
        <v>67</v>
      </c>
      <c r="B14" s="12"/>
      <c r="C14" s="13" t="s">
        <v>5</v>
      </c>
      <c r="D14" s="13" t="s">
        <v>5</v>
      </c>
      <c r="E14" s="13" t="s">
        <v>5</v>
      </c>
      <c r="F14" s="13" t="s">
        <v>5</v>
      </c>
      <c r="G14" s="13" t="s">
        <v>5</v>
      </c>
      <c r="H14" s="13" t="s">
        <v>5</v>
      </c>
      <c r="I14" s="13" t="s">
        <v>5</v>
      </c>
      <c r="J14" s="13">
        <v>3.1860189999999999</v>
      </c>
      <c r="K14" s="13">
        <v>3.1860189999999999</v>
      </c>
      <c r="L14" s="13" t="s">
        <v>5</v>
      </c>
      <c r="M14" s="13" t="s">
        <v>5</v>
      </c>
      <c r="N14" s="13" t="s">
        <v>5</v>
      </c>
      <c r="O14" s="13" t="s">
        <v>5</v>
      </c>
      <c r="P14" s="13" t="s">
        <v>5</v>
      </c>
      <c r="Q14" s="15"/>
      <c r="R14" s="15"/>
      <c r="S14" s="15"/>
    </row>
    <row r="15" spans="1:19" x14ac:dyDescent="0.25">
      <c r="A15" s="12" t="s">
        <v>18</v>
      </c>
      <c r="B15" s="12"/>
      <c r="C15" s="13" t="s">
        <v>5</v>
      </c>
      <c r="D15" s="13" t="s">
        <v>5</v>
      </c>
      <c r="E15" s="13" t="s">
        <v>5</v>
      </c>
      <c r="F15" s="13" t="s">
        <v>5</v>
      </c>
      <c r="G15" s="13" t="s">
        <v>5</v>
      </c>
      <c r="H15" s="13">
        <v>113.542565</v>
      </c>
      <c r="I15" s="13" t="s">
        <v>5</v>
      </c>
      <c r="J15" s="13">
        <v>0.61314000000000002</v>
      </c>
      <c r="K15" s="13">
        <v>0.61148100000000005</v>
      </c>
      <c r="L15" s="13">
        <v>0.67301387000000001</v>
      </c>
      <c r="M15" s="13">
        <v>0.6</v>
      </c>
      <c r="N15" s="13">
        <v>0.6</v>
      </c>
      <c r="O15" s="13">
        <v>0.6</v>
      </c>
      <c r="P15" s="13">
        <v>0.6</v>
      </c>
      <c r="Q15" s="15"/>
      <c r="R15" s="15"/>
      <c r="S15" s="15"/>
    </row>
    <row r="16" spans="1:19" x14ac:dyDescent="0.25">
      <c r="A16" s="12" t="s">
        <v>19</v>
      </c>
      <c r="B16" s="12"/>
      <c r="C16" s="13" t="s">
        <v>5</v>
      </c>
      <c r="D16" s="13" t="s">
        <v>5</v>
      </c>
      <c r="E16" s="13" t="s">
        <v>5</v>
      </c>
      <c r="F16" s="13" t="s">
        <v>5</v>
      </c>
      <c r="G16" s="13" t="s">
        <v>5</v>
      </c>
      <c r="H16" s="13" t="s">
        <v>5</v>
      </c>
      <c r="I16" s="13" t="s">
        <v>5</v>
      </c>
      <c r="J16" s="13">
        <v>4.2063240000000004</v>
      </c>
      <c r="K16" s="13">
        <v>16.547422999999998</v>
      </c>
      <c r="L16" s="13" t="s">
        <v>5</v>
      </c>
      <c r="M16" s="13" t="s">
        <v>5</v>
      </c>
      <c r="N16" s="13" t="s">
        <v>5</v>
      </c>
      <c r="O16" s="13" t="s">
        <v>5</v>
      </c>
      <c r="P16" s="13" t="s">
        <v>5</v>
      </c>
      <c r="Q16" s="15"/>
      <c r="R16" s="15"/>
      <c r="S16" s="15"/>
    </row>
    <row r="17" spans="1:19" x14ac:dyDescent="0.25">
      <c r="A17" s="12" t="s">
        <v>20</v>
      </c>
      <c r="B17" s="12"/>
      <c r="C17" s="13">
        <v>14</v>
      </c>
      <c r="D17" s="13">
        <v>8.8000000000000007</v>
      </c>
      <c r="E17" s="13">
        <v>67.310708000000005</v>
      </c>
      <c r="F17" s="13">
        <v>28.627313600000001</v>
      </c>
      <c r="G17" s="13">
        <v>1.4135</v>
      </c>
      <c r="H17" s="13">
        <v>93.491135</v>
      </c>
      <c r="I17" s="13">
        <v>40.564931000000001</v>
      </c>
      <c r="J17" s="13">
        <v>9.9695370000000008</v>
      </c>
      <c r="K17" s="13">
        <v>3.7877999999999998</v>
      </c>
      <c r="L17" s="13">
        <v>3.0838901099999902</v>
      </c>
      <c r="M17" s="13">
        <v>7.4130609999999999</v>
      </c>
      <c r="N17" s="13">
        <v>2</v>
      </c>
      <c r="O17" s="13">
        <v>2</v>
      </c>
      <c r="P17" s="13">
        <v>2</v>
      </c>
      <c r="Q17" s="15"/>
      <c r="R17" s="15"/>
      <c r="S17" s="15"/>
    </row>
    <row r="18" spans="1:19" x14ac:dyDescent="0.25">
      <c r="A18" s="12" t="s">
        <v>21</v>
      </c>
      <c r="B18" s="12"/>
      <c r="C18" s="13">
        <v>0.1</v>
      </c>
      <c r="D18" s="13" t="s">
        <v>5</v>
      </c>
      <c r="E18" s="13" t="s">
        <v>5</v>
      </c>
      <c r="F18" s="13" t="s">
        <v>5</v>
      </c>
      <c r="G18" s="13" t="s">
        <v>5</v>
      </c>
      <c r="H18" s="13">
        <v>0</v>
      </c>
      <c r="I18" s="13">
        <v>6.4226900000000002</v>
      </c>
      <c r="J18" s="13">
        <v>1.2205839999999999</v>
      </c>
      <c r="K18" s="13">
        <v>13.778985</v>
      </c>
      <c r="L18" s="13">
        <v>1.213191479999999</v>
      </c>
      <c r="M18" s="13">
        <v>6.2272699999999999</v>
      </c>
      <c r="N18" s="13">
        <v>0.5</v>
      </c>
      <c r="O18" s="13">
        <v>0.5</v>
      </c>
      <c r="P18" s="13">
        <v>0.5</v>
      </c>
      <c r="Q18" s="15"/>
      <c r="R18" s="15"/>
      <c r="S18" s="15"/>
    </row>
    <row r="19" spans="1:19" x14ac:dyDescent="0.25">
      <c r="A19" s="12" t="s">
        <v>22</v>
      </c>
      <c r="B19" s="12"/>
      <c r="C19" s="13" t="s">
        <v>5</v>
      </c>
      <c r="D19" s="13" t="s">
        <v>5</v>
      </c>
      <c r="E19" s="13" t="s">
        <v>5</v>
      </c>
      <c r="F19" s="13" t="s">
        <v>5</v>
      </c>
      <c r="G19" s="13" t="s">
        <v>5</v>
      </c>
      <c r="H19" s="13">
        <v>0</v>
      </c>
      <c r="I19" s="13" t="s">
        <v>5</v>
      </c>
      <c r="J19" s="13" t="s">
        <v>5</v>
      </c>
      <c r="K19" s="13" t="s">
        <v>5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5"/>
      <c r="R19" s="15"/>
      <c r="S19" s="15"/>
    </row>
    <row r="20" spans="1:19" x14ac:dyDescent="0.25">
      <c r="A20" s="12" t="s">
        <v>23</v>
      </c>
      <c r="B20" s="12"/>
      <c r="C20" s="13" t="s">
        <v>5</v>
      </c>
      <c r="D20" s="13" t="s">
        <v>5</v>
      </c>
      <c r="E20" s="13" t="s">
        <v>5</v>
      </c>
      <c r="F20" s="13">
        <v>31.664140800000002</v>
      </c>
      <c r="G20" s="13" t="s">
        <v>5</v>
      </c>
      <c r="H20" s="13">
        <v>0</v>
      </c>
      <c r="I20" s="13">
        <v>1.3487000000000001E-2</v>
      </c>
      <c r="J20" s="13" t="s">
        <v>5</v>
      </c>
      <c r="K20" s="13">
        <v>16.755168999999999</v>
      </c>
      <c r="L20" s="13">
        <v>374.74738300999991</v>
      </c>
      <c r="M20" s="13">
        <v>30.590335</v>
      </c>
      <c r="N20" s="13">
        <v>274.24941699999999</v>
      </c>
      <c r="O20" s="13">
        <v>53.329444000000002</v>
      </c>
      <c r="P20" s="13">
        <v>27.167999999999999</v>
      </c>
      <c r="Q20" s="15"/>
      <c r="R20" s="15"/>
      <c r="S20" s="15"/>
    </row>
    <row r="21" spans="1:19" x14ac:dyDescent="0.25">
      <c r="A21" s="12" t="s">
        <v>24</v>
      </c>
      <c r="B21" s="12"/>
      <c r="C21" s="13" t="s">
        <v>5</v>
      </c>
      <c r="D21" s="13" t="s">
        <v>5</v>
      </c>
      <c r="E21" s="13" t="s">
        <v>5</v>
      </c>
      <c r="F21" s="13" t="s">
        <v>5</v>
      </c>
      <c r="G21" s="13" t="s">
        <v>5</v>
      </c>
      <c r="H21" s="13">
        <v>0</v>
      </c>
      <c r="I21" s="13" t="s">
        <v>5</v>
      </c>
      <c r="J21" s="13" t="s">
        <v>5</v>
      </c>
      <c r="K21" s="13" t="s">
        <v>5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5"/>
      <c r="R21" s="15"/>
      <c r="S21" s="15"/>
    </row>
    <row r="22" spans="1:19" x14ac:dyDescent="0.25">
      <c r="A22" s="12" t="s">
        <v>25</v>
      </c>
      <c r="B22" s="12"/>
      <c r="C22" s="13" t="s">
        <v>5</v>
      </c>
      <c r="D22" s="13" t="s">
        <v>5</v>
      </c>
      <c r="E22" s="13" t="s">
        <v>5</v>
      </c>
      <c r="F22" s="13" t="s">
        <v>5</v>
      </c>
      <c r="G22" s="13" t="s">
        <v>5</v>
      </c>
      <c r="H22" s="13">
        <v>0</v>
      </c>
      <c r="I22" s="13" t="s">
        <v>5</v>
      </c>
      <c r="J22" s="13" t="s">
        <v>5</v>
      </c>
      <c r="K22" s="13" t="s">
        <v>5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5"/>
      <c r="R22" s="15"/>
      <c r="S22" s="15"/>
    </row>
    <row r="23" spans="1:19" x14ac:dyDescent="0.25">
      <c r="A23" s="12" t="s">
        <v>26</v>
      </c>
      <c r="B23" s="12"/>
      <c r="C23" s="13" t="s">
        <v>5</v>
      </c>
      <c r="D23" s="13" t="s">
        <v>5</v>
      </c>
      <c r="E23" s="13" t="s">
        <v>5</v>
      </c>
      <c r="F23" s="13" t="s">
        <v>5</v>
      </c>
      <c r="G23" s="13" t="s">
        <v>5</v>
      </c>
      <c r="H23" s="13">
        <v>0</v>
      </c>
      <c r="I23" s="13" t="s">
        <v>5</v>
      </c>
      <c r="J23" s="13" t="s">
        <v>5</v>
      </c>
      <c r="K23" s="13" t="s">
        <v>5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5"/>
      <c r="R23" s="15"/>
      <c r="S23" s="15"/>
    </row>
    <row r="24" spans="1:19" x14ac:dyDescent="0.25">
      <c r="A24" s="12" t="s">
        <v>27</v>
      </c>
      <c r="B24" s="12"/>
      <c r="C24" s="13" t="s">
        <v>5</v>
      </c>
      <c r="D24" s="13" t="s">
        <v>5</v>
      </c>
      <c r="E24" s="13" t="s">
        <v>5</v>
      </c>
      <c r="F24" s="13">
        <v>0.106756</v>
      </c>
      <c r="G24" s="13" t="s">
        <v>5</v>
      </c>
      <c r="H24" s="13">
        <v>0</v>
      </c>
      <c r="I24" s="13" t="s">
        <v>5</v>
      </c>
      <c r="J24" s="13" t="s">
        <v>5</v>
      </c>
      <c r="K24" s="13" t="s">
        <v>5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5"/>
      <c r="R24" s="15"/>
      <c r="S24" s="15"/>
    </row>
    <row r="25" spans="1:19" x14ac:dyDescent="0.25">
      <c r="A25" s="12" t="s">
        <v>28</v>
      </c>
      <c r="B25" s="12"/>
      <c r="C25" s="13">
        <v>6</v>
      </c>
      <c r="D25" s="13">
        <v>13.8</v>
      </c>
      <c r="E25" s="13" t="s">
        <v>5</v>
      </c>
      <c r="F25" s="13" t="s">
        <v>5</v>
      </c>
      <c r="G25" s="13" t="s">
        <v>5</v>
      </c>
      <c r="H25" s="13">
        <v>0</v>
      </c>
      <c r="I25" s="13">
        <v>107.94</v>
      </c>
      <c r="J25" s="13">
        <v>9.8850739999999995</v>
      </c>
      <c r="K25" s="13" t="s">
        <v>5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5"/>
      <c r="R25" s="15"/>
      <c r="S25" s="15"/>
    </row>
    <row r="26" spans="1:19" x14ac:dyDescent="0.25">
      <c r="A26" s="12" t="s">
        <v>29</v>
      </c>
      <c r="B26" s="12"/>
      <c r="C26" s="13" t="s">
        <v>5</v>
      </c>
      <c r="D26" s="13" t="s">
        <v>5</v>
      </c>
      <c r="E26" s="13" t="s">
        <v>5</v>
      </c>
      <c r="F26" s="13" t="s">
        <v>5</v>
      </c>
      <c r="G26" s="13" t="s">
        <v>5</v>
      </c>
      <c r="H26" s="13">
        <v>0</v>
      </c>
      <c r="I26" s="13">
        <v>8.1359999999999991E-3</v>
      </c>
      <c r="J26" s="13" t="s">
        <v>5</v>
      </c>
      <c r="K26" s="13" t="s">
        <v>5</v>
      </c>
      <c r="L26" s="13">
        <v>0</v>
      </c>
      <c r="M26" s="13">
        <v>0</v>
      </c>
      <c r="N26" s="13">
        <v>61.68</v>
      </c>
      <c r="O26" s="13">
        <v>154.19999999999999</v>
      </c>
      <c r="P26" s="13">
        <v>154.19999999999999</v>
      </c>
      <c r="Q26" s="15"/>
      <c r="R26" s="15"/>
      <c r="S26" s="15"/>
    </row>
    <row r="27" spans="1:19" x14ac:dyDescent="0.25">
      <c r="A27" s="12" t="s">
        <v>30</v>
      </c>
      <c r="B27" s="12"/>
      <c r="C27" s="18">
        <v>0.3</v>
      </c>
      <c r="D27" s="18">
        <v>0.2</v>
      </c>
      <c r="E27" s="19" t="s">
        <v>5</v>
      </c>
      <c r="F27" s="19" t="s">
        <v>5</v>
      </c>
      <c r="G27" s="19" t="s">
        <v>5</v>
      </c>
      <c r="H27" s="18">
        <v>0.28881200000000001</v>
      </c>
      <c r="I27" s="18">
        <v>0.57021100000000002</v>
      </c>
      <c r="J27" s="18">
        <v>1.1887999999999999E-2</v>
      </c>
      <c r="K27" s="13" t="s">
        <v>5</v>
      </c>
      <c r="L27" s="13">
        <v>-9.5324700000000012E-3</v>
      </c>
      <c r="M27" s="13">
        <v>0.34537499999999999</v>
      </c>
      <c r="N27" s="13">
        <v>0.3</v>
      </c>
      <c r="O27" s="13">
        <v>0.3</v>
      </c>
      <c r="P27" s="13">
        <v>0.3</v>
      </c>
    </row>
    <row r="28" spans="1:19" x14ac:dyDescent="0.25">
      <c r="A28" s="12" t="s">
        <v>68</v>
      </c>
      <c r="B28" s="12"/>
      <c r="C28" s="13" t="s">
        <v>5</v>
      </c>
      <c r="D28" s="13" t="s">
        <v>5</v>
      </c>
      <c r="E28" s="13" t="s">
        <v>5</v>
      </c>
      <c r="F28" s="13" t="s">
        <v>5</v>
      </c>
      <c r="G28" s="13" t="s">
        <v>5</v>
      </c>
      <c r="H28" s="13" t="s">
        <v>5</v>
      </c>
      <c r="I28" s="13" t="s">
        <v>5</v>
      </c>
      <c r="J28" s="18">
        <v>0.153062</v>
      </c>
      <c r="K28" s="13" t="s">
        <v>5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</row>
    <row r="29" spans="1:19" x14ac:dyDescent="0.25">
      <c r="A29" s="12" t="s">
        <v>31</v>
      </c>
      <c r="B29" s="12"/>
      <c r="C29" s="13">
        <v>17</v>
      </c>
      <c r="D29" s="13">
        <v>17.600000000000001</v>
      </c>
      <c r="E29" s="13" t="s">
        <v>5</v>
      </c>
      <c r="F29" s="13" t="s">
        <v>5</v>
      </c>
      <c r="G29" s="13" t="s">
        <v>5</v>
      </c>
      <c r="H29" s="13" t="s">
        <v>5</v>
      </c>
      <c r="I29" s="13" t="s">
        <v>5</v>
      </c>
      <c r="J29" s="13" t="s">
        <v>5</v>
      </c>
      <c r="K29" s="13" t="s">
        <v>5</v>
      </c>
      <c r="L29" s="13">
        <v>0</v>
      </c>
      <c r="M29" s="13">
        <v>9.8066689999999998E-2</v>
      </c>
      <c r="N29" s="13">
        <v>0</v>
      </c>
      <c r="O29" s="13">
        <v>0</v>
      </c>
      <c r="P29" s="13">
        <v>0</v>
      </c>
    </row>
    <row r="30" spans="1:19" x14ac:dyDescent="0.25">
      <c r="A30" s="12" t="s">
        <v>32</v>
      </c>
      <c r="B30" s="12"/>
      <c r="C30" s="13" t="s">
        <v>5</v>
      </c>
      <c r="D30" s="13" t="s">
        <v>5</v>
      </c>
      <c r="E30" s="13" t="s">
        <v>5</v>
      </c>
      <c r="F30" s="13" t="s">
        <v>5</v>
      </c>
      <c r="G30" s="13" t="s">
        <v>5</v>
      </c>
      <c r="H30" s="13" t="s">
        <v>5</v>
      </c>
      <c r="I30" s="13" t="s">
        <v>5</v>
      </c>
      <c r="J30" s="13" t="s">
        <v>5</v>
      </c>
      <c r="K30" s="13" t="s">
        <v>5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</row>
    <row r="31" spans="1:19" x14ac:dyDescent="0.25">
      <c r="A31" s="12" t="s">
        <v>33</v>
      </c>
      <c r="B31" s="12"/>
      <c r="C31" s="13" t="s">
        <v>5</v>
      </c>
      <c r="D31" s="13" t="s">
        <v>5</v>
      </c>
      <c r="E31" s="13" t="s">
        <v>5</v>
      </c>
      <c r="F31" s="13" t="s">
        <v>5</v>
      </c>
      <c r="G31" s="13" t="s">
        <v>5</v>
      </c>
      <c r="H31" s="13" t="s">
        <v>5</v>
      </c>
      <c r="I31" s="13" t="s">
        <v>5</v>
      </c>
      <c r="J31" s="13" t="s">
        <v>5</v>
      </c>
      <c r="K31" s="13" t="s">
        <v>5</v>
      </c>
      <c r="L31" s="13">
        <v>4.0323749999999998E-2</v>
      </c>
      <c r="M31" s="13">
        <v>0</v>
      </c>
      <c r="N31" s="13">
        <v>0</v>
      </c>
      <c r="O31" s="13">
        <v>0</v>
      </c>
      <c r="P31" s="13">
        <v>0</v>
      </c>
    </row>
    <row r="32" spans="1:19" x14ac:dyDescent="0.25">
      <c r="A32" s="12" t="s">
        <v>34</v>
      </c>
      <c r="B32" s="12"/>
      <c r="C32" s="13" t="s">
        <v>5</v>
      </c>
      <c r="D32" s="13" t="s">
        <v>5</v>
      </c>
      <c r="E32" s="13" t="s">
        <v>5</v>
      </c>
      <c r="F32" s="13" t="s">
        <v>5</v>
      </c>
      <c r="G32" s="13" t="s">
        <v>5</v>
      </c>
      <c r="H32" s="13" t="s">
        <v>5</v>
      </c>
      <c r="I32" s="13" t="s">
        <v>5</v>
      </c>
      <c r="J32" s="13" t="s">
        <v>5</v>
      </c>
      <c r="K32" s="13" t="s">
        <v>5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</row>
    <row r="33" spans="1:19" x14ac:dyDescent="0.25">
      <c r="A33" s="12" t="s">
        <v>35</v>
      </c>
      <c r="B33" s="12"/>
      <c r="C33" s="13" t="s">
        <v>5</v>
      </c>
      <c r="D33" s="13">
        <v>0.1</v>
      </c>
      <c r="E33" s="13" t="s">
        <v>5</v>
      </c>
      <c r="F33" s="13" t="s">
        <v>5</v>
      </c>
      <c r="G33" s="13" t="s">
        <v>5</v>
      </c>
      <c r="H33" s="13" t="s">
        <v>5</v>
      </c>
      <c r="I33" s="13" t="s">
        <v>5</v>
      </c>
      <c r="J33" s="13" t="s">
        <v>5</v>
      </c>
      <c r="K33" s="13" t="s">
        <v>5</v>
      </c>
      <c r="L33" s="13">
        <v>32.594562279999998</v>
      </c>
      <c r="M33" s="13">
        <v>0</v>
      </c>
      <c r="N33" s="13">
        <v>0</v>
      </c>
      <c r="O33" s="13">
        <v>0</v>
      </c>
      <c r="P33" s="13">
        <v>0</v>
      </c>
    </row>
    <row r="34" spans="1:19" x14ac:dyDescent="0.25">
      <c r="A34" s="21" t="s">
        <v>82</v>
      </c>
      <c r="B34" s="12"/>
      <c r="C34" s="13" t="s">
        <v>5</v>
      </c>
      <c r="D34" s="13" t="s">
        <v>5</v>
      </c>
      <c r="E34" s="13" t="s">
        <v>5</v>
      </c>
      <c r="F34" s="13" t="s">
        <v>5</v>
      </c>
      <c r="G34" s="13" t="s">
        <v>5</v>
      </c>
      <c r="H34" s="13" t="s">
        <v>5</v>
      </c>
      <c r="I34" s="13" t="s">
        <v>5</v>
      </c>
      <c r="J34" s="13" t="s">
        <v>5</v>
      </c>
      <c r="K34" s="13" t="s">
        <v>5</v>
      </c>
      <c r="L34" s="13">
        <v>2.0993301699999902</v>
      </c>
      <c r="M34" s="13">
        <v>0</v>
      </c>
      <c r="N34" s="13">
        <v>0</v>
      </c>
      <c r="O34" s="13">
        <v>0</v>
      </c>
      <c r="P34" s="13">
        <v>0</v>
      </c>
    </row>
    <row r="35" spans="1:19" x14ac:dyDescent="0.25">
      <c r="A35" s="12" t="s">
        <v>36</v>
      </c>
      <c r="B35" s="12"/>
      <c r="C35" s="13" t="s">
        <v>5</v>
      </c>
      <c r="D35" s="13">
        <v>42.1</v>
      </c>
      <c r="E35" s="13" t="s">
        <v>5</v>
      </c>
      <c r="F35" s="13" t="s">
        <v>5</v>
      </c>
      <c r="G35" s="13" t="s">
        <v>5</v>
      </c>
      <c r="H35" s="13" t="s">
        <v>5</v>
      </c>
      <c r="I35" s="13" t="s">
        <v>5</v>
      </c>
      <c r="J35" s="13" t="s">
        <v>5</v>
      </c>
      <c r="K35" s="13">
        <v>0.61968100000000004</v>
      </c>
      <c r="L35" s="13">
        <v>0</v>
      </c>
      <c r="M35" s="13">
        <v>0</v>
      </c>
      <c r="N35" s="13">
        <v>0.5</v>
      </c>
      <c r="O35" s="13">
        <v>5</v>
      </c>
      <c r="P35" s="13">
        <v>5</v>
      </c>
    </row>
    <row r="36" spans="1:19" x14ac:dyDescent="0.25">
      <c r="A36" s="21" t="s">
        <v>81</v>
      </c>
      <c r="B36" s="12"/>
      <c r="C36" s="13" t="s">
        <v>5</v>
      </c>
      <c r="D36" s="13" t="s">
        <v>5</v>
      </c>
      <c r="E36" s="13" t="s">
        <v>5</v>
      </c>
      <c r="F36" s="13" t="s">
        <v>5</v>
      </c>
      <c r="G36" s="13" t="s">
        <v>5</v>
      </c>
      <c r="H36" s="13" t="s">
        <v>5</v>
      </c>
      <c r="I36" s="13" t="s">
        <v>5</v>
      </c>
      <c r="J36" s="13" t="s">
        <v>5</v>
      </c>
      <c r="K36" s="13" t="s">
        <v>5</v>
      </c>
      <c r="L36" s="13">
        <v>3.271E-3</v>
      </c>
      <c r="M36" s="13">
        <v>0</v>
      </c>
      <c r="N36" s="13">
        <v>0</v>
      </c>
      <c r="O36" s="13">
        <v>0</v>
      </c>
      <c r="P36" s="13">
        <v>0</v>
      </c>
    </row>
    <row r="37" spans="1:19" x14ac:dyDescent="0.25">
      <c r="A37" s="12" t="s">
        <v>37</v>
      </c>
      <c r="B37" s="12"/>
      <c r="C37" s="13" t="s">
        <v>5</v>
      </c>
      <c r="D37" s="13">
        <v>6.4</v>
      </c>
      <c r="E37" s="13" t="s">
        <v>5</v>
      </c>
      <c r="F37" s="13" t="s">
        <v>5</v>
      </c>
      <c r="G37" s="13" t="s">
        <v>5</v>
      </c>
      <c r="H37" s="13" t="s">
        <v>5</v>
      </c>
      <c r="I37" s="13" t="s">
        <v>5</v>
      </c>
      <c r="J37" s="13" t="s">
        <v>5</v>
      </c>
      <c r="K37" s="13" t="s">
        <v>5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</row>
    <row r="38" spans="1:19" x14ac:dyDescent="0.25">
      <c r="A38" s="20" t="s">
        <v>74</v>
      </c>
      <c r="B38" s="20"/>
      <c r="C38" s="13" t="s">
        <v>5</v>
      </c>
      <c r="D38" s="13" t="s">
        <v>5</v>
      </c>
      <c r="E38" s="13" t="s">
        <v>5</v>
      </c>
      <c r="F38" s="13" t="s">
        <v>5</v>
      </c>
      <c r="G38" s="13" t="s">
        <v>5</v>
      </c>
      <c r="H38" s="13">
        <v>0.100341</v>
      </c>
      <c r="I38" s="13">
        <v>0</v>
      </c>
      <c r="J38" s="13" t="s">
        <v>5</v>
      </c>
      <c r="K38" s="13" t="s">
        <v>5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</row>
    <row r="39" spans="1:19" x14ac:dyDescent="0.25">
      <c r="A39" s="12" t="s">
        <v>38</v>
      </c>
      <c r="B39" s="12"/>
      <c r="C39" s="13">
        <v>23</v>
      </c>
      <c r="D39" s="13">
        <v>23.5</v>
      </c>
      <c r="E39" s="13">
        <v>1.484216</v>
      </c>
      <c r="F39" s="13">
        <v>5.2119001999999996</v>
      </c>
      <c r="G39" s="13" t="s">
        <v>5</v>
      </c>
      <c r="H39" s="13">
        <v>0</v>
      </c>
      <c r="I39" s="13">
        <v>0</v>
      </c>
      <c r="J39" s="13" t="s">
        <v>5</v>
      </c>
      <c r="K39" s="13" t="s">
        <v>5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</row>
    <row r="40" spans="1:19" x14ac:dyDescent="0.25">
      <c r="A40" s="12"/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S40" s="26"/>
    </row>
    <row r="41" spans="1:19" s="17" customFormat="1" x14ac:dyDescent="0.25">
      <c r="A41" s="9" t="s">
        <v>39</v>
      </c>
      <c r="B41" s="9"/>
      <c r="C41" s="10">
        <f t="shared" ref="C41:O41" si="5">SUM(C42:C85)</f>
        <v>805.99999999999989</v>
      </c>
      <c r="D41" s="10">
        <f t="shared" si="5"/>
        <v>898.30000000000007</v>
      </c>
      <c r="E41" s="10">
        <f t="shared" si="5"/>
        <v>295.82103000000001</v>
      </c>
      <c r="F41" s="10">
        <f t="shared" si="5"/>
        <v>306.76698040000002</v>
      </c>
      <c r="G41" s="10">
        <f t="shared" si="5"/>
        <v>6.7913410000000001</v>
      </c>
      <c r="H41" s="10">
        <f t="shared" si="5"/>
        <v>27.665954000000003</v>
      </c>
      <c r="I41" s="10">
        <f t="shared" si="5"/>
        <v>172.18719127999998</v>
      </c>
      <c r="J41" s="10">
        <f t="shared" si="5"/>
        <v>70.052437999999995</v>
      </c>
      <c r="K41" s="10">
        <f>SUM(K42:K85)</f>
        <v>83.569238999999982</v>
      </c>
      <c r="L41" s="10">
        <f t="shared" si="5"/>
        <v>204.62045243999998</v>
      </c>
      <c r="M41" s="10">
        <f t="shared" si="5"/>
        <v>239.35162876666664</v>
      </c>
      <c r="N41" s="10">
        <f t="shared" si="5"/>
        <v>305.42119700000006</v>
      </c>
      <c r="O41" s="10">
        <f t="shared" si="5"/>
        <v>384.26309200000003</v>
      </c>
      <c r="P41" s="10">
        <f t="shared" ref="P41" si="6">SUM(P42:P85)</f>
        <v>421.42260000000005</v>
      </c>
    </row>
    <row r="42" spans="1:19" x14ac:dyDescent="0.25">
      <c r="A42" s="21" t="s">
        <v>40</v>
      </c>
      <c r="B42" s="20"/>
      <c r="C42" s="13">
        <v>16.399999999999999</v>
      </c>
      <c r="D42" s="13">
        <v>8.6</v>
      </c>
      <c r="E42" s="13">
        <v>9.2094889999999996</v>
      </c>
      <c r="F42" s="13">
        <v>9.4867480000000004</v>
      </c>
      <c r="G42" s="13">
        <v>1.6576500000000001</v>
      </c>
      <c r="H42" s="13">
        <v>7.9368569999999998</v>
      </c>
      <c r="I42" s="13">
        <v>6.5018419999999999</v>
      </c>
      <c r="J42" s="13">
        <v>17.467737</v>
      </c>
      <c r="K42" s="13">
        <v>1.560921</v>
      </c>
      <c r="L42" s="13">
        <v>8.3220669699999998</v>
      </c>
      <c r="M42" s="13">
        <v>3.5612471100000098</v>
      </c>
      <c r="N42" s="13">
        <v>2.71</v>
      </c>
      <c r="O42" s="13">
        <v>2.71</v>
      </c>
      <c r="P42" s="13">
        <v>2.71</v>
      </c>
    </row>
    <row r="43" spans="1:19" x14ac:dyDescent="0.25">
      <c r="A43" s="21" t="s">
        <v>8</v>
      </c>
      <c r="B43" s="20"/>
      <c r="C43" s="13">
        <v>0.8</v>
      </c>
      <c r="D43" s="13">
        <v>0.7</v>
      </c>
      <c r="E43" s="13">
        <v>0.37727500000000003</v>
      </c>
      <c r="F43" s="13">
        <v>7.9126890000000003</v>
      </c>
      <c r="G43" s="13">
        <v>2.9260739999999998</v>
      </c>
      <c r="H43" s="13">
        <v>0</v>
      </c>
      <c r="I43" s="13">
        <v>5.7275E-2</v>
      </c>
      <c r="J43" s="13" t="s">
        <v>5</v>
      </c>
      <c r="K43" s="13">
        <v>2.169349</v>
      </c>
      <c r="L43" s="13">
        <v>11.418991530000001</v>
      </c>
      <c r="M43" s="13">
        <v>100.29138967</v>
      </c>
      <c r="N43" s="13">
        <v>167.03862000000001</v>
      </c>
      <c r="O43" s="13">
        <v>232.292417</v>
      </c>
      <c r="P43" s="13">
        <v>339.65819399999998</v>
      </c>
    </row>
    <row r="44" spans="1:19" x14ac:dyDescent="0.25">
      <c r="A44" s="21" t="s">
        <v>41</v>
      </c>
      <c r="B44" s="20"/>
      <c r="C44" s="13">
        <v>8.1</v>
      </c>
      <c r="D44" s="13">
        <v>6.5</v>
      </c>
      <c r="E44" s="13">
        <v>4.439038</v>
      </c>
      <c r="F44" s="13">
        <v>4.5109589999999997</v>
      </c>
      <c r="G44" s="13" t="s">
        <v>5</v>
      </c>
      <c r="H44" s="13">
        <v>5.0552919999999997</v>
      </c>
      <c r="I44" s="13">
        <v>3.6765569999999999</v>
      </c>
      <c r="J44" s="13">
        <v>1.3785970000000001</v>
      </c>
      <c r="K44" s="13">
        <v>3.4072879999999999</v>
      </c>
      <c r="L44" s="13">
        <v>1.302122169999999</v>
      </c>
      <c r="M44" s="13">
        <v>2.9394566066666554</v>
      </c>
      <c r="N44" s="13">
        <v>1.3</v>
      </c>
      <c r="O44" s="13">
        <v>1.3</v>
      </c>
      <c r="P44" s="13">
        <v>1.3</v>
      </c>
    </row>
    <row r="45" spans="1:19" x14ac:dyDescent="0.25">
      <c r="A45" s="21" t="s">
        <v>42</v>
      </c>
      <c r="B45" s="20"/>
      <c r="C45" s="13">
        <v>0.6</v>
      </c>
      <c r="D45" s="13">
        <v>0.8</v>
      </c>
      <c r="E45" s="13">
        <v>7.8654000000000002E-2</v>
      </c>
      <c r="F45" s="13" t="s">
        <v>5</v>
      </c>
      <c r="G45" s="13" t="s">
        <v>5</v>
      </c>
      <c r="H45" s="13">
        <v>0.28139999999999998</v>
      </c>
      <c r="I45" s="13">
        <v>0.45473999999999998</v>
      </c>
      <c r="J45" s="13">
        <v>0.82618800000000003</v>
      </c>
      <c r="K45" s="13">
        <v>0.16594400000000001</v>
      </c>
      <c r="L45" s="13">
        <v>0.19795784</v>
      </c>
      <c r="M45" s="13">
        <v>0.19283803999999985</v>
      </c>
      <c r="N45" s="13">
        <v>0.17</v>
      </c>
      <c r="O45" s="13">
        <v>0.17</v>
      </c>
      <c r="P45" s="13">
        <v>0.17</v>
      </c>
    </row>
    <row r="46" spans="1:19" x14ac:dyDescent="0.25">
      <c r="A46" s="21" t="s">
        <v>43</v>
      </c>
      <c r="B46" s="20"/>
      <c r="C46" s="13">
        <v>17.399999999999999</v>
      </c>
      <c r="D46" s="13">
        <v>22.8</v>
      </c>
      <c r="E46" s="13">
        <v>14.651209</v>
      </c>
      <c r="F46" s="13">
        <v>15.053713</v>
      </c>
      <c r="G46" s="13" t="s">
        <v>5</v>
      </c>
      <c r="H46" s="13">
        <v>1.9375549999999999</v>
      </c>
      <c r="I46" s="13">
        <v>8.4033289999999994</v>
      </c>
      <c r="J46" s="13">
        <v>4.3554250000000003</v>
      </c>
      <c r="K46" s="13">
        <v>7.4675710000000004</v>
      </c>
      <c r="L46" s="13">
        <v>9.5568759999999884</v>
      </c>
      <c r="M46" s="13">
        <v>7.5514368133333338</v>
      </c>
      <c r="N46" s="13">
        <v>7.61</v>
      </c>
      <c r="O46" s="13">
        <v>7.61</v>
      </c>
      <c r="P46" s="13">
        <v>7.61</v>
      </c>
    </row>
    <row r="47" spans="1:19" x14ac:dyDescent="0.25">
      <c r="A47" s="21" t="s">
        <v>85</v>
      </c>
      <c r="B47" s="20"/>
      <c r="C47" s="13" t="s">
        <v>5</v>
      </c>
      <c r="D47" s="13" t="s">
        <v>5</v>
      </c>
      <c r="E47" s="13" t="s">
        <v>5</v>
      </c>
      <c r="F47" s="13" t="s">
        <v>5</v>
      </c>
      <c r="G47" s="13" t="s">
        <v>5</v>
      </c>
      <c r="H47" s="13" t="s">
        <v>5</v>
      </c>
      <c r="I47" s="13" t="s">
        <v>5</v>
      </c>
      <c r="J47" s="13" t="s">
        <v>5</v>
      </c>
      <c r="K47" s="13" t="s">
        <v>5</v>
      </c>
      <c r="L47" s="13" t="s">
        <v>5</v>
      </c>
      <c r="M47" s="13">
        <v>7.0119940000000006E-2</v>
      </c>
      <c r="N47" s="13">
        <v>0.05</v>
      </c>
      <c r="O47" s="13">
        <v>0.05</v>
      </c>
      <c r="P47" s="13">
        <v>0.05</v>
      </c>
    </row>
    <row r="48" spans="1:19" x14ac:dyDescent="0.25">
      <c r="A48" s="21" t="s">
        <v>44</v>
      </c>
      <c r="B48" s="20"/>
      <c r="C48" s="13">
        <v>1.1000000000000001</v>
      </c>
      <c r="D48" s="13">
        <v>3</v>
      </c>
      <c r="E48" s="13">
        <v>2.5137339999999999</v>
      </c>
      <c r="F48" s="13" t="s">
        <v>5</v>
      </c>
      <c r="G48" s="13" t="s">
        <v>5</v>
      </c>
      <c r="H48" s="13">
        <v>0.11744300000000001</v>
      </c>
      <c r="I48" s="13">
        <v>1.4242049999999999</v>
      </c>
      <c r="J48" s="13">
        <v>0.57494100000000004</v>
      </c>
      <c r="K48" s="13">
        <v>1.830633</v>
      </c>
      <c r="L48" s="13">
        <v>0.661158569999999</v>
      </c>
      <c r="M48" s="13">
        <v>0.47499999999999998</v>
      </c>
      <c r="N48" s="13">
        <v>0.7</v>
      </c>
      <c r="O48" s="13">
        <v>0.7</v>
      </c>
      <c r="P48" s="13">
        <v>0.7</v>
      </c>
    </row>
    <row r="49" spans="1:16" x14ac:dyDescent="0.25">
      <c r="A49" s="21" t="s">
        <v>45</v>
      </c>
      <c r="B49" s="20"/>
      <c r="C49" s="13">
        <v>0.1</v>
      </c>
      <c r="D49" s="13" t="s">
        <v>5</v>
      </c>
      <c r="E49" s="13" t="s">
        <v>5</v>
      </c>
      <c r="F49" s="13">
        <v>0.13859199999999999</v>
      </c>
      <c r="G49" s="13" t="s">
        <v>5</v>
      </c>
      <c r="H49" s="13">
        <v>0</v>
      </c>
      <c r="I49" s="13">
        <v>68.830670279999993</v>
      </c>
      <c r="J49" s="13">
        <v>20.898446</v>
      </c>
      <c r="K49" s="13">
        <v>34.654837000000001</v>
      </c>
      <c r="L49" s="13">
        <v>108.24549671000001</v>
      </c>
      <c r="M49" s="13">
        <v>85.680000250000006</v>
      </c>
      <c r="N49" s="13">
        <v>71.913436000000004</v>
      </c>
      <c r="O49" s="13">
        <v>87.551517000000004</v>
      </c>
      <c r="P49" s="13">
        <v>56.679406</v>
      </c>
    </row>
    <row r="50" spans="1:16" x14ac:dyDescent="0.25">
      <c r="A50" s="21" t="s">
        <v>46</v>
      </c>
      <c r="B50" s="20"/>
      <c r="C50" s="13" t="s">
        <v>5</v>
      </c>
      <c r="D50" s="13" t="s">
        <v>5</v>
      </c>
      <c r="E50" s="13" t="s">
        <v>5</v>
      </c>
      <c r="F50" s="13" t="s">
        <v>5</v>
      </c>
      <c r="G50" s="13" t="s">
        <v>5</v>
      </c>
      <c r="H50" s="13">
        <v>2.9656419999999999</v>
      </c>
      <c r="I50" s="13">
        <v>3.4063859999999999</v>
      </c>
      <c r="J50" s="13" t="s">
        <v>5</v>
      </c>
      <c r="K50" s="13" t="s">
        <v>5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</row>
    <row r="51" spans="1:16" x14ac:dyDescent="0.25">
      <c r="A51" s="21" t="s">
        <v>47</v>
      </c>
      <c r="B51" s="20"/>
      <c r="C51" s="13" t="s">
        <v>5</v>
      </c>
      <c r="D51" s="13" t="s">
        <v>5</v>
      </c>
      <c r="E51" s="13" t="s">
        <v>5</v>
      </c>
      <c r="F51" s="13" t="s">
        <v>5</v>
      </c>
      <c r="G51" s="13" t="s">
        <v>5</v>
      </c>
      <c r="H51" s="13">
        <v>1.006378</v>
      </c>
      <c r="I51" s="13">
        <v>0.217976</v>
      </c>
      <c r="J51" s="13">
        <v>0.24321599999999999</v>
      </c>
      <c r="K51" s="13">
        <v>1.025882</v>
      </c>
      <c r="L51" s="13">
        <v>0.61588186999999983</v>
      </c>
      <c r="M51" s="13">
        <v>0.30764663000000003</v>
      </c>
      <c r="N51" s="13">
        <v>0.31</v>
      </c>
      <c r="O51" s="13">
        <v>0.31</v>
      </c>
      <c r="P51" s="13">
        <v>0.31</v>
      </c>
    </row>
    <row r="52" spans="1:16" x14ac:dyDescent="0.25">
      <c r="A52" s="21" t="s">
        <v>48</v>
      </c>
      <c r="B52" s="20"/>
      <c r="C52" s="13" t="s">
        <v>5</v>
      </c>
      <c r="D52" s="13" t="s">
        <v>5</v>
      </c>
      <c r="E52" s="13" t="s">
        <v>5</v>
      </c>
      <c r="F52" s="13" t="s">
        <v>5</v>
      </c>
      <c r="G52" s="13" t="s">
        <v>5</v>
      </c>
      <c r="H52" s="13">
        <v>1.43</v>
      </c>
      <c r="I52" s="13">
        <v>14.442686999999999</v>
      </c>
      <c r="J52" s="13">
        <v>8.0710139999999999</v>
      </c>
      <c r="K52" s="13">
        <v>11.105262</v>
      </c>
      <c r="L52" s="13">
        <v>12.81039438</v>
      </c>
      <c r="M52" s="13">
        <v>2.8020349399999991</v>
      </c>
      <c r="N52" s="13">
        <v>2</v>
      </c>
      <c r="O52" s="13">
        <v>2</v>
      </c>
      <c r="P52" s="13">
        <v>2</v>
      </c>
    </row>
    <row r="53" spans="1:16" x14ac:dyDescent="0.25">
      <c r="A53" s="21" t="s">
        <v>49</v>
      </c>
      <c r="B53" s="20"/>
      <c r="C53" s="13" t="s">
        <v>5</v>
      </c>
      <c r="D53" s="13" t="s">
        <v>5</v>
      </c>
      <c r="E53" s="13" t="s">
        <v>5</v>
      </c>
      <c r="F53" s="13" t="s">
        <v>5</v>
      </c>
      <c r="G53" s="13" t="s">
        <v>5</v>
      </c>
      <c r="H53" s="13">
        <v>1.4559519999999999</v>
      </c>
      <c r="I53" s="13">
        <v>0.45156099999999999</v>
      </c>
      <c r="J53" s="13" t="s">
        <v>5</v>
      </c>
      <c r="K53" s="13" t="s">
        <v>5</v>
      </c>
      <c r="L53" s="13">
        <v>6.0000000000000001E-3</v>
      </c>
      <c r="M53" s="13">
        <v>0</v>
      </c>
      <c r="N53" s="13">
        <v>0</v>
      </c>
      <c r="O53" s="13">
        <v>0</v>
      </c>
      <c r="P53" s="13">
        <v>0</v>
      </c>
    </row>
    <row r="54" spans="1:16" x14ac:dyDescent="0.25">
      <c r="A54" s="21" t="s">
        <v>50</v>
      </c>
      <c r="B54" s="20"/>
      <c r="C54" s="13" t="s">
        <v>5</v>
      </c>
      <c r="D54" s="13" t="s">
        <v>5</v>
      </c>
      <c r="E54" s="13" t="s">
        <v>5</v>
      </c>
      <c r="F54" s="13" t="s">
        <v>5</v>
      </c>
      <c r="G54" s="13" t="s">
        <v>5</v>
      </c>
      <c r="H54" s="13">
        <v>4.2015000000000002</v>
      </c>
      <c r="I54" s="13" t="s">
        <v>5</v>
      </c>
      <c r="J54" s="13" t="s">
        <v>5</v>
      </c>
      <c r="K54" s="13" t="s">
        <v>5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</row>
    <row r="55" spans="1:16" x14ac:dyDescent="0.25">
      <c r="A55" s="21" t="s">
        <v>51</v>
      </c>
      <c r="B55" s="20"/>
      <c r="C55" s="13" t="s">
        <v>5</v>
      </c>
      <c r="D55" s="13" t="s">
        <v>5</v>
      </c>
      <c r="E55" s="13" t="s">
        <v>5</v>
      </c>
      <c r="F55" s="13" t="s">
        <v>5</v>
      </c>
      <c r="G55" s="13" t="s">
        <v>5</v>
      </c>
      <c r="H55" s="13">
        <v>0.58679199999999998</v>
      </c>
      <c r="I55" s="13">
        <v>3.7572800000000002</v>
      </c>
      <c r="J55" s="13">
        <v>3.0452080000000001</v>
      </c>
      <c r="K55" s="13">
        <v>5.4525810000000003</v>
      </c>
      <c r="L55" s="13">
        <v>4.5204329499999973</v>
      </c>
      <c r="M55" s="13">
        <v>2.4196638533333319</v>
      </c>
      <c r="N55" s="13">
        <v>2.2000000000000002</v>
      </c>
      <c r="O55" s="13">
        <v>2.2000000000000002</v>
      </c>
      <c r="P55" s="13">
        <v>2.2000000000000002</v>
      </c>
    </row>
    <row r="56" spans="1:16" x14ac:dyDescent="0.25">
      <c r="A56" s="21" t="s">
        <v>69</v>
      </c>
      <c r="B56" s="20"/>
      <c r="C56" s="13" t="s">
        <v>5</v>
      </c>
      <c r="D56" s="13" t="s">
        <v>5</v>
      </c>
      <c r="E56" s="13" t="s">
        <v>5</v>
      </c>
      <c r="F56" s="13" t="s">
        <v>5</v>
      </c>
      <c r="G56" s="13" t="s">
        <v>5</v>
      </c>
      <c r="H56" s="13" t="s">
        <v>5</v>
      </c>
      <c r="I56" s="13" t="s">
        <v>5</v>
      </c>
      <c r="J56" s="13" t="s">
        <v>5</v>
      </c>
      <c r="K56" s="13" t="s">
        <v>5</v>
      </c>
      <c r="L56" s="13" t="s">
        <v>5</v>
      </c>
      <c r="M56" s="13" t="s">
        <v>5</v>
      </c>
      <c r="N56" s="13" t="s">
        <v>5</v>
      </c>
      <c r="O56" s="13" t="s">
        <v>5</v>
      </c>
      <c r="P56" s="13" t="s">
        <v>5</v>
      </c>
    </row>
    <row r="57" spans="1:16" x14ac:dyDescent="0.25">
      <c r="A57" s="21" t="s">
        <v>10</v>
      </c>
      <c r="B57" s="20"/>
      <c r="C57" s="13" t="s">
        <v>5</v>
      </c>
      <c r="D57" s="13" t="s">
        <v>5</v>
      </c>
      <c r="E57" s="13" t="s">
        <v>5</v>
      </c>
      <c r="F57" s="13" t="s">
        <v>5</v>
      </c>
      <c r="G57" s="13" t="s">
        <v>5</v>
      </c>
      <c r="H57" s="13" t="s">
        <v>5</v>
      </c>
      <c r="I57" s="13" t="s">
        <v>5</v>
      </c>
      <c r="J57" s="13" t="s">
        <v>5</v>
      </c>
      <c r="K57" s="13" t="s">
        <v>5</v>
      </c>
      <c r="L57" s="13">
        <v>0.14424824</v>
      </c>
      <c r="M57" s="13">
        <v>10.966827</v>
      </c>
      <c r="N57" s="13">
        <v>4.0999650000000001</v>
      </c>
      <c r="O57" s="13">
        <v>2.049982</v>
      </c>
      <c r="P57" s="13" t="s">
        <v>5</v>
      </c>
    </row>
    <row r="58" spans="1:16" x14ac:dyDescent="0.25">
      <c r="A58" s="21" t="s">
        <v>75</v>
      </c>
      <c r="B58" s="20"/>
      <c r="C58" s="13" t="s">
        <v>5</v>
      </c>
      <c r="D58" s="13" t="s">
        <v>5</v>
      </c>
      <c r="E58" s="13" t="s">
        <v>5</v>
      </c>
      <c r="F58" s="13" t="s">
        <v>5</v>
      </c>
      <c r="G58" s="13" t="s">
        <v>5</v>
      </c>
      <c r="H58" s="13" t="s">
        <v>5</v>
      </c>
      <c r="I58" s="13" t="s">
        <v>5</v>
      </c>
      <c r="J58" s="13" t="s">
        <v>5</v>
      </c>
      <c r="K58" s="13">
        <v>1.6536</v>
      </c>
      <c r="L58" s="13">
        <v>5.7398492300000008</v>
      </c>
      <c r="M58" s="13">
        <v>3.0064E-2</v>
      </c>
      <c r="N58" s="13" t="s">
        <v>5</v>
      </c>
      <c r="O58" s="13" t="s">
        <v>5</v>
      </c>
      <c r="P58" s="13" t="s">
        <v>5</v>
      </c>
    </row>
    <row r="59" spans="1:16" x14ac:dyDescent="0.25">
      <c r="A59" s="21" t="s">
        <v>52</v>
      </c>
      <c r="B59" s="20"/>
      <c r="C59" s="13" t="s">
        <v>5</v>
      </c>
      <c r="D59" s="13" t="s">
        <v>5</v>
      </c>
      <c r="E59" s="13" t="s">
        <v>5</v>
      </c>
      <c r="F59" s="13" t="s">
        <v>5</v>
      </c>
      <c r="G59" s="13" t="s">
        <v>5</v>
      </c>
      <c r="H59" s="13">
        <v>0.128665</v>
      </c>
      <c r="I59" s="13">
        <v>0.100574</v>
      </c>
      <c r="J59" s="13" t="s">
        <v>5</v>
      </c>
      <c r="K59" s="13" t="s">
        <v>5</v>
      </c>
      <c r="L59" s="13" t="s">
        <v>5</v>
      </c>
      <c r="M59" s="13" t="s">
        <v>5</v>
      </c>
      <c r="N59" s="13" t="s">
        <v>5</v>
      </c>
      <c r="O59" s="13" t="s">
        <v>5</v>
      </c>
      <c r="P59" s="13" t="s">
        <v>5</v>
      </c>
    </row>
    <row r="60" spans="1:16" x14ac:dyDescent="0.25">
      <c r="A60" s="21" t="s">
        <v>53</v>
      </c>
      <c r="B60" s="20"/>
      <c r="C60" s="13" t="s">
        <v>5</v>
      </c>
      <c r="D60" s="13" t="s">
        <v>5</v>
      </c>
      <c r="E60" s="13" t="s">
        <v>5</v>
      </c>
      <c r="F60" s="13" t="s">
        <v>5</v>
      </c>
      <c r="G60" s="13" t="s">
        <v>5</v>
      </c>
      <c r="H60" s="13">
        <v>0.12449300000000001</v>
      </c>
      <c r="I60" s="13">
        <v>0</v>
      </c>
      <c r="J60" s="13" t="s">
        <v>5</v>
      </c>
      <c r="K60" s="13" t="s">
        <v>5</v>
      </c>
      <c r="L60" s="13" t="s">
        <v>5</v>
      </c>
      <c r="M60" s="13" t="s">
        <v>5</v>
      </c>
      <c r="N60" s="13" t="s">
        <v>5</v>
      </c>
      <c r="O60" s="13" t="s">
        <v>5</v>
      </c>
      <c r="P60" s="13" t="s">
        <v>5</v>
      </c>
    </row>
    <row r="61" spans="1:16" x14ac:dyDescent="0.25">
      <c r="A61" s="21" t="s">
        <v>54</v>
      </c>
      <c r="B61" s="20"/>
      <c r="C61" s="13" t="s">
        <v>5</v>
      </c>
      <c r="D61" s="13" t="s">
        <v>5</v>
      </c>
      <c r="E61" s="13" t="s">
        <v>5</v>
      </c>
      <c r="F61" s="13" t="s">
        <v>5</v>
      </c>
      <c r="G61" s="13" t="s">
        <v>5</v>
      </c>
      <c r="H61" s="13">
        <v>0.43798500000000001</v>
      </c>
      <c r="I61" s="13">
        <v>0</v>
      </c>
      <c r="J61" s="13">
        <v>0.18181</v>
      </c>
      <c r="K61" s="13" t="s">
        <v>5</v>
      </c>
      <c r="L61" s="13">
        <v>6.6485919999999893E-2</v>
      </c>
      <c r="M61" s="13">
        <v>0.19484226000000002</v>
      </c>
      <c r="N61" s="13">
        <v>0.1</v>
      </c>
      <c r="O61" s="13">
        <v>0.1</v>
      </c>
      <c r="P61" s="13">
        <v>0.1</v>
      </c>
    </row>
    <row r="62" spans="1:16" x14ac:dyDescent="0.25">
      <c r="A62" s="21" t="s">
        <v>55</v>
      </c>
      <c r="B62" s="20"/>
      <c r="C62" s="13" t="s">
        <v>5</v>
      </c>
      <c r="D62" s="13">
        <v>2.5</v>
      </c>
      <c r="E62" s="13" t="s">
        <v>5</v>
      </c>
      <c r="F62" s="13" t="s">
        <v>5</v>
      </c>
      <c r="G62" s="13" t="s">
        <v>5</v>
      </c>
      <c r="H62" s="13" t="s">
        <v>5</v>
      </c>
      <c r="I62" s="13">
        <v>0</v>
      </c>
      <c r="J62" s="13" t="s">
        <v>5</v>
      </c>
      <c r="K62" s="13" t="s">
        <v>5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</row>
    <row r="63" spans="1:16" x14ac:dyDescent="0.25">
      <c r="A63" s="21" t="s">
        <v>56</v>
      </c>
      <c r="B63" s="20"/>
      <c r="C63" s="13">
        <v>0.9</v>
      </c>
      <c r="D63" s="13">
        <v>0.6</v>
      </c>
      <c r="E63" s="13">
        <v>0.75402599999999997</v>
      </c>
      <c r="F63" s="13">
        <v>0.67631300000000005</v>
      </c>
      <c r="G63" s="13" t="s">
        <v>5</v>
      </c>
      <c r="H63" s="13" t="s">
        <v>5</v>
      </c>
      <c r="I63" s="13">
        <v>0.8</v>
      </c>
      <c r="J63" s="13">
        <v>2.9046539999999998</v>
      </c>
      <c r="K63" s="13">
        <v>4.957039</v>
      </c>
      <c r="L63" s="13">
        <v>9.3867893999999996</v>
      </c>
      <c r="M63" s="13">
        <v>5.0332037733333337</v>
      </c>
      <c r="N63" s="13">
        <v>5.0999999999999996</v>
      </c>
      <c r="O63" s="13">
        <v>5.0999999999999996</v>
      </c>
      <c r="P63" s="13">
        <v>5.0999999999999996</v>
      </c>
    </row>
    <row r="64" spans="1:16" x14ac:dyDescent="0.25">
      <c r="A64" s="21" t="s">
        <v>57</v>
      </c>
      <c r="B64" s="20"/>
      <c r="C64" s="13">
        <v>2.5</v>
      </c>
      <c r="D64" s="13" t="s">
        <v>5</v>
      </c>
      <c r="E64" s="13" t="s">
        <v>5</v>
      </c>
      <c r="F64" s="13" t="s">
        <v>5</v>
      </c>
      <c r="G64" s="13" t="s">
        <v>5</v>
      </c>
      <c r="H64" s="13" t="s">
        <v>5</v>
      </c>
      <c r="I64" s="13">
        <v>0</v>
      </c>
      <c r="J64" s="13" t="s">
        <v>5</v>
      </c>
      <c r="K64" s="13" t="s">
        <v>5</v>
      </c>
      <c r="L64" s="13">
        <v>0</v>
      </c>
      <c r="M64" s="13" t="s">
        <v>5</v>
      </c>
      <c r="N64" s="13" t="s">
        <v>5</v>
      </c>
      <c r="O64" s="13" t="s">
        <v>5</v>
      </c>
      <c r="P64" s="13" t="s">
        <v>5</v>
      </c>
    </row>
    <row r="65" spans="1:16" x14ac:dyDescent="0.25">
      <c r="A65" s="21" t="s">
        <v>58</v>
      </c>
      <c r="B65" s="20"/>
      <c r="C65" s="13">
        <v>2.9</v>
      </c>
      <c r="D65" s="13">
        <v>1.5</v>
      </c>
      <c r="E65" s="13">
        <v>0.21615100000000001</v>
      </c>
      <c r="F65" s="13" t="s">
        <v>5</v>
      </c>
      <c r="G65" s="13" t="s">
        <v>5</v>
      </c>
      <c r="H65" s="13" t="s">
        <v>5</v>
      </c>
      <c r="I65" s="13">
        <v>0</v>
      </c>
      <c r="J65" s="13" t="s">
        <v>5</v>
      </c>
      <c r="K65" s="13" t="s">
        <v>5</v>
      </c>
      <c r="L65" s="13">
        <v>0</v>
      </c>
      <c r="M65" s="13" t="s">
        <v>5</v>
      </c>
      <c r="N65" s="13" t="s">
        <v>5</v>
      </c>
      <c r="O65" s="13" t="s">
        <v>5</v>
      </c>
      <c r="P65" s="13" t="s">
        <v>5</v>
      </c>
    </row>
    <row r="66" spans="1:16" x14ac:dyDescent="0.25">
      <c r="A66" s="21" t="s">
        <v>9</v>
      </c>
      <c r="B66" s="20"/>
      <c r="C66" s="13" t="s">
        <v>5</v>
      </c>
      <c r="D66" s="13">
        <v>0.2</v>
      </c>
      <c r="E66" s="13">
        <v>9.2590000000000006E-2</v>
      </c>
      <c r="F66" s="13">
        <v>2.3064000000000001E-2</v>
      </c>
      <c r="G66" s="13" t="s">
        <v>5</v>
      </c>
      <c r="H66" s="13" t="s">
        <v>5</v>
      </c>
      <c r="I66" s="13">
        <v>0</v>
      </c>
      <c r="J66" s="13" t="s">
        <v>5</v>
      </c>
      <c r="K66" s="13">
        <v>0.35753099999999999</v>
      </c>
      <c r="L66" s="13">
        <v>0.10817053999999901</v>
      </c>
      <c r="M66" s="13" t="s">
        <v>5</v>
      </c>
      <c r="N66" s="13">
        <v>1.9275</v>
      </c>
      <c r="O66" s="13">
        <v>1.9275</v>
      </c>
      <c r="P66" s="13" t="s">
        <v>5</v>
      </c>
    </row>
    <row r="67" spans="1:16" x14ac:dyDescent="0.25">
      <c r="A67" s="21" t="s">
        <v>59</v>
      </c>
      <c r="B67" s="20"/>
      <c r="C67" s="13">
        <v>746.8</v>
      </c>
      <c r="D67" s="13">
        <v>840.2</v>
      </c>
      <c r="E67" s="13" t="s">
        <v>5</v>
      </c>
      <c r="F67" s="13" t="s">
        <v>5</v>
      </c>
      <c r="G67" s="13" t="s">
        <v>5</v>
      </c>
      <c r="H67" s="13" t="s">
        <v>5</v>
      </c>
      <c r="I67" s="13">
        <v>0</v>
      </c>
      <c r="J67" s="13" t="s">
        <v>5</v>
      </c>
      <c r="K67" s="13" t="s">
        <v>5</v>
      </c>
      <c r="L67" s="13">
        <v>0</v>
      </c>
      <c r="M67" s="13" t="s">
        <v>5</v>
      </c>
      <c r="N67" s="13" t="s">
        <v>5</v>
      </c>
      <c r="O67" s="13" t="s">
        <v>5</v>
      </c>
      <c r="P67" s="13" t="s">
        <v>5</v>
      </c>
    </row>
    <row r="68" spans="1:16" x14ac:dyDescent="0.25">
      <c r="A68" s="21" t="s">
        <v>60</v>
      </c>
      <c r="B68" s="20"/>
      <c r="C68" s="13" t="s">
        <v>5</v>
      </c>
      <c r="D68" s="13" t="s">
        <v>5</v>
      </c>
      <c r="E68" s="13" t="s">
        <v>5</v>
      </c>
      <c r="F68" s="13" t="s">
        <v>5</v>
      </c>
      <c r="G68" s="13" t="s">
        <v>5</v>
      </c>
      <c r="H68" s="13" t="s">
        <v>5</v>
      </c>
      <c r="I68" s="13">
        <v>0.11934500000000001</v>
      </c>
      <c r="J68" s="13" t="s">
        <v>5</v>
      </c>
      <c r="K68" s="13" t="s">
        <v>5</v>
      </c>
      <c r="L68" s="13">
        <v>0.36029232999999905</v>
      </c>
      <c r="M68" s="13" t="s">
        <v>5</v>
      </c>
      <c r="N68" s="13" t="s">
        <v>5</v>
      </c>
      <c r="O68" s="13" t="s">
        <v>5</v>
      </c>
      <c r="P68" s="13" t="s">
        <v>5</v>
      </c>
    </row>
    <row r="69" spans="1:16" x14ac:dyDescent="0.25">
      <c r="A69" s="21" t="s">
        <v>86</v>
      </c>
      <c r="B69" s="20"/>
      <c r="C69" s="13" t="s">
        <v>5</v>
      </c>
      <c r="D69" s="13" t="s">
        <v>5</v>
      </c>
      <c r="E69" s="13" t="s">
        <v>5</v>
      </c>
      <c r="F69" s="13" t="s">
        <v>5</v>
      </c>
      <c r="G69" s="13" t="s">
        <v>5</v>
      </c>
      <c r="H69" s="13" t="s">
        <v>5</v>
      </c>
      <c r="I69" s="13" t="s">
        <v>5</v>
      </c>
      <c r="J69" s="13" t="s">
        <v>5</v>
      </c>
      <c r="K69" s="13" t="s">
        <v>5</v>
      </c>
      <c r="L69" s="13" t="s">
        <v>5</v>
      </c>
      <c r="M69" s="13">
        <v>3.9903989999999903E-2</v>
      </c>
      <c r="N69" s="13" t="s">
        <v>5</v>
      </c>
      <c r="O69" s="13" t="s">
        <v>5</v>
      </c>
      <c r="P69" s="13" t="s">
        <v>5</v>
      </c>
    </row>
    <row r="70" spans="1:16" x14ac:dyDescent="0.25">
      <c r="A70" s="21" t="s">
        <v>87</v>
      </c>
      <c r="B70" s="20"/>
      <c r="C70" s="13" t="s">
        <v>5</v>
      </c>
      <c r="D70" s="13" t="s">
        <v>5</v>
      </c>
      <c r="E70" s="13" t="s">
        <v>5</v>
      </c>
      <c r="F70" s="13" t="s">
        <v>5</v>
      </c>
      <c r="G70" s="13" t="s">
        <v>5</v>
      </c>
      <c r="H70" s="13" t="s">
        <v>5</v>
      </c>
      <c r="I70" s="13" t="s">
        <v>5</v>
      </c>
      <c r="J70" s="13" t="s">
        <v>5</v>
      </c>
      <c r="K70" s="13" t="s">
        <v>5</v>
      </c>
      <c r="L70" s="13" t="s">
        <v>5</v>
      </c>
      <c r="M70" s="13">
        <v>8.96256E-2</v>
      </c>
      <c r="N70" s="13" t="s">
        <v>5</v>
      </c>
      <c r="O70" s="13" t="s">
        <v>5</v>
      </c>
      <c r="P70" s="13" t="s">
        <v>5</v>
      </c>
    </row>
    <row r="71" spans="1:16" x14ac:dyDescent="0.25">
      <c r="A71" s="21" t="s">
        <v>83</v>
      </c>
      <c r="B71" s="20"/>
      <c r="C71" s="13" t="s">
        <v>5</v>
      </c>
      <c r="D71" s="13" t="s">
        <v>5</v>
      </c>
      <c r="E71" s="13" t="s">
        <v>5</v>
      </c>
      <c r="F71" s="13" t="s">
        <v>5</v>
      </c>
      <c r="G71" s="13" t="s">
        <v>5</v>
      </c>
      <c r="H71" s="13" t="s">
        <v>5</v>
      </c>
      <c r="I71" s="13" t="s">
        <v>5</v>
      </c>
      <c r="J71" s="13" t="s">
        <v>5</v>
      </c>
      <c r="K71" s="13" t="s">
        <v>5</v>
      </c>
      <c r="L71" s="13">
        <v>2.3935820099999998</v>
      </c>
      <c r="M71" s="13" t="s">
        <v>5</v>
      </c>
      <c r="N71" s="13" t="s">
        <v>5</v>
      </c>
      <c r="O71" s="13" t="s">
        <v>5</v>
      </c>
      <c r="P71" s="13" t="s">
        <v>5</v>
      </c>
    </row>
    <row r="72" spans="1:16" x14ac:dyDescent="0.25">
      <c r="A72" s="21" t="s">
        <v>7</v>
      </c>
      <c r="B72" s="20"/>
      <c r="C72" s="13" t="s">
        <v>5</v>
      </c>
      <c r="D72" s="13" t="s">
        <v>5</v>
      </c>
      <c r="E72" s="13" t="s">
        <v>5</v>
      </c>
      <c r="F72" s="13" t="s">
        <v>5</v>
      </c>
      <c r="G72" s="13" t="s">
        <v>5</v>
      </c>
      <c r="H72" s="13" t="s">
        <v>5</v>
      </c>
      <c r="I72" s="13">
        <v>56.042175</v>
      </c>
      <c r="J72" s="13">
        <v>5.3110780000000002</v>
      </c>
      <c r="K72" s="13">
        <v>1.9840000000000001E-3</v>
      </c>
      <c r="L72" s="13" t="s">
        <v>5</v>
      </c>
      <c r="M72" s="13" t="s">
        <v>5</v>
      </c>
      <c r="N72" s="13" t="s">
        <v>5</v>
      </c>
      <c r="O72" s="13" t="s">
        <v>5</v>
      </c>
      <c r="P72" s="13" t="s">
        <v>5</v>
      </c>
    </row>
    <row r="73" spans="1:16" x14ac:dyDescent="0.25">
      <c r="A73" s="21" t="s">
        <v>61</v>
      </c>
      <c r="B73" s="20"/>
      <c r="C73" s="13" t="s">
        <v>5</v>
      </c>
      <c r="D73" s="13" t="s">
        <v>5</v>
      </c>
      <c r="E73" s="13" t="s">
        <v>5</v>
      </c>
      <c r="F73" s="13" t="s">
        <v>5</v>
      </c>
      <c r="G73" s="13" t="s">
        <v>5</v>
      </c>
      <c r="H73" s="13" t="s">
        <v>5</v>
      </c>
      <c r="I73" s="13">
        <v>1.6884999999999999</v>
      </c>
      <c r="J73" s="13" t="s">
        <v>5</v>
      </c>
      <c r="K73" s="13" t="s">
        <v>5</v>
      </c>
      <c r="L73" s="13" t="s">
        <v>5</v>
      </c>
      <c r="M73" s="13" t="s">
        <v>5</v>
      </c>
      <c r="N73" s="13" t="s">
        <v>5</v>
      </c>
      <c r="O73" s="13" t="s">
        <v>5</v>
      </c>
      <c r="P73" s="13" t="s">
        <v>5</v>
      </c>
    </row>
    <row r="74" spans="1:16" x14ac:dyDescent="0.25">
      <c r="A74" s="21" t="s">
        <v>62</v>
      </c>
      <c r="B74" s="20"/>
      <c r="C74" s="13" t="s">
        <v>5</v>
      </c>
      <c r="D74" s="13" t="s">
        <v>5</v>
      </c>
      <c r="E74" s="13" t="s">
        <v>5</v>
      </c>
      <c r="F74" s="13" t="s">
        <v>5</v>
      </c>
      <c r="G74" s="13" t="s">
        <v>5</v>
      </c>
      <c r="H74" s="13" t="s">
        <v>5</v>
      </c>
      <c r="I74" s="13">
        <v>0.35026499999999999</v>
      </c>
      <c r="J74" s="13">
        <v>1.53</v>
      </c>
      <c r="K74" s="13">
        <v>0.76749999999999996</v>
      </c>
      <c r="L74" s="13">
        <v>0.61439999999999995</v>
      </c>
      <c r="M74" s="13">
        <v>0</v>
      </c>
      <c r="N74" s="13">
        <v>0</v>
      </c>
      <c r="O74" s="13">
        <v>0</v>
      </c>
      <c r="P74" s="13">
        <v>0</v>
      </c>
    </row>
    <row r="75" spans="1:16" x14ac:dyDescent="0.25">
      <c r="A75" s="21" t="s">
        <v>63</v>
      </c>
      <c r="B75" s="20"/>
      <c r="C75" s="13" t="s">
        <v>5</v>
      </c>
      <c r="D75" s="13" t="s">
        <v>5</v>
      </c>
      <c r="E75" s="13" t="s">
        <v>5</v>
      </c>
      <c r="F75" s="13" t="s">
        <v>5</v>
      </c>
      <c r="G75" s="13" t="s">
        <v>5</v>
      </c>
      <c r="H75" s="13" t="s">
        <v>5</v>
      </c>
      <c r="I75" s="13">
        <v>0.81384500000000004</v>
      </c>
      <c r="J75" s="13" t="s">
        <v>5</v>
      </c>
      <c r="K75" s="13" t="s">
        <v>5</v>
      </c>
      <c r="L75" s="13">
        <v>11.369615400000001</v>
      </c>
      <c r="M75" s="13">
        <v>2.7654909999999999</v>
      </c>
      <c r="N75" s="13">
        <v>2.1349999999999998</v>
      </c>
      <c r="O75" s="13">
        <v>2.1349999999999998</v>
      </c>
      <c r="P75" s="13">
        <v>2.1349999999999998</v>
      </c>
    </row>
    <row r="76" spans="1:16" x14ac:dyDescent="0.25">
      <c r="A76" s="21" t="s">
        <v>64</v>
      </c>
      <c r="B76" s="20"/>
      <c r="C76" s="13" t="s">
        <v>5</v>
      </c>
      <c r="D76" s="13" t="s">
        <v>5</v>
      </c>
      <c r="E76" s="13" t="s">
        <v>5</v>
      </c>
      <c r="F76" s="13" t="s">
        <v>5</v>
      </c>
      <c r="G76" s="13" t="s">
        <v>5</v>
      </c>
      <c r="H76" s="13" t="s">
        <v>5</v>
      </c>
      <c r="I76" s="13">
        <v>0.36792000000000002</v>
      </c>
      <c r="J76" s="13">
        <v>0.36696000000000001</v>
      </c>
      <c r="K76" s="13">
        <v>0.36792000000000002</v>
      </c>
      <c r="L76" s="13">
        <v>0.18336</v>
      </c>
      <c r="M76" s="13">
        <v>0.36815999999999999</v>
      </c>
      <c r="N76" s="13">
        <v>0.2</v>
      </c>
      <c r="O76" s="13">
        <v>0.2</v>
      </c>
      <c r="P76" s="13">
        <v>0.2</v>
      </c>
    </row>
    <row r="77" spans="1:16" x14ac:dyDescent="0.25">
      <c r="A77" s="21" t="s">
        <v>70</v>
      </c>
      <c r="B77" s="20"/>
      <c r="C77" s="13" t="s">
        <v>5</v>
      </c>
      <c r="D77" s="13" t="s">
        <v>5</v>
      </c>
      <c r="E77" s="13" t="s">
        <v>5</v>
      </c>
      <c r="F77" s="13" t="s">
        <v>5</v>
      </c>
      <c r="G77" s="13" t="s">
        <v>5</v>
      </c>
      <c r="H77" s="13" t="s">
        <v>5</v>
      </c>
      <c r="I77" s="13" t="s">
        <v>5</v>
      </c>
      <c r="J77" s="13" t="s">
        <v>5</v>
      </c>
      <c r="K77" s="13">
        <v>7.4315000000000006E-2</v>
      </c>
      <c r="L77" s="13" t="s">
        <v>5</v>
      </c>
      <c r="M77" s="13" t="s">
        <v>5</v>
      </c>
      <c r="N77" s="13">
        <v>0</v>
      </c>
      <c r="O77" s="13">
        <v>0</v>
      </c>
      <c r="P77" s="13">
        <v>0</v>
      </c>
    </row>
    <row r="78" spans="1:16" x14ac:dyDescent="0.25">
      <c r="A78" s="21" t="s">
        <v>84</v>
      </c>
      <c r="B78" s="20"/>
      <c r="C78" s="13" t="s">
        <v>5</v>
      </c>
      <c r="D78" s="13" t="s">
        <v>5</v>
      </c>
      <c r="E78" s="13" t="s">
        <v>5</v>
      </c>
      <c r="F78" s="13" t="s">
        <v>5</v>
      </c>
      <c r="G78" s="13" t="s">
        <v>5</v>
      </c>
      <c r="H78" s="13" t="s">
        <v>5</v>
      </c>
      <c r="I78" s="13" t="s">
        <v>5</v>
      </c>
      <c r="J78" s="13" t="s">
        <v>5</v>
      </c>
      <c r="K78" s="13" t="s">
        <v>5</v>
      </c>
      <c r="L78" s="13">
        <v>1.2761966999999999</v>
      </c>
      <c r="M78" s="13">
        <v>0.55060852999999998</v>
      </c>
      <c r="N78" s="13">
        <v>0.5</v>
      </c>
      <c r="O78" s="13">
        <v>0.5</v>
      </c>
      <c r="P78" s="13">
        <v>0.5</v>
      </c>
    </row>
    <row r="79" spans="1:16" x14ac:dyDescent="0.25">
      <c r="A79" s="21" t="s">
        <v>71</v>
      </c>
      <c r="B79" s="20"/>
      <c r="C79" s="13" t="s">
        <v>5</v>
      </c>
      <c r="D79" s="13" t="s">
        <v>5</v>
      </c>
      <c r="E79" s="13" t="s">
        <v>5</v>
      </c>
      <c r="F79" s="13" t="s">
        <v>5</v>
      </c>
      <c r="G79" s="13" t="s">
        <v>5</v>
      </c>
      <c r="H79" s="13" t="s">
        <v>5</v>
      </c>
      <c r="I79" s="13" t="s">
        <v>5</v>
      </c>
      <c r="J79" s="13" t="s">
        <v>5</v>
      </c>
      <c r="K79" s="13">
        <v>0.13536100000000001</v>
      </c>
      <c r="L79" s="13">
        <v>2.3327650000000002E-2</v>
      </c>
      <c r="M79" s="13">
        <v>0</v>
      </c>
      <c r="N79" s="13">
        <v>0</v>
      </c>
      <c r="O79" s="13">
        <v>0</v>
      </c>
      <c r="P79" s="13">
        <v>0</v>
      </c>
    </row>
    <row r="80" spans="1:16" x14ac:dyDescent="0.25">
      <c r="A80" s="21" t="s">
        <v>72</v>
      </c>
      <c r="B80" s="20"/>
      <c r="C80" s="13" t="s">
        <v>5</v>
      </c>
      <c r="D80" s="13" t="s">
        <v>5</v>
      </c>
      <c r="E80" s="13" t="s">
        <v>5</v>
      </c>
      <c r="F80" s="13" t="s">
        <v>5</v>
      </c>
      <c r="G80" s="13" t="s">
        <v>5</v>
      </c>
      <c r="H80" s="13" t="s">
        <v>5</v>
      </c>
      <c r="I80" s="13" t="s">
        <v>5</v>
      </c>
      <c r="J80" s="13" t="s">
        <v>5</v>
      </c>
      <c r="K80" s="13">
        <v>2.3332000000000002</v>
      </c>
      <c r="L80" s="13" t="s">
        <v>5</v>
      </c>
      <c r="M80" s="13">
        <v>0</v>
      </c>
      <c r="N80" s="13">
        <v>0</v>
      </c>
      <c r="O80" s="13">
        <v>0</v>
      </c>
      <c r="P80" s="13">
        <v>0</v>
      </c>
    </row>
    <row r="81" spans="1:16" x14ac:dyDescent="0.25">
      <c r="A81" s="21" t="s">
        <v>73</v>
      </c>
      <c r="B81" s="20"/>
      <c r="C81" s="13" t="s">
        <v>5</v>
      </c>
      <c r="D81" s="13" t="s">
        <v>5</v>
      </c>
      <c r="E81" s="13" t="s">
        <v>5</v>
      </c>
      <c r="F81" s="13" t="s">
        <v>5</v>
      </c>
      <c r="G81" s="13" t="s">
        <v>5</v>
      </c>
      <c r="H81" s="13" t="s">
        <v>5</v>
      </c>
      <c r="I81" s="13" t="s">
        <v>5</v>
      </c>
      <c r="J81" s="13">
        <v>2.2995000000000001</v>
      </c>
      <c r="K81" s="13">
        <v>4.068816</v>
      </c>
      <c r="L81" s="13">
        <v>7.0111398200000004</v>
      </c>
      <c r="M81" s="13">
        <v>5.4197620000000004</v>
      </c>
      <c r="N81" s="13">
        <v>0</v>
      </c>
      <c r="O81" s="13">
        <v>0</v>
      </c>
      <c r="P81" s="13">
        <v>0</v>
      </c>
    </row>
    <row r="82" spans="1:16" x14ac:dyDescent="0.25">
      <c r="A82" s="21" t="s">
        <v>65</v>
      </c>
      <c r="B82" s="20"/>
      <c r="C82" s="13" t="s">
        <v>5</v>
      </c>
      <c r="D82" s="13" t="s">
        <v>5</v>
      </c>
      <c r="E82" s="13" t="s">
        <v>5</v>
      </c>
      <c r="F82" s="13" t="s">
        <v>5</v>
      </c>
      <c r="G82" s="13" t="s">
        <v>5</v>
      </c>
      <c r="H82" s="13" t="s">
        <v>5</v>
      </c>
      <c r="I82" s="13">
        <v>9.6279000000000003E-2</v>
      </c>
      <c r="J82" s="13" t="s">
        <v>5</v>
      </c>
      <c r="K82" s="13" t="s">
        <v>5</v>
      </c>
      <c r="L82" s="13" t="s">
        <v>5</v>
      </c>
      <c r="M82" s="13" t="s">
        <v>5</v>
      </c>
      <c r="N82" s="13">
        <v>0</v>
      </c>
      <c r="O82" s="13">
        <v>0</v>
      </c>
      <c r="P82" s="13">
        <v>0</v>
      </c>
    </row>
    <row r="83" spans="1:16" x14ac:dyDescent="0.25">
      <c r="A83" s="21" t="s">
        <v>66</v>
      </c>
      <c r="B83" s="20"/>
      <c r="C83" s="13" t="s">
        <v>5</v>
      </c>
      <c r="D83" s="13" t="s">
        <v>5</v>
      </c>
      <c r="E83" s="13" t="s">
        <v>5</v>
      </c>
      <c r="F83" s="13" t="s">
        <v>5</v>
      </c>
      <c r="G83" s="13" t="s">
        <v>5</v>
      </c>
      <c r="H83" s="13" t="s">
        <v>5</v>
      </c>
      <c r="I83" s="13">
        <v>0.18378</v>
      </c>
      <c r="J83" s="13">
        <v>0.59766399999999997</v>
      </c>
      <c r="K83" s="13" t="s">
        <v>5</v>
      </c>
      <c r="L83" s="13" t="s">
        <v>5</v>
      </c>
      <c r="M83" s="13" t="s">
        <v>5</v>
      </c>
      <c r="N83" s="13">
        <v>0</v>
      </c>
      <c r="O83" s="13">
        <v>0</v>
      </c>
      <c r="P83" s="13">
        <v>0</v>
      </c>
    </row>
    <row r="84" spans="1:16" x14ac:dyDescent="0.25">
      <c r="A84" s="21" t="s">
        <v>88</v>
      </c>
      <c r="B84" s="20"/>
      <c r="C84" s="13" t="s">
        <v>5</v>
      </c>
      <c r="D84" s="13" t="s">
        <v>5</v>
      </c>
      <c r="E84" s="13" t="s">
        <v>5</v>
      </c>
      <c r="F84" s="13" t="s">
        <v>5</v>
      </c>
      <c r="G84" s="13" t="s">
        <v>5</v>
      </c>
      <c r="H84" s="13" t="s">
        <v>5</v>
      </c>
      <c r="I84" s="13" t="s">
        <v>5</v>
      </c>
      <c r="J84" s="13" t="s">
        <v>5</v>
      </c>
      <c r="K84" s="13" t="s">
        <v>5</v>
      </c>
      <c r="L84" s="13" t="s">
        <v>5</v>
      </c>
      <c r="M84" s="13" t="s">
        <v>5</v>
      </c>
      <c r="N84" s="13">
        <v>35.356676</v>
      </c>
      <c r="O84" s="13">
        <v>35.356676</v>
      </c>
      <c r="P84" s="13">
        <v>0</v>
      </c>
    </row>
    <row r="85" spans="1:16" x14ac:dyDescent="0.25">
      <c r="A85" s="22" t="s">
        <v>77</v>
      </c>
      <c r="B85" s="23" t="s">
        <v>76</v>
      </c>
      <c r="C85" s="24">
        <v>8.4</v>
      </c>
      <c r="D85" s="24">
        <v>10.9</v>
      </c>
      <c r="E85" s="24">
        <v>263.48886399999998</v>
      </c>
      <c r="F85" s="24">
        <v>268.96490240000003</v>
      </c>
      <c r="G85" s="24">
        <v>2.2076169999999999</v>
      </c>
      <c r="H85" s="24" t="s">
        <v>5</v>
      </c>
      <c r="I85" s="24" t="s">
        <v>5</v>
      </c>
      <c r="J85" s="24" t="s">
        <v>5</v>
      </c>
      <c r="K85" s="24">
        <v>1.1705E-2</v>
      </c>
      <c r="L85" s="24">
        <v>8.2856162099999899</v>
      </c>
      <c r="M85" s="24">
        <v>7.6023067599999985</v>
      </c>
      <c r="N85" s="24">
        <v>0</v>
      </c>
      <c r="O85" s="24">
        <v>0</v>
      </c>
      <c r="P85" s="24">
        <v>0</v>
      </c>
    </row>
    <row r="86" spans="1:16" x14ac:dyDescent="0.2">
      <c r="A86" s="3" t="s">
        <v>6</v>
      </c>
      <c r="B86" s="2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 spans="1:16" x14ac:dyDescent="0.25">
      <c r="A87" s="25"/>
      <c r="B87" s="25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6" x14ac:dyDescent="0.25"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</row>
    <row r="89" spans="1:16" x14ac:dyDescent="0.25"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</row>
    <row r="90" spans="1:16" x14ac:dyDescent="0.25"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 spans="1:16" x14ac:dyDescent="0.25"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 spans="1:16" x14ac:dyDescent="0.25"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 spans="1:16" x14ac:dyDescent="0.25"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</row>
    <row r="94" spans="1:16" x14ac:dyDescent="0.25"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</row>
    <row r="95" spans="1:16" x14ac:dyDescent="0.25"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spans="1:16" x14ac:dyDescent="0.25"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7" spans="3:16" x14ac:dyDescent="0.25"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</row>
    <row r="98" spans="3:16" x14ac:dyDescent="0.25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 spans="3:16" x14ac:dyDescent="0.25"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</row>
    <row r="100" spans="3:16" x14ac:dyDescent="0.25"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</row>
    <row r="101" spans="3:16" x14ac:dyDescent="0.25"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 spans="3:16" x14ac:dyDescent="0.25"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</row>
    <row r="103" spans="3:16" x14ac:dyDescent="0.25"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 spans="3:16" x14ac:dyDescent="0.25"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 spans="3:16" x14ac:dyDescent="0.25"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</row>
    <row r="106" spans="3:16" x14ac:dyDescent="0.25"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 spans="3:16" x14ac:dyDescent="0.25"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 spans="3:16" x14ac:dyDescent="0.25"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spans="3:16" x14ac:dyDescent="0.25"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 spans="3:16" x14ac:dyDescent="0.25"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 spans="3:16" x14ac:dyDescent="0.25"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 spans="3:16" x14ac:dyDescent="0.25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 spans="3:16" x14ac:dyDescent="0.25"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</row>
    <row r="114" spans="3:16" x14ac:dyDescent="0.25"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 spans="3:16" x14ac:dyDescent="0.25"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 spans="3:16" x14ac:dyDescent="0.25"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 spans="3:16" x14ac:dyDescent="0.25"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</row>
    <row r="118" spans="3:16" x14ac:dyDescent="0.25"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</row>
    <row r="119" spans="3:16" x14ac:dyDescent="0.25"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 spans="3:16" x14ac:dyDescent="0.25"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 spans="3:16" x14ac:dyDescent="0.25"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 spans="3:16" x14ac:dyDescent="0.25"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 spans="3:16" x14ac:dyDescent="0.25"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 spans="3:16" x14ac:dyDescent="0.25"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</row>
    <row r="125" spans="3:16" x14ac:dyDescent="0.25"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 spans="3:16" x14ac:dyDescent="0.25"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  <row r="127" spans="3:16" x14ac:dyDescent="0.25"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</row>
    <row r="128" spans="3:16" x14ac:dyDescent="0.25"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 spans="3:16" x14ac:dyDescent="0.25"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 spans="3:16" x14ac:dyDescent="0.25"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 spans="3:16" x14ac:dyDescent="0.25"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 spans="3:16" x14ac:dyDescent="0.25"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</row>
    <row r="133" spans="3:16" x14ac:dyDescent="0.25"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 spans="3:16" x14ac:dyDescent="0.25"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 spans="3:16" x14ac:dyDescent="0.25"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 spans="3:16" x14ac:dyDescent="0.25"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  <row r="137" spans="3:16" x14ac:dyDescent="0.25"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</row>
    <row r="138" spans="3:16" x14ac:dyDescent="0.25"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 spans="3:16" x14ac:dyDescent="0.25"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</row>
    <row r="140" spans="3:16" x14ac:dyDescent="0.25"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</row>
    <row r="141" spans="3:16" x14ac:dyDescent="0.25"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 spans="3:16" x14ac:dyDescent="0.25"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 spans="3:16" x14ac:dyDescent="0.25"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  <row r="144" spans="3:16" x14ac:dyDescent="0.25"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 spans="3:16" x14ac:dyDescent="0.25"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</row>
    <row r="146" spans="3:16" x14ac:dyDescent="0.25"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 spans="3:16" x14ac:dyDescent="0.25"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</row>
    <row r="148" spans="3:16" x14ac:dyDescent="0.25"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</row>
    <row r="149" spans="3:16" x14ac:dyDescent="0.25"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</row>
    <row r="150" spans="3:16" x14ac:dyDescent="0.25"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 spans="3:16" x14ac:dyDescent="0.25"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 spans="3:16" x14ac:dyDescent="0.25"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</row>
    <row r="153" spans="3:16" x14ac:dyDescent="0.25"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</row>
    <row r="154" spans="3:16" x14ac:dyDescent="0.25"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</row>
    <row r="155" spans="3:16" x14ac:dyDescent="0.25"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</row>
    <row r="156" spans="3:16" x14ac:dyDescent="0.25"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 spans="3:16" x14ac:dyDescent="0.25"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 spans="3:16" x14ac:dyDescent="0.25"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</row>
    <row r="159" spans="3:16" x14ac:dyDescent="0.25"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 spans="3:16" x14ac:dyDescent="0.25"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 spans="3:16" x14ac:dyDescent="0.25"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</row>
    <row r="162" spans="3:16" x14ac:dyDescent="0.25"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</row>
    <row r="163" spans="3:16" x14ac:dyDescent="0.25"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 spans="3:16" x14ac:dyDescent="0.25"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</row>
    <row r="165" spans="3:16" x14ac:dyDescent="0.25"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</row>
    <row r="166" spans="3:16" x14ac:dyDescent="0.25"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</row>
    <row r="167" spans="3:16" x14ac:dyDescent="0.25"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</row>
    <row r="168" spans="3:16" x14ac:dyDescent="0.25"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 spans="3:16" x14ac:dyDescent="0.25"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</row>
    <row r="170" spans="3:16" x14ac:dyDescent="0.25"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 spans="3:16" x14ac:dyDescent="0.25"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</sheetData>
  <mergeCells count="4">
    <mergeCell ref="A4:A5"/>
    <mergeCell ref="A2:P2"/>
    <mergeCell ref="A1:P1"/>
    <mergeCell ref="A3:P3"/>
  </mergeCells>
  <pageMargins left="0.7" right="0.7" top="0.3" bottom="0.18" header="0.18" footer="0.17"/>
  <pageSetup paperSize="9" scale="80" orientation="landscape" horizontalDpi="4294967295" verticalDpi="4294967295" r:id="rId1"/>
  <rowBreaks count="2" manualBreakCount="2">
    <brk id="40" max="16383" man="1"/>
    <brk id="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13.11</vt:lpstr>
      <vt:lpstr>'13.11'!Print_Area</vt:lpstr>
      <vt:lpstr>'13.11'!Print_Titles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2017-06-05T07:56:47Z</cp:lastPrinted>
  <dcterms:created xsi:type="dcterms:W3CDTF">2014-03-06T08:38:12Z</dcterms:created>
  <dcterms:modified xsi:type="dcterms:W3CDTF">2017-06-05T07:56:49Z</dcterms:modified>
</cp:coreProperties>
</file>