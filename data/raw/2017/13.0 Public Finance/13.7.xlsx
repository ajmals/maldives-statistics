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7" sheetId="15" r:id="rId1"/>
  </sheets>
  <externalReferences>
    <externalReference r:id="rId2"/>
  </externalReferences>
  <definedNames>
    <definedName name="_xlnm.Print_Area" localSheetId="0">'13.7'!$A$1:$Y$34</definedName>
  </definedNames>
  <calcPr calcId="144525"/>
</workbook>
</file>

<file path=xl/calcChain.xml><?xml version="1.0" encoding="utf-8"?>
<calcChain xmlns="http://schemas.openxmlformats.org/spreadsheetml/2006/main">
  <c r="R10" i="15" l="1"/>
  <c r="R15" i="15"/>
  <c r="R21" i="15"/>
  <c r="R9" i="15" l="1"/>
  <c r="R8" i="15" s="1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Q21" i="15" l="1"/>
  <c r="Q15" i="15"/>
  <c r="Q10" i="15"/>
  <c r="Q9" i="15" l="1"/>
  <c r="Q8" i="15" s="1"/>
  <c r="V30" i="15" l="1"/>
  <c r="V20" i="15"/>
  <c r="V11" i="15"/>
  <c r="V12" i="15"/>
  <c r="V13" i="15"/>
  <c r="V14" i="15"/>
  <c r="V16" i="15"/>
  <c r="V17" i="15"/>
  <c r="V18" i="15"/>
  <c r="V22" i="15"/>
  <c r="V23" i="15"/>
  <c r="V24" i="15"/>
  <c r="V25" i="15"/>
  <c r="V26" i="15"/>
  <c r="V27" i="15"/>
  <c r="V28" i="15"/>
  <c r="V31" i="15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W15" i="15" l="1"/>
  <c r="V15" i="15"/>
  <c r="P21" i="15" l="1"/>
  <c r="P10" i="15"/>
  <c r="P9" i="15" l="1"/>
  <c r="P8" i="15" s="1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D9" i="15" l="1"/>
  <c r="D8" i="15" s="1"/>
  <c r="H9" i="15"/>
  <c r="H8" i="15" s="1"/>
  <c r="L9" i="15"/>
  <c r="F9" i="15"/>
  <c r="F8" i="15" s="1"/>
  <c r="N9" i="15"/>
  <c r="S9" i="15" s="1"/>
  <c r="E9" i="15"/>
  <c r="E8" i="15" s="1"/>
  <c r="W21" i="15"/>
  <c r="W10" i="15"/>
  <c r="I9" i="15"/>
  <c r="I8" i="15" s="1"/>
  <c r="J9" i="15"/>
  <c r="J8" i="15" s="1"/>
  <c r="S12" i="15"/>
  <c r="G9" i="15"/>
  <c r="G8" i="15" s="1"/>
  <c r="O9" i="15"/>
  <c r="T10" i="15" s="1"/>
  <c r="C9" i="15"/>
  <c r="C8" i="15" s="1"/>
  <c r="K9" i="15"/>
  <c r="B9" i="15"/>
  <c r="B8" i="15" s="1"/>
  <c r="V21" i="15"/>
  <c r="S30" i="15"/>
  <c r="S23" i="15"/>
  <c r="S11" i="15"/>
  <c r="S14" i="15"/>
  <c r="S17" i="15"/>
  <c r="S20" i="15"/>
  <c r="S22" i="15"/>
  <c r="S25" i="15"/>
  <c r="S27" i="15"/>
  <c r="S31" i="15"/>
  <c r="S15" i="15"/>
  <c r="S13" i="15"/>
  <c r="S16" i="15"/>
  <c r="S18" i="15"/>
  <c r="S21" i="15"/>
  <c r="S24" i="15"/>
  <c r="S26" i="15"/>
  <c r="S28" i="15"/>
  <c r="S10" i="15"/>
  <c r="V10" i="15"/>
  <c r="N8" i="15"/>
  <c r="L8" i="15"/>
  <c r="K8" i="15"/>
  <c r="M9" i="15"/>
  <c r="T21" i="15" l="1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V9" i="15"/>
  <c r="M8" i="15"/>
  <c r="V8" i="15" s="1"/>
</calcChain>
</file>

<file path=xl/sharedStrings.xml><?xml version="1.0" encoding="utf-8"?>
<sst xmlns="http://schemas.openxmlformats.org/spreadsheetml/2006/main" count="78" uniqueCount="71">
  <si>
    <t>Particulars</t>
  </si>
  <si>
    <t>(iawfiverukuhWlcsia)</t>
  </si>
  <si>
    <t>clIBcfwt</t>
  </si>
  <si>
    <t>Actual</t>
  </si>
  <si>
    <t>(MTEF)</t>
  </si>
  <si>
    <t>Revised</t>
  </si>
  <si>
    <t>(cTejwbWtcsWrudem)</t>
  </si>
  <si>
    <t>Source:  Ministry of Finance and Treasury</t>
  </si>
  <si>
    <t>IrwRercT cDcnea cscnEnif cfoa IrcTcsinim :ctWrwf ivcaedutWmUluAwm</t>
  </si>
  <si>
    <t>(cniaWyifur cnwyilim)</t>
  </si>
  <si>
    <t>caeacmwTiawa Wviawfiveruk cDrOker iawkwTcSwnWdwh</t>
  </si>
  <si>
    <t>% change</t>
  </si>
  <si>
    <t>ctwmcdiK IdWBitcqia</t>
  </si>
  <si>
    <t>އިތުރުވި މިންވަރު</t>
  </si>
  <si>
    <t xml:space="preserve"> (In million MVR)</t>
  </si>
  <si>
    <t>% Share</t>
  </si>
  <si>
    <t xml:space="preserve">EhebWmugcnih       </t>
  </si>
  <si>
    <t xml:space="preserve">cnuTcaeheleb cSwtcawtcnwkIaWfid       </t>
  </si>
  <si>
    <t xml:space="preserve">cnuTcaeleb iaWmurukiretWkcawr iSevWmit       </t>
  </si>
  <si>
    <t xml:space="preserve">cmIluAwt       </t>
  </si>
  <si>
    <t xml:space="preserve">rwaefclev iaWmuTcaeheleb cSokiretWkcawr uAwmwtcjum       </t>
  </si>
  <si>
    <t xml:space="preserve">   Economic services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</si>
  <si>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</si>
  <si>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</si>
  <si>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</si>
  <si>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</si>
  <si>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</si>
  <si>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</si>
  <si>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</si>
  <si>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</si>
  <si>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</si>
  <si>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</si>
  <si>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</si>
  <si>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</si>
  <si>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</si>
  <si>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</si>
  <si>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</si>
  <si>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</si>
  <si>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</si>
  <si>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</si>
  <si>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</si>
  <si>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</si>
  <si>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</si>
  <si>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</si>
  <si>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</si>
  <si>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</si>
  <si>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</si>
  <si>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</si>
  <si>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</si>
  <si>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</si>
  <si>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</si>
  <si>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</si>
  <si>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</si>
  <si>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</si>
  <si>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</si>
  <si>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</si>
  <si>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</si>
  <si>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</si>
  <si>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</si>
  <si>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</si>
  <si>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</si>
  <si>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</si>
  <si>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</si>
  <si>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</si>
  <si>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 xml:space="preserve">        Religion, Culture and Entertainment</t>
  </si>
  <si>
    <t>ދީނީ، ސަޤާފީ، މުނިފޫހިފިލުވުން</t>
  </si>
  <si>
    <t>2014 - 2015</t>
  </si>
  <si>
    <t>2015 - 2016</t>
  </si>
  <si>
    <t>Table  13.7 :  FUNCTIONAL CLASSIFICATION OF CENTRAL GOVERNMENT  CAPITAL EXPENDITURE, 2013 - 2019</t>
  </si>
  <si>
    <t>2019 -2013 ,ctEverukudwrwK ivinwncnuhimed cnurWkurws cnutog egukwtiawb WviawfiLeawDnwk cSwmugcnihudwrwK : 13.7 ulwvWt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</si>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</sst>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sz val="9"/>
      <color theme="1"/>
      <name val="A_Utheem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89">
    <xf numFmtId="0" fontId="0" fillId="0" borderId="0" xfId="0"/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1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Alignment="1">
      <alignment vertical="center"/>
    </xf>
    <xf numFmtId="164" fontId="18" fillId="2" borderId="0" xfId="2" applyNumberFormat="1" applyFont="1" applyFill="1" applyAlignment="1">
      <alignment vertical="center"/>
    </xf>
    <xf numFmtId="164" fontId="9" fillId="2" borderId="0" xfId="2" applyNumberFormat="1" applyFont="1" applyFill="1" applyAlignment="1">
      <alignment vertical="center"/>
    </xf>
    <xf numFmtId="164" fontId="20" fillId="2" borderId="0" xfId="2" applyNumberFormat="1" applyFont="1" applyFill="1" applyAlignment="1">
      <alignment vertical="center"/>
    </xf>
    <xf numFmtId="164" fontId="15" fillId="2" borderId="0" xfId="2" applyNumberFormat="1" applyFont="1" applyFill="1" applyAlignment="1" applyProtection="1">
      <alignment horizontal="left" vertical="center"/>
    </xf>
    <xf numFmtId="164" fontId="13" fillId="2" borderId="0" xfId="2" applyNumberFormat="1" applyFont="1" applyFill="1" applyAlignment="1">
      <alignment vertical="center"/>
    </xf>
    <xf numFmtId="164" fontId="11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 applyAlignment="1">
      <alignment horizontal="center" vertical="center"/>
    </xf>
    <xf numFmtId="164" fontId="20" fillId="2" borderId="0" xfId="2" applyNumberFormat="1" applyFont="1" applyFill="1" applyBorder="1" applyAlignment="1">
      <alignment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41" fontId="21" fillId="2" borderId="2" xfId="3" applyNumberFormat="1" applyFont="1" applyFill="1" applyBorder="1" applyAlignment="1" applyProtection="1">
      <alignment horizontal="right" vertical="center"/>
      <protection locked="0"/>
    </xf>
    <xf numFmtId="164" fontId="19" fillId="2" borderId="2" xfId="2" applyNumberFormat="1" applyFont="1" applyFill="1" applyBorder="1" applyAlignment="1">
      <alignment horizontal="right" vertical="center"/>
    </xf>
    <xf numFmtId="164" fontId="19" fillId="2" borderId="0" xfId="2" applyNumberFormat="1" applyFont="1" applyFill="1" applyAlignment="1">
      <alignment horizontal="right" vertical="center"/>
    </xf>
    <xf numFmtId="164" fontId="9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Alignment="1" applyProtection="1">
      <alignment horizontal="left" vertical="center"/>
    </xf>
    <xf numFmtId="165" fontId="10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164" fontId="8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/>
    </xf>
    <xf numFmtId="41" fontId="21" fillId="2" borderId="0" xfId="3" applyNumberFormat="1" applyFont="1" applyFill="1" applyBorder="1" applyAlignment="1" applyProtection="1">
      <alignment horizontal="right" vertical="center"/>
      <protection locked="0"/>
    </xf>
    <xf numFmtId="165" fontId="13" fillId="2" borderId="0" xfId="2" applyNumberFormat="1" applyFont="1" applyFill="1" applyBorder="1" applyAlignment="1" applyProtection="1">
      <alignment horizontal="right" vertical="center"/>
    </xf>
    <xf numFmtId="164" fontId="9" fillId="2" borderId="0" xfId="2" applyNumberFormat="1" applyFont="1" applyFill="1" applyBorder="1" applyAlignment="1" applyProtection="1">
      <alignment horizontal="right" vertical="center"/>
      <protection locked="0"/>
    </xf>
    <xf numFmtId="37" fontId="13" fillId="2" borderId="0" xfId="2" applyNumberFormat="1" applyFont="1" applyFill="1" applyAlignment="1" applyProtection="1">
      <alignment horizontal="center" vertical="center"/>
    </xf>
    <xf numFmtId="164" fontId="8" fillId="2" borderId="0" xfId="2" applyNumberFormat="1" applyFont="1" applyFill="1" applyBorder="1" applyAlignment="1"/>
    <xf numFmtId="164" fontId="8" fillId="2" borderId="3" xfId="2" applyNumberFormat="1" applyFont="1" applyFill="1" applyBorder="1" applyAlignment="1">
      <alignment horizontal="center"/>
    </xf>
    <xf numFmtId="0" fontId="12" fillId="2" borderId="3" xfId="2" applyFont="1" applyFill="1" applyBorder="1" applyAlignment="1" applyProtection="1">
      <alignment horizontal="center" vertical="center"/>
    </xf>
    <xf numFmtId="164" fontId="9" fillId="2" borderId="0" xfId="2" applyNumberFormat="1" applyFont="1" applyFill="1" applyBorder="1" applyAlignment="1" applyProtection="1">
      <alignment horizontal="left" vertical="center"/>
    </xf>
    <xf numFmtId="164" fontId="9" fillId="2" borderId="0" xfId="2" applyNumberFormat="1" applyFont="1" applyFill="1" applyBorder="1" applyAlignment="1">
      <alignment horizontal="right"/>
    </xf>
    <xf numFmtId="1" fontId="10" fillId="2" borderId="2" xfId="2" applyNumberFormat="1" applyFont="1" applyFill="1" applyBorder="1" applyAlignment="1" applyProtection="1">
      <alignment horizontal="right" vertical="center"/>
    </xf>
    <xf numFmtId="1" fontId="10" fillId="2" borderId="2" xfId="2" applyNumberFormat="1" applyFont="1" applyFill="1" applyBorder="1" applyAlignment="1" applyProtection="1">
      <alignment horizontal="center" vertical="center"/>
    </xf>
    <xf numFmtId="1" fontId="10" fillId="2" borderId="2" xfId="2" applyNumberFormat="1" applyFont="1" applyFill="1" applyBorder="1" applyAlignment="1">
      <alignment horizontal="right" vertical="center"/>
    </xf>
    <xf numFmtId="1" fontId="10" fillId="2" borderId="0" xfId="2" applyNumberFormat="1" applyFont="1" applyFill="1" applyAlignment="1">
      <alignment horizontal="right" vertical="center"/>
    </xf>
    <xf numFmtId="165" fontId="10" fillId="2" borderId="0" xfId="2" applyNumberFormat="1" applyFont="1" applyFill="1" applyAlignment="1">
      <alignment horizontal="right" vertical="center"/>
    </xf>
    <xf numFmtId="165" fontId="10" fillId="2" borderId="0" xfId="2" applyNumberFormat="1" applyFont="1" applyFill="1" applyBorder="1" applyAlignment="1">
      <alignment horizontal="right" vertical="center"/>
    </xf>
    <xf numFmtId="165" fontId="10" fillId="2" borderId="0" xfId="2" applyNumberFormat="1" applyFont="1" applyFill="1" applyBorder="1" applyAlignment="1">
      <alignment horizontal="right" vertical="center" indent="3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 indent="3"/>
    </xf>
    <xf numFmtId="164" fontId="14" fillId="2" borderId="0" xfId="2" applyNumberFormat="1" applyFont="1" applyFill="1" applyAlignment="1">
      <alignment horizontal="right" vertical="center" indent="4"/>
    </xf>
    <xf numFmtId="165" fontId="13" fillId="2" borderId="0" xfId="2" applyNumberFormat="1" applyFont="1" applyFill="1" applyAlignment="1" applyProtection="1">
      <alignment horizontal="right" vertical="center"/>
    </xf>
    <xf numFmtId="168" fontId="13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0" xfId="2" applyNumberFormat="1" applyFont="1" applyFill="1" applyAlignment="1">
      <alignment vertical="center"/>
    </xf>
    <xf numFmtId="164" fontId="19" fillId="2" borderId="0" xfId="2" applyNumberFormat="1" applyFont="1" applyFill="1" applyBorder="1" applyAlignment="1">
      <alignment horizontal="right" vertical="center"/>
    </xf>
    <xf numFmtId="168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Alignment="1">
      <alignment horizontal="center" vertical="center"/>
    </xf>
    <xf numFmtId="164" fontId="5" fillId="2" borderId="7" xfId="2" applyNumberFormat="1" applyFont="1" applyFill="1" applyBorder="1" applyAlignment="1" applyProtection="1">
      <alignment horizontal="center" vertical="center"/>
      <protection locked="0"/>
    </xf>
    <xf numFmtId="164" fontId="20" fillId="2" borderId="2" xfId="2" applyNumberFormat="1" applyFont="1" applyFill="1" applyBorder="1" applyAlignment="1">
      <alignment vertical="center"/>
    </xf>
    <xf numFmtId="168" fontId="12" fillId="2" borderId="3" xfId="2" applyNumberFormat="1" applyFont="1" applyFill="1" applyBorder="1" applyAlignment="1" applyProtection="1">
      <alignment vertical="center"/>
      <protection hidden="1"/>
    </xf>
    <xf numFmtId="1" fontId="5" fillId="2" borderId="7" xfId="2" applyNumberFormat="1" applyFont="1" applyFill="1" applyBorder="1" applyAlignment="1" applyProtection="1">
      <alignment vertical="center"/>
      <protection locked="0"/>
    </xf>
    <xf numFmtId="1" fontId="10" fillId="2" borderId="5" xfId="2" applyNumberFormat="1" applyFont="1" applyFill="1" applyBorder="1" applyAlignment="1" applyProtection="1">
      <alignment horizontal="right" vertical="center"/>
    </xf>
    <xf numFmtId="1" fontId="10" fillId="2" borderId="10" xfId="2" applyNumberFormat="1" applyFont="1" applyFill="1" applyBorder="1" applyAlignment="1" applyProtection="1">
      <alignment horizontal="right" vertical="center"/>
    </xf>
    <xf numFmtId="165" fontId="10" fillId="2" borderId="6" xfId="2" applyNumberFormat="1" applyFont="1" applyFill="1" applyBorder="1" applyAlignment="1">
      <alignment horizontal="right" vertical="center"/>
    </xf>
    <xf numFmtId="165" fontId="10" fillId="2" borderId="11" xfId="2" applyNumberFormat="1" applyFont="1" applyFill="1" applyBorder="1" applyAlignment="1">
      <alignment horizontal="right" vertical="center"/>
    </xf>
    <xf numFmtId="165" fontId="10" fillId="2" borderId="4" xfId="2" applyNumberFormat="1" applyFont="1" applyFill="1" applyBorder="1" applyAlignment="1">
      <alignment horizontal="right" vertical="center"/>
    </xf>
    <xf numFmtId="165" fontId="10" fillId="2" borderId="9" xfId="2" applyNumberFormat="1" applyFont="1" applyFill="1" applyBorder="1" applyAlignment="1">
      <alignment horizontal="right" vertical="center"/>
    </xf>
    <xf numFmtId="1" fontId="5" fillId="2" borderId="0" xfId="2" applyNumberFormat="1" applyFont="1" applyFill="1" applyBorder="1" applyAlignment="1" applyProtection="1">
      <alignment vertical="center"/>
      <protection locked="0"/>
    </xf>
    <xf numFmtId="165" fontId="13" fillId="2" borderId="4" xfId="2" applyNumberFormat="1" applyFont="1" applyFill="1" applyBorder="1" applyAlignment="1">
      <alignment horizontal="right" vertical="center"/>
    </xf>
    <xf numFmtId="165" fontId="13" fillId="2" borderId="9" xfId="2" applyNumberFormat="1" applyFont="1" applyFill="1" applyBorder="1" applyAlignment="1">
      <alignment horizontal="right" vertical="center"/>
    </xf>
    <xf numFmtId="165" fontId="13" fillId="2" borderId="5" xfId="2" applyNumberFormat="1" applyFont="1" applyFill="1" applyBorder="1" applyAlignment="1">
      <alignment horizontal="right" vertical="center"/>
    </xf>
    <xf numFmtId="165" fontId="13" fillId="2" borderId="2" xfId="2" applyNumberFormat="1" applyFont="1" applyFill="1" applyBorder="1" applyAlignment="1">
      <alignment horizontal="right" vertical="center" indent="3"/>
    </xf>
    <xf numFmtId="165" fontId="13" fillId="2" borderId="10" xfId="2" applyNumberFormat="1" applyFont="1" applyFill="1" applyBorder="1" applyAlignment="1">
      <alignment horizontal="right" vertical="center"/>
    </xf>
    <xf numFmtId="167" fontId="10" fillId="2" borderId="0" xfId="1" applyNumberFormat="1" applyFont="1" applyFill="1" applyAlignment="1">
      <alignment horizontal="right" vertical="center"/>
    </xf>
    <xf numFmtId="167" fontId="13" fillId="2" borderId="0" xfId="1" applyNumberFormat="1" applyFont="1" applyFill="1" applyBorder="1" applyAlignment="1" applyProtection="1">
      <alignment horizontal="right" vertical="center"/>
    </xf>
    <xf numFmtId="167" fontId="13" fillId="2" borderId="0" xfId="1" applyNumberFormat="1" applyFont="1" applyFill="1" applyAlignment="1">
      <alignment horizontal="right" vertical="center"/>
    </xf>
    <xf numFmtId="167" fontId="10" fillId="2" borderId="0" xfId="1" applyNumberFormat="1" applyFont="1" applyFill="1" applyAlignment="1" applyProtection="1">
      <alignment horizontal="right" vertical="center"/>
    </xf>
    <xf numFmtId="167" fontId="13" fillId="2" borderId="0" xfId="1" applyNumberFormat="1" applyFont="1" applyFill="1" applyAlignment="1" applyProtection="1">
      <alignment horizontal="right" vertical="center"/>
    </xf>
    <xf numFmtId="167" fontId="13" fillId="2" borderId="0" xfId="1" applyNumberFormat="1" applyFont="1" applyFill="1" applyAlignment="1">
      <alignment vertical="center"/>
    </xf>
    <xf numFmtId="167" fontId="13" fillId="2" borderId="2" xfId="1" applyNumberFormat="1" applyFont="1" applyFill="1" applyBorder="1" applyAlignment="1" applyProtection="1">
      <alignment horizontal="right" vertical="center"/>
      <protection locked="0"/>
    </xf>
    <xf numFmtId="164" fontId="8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18" fillId="2" borderId="0" xfId="2" applyNumberFormat="1" applyFont="1" applyFill="1" applyBorder="1" applyAlignment="1" applyProtection="1">
      <alignment horizontal="center" vertical="center"/>
    </xf>
    <xf numFmtId="164" fontId="5" fillId="2" borderId="14" xfId="2" applyNumberFormat="1" applyFont="1" applyFill="1" applyBorder="1" applyAlignment="1" applyProtection="1">
      <alignment horizontal="right" vertical="center"/>
    </xf>
    <xf numFmtId="164" fontId="5" fillId="2" borderId="9" xfId="2" applyNumberFormat="1" applyFont="1" applyFill="1" applyBorder="1" applyAlignment="1" applyProtection="1">
      <alignment horizontal="right" vertical="center"/>
      <protection locked="0"/>
    </xf>
    <xf numFmtId="167" fontId="13" fillId="2" borderId="4" xfId="1" applyNumberFormat="1" applyFont="1" applyFill="1" applyBorder="1" applyAlignment="1">
      <alignment horizontal="right" vertical="center"/>
    </xf>
    <xf numFmtId="167" fontId="13" fillId="2" borderId="9" xfId="1" applyNumberFormat="1" applyFont="1" applyFill="1" applyBorder="1" applyAlignment="1">
      <alignment horizontal="right" vertical="center"/>
    </xf>
    <xf numFmtId="167" fontId="13" fillId="2" borderId="0" xfId="1" applyNumberFormat="1" applyFont="1" applyFill="1" applyBorder="1" applyAlignment="1">
      <alignment horizontal="right" vertical="center" indent="2"/>
    </xf>
    <xf numFmtId="167" fontId="13" fillId="2" borderId="0" xfId="1" applyNumberFormat="1" applyFont="1" applyFill="1" applyAlignment="1">
      <alignment horizontal="right" vertical="center" indent="2"/>
    </xf>
    <xf numFmtId="164" fontId="16" fillId="2" borderId="0" xfId="2" applyNumberFormat="1" applyFont="1" applyFill="1" applyAlignment="1">
      <alignment horizontal="center" vertical="center"/>
    </xf>
    <xf numFmtId="164" fontId="18" fillId="2" borderId="2" xfId="2" applyNumberFormat="1" applyFont="1" applyFill="1" applyBorder="1" applyAlignment="1">
      <alignment horizontal="center" vertical="center"/>
    </xf>
    <xf numFmtId="164" fontId="18" fillId="2" borderId="0" xfId="2" applyNumberFormat="1" applyFont="1" applyFill="1" applyBorder="1" applyAlignment="1" applyProtection="1">
      <alignment horizontal="center" vertical="center"/>
    </xf>
    <xf numFmtId="164" fontId="22" fillId="2" borderId="0" xfId="2" applyNumberFormat="1" applyFont="1" applyFill="1" applyAlignment="1">
      <alignment horizontal="center" vertical="center" wrapText="1"/>
    </xf>
    <xf numFmtId="164" fontId="5" fillId="2" borderId="8" xfId="2" applyNumberFormat="1" applyFont="1" applyFill="1" applyBorder="1" applyAlignment="1" applyProtection="1">
      <alignment horizontal="center" vertical="center"/>
      <protection locked="0"/>
    </xf>
    <xf numFmtId="164" fontId="5" fillId="2" borderId="12" xfId="2" applyNumberFormat="1" applyFont="1" applyFill="1" applyBorder="1" applyAlignment="1" applyProtection="1">
      <alignment horizontal="center" vertical="center"/>
      <protection locked="0"/>
    </xf>
    <xf numFmtId="164" fontId="8" fillId="2" borderId="13" xfId="2" applyNumberFormat="1" applyFont="1" applyFill="1" applyBorder="1" applyAlignment="1">
      <alignment horizontal="center"/>
    </xf>
    <xf numFmtId="0" fontId="12" fillId="2" borderId="6" xfId="2" applyFont="1" applyFill="1" applyBorder="1" applyAlignment="1" applyProtection="1">
      <alignment horizontal="center" vertical="center"/>
    </xf>
    <xf numFmtId="0" fontId="12" fillId="2" borderId="11" xfId="2" applyFont="1" applyFill="1" applyBorder="1" applyAlignment="1" applyProtection="1">
      <alignment horizontal="center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5"/>
  <sheetViews>
    <sheetView tabSelected="1" topLeftCell="A7" zoomScaleNormal="100" workbookViewId="0">
      <selection activeCell="AE27" sqref="AE27"/>
    </sheetView>
  </sheetViews>
  <sheetFormatPr defaultColWidth="8.85546875" defaultRowHeight="12.75" x14ac:dyDescent="0.25"/>
  <cols>
    <col min="1" max="1" width="29.140625" style="3" customWidth="1"/>
    <col min="2" max="11" width="8.85546875" style="10" hidden="1" customWidth="1"/>
    <col min="12" max="12" width="8.85546875" style="10"/>
    <col min="13" max="13" width="10.140625" style="10" customWidth="1"/>
    <col min="14" max="14" width="11.5703125" style="10" customWidth="1"/>
    <col min="15" max="18" width="8.85546875" style="10"/>
    <col min="19" max="19" width="12.42578125" style="10" customWidth="1"/>
    <col min="20" max="20" width="10.28515625" style="10" customWidth="1"/>
    <col min="21" max="21" width="1.28515625" style="10" customWidth="1"/>
    <col min="22" max="22" width="14.7109375" style="10" customWidth="1"/>
    <col min="23" max="23" width="12.5703125" style="10" customWidth="1"/>
    <col min="24" max="24" width="3.85546875" style="10" customWidth="1"/>
    <col min="25" max="25" width="42" style="3" customWidth="1"/>
    <col min="26" max="16384" width="8.85546875" style="3"/>
  </cols>
  <sheetData>
    <row r="1" spans="1:25" ht="19.5" x14ac:dyDescent="0.25">
      <c r="A1" s="80" t="s">
        <v>69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x14ac:dyDescent="0.25">
      <c r="A2" s="82" t="s">
        <v>68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 ht="14.25" x14ac:dyDescent="0.25">
      <c r="A3" s="83" t="s">
        <v>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spans="1:25" s="4" customFormat="1" x14ac:dyDescent="0.25">
      <c r="A4" s="81" t="s">
        <v>14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</row>
    <row r="5" spans="1:25" s="4" customFormat="1" ht="18.75" x14ac:dyDescent="0.4">
      <c r="A5" s="73"/>
      <c r="B5" s="73"/>
      <c r="D5" s="26" t="s">
        <v>1</v>
      </c>
      <c r="E5" s="86" t="s">
        <v>6</v>
      </c>
      <c r="F5" s="86"/>
      <c r="G5" s="8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87" t="s">
        <v>22</v>
      </c>
      <c r="T5" s="88"/>
      <c r="U5" s="28"/>
      <c r="V5" s="50" t="s">
        <v>13</v>
      </c>
      <c r="W5" s="50"/>
      <c r="X5" s="50"/>
    </row>
    <row r="6" spans="1:25" s="16" customFormat="1" ht="15" x14ac:dyDescent="0.2">
      <c r="A6" s="29" t="s">
        <v>0</v>
      </c>
      <c r="D6" s="24" t="s">
        <v>23</v>
      </c>
      <c r="E6" s="30" t="s">
        <v>4</v>
      </c>
      <c r="F6" s="30" t="s">
        <v>4</v>
      </c>
      <c r="G6" s="30" t="s">
        <v>4</v>
      </c>
      <c r="H6" s="30"/>
      <c r="I6" s="30"/>
      <c r="J6" s="30"/>
      <c r="K6" s="30" t="s">
        <v>3</v>
      </c>
      <c r="L6" s="30" t="s">
        <v>3</v>
      </c>
      <c r="M6" s="30" t="s">
        <v>3</v>
      </c>
      <c r="N6" s="1" t="s">
        <v>3</v>
      </c>
      <c r="O6" s="1" t="s">
        <v>5</v>
      </c>
      <c r="P6" s="1" t="s">
        <v>70</v>
      </c>
      <c r="Q6" s="1" t="s">
        <v>70</v>
      </c>
      <c r="R6" s="75" t="s">
        <v>70</v>
      </c>
      <c r="S6" s="84" t="s">
        <v>15</v>
      </c>
      <c r="T6" s="85"/>
      <c r="U6" s="48"/>
      <c r="V6" s="51" t="s">
        <v>11</v>
      </c>
      <c r="W6" s="51"/>
      <c r="X6" s="58"/>
      <c r="Y6" s="71" t="s">
        <v>2</v>
      </c>
    </row>
    <row r="7" spans="1:25" s="34" customFormat="1" x14ac:dyDescent="0.25">
      <c r="A7" s="31"/>
      <c r="B7" s="31">
        <v>2007</v>
      </c>
      <c r="C7" s="31">
        <v>2008</v>
      </c>
      <c r="D7" s="31">
        <v>2009</v>
      </c>
      <c r="E7" s="31">
        <v>2010</v>
      </c>
      <c r="F7" s="31">
        <v>2011</v>
      </c>
      <c r="G7" s="31">
        <v>2012</v>
      </c>
      <c r="H7" s="31">
        <v>2009</v>
      </c>
      <c r="I7" s="31">
        <v>2010</v>
      </c>
      <c r="J7" s="31">
        <v>2011</v>
      </c>
      <c r="K7" s="31">
        <v>2012</v>
      </c>
      <c r="L7" s="31">
        <v>2013</v>
      </c>
      <c r="M7" s="31">
        <v>2014</v>
      </c>
      <c r="N7" s="2">
        <v>2015</v>
      </c>
      <c r="O7" s="2">
        <v>2016</v>
      </c>
      <c r="P7" s="2">
        <v>2017</v>
      </c>
      <c r="Q7" s="2">
        <v>2018</v>
      </c>
      <c r="R7" s="74">
        <v>2019</v>
      </c>
      <c r="S7" s="52">
        <v>2015</v>
      </c>
      <c r="T7" s="53">
        <v>2016</v>
      </c>
      <c r="U7" s="31"/>
      <c r="V7" s="32" t="s">
        <v>66</v>
      </c>
      <c r="W7" s="32" t="s">
        <v>67</v>
      </c>
      <c r="X7" s="33"/>
      <c r="Y7" s="33"/>
    </row>
    <row r="8" spans="1:25" s="5" customFormat="1" ht="18" customHeight="1" x14ac:dyDescent="0.25">
      <c r="A8" s="17" t="s">
        <v>24</v>
      </c>
      <c r="B8" s="35">
        <f t="shared" ref="B8:O8" si="0">SUM(B9,B28)</f>
        <v>1640.8000000000002</v>
      </c>
      <c r="C8" s="35">
        <f t="shared" si="0"/>
        <v>2712.7999999999997</v>
      </c>
      <c r="D8" s="35">
        <f t="shared" si="0"/>
        <v>2938.9670029999997</v>
      </c>
      <c r="E8" s="35">
        <f t="shared" si="0"/>
        <v>1791.4</v>
      </c>
      <c r="F8" s="35">
        <f t="shared" si="0"/>
        <v>1261.8</v>
      </c>
      <c r="G8" s="35">
        <f t="shared" si="0"/>
        <v>1398.8000000000002</v>
      </c>
      <c r="H8" s="35">
        <f t="shared" si="0"/>
        <v>2214.6986589999997</v>
      </c>
      <c r="I8" s="35">
        <f t="shared" si="0"/>
        <v>2445.9177938999997</v>
      </c>
      <c r="J8" s="35">
        <f t="shared" si="0"/>
        <v>3188.9832150000002</v>
      </c>
      <c r="K8" s="35">
        <f t="shared" si="0"/>
        <v>2793.5176700000002</v>
      </c>
      <c r="L8" s="64">
        <f t="shared" si="0"/>
        <v>1957.5564169399997</v>
      </c>
      <c r="M8" s="64">
        <f t="shared" si="0"/>
        <v>2462.8850039999998</v>
      </c>
      <c r="N8" s="64">
        <f t="shared" si="0"/>
        <v>4658.3671360299995</v>
      </c>
      <c r="O8" s="64">
        <f t="shared" si="0"/>
        <v>7241.0107759699977</v>
      </c>
      <c r="P8" s="64">
        <f t="shared" ref="P8" si="1">SUM(P9,P28)</f>
        <v>8815.6410915396318</v>
      </c>
      <c r="Q8" s="64">
        <f t="shared" ref="Q8:R8" si="2">SUM(Q9,Q28)</f>
        <v>8508.7719693127201</v>
      </c>
      <c r="R8" s="64">
        <f t="shared" si="2"/>
        <v>6941.8792314754355</v>
      </c>
      <c r="S8" s="54"/>
      <c r="T8" s="55"/>
      <c r="U8" s="36"/>
      <c r="V8" s="37">
        <f t="shared" ref="V8:V28" si="3">+((N8/M8)-1)*100</f>
        <v>89.142697627550291</v>
      </c>
      <c r="W8" s="37">
        <f t="shared" ref="W8:W28" si="4">+((O8/N8)-1)*100</f>
        <v>55.440963851144723</v>
      </c>
      <c r="Y8" s="20" t="s">
        <v>25</v>
      </c>
    </row>
    <row r="9" spans="1:25" s="5" customFormat="1" ht="18" customHeight="1" x14ac:dyDescent="0.25">
      <c r="A9" s="17" t="s">
        <v>26</v>
      </c>
      <c r="B9" s="35">
        <f t="shared" ref="B9:O9" si="5">SUM(B10,B15,B21)</f>
        <v>1765.3000000000002</v>
      </c>
      <c r="C9" s="35">
        <f t="shared" si="5"/>
        <v>2879.2</v>
      </c>
      <c r="D9" s="35">
        <f t="shared" si="5"/>
        <v>3007.8670029999998</v>
      </c>
      <c r="E9" s="35">
        <f t="shared" si="5"/>
        <v>2038.9</v>
      </c>
      <c r="F9" s="35">
        <f t="shared" si="5"/>
        <v>1537</v>
      </c>
      <c r="G9" s="35">
        <f t="shared" si="5"/>
        <v>1645.0000000000002</v>
      </c>
      <c r="H9" s="35">
        <f t="shared" si="5"/>
        <v>2365.5349919999999</v>
      </c>
      <c r="I9" s="35">
        <f t="shared" si="5"/>
        <v>2627.2177938999998</v>
      </c>
      <c r="J9" s="35">
        <f t="shared" si="5"/>
        <v>3587.9832150000002</v>
      </c>
      <c r="K9" s="35">
        <f t="shared" si="5"/>
        <v>2883.7493060000002</v>
      </c>
      <c r="L9" s="64">
        <f t="shared" si="5"/>
        <v>2093.0414239399997</v>
      </c>
      <c r="M9" s="64">
        <f t="shared" si="5"/>
        <v>2585.0470539999997</v>
      </c>
      <c r="N9" s="64">
        <f t="shared" si="5"/>
        <v>4762.3853820299992</v>
      </c>
      <c r="O9" s="64">
        <f t="shared" si="5"/>
        <v>7262.7427086366642</v>
      </c>
      <c r="P9" s="64">
        <f t="shared" ref="P9:Q9" si="6">SUM(P10,P15,P21)</f>
        <v>8788.6054373476327</v>
      </c>
      <c r="Q9" s="64">
        <f t="shared" si="6"/>
        <v>8561.8919799588002</v>
      </c>
      <c r="R9" s="64">
        <f t="shared" ref="R9" si="7">SUM(R10,R15,R21)</f>
        <v>6996.290980007976</v>
      </c>
      <c r="S9" s="56">
        <f t="shared" ref="S9:S28" si="8">+(N9/$N$9)*100</f>
        <v>100</v>
      </c>
      <c r="T9" s="57">
        <f>+(O9/$O$9)*100</f>
        <v>100</v>
      </c>
      <c r="U9" s="36"/>
      <c r="V9" s="37">
        <f t="shared" si="3"/>
        <v>84.228189373221369</v>
      </c>
      <c r="W9" s="37">
        <f t="shared" si="4"/>
        <v>52.502204799328325</v>
      </c>
      <c r="Y9" s="20" t="s">
        <v>27</v>
      </c>
    </row>
    <row r="10" spans="1:25" s="5" customFormat="1" ht="18" customHeight="1" x14ac:dyDescent="0.25">
      <c r="A10" s="17" t="s">
        <v>28</v>
      </c>
      <c r="B10" s="35">
        <f t="shared" ref="B10:O10" si="9">SUM(B11:B14)</f>
        <v>808.9</v>
      </c>
      <c r="C10" s="35">
        <f t="shared" si="9"/>
        <v>498.79999999999995</v>
      </c>
      <c r="D10" s="35">
        <f t="shared" si="9"/>
        <v>867.71007999999995</v>
      </c>
      <c r="E10" s="35">
        <f t="shared" si="9"/>
        <v>495.4</v>
      </c>
      <c r="F10" s="35">
        <f t="shared" si="9"/>
        <v>381.3</v>
      </c>
      <c r="G10" s="35">
        <f t="shared" si="9"/>
        <v>709.7</v>
      </c>
      <c r="H10" s="35">
        <f t="shared" si="9"/>
        <v>696.52141600000004</v>
      </c>
      <c r="I10" s="35">
        <f t="shared" si="9"/>
        <v>635.70163600000001</v>
      </c>
      <c r="J10" s="35">
        <f t="shared" si="9"/>
        <v>1285.636868</v>
      </c>
      <c r="K10" s="35">
        <f t="shared" si="9"/>
        <v>1139.8289990000001</v>
      </c>
      <c r="L10" s="64">
        <f t="shared" si="9"/>
        <v>462.58586595999998</v>
      </c>
      <c r="M10" s="64">
        <f t="shared" si="9"/>
        <v>679.01722999999993</v>
      </c>
      <c r="N10" s="64">
        <f t="shared" si="9"/>
        <v>2079.0821064299998</v>
      </c>
      <c r="O10" s="64">
        <f t="shared" si="9"/>
        <v>2089.7931923966667</v>
      </c>
      <c r="P10" s="64">
        <f t="shared" ref="P10:Q10" si="10">SUM(P11:P14)</f>
        <v>2148.707954</v>
      </c>
      <c r="Q10" s="64">
        <f t="shared" si="10"/>
        <v>2233.6975540000003</v>
      </c>
      <c r="R10" s="64">
        <f t="shared" ref="R10" si="11">SUM(R11:R14)</f>
        <v>1323.7769469999998</v>
      </c>
      <c r="S10" s="56">
        <f t="shared" si="8"/>
        <v>43.656317992975545</v>
      </c>
      <c r="T10" s="57">
        <f t="shared" ref="T10:T31" si="12">+(O10/$O$9)*100</f>
        <v>28.774159793813691</v>
      </c>
      <c r="U10" s="36"/>
      <c r="V10" s="37">
        <f t="shared" si="3"/>
        <v>206.189889530491</v>
      </c>
      <c r="W10" s="37">
        <f t="shared" si="4"/>
        <v>0.51518340394256512</v>
      </c>
      <c r="Y10" s="20" t="s">
        <v>29</v>
      </c>
    </row>
    <row r="11" spans="1:25" s="6" customFormat="1" ht="18" customHeight="1" x14ac:dyDescent="0.25">
      <c r="A11" s="21" t="s">
        <v>30</v>
      </c>
      <c r="B11" s="72">
        <v>465.50000000000006</v>
      </c>
      <c r="C11" s="38">
        <v>300.39999999999998</v>
      </c>
      <c r="D11" s="38">
        <v>659</v>
      </c>
      <c r="E11" s="38">
        <v>197</v>
      </c>
      <c r="F11" s="38">
        <v>230.9</v>
      </c>
      <c r="G11" s="38">
        <v>523.29999999999995</v>
      </c>
      <c r="H11" s="38">
        <v>557.45811400000002</v>
      </c>
      <c r="I11" s="38">
        <v>524.06922099999997</v>
      </c>
      <c r="J11" s="38">
        <v>923.85471400000006</v>
      </c>
      <c r="K11" s="38">
        <v>967.18460399999992</v>
      </c>
      <c r="L11" s="65">
        <v>254.18770169000001</v>
      </c>
      <c r="M11" s="65">
        <v>432.35995500000001</v>
      </c>
      <c r="N11" s="65">
        <v>1056.8424239999999</v>
      </c>
      <c r="O11" s="65">
        <v>919.85852625999985</v>
      </c>
      <c r="P11" s="65">
        <v>800.54161499999998</v>
      </c>
      <c r="Q11" s="65">
        <v>474.068625</v>
      </c>
      <c r="R11" s="65">
        <v>310.95768700000002</v>
      </c>
      <c r="S11" s="59">
        <f t="shared" si="8"/>
        <v>22.191451115816957</v>
      </c>
      <c r="T11" s="60">
        <f t="shared" si="12"/>
        <v>12.665442838366396</v>
      </c>
      <c r="U11" s="39"/>
      <c r="V11" s="40">
        <f t="shared" si="3"/>
        <v>144.43577897957729</v>
      </c>
      <c r="W11" s="40">
        <f t="shared" si="4"/>
        <v>-12.961619880997521</v>
      </c>
      <c r="Y11" s="15" t="s">
        <v>16</v>
      </c>
    </row>
    <row r="12" spans="1:25" s="6" customFormat="1" ht="18" customHeight="1" x14ac:dyDescent="0.25">
      <c r="A12" s="21" t="s">
        <v>31</v>
      </c>
      <c r="B12" s="72">
        <v>71.099999999999994</v>
      </c>
      <c r="C12" s="38">
        <v>37.299999999999997</v>
      </c>
      <c r="D12" s="38">
        <v>41.634203999999997</v>
      </c>
      <c r="E12" s="38">
        <v>33</v>
      </c>
      <c r="F12" s="38">
        <v>26.7</v>
      </c>
      <c r="G12" s="38">
        <v>21.2</v>
      </c>
      <c r="H12" s="38">
        <v>39.637543000000001</v>
      </c>
      <c r="I12" s="38">
        <v>18.016133</v>
      </c>
      <c r="J12" s="38">
        <v>136.47622799999999</v>
      </c>
      <c r="K12" s="38">
        <v>12.031162</v>
      </c>
      <c r="L12" s="65">
        <v>2.399518</v>
      </c>
      <c r="M12" s="65">
        <v>88.919511</v>
      </c>
      <c r="N12" s="65">
        <v>172.01989833000002</v>
      </c>
      <c r="O12" s="65">
        <v>281.41662199333331</v>
      </c>
      <c r="P12" s="65">
        <v>103.064457</v>
      </c>
      <c r="Q12" s="65">
        <v>96.991832000000002</v>
      </c>
      <c r="R12" s="65">
        <v>12.276757</v>
      </c>
      <c r="S12" s="59">
        <f t="shared" si="8"/>
        <v>3.6120532995730676</v>
      </c>
      <c r="T12" s="60">
        <f t="shared" si="12"/>
        <v>3.874798175883059</v>
      </c>
      <c r="U12" s="39"/>
      <c r="V12" s="40">
        <f t="shared" si="3"/>
        <v>93.455740360515492</v>
      </c>
      <c r="W12" s="40">
        <f t="shared" si="4"/>
        <v>63.595389094736298</v>
      </c>
      <c r="Y12" s="15" t="s">
        <v>17</v>
      </c>
    </row>
    <row r="13" spans="1:25" s="5" customFormat="1" ht="18" customHeight="1" x14ac:dyDescent="0.25">
      <c r="A13" s="21" t="s">
        <v>32</v>
      </c>
      <c r="B13" s="38">
        <v>225.4</v>
      </c>
      <c r="C13" s="38">
        <v>149.1</v>
      </c>
      <c r="D13" s="38">
        <v>145.506271</v>
      </c>
      <c r="E13" s="38">
        <v>227.5</v>
      </c>
      <c r="F13" s="38">
        <v>86.3</v>
      </c>
      <c r="G13" s="38">
        <v>118</v>
      </c>
      <c r="H13" s="38">
        <v>73.816480999999996</v>
      </c>
      <c r="I13" s="38">
        <v>59.56033</v>
      </c>
      <c r="J13" s="38">
        <v>67.595481000000007</v>
      </c>
      <c r="K13" s="38">
        <v>55.118071999999998</v>
      </c>
      <c r="L13" s="65">
        <v>66.5179136</v>
      </c>
      <c r="M13" s="65">
        <v>105.52811699999999</v>
      </c>
      <c r="N13" s="65">
        <v>169.18427500000001</v>
      </c>
      <c r="O13" s="65">
        <v>339.29175047666666</v>
      </c>
      <c r="P13" s="65">
        <v>279.66539599999999</v>
      </c>
      <c r="Q13" s="65">
        <v>406.74678899999998</v>
      </c>
      <c r="R13" s="65">
        <v>258.19708100000003</v>
      </c>
      <c r="S13" s="59">
        <f t="shared" si="8"/>
        <v>3.5525112192387098</v>
      </c>
      <c r="T13" s="60">
        <f t="shared" si="12"/>
        <v>4.6716752071251237</v>
      </c>
      <c r="U13" s="39"/>
      <c r="V13" s="40">
        <f t="shared" si="3"/>
        <v>60.321514123103334</v>
      </c>
      <c r="W13" s="40">
        <f t="shared" si="4"/>
        <v>100.54567747307877</v>
      </c>
      <c r="Y13" s="15" t="s">
        <v>33</v>
      </c>
    </row>
    <row r="14" spans="1:25" s="6" customFormat="1" ht="18" customHeight="1" x14ac:dyDescent="0.25">
      <c r="A14" s="21" t="s">
        <v>34</v>
      </c>
      <c r="B14" s="72">
        <v>46.9</v>
      </c>
      <c r="C14" s="38">
        <v>12</v>
      </c>
      <c r="D14" s="38">
        <v>21.569604999999999</v>
      </c>
      <c r="E14" s="38">
        <v>37.9</v>
      </c>
      <c r="F14" s="38">
        <v>37.4</v>
      </c>
      <c r="G14" s="38">
        <v>47.2</v>
      </c>
      <c r="H14" s="38">
        <v>25.609278</v>
      </c>
      <c r="I14" s="38">
        <v>34.055951999999998</v>
      </c>
      <c r="J14" s="38">
        <v>157.71044499999999</v>
      </c>
      <c r="K14" s="38">
        <v>105.495161</v>
      </c>
      <c r="L14" s="66">
        <v>139.48073266999998</v>
      </c>
      <c r="M14" s="66">
        <v>52.209646999999997</v>
      </c>
      <c r="N14" s="66">
        <v>681.03550910000001</v>
      </c>
      <c r="O14" s="66">
        <v>549.22629366666672</v>
      </c>
      <c r="P14" s="66">
        <v>965.43648599999995</v>
      </c>
      <c r="Q14" s="66">
        <v>1255.890308</v>
      </c>
      <c r="R14" s="66">
        <v>742.34542199999999</v>
      </c>
      <c r="S14" s="59">
        <f t="shared" si="8"/>
        <v>14.300302358346817</v>
      </c>
      <c r="T14" s="60">
        <f t="shared" si="12"/>
        <v>7.5622435724391162</v>
      </c>
      <c r="U14" s="39"/>
      <c r="V14" s="40">
        <f t="shared" si="3"/>
        <v>1204.4246575733409</v>
      </c>
      <c r="W14" s="40">
        <f t="shared" si="4"/>
        <v>-19.354235377171658</v>
      </c>
      <c r="Y14" s="15" t="s">
        <v>18</v>
      </c>
    </row>
    <row r="15" spans="1:25" s="5" customFormat="1" ht="18" customHeight="1" x14ac:dyDescent="0.25">
      <c r="A15" s="17" t="s">
        <v>35</v>
      </c>
      <c r="B15" s="35">
        <f>SUM(B16:B20)</f>
        <v>626.5</v>
      </c>
      <c r="C15" s="35">
        <f t="shared" ref="C15:P15" si="13">SUM(C16:C20)</f>
        <v>1443.3</v>
      </c>
      <c r="D15" s="35">
        <f t="shared" si="13"/>
        <v>849.36242600000003</v>
      </c>
      <c r="E15" s="35">
        <f t="shared" si="13"/>
        <v>896.5</v>
      </c>
      <c r="F15" s="35">
        <f t="shared" si="13"/>
        <v>834.6</v>
      </c>
      <c r="G15" s="35">
        <f t="shared" si="13"/>
        <v>734.1</v>
      </c>
      <c r="H15" s="35">
        <f t="shared" si="13"/>
        <v>1087.278699</v>
      </c>
      <c r="I15" s="35">
        <f t="shared" si="13"/>
        <v>1816.638207</v>
      </c>
      <c r="J15" s="35">
        <f t="shared" si="13"/>
        <v>1383.244537</v>
      </c>
      <c r="K15" s="35">
        <f t="shared" si="13"/>
        <v>1081.7647489999999</v>
      </c>
      <c r="L15" s="64">
        <f t="shared" si="13"/>
        <v>1108.2257616500001</v>
      </c>
      <c r="M15" s="64">
        <f t="shared" si="13"/>
        <v>1155.5744520000001</v>
      </c>
      <c r="N15" s="64">
        <f t="shared" si="13"/>
        <v>1812.3305333000001</v>
      </c>
      <c r="O15" s="64">
        <f t="shared" si="13"/>
        <v>3680.0947352466637</v>
      </c>
      <c r="P15" s="64">
        <f t="shared" si="13"/>
        <v>3376.7387382081556</v>
      </c>
      <c r="Q15" s="64">
        <f t="shared" ref="Q15:R15" si="14">SUM(Q16:Q20)</f>
        <v>2946.6302014588</v>
      </c>
      <c r="R15" s="64">
        <f t="shared" si="14"/>
        <v>1930.7031471079761</v>
      </c>
      <c r="S15" s="56">
        <f t="shared" si="8"/>
        <v>38.055100289415925</v>
      </c>
      <c r="T15" s="57">
        <f t="shared" si="12"/>
        <v>50.6708675067119</v>
      </c>
      <c r="U15" s="36"/>
      <c r="V15" s="37">
        <f t="shared" si="3"/>
        <v>56.833731497206898</v>
      </c>
      <c r="W15" s="37">
        <f t="shared" si="4"/>
        <v>103.05869528919357</v>
      </c>
      <c r="Y15" s="20" t="s">
        <v>36</v>
      </c>
    </row>
    <row r="16" spans="1:25" s="6" customFormat="1" ht="18" customHeight="1" x14ac:dyDescent="0.25">
      <c r="A16" s="21" t="s">
        <v>37</v>
      </c>
      <c r="B16" s="72">
        <v>164.4</v>
      </c>
      <c r="C16" s="38">
        <v>163.4</v>
      </c>
      <c r="D16" s="38">
        <v>108.19257</v>
      </c>
      <c r="E16" s="38">
        <v>68.400000000000006</v>
      </c>
      <c r="F16" s="38">
        <v>36.6</v>
      </c>
      <c r="G16" s="38">
        <v>29.5</v>
      </c>
      <c r="H16" s="38">
        <v>133.543679</v>
      </c>
      <c r="I16" s="38">
        <v>54.517771000000003</v>
      </c>
      <c r="J16" s="38">
        <v>95.493024000000005</v>
      </c>
      <c r="K16" s="38">
        <v>108.05040099999999</v>
      </c>
      <c r="L16" s="65">
        <v>74.973524780000005</v>
      </c>
      <c r="M16" s="65">
        <v>100.486884</v>
      </c>
      <c r="N16" s="65">
        <v>272.82640853000004</v>
      </c>
      <c r="O16" s="65">
        <v>426.26152701333348</v>
      </c>
      <c r="P16" s="65">
        <v>318.67539993999998</v>
      </c>
      <c r="Q16" s="65">
        <v>183.04435745879999</v>
      </c>
      <c r="R16" s="65">
        <v>67.783386107975986</v>
      </c>
      <c r="S16" s="59">
        <f t="shared" si="8"/>
        <v>5.7287763724343099</v>
      </c>
      <c r="T16" s="60">
        <f t="shared" si="12"/>
        <v>5.8691536257567591</v>
      </c>
      <c r="U16" s="39"/>
      <c r="V16" s="40">
        <f t="shared" si="3"/>
        <v>171.50449657688659</v>
      </c>
      <c r="W16" s="40">
        <f t="shared" si="4"/>
        <v>56.239100646469019</v>
      </c>
      <c r="Y16" s="15" t="s">
        <v>19</v>
      </c>
    </row>
    <row r="17" spans="1:25" s="5" customFormat="1" ht="18" customHeight="1" x14ac:dyDescent="0.25">
      <c r="A17" s="21" t="s">
        <v>38</v>
      </c>
      <c r="B17" s="72">
        <v>99.9</v>
      </c>
      <c r="C17" s="38">
        <v>289.10000000000002</v>
      </c>
      <c r="D17" s="38">
        <v>46.711798999999999</v>
      </c>
      <c r="E17" s="38">
        <v>45.4</v>
      </c>
      <c r="F17" s="38">
        <v>27.2</v>
      </c>
      <c r="G17" s="38">
        <v>25.5</v>
      </c>
      <c r="H17" s="38">
        <v>68.366566000000006</v>
      </c>
      <c r="I17" s="38">
        <v>43.913061999999996</v>
      </c>
      <c r="J17" s="38">
        <v>11.563515000000001</v>
      </c>
      <c r="K17" s="38">
        <v>7.7340239999999998</v>
      </c>
      <c r="L17" s="65">
        <v>21.803670879999999</v>
      </c>
      <c r="M17" s="65">
        <v>142.83905899999999</v>
      </c>
      <c r="N17" s="65">
        <v>292.79733672000003</v>
      </c>
      <c r="O17" s="65">
        <v>1809.2454858833339</v>
      </c>
      <c r="P17" s="65">
        <v>1484.003093</v>
      </c>
      <c r="Q17" s="65">
        <v>547.44276400000001</v>
      </c>
      <c r="R17" s="65">
        <v>179.757228</v>
      </c>
      <c r="S17" s="59">
        <f t="shared" si="8"/>
        <v>6.1481235396198279</v>
      </c>
      <c r="T17" s="60">
        <f t="shared" si="12"/>
        <v>24.911325630905612</v>
      </c>
      <c r="U17" s="39"/>
      <c r="V17" s="40">
        <f t="shared" si="3"/>
        <v>104.98408402424442</v>
      </c>
      <c r="W17" s="40">
        <f t="shared" si="4"/>
        <v>517.91733017486501</v>
      </c>
      <c r="Y17" s="15" t="s">
        <v>39</v>
      </c>
    </row>
    <row r="18" spans="1:25" s="5" customFormat="1" ht="18" customHeight="1" x14ac:dyDescent="0.25">
      <c r="A18" s="21" t="s">
        <v>40</v>
      </c>
      <c r="B18" s="72">
        <v>4.0999999999999996</v>
      </c>
      <c r="C18" s="38">
        <v>2.2000000000000002</v>
      </c>
      <c r="D18" s="38">
        <v>0.68482100000000001</v>
      </c>
      <c r="E18" s="38">
        <v>8.4</v>
      </c>
      <c r="F18" s="38">
        <v>0.7</v>
      </c>
      <c r="G18" s="38">
        <v>1</v>
      </c>
      <c r="H18" s="38">
        <v>0.54541200000000001</v>
      </c>
      <c r="I18" s="38">
        <v>0.43177199999999999</v>
      </c>
      <c r="J18" s="38">
        <v>2.5820259999999999</v>
      </c>
      <c r="K18" s="38">
        <v>0.556778</v>
      </c>
      <c r="L18" s="65">
        <v>1.21422221</v>
      </c>
      <c r="M18" s="65">
        <v>1.0108220000000001</v>
      </c>
      <c r="N18" s="65">
        <v>9.9215180000000007</v>
      </c>
      <c r="O18" s="65">
        <v>12.074362536666667</v>
      </c>
      <c r="P18" s="65">
        <v>4.2861710000000004</v>
      </c>
      <c r="Q18" s="65">
        <v>4.2861710000000004</v>
      </c>
      <c r="R18" s="65">
        <v>2.846171</v>
      </c>
      <c r="S18" s="59">
        <f t="shared" si="8"/>
        <v>0.20833085112005123</v>
      </c>
      <c r="T18" s="60">
        <f t="shared" si="12"/>
        <v>0.166250726771694</v>
      </c>
      <c r="U18" s="39"/>
      <c r="V18" s="40">
        <f t="shared" si="3"/>
        <v>881.52968574091176</v>
      </c>
      <c r="W18" s="40">
        <f t="shared" si="4"/>
        <v>21.698741429150935</v>
      </c>
      <c r="Y18" s="15" t="s">
        <v>20</v>
      </c>
    </row>
    <row r="19" spans="1:25" s="6" customFormat="1" ht="18" customHeight="1" x14ac:dyDescent="0.25">
      <c r="A19" s="21" t="s">
        <v>41</v>
      </c>
      <c r="B19" s="72">
        <v>358.1</v>
      </c>
      <c r="C19" s="38">
        <v>988.6</v>
      </c>
      <c r="D19" s="38">
        <v>693.773236</v>
      </c>
      <c r="E19" s="38">
        <v>774.3</v>
      </c>
      <c r="F19" s="38">
        <v>770.1</v>
      </c>
      <c r="G19" s="38">
        <v>678.1</v>
      </c>
      <c r="H19" s="38">
        <v>884.82304199999999</v>
      </c>
      <c r="I19" s="38">
        <v>1717.7756019999999</v>
      </c>
      <c r="J19" s="38">
        <v>1273.6059720000001</v>
      </c>
      <c r="K19" s="38">
        <v>965.42354599999999</v>
      </c>
      <c r="L19" s="66">
        <v>975.31386029999999</v>
      </c>
      <c r="M19" s="66">
        <v>768.75352099999998</v>
      </c>
      <c r="N19" s="66">
        <v>0</v>
      </c>
      <c r="O19" s="66">
        <v>0</v>
      </c>
      <c r="P19" s="66">
        <v>0</v>
      </c>
      <c r="Q19" s="66">
        <v>0</v>
      </c>
      <c r="R19" s="66">
        <v>0</v>
      </c>
      <c r="S19" s="76">
        <v>0</v>
      </c>
      <c r="T19" s="77">
        <v>0</v>
      </c>
      <c r="U19" s="39"/>
      <c r="V19" s="78">
        <v>0</v>
      </c>
      <c r="W19" s="79">
        <v>0</v>
      </c>
      <c r="Y19" s="15" t="s">
        <v>42</v>
      </c>
    </row>
    <row r="20" spans="1:25" s="6" customFormat="1" ht="18" customHeight="1" x14ac:dyDescent="0.25">
      <c r="A20" s="21" t="s">
        <v>64</v>
      </c>
      <c r="B20" s="72"/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66">
        <v>34.920483480000001</v>
      </c>
      <c r="M20" s="66">
        <v>142.48416599999999</v>
      </c>
      <c r="N20" s="66">
        <v>1236.78527005</v>
      </c>
      <c r="O20" s="66">
        <v>1432.51335981333</v>
      </c>
      <c r="P20" s="66">
        <v>1569.7740742681556</v>
      </c>
      <c r="Q20" s="66">
        <v>2211.8569090000001</v>
      </c>
      <c r="R20" s="66">
        <v>1680.316362</v>
      </c>
      <c r="S20" s="59">
        <f t="shared" si="8"/>
        <v>25.969869526241741</v>
      </c>
      <c r="T20" s="60">
        <f t="shared" si="12"/>
        <v>19.724137523277847</v>
      </c>
      <c r="U20" s="39"/>
      <c r="V20" s="40">
        <f t="shared" si="3"/>
        <v>768.0159380306161</v>
      </c>
      <c r="W20" s="40">
        <f t="shared" si="4"/>
        <v>15.825551492492895</v>
      </c>
      <c r="Y20" s="41" t="s">
        <v>65</v>
      </c>
    </row>
    <row r="21" spans="1:25" s="5" customFormat="1" ht="18" customHeight="1" x14ac:dyDescent="0.25">
      <c r="A21" s="17" t="s">
        <v>21</v>
      </c>
      <c r="B21" s="18">
        <f t="shared" ref="B21:O21" si="15">SUM(B22:B27)</f>
        <v>329.9</v>
      </c>
      <c r="C21" s="18">
        <f t="shared" si="15"/>
        <v>937.10000000000014</v>
      </c>
      <c r="D21" s="18">
        <f t="shared" si="15"/>
        <v>1290.7944969999999</v>
      </c>
      <c r="E21" s="18">
        <f t="shared" si="15"/>
        <v>647</v>
      </c>
      <c r="F21" s="18">
        <f t="shared" si="15"/>
        <v>321.10000000000002</v>
      </c>
      <c r="G21" s="18">
        <f t="shared" si="15"/>
        <v>201.2</v>
      </c>
      <c r="H21" s="18">
        <f t="shared" si="15"/>
        <v>581.73487699999998</v>
      </c>
      <c r="I21" s="18">
        <f t="shared" si="15"/>
        <v>174.8779509</v>
      </c>
      <c r="J21" s="18">
        <f t="shared" si="15"/>
        <v>919.10181</v>
      </c>
      <c r="K21" s="18">
        <f t="shared" si="15"/>
        <v>662.15555800000004</v>
      </c>
      <c r="L21" s="67">
        <f t="shared" si="15"/>
        <v>522.22979633</v>
      </c>
      <c r="M21" s="67">
        <f t="shared" si="15"/>
        <v>750.4553719999999</v>
      </c>
      <c r="N21" s="67">
        <f t="shared" si="15"/>
        <v>870.97274229999994</v>
      </c>
      <c r="O21" s="67">
        <f t="shared" si="15"/>
        <v>1492.8547809933336</v>
      </c>
      <c r="P21" s="67">
        <f t="shared" ref="P21:Q21" si="16">SUM(P22:P27)</f>
        <v>3263.158745139478</v>
      </c>
      <c r="Q21" s="67">
        <f t="shared" si="16"/>
        <v>3381.5642244999999</v>
      </c>
      <c r="R21" s="67">
        <f t="shared" ref="R21" si="17">SUM(R22:R27)</f>
        <v>3741.8108859000008</v>
      </c>
      <c r="S21" s="56">
        <f t="shared" si="8"/>
        <v>18.288581717608537</v>
      </c>
      <c r="T21" s="57">
        <f t="shared" si="12"/>
        <v>20.554972699474398</v>
      </c>
      <c r="U21" s="36"/>
      <c r="V21" s="37">
        <f t="shared" si="3"/>
        <v>16.059232140455659</v>
      </c>
      <c r="W21" s="37">
        <f t="shared" si="4"/>
        <v>71.40086118551929</v>
      </c>
      <c r="Y21" s="20" t="s">
        <v>12</v>
      </c>
    </row>
    <row r="22" spans="1:25" s="6" customFormat="1" ht="18" customHeight="1" x14ac:dyDescent="0.25">
      <c r="A22" s="21" t="s">
        <v>43</v>
      </c>
      <c r="B22" s="72">
        <v>154.1</v>
      </c>
      <c r="C22" s="38">
        <v>129.69999999999999</v>
      </c>
      <c r="D22" s="38">
        <v>42.402295000000002</v>
      </c>
      <c r="E22" s="38">
        <v>60.5</v>
      </c>
      <c r="F22" s="38">
        <v>71.900000000000006</v>
      </c>
      <c r="G22" s="38">
        <v>64.2</v>
      </c>
      <c r="H22" s="38">
        <v>23.587022999999999</v>
      </c>
      <c r="I22" s="38">
        <v>37.776733</v>
      </c>
      <c r="J22" s="38">
        <v>33.651007999999997</v>
      </c>
      <c r="K22" s="38">
        <v>24.679010000000002</v>
      </c>
      <c r="L22" s="65">
        <v>7.6444678900000005</v>
      </c>
      <c r="M22" s="65">
        <v>16.246099999999998</v>
      </c>
      <c r="N22" s="65">
        <v>22.831656149999997</v>
      </c>
      <c r="O22" s="65">
        <v>21.415706333333336</v>
      </c>
      <c r="P22" s="65">
        <v>80.940745700000008</v>
      </c>
      <c r="Q22" s="65">
        <v>26.446691000000001</v>
      </c>
      <c r="R22" s="65">
        <v>18.260000000000002</v>
      </c>
      <c r="S22" s="59">
        <f t="shared" si="8"/>
        <v>0.47941639154510951</v>
      </c>
      <c r="T22" s="60">
        <f t="shared" si="12"/>
        <v>0.29487078356591562</v>
      </c>
      <c r="U22" s="39"/>
      <c r="V22" s="40">
        <f t="shared" si="3"/>
        <v>40.536228079354416</v>
      </c>
      <c r="W22" s="40">
        <f t="shared" si="4"/>
        <v>-6.2016956079056111</v>
      </c>
      <c r="Y22" s="15" t="s">
        <v>44</v>
      </c>
    </row>
    <row r="23" spans="1:25" s="6" customFormat="1" ht="18" customHeight="1" x14ac:dyDescent="0.25">
      <c r="A23" s="21" t="s">
        <v>45</v>
      </c>
      <c r="B23" s="72">
        <v>74.7</v>
      </c>
      <c r="C23" s="38">
        <v>692.8</v>
      </c>
      <c r="D23" s="38">
        <v>318.28409399999998</v>
      </c>
      <c r="E23" s="38">
        <v>294.2</v>
      </c>
      <c r="F23" s="38">
        <v>118.6</v>
      </c>
      <c r="G23" s="38">
        <v>66.7</v>
      </c>
      <c r="H23" s="38">
        <v>10.808646</v>
      </c>
      <c r="I23" s="38">
        <v>38.970894999999999</v>
      </c>
      <c r="J23" s="38">
        <v>392.140671</v>
      </c>
      <c r="K23" s="38">
        <v>539.738832</v>
      </c>
      <c r="L23" s="65">
        <v>368.65407792000002</v>
      </c>
      <c r="M23" s="65">
        <v>579.69850299999996</v>
      </c>
      <c r="N23" s="65">
        <v>775.49623926999993</v>
      </c>
      <c r="O23" s="65">
        <v>1219.6451932</v>
      </c>
      <c r="P23" s="65">
        <v>2702.7810600394773</v>
      </c>
      <c r="Q23" s="65">
        <v>2662.3648739999999</v>
      </c>
      <c r="R23" s="65">
        <v>2752.4083190000001</v>
      </c>
      <c r="S23" s="59">
        <f t="shared" si="8"/>
        <v>16.283777499321975</v>
      </c>
      <c r="T23" s="60">
        <f t="shared" si="12"/>
        <v>16.793176381556648</v>
      </c>
      <c r="U23" s="39"/>
      <c r="V23" s="40">
        <f t="shared" si="3"/>
        <v>33.775787802922785</v>
      </c>
      <c r="W23" s="40">
        <f t="shared" si="4"/>
        <v>57.272870123534325</v>
      </c>
      <c r="Y23" s="15" t="s">
        <v>46</v>
      </c>
    </row>
    <row r="24" spans="1:25" s="6" customFormat="1" ht="18" customHeight="1" x14ac:dyDescent="0.25">
      <c r="A24" s="21" t="s">
        <v>47</v>
      </c>
      <c r="B24" s="72">
        <v>72</v>
      </c>
      <c r="C24" s="38">
        <v>17.100000000000001</v>
      </c>
      <c r="D24" s="38">
        <v>26.934477000000001</v>
      </c>
      <c r="E24" s="38">
        <v>16.8</v>
      </c>
      <c r="F24" s="38">
        <v>7.5</v>
      </c>
      <c r="G24" s="38">
        <v>14</v>
      </c>
      <c r="H24" s="38">
        <v>32.757654000000002</v>
      </c>
      <c r="I24" s="38">
        <v>26.097563999999998</v>
      </c>
      <c r="J24" s="38">
        <v>39.440274000000002</v>
      </c>
      <c r="K24" s="38">
        <v>39.200918999999999</v>
      </c>
      <c r="L24" s="65">
        <v>5.0254116199999999</v>
      </c>
      <c r="M24" s="65">
        <v>42.439954</v>
      </c>
      <c r="N24" s="65">
        <v>20.908233500000001</v>
      </c>
      <c r="O24" s="65">
        <v>21.901323956666662</v>
      </c>
      <c r="P24" s="65">
        <v>36.173999999999999</v>
      </c>
      <c r="Q24" s="65">
        <v>36.173999999999999</v>
      </c>
      <c r="R24" s="65">
        <v>36.173999999999999</v>
      </c>
      <c r="S24" s="59">
        <f t="shared" si="8"/>
        <v>0.4390285922448327</v>
      </c>
      <c r="T24" s="60">
        <f t="shared" si="12"/>
        <v>0.30155720552543019</v>
      </c>
      <c r="U24" s="39"/>
      <c r="V24" s="40">
        <f t="shared" si="3"/>
        <v>-50.734551927176916</v>
      </c>
      <c r="W24" s="40">
        <f t="shared" si="4"/>
        <v>4.7497578246706418</v>
      </c>
      <c r="Y24" s="15" t="s">
        <v>48</v>
      </c>
    </row>
    <row r="25" spans="1:25" s="5" customFormat="1" ht="18" customHeight="1" x14ac:dyDescent="0.25">
      <c r="A25" s="21" t="s">
        <v>49</v>
      </c>
      <c r="B25" s="72">
        <v>0.4</v>
      </c>
      <c r="C25" s="38">
        <v>13.2</v>
      </c>
      <c r="D25" s="38">
        <v>64.703819999999993</v>
      </c>
      <c r="E25" s="38">
        <v>0.5</v>
      </c>
      <c r="F25" s="38">
        <v>0.3</v>
      </c>
      <c r="G25" s="38">
        <v>0.4</v>
      </c>
      <c r="H25" s="38">
        <v>0.13069</v>
      </c>
      <c r="I25" s="38">
        <v>3.0217360000000002</v>
      </c>
      <c r="J25" s="38">
        <v>9.7469E-2</v>
      </c>
      <c r="K25" s="38">
        <v>0.167854</v>
      </c>
      <c r="L25" s="65">
        <v>7.0538000000000003E-2</v>
      </c>
      <c r="M25" s="65">
        <v>0.765787</v>
      </c>
      <c r="N25" s="65">
        <v>0.68068600000000001</v>
      </c>
      <c r="O25" s="65">
        <v>0.42342266666666667</v>
      </c>
      <c r="P25" s="65">
        <v>108.073275</v>
      </c>
      <c r="Q25" s="65">
        <v>0.133275</v>
      </c>
      <c r="R25" s="65">
        <v>0.133275</v>
      </c>
      <c r="S25" s="59">
        <f t="shared" si="8"/>
        <v>1.4292963407968737E-2</v>
      </c>
      <c r="T25" s="60">
        <f t="shared" si="12"/>
        <v>5.8300656329618207E-3</v>
      </c>
      <c r="U25" s="39"/>
      <c r="V25" s="40">
        <f t="shared" si="3"/>
        <v>-11.112881258104402</v>
      </c>
      <c r="W25" s="40">
        <f t="shared" si="4"/>
        <v>-37.79471493953649</v>
      </c>
      <c r="Y25" s="15" t="s">
        <v>50</v>
      </c>
    </row>
    <row r="26" spans="1:25" s="5" customFormat="1" ht="18" customHeight="1" x14ac:dyDescent="0.25">
      <c r="A26" s="21" t="s">
        <v>51</v>
      </c>
      <c r="B26" s="72">
        <v>24.5</v>
      </c>
      <c r="C26" s="38">
        <v>72.099999999999994</v>
      </c>
      <c r="D26" s="38">
        <v>604.09765100000004</v>
      </c>
      <c r="E26" s="38">
        <v>178</v>
      </c>
      <c r="F26" s="38">
        <v>26.2</v>
      </c>
      <c r="G26" s="38">
        <v>0.6</v>
      </c>
      <c r="H26" s="38">
        <v>488.44098200000002</v>
      </c>
      <c r="I26" s="38">
        <v>37.947304900000006</v>
      </c>
      <c r="J26" s="38">
        <v>63.553004999999999</v>
      </c>
      <c r="K26" s="38">
        <v>38.882137</v>
      </c>
      <c r="L26" s="66">
        <v>27.925922</v>
      </c>
      <c r="M26" s="66">
        <v>20.208456999999999</v>
      </c>
      <c r="N26" s="66">
        <v>38.739479549999999</v>
      </c>
      <c r="O26" s="66">
        <v>146.09430650333334</v>
      </c>
      <c r="P26" s="66">
        <v>143.83462059999999</v>
      </c>
      <c r="Q26" s="66">
        <v>171.3977615</v>
      </c>
      <c r="R26" s="66">
        <v>244.56238190000002</v>
      </c>
      <c r="S26" s="59">
        <f t="shared" si="8"/>
        <v>0.81344696916331938</v>
      </c>
      <c r="T26" s="60">
        <f t="shared" si="12"/>
        <v>2.0115583377282773</v>
      </c>
      <c r="U26" s="39"/>
      <c r="V26" s="40">
        <f t="shared" si="3"/>
        <v>91.699344239889285</v>
      </c>
      <c r="W26" s="40">
        <f t="shared" si="4"/>
        <v>277.11995153361153</v>
      </c>
      <c r="Y26" s="15" t="s">
        <v>52</v>
      </c>
    </row>
    <row r="27" spans="1:25" s="5" customFormat="1" ht="18" customHeight="1" x14ac:dyDescent="0.25">
      <c r="A27" s="21" t="s">
        <v>53</v>
      </c>
      <c r="B27" s="72">
        <v>4.2</v>
      </c>
      <c r="C27" s="38">
        <v>12.2</v>
      </c>
      <c r="D27" s="38">
        <v>234.37216000000001</v>
      </c>
      <c r="E27" s="38">
        <v>97</v>
      </c>
      <c r="F27" s="38">
        <v>96.6</v>
      </c>
      <c r="G27" s="38">
        <v>55.3</v>
      </c>
      <c r="H27" s="38">
        <v>26.009882000000001</v>
      </c>
      <c r="I27" s="38">
        <v>31.063718000000001</v>
      </c>
      <c r="J27" s="38">
        <v>390.21938299999999</v>
      </c>
      <c r="K27" s="38">
        <v>19.486806000000001</v>
      </c>
      <c r="L27" s="66">
        <v>112.90937890000001</v>
      </c>
      <c r="M27" s="66">
        <v>91.096570999999997</v>
      </c>
      <c r="N27" s="66">
        <v>12.31644783</v>
      </c>
      <c r="O27" s="66">
        <v>83.374828333333326</v>
      </c>
      <c r="P27" s="66">
        <v>191.3550438</v>
      </c>
      <c r="Q27" s="66">
        <v>485.04762299999999</v>
      </c>
      <c r="R27" s="66">
        <v>690.27291000000002</v>
      </c>
      <c r="S27" s="59">
        <f t="shared" si="8"/>
        <v>0.25861930192533117</v>
      </c>
      <c r="T27" s="60">
        <f t="shared" si="12"/>
        <v>1.1479799254651573</v>
      </c>
      <c r="U27" s="39"/>
      <c r="V27" s="40">
        <f t="shared" si="3"/>
        <v>-86.47978985948879</v>
      </c>
      <c r="W27" s="40">
        <f t="shared" si="4"/>
        <v>576.9389152142686</v>
      </c>
      <c r="Y27" s="15" t="s">
        <v>54</v>
      </c>
    </row>
    <row r="28" spans="1:25" s="5" customFormat="1" ht="18" customHeight="1" x14ac:dyDescent="0.25">
      <c r="A28" s="17" t="s">
        <v>55</v>
      </c>
      <c r="B28" s="19">
        <v>-124.5</v>
      </c>
      <c r="C28" s="35">
        <v>-166.4</v>
      </c>
      <c r="D28" s="35">
        <v>-68.900000000000006</v>
      </c>
      <c r="E28" s="35">
        <v>-247.5</v>
      </c>
      <c r="F28" s="35">
        <v>-275.2</v>
      </c>
      <c r="G28" s="35">
        <v>-246.2</v>
      </c>
      <c r="H28" s="35">
        <v>-150.836333</v>
      </c>
      <c r="I28" s="35">
        <v>-181.3</v>
      </c>
      <c r="J28" s="35">
        <v>-399</v>
      </c>
      <c r="K28" s="35">
        <v>-90.231635999999995</v>
      </c>
      <c r="L28" s="64">
        <v>-135.485007</v>
      </c>
      <c r="M28" s="64">
        <v>-122.16204999999999</v>
      </c>
      <c r="N28" s="64">
        <v>-104.018246</v>
      </c>
      <c r="O28" s="64">
        <v>-21.731932666666651</v>
      </c>
      <c r="P28" s="64">
        <v>27.035654192000024</v>
      </c>
      <c r="Q28" s="64">
        <v>-53.120010646079976</v>
      </c>
      <c r="R28" s="64">
        <v>-54.41174853254077</v>
      </c>
      <c r="S28" s="56">
        <f t="shared" si="8"/>
        <v>-2.1841627179626002</v>
      </c>
      <c r="T28" s="57">
        <f t="shared" si="12"/>
        <v>-0.29922487328132391</v>
      </c>
      <c r="U28" s="22"/>
      <c r="V28" s="37">
        <f t="shared" si="3"/>
        <v>-14.85224257451474</v>
      </c>
      <c r="W28" s="37">
        <f t="shared" si="4"/>
        <v>-79.107576312460935</v>
      </c>
      <c r="Y28" s="20" t="s">
        <v>56</v>
      </c>
    </row>
    <row r="29" spans="1:25" s="6" customFormat="1" ht="18" customHeight="1" x14ac:dyDescent="0.25">
      <c r="A29" s="21" t="s">
        <v>57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68"/>
      <c r="M29" s="68"/>
      <c r="N29" s="68"/>
      <c r="O29" s="68"/>
      <c r="P29" s="68"/>
      <c r="Q29" s="68"/>
      <c r="R29" s="68"/>
      <c r="S29" s="59"/>
      <c r="T29" s="60"/>
      <c r="U29" s="23"/>
      <c r="V29" s="40"/>
      <c r="W29" s="40"/>
      <c r="X29" s="11"/>
      <c r="Y29" s="15" t="s">
        <v>10</v>
      </c>
    </row>
    <row r="30" spans="1:25" s="6" customFormat="1" ht="18" customHeight="1" x14ac:dyDescent="0.25">
      <c r="A30" s="21" t="s">
        <v>58</v>
      </c>
      <c r="B30" s="43">
        <v>1007.8</v>
      </c>
      <c r="C30" s="44">
        <v>1137.6071899999999</v>
      </c>
      <c r="D30" s="44">
        <v>1774.5</v>
      </c>
      <c r="E30" s="44">
        <v>1441</v>
      </c>
      <c r="F30" s="44">
        <v>1100.8999999999999</v>
      </c>
      <c r="G30" s="44">
        <v>737.1</v>
      </c>
      <c r="H30" s="44">
        <v>778.8</v>
      </c>
      <c r="I30" s="44">
        <v>1283</v>
      </c>
      <c r="J30" s="44">
        <v>916.69999999999993</v>
      </c>
      <c r="K30" s="44">
        <v>1145.9000000000001</v>
      </c>
      <c r="L30" s="69">
        <v>1187.19235</v>
      </c>
      <c r="M30" s="69">
        <v>188.39416600000001</v>
      </c>
      <c r="N30" s="69">
        <v>648.39113899999995</v>
      </c>
      <c r="O30" s="69">
        <v>997.03823299999999</v>
      </c>
      <c r="P30" s="69">
        <v>1408.8416629999999</v>
      </c>
      <c r="Q30" s="69">
        <v>3220.8376389999999</v>
      </c>
      <c r="R30" s="69">
        <v>3964.7097480000002</v>
      </c>
      <c r="S30" s="59">
        <f>+(N30/$N$9)*100</f>
        <v>13.614839770140962</v>
      </c>
      <c r="T30" s="60">
        <f t="shared" si="12"/>
        <v>13.728122735428148</v>
      </c>
      <c r="U30" s="22"/>
      <c r="V30" s="40">
        <f>+((N30/M30)-1)*100</f>
        <v>244.16731301541466</v>
      </c>
      <c r="W30" s="40">
        <f>+((O30/N30)-1)*100</f>
        <v>53.771107134146078</v>
      </c>
      <c r="X30" s="11"/>
      <c r="Y30" s="45" t="s">
        <v>59</v>
      </c>
    </row>
    <row r="31" spans="1:25" s="6" customFormat="1" ht="18" customHeight="1" x14ac:dyDescent="0.25">
      <c r="A31" s="12" t="s">
        <v>60</v>
      </c>
      <c r="B31" s="46">
        <v>392.7</v>
      </c>
      <c r="C31" s="46">
        <v>390.3</v>
      </c>
      <c r="D31" s="46">
        <v>-993.3</v>
      </c>
      <c r="E31" s="46">
        <v>-1332</v>
      </c>
      <c r="F31" s="46">
        <v>-1393</v>
      </c>
      <c r="G31" s="46">
        <v>-668.6</v>
      </c>
      <c r="H31" s="46">
        <v>584.5</v>
      </c>
      <c r="I31" s="46">
        <v>877.1</v>
      </c>
      <c r="J31" s="46">
        <v>987.6</v>
      </c>
      <c r="K31" s="46">
        <v>1806.07971</v>
      </c>
      <c r="L31" s="70">
        <v>1632.2075219999999</v>
      </c>
      <c r="M31" s="70">
        <v>1413.2714820000001</v>
      </c>
      <c r="N31" s="70">
        <v>1171.8811539999999</v>
      </c>
      <c r="O31" s="70">
        <v>1229.14896398</v>
      </c>
      <c r="P31" s="70">
        <v>3300.7377889999998</v>
      </c>
      <c r="Q31" s="70">
        <v>4546.2645329999996</v>
      </c>
      <c r="R31" s="70">
        <v>7085.4811559999998</v>
      </c>
      <c r="S31" s="61">
        <f>+(N31/$N$9)*100</f>
        <v>24.607020641838055</v>
      </c>
      <c r="T31" s="63">
        <f t="shared" si="12"/>
        <v>16.924032879731897</v>
      </c>
      <c r="U31" s="13"/>
      <c r="V31" s="62">
        <f>+((N31/M31)-1)*100</f>
        <v>-17.08025181817121</v>
      </c>
      <c r="W31" s="62">
        <f>+((O31/N31)-1)*100</f>
        <v>4.8868274555424751</v>
      </c>
      <c r="X31" s="49"/>
      <c r="Y31" s="14" t="s">
        <v>61</v>
      </c>
    </row>
    <row r="32" spans="1:25" s="6" customFormat="1" ht="15" x14ac:dyDescent="0.25">
      <c r="A32" s="7" t="s">
        <v>62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15" t="s">
        <v>63</v>
      </c>
    </row>
    <row r="33" spans="1:25" s="6" customFormat="1" ht="15" x14ac:dyDescent="0.25">
      <c r="A33" s="7" t="s">
        <v>7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15" t="s">
        <v>8</v>
      </c>
    </row>
    <row r="34" spans="1:25" s="6" customFormat="1" ht="12" x14ac:dyDescent="0.25">
      <c r="A34" s="8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 spans="1:25" x14ac:dyDescent="0.25">
      <c r="S35" s="9"/>
      <c r="T35" s="9"/>
      <c r="U35" s="9"/>
      <c r="V35" s="9"/>
      <c r="W35" s="9"/>
      <c r="X35" s="9"/>
    </row>
  </sheetData>
  <mergeCells count="7">
    <mergeCell ref="S6:T6"/>
    <mergeCell ref="A2:Y2"/>
    <mergeCell ref="A1:Y1"/>
    <mergeCell ref="A3:Y3"/>
    <mergeCell ref="A4:Y4"/>
    <mergeCell ref="E5:G5"/>
    <mergeCell ref="S5:T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5" max="1048575" man="1"/>
  </colBreaks>
  <ignoredErrors>
    <ignoredError sqref="M21:Q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13.7</vt:lpstr>
      <vt:lpstr>'13.7'!Print_Area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2017-06-05T07:49:00Z</cp:lastPrinted>
  <dcterms:created xsi:type="dcterms:W3CDTF">2014-03-06T08:38:12Z</dcterms:created>
  <dcterms:modified xsi:type="dcterms:W3CDTF">2017-06-05T07:49:17Z</dcterms:modified>
</cp:coreProperties>
</file>