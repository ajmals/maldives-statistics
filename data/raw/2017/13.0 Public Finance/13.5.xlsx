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5" sheetId="14" r:id="rId1"/>
  </sheets>
  <externalReferences>
    <externalReference r:id="rId2"/>
  </externalReferences>
  <definedNames>
    <definedName name="_xlnm.Print_Area" localSheetId="0">'13.5'!$A$1:$S$34</definedName>
  </definedNames>
  <calcPr calcId="144525"/>
</workbook>
</file>

<file path=xl/calcChain.xml><?xml version="1.0" encoding="utf-8"?>
<calcChain xmlns="http://schemas.openxmlformats.org/spreadsheetml/2006/main">
  <c r="Q21" i="14" l="1"/>
  <c r="R21" i="14"/>
  <c r="N12" i="14" l="1"/>
  <c r="N10" i="14" s="1"/>
  <c r="N17" i="14"/>
  <c r="N23" i="14"/>
  <c r="N9" i="14" l="1"/>
  <c r="N8" i="14" s="1"/>
  <c r="Q33" i="14" l="1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M9" i="14" l="1"/>
  <c r="M8" i="14" s="1"/>
  <c r="Q11" i="14" l="1"/>
  <c r="Q13" i="14" l="1"/>
  <c r="Q14" i="14"/>
  <c r="Q15" i="14"/>
  <c r="Q16" i="14"/>
  <c r="Q18" i="14"/>
  <c r="Q19" i="14"/>
  <c r="Q20" i="14"/>
  <c r="Q22" i="14"/>
  <c r="Q24" i="14"/>
  <c r="Q25" i="14"/>
  <c r="Q26" i="14"/>
  <c r="Q27" i="14"/>
  <c r="Q28" i="14"/>
  <c r="Q29" i="14"/>
  <c r="Q30" i="14"/>
  <c r="Q31" i="14"/>
  <c r="G17" i="14" l="1"/>
  <c r="H17" i="14"/>
  <c r="I17" i="14"/>
  <c r="J17" i="14"/>
  <c r="K17" i="14"/>
  <c r="L17" i="14"/>
  <c r="F17" i="14"/>
  <c r="L12" i="14"/>
  <c r="G12" i="14"/>
  <c r="H12" i="14"/>
  <c r="J12" i="14"/>
  <c r="K12" i="14"/>
  <c r="F12" i="14"/>
  <c r="R12" i="14" l="1"/>
  <c r="Q17" i="14"/>
  <c r="R17" i="14"/>
  <c r="Q12" i="14"/>
  <c r="K23" i="14" l="1"/>
  <c r="K10" i="14"/>
  <c r="K9" i="14" l="1"/>
  <c r="P23" i="14" l="1"/>
  <c r="P10" i="14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K8" i="14"/>
  <c r="L23" i="14" l="1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G9" i="14" s="1"/>
  <c r="F10" i="14"/>
  <c r="E10" i="14"/>
  <c r="D10" i="14"/>
  <c r="C10" i="14"/>
  <c r="B10" i="14"/>
  <c r="L9" i="14" l="1"/>
  <c r="L8" i="14" s="1"/>
  <c r="F9" i="14"/>
  <c r="F8" i="14" s="1"/>
  <c r="Q23" i="14"/>
  <c r="C9" i="14"/>
  <c r="C8" i="14" s="1"/>
  <c r="D9" i="14"/>
  <c r="D8" i="14" s="1"/>
  <c r="R10" i="14"/>
  <c r="J9" i="14"/>
  <c r="Q10" i="14"/>
  <c r="E9" i="14"/>
  <c r="E8" i="14" s="1"/>
  <c r="B9" i="14"/>
  <c r="B8" i="14" s="1"/>
  <c r="H9" i="14"/>
  <c r="G8" i="14"/>
  <c r="I9" i="14"/>
  <c r="O10" i="14" l="1"/>
  <c r="R9" i="14"/>
  <c r="J8" i="14"/>
  <c r="O9" i="14"/>
  <c r="O17" i="14"/>
  <c r="O12" i="14"/>
  <c r="O14" i="14"/>
  <c r="O16" i="14"/>
  <c r="O20" i="14"/>
  <c r="O22" i="14"/>
  <c r="O24" i="14"/>
  <c r="O26" i="14"/>
  <c r="O28" i="14"/>
  <c r="O30" i="14"/>
  <c r="O33" i="14"/>
  <c r="O18" i="14"/>
  <c r="O11" i="14"/>
  <c r="O13" i="14"/>
  <c r="O15" i="14"/>
  <c r="O19" i="14"/>
  <c r="O21" i="14"/>
  <c r="O23" i="14"/>
  <c r="O25" i="14"/>
  <c r="O27" i="14"/>
  <c r="O29" i="14"/>
  <c r="O31" i="14"/>
  <c r="Q9" i="14"/>
  <c r="I8" i="14"/>
  <c r="H8" i="14"/>
  <c r="R8" i="14" l="1"/>
  <c r="Q8" i="14"/>
</calcChain>
</file>

<file path=xl/sharedStrings.xml><?xml version="1.0" encoding="utf-8"?>
<sst xmlns="http://schemas.openxmlformats.org/spreadsheetml/2006/main" count="76" uniqueCount="70">
  <si>
    <t>Particulars</t>
  </si>
  <si>
    <t>clIBcfwt</t>
  </si>
  <si>
    <t>Actual</t>
  </si>
  <si>
    <t>Revised</t>
  </si>
  <si>
    <t>(cTejwbWtcsWrudem)</t>
  </si>
  <si>
    <t>Total Expenditure</t>
  </si>
  <si>
    <t>udwrwK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</si>
  <si>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</si>
  <si>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</si>
  <si>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</si>
  <si>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</si>
  <si>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</si>
  <si>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</si>
  <si>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</si>
  <si>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</si>
  <si>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</si>
  <si>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</si>
  <si>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</si>
  <si>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</si>
  <si>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</si>
  <si>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</si>
  <si>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</si>
  <si>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</si>
  <si>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</si>
  <si>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</si>
  <si>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</si>
  <si>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</si>
  <si>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</si>
  <si>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</si>
  <si>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</si>
  <si>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</si>
  <si>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</si>
  <si>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</si>
  <si>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</si>
  <si>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</si>
  <si>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</si>
  <si>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</si>
  <si>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</si>
  <si>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</si>
  <si>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</si>
  <si>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</si>
  <si>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</si>
  <si>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</si>
  <si>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</si>
  <si>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</si>
  <si>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</si>
  <si>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</si>
  <si>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</si>
  <si>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</si>
  <si>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</si>
  <si>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</si>
  <si>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</si>
  <si>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</si>
  <si>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</si>
  <si>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</si>
  <si>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</si>
  <si>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</si>
  <si>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 xml:space="preserve"> cniawfis</t>
  </si>
  <si>
    <t>cnuhuluf</t>
  </si>
  <si>
    <t xml:space="preserve"> (In million MVR)</t>
  </si>
  <si>
    <t xml:space="preserve">  Religion, Culture and Entertainment</t>
  </si>
  <si>
    <t>ދީނީ، ސަޤާފީ، މުނިފޫހިފިލުވުން</t>
  </si>
  <si>
    <t>2014 - 2015</t>
  </si>
  <si>
    <t>2015-2016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</si>
  <si>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</si>
  <si>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2019 -2012 ,ctogWviawfiverukudwrwK cnuTejwb egurWkurws cnutogegukwtiawb WviawfiLeawDnwk cSwmugcnihudwrwK : 13.5 ulwvWt</t>
  </si>
  <si>
    <t>Table  13.5 :  FUNCTIONAL CLASSIFICATION OF CENTRAL GOVERNMENT EXPENDITURE, 2012- 2019</t>
  </si>
  <si>
    <t>Estimate</t>
  </si>
  <si>
    <t xml:space="preserve">  Community programmes*</t>
  </si>
  <si>
    <t>* From 2015 onwards, "community programmes" included in "Religion, Culture and Entertainment".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</si>
</sst>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8" formatCode="0.0"/>
    <numFmt numFmtId="170" formatCode="_-* #,##0.00_-;\-* #,##0.00_-;_-* &quot;-&quot;??_-;_-@_-"/>
    <numFmt numFmtId="171" formatCode="#,##0.00\ ;&quot; (&quot;#,##0.00\);&quot; -&quot;#\ ;@\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</borders>
  <cellStyleXfs count="11">
    <xf numFmtId="0" fontId="0" fillId="0" borderId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94">
    <xf numFmtId="0" fontId="0" fillId="0" borderId="0" xfId="0"/>
    <xf numFmtId="165" fontId="5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2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 applyProtection="1">
      <alignment horizontal="right" vertical="center"/>
      <protection locked="0"/>
    </xf>
    <xf numFmtId="164" fontId="5" fillId="2" borderId="1" xfId="1" applyNumberFormat="1" applyFont="1" applyFill="1" applyBorder="1" applyAlignment="1" applyProtection="1">
      <alignment horizontal="right" vertical="center"/>
    </xf>
    <xf numFmtId="164" fontId="17" fillId="2" borderId="0" xfId="1" applyNumberFormat="1" applyFont="1" applyFill="1" applyAlignment="1">
      <alignment vertical="center"/>
    </xf>
    <xf numFmtId="164" fontId="18" fillId="2" borderId="0" xfId="1" applyNumberFormat="1" applyFont="1" applyFill="1" applyAlignment="1">
      <alignment vertical="center"/>
    </xf>
    <xf numFmtId="164" fontId="5" fillId="2" borderId="0" xfId="1" applyNumberFormat="1" applyFont="1" applyFill="1" applyAlignment="1" applyProtection="1">
      <alignment horizontal="left" vertical="center"/>
    </xf>
    <xf numFmtId="165" fontId="11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Alignment="1">
      <alignment vertical="center"/>
    </xf>
    <xf numFmtId="164" fontId="22" fillId="2" borderId="0" xfId="1" applyNumberFormat="1" applyFont="1" applyFill="1" applyAlignment="1">
      <alignment vertical="center"/>
    </xf>
    <xf numFmtId="164" fontId="15" fillId="2" borderId="0" xfId="1" applyNumberFormat="1" applyFont="1" applyFill="1" applyAlignment="1" applyProtection="1">
      <alignment horizontal="left" vertical="center"/>
    </xf>
    <xf numFmtId="164" fontId="17" fillId="2" borderId="0" xfId="1" applyNumberFormat="1" applyFont="1" applyFill="1" applyAlignment="1">
      <alignment horizontal="center" vertical="center"/>
    </xf>
    <xf numFmtId="165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21" fillId="2" borderId="0" xfId="1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vertical="center"/>
    </xf>
    <xf numFmtId="164" fontId="8" fillId="2" borderId="0" xfId="1" applyNumberFormat="1" applyFont="1" applyFill="1" applyAlignment="1">
      <alignment horizontal="right" vertical="center"/>
    </xf>
    <xf numFmtId="41" fontId="23" fillId="2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0" xfId="1" applyNumberFormat="1" applyFont="1" applyFill="1" applyAlignment="1">
      <alignment vertical="center" wrapText="1"/>
    </xf>
    <xf numFmtId="164" fontId="20" fillId="2" borderId="3" xfId="1" applyNumberFormat="1" applyFont="1" applyFill="1" applyBorder="1" applyAlignment="1">
      <alignment vertical="center"/>
    </xf>
    <xf numFmtId="164" fontId="19" fillId="2" borderId="0" xfId="1" applyNumberFormat="1" applyFont="1" applyFill="1" applyBorder="1" applyAlignment="1"/>
    <xf numFmtId="164" fontId="19" fillId="2" borderId="0" xfId="1" applyNumberFormat="1" applyFont="1" applyFill="1" applyBorder="1" applyAlignment="1">
      <alignment horizontal="center"/>
    </xf>
    <xf numFmtId="164" fontId="20" fillId="2" borderId="0" xfId="1" applyNumberFormat="1" applyFont="1" applyFill="1" applyBorder="1" applyAlignment="1">
      <alignment vertical="center"/>
    </xf>
    <xf numFmtId="164" fontId="9" fillId="2" borderId="0" xfId="1" applyNumberFormat="1" applyFont="1" applyFill="1" applyBorder="1" applyAlignment="1" applyProtection="1">
      <alignment horizontal="right" vertical="center"/>
      <protection locked="0"/>
    </xf>
    <xf numFmtId="164" fontId="20" fillId="2" borderId="0" xfId="1" applyNumberFormat="1" applyFont="1" applyFill="1" applyBorder="1" applyAlignment="1" applyProtection="1">
      <alignment horizontal="center" vertical="center"/>
      <protection locked="0"/>
    </xf>
    <xf numFmtId="164" fontId="20" fillId="2" borderId="4" xfId="1" applyNumberFormat="1" applyFont="1" applyFill="1" applyBorder="1" applyAlignment="1" applyProtection="1">
      <alignment horizontal="right" vertical="center"/>
      <protection locked="0"/>
    </xf>
    <xf numFmtId="164" fontId="20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5" xfId="1" applyNumberFormat="1" applyFont="1" applyFill="1" applyBorder="1" applyAlignment="1">
      <alignment horizontal="right" vertical="center"/>
    </xf>
    <xf numFmtId="168" fontId="10" fillId="2" borderId="13" xfId="1" applyNumberFormat="1" applyFont="1" applyFill="1" applyBorder="1" applyAlignment="1">
      <alignment horizontal="right" vertical="center"/>
    </xf>
    <xf numFmtId="164" fontId="27" fillId="2" borderId="2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5" fillId="2" borderId="3" xfId="1" applyNumberFormat="1" applyFont="1" applyFill="1" applyBorder="1" applyAlignment="1" applyProtection="1">
      <alignment horizontal="right" vertical="center"/>
    </xf>
    <xf numFmtId="165" fontId="5" fillId="2" borderId="3" xfId="1" applyNumberFormat="1" applyFont="1" applyFill="1" applyBorder="1" applyAlignment="1" applyProtection="1">
      <alignment horizontal="right" vertical="center"/>
    </xf>
    <xf numFmtId="165" fontId="5" fillId="2" borderId="6" xfId="1" applyNumberFormat="1" applyFont="1" applyFill="1" applyBorder="1" applyAlignment="1" applyProtection="1">
      <alignment horizontal="right" vertical="center"/>
    </xf>
    <xf numFmtId="168" fontId="5" fillId="2" borderId="3" xfId="1" applyNumberFormat="1" applyFont="1" applyFill="1" applyBorder="1" applyAlignment="1" applyProtection="1">
      <alignment horizontal="right" vertical="center"/>
    </xf>
    <xf numFmtId="168" fontId="5" fillId="2" borderId="0" xfId="1" applyNumberFormat="1" applyFont="1" applyFill="1" applyBorder="1" applyAlignment="1" applyProtection="1">
      <alignment horizontal="right" vertical="center"/>
      <protection locked="0"/>
    </xf>
    <xf numFmtId="3" fontId="5" fillId="2" borderId="0" xfId="1" applyNumberFormat="1" applyFont="1" applyFill="1" applyBorder="1" applyAlignment="1" applyProtection="1">
      <alignment horizontal="right" vertical="center"/>
      <protection locked="0"/>
    </xf>
    <xf numFmtId="165" fontId="5" fillId="2" borderId="4" xfId="1" applyNumberFormat="1" applyFont="1" applyFill="1" applyBorder="1" applyAlignment="1" applyProtection="1">
      <alignment horizontal="right" vertical="center"/>
      <protection locked="0"/>
    </xf>
    <xf numFmtId="168" fontId="5" fillId="2" borderId="0" xfId="1" applyNumberFormat="1" applyFont="1" applyFill="1" applyBorder="1" applyAlignment="1" applyProtection="1">
      <alignment vertical="center"/>
      <protection locked="0"/>
    </xf>
    <xf numFmtId="168" fontId="5" fillId="2" borderId="7" xfId="1" applyNumberFormat="1" applyFont="1" applyFill="1" applyBorder="1" applyAlignment="1" applyProtection="1">
      <alignment vertical="center"/>
      <protection locked="0"/>
    </xf>
    <xf numFmtId="164" fontId="11" fillId="2" borderId="0" xfId="1" applyNumberFormat="1" applyFont="1" applyFill="1" applyAlignment="1" applyProtection="1">
      <alignment horizontal="left" vertical="center"/>
    </xf>
    <xf numFmtId="3" fontId="11" fillId="2" borderId="0" xfId="1" applyNumberFormat="1" applyFont="1" applyFill="1" applyBorder="1" applyAlignment="1" applyProtection="1">
      <alignment horizontal="right" vertical="center"/>
      <protection locked="0"/>
    </xf>
    <xf numFmtId="165" fontId="11" fillId="2" borderId="4" xfId="1" applyNumberFormat="1" applyFont="1" applyFill="1" applyBorder="1" applyAlignment="1" applyProtection="1">
      <alignment horizontal="right" vertical="center"/>
      <protection locked="0"/>
    </xf>
    <xf numFmtId="168" fontId="11" fillId="2" borderId="0" xfId="1" applyNumberFormat="1" applyFont="1" applyFill="1" applyBorder="1" applyAlignment="1" applyProtection="1">
      <alignment vertical="center"/>
      <protection locked="0"/>
    </xf>
    <xf numFmtId="168" fontId="11" fillId="2" borderId="7" xfId="1" applyNumberFormat="1" applyFont="1" applyFill="1" applyBorder="1" applyAlignment="1" applyProtection="1">
      <alignment vertical="center"/>
      <protection locked="0"/>
    </xf>
    <xf numFmtId="168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21" fillId="2" borderId="0" xfId="1" applyNumberFormat="1" applyFont="1" applyFill="1" applyAlignment="1">
      <alignment horizontal="right" vertical="center" indent="3"/>
    </xf>
    <xf numFmtId="3" fontId="11" fillId="2" borderId="0" xfId="1" applyNumberFormat="1" applyFont="1" applyFill="1" applyBorder="1" applyAlignment="1">
      <alignment vertical="center"/>
    </xf>
    <xf numFmtId="164" fontId="14" fillId="2" borderId="0" xfId="1" applyNumberFormat="1" applyFont="1" applyFill="1" applyAlignment="1">
      <alignment horizontal="right" vertical="center"/>
    </xf>
    <xf numFmtId="3" fontId="11" fillId="2" borderId="0" xfId="1" applyNumberFormat="1" applyFont="1" applyFill="1" applyBorder="1" applyAlignment="1" applyProtection="1">
      <alignment horizontal="right" vertical="center"/>
    </xf>
    <xf numFmtId="164" fontId="11" fillId="2" borderId="2" xfId="1" applyNumberFormat="1" applyFont="1" applyFill="1" applyBorder="1" applyAlignment="1" applyProtection="1">
      <alignment horizontal="left" vertical="center"/>
    </xf>
    <xf numFmtId="3" fontId="11" fillId="2" borderId="2" xfId="1" applyNumberFormat="1" applyFont="1" applyFill="1" applyBorder="1" applyAlignment="1" applyProtection="1">
      <alignment horizontal="center" vertical="center"/>
      <protection locked="0"/>
    </xf>
    <xf numFmtId="3" fontId="11" fillId="2" borderId="2" xfId="1" applyNumberFormat="1" applyFont="1" applyFill="1" applyBorder="1" applyAlignment="1" applyProtection="1">
      <alignment horizontal="right" vertical="center"/>
      <protection locked="0"/>
    </xf>
    <xf numFmtId="165" fontId="11" fillId="2" borderId="2" xfId="1" applyNumberFormat="1" applyFont="1" applyFill="1" applyBorder="1" applyAlignment="1" applyProtection="1">
      <alignment horizontal="right" vertical="center"/>
      <protection locked="0"/>
    </xf>
    <xf numFmtId="165" fontId="11" fillId="2" borderId="5" xfId="1" applyNumberFormat="1" applyFont="1" applyFill="1" applyBorder="1" applyAlignment="1" applyProtection="1">
      <alignment horizontal="right" vertical="center"/>
      <protection locked="0"/>
    </xf>
    <xf numFmtId="168" fontId="11" fillId="2" borderId="2" xfId="1" applyNumberFormat="1" applyFont="1" applyFill="1" applyBorder="1" applyAlignment="1" applyProtection="1">
      <alignment vertical="center"/>
      <protection locked="0"/>
    </xf>
    <xf numFmtId="168" fontId="11" fillId="2" borderId="8" xfId="1" applyNumberFormat="1" applyFont="1" applyFill="1" applyBorder="1" applyAlignment="1" applyProtection="1">
      <alignment vertical="center"/>
      <protection locked="0"/>
    </xf>
    <xf numFmtId="168" fontId="11" fillId="2" borderId="2" xfId="1" applyNumberFormat="1" applyFont="1" applyFill="1" applyBorder="1" applyAlignment="1" applyProtection="1">
      <alignment horizontal="right" vertical="center"/>
      <protection locked="0"/>
    </xf>
    <xf numFmtId="164" fontId="14" fillId="2" borderId="2" xfId="1" applyNumberFormat="1" applyFont="1" applyFill="1" applyBorder="1" applyAlignment="1">
      <alignment horizontal="right" vertical="center"/>
    </xf>
    <xf numFmtId="37" fontId="13" fillId="2" borderId="0" xfId="1" applyNumberFormat="1" applyFont="1" applyFill="1" applyAlignment="1" applyProtection="1">
      <alignment horizontal="center" vertical="center"/>
    </xf>
    <xf numFmtId="168" fontId="13" fillId="2" borderId="0" xfId="1" applyNumberFormat="1" applyFont="1" applyFill="1" applyAlignment="1" applyProtection="1">
      <alignment horizontal="center" vertical="center"/>
    </xf>
    <xf numFmtId="168" fontId="17" fillId="2" borderId="0" xfId="1" applyNumberFormat="1" applyFont="1" applyFill="1" applyAlignment="1">
      <alignment horizontal="center" vertical="center"/>
    </xf>
    <xf numFmtId="165" fontId="9" fillId="2" borderId="0" xfId="1" applyNumberFormat="1" applyFont="1" applyFill="1" applyAlignment="1" applyProtection="1">
      <alignment horizontal="right" vertical="center"/>
    </xf>
    <xf numFmtId="165" fontId="9" fillId="2" borderId="0" xfId="1" applyNumberFormat="1" applyFont="1" applyFill="1" applyAlignment="1" applyProtection="1">
      <alignment horizontal="right" vertical="center"/>
      <protection locked="0"/>
    </xf>
    <xf numFmtId="164" fontId="9" fillId="2" borderId="7" xfId="1" applyNumberFormat="1" applyFont="1" applyFill="1" applyBorder="1" applyAlignment="1">
      <alignment vertical="center"/>
    </xf>
    <xf numFmtId="164" fontId="10" fillId="2" borderId="8" xfId="1" applyNumberFormat="1" applyFont="1" applyFill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right" vertical="center"/>
    </xf>
    <xf numFmtId="164" fontId="29" fillId="2" borderId="0" xfId="1" applyNumberFormat="1" applyFont="1" applyFill="1" applyAlignment="1">
      <alignment vertical="center"/>
    </xf>
    <xf numFmtId="164" fontId="30" fillId="2" borderId="0" xfId="1" applyNumberFormat="1" applyFont="1" applyFill="1" applyAlignment="1">
      <alignment horizontal="center" vertical="center"/>
    </xf>
    <xf numFmtId="168" fontId="30" fillId="2" borderId="0" xfId="1" applyNumberFormat="1" applyFont="1" applyFill="1" applyAlignment="1">
      <alignment horizontal="center" vertical="center"/>
    </xf>
    <xf numFmtId="164" fontId="30" fillId="2" borderId="0" xfId="1" applyNumberFormat="1" applyFont="1" applyFill="1" applyAlignment="1">
      <alignment horizontal="right" vertical="center"/>
    </xf>
    <xf numFmtId="164" fontId="30" fillId="2" borderId="0" xfId="1" applyNumberFormat="1" applyFont="1" applyFill="1" applyAlignment="1">
      <alignment vertical="center"/>
    </xf>
    <xf numFmtId="164" fontId="5" fillId="2" borderId="12" xfId="1" applyNumberFormat="1" applyFont="1" applyFill="1" applyBorder="1" applyAlignment="1" applyProtection="1">
      <alignment horizontal="right" vertical="center"/>
      <protection locked="0"/>
    </xf>
    <xf numFmtId="164" fontId="5" fillId="2" borderId="15" xfId="1" applyNumberFormat="1" applyFont="1" applyFill="1" applyBorder="1" applyAlignment="1" applyProtection="1">
      <alignment horizontal="right" vertical="center"/>
    </xf>
    <xf numFmtId="165" fontId="5" fillId="2" borderId="9" xfId="1" applyNumberFormat="1" applyFont="1" applyFill="1" applyBorder="1" applyAlignment="1" applyProtection="1">
      <alignment horizontal="right" vertical="center"/>
    </xf>
    <xf numFmtId="165" fontId="5" fillId="2" borderId="7" xfId="1" applyNumberFormat="1" applyFont="1" applyFill="1" applyBorder="1" applyAlignment="1" applyProtection="1">
      <alignment horizontal="right" vertical="center"/>
      <protection locked="0"/>
    </xf>
    <xf numFmtId="165" fontId="11" fillId="2" borderId="7" xfId="1" applyNumberFormat="1" applyFont="1" applyFill="1" applyBorder="1" applyAlignment="1" applyProtection="1">
      <alignment horizontal="right" vertical="center"/>
      <protection locked="0"/>
    </xf>
    <xf numFmtId="165" fontId="11" fillId="2" borderId="8" xfId="1" applyNumberFormat="1" applyFont="1" applyFill="1" applyBorder="1" applyAlignment="1" applyProtection="1">
      <alignment horizontal="right" vertical="center"/>
      <protection locked="0"/>
    </xf>
    <xf numFmtId="164" fontId="16" fillId="2" borderId="0" xfId="1" applyNumberFormat="1" applyFont="1" applyFill="1" applyAlignment="1">
      <alignment horizontal="center" vertical="center"/>
    </xf>
    <xf numFmtId="164" fontId="12" fillId="2" borderId="0" xfId="1" applyNumberFormat="1" applyFont="1" applyFill="1" applyBorder="1" applyAlignment="1" applyProtection="1">
      <alignment horizontal="center" vertical="center" wrapText="1"/>
    </xf>
    <xf numFmtId="164" fontId="24" fillId="2" borderId="0" xfId="1" applyNumberFormat="1" applyFont="1" applyFill="1" applyAlignment="1">
      <alignment horizontal="center" vertical="center" wrapText="1"/>
    </xf>
    <xf numFmtId="164" fontId="18" fillId="2" borderId="2" xfId="1" applyNumberFormat="1" applyFont="1" applyFill="1" applyBorder="1" applyAlignment="1">
      <alignment horizontal="center" vertical="center"/>
    </xf>
    <xf numFmtId="164" fontId="10" fillId="2" borderId="3" xfId="1" applyNumberFormat="1" applyFont="1" applyFill="1" applyBorder="1" applyAlignment="1" applyProtection="1">
      <alignment horizontal="left" vertical="center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10" fillId="2" borderId="2" xfId="1" applyNumberFormat="1" applyFont="1" applyFill="1" applyBorder="1" applyAlignment="1" applyProtection="1">
      <alignment horizontal="left" vertical="center"/>
    </xf>
    <xf numFmtId="164" fontId="20" fillId="2" borderId="11" xfId="1" applyNumberFormat="1" applyFont="1" applyFill="1" applyBorder="1" applyAlignment="1">
      <alignment horizontal="center" vertical="center"/>
    </xf>
    <xf numFmtId="164" fontId="20" fillId="2" borderId="10" xfId="1" applyNumberFormat="1" applyFont="1" applyFill="1" applyBorder="1" applyAlignment="1">
      <alignment horizontal="center" vertical="center"/>
    </xf>
    <xf numFmtId="164" fontId="19" fillId="2" borderId="11" xfId="1" applyNumberFormat="1" applyFont="1" applyFill="1" applyBorder="1" applyAlignment="1">
      <alignment horizontal="center" vertical="center"/>
    </xf>
    <xf numFmtId="164" fontId="19" fillId="2" borderId="10" xfId="1" applyNumberFormat="1" applyFont="1" applyFill="1" applyBorder="1" applyAlignment="1">
      <alignment horizontal="center" vertical="center"/>
    </xf>
    <xf numFmtId="164" fontId="19" fillId="2" borderId="14" xfId="1" applyNumberFormat="1" applyFont="1" applyFill="1" applyBorder="1" applyAlignment="1">
      <alignment horizontal="center" vertical="center"/>
    </xf>
    <xf numFmtId="168" fontId="19" fillId="2" borderId="11" xfId="1" applyNumberFormat="1" applyFont="1" applyFill="1" applyBorder="1" applyAlignment="1" applyProtection="1">
      <alignment horizontal="center" vertical="center"/>
      <protection hidden="1"/>
    </xf>
    <xf numFmtId="168" fontId="19" fillId="2" borderId="10" xfId="1" applyNumberFormat="1" applyFont="1" applyFill="1" applyBorder="1" applyAlignment="1" applyProtection="1">
      <alignment horizontal="center" vertical="center"/>
      <protection hidden="1"/>
    </xf>
    <xf numFmtId="168" fontId="20" fillId="2" borderId="5" xfId="1" applyNumberFormat="1" applyFont="1" applyFill="1" applyBorder="1" applyAlignment="1" applyProtection="1">
      <alignment horizontal="center" vertical="center"/>
      <protection locked="0"/>
    </xf>
    <xf numFmtId="168" fontId="20" fillId="2" borderId="2" xfId="1" applyNumberFormat="1" applyFont="1" applyFill="1" applyBorder="1" applyAlignment="1" applyProtection="1">
      <alignment horizontal="center" vertical="center"/>
      <protection locked="0"/>
    </xf>
  </cellXfs>
  <cellStyles count="11">
    <cellStyle name="Comma 2" xfId="6"/>
    <cellStyle name="Comma 3" xfId="7"/>
    <cellStyle name="Comma 4" xfId="3"/>
    <cellStyle name="Comma 6" xfId="9"/>
    <cellStyle name="Comma_13 Public Finance_done" xfId="2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1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68"/>
  <sheetViews>
    <sheetView tabSelected="1" zoomScaleNormal="100" workbookViewId="0">
      <selection activeCell="R21" sqref="R21"/>
    </sheetView>
  </sheetViews>
  <sheetFormatPr defaultColWidth="8.85546875" defaultRowHeight="12.75"/>
  <cols>
    <col min="1" max="1" width="32.7109375" style="5" customWidth="1"/>
    <col min="2" max="6" width="8.85546875" style="12" hidden="1" customWidth="1"/>
    <col min="7" max="7" width="8.85546875" style="12" customWidth="1"/>
    <col min="8" max="8" width="8.85546875" style="12"/>
    <col min="9" max="14" width="10.7109375" style="12" customWidth="1"/>
    <col min="15" max="15" width="12.85546875" style="12" customWidth="1"/>
    <col min="16" max="16" width="13.7109375" style="12" customWidth="1"/>
    <col min="17" max="18" width="10.7109375" style="61" customWidth="1"/>
    <col min="19" max="19" width="39" style="5" customWidth="1"/>
    <col min="20" max="16384" width="8.85546875" style="5"/>
  </cols>
  <sheetData>
    <row r="1" spans="1:20" ht="19.5">
      <c r="A1" s="78" t="s">
        <v>65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20" ht="15.75">
      <c r="A2" s="79" t="s">
        <v>66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spans="1:20" ht="14.25">
      <c r="A3" s="80" t="s">
        <v>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8"/>
    </row>
    <row r="4" spans="1:20" s="6" customFormat="1">
      <c r="A4" s="81" t="s">
        <v>59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</row>
    <row r="5" spans="1:20" s="22" customFormat="1" ht="26.45" customHeight="1">
      <c r="A5" s="82" t="s">
        <v>0</v>
      </c>
      <c r="B5" s="19"/>
      <c r="C5" s="20"/>
      <c r="D5" s="20"/>
      <c r="E5" s="20"/>
      <c r="F5" s="20"/>
      <c r="G5" s="21"/>
      <c r="H5" s="21"/>
      <c r="I5" s="87" t="s">
        <v>4</v>
      </c>
      <c r="J5" s="88"/>
      <c r="K5" s="88"/>
      <c r="L5" s="88"/>
      <c r="M5" s="88"/>
      <c r="N5" s="89"/>
      <c r="O5" s="85" t="s">
        <v>64</v>
      </c>
      <c r="P5" s="86"/>
      <c r="Q5" s="90" t="s">
        <v>14</v>
      </c>
      <c r="R5" s="91"/>
    </row>
    <row r="6" spans="1:20" s="15" customFormat="1" ht="15">
      <c r="A6" s="83"/>
      <c r="C6" s="23"/>
      <c r="D6" s="23"/>
      <c r="E6" s="23"/>
      <c r="F6" s="23"/>
      <c r="G6" s="24"/>
      <c r="H6" s="24" t="s">
        <v>2</v>
      </c>
      <c r="I6" s="25" t="s">
        <v>2</v>
      </c>
      <c r="J6" s="3" t="s">
        <v>2</v>
      </c>
      <c r="K6" s="3" t="s">
        <v>3</v>
      </c>
      <c r="L6" s="3" t="s">
        <v>67</v>
      </c>
      <c r="M6" s="3" t="s">
        <v>67</v>
      </c>
      <c r="N6" s="72" t="s">
        <v>67</v>
      </c>
      <c r="O6" s="26" t="s">
        <v>2</v>
      </c>
      <c r="P6" s="26" t="s">
        <v>2</v>
      </c>
      <c r="Q6" s="92" t="s">
        <v>15</v>
      </c>
      <c r="R6" s="93"/>
      <c r="S6" s="66" t="s">
        <v>1</v>
      </c>
    </row>
    <row r="7" spans="1:20" s="9" customFormat="1">
      <c r="A7" s="84"/>
      <c r="B7" s="2">
        <v>2007</v>
      </c>
      <c r="C7" s="2">
        <v>2008</v>
      </c>
      <c r="D7" s="2">
        <v>2009</v>
      </c>
      <c r="E7" s="2">
        <v>2010</v>
      </c>
      <c r="F7" s="2">
        <v>2011</v>
      </c>
      <c r="G7" s="2">
        <v>2012</v>
      </c>
      <c r="H7" s="2">
        <v>2013</v>
      </c>
      <c r="I7" s="27">
        <v>2014</v>
      </c>
      <c r="J7" s="4">
        <v>2015</v>
      </c>
      <c r="K7" s="4">
        <v>2016</v>
      </c>
      <c r="L7" s="4">
        <v>2017</v>
      </c>
      <c r="M7" s="4">
        <v>2018</v>
      </c>
      <c r="N7" s="73">
        <v>2019</v>
      </c>
      <c r="O7" s="2">
        <v>2015</v>
      </c>
      <c r="P7" s="65">
        <v>2016</v>
      </c>
      <c r="Q7" s="28" t="s">
        <v>62</v>
      </c>
      <c r="R7" s="28" t="s">
        <v>63</v>
      </c>
      <c r="S7" s="29"/>
    </row>
    <row r="8" spans="1:20" s="9" customFormat="1" ht="15">
      <c r="A8" s="7" t="s">
        <v>16</v>
      </c>
      <c r="B8" s="30">
        <f t="shared" ref="B8:L8" si="0">SUM(B9,B31)</f>
        <v>8200.9</v>
      </c>
      <c r="C8" s="31">
        <f t="shared" si="0"/>
        <v>10175.996671999999</v>
      </c>
      <c r="D8" s="31">
        <f t="shared" si="0"/>
        <v>10953.434156000003</v>
      </c>
      <c r="E8" s="31">
        <f t="shared" si="0"/>
        <v>10815.062102899999</v>
      </c>
      <c r="F8" s="32">
        <f t="shared" si="0"/>
        <v>12264.741933000001</v>
      </c>
      <c r="G8" s="32">
        <f t="shared" si="0"/>
        <v>13110.002924999997</v>
      </c>
      <c r="H8" s="32">
        <f t="shared" si="0"/>
        <v>13530.77100239</v>
      </c>
      <c r="I8" s="33">
        <f t="shared" si="0"/>
        <v>16417.281596000001</v>
      </c>
      <c r="J8" s="32">
        <f t="shared" si="0"/>
        <v>21336.878536910001</v>
      </c>
      <c r="K8" s="32">
        <f t="shared" si="0"/>
        <v>22434.980115837468</v>
      </c>
      <c r="L8" s="32">
        <f t="shared" si="0"/>
        <v>22236.477511119636</v>
      </c>
      <c r="M8" s="32">
        <f t="shared" ref="M8:N8" si="1">SUM(M9,M31)</f>
        <v>22536.118266786321</v>
      </c>
      <c r="N8" s="74">
        <f t="shared" si="1"/>
        <v>21206.975172978506</v>
      </c>
      <c r="O8" s="34"/>
      <c r="P8" s="64"/>
      <c r="Q8" s="35">
        <f t="shared" ref="Q8:Q31" si="2">+((J8/I8)-1)*100</f>
        <v>29.965965511054151</v>
      </c>
      <c r="R8" s="35">
        <f t="shared" ref="R8:R31" si="3">+((K8/J8)-1)*100</f>
        <v>5.1464958992380128</v>
      </c>
      <c r="S8" s="16" t="s">
        <v>17</v>
      </c>
    </row>
    <row r="9" spans="1:20" s="9" customFormat="1" ht="15">
      <c r="A9" s="7" t="s">
        <v>5</v>
      </c>
      <c r="B9" s="36">
        <f t="shared" ref="B9:L9" si="4">SUM(B10,B17,B23,B30)</f>
        <v>8325.4</v>
      </c>
      <c r="C9" s="36">
        <f t="shared" si="4"/>
        <v>10342.396671999999</v>
      </c>
      <c r="D9" s="36">
        <f t="shared" si="4"/>
        <v>11104.270489000002</v>
      </c>
      <c r="E9" s="36">
        <f t="shared" si="4"/>
        <v>10996.362102899999</v>
      </c>
      <c r="F9" s="1">
        <f t="shared" si="4"/>
        <v>12663.741933000001</v>
      </c>
      <c r="G9" s="1">
        <f t="shared" si="4"/>
        <v>13200.234560999997</v>
      </c>
      <c r="H9" s="1">
        <f t="shared" si="4"/>
        <v>13666.256009389999</v>
      </c>
      <c r="I9" s="37">
        <f t="shared" si="4"/>
        <v>16539.443646</v>
      </c>
      <c r="J9" s="1">
        <f t="shared" si="4"/>
        <v>21440.89678291</v>
      </c>
      <c r="K9" s="1">
        <f t="shared" si="4"/>
        <v>22456.712048504134</v>
      </c>
      <c r="L9" s="1">
        <f t="shared" si="4"/>
        <v>22209.441856927635</v>
      </c>
      <c r="M9" s="1">
        <f t="shared" ref="M9:N9" si="5">SUM(M10,M17,M23,M30)</f>
        <v>22589.2382774324</v>
      </c>
      <c r="N9" s="75">
        <f t="shared" si="5"/>
        <v>21261.386921511046</v>
      </c>
      <c r="O9" s="38">
        <f t="shared" ref="O9:O31" si="6">+(J9/$J$9)*100</f>
        <v>100</v>
      </c>
      <c r="P9" s="39">
        <f>+(K9/$K$9)*100</f>
        <v>100</v>
      </c>
      <c r="Q9" s="35">
        <f t="shared" si="2"/>
        <v>29.634933567402054</v>
      </c>
      <c r="R9" s="35">
        <f t="shared" si="3"/>
        <v>4.7377461674262378</v>
      </c>
      <c r="S9" s="16" t="s">
        <v>6</v>
      </c>
    </row>
    <row r="10" spans="1:20" s="9" customFormat="1" ht="15">
      <c r="A10" s="7" t="s">
        <v>18</v>
      </c>
      <c r="B10" s="36">
        <f>SUM(B11,B12,B15,B16)</f>
        <v>3050.7999999999997</v>
      </c>
      <c r="C10" s="36">
        <f t="shared" ref="C10:L10" si="7">SUM(C11,C12,C15,C16)</f>
        <v>3708.5</v>
      </c>
      <c r="D10" s="36">
        <f t="shared" si="7"/>
        <v>4216.3047380000016</v>
      </c>
      <c r="E10" s="36">
        <f t="shared" si="7"/>
        <v>4614.6055389999992</v>
      </c>
      <c r="F10" s="1">
        <f>SUM(F11,F12,F15,F16)</f>
        <v>5881.7756770000005</v>
      </c>
      <c r="G10" s="1">
        <f t="shared" si="7"/>
        <v>5914.3218849999994</v>
      </c>
      <c r="H10" s="1">
        <f t="shared" si="7"/>
        <v>5246.6271609999994</v>
      </c>
      <c r="I10" s="37">
        <f t="shared" si="7"/>
        <v>6216.7655439999999</v>
      </c>
      <c r="J10" s="1">
        <f t="shared" si="7"/>
        <v>8322.4302864000001</v>
      </c>
      <c r="K10" s="1">
        <f t="shared" ref="K10" si="8">SUM(K11,K12,K15,K16)</f>
        <v>7307.320776903809</v>
      </c>
      <c r="L10" s="1">
        <f t="shared" si="7"/>
        <v>7053.1511069999997</v>
      </c>
      <c r="M10" s="1">
        <f t="shared" ref="M10:N10" si="9">SUM(M11,M12,M15,M16)</f>
        <v>7181.465854</v>
      </c>
      <c r="N10" s="75">
        <f t="shared" si="9"/>
        <v>6283.7022510000006</v>
      </c>
      <c r="O10" s="38">
        <f t="shared" si="6"/>
        <v>38.81568187499321</v>
      </c>
      <c r="P10" s="39">
        <f>+(K10/$K$9)*100</f>
        <v>32.539584428569803</v>
      </c>
      <c r="Q10" s="35">
        <f t="shared" si="2"/>
        <v>33.870743998577282</v>
      </c>
      <c r="R10" s="35">
        <f t="shared" si="3"/>
        <v>-12.197272606236432</v>
      </c>
      <c r="S10" s="16" t="s">
        <v>19</v>
      </c>
    </row>
    <row r="11" spans="1:20" s="10" customFormat="1" ht="15">
      <c r="A11" s="40" t="s">
        <v>20</v>
      </c>
      <c r="B11" s="41">
        <v>1607.3</v>
      </c>
      <c r="C11" s="41">
        <v>2043.9</v>
      </c>
      <c r="D11" s="41">
        <v>2197.6652670000008</v>
      </c>
      <c r="E11" s="41">
        <v>2684.2828549999995</v>
      </c>
      <c r="F11" s="13">
        <v>3414.360107</v>
      </c>
      <c r="G11" s="13">
        <v>3431.8828060000001</v>
      </c>
      <c r="H11" s="13">
        <v>2539.0598371399997</v>
      </c>
      <c r="I11" s="42">
        <v>3189.9729499999999</v>
      </c>
      <c r="J11" s="13">
        <v>3623.5494148099997</v>
      </c>
      <c r="K11" s="13">
        <v>2882.64263750381</v>
      </c>
      <c r="L11" s="13">
        <v>2419.014396</v>
      </c>
      <c r="M11" s="13">
        <v>2194.351874</v>
      </c>
      <c r="N11" s="76">
        <v>2030.906217</v>
      </c>
      <c r="O11" s="43">
        <f t="shared" si="6"/>
        <v>16.900176571430727</v>
      </c>
      <c r="P11" s="44">
        <f t="shared" ref="P11:P33" si="10">+(K11/$K$9)*100</f>
        <v>12.836441199751794</v>
      </c>
      <c r="Q11" s="45">
        <f t="shared" si="2"/>
        <v>13.591853962586109</v>
      </c>
      <c r="R11" s="45">
        <f t="shared" si="3"/>
        <v>-20.446989746517342</v>
      </c>
      <c r="S11" s="14" t="s">
        <v>21</v>
      </c>
    </row>
    <row r="12" spans="1:20" s="10" customFormat="1" ht="15">
      <c r="A12" s="40" t="s">
        <v>22</v>
      </c>
      <c r="B12" s="41">
        <v>475.70000000000005</v>
      </c>
      <c r="C12" s="41">
        <v>586.4</v>
      </c>
      <c r="D12" s="41">
        <v>752.52470600000004</v>
      </c>
      <c r="E12" s="41">
        <v>669.42846799999995</v>
      </c>
      <c r="F12" s="1">
        <f>SUM(F13:F14)</f>
        <v>910.58722000000012</v>
      </c>
      <c r="G12" s="1">
        <f t="shared" ref="G12:L12" si="11">SUM(G13:G14)</f>
        <v>812.66227900000001</v>
      </c>
      <c r="H12" s="1">
        <f t="shared" si="11"/>
        <v>796.60127067999997</v>
      </c>
      <c r="I12" s="37">
        <f>SUM(I13:I14)</f>
        <v>923.31431999999995</v>
      </c>
      <c r="J12" s="1">
        <f t="shared" si="11"/>
        <v>1195.3441013700001</v>
      </c>
      <c r="K12" s="1">
        <f t="shared" si="11"/>
        <v>1221.8113938666663</v>
      </c>
      <c r="L12" s="1">
        <f t="shared" si="11"/>
        <v>1051.8048410000001</v>
      </c>
      <c r="M12" s="1">
        <f t="shared" ref="M12:N12" si="12">SUM(M13:M14)</f>
        <v>1006.46146</v>
      </c>
      <c r="N12" s="75">
        <f t="shared" si="12"/>
        <v>925.59687199999996</v>
      </c>
      <c r="O12" s="43">
        <f t="shared" si="6"/>
        <v>5.5750657888655981</v>
      </c>
      <c r="P12" s="44">
        <f t="shared" si="10"/>
        <v>5.4407403507142194</v>
      </c>
      <c r="Q12" s="35">
        <f t="shared" si="2"/>
        <v>29.462315863356281</v>
      </c>
      <c r="R12" s="35">
        <f t="shared" si="3"/>
        <v>2.2141986116241963</v>
      </c>
      <c r="S12" s="14" t="s">
        <v>23</v>
      </c>
    </row>
    <row r="13" spans="1:20" s="10" customFormat="1" ht="15">
      <c r="A13" s="40" t="s">
        <v>24</v>
      </c>
      <c r="B13" s="41">
        <v>0</v>
      </c>
      <c r="C13" s="41">
        <v>0</v>
      </c>
      <c r="D13" s="41">
        <v>0</v>
      </c>
      <c r="E13" s="41">
        <v>0</v>
      </c>
      <c r="F13" s="13">
        <v>777.54432100000008</v>
      </c>
      <c r="G13" s="13">
        <v>800.809574</v>
      </c>
      <c r="H13" s="13">
        <v>787.97938867999994</v>
      </c>
      <c r="I13" s="42">
        <v>913.25778199999991</v>
      </c>
      <c r="J13" s="13">
        <v>1178.86784837</v>
      </c>
      <c r="K13" s="13">
        <v>1204.4066299999997</v>
      </c>
      <c r="L13" s="13">
        <v>1040.8446390000001</v>
      </c>
      <c r="M13" s="13">
        <v>1000.933759</v>
      </c>
      <c r="N13" s="76">
        <v>920.05467999999996</v>
      </c>
      <c r="O13" s="43">
        <f t="shared" si="6"/>
        <v>5.4982208081410384</v>
      </c>
      <c r="P13" s="44">
        <f t="shared" si="10"/>
        <v>5.3632367347392984</v>
      </c>
      <c r="Q13" s="45">
        <f t="shared" si="2"/>
        <v>29.083799952771727</v>
      </c>
      <c r="R13" s="45">
        <f t="shared" si="3"/>
        <v>2.1663820643943899</v>
      </c>
      <c r="S13" s="46" t="s">
        <v>57</v>
      </c>
    </row>
    <row r="14" spans="1:20" s="10" customFormat="1" ht="15">
      <c r="A14" s="40" t="s">
        <v>25</v>
      </c>
      <c r="B14" s="41">
        <v>0</v>
      </c>
      <c r="C14" s="41">
        <v>0</v>
      </c>
      <c r="D14" s="41">
        <v>0</v>
      </c>
      <c r="E14" s="41">
        <v>0</v>
      </c>
      <c r="F14" s="13">
        <v>133.04289900000001</v>
      </c>
      <c r="G14" s="13">
        <v>11.852705</v>
      </c>
      <c r="H14" s="13">
        <v>8.6218819999999994</v>
      </c>
      <c r="I14" s="42">
        <v>10.056538</v>
      </c>
      <c r="J14" s="13">
        <v>16.476253</v>
      </c>
      <c r="K14" s="13">
        <v>17.40476386666667</v>
      </c>
      <c r="L14" s="13">
        <v>10.960201999999999</v>
      </c>
      <c r="M14" s="13">
        <v>5.5277010000000004</v>
      </c>
      <c r="N14" s="76">
        <v>5.542192</v>
      </c>
      <c r="O14" s="43">
        <f t="shared" si="6"/>
        <v>7.684498072456003E-2</v>
      </c>
      <c r="P14" s="44">
        <f t="shared" si="10"/>
        <v>7.7503615974921933E-2</v>
      </c>
      <c r="Q14" s="45">
        <f t="shared" si="2"/>
        <v>63.836232707518235</v>
      </c>
      <c r="R14" s="45">
        <f t="shared" si="3"/>
        <v>5.6354491926451367</v>
      </c>
      <c r="S14" s="46" t="s">
        <v>58</v>
      </c>
    </row>
    <row r="15" spans="1:20" s="10" customFormat="1" ht="15">
      <c r="A15" s="40" t="s">
        <v>26</v>
      </c>
      <c r="B15" s="41">
        <v>825.69999999999993</v>
      </c>
      <c r="C15" s="47">
        <v>982.5</v>
      </c>
      <c r="D15" s="41">
        <v>1170.997198</v>
      </c>
      <c r="E15" s="41">
        <v>1192.3427610000001</v>
      </c>
      <c r="F15" s="13">
        <v>1364.5149330000002</v>
      </c>
      <c r="G15" s="13">
        <v>1525.6040499999999</v>
      </c>
      <c r="H15" s="13">
        <v>1725.97350061</v>
      </c>
      <c r="I15" s="42">
        <v>1982.1994500000001</v>
      </c>
      <c r="J15" s="13">
        <v>2681.8339682300002</v>
      </c>
      <c r="K15" s="13">
        <v>2566.6821326300001</v>
      </c>
      <c r="L15" s="13">
        <v>2527.2516209999999</v>
      </c>
      <c r="M15" s="13">
        <v>2647.4450709999996</v>
      </c>
      <c r="N15" s="76">
        <v>2507.3542530000004</v>
      </c>
      <c r="O15" s="43">
        <f t="shared" si="6"/>
        <v>12.508030775875115</v>
      </c>
      <c r="P15" s="44">
        <f t="shared" si="10"/>
        <v>11.429465395852416</v>
      </c>
      <c r="Q15" s="45">
        <f t="shared" si="2"/>
        <v>35.295868850634584</v>
      </c>
      <c r="R15" s="45">
        <f t="shared" si="3"/>
        <v>-4.2937719845498101</v>
      </c>
      <c r="S15" s="14" t="s">
        <v>27</v>
      </c>
    </row>
    <row r="16" spans="1:20" s="10" customFormat="1" ht="15">
      <c r="A16" s="40" t="s">
        <v>28</v>
      </c>
      <c r="B16" s="41">
        <v>142.1</v>
      </c>
      <c r="C16" s="41">
        <v>95.7</v>
      </c>
      <c r="D16" s="41">
        <v>95.117567000000008</v>
      </c>
      <c r="E16" s="41">
        <v>68.551455000000004</v>
      </c>
      <c r="F16" s="13">
        <v>192.31341699999999</v>
      </c>
      <c r="G16" s="13">
        <v>144.17275000000001</v>
      </c>
      <c r="H16" s="13">
        <v>184.99255256999999</v>
      </c>
      <c r="I16" s="42">
        <v>121.27882399999999</v>
      </c>
      <c r="J16" s="13">
        <v>821.70280199000001</v>
      </c>
      <c r="K16" s="13">
        <v>636.18461290333335</v>
      </c>
      <c r="L16" s="13">
        <v>1055.0802489999999</v>
      </c>
      <c r="M16" s="13">
        <v>1333.207449</v>
      </c>
      <c r="N16" s="76">
        <v>819.84490900000003</v>
      </c>
      <c r="O16" s="43">
        <f t="shared" si="6"/>
        <v>3.8324087388217762</v>
      </c>
      <c r="P16" s="44">
        <f t="shared" si="10"/>
        <v>2.8329374822513711</v>
      </c>
      <c r="Q16" s="45">
        <f t="shared" si="2"/>
        <v>577.5319671552885</v>
      </c>
      <c r="R16" s="45">
        <f t="shared" si="3"/>
        <v>-22.577285684967684</v>
      </c>
      <c r="S16" s="14" t="s">
        <v>29</v>
      </c>
    </row>
    <row r="17" spans="1:19" s="9" customFormat="1" ht="15">
      <c r="A17" s="7" t="s">
        <v>30</v>
      </c>
      <c r="B17" s="36">
        <f>SUM(B18:B21)</f>
        <v>4444.1000000000004</v>
      </c>
      <c r="C17" s="36">
        <f>SUM(C18:C21)</f>
        <v>5122.8</v>
      </c>
      <c r="D17" s="36">
        <f>SUM(D18:D21)</f>
        <v>5432.5708530000002</v>
      </c>
      <c r="E17" s="36">
        <f>SUM(E18:E21)</f>
        <v>5279.2611290000004</v>
      </c>
      <c r="F17" s="1">
        <f>SUM(F18:F22)</f>
        <v>4927.7102970000005</v>
      </c>
      <c r="G17" s="1">
        <f t="shared" ref="G17:L17" si="13">SUM(G18:G22)</f>
        <v>5307.4933679999995</v>
      </c>
      <c r="H17" s="1">
        <f t="shared" si="13"/>
        <v>6639.8532862999991</v>
      </c>
      <c r="I17" s="37">
        <f t="shared" si="13"/>
        <v>8245.5721549999998</v>
      </c>
      <c r="J17" s="1">
        <f t="shared" si="13"/>
        <v>10555.286755449999</v>
      </c>
      <c r="K17" s="1">
        <f t="shared" si="13"/>
        <v>11620.009727861905</v>
      </c>
      <c r="L17" s="1">
        <f t="shared" si="13"/>
        <v>10231.423353888156</v>
      </c>
      <c r="M17" s="1">
        <f t="shared" ref="M17:N17" si="14">SUM(M18:M22)</f>
        <v>10175.910541932399</v>
      </c>
      <c r="N17" s="75">
        <f t="shared" si="14"/>
        <v>9324.2777516110473</v>
      </c>
      <c r="O17" s="38">
        <f t="shared" si="6"/>
        <v>49.22968876872423</v>
      </c>
      <c r="P17" s="39">
        <f t="shared" si="10"/>
        <v>51.744038498440503</v>
      </c>
      <c r="Q17" s="35">
        <f t="shared" si="2"/>
        <v>28.011574661309837</v>
      </c>
      <c r="R17" s="35">
        <f t="shared" si="3"/>
        <v>10.08710608323511</v>
      </c>
      <c r="S17" s="16" t="s">
        <v>31</v>
      </c>
    </row>
    <row r="18" spans="1:19" s="10" customFormat="1" ht="15">
      <c r="A18" s="40" t="s">
        <v>32</v>
      </c>
      <c r="B18" s="41">
        <v>1313.8000000000002</v>
      </c>
      <c r="C18" s="41">
        <v>1630.5</v>
      </c>
      <c r="D18" s="41">
        <v>1935.0878400000001</v>
      </c>
      <c r="E18" s="41">
        <v>1643.137213</v>
      </c>
      <c r="F18" s="13">
        <v>1796.661055</v>
      </c>
      <c r="G18" s="13">
        <v>2203.168764</v>
      </c>
      <c r="H18" s="13">
        <v>2002.2797697200001</v>
      </c>
      <c r="I18" s="42">
        <v>2212.015058</v>
      </c>
      <c r="J18" s="13">
        <v>2933.05047655</v>
      </c>
      <c r="K18" s="13">
        <v>3008.3083914071431</v>
      </c>
      <c r="L18" s="13">
        <v>2807.0074716199997</v>
      </c>
      <c r="M18" s="13">
        <v>2678.0715149323996</v>
      </c>
      <c r="N18" s="76">
        <v>2570.5508596110481</v>
      </c>
      <c r="O18" s="43">
        <f t="shared" si="6"/>
        <v>13.679700556591742</v>
      </c>
      <c r="P18" s="44">
        <f t="shared" si="10"/>
        <v>13.396032263803862</v>
      </c>
      <c r="Q18" s="45">
        <f t="shared" si="2"/>
        <v>32.596316012510627</v>
      </c>
      <c r="R18" s="45">
        <f t="shared" si="3"/>
        <v>2.5658581554881765</v>
      </c>
      <c r="S18" s="14" t="s">
        <v>33</v>
      </c>
    </row>
    <row r="19" spans="1:19" s="10" customFormat="1" ht="15">
      <c r="A19" s="40" t="s">
        <v>34</v>
      </c>
      <c r="B19" s="41">
        <v>782.19999999999993</v>
      </c>
      <c r="C19" s="41">
        <v>1326.4</v>
      </c>
      <c r="D19" s="41">
        <v>1396.1558639999998</v>
      </c>
      <c r="E19" s="41">
        <v>990.87232799999992</v>
      </c>
      <c r="F19" s="13">
        <v>368.31382600000001</v>
      </c>
      <c r="G19" s="13">
        <v>296.66393599999998</v>
      </c>
      <c r="H19" s="13">
        <v>1391.70545487</v>
      </c>
      <c r="I19" s="42">
        <v>1866.0390179999999</v>
      </c>
      <c r="J19" s="13">
        <v>2525.9593407700004</v>
      </c>
      <c r="K19" s="13">
        <v>3824.0916610800014</v>
      </c>
      <c r="L19" s="13">
        <v>3312.4657520000001</v>
      </c>
      <c r="M19" s="13">
        <v>2333.3528849999998</v>
      </c>
      <c r="N19" s="76">
        <v>1973.825425</v>
      </c>
      <c r="O19" s="43">
        <f t="shared" si="6"/>
        <v>11.781034004059844</v>
      </c>
      <c r="P19" s="44">
        <f t="shared" si="10"/>
        <v>17.028724653993716</v>
      </c>
      <c r="Q19" s="45">
        <f t="shared" si="2"/>
        <v>35.364765495487639</v>
      </c>
      <c r="R19" s="45">
        <f t="shared" si="3"/>
        <v>51.39165541414792</v>
      </c>
      <c r="S19" s="14" t="s">
        <v>35</v>
      </c>
    </row>
    <row r="20" spans="1:19" s="10" customFormat="1" ht="15">
      <c r="A20" s="40" t="s">
        <v>36</v>
      </c>
      <c r="B20" s="41">
        <v>235.5</v>
      </c>
      <c r="C20" s="41">
        <v>640.6</v>
      </c>
      <c r="D20" s="41">
        <v>464.54098499999998</v>
      </c>
      <c r="E20" s="41">
        <v>578.16290700000002</v>
      </c>
      <c r="F20" s="13">
        <v>1135.3461150000001</v>
      </c>
      <c r="G20" s="13">
        <v>1578.1540559999999</v>
      </c>
      <c r="H20" s="13">
        <v>1959.2764668599998</v>
      </c>
      <c r="I20" s="42">
        <v>2925.2288200000003</v>
      </c>
      <c r="J20" s="13">
        <v>3222.1829934400002</v>
      </c>
      <c r="K20" s="13">
        <v>2668.3161553028576</v>
      </c>
      <c r="L20" s="13">
        <v>2072.537241</v>
      </c>
      <c r="M20" s="13">
        <v>2480.4561480000002</v>
      </c>
      <c r="N20" s="76">
        <v>2623.8229510000001</v>
      </c>
      <c r="O20" s="43">
        <f t="shared" si="6"/>
        <v>15.028209995434153</v>
      </c>
      <c r="P20" s="44">
        <f t="shared" si="10"/>
        <v>11.882042881164329</v>
      </c>
      <c r="Q20" s="45">
        <f t="shared" si="2"/>
        <v>10.151485292695828</v>
      </c>
      <c r="R20" s="45">
        <f t="shared" si="3"/>
        <v>-17.189180107546743</v>
      </c>
      <c r="S20" s="14" t="s">
        <v>37</v>
      </c>
    </row>
    <row r="21" spans="1:19" s="10" customFormat="1" ht="15">
      <c r="A21" s="40" t="s">
        <v>68</v>
      </c>
      <c r="B21" s="41">
        <v>2112.6</v>
      </c>
      <c r="C21" s="41">
        <v>1525.3000000000002</v>
      </c>
      <c r="D21" s="41">
        <v>1636.7861640000001</v>
      </c>
      <c r="E21" s="41">
        <v>2067.0886810000002</v>
      </c>
      <c r="F21" s="13">
        <v>1627.3893010000002</v>
      </c>
      <c r="G21" s="13">
        <v>1229.5066119999999</v>
      </c>
      <c r="H21" s="13">
        <v>979.91802029999997</v>
      </c>
      <c r="I21" s="42">
        <v>772.59129199999995</v>
      </c>
      <c r="J21" s="13">
        <v>0</v>
      </c>
      <c r="K21" s="13">
        <v>0</v>
      </c>
      <c r="L21" s="13">
        <v>0</v>
      </c>
      <c r="M21" s="13">
        <v>0</v>
      </c>
      <c r="N21" s="76">
        <v>0</v>
      </c>
      <c r="O21" s="43">
        <f t="shared" si="6"/>
        <v>0</v>
      </c>
      <c r="P21" s="44">
        <f t="shared" si="10"/>
        <v>0</v>
      </c>
      <c r="Q21" s="43">
        <f t="shared" ref="Q21" si="15">+(L21/$J$9)*100</f>
        <v>0</v>
      </c>
      <c r="R21" s="43">
        <f t="shared" ref="R21" si="16">+(M21/$K$9)*100</f>
        <v>0</v>
      </c>
      <c r="S21" s="14" t="s">
        <v>38</v>
      </c>
    </row>
    <row r="22" spans="1:19" s="10" customFormat="1" ht="17.25">
      <c r="A22" s="40" t="s">
        <v>60</v>
      </c>
      <c r="B22" s="41"/>
      <c r="C22" s="41"/>
      <c r="D22" s="41"/>
      <c r="E22" s="41"/>
      <c r="F22" s="13"/>
      <c r="G22" s="17">
        <v>0</v>
      </c>
      <c r="H22" s="13">
        <v>306.67357454999978</v>
      </c>
      <c r="I22" s="42">
        <v>469.69796699999995</v>
      </c>
      <c r="J22" s="13">
        <v>1874.0939446899999</v>
      </c>
      <c r="K22" s="13">
        <v>2119.2935200719016</v>
      </c>
      <c r="L22" s="13">
        <v>2039.4128892681556</v>
      </c>
      <c r="M22" s="13">
        <v>2684.029994</v>
      </c>
      <c r="N22" s="76">
        <v>2156.078516</v>
      </c>
      <c r="O22" s="43">
        <f t="shared" si="6"/>
        <v>8.7407442126384982</v>
      </c>
      <c r="P22" s="44">
        <f t="shared" si="10"/>
        <v>9.4372386994785824</v>
      </c>
      <c r="Q22" s="45">
        <f t="shared" si="2"/>
        <v>298.99979909642661</v>
      </c>
      <c r="R22" s="45">
        <f t="shared" si="3"/>
        <v>13.08363308449092</v>
      </c>
      <c r="S22" s="48" t="s">
        <v>61</v>
      </c>
    </row>
    <row r="23" spans="1:19" s="9" customFormat="1" ht="15">
      <c r="A23" s="7" t="s">
        <v>39</v>
      </c>
      <c r="B23" s="36">
        <f t="shared" ref="B23:L23" si="17">SUM(B24:B29)</f>
        <v>596.20000000000005</v>
      </c>
      <c r="C23" s="36">
        <f t="shared" si="17"/>
        <v>1231.0999999999999</v>
      </c>
      <c r="D23" s="36">
        <f t="shared" si="17"/>
        <v>837.51612</v>
      </c>
      <c r="E23" s="36">
        <f t="shared" si="17"/>
        <v>440.44009790000001</v>
      </c>
      <c r="F23" s="1">
        <f t="shared" si="17"/>
        <v>1128.4559589999999</v>
      </c>
      <c r="G23" s="1">
        <f t="shared" si="17"/>
        <v>871.33807899999999</v>
      </c>
      <c r="H23" s="1">
        <f t="shared" si="17"/>
        <v>823.04936508999992</v>
      </c>
      <c r="I23" s="37">
        <f t="shared" si="17"/>
        <v>1098.7585779999999</v>
      </c>
      <c r="J23" s="1">
        <f t="shared" si="17"/>
        <v>1215.5298800600001</v>
      </c>
      <c r="K23" s="1">
        <f t="shared" ref="K23" si="18">SUM(K24:K29)</f>
        <v>1871.2094047533335</v>
      </c>
      <c r="L23" s="1">
        <f t="shared" si="17"/>
        <v>3513.4952130394777</v>
      </c>
      <c r="M23" s="1">
        <f t="shared" ref="M23:N23" si="19">SUM(M24:M29)</f>
        <v>3616.4582844999995</v>
      </c>
      <c r="N23" s="75">
        <f t="shared" si="19"/>
        <v>3975.4136939</v>
      </c>
      <c r="O23" s="38">
        <f t="shared" si="6"/>
        <v>5.6692119381352946</v>
      </c>
      <c r="P23" s="39">
        <f t="shared" si="10"/>
        <v>8.3325172479021781</v>
      </c>
      <c r="Q23" s="35">
        <f t="shared" si="2"/>
        <v>10.627566819323642</v>
      </c>
      <c r="R23" s="35">
        <f t="shared" si="3"/>
        <v>53.941868106193169</v>
      </c>
      <c r="S23" s="16" t="s">
        <v>40</v>
      </c>
    </row>
    <row r="24" spans="1:19" s="10" customFormat="1" ht="15">
      <c r="A24" s="40" t="s">
        <v>41</v>
      </c>
      <c r="B24" s="41">
        <v>179.9</v>
      </c>
      <c r="C24" s="41">
        <v>159.79999999999998</v>
      </c>
      <c r="D24" s="41">
        <v>58.986502000000002</v>
      </c>
      <c r="E24" s="41">
        <v>146.70229599999999</v>
      </c>
      <c r="F24" s="13">
        <v>93.345458000000008</v>
      </c>
      <c r="G24" s="13">
        <v>70.257467000000005</v>
      </c>
      <c r="H24" s="13">
        <v>70.500645059999997</v>
      </c>
      <c r="I24" s="42">
        <v>93.968531999999996</v>
      </c>
      <c r="J24" s="13">
        <v>67.21094626</v>
      </c>
      <c r="K24" s="13">
        <v>74.343499806666671</v>
      </c>
      <c r="L24" s="13">
        <v>127.0185127</v>
      </c>
      <c r="M24" s="13">
        <v>66.818714</v>
      </c>
      <c r="N24" s="76">
        <v>56.689094999999995</v>
      </c>
      <c r="O24" s="43">
        <f t="shared" si="6"/>
        <v>0.31347077941988022</v>
      </c>
      <c r="P24" s="44">
        <f t="shared" si="10"/>
        <v>0.33105246950707895</v>
      </c>
      <c r="Q24" s="45">
        <f t="shared" si="2"/>
        <v>-28.475049221796933</v>
      </c>
      <c r="R24" s="45">
        <f t="shared" si="3"/>
        <v>10.61219034035763</v>
      </c>
      <c r="S24" s="14" t="s">
        <v>42</v>
      </c>
    </row>
    <row r="25" spans="1:19" s="10" customFormat="1" ht="15">
      <c r="A25" s="40" t="s">
        <v>43</v>
      </c>
      <c r="B25" s="41">
        <v>172.2</v>
      </c>
      <c r="C25" s="41">
        <v>837.8</v>
      </c>
      <c r="D25" s="41">
        <v>106.089237</v>
      </c>
      <c r="E25" s="41">
        <v>120.04688899999999</v>
      </c>
      <c r="F25" s="13">
        <v>471.08129199999996</v>
      </c>
      <c r="G25" s="13">
        <v>607.73237199999994</v>
      </c>
      <c r="H25" s="13">
        <v>404.45810542000004</v>
      </c>
      <c r="I25" s="42">
        <v>735.60389299999997</v>
      </c>
      <c r="J25" s="13">
        <v>846.79535526999996</v>
      </c>
      <c r="K25" s="13">
        <v>1267.9258371866667</v>
      </c>
      <c r="L25" s="13">
        <v>2742.7334540394772</v>
      </c>
      <c r="M25" s="13">
        <v>2702.702906</v>
      </c>
      <c r="N25" s="76">
        <v>2792.9488190000002</v>
      </c>
      <c r="O25" s="43">
        <f t="shared" si="6"/>
        <v>3.9494400063758492</v>
      </c>
      <c r="P25" s="44">
        <f t="shared" si="10"/>
        <v>5.6460885032861468</v>
      </c>
      <c r="Q25" s="45">
        <f t="shared" si="2"/>
        <v>15.115670720084129</v>
      </c>
      <c r="R25" s="45">
        <f t="shared" si="3"/>
        <v>49.732261672879588</v>
      </c>
      <c r="S25" s="14" t="s">
        <v>44</v>
      </c>
    </row>
    <row r="26" spans="1:19" s="10" customFormat="1" ht="15">
      <c r="A26" s="40" t="s">
        <v>45</v>
      </c>
      <c r="B26" s="41">
        <v>88.9</v>
      </c>
      <c r="C26" s="41">
        <v>35.700000000000003</v>
      </c>
      <c r="D26" s="41">
        <v>62.029623999999998</v>
      </c>
      <c r="E26" s="41">
        <v>43.271078000000003</v>
      </c>
      <c r="F26" s="13">
        <v>59.675843</v>
      </c>
      <c r="G26" s="13">
        <v>66.77496099999999</v>
      </c>
      <c r="H26" s="13">
        <v>31.982870659999989</v>
      </c>
      <c r="I26" s="42">
        <v>75.050148000000007</v>
      </c>
      <c r="J26" s="13">
        <v>52.374541500000007</v>
      </c>
      <c r="K26" s="13">
        <v>51.673154619999991</v>
      </c>
      <c r="L26" s="13">
        <v>61.577420000000004</v>
      </c>
      <c r="M26" s="13">
        <v>61.918170000000003</v>
      </c>
      <c r="N26" s="76">
        <v>62.097068</v>
      </c>
      <c r="O26" s="43">
        <f t="shared" si="6"/>
        <v>0.24427402468420273</v>
      </c>
      <c r="P26" s="44">
        <f t="shared" si="10"/>
        <v>0.23010115865756045</v>
      </c>
      <c r="Q26" s="45">
        <f t="shared" si="2"/>
        <v>-30.21393975132467</v>
      </c>
      <c r="R26" s="45">
        <f t="shared" si="3"/>
        <v>-1.3391752174098048</v>
      </c>
      <c r="S26" s="14" t="s">
        <v>46</v>
      </c>
    </row>
    <row r="27" spans="1:19" s="9" customFormat="1" ht="15">
      <c r="A27" s="40" t="s">
        <v>47</v>
      </c>
      <c r="B27" s="41">
        <v>108.2</v>
      </c>
      <c r="C27" s="41">
        <v>93.3</v>
      </c>
      <c r="D27" s="41">
        <v>78.466514000000004</v>
      </c>
      <c r="E27" s="41">
        <v>46.860301</v>
      </c>
      <c r="F27" s="13">
        <v>33.749803</v>
      </c>
      <c r="G27" s="13">
        <v>52.519985999999996</v>
      </c>
      <c r="H27" s="13">
        <v>33.124519409999998</v>
      </c>
      <c r="I27" s="42">
        <v>49.642775</v>
      </c>
      <c r="J27" s="13">
        <v>103.70914999999999</v>
      </c>
      <c r="K27" s="13">
        <v>146.29904588333332</v>
      </c>
      <c r="L27" s="13">
        <v>201.358023</v>
      </c>
      <c r="M27" s="13">
        <v>93.496478999999994</v>
      </c>
      <c r="N27" s="76">
        <v>93.537668999999994</v>
      </c>
      <c r="O27" s="43">
        <f t="shared" si="6"/>
        <v>0.4836978184730778</v>
      </c>
      <c r="P27" s="44">
        <f t="shared" si="10"/>
        <v>0.6514713532744365</v>
      </c>
      <c r="Q27" s="45">
        <f t="shared" si="2"/>
        <v>108.91086366545784</v>
      </c>
      <c r="R27" s="45">
        <f t="shared" si="3"/>
        <v>41.066671439630277</v>
      </c>
      <c r="S27" s="14" t="s">
        <v>48</v>
      </c>
    </row>
    <row r="28" spans="1:19" s="9" customFormat="1" ht="15">
      <c r="A28" s="40" t="s">
        <v>49</v>
      </c>
      <c r="B28" s="41">
        <v>42.8</v>
      </c>
      <c r="C28" s="41">
        <v>92.3</v>
      </c>
      <c r="D28" s="41">
        <v>505.93436100000002</v>
      </c>
      <c r="E28" s="41">
        <v>52.495815900000004</v>
      </c>
      <c r="F28" s="13">
        <v>80.384180000000001</v>
      </c>
      <c r="G28" s="13">
        <v>54.566487000000002</v>
      </c>
      <c r="H28" s="13">
        <v>168.21187463999996</v>
      </c>
      <c r="I28" s="42">
        <v>51.606206</v>
      </c>
      <c r="J28" s="13">
        <v>131.16637020000002</v>
      </c>
      <c r="K28" s="13">
        <v>246.01188685666668</v>
      </c>
      <c r="L28" s="13">
        <v>187.59796549999999</v>
      </c>
      <c r="M28" s="13">
        <v>204.61798350000001</v>
      </c>
      <c r="N28" s="76">
        <v>278.01087590000003</v>
      </c>
      <c r="O28" s="43">
        <f t="shared" si="6"/>
        <v>0.61175785475796629</v>
      </c>
      <c r="P28" s="44">
        <f t="shared" si="10"/>
        <v>1.0954937941284855</v>
      </c>
      <c r="Q28" s="45">
        <f t="shared" si="2"/>
        <v>154.1678227614718</v>
      </c>
      <c r="R28" s="45">
        <f t="shared" si="3"/>
        <v>87.557135629774891</v>
      </c>
      <c r="S28" s="14" t="s">
        <v>50</v>
      </c>
    </row>
    <row r="29" spans="1:19" s="10" customFormat="1" ht="15">
      <c r="A29" s="40" t="s">
        <v>51</v>
      </c>
      <c r="B29" s="41">
        <v>4.2</v>
      </c>
      <c r="C29" s="41">
        <v>12.2</v>
      </c>
      <c r="D29" s="41">
        <v>26.009882000000001</v>
      </c>
      <c r="E29" s="41">
        <v>31.063718000000001</v>
      </c>
      <c r="F29" s="13">
        <v>390.21938299999999</v>
      </c>
      <c r="G29" s="13">
        <v>19.486806000000001</v>
      </c>
      <c r="H29" s="13">
        <v>114.7713499</v>
      </c>
      <c r="I29" s="42">
        <v>92.887023999999997</v>
      </c>
      <c r="J29" s="13">
        <v>14.27351683</v>
      </c>
      <c r="K29" s="13">
        <v>84.955980399999987</v>
      </c>
      <c r="L29" s="13">
        <v>193.2098378</v>
      </c>
      <c r="M29" s="13">
        <v>486.90403199999997</v>
      </c>
      <c r="N29" s="76">
        <v>692.13016700000003</v>
      </c>
      <c r="O29" s="43">
        <f t="shared" si="6"/>
        <v>6.6571454424318027E-2</v>
      </c>
      <c r="P29" s="44">
        <f t="shared" si="10"/>
        <v>0.37830996904846981</v>
      </c>
      <c r="Q29" s="45">
        <f t="shared" si="2"/>
        <v>-84.63346524052703</v>
      </c>
      <c r="R29" s="45">
        <f t="shared" si="3"/>
        <v>495.20005764409768</v>
      </c>
      <c r="S29" s="14" t="s">
        <v>52</v>
      </c>
    </row>
    <row r="30" spans="1:19" s="9" customFormat="1" ht="15">
      <c r="A30" s="7" t="s">
        <v>53</v>
      </c>
      <c r="B30" s="36">
        <v>234.3</v>
      </c>
      <c r="C30" s="36">
        <v>279.99667199999999</v>
      </c>
      <c r="D30" s="36">
        <v>617.87877800000001</v>
      </c>
      <c r="E30" s="36">
        <v>662.05533700000001</v>
      </c>
      <c r="F30" s="1">
        <v>725.8</v>
      </c>
      <c r="G30" s="1">
        <v>1107.0812289999999</v>
      </c>
      <c r="H30" s="1">
        <v>956.72619699999996</v>
      </c>
      <c r="I30" s="37">
        <v>978.34736899999996</v>
      </c>
      <c r="J30" s="1">
        <v>1347.6498610000001</v>
      </c>
      <c r="K30" s="1">
        <v>1658.17213898509</v>
      </c>
      <c r="L30" s="1">
        <v>1411.3721829999999</v>
      </c>
      <c r="M30" s="1">
        <v>1615.403597</v>
      </c>
      <c r="N30" s="75">
        <v>1677.9932249999999</v>
      </c>
      <c r="O30" s="38">
        <f t="shared" si="6"/>
        <v>6.2854174181472571</v>
      </c>
      <c r="P30" s="39">
        <f t="shared" si="10"/>
        <v>7.3838598250875407</v>
      </c>
      <c r="Q30" s="35">
        <f t="shared" si="2"/>
        <v>37.747583701019806</v>
      </c>
      <c r="R30" s="35">
        <f t="shared" si="3"/>
        <v>23.041762327988693</v>
      </c>
      <c r="S30" s="16" t="s">
        <v>54</v>
      </c>
    </row>
    <row r="31" spans="1:19" s="9" customFormat="1" ht="15">
      <c r="A31" s="7" t="s">
        <v>7</v>
      </c>
      <c r="B31" s="36">
        <v>-124.5</v>
      </c>
      <c r="C31" s="36">
        <v>-166.4</v>
      </c>
      <c r="D31" s="36">
        <v>-150.836333</v>
      </c>
      <c r="E31" s="36">
        <v>-181.3</v>
      </c>
      <c r="F31" s="1">
        <v>-399</v>
      </c>
      <c r="G31" s="1">
        <v>-90.231635999999995</v>
      </c>
      <c r="H31" s="1">
        <v>-135.485007</v>
      </c>
      <c r="I31" s="37">
        <v>-122.16204999999999</v>
      </c>
      <c r="J31" s="1">
        <v>-104.018246</v>
      </c>
      <c r="K31" s="1">
        <v>-21.731932666666651</v>
      </c>
      <c r="L31" s="1">
        <v>27.035654192000024</v>
      </c>
      <c r="M31" s="1">
        <v>-53.120010646079976</v>
      </c>
      <c r="N31" s="75">
        <v>-54.41174853254077</v>
      </c>
      <c r="O31" s="38">
        <f t="shared" si="6"/>
        <v>-0.48513943727815678</v>
      </c>
      <c r="P31" s="39">
        <f t="shared" si="10"/>
        <v>-9.6772548981026094E-2</v>
      </c>
      <c r="Q31" s="35">
        <f t="shared" si="2"/>
        <v>-14.85224257451474</v>
      </c>
      <c r="R31" s="35">
        <f t="shared" si="3"/>
        <v>-79.107576312460935</v>
      </c>
      <c r="S31" s="16" t="s">
        <v>8</v>
      </c>
    </row>
    <row r="32" spans="1:19" s="10" customFormat="1" ht="15">
      <c r="A32" s="40" t="s">
        <v>12</v>
      </c>
      <c r="B32" s="49"/>
      <c r="C32" s="49"/>
      <c r="D32" s="49"/>
      <c r="E32" s="49"/>
      <c r="F32" s="8"/>
      <c r="G32" s="1"/>
      <c r="H32" s="1"/>
      <c r="I32" s="37"/>
      <c r="J32" s="1"/>
      <c r="K32" s="1"/>
      <c r="L32" s="1"/>
      <c r="M32" s="1"/>
      <c r="N32" s="75"/>
      <c r="O32" s="43"/>
      <c r="P32" s="39"/>
      <c r="Q32" s="45"/>
      <c r="R32" s="45"/>
      <c r="S32" s="14" t="s">
        <v>13</v>
      </c>
    </row>
    <row r="33" spans="1:19" ht="17.25">
      <c r="A33" s="50" t="s">
        <v>55</v>
      </c>
      <c r="B33" s="51">
        <v>1007.8</v>
      </c>
      <c r="C33" s="51">
        <v>390.30930799999999</v>
      </c>
      <c r="D33" s="52">
        <v>584.5</v>
      </c>
      <c r="E33" s="52">
        <v>877.1</v>
      </c>
      <c r="F33" s="53">
        <v>987.6</v>
      </c>
      <c r="G33" s="53">
        <v>1145.8582073000002</v>
      </c>
      <c r="H33" s="53">
        <v>1187.19235</v>
      </c>
      <c r="I33" s="54">
        <v>188.39416600000001</v>
      </c>
      <c r="J33" s="53">
        <v>635.05139099999997</v>
      </c>
      <c r="K33" s="53">
        <v>968.64821500000005</v>
      </c>
      <c r="L33" s="53">
        <v>2827.1556740000001</v>
      </c>
      <c r="M33" s="53">
        <v>3911.9502000000002</v>
      </c>
      <c r="N33" s="77">
        <v>4085.20597</v>
      </c>
      <c r="O33" s="55">
        <f>+(J33/$J$9)*100</f>
        <v>2.9618695403924682</v>
      </c>
      <c r="P33" s="56">
        <f t="shared" si="10"/>
        <v>4.3134017700713354</v>
      </c>
      <c r="Q33" s="57">
        <f>+((J33/I33)-1)*100</f>
        <v>237.08654810467959</v>
      </c>
      <c r="R33" s="57">
        <f>+((K33/J33)-1)*100</f>
        <v>52.530681568100078</v>
      </c>
      <c r="S33" s="58" t="s">
        <v>56</v>
      </c>
    </row>
    <row r="34" spans="1:19" ht="15">
      <c r="A34" s="11" t="s">
        <v>9</v>
      </c>
      <c r="B34" s="59"/>
      <c r="C34" s="59"/>
      <c r="D34" s="59"/>
      <c r="E34" s="59"/>
      <c r="F34" s="59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14" t="s">
        <v>10</v>
      </c>
    </row>
    <row r="35" spans="1:19" s="71" customFormat="1" ht="11.25">
      <c r="A35" s="67" t="s">
        <v>69</v>
      </c>
      <c r="B35" s="68"/>
      <c r="C35" s="68"/>
      <c r="D35" s="68"/>
      <c r="E35" s="68"/>
      <c r="F35" s="68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70"/>
    </row>
    <row r="36" spans="1:19"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1:19">
      <c r="B37" s="62"/>
      <c r="C37" s="62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1:19">
      <c r="B38" s="63"/>
      <c r="C38" s="63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1:19"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1:19">
      <c r="O40" s="61"/>
      <c r="P40" s="61"/>
    </row>
    <row r="41" spans="1:19">
      <c r="O41" s="61"/>
      <c r="P41" s="61"/>
    </row>
    <row r="42" spans="1:19">
      <c r="G42" s="61"/>
      <c r="H42" s="61"/>
      <c r="I42" s="61"/>
      <c r="J42" s="61"/>
      <c r="K42" s="61"/>
      <c r="L42" s="61"/>
      <c r="M42" s="61"/>
      <c r="N42" s="61"/>
      <c r="O42" s="61"/>
      <c r="P42" s="61"/>
    </row>
    <row r="43" spans="1:19">
      <c r="G43" s="61"/>
      <c r="H43" s="61"/>
      <c r="I43" s="61"/>
      <c r="J43" s="61"/>
      <c r="K43" s="61"/>
      <c r="L43" s="61"/>
      <c r="M43" s="61"/>
      <c r="N43" s="61"/>
      <c r="O43" s="61"/>
      <c r="P43" s="61"/>
    </row>
    <row r="44" spans="1:19">
      <c r="G44" s="61"/>
      <c r="H44" s="61"/>
      <c r="I44" s="61"/>
      <c r="J44" s="61"/>
      <c r="K44" s="61"/>
      <c r="L44" s="61"/>
      <c r="M44" s="61"/>
      <c r="N44" s="61"/>
      <c r="O44" s="61"/>
      <c r="P44" s="61"/>
    </row>
    <row r="45" spans="1:19">
      <c r="G45" s="61"/>
      <c r="H45" s="61"/>
      <c r="I45" s="61"/>
      <c r="J45" s="61"/>
      <c r="K45" s="61"/>
      <c r="L45" s="61"/>
      <c r="M45" s="61"/>
      <c r="N45" s="61"/>
      <c r="O45" s="61"/>
      <c r="P45" s="61"/>
    </row>
    <row r="46" spans="1:19">
      <c r="G46" s="61"/>
      <c r="H46" s="61"/>
      <c r="I46" s="61"/>
      <c r="J46" s="61"/>
      <c r="K46" s="61"/>
      <c r="L46" s="61"/>
      <c r="M46" s="61"/>
      <c r="N46" s="61"/>
      <c r="O46" s="61"/>
      <c r="P46" s="61"/>
    </row>
    <row r="47" spans="1:19">
      <c r="G47" s="61"/>
      <c r="H47" s="61"/>
      <c r="I47" s="61"/>
      <c r="J47" s="61"/>
      <c r="K47" s="61"/>
      <c r="L47" s="61"/>
      <c r="M47" s="61"/>
      <c r="N47" s="61"/>
      <c r="O47" s="61"/>
      <c r="P47" s="61"/>
    </row>
    <row r="48" spans="1:19">
      <c r="G48" s="61"/>
      <c r="H48" s="61"/>
      <c r="I48" s="61"/>
      <c r="J48" s="61"/>
      <c r="K48" s="61"/>
      <c r="L48" s="61"/>
      <c r="M48" s="61"/>
      <c r="N48" s="61"/>
      <c r="O48" s="61"/>
      <c r="P48" s="61"/>
    </row>
    <row r="49" spans="7:16">
      <c r="G49" s="61"/>
      <c r="H49" s="61"/>
      <c r="I49" s="61"/>
      <c r="J49" s="61"/>
      <c r="K49" s="61"/>
      <c r="L49" s="61"/>
      <c r="M49" s="61"/>
      <c r="N49" s="61"/>
      <c r="O49" s="61"/>
      <c r="P49" s="61"/>
    </row>
    <row r="50" spans="7:16">
      <c r="G50" s="61"/>
      <c r="H50" s="61"/>
      <c r="I50" s="61"/>
      <c r="J50" s="61"/>
      <c r="K50" s="61"/>
      <c r="L50" s="61"/>
      <c r="M50" s="61"/>
      <c r="N50" s="61"/>
      <c r="O50" s="61"/>
      <c r="P50" s="61"/>
    </row>
    <row r="51" spans="7:16">
      <c r="G51" s="61"/>
      <c r="H51" s="61"/>
      <c r="I51" s="61"/>
      <c r="J51" s="61"/>
      <c r="K51" s="61"/>
      <c r="L51" s="61"/>
      <c r="M51" s="61"/>
      <c r="N51" s="61"/>
      <c r="O51" s="61"/>
      <c r="P51" s="61"/>
    </row>
    <row r="52" spans="7:16">
      <c r="G52" s="61"/>
      <c r="H52" s="61"/>
      <c r="I52" s="61"/>
      <c r="J52" s="61"/>
      <c r="K52" s="61"/>
      <c r="L52" s="61"/>
      <c r="M52" s="61"/>
      <c r="N52" s="61"/>
      <c r="O52" s="61"/>
      <c r="P52" s="61"/>
    </row>
    <row r="53" spans="7:16">
      <c r="G53" s="61"/>
      <c r="H53" s="61"/>
      <c r="I53" s="61"/>
      <c r="J53" s="61"/>
      <c r="K53" s="61"/>
      <c r="L53" s="61"/>
      <c r="M53" s="61"/>
      <c r="N53" s="61"/>
      <c r="O53" s="61"/>
      <c r="P53" s="61"/>
    </row>
    <row r="54" spans="7:16">
      <c r="G54" s="61"/>
      <c r="H54" s="61"/>
      <c r="I54" s="61"/>
      <c r="J54" s="61"/>
      <c r="K54" s="61"/>
      <c r="L54" s="61"/>
      <c r="M54" s="61"/>
      <c r="N54" s="61"/>
      <c r="O54" s="61"/>
      <c r="P54" s="61"/>
    </row>
    <row r="55" spans="7:16">
      <c r="G55" s="61"/>
      <c r="H55" s="61"/>
      <c r="I55" s="61"/>
      <c r="J55" s="61"/>
      <c r="K55" s="61"/>
      <c r="L55" s="61"/>
      <c r="M55" s="61"/>
      <c r="N55" s="61"/>
      <c r="O55" s="61"/>
      <c r="P55" s="61"/>
    </row>
    <row r="56" spans="7:16">
      <c r="G56" s="61"/>
      <c r="H56" s="61"/>
      <c r="I56" s="61"/>
      <c r="J56" s="61"/>
      <c r="K56" s="61"/>
      <c r="L56" s="61"/>
      <c r="M56" s="61"/>
      <c r="N56" s="61"/>
      <c r="O56" s="61"/>
      <c r="P56" s="61"/>
    </row>
    <row r="57" spans="7:16">
      <c r="G57" s="61"/>
      <c r="H57" s="61"/>
      <c r="I57" s="61"/>
      <c r="J57" s="61"/>
      <c r="K57" s="61"/>
      <c r="L57" s="61"/>
      <c r="M57" s="61"/>
      <c r="N57" s="61"/>
      <c r="O57" s="61"/>
      <c r="P57" s="61"/>
    </row>
    <row r="58" spans="7:16">
      <c r="G58" s="61"/>
      <c r="H58" s="61"/>
      <c r="I58" s="61"/>
      <c r="J58" s="61"/>
      <c r="K58" s="61"/>
      <c r="L58" s="61"/>
      <c r="M58" s="61"/>
      <c r="N58" s="61"/>
      <c r="O58" s="61"/>
      <c r="P58" s="61"/>
    </row>
    <row r="59" spans="7:16">
      <c r="G59" s="61"/>
      <c r="H59" s="61"/>
      <c r="I59" s="61"/>
      <c r="J59" s="61"/>
      <c r="K59" s="61"/>
      <c r="L59" s="61"/>
      <c r="M59" s="61"/>
      <c r="N59" s="61"/>
      <c r="O59" s="61"/>
      <c r="P59" s="61"/>
    </row>
    <row r="60" spans="7:16">
      <c r="G60" s="61"/>
      <c r="H60" s="61"/>
      <c r="I60" s="61"/>
      <c r="J60" s="61"/>
      <c r="K60" s="61"/>
      <c r="L60" s="61"/>
      <c r="M60" s="61"/>
      <c r="N60" s="61"/>
      <c r="O60" s="61"/>
      <c r="P60" s="61"/>
    </row>
    <row r="61" spans="7:16">
      <c r="G61" s="61"/>
      <c r="H61" s="61"/>
      <c r="I61" s="61"/>
      <c r="J61" s="61"/>
      <c r="K61" s="61"/>
      <c r="L61" s="61"/>
      <c r="M61" s="61"/>
      <c r="N61" s="61"/>
      <c r="O61" s="61"/>
      <c r="P61" s="61"/>
    </row>
    <row r="62" spans="7:16">
      <c r="G62" s="61"/>
      <c r="H62" s="61"/>
      <c r="I62" s="61"/>
      <c r="J62" s="61"/>
      <c r="K62" s="61"/>
      <c r="L62" s="61"/>
      <c r="M62" s="61"/>
      <c r="N62" s="61"/>
      <c r="O62" s="61"/>
      <c r="P62" s="61"/>
    </row>
    <row r="63" spans="7:16">
      <c r="G63" s="61"/>
      <c r="H63" s="61"/>
      <c r="I63" s="61"/>
      <c r="J63" s="61"/>
      <c r="K63" s="61"/>
      <c r="L63" s="61"/>
      <c r="M63" s="61"/>
      <c r="N63" s="61"/>
      <c r="O63" s="61"/>
      <c r="P63" s="61"/>
    </row>
    <row r="64" spans="7:16">
      <c r="G64" s="61"/>
      <c r="H64" s="61"/>
      <c r="I64" s="61"/>
      <c r="J64" s="61"/>
      <c r="K64" s="61"/>
      <c r="L64" s="61"/>
      <c r="M64" s="61"/>
      <c r="N64" s="61"/>
      <c r="O64" s="61"/>
      <c r="P64" s="61"/>
    </row>
    <row r="65" spans="7:16">
      <c r="G65" s="61"/>
      <c r="H65" s="61"/>
      <c r="I65" s="61"/>
      <c r="J65" s="61"/>
      <c r="K65" s="61"/>
      <c r="L65" s="61"/>
      <c r="M65" s="61"/>
      <c r="N65" s="61"/>
      <c r="O65" s="61"/>
      <c r="P65" s="61"/>
    </row>
    <row r="66" spans="7:16">
      <c r="G66" s="61"/>
      <c r="H66" s="61"/>
      <c r="I66" s="61"/>
      <c r="J66" s="61"/>
      <c r="K66" s="61"/>
      <c r="L66" s="61"/>
      <c r="M66" s="61"/>
      <c r="N66" s="61"/>
      <c r="O66" s="61"/>
      <c r="P66" s="61"/>
    </row>
    <row r="67" spans="7:16">
      <c r="G67" s="61"/>
      <c r="H67" s="61"/>
      <c r="I67" s="61"/>
      <c r="J67" s="61"/>
      <c r="K67" s="61"/>
      <c r="L67" s="61"/>
      <c r="M67" s="61"/>
      <c r="N67" s="61"/>
      <c r="O67" s="61"/>
      <c r="P67" s="61"/>
    </row>
    <row r="68" spans="7:16">
      <c r="G68" s="61"/>
      <c r="H68" s="61"/>
      <c r="I68" s="61"/>
      <c r="J68" s="61"/>
      <c r="K68" s="61"/>
      <c r="L68" s="61"/>
      <c r="M68" s="61"/>
      <c r="N68" s="61"/>
      <c r="O68" s="61"/>
      <c r="P68" s="61"/>
    </row>
  </sheetData>
  <mergeCells count="9">
    <mergeCell ref="A1:S1"/>
    <mergeCell ref="A2:S2"/>
    <mergeCell ref="A3:S3"/>
    <mergeCell ref="A4:S4"/>
    <mergeCell ref="A5:A7"/>
    <mergeCell ref="O5:P5"/>
    <mergeCell ref="I5:N5"/>
    <mergeCell ref="Q5:R5"/>
    <mergeCell ref="Q6:R6"/>
  </mergeCells>
  <pageMargins left="0.17" right="0.16" top="0.75" bottom="0.75" header="0.3" footer="0.3"/>
  <pageSetup paperSize="9" scale="6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13.5</vt:lpstr>
      <vt:lpstr>'13.5'!Print_Area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2017-06-05T07:46:43Z</cp:lastPrinted>
  <dcterms:created xsi:type="dcterms:W3CDTF">2014-03-06T08:38:12Z</dcterms:created>
  <dcterms:modified xsi:type="dcterms:W3CDTF">2017-06-05T07:46:44Z</dcterms:modified>
</cp:coreProperties>
</file>