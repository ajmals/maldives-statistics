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3" sheetId="3" r:id="rId1"/>
  </sheets>
  <externalReferences>
    <externalReference r:id="rId2"/>
  </externalReferences>
  <definedNames>
    <definedName name="_xlnm.Print_Titles" localSheetId="0">'13.3'!$5:$7</definedName>
  </definedNames>
  <calcPr calcId="144525"/>
</workbook>
</file>

<file path=xl/calcChain.xml><?xml version="1.0" encoding="utf-8"?>
<calcChain xmlns="http://schemas.openxmlformats.org/spreadsheetml/2006/main">
  <c r="M46" i="3" l="1"/>
  <c r="M23" i="3" s="1"/>
  <c r="M11" i="3"/>
  <c r="M10" i="3" l="1"/>
  <c r="M9" i="3" s="1"/>
  <c r="M8" i="3" s="1"/>
  <c r="K46" i="3" l="1"/>
  <c r="J46" i="3"/>
  <c r="I11" i="3" l="1"/>
  <c r="J11" i="3"/>
  <c r="K11" i="3"/>
  <c r="L11" i="3"/>
  <c r="H46" i="3"/>
  <c r="H23" i="3" s="1"/>
  <c r="L46" i="3" l="1"/>
  <c r="L23" i="3" s="1"/>
  <c r="L10" i="3" s="1"/>
  <c r="L9" i="3" s="1"/>
  <c r="L8" i="3" s="1"/>
  <c r="H11" i="3"/>
  <c r="I46" i="3" l="1"/>
  <c r="J23" i="3"/>
  <c r="J10" i="3" s="1"/>
  <c r="J9" i="3" s="1"/>
  <c r="J8" i="3" s="1"/>
  <c r="K23" i="3" l="1"/>
  <c r="K10" i="3" s="1"/>
  <c r="K9" i="3" s="1"/>
  <c r="K8" i="3" s="1"/>
  <c r="I23" i="3"/>
  <c r="I10" i="3" s="1"/>
  <c r="I9" i="3" s="1"/>
  <c r="I8" i="3" s="1"/>
  <c r="G46" i="3" l="1"/>
  <c r="G23" i="3" s="1"/>
  <c r="F46" i="3"/>
  <c r="E46" i="3"/>
  <c r="E23" i="3" s="1"/>
  <c r="D46" i="3"/>
  <c r="D23" i="3" s="1"/>
  <c r="C46" i="3"/>
  <c r="C23" i="3" s="1"/>
  <c r="B46" i="3"/>
  <c r="B23" i="3" s="1"/>
  <c r="G11" i="3"/>
  <c r="F11" i="3"/>
  <c r="E11" i="3"/>
  <c r="D11" i="3"/>
  <c r="C11" i="3"/>
  <c r="B11" i="3"/>
  <c r="B10" i="3" l="1"/>
  <c r="B9" i="3" s="1"/>
  <c r="B8" i="3" s="1"/>
  <c r="C10" i="3"/>
  <c r="C9" i="3" s="1"/>
  <c r="C8" i="3" s="1"/>
  <c r="E10" i="3"/>
  <c r="E9" i="3" s="1"/>
  <c r="E8" i="3" s="1"/>
  <c r="F23" i="3"/>
  <c r="F10" i="3" s="1"/>
  <c r="F9" i="3" s="1"/>
  <c r="F8" i="3" s="1"/>
  <c r="D10" i="3"/>
  <c r="D9" i="3" s="1"/>
  <c r="D8" i="3" s="1"/>
  <c r="H10" i="3"/>
  <c r="G10" i="3"/>
  <c r="G9" i="3" s="1"/>
  <c r="G8" i="3" s="1"/>
  <c r="H9" i="3" l="1"/>
  <c r="H8" i="3" s="1"/>
</calcChain>
</file>

<file path=xl/sharedStrings.xml><?xml version="1.0" encoding="utf-8"?>
<sst xmlns="http://schemas.openxmlformats.org/spreadsheetml/2006/main" count="128" uniqueCount="112">
  <si>
    <t>(cniaWyifur cnwailim)</t>
  </si>
  <si>
    <t>Particulars</t>
  </si>
  <si>
    <t>clIBcfwt</t>
  </si>
  <si>
    <t>Actual</t>
  </si>
  <si>
    <t>Revised</t>
  </si>
  <si>
    <t>Total Revenue and grants</t>
  </si>
  <si>
    <t>Current Revenue</t>
  </si>
  <si>
    <t>InwdcmWA cTcnwrwk</t>
  </si>
  <si>
    <t>Capital Revenue</t>
  </si>
  <si>
    <t>Wsiawf unubiliawgutog egIhea egurEb iaWaInwdcmWA</t>
  </si>
  <si>
    <t>Total Revenue</t>
  </si>
  <si>
    <t>InwdcmWA</t>
  </si>
  <si>
    <t>Tax Revenue</t>
  </si>
  <si>
    <t xml:space="preserve"> InwdcmWA Ebil iawgutog egcsckeT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</si>
  <si>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</si>
  <si>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</si>
  <si>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</si>
  <si>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</si>
  <si>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</si>
  <si>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</si>
  <si>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</si>
  <si>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</si>
  <si>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</si>
  <si>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</si>
  <si>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</si>
  <si>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</si>
  <si>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</si>
  <si>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</si>
  <si>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</si>
  <si>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</si>
  <si>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        Other  1/</t>
  </si>
  <si>
    <t xml:space="preserve">                                                            1_/ cnehinehea</t>
  </si>
  <si>
    <t>Nontax Revenue</t>
  </si>
  <si>
    <t>State Trading Organisation</t>
  </si>
  <si>
    <t>cnwxEziawnwgOa gcniDErcT cTETcs</t>
  </si>
  <si>
    <t>Dhivehi Raajjeyge Gulhun Pvt Ltd (DHIRAAGU)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</si>
  <si>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</si>
  <si>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</si>
  <si>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</si>
  <si>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</si>
  <si>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</si>
  <si>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</si>
  <si>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</si>
  <si>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</si>
  <si>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</si>
  <si>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</si>
  <si>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</si>
  <si>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</si>
  <si>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</si>
  <si>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</si>
  <si>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</si>
  <si>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</si>
  <si>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</si>
  <si>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</si>
  <si>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</si>
  <si>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</si>
  <si>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</si>
  <si>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</si>
  <si>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</si>
  <si>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</si>
  <si>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</si>
  <si>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>Maldives Inflight Catering Services</t>
  </si>
  <si>
    <t>މޯލްޑިވްސް އިންފްލައިޓް ކޭޓަރިންގ ސަރވިސަސް</t>
  </si>
  <si>
    <t>Maldives Water &amp; Swerage Company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</si>
  <si>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</si>
  <si>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</si>
  <si>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</si>
  <si>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</si>
  <si>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 xml:space="preserve">Maldives National Shipping Limited </t>
  </si>
  <si>
    <t>މޯލްޑިވްސް ނެޝަނަލް ޝިޕިންގް ލިމިޓެޑް</t>
  </si>
  <si>
    <t>Thilafushi Corperation Limited</t>
  </si>
  <si>
    <t>ތިލަފުށި ކޯޕަރޭޝަން ލިމިޓެޑް</t>
  </si>
  <si>
    <t>Maldives National Broadcasting Corporation</t>
  </si>
  <si>
    <t>މޯލްޑިވްސް ނެޝަނަލް ބުރޯޑްކާސްޓިންގ ކޯޕަރޭޝަން</t>
  </si>
  <si>
    <t>Kooddoo fisharies pvt ltd</t>
  </si>
  <si>
    <t>ކޫއްޑޫ ފިޝަރީޒް ޕްރައިވެޓް ލިމިޓެޑް</t>
  </si>
  <si>
    <t>މޯލްޑިވްސް ޓޫރިޒަމް ޑިވެލޮޕްމަންޓް ކޯޕަރޭޝަން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</si>
  <si>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</si>
  <si>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</si>
  <si>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</si>
  <si>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</si>
  <si>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</si>
  <si>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</si>
  <si>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Others 2_/</t>
  </si>
  <si>
    <t xml:space="preserve">                                                             2_/ cnehinehea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</si>
  <si>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</si>
  <si>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</si>
  <si>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</si>
  <si>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.eveaenemih iawgiawbim ITuaiD egcpcmETcs ,IfWkcawd cSwmuruk IrwTcsijwr inufcnuk -If cscnwsiawl 1_/</t>
  </si>
  <si>
    <t>2_/  Includes fines, confiscated properties, penalties and administrative charges (Royalty included up to 2011)</t>
  </si>
  <si>
    <t>Wsiawf Egen cnutog IrWdia iaWaITclenep ,itekwt WrukcTEkcsifcnok ,WnwmirUj  2_/</t>
  </si>
  <si>
    <t>3_/  Excludes grants for direct expenditure by donors.</t>
  </si>
  <si>
    <t>.eveaevuncaeawfinemihIhea EdiawfcSokudwrwKWdIs ctWrwf EdIhea  3_/</t>
  </si>
  <si>
    <t>Source:  Ministry of Finance and Treasury</t>
  </si>
  <si>
    <t>IrwRercT cDcnea cscnEnif cfoa IrcTcsinim :ctWrwf ivcaedutWmUluAwm</t>
  </si>
  <si>
    <t xml:space="preserve">ޓެކްސްގެ ގޮތުގައި ނުހިމެނޭ އާމްދަނީ </t>
  </si>
  <si>
    <t xml:space="preserve">   .eveawgutog egInwdcmWa Ebil iawgutog egcsckeT Inwviawfiveleb ITclwyOr cnegiSef cn 2012  4_/</t>
  </si>
  <si>
    <t xml:space="preserve">                                                            4_/ ITclwyOr</t>
  </si>
  <si>
    <t>(In million MVR)</t>
  </si>
  <si>
    <t>ގްރީން ޓެކްސް</t>
  </si>
  <si>
    <t xml:space="preserve">                Green Tax</t>
  </si>
  <si>
    <t xml:space="preserve"> 4_/ from 2012 royalty is classified as a tax revenue</t>
  </si>
  <si>
    <t>-</t>
  </si>
  <si>
    <t>Total Revenue and Grants is excluding Subsidiary Loan repayments</t>
  </si>
  <si>
    <t>Tourism Tax will be abolished from 2014 by law</t>
  </si>
  <si>
    <t>Green tax introduced starting from Nov 2015 while tourism Tax  abolished in nov 2014</t>
  </si>
  <si>
    <t>Table  13.3:  GOVERNMENT REVENUE, 2013 - 2019</t>
  </si>
  <si>
    <r>
      <t xml:space="preserve">2019 - 2013 </t>
    </r>
    <r>
      <rPr>
        <b/>
        <sz val="12"/>
        <color theme="1"/>
        <rFont val="Faruma"/>
      </rPr>
      <t>އާމްދަނީ،</t>
    </r>
    <r>
      <rPr>
        <b/>
        <sz val="12"/>
        <color theme="1"/>
        <rFont val="A_Randhoo"/>
      </rPr>
      <t xml:space="preserve"> egurWkurws  : 13.2 ulwvWt</t>
    </r>
  </si>
  <si>
    <t>Estimate</t>
  </si>
  <si>
    <t>Revenue for 2017-2018 includes proposed new revenue measures in budget 2017</t>
  </si>
  <si>
    <t xml:space="preserve">    Royalties  4_/</t>
  </si>
  <si>
    <t>1_/  Includes airport tax, business profit tax, GST, licence fees, company registration fees,remittence tax and stamp duties.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</si>
</sst>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  <numFmt numFmtId="170" formatCode="_-* #,##0.00_-;\-* #,##0.00_-;_-* &quot;-&quot;??_-;_-@_-"/>
    <numFmt numFmtId="171" formatCode="#,##0.00\ ;&quot; (&quot;#,##0.00\);&quot; -&quot;#\ ;@\ 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.5"/>
      <color theme="1"/>
      <name val="Faruma"/>
    </font>
    <font>
      <sz val="9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12"/>
      <color theme="1"/>
      <name val="Faruma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b/>
      <sz val="9.5"/>
      <color theme="1"/>
      <name val="A_Randhoo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sz val="9.5"/>
      <color theme="1"/>
      <name val="A_Randhoo"/>
    </font>
    <font>
      <b/>
      <sz val="9.5"/>
      <color theme="1"/>
      <name val="Faruma"/>
    </font>
    <font>
      <sz val="8.5"/>
      <color theme="1"/>
      <name val="Calibri"/>
      <family val="2"/>
      <scheme val="minor"/>
    </font>
    <font>
      <sz val="8.5"/>
      <color theme="1"/>
      <name val="A_Randhoo"/>
    </font>
    <font>
      <sz val="9"/>
      <color theme="1"/>
      <name val="Times New Roman"/>
      <family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62">
    <xf numFmtId="0" fontId="0" fillId="0" borderId="0" xfId="0"/>
    <xf numFmtId="164" fontId="8" fillId="2" borderId="3" xfId="2" applyNumberFormat="1" applyFont="1" applyFill="1" applyBorder="1" applyAlignment="1">
      <alignment horizontal="center" vertical="center"/>
    </xf>
    <xf numFmtId="164" fontId="9" fillId="2" borderId="3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10" fillId="2" borderId="2" xfId="2" applyNumberFormat="1" applyFont="1" applyFill="1" applyBorder="1" applyAlignment="1">
      <alignment horizontal="right" vertical="center"/>
    </xf>
    <xf numFmtId="164" fontId="9" fillId="2" borderId="2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1" xfId="2" applyNumberFormat="1" applyFont="1" applyFill="1" applyBorder="1" applyAlignment="1" applyProtection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4" fontId="18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>
      <alignment vertical="center"/>
    </xf>
    <xf numFmtId="164" fontId="9" fillId="2" borderId="0" xfId="2" applyNumberFormat="1" applyFont="1" applyFill="1" applyAlignment="1">
      <alignment vertical="center"/>
    </xf>
    <xf numFmtId="164" fontId="20" fillId="2" borderId="0" xfId="2" applyNumberFormat="1" applyFont="1" applyFill="1" applyAlignment="1">
      <alignment vertical="center"/>
    </xf>
    <xf numFmtId="164" fontId="16" fillId="2" borderId="0" xfId="2" applyNumberFormat="1" applyFont="1" applyFill="1" applyAlignment="1" applyProtection="1">
      <alignment horizontal="left" vertical="center"/>
    </xf>
    <xf numFmtId="164" fontId="10" fillId="2" borderId="0" xfId="2" applyNumberFormat="1" applyFont="1" applyFill="1" applyBorder="1" applyAlignment="1">
      <alignment vertical="center"/>
    </xf>
    <xf numFmtId="164" fontId="9" fillId="2" borderId="0" xfId="2" applyNumberFormat="1" applyFont="1" applyFill="1" applyBorder="1" applyAlignment="1">
      <alignment vertical="center"/>
    </xf>
    <xf numFmtId="164" fontId="10" fillId="2" borderId="2" xfId="2" applyNumberFormat="1" applyFont="1" applyFill="1" applyBorder="1" applyAlignment="1" applyProtection="1">
      <alignment horizontal="right" vertical="center"/>
    </xf>
    <xf numFmtId="164" fontId="23" fillId="2" borderId="0" xfId="2" applyNumberFormat="1" applyFont="1" applyFill="1" applyAlignment="1" applyProtection="1">
      <alignment horizontal="left" vertical="center"/>
    </xf>
    <xf numFmtId="167" fontId="24" fillId="2" borderId="0" xfId="1" applyNumberFormat="1" applyFont="1" applyFill="1" applyAlignment="1" applyProtection="1">
      <alignment horizontal="right" vertical="center"/>
    </xf>
    <xf numFmtId="164" fontId="25" fillId="2" borderId="0" xfId="2" applyNumberFormat="1" applyFont="1" applyFill="1" applyAlignment="1">
      <alignment horizontal="right" vertical="center"/>
    </xf>
    <xf numFmtId="165" fontId="25" fillId="2" borderId="0" xfId="2" applyNumberFormat="1" applyFont="1" applyFill="1" applyAlignment="1">
      <alignment horizontal="right" vertical="center"/>
    </xf>
    <xf numFmtId="164" fontId="26" fillId="2" borderId="0" xfId="2" applyNumberFormat="1" applyFont="1" applyFill="1" applyAlignment="1" applyProtection="1">
      <alignment horizontal="left" vertical="center" indent="1"/>
    </xf>
    <xf numFmtId="167" fontId="27" fillId="2" borderId="0" xfId="1" applyNumberFormat="1" applyFont="1" applyFill="1" applyAlignment="1" applyProtection="1">
      <alignment horizontal="right" vertical="center"/>
      <protection locked="0"/>
    </xf>
    <xf numFmtId="165" fontId="28" fillId="2" borderId="0" xfId="2" applyNumberFormat="1" applyFont="1" applyFill="1" applyAlignment="1">
      <alignment horizontal="right" vertical="center"/>
    </xf>
    <xf numFmtId="41" fontId="21" fillId="2" borderId="0" xfId="3" applyNumberFormat="1" applyFont="1" applyFill="1" applyAlignment="1" applyProtection="1">
      <alignment horizontal="right" vertical="center"/>
      <protection locked="0"/>
    </xf>
    <xf numFmtId="167" fontId="21" fillId="2" borderId="0" xfId="3" applyNumberFormat="1" applyFont="1" applyFill="1" applyAlignment="1" applyProtection="1">
      <alignment horizontal="right" vertical="center"/>
      <protection locked="0"/>
    </xf>
    <xf numFmtId="164" fontId="26" fillId="2" borderId="0" xfId="2" applyNumberFormat="1" applyFont="1" applyFill="1" applyAlignment="1" applyProtection="1">
      <alignment horizontal="left" vertical="center"/>
    </xf>
    <xf numFmtId="164" fontId="26" fillId="2" borderId="0" xfId="2" applyNumberFormat="1" applyFont="1" applyFill="1" applyAlignment="1" applyProtection="1">
      <alignment horizontal="left" vertical="center" indent="4"/>
    </xf>
    <xf numFmtId="166" fontId="21" fillId="2" borderId="0" xfId="3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/>
    <xf numFmtId="167" fontId="24" fillId="2" borderId="0" xfId="1" applyNumberFormat="1" applyFont="1" applyFill="1" applyAlignment="1" applyProtection="1">
      <alignment horizontal="right"/>
    </xf>
    <xf numFmtId="165" fontId="29" fillId="2" borderId="0" xfId="2" applyNumberFormat="1" applyFont="1" applyFill="1" applyAlignment="1">
      <alignment horizontal="right" vertical="center"/>
    </xf>
    <xf numFmtId="167" fontId="27" fillId="2" borderId="0" xfId="1" applyNumberFormat="1" applyFont="1" applyFill="1" applyAlignment="1">
      <alignment horizontal="right"/>
    </xf>
    <xf numFmtId="164" fontId="13" fillId="2" borderId="0" xfId="2" applyNumberFormat="1" applyFont="1" applyFill="1" applyAlignment="1">
      <alignment vertical="center"/>
    </xf>
    <xf numFmtId="164" fontId="26" fillId="2" borderId="0" xfId="2" applyNumberFormat="1" applyFont="1" applyFill="1" applyAlignment="1">
      <alignment horizontal="left" vertical="center" indent="1"/>
    </xf>
    <xf numFmtId="164" fontId="26" fillId="2" borderId="0" xfId="2" applyNumberFormat="1" applyFont="1" applyFill="1" applyBorder="1" applyAlignment="1">
      <alignment horizontal="left" vertical="center" indent="1"/>
    </xf>
    <xf numFmtId="164" fontId="26" fillId="2" borderId="0" xfId="2" applyNumberFormat="1" applyFont="1" applyFill="1" applyBorder="1" applyAlignment="1" applyProtection="1">
      <alignment horizontal="left" vertical="center" indent="1"/>
    </xf>
    <xf numFmtId="164" fontId="13" fillId="2" borderId="0" xfId="2" applyNumberFormat="1" applyFont="1" applyFill="1" applyAlignment="1">
      <alignment horizontal="right" vertical="center" readingOrder="1"/>
    </xf>
    <xf numFmtId="167" fontId="24" fillId="2" borderId="0" xfId="1" applyNumberFormat="1" applyFont="1" applyFill="1" applyAlignment="1">
      <alignment vertical="center"/>
    </xf>
    <xf numFmtId="167" fontId="24" fillId="2" borderId="0" xfId="1" applyNumberFormat="1" applyFont="1" applyFill="1" applyAlignment="1">
      <alignment horizontal="right"/>
    </xf>
    <xf numFmtId="167" fontId="27" fillId="2" borderId="0" xfId="1" applyNumberFormat="1" applyFont="1" applyFill="1" applyAlignment="1">
      <alignment vertical="center"/>
    </xf>
    <xf numFmtId="164" fontId="28" fillId="2" borderId="0" xfId="2" applyNumberFormat="1" applyFont="1" applyFill="1" applyAlignment="1">
      <alignment horizontal="right" vertical="center"/>
    </xf>
    <xf numFmtId="167" fontId="24" fillId="2" borderId="0" xfId="1" applyNumberFormat="1" applyFont="1" applyFill="1" applyAlignment="1" applyProtection="1">
      <alignment vertical="center"/>
      <protection locked="0"/>
    </xf>
    <xf numFmtId="164" fontId="23" fillId="2" borderId="2" xfId="2" applyNumberFormat="1" applyFont="1" applyFill="1" applyBorder="1" applyAlignment="1" applyProtection="1">
      <alignment horizontal="left" vertical="center"/>
    </xf>
    <xf numFmtId="167" fontId="24" fillId="2" borderId="2" xfId="1" applyNumberFormat="1" applyFont="1" applyFill="1" applyBorder="1" applyAlignment="1" applyProtection="1">
      <alignment vertical="center"/>
      <protection locked="0"/>
    </xf>
    <xf numFmtId="164" fontId="28" fillId="2" borderId="2" xfId="2" applyNumberFormat="1" applyFont="1" applyFill="1" applyBorder="1" applyAlignment="1">
      <alignment horizontal="right" vertical="center"/>
    </xf>
    <xf numFmtId="37" fontId="12" fillId="2" borderId="0" xfId="2" applyNumberFormat="1" applyFont="1" applyFill="1" applyAlignment="1" applyProtection="1">
      <alignment vertical="center"/>
    </xf>
    <xf numFmtId="37" fontId="30" fillId="2" borderId="0" xfId="2" applyNumberFormat="1" applyFont="1" applyFill="1" applyAlignment="1" applyProtection="1">
      <alignment vertical="center"/>
    </xf>
    <xf numFmtId="164" fontId="31" fillId="2" borderId="0" xfId="2" applyNumberFormat="1" applyFont="1" applyFill="1" applyAlignment="1">
      <alignment horizontal="right" vertical="center"/>
    </xf>
    <xf numFmtId="164" fontId="14" fillId="2" borderId="0" xfId="2" applyNumberFormat="1" applyFont="1" applyFill="1" applyAlignment="1">
      <alignment vertical="center"/>
    </xf>
    <xf numFmtId="0" fontId="32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9" fontId="20" fillId="2" borderId="0" xfId="11" applyFont="1" applyFill="1" applyAlignment="1">
      <alignment vertical="center"/>
    </xf>
    <xf numFmtId="164" fontId="8" fillId="2" borderId="3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2" xfId="2" applyNumberFormat="1" applyFont="1" applyFill="1" applyBorder="1" applyAlignment="1" applyProtection="1">
      <alignment horizontal="left" vertical="center"/>
    </xf>
    <xf numFmtId="164" fontId="17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Alignment="1">
      <alignment horizontal="center" vertical="center" wrapText="1"/>
    </xf>
    <xf numFmtId="164" fontId="19" fillId="2" borderId="2" xfId="2" applyNumberFormat="1" applyFont="1" applyFill="1" applyBorder="1" applyAlignment="1" applyProtection="1">
      <alignment horizontal="center" vertical="center"/>
    </xf>
  </cellXfs>
  <cellStyles count="13">
    <cellStyle name="Comma" xfId="1" builtinId="3"/>
    <cellStyle name="Comma 2" xfId="7"/>
    <cellStyle name="Comma 3" xfId="8"/>
    <cellStyle name="Comma 4" xfId="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2"/>
    <cellStyle name="Normal 4" xfId="9"/>
    <cellStyle name="Normal_13 Public Finance_done" xfId="2"/>
    <cellStyle name="Percent" xfId="11" builtin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6"/>
  <sheetViews>
    <sheetView tabSelected="1" zoomScaleNormal="100" zoomScaleSheetLayoutView="102" workbookViewId="0">
      <pane ySplit="7" topLeftCell="A8" activePane="bottomLeft" state="frozen"/>
      <selection pane="bottomLeft" activeCell="P28" sqref="P28"/>
    </sheetView>
  </sheetViews>
  <sheetFormatPr defaultColWidth="13.28515625" defaultRowHeight="12.75" x14ac:dyDescent="0.25"/>
  <cols>
    <col min="1" max="1" width="55.85546875" style="9" customWidth="1"/>
    <col min="2" max="6" width="9.140625" style="9" hidden="1" customWidth="1"/>
    <col min="7" max="13" width="9.140625" style="9" customWidth="1"/>
    <col min="14" max="14" width="48.5703125" style="9" customWidth="1"/>
    <col min="15" max="16384" width="13.28515625" style="9"/>
  </cols>
  <sheetData>
    <row r="1" spans="1:16" ht="21.75" x14ac:dyDescent="0.25">
      <c r="A1" s="58" t="s">
        <v>107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6" ht="15" x14ac:dyDescent="0.25">
      <c r="A2" s="59" t="s">
        <v>106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6" s="10" customFormat="1" ht="15" x14ac:dyDescent="0.25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6" s="10" customFormat="1" x14ac:dyDescent="0.25">
      <c r="A4" s="61" t="s">
        <v>98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6" s="11" customFormat="1" ht="15" x14ac:dyDescent="0.25">
      <c r="A5" s="2"/>
      <c r="B5" s="54"/>
      <c r="C5" s="2"/>
      <c r="D5" s="54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6" s="11" customFormat="1" ht="15" x14ac:dyDescent="0.25">
      <c r="A6" s="56" t="s">
        <v>1</v>
      </c>
      <c r="B6" s="3"/>
      <c r="C6" s="14"/>
      <c r="D6" s="15"/>
      <c r="E6" s="3"/>
      <c r="F6" s="3" t="s">
        <v>3</v>
      </c>
      <c r="G6" s="3" t="s">
        <v>3</v>
      </c>
      <c r="H6" s="3" t="s">
        <v>3</v>
      </c>
      <c r="I6" s="6" t="s">
        <v>3</v>
      </c>
      <c r="J6" s="6" t="s">
        <v>4</v>
      </c>
      <c r="K6" s="6" t="s">
        <v>108</v>
      </c>
      <c r="L6" s="6" t="s">
        <v>108</v>
      </c>
      <c r="M6" s="6" t="s">
        <v>108</v>
      </c>
      <c r="N6" s="55" t="s">
        <v>2</v>
      </c>
    </row>
    <row r="7" spans="1:16" s="15" customFormat="1" x14ac:dyDescent="0.25">
      <c r="A7" s="57"/>
      <c r="B7" s="16">
        <v>2008</v>
      </c>
      <c r="C7" s="16">
        <v>2009</v>
      </c>
      <c r="D7" s="4">
        <v>2010</v>
      </c>
      <c r="E7" s="4">
        <v>2011</v>
      </c>
      <c r="F7" s="4">
        <v>2012</v>
      </c>
      <c r="G7" s="4">
        <v>2013</v>
      </c>
      <c r="H7" s="4">
        <v>2014</v>
      </c>
      <c r="I7" s="7">
        <v>2015</v>
      </c>
      <c r="J7" s="7">
        <v>2016</v>
      </c>
      <c r="K7" s="7">
        <v>2017</v>
      </c>
      <c r="L7" s="7">
        <v>2018</v>
      </c>
      <c r="M7" s="7">
        <v>2019</v>
      </c>
      <c r="N7" s="5"/>
    </row>
    <row r="8" spans="1:16" s="11" customFormat="1" ht="21.75" customHeight="1" x14ac:dyDescent="0.25">
      <c r="A8" s="17" t="s">
        <v>5</v>
      </c>
      <c r="B8" s="18">
        <f t="shared" ref="B8:L8" si="0">SUM(B9,B51)</f>
        <v>7456.54</v>
      </c>
      <c r="C8" s="18">
        <f t="shared" si="0"/>
        <v>5734.8352960000002</v>
      </c>
      <c r="D8" s="18">
        <f t="shared" si="0"/>
        <v>6546.9287702799966</v>
      </c>
      <c r="E8" s="18">
        <f t="shared" si="0"/>
        <v>9904.5614829999995</v>
      </c>
      <c r="F8" s="18">
        <f t="shared" si="0"/>
        <v>10138.11294952</v>
      </c>
      <c r="G8" s="18">
        <f t="shared" si="0"/>
        <v>11900.748051729997</v>
      </c>
      <c r="H8" s="18">
        <f t="shared" si="0"/>
        <v>15164.227912</v>
      </c>
      <c r="I8" s="18">
        <f t="shared" si="0"/>
        <v>17306.201467370003</v>
      </c>
      <c r="J8" s="18">
        <f t="shared" si="0"/>
        <v>18152.596614367438</v>
      </c>
      <c r="K8" s="18">
        <f t="shared" si="0"/>
        <v>21905.711117376562</v>
      </c>
      <c r="L8" s="18">
        <f t="shared" si="0"/>
        <v>22223.668070566622</v>
      </c>
      <c r="M8" s="18">
        <f t="shared" ref="M8" si="1">SUM(M9,M51)</f>
        <v>23281.030019363556</v>
      </c>
      <c r="N8" s="19" t="s">
        <v>9</v>
      </c>
    </row>
    <row r="9" spans="1:16" s="11" customFormat="1" ht="21.75" customHeight="1" x14ac:dyDescent="0.25">
      <c r="A9" s="17" t="s">
        <v>10</v>
      </c>
      <c r="B9" s="18">
        <f t="shared" ref="B9:L9" si="2">SUM(B10,B50)</f>
        <v>6939.54</v>
      </c>
      <c r="C9" s="18">
        <f t="shared" si="2"/>
        <v>5313.319469</v>
      </c>
      <c r="D9" s="18">
        <f t="shared" si="2"/>
        <v>6392.3855347199969</v>
      </c>
      <c r="E9" s="18">
        <f t="shared" si="2"/>
        <v>9172.1262260000003</v>
      </c>
      <c r="F9" s="18">
        <f t="shared" si="2"/>
        <v>9771.4430765199995</v>
      </c>
      <c r="G9" s="18">
        <f t="shared" si="2"/>
        <v>11783.092824199997</v>
      </c>
      <c r="H9" s="18">
        <f t="shared" si="2"/>
        <v>14998.954087</v>
      </c>
      <c r="I9" s="18">
        <f t="shared" si="2"/>
        <v>16669.260271000003</v>
      </c>
      <c r="J9" s="18">
        <f t="shared" si="2"/>
        <v>17673.727405020771</v>
      </c>
      <c r="K9" s="18">
        <f t="shared" si="2"/>
        <v>21030.102109376563</v>
      </c>
      <c r="L9" s="18">
        <f t="shared" si="2"/>
        <v>21318.159534566621</v>
      </c>
      <c r="M9" s="18">
        <f t="shared" ref="M9" si="3">SUM(M10,M50)</f>
        <v>22316.721419363555</v>
      </c>
      <c r="N9" s="20" t="s">
        <v>11</v>
      </c>
    </row>
    <row r="10" spans="1:16" s="11" customFormat="1" ht="21.75" customHeight="1" x14ac:dyDescent="0.25">
      <c r="A10" s="17" t="s">
        <v>6</v>
      </c>
      <c r="B10" s="18">
        <f t="shared" ref="B10:L10" si="4">SUM(B11,B23)</f>
        <v>6897.24</v>
      </c>
      <c r="C10" s="18">
        <f t="shared" si="4"/>
        <v>5299.4316959999996</v>
      </c>
      <c r="D10" s="18">
        <f t="shared" si="4"/>
        <v>6343.0314386499977</v>
      </c>
      <c r="E10" s="18">
        <f t="shared" si="4"/>
        <v>8637.6616890000005</v>
      </c>
      <c r="F10" s="18">
        <f t="shared" si="4"/>
        <v>9723.3702617999988</v>
      </c>
      <c r="G10" s="18">
        <f t="shared" si="4"/>
        <v>11514.974798199997</v>
      </c>
      <c r="H10" s="18">
        <f t="shared" si="4"/>
        <v>14874.843471</v>
      </c>
      <c r="I10" s="18">
        <f t="shared" si="4"/>
        <v>16548.977957000003</v>
      </c>
      <c r="J10" s="18">
        <f t="shared" si="4"/>
        <v>16887.716601643431</v>
      </c>
      <c r="K10" s="18">
        <f t="shared" si="4"/>
        <v>20328.229059166453</v>
      </c>
      <c r="L10" s="18">
        <f t="shared" si="4"/>
        <v>21033.97383660277</v>
      </c>
      <c r="M10" s="18">
        <f t="shared" ref="M10" si="5">SUM(M11,M23)</f>
        <v>22040.163142206318</v>
      </c>
      <c r="N10" s="20" t="s">
        <v>7</v>
      </c>
    </row>
    <row r="11" spans="1:16" s="12" customFormat="1" ht="21.75" customHeight="1" x14ac:dyDescent="0.25">
      <c r="A11" s="17" t="s">
        <v>12</v>
      </c>
      <c r="B11" s="18">
        <f t="shared" ref="B11:G11" si="6">SUM(B12:B22)</f>
        <v>3366.8</v>
      </c>
      <c r="C11" s="18">
        <f t="shared" si="6"/>
        <v>2731.9902730000003</v>
      </c>
      <c r="D11" s="18">
        <f t="shared" si="6"/>
        <v>2931.0472653899988</v>
      </c>
      <c r="E11" s="18">
        <f t="shared" si="6"/>
        <v>4892.9547389999998</v>
      </c>
      <c r="F11" s="18">
        <f t="shared" si="6"/>
        <v>6880.0618489999988</v>
      </c>
      <c r="G11" s="18">
        <f t="shared" si="6"/>
        <v>8872.8437029999986</v>
      </c>
      <c r="H11" s="18">
        <f>SUM(H12:H22)</f>
        <v>10837.855577</v>
      </c>
      <c r="I11" s="18">
        <f t="shared" ref="I11:L11" si="7">SUM(I12:I22)</f>
        <v>12270.646260000001</v>
      </c>
      <c r="J11" s="18">
        <f t="shared" si="7"/>
        <v>13139.47729972223</v>
      </c>
      <c r="K11" s="18">
        <f t="shared" si="7"/>
        <v>14900.421661741962</v>
      </c>
      <c r="L11" s="18">
        <f t="shared" si="7"/>
        <v>15625.889476475484</v>
      </c>
      <c r="M11" s="18">
        <f t="shared" ref="M11" si="8">SUM(M12:M22)</f>
        <v>16529.260628666598</v>
      </c>
      <c r="N11" s="20" t="s">
        <v>13</v>
      </c>
      <c r="P11" s="53"/>
    </row>
    <row r="12" spans="1:16" s="12" customFormat="1" ht="18" customHeight="1" x14ac:dyDescent="0.25">
      <c r="A12" s="21" t="s">
        <v>14</v>
      </c>
      <c r="B12" s="22">
        <v>2448.8000000000002</v>
      </c>
      <c r="C12" s="22">
        <v>1848.7620629999999</v>
      </c>
      <c r="D12" s="22">
        <v>2055.8138285199989</v>
      </c>
      <c r="E12" s="22">
        <v>2586.5219179999999</v>
      </c>
      <c r="F12" s="22">
        <v>1369.0409910000001</v>
      </c>
      <c r="G12" s="22">
        <v>1575.877761</v>
      </c>
      <c r="H12" s="22">
        <v>1975.2379679999999</v>
      </c>
      <c r="I12" s="22">
        <v>2346.4173430000001</v>
      </c>
      <c r="J12" s="22">
        <v>2372.0709649999999</v>
      </c>
      <c r="K12" s="22">
        <v>2691.87010788</v>
      </c>
      <c r="L12" s="22">
        <v>2535.8953171458002</v>
      </c>
      <c r="M12" s="22">
        <v>2571.7600609970004</v>
      </c>
      <c r="N12" s="23" t="s">
        <v>15</v>
      </c>
    </row>
    <row r="13" spans="1:16" s="12" customFormat="1" ht="18" customHeight="1" x14ac:dyDescent="0.25">
      <c r="A13" s="21" t="s">
        <v>16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2" t="s">
        <v>102</v>
      </c>
      <c r="H13" s="22" t="s">
        <v>102</v>
      </c>
      <c r="I13" s="22" t="s">
        <v>102</v>
      </c>
      <c r="J13" s="22" t="s">
        <v>102</v>
      </c>
      <c r="K13" s="22" t="s">
        <v>102</v>
      </c>
      <c r="L13" s="22" t="s">
        <v>102</v>
      </c>
      <c r="M13" s="22" t="s">
        <v>102</v>
      </c>
      <c r="N13" s="8" t="s">
        <v>17</v>
      </c>
    </row>
    <row r="14" spans="1:16" s="12" customFormat="1" ht="18" customHeight="1" x14ac:dyDescent="0.25">
      <c r="A14" s="21" t="s">
        <v>18</v>
      </c>
      <c r="B14" s="22">
        <v>566.6</v>
      </c>
      <c r="C14" s="22">
        <v>531.41379099999995</v>
      </c>
      <c r="D14" s="22">
        <v>597.28680473999998</v>
      </c>
      <c r="E14" s="22">
        <v>750.80410500000005</v>
      </c>
      <c r="F14" s="22">
        <v>804.72110199999997</v>
      </c>
      <c r="G14" s="22">
        <v>861.64270799999997</v>
      </c>
      <c r="H14" s="22">
        <v>804.82832599999995</v>
      </c>
      <c r="I14" s="22">
        <v>0.64350200000000002</v>
      </c>
      <c r="J14" s="22">
        <v>0.22978348000000001</v>
      </c>
      <c r="K14" s="22" t="s">
        <v>102</v>
      </c>
      <c r="L14" s="22" t="s">
        <v>102</v>
      </c>
      <c r="M14" s="22" t="s">
        <v>102</v>
      </c>
      <c r="N14" s="23" t="s">
        <v>19</v>
      </c>
    </row>
    <row r="15" spans="1:16" s="12" customFormat="1" ht="18" customHeight="1" x14ac:dyDescent="0.25">
      <c r="A15" s="21" t="s">
        <v>20</v>
      </c>
      <c r="B15" s="22">
        <v>240.8</v>
      </c>
      <c r="C15" s="22">
        <v>245.71401800000001</v>
      </c>
      <c r="D15" s="22">
        <v>203.32941162</v>
      </c>
      <c r="E15" s="22">
        <v>229.856989</v>
      </c>
      <c r="F15" s="22">
        <v>313.15251699999999</v>
      </c>
      <c r="G15" s="22">
        <v>355.03669400000001</v>
      </c>
      <c r="H15" s="22">
        <v>482.38556</v>
      </c>
      <c r="I15" s="22">
        <v>512.72516800000005</v>
      </c>
      <c r="J15" s="22">
        <v>491.6585326</v>
      </c>
      <c r="K15" s="22">
        <v>518.90772200000004</v>
      </c>
      <c r="L15" s="22">
        <v>545.1302081</v>
      </c>
      <c r="M15" s="22">
        <v>573.97781850499996</v>
      </c>
      <c r="N15" s="23" t="s">
        <v>21</v>
      </c>
    </row>
    <row r="16" spans="1:16" s="12" customFormat="1" ht="18" customHeight="1" x14ac:dyDescent="0.25">
      <c r="A16" s="21" t="s">
        <v>22</v>
      </c>
      <c r="B16" s="24">
        <v>0</v>
      </c>
      <c r="C16" s="24">
        <v>0</v>
      </c>
      <c r="D16" s="24">
        <v>0</v>
      </c>
      <c r="E16" s="22">
        <v>665.32438500000001</v>
      </c>
      <c r="F16" s="22">
        <v>1553.5654959999999</v>
      </c>
      <c r="G16" s="22">
        <v>2154.68813</v>
      </c>
      <c r="H16" s="22">
        <v>3001.8213529999998</v>
      </c>
      <c r="I16" s="22">
        <v>4150.3114690000002</v>
      </c>
      <c r="J16" s="22">
        <v>3984.5941689087249</v>
      </c>
      <c r="K16" s="22">
        <v>4294.3750225560552</v>
      </c>
      <c r="L16" s="22">
        <v>4630.0351689071904</v>
      </c>
      <c r="M16" s="22">
        <v>4900.7143277663672</v>
      </c>
      <c r="N16" s="8" t="s">
        <v>23</v>
      </c>
    </row>
    <row r="17" spans="1:14" s="12" customFormat="1" ht="18" customHeight="1" x14ac:dyDescent="0.25">
      <c r="A17" s="21" t="s">
        <v>24</v>
      </c>
      <c r="B17" s="24">
        <v>0</v>
      </c>
      <c r="C17" s="24">
        <v>0</v>
      </c>
      <c r="D17" s="24">
        <v>0</v>
      </c>
      <c r="E17" s="22">
        <v>242.984275</v>
      </c>
      <c r="F17" s="22">
        <v>1005.650731</v>
      </c>
      <c r="G17" s="22">
        <v>1538.4096460000001</v>
      </c>
      <c r="H17" s="22">
        <v>1512.8577889999999</v>
      </c>
      <c r="I17" s="22">
        <v>1904.154755</v>
      </c>
      <c r="J17" s="22">
        <v>2233.235675230067</v>
      </c>
      <c r="K17" s="22">
        <v>2411.2016815467073</v>
      </c>
      <c r="L17" s="22">
        <v>2648.6236297803621</v>
      </c>
      <c r="M17" s="22">
        <v>2909.0135323823438</v>
      </c>
      <c r="N17" s="8" t="s">
        <v>25</v>
      </c>
    </row>
    <row r="18" spans="1:14" s="12" customFormat="1" ht="18" customHeight="1" x14ac:dyDescent="0.25">
      <c r="A18" s="21" t="s">
        <v>26</v>
      </c>
      <c r="B18" s="24">
        <v>0</v>
      </c>
      <c r="C18" s="22">
        <v>1.6042050000000001</v>
      </c>
      <c r="D18" s="22">
        <v>35.501533500000001</v>
      </c>
      <c r="E18" s="22">
        <v>337.49470400000001</v>
      </c>
      <c r="F18" s="22">
        <v>299.92006099999998</v>
      </c>
      <c r="G18" s="22">
        <v>350.25651399999998</v>
      </c>
      <c r="H18" s="22">
        <v>431.97786300000001</v>
      </c>
      <c r="I18" s="22">
        <v>496.70397500000001</v>
      </c>
      <c r="J18" s="22">
        <v>552.83334135219752</v>
      </c>
      <c r="K18" s="22">
        <v>590.18747520984493</v>
      </c>
      <c r="L18" s="22">
        <v>615.15973793483499</v>
      </c>
      <c r="M18" s="22">
        <v>648.19553564349781</v>
      </c>
      <c r="N18" s="8" t="s">
        <v>27</v>
      </c>
    </row>
    <row r="19" spans="1:14" s="12" customFormat="1" ht="18" customHeight="1" x14ac:dyDescent="0.25">
      <c r="A19" s="21" t="s">
        <v>28</v>
      </c>
      <c r="B19" s="24">
        <v>0</v>
      </c>
      <c r="C19" s="24">
        <v>0</v>
      </c>
      <c r="D19" s="24">
        <v>0</v>
      </c>
      <c r="E19" s="22">
        <v>34.870806000000002</v>
      </c>
      <c r="F19" s="22">
        <v>1401.2985719999999</v>
      </c>
      <c r="G19" s="22">
        <v>1880.9622440000001</v>
      </c>
      <c r="H19" s="22">
        <v>2471.3657050000002</v>
      </c>
      <c r="I19" s="22">
        <v>2673.6295089999999</v>
      </c>
      <c r="J19" s="22">
        <v>2708.9059126264369</v>
      </c>
      <c r="K19" s="22">
        <v>2924.8760686357464</v>
      </c>
      <c r="L19" s="22">
        <v>3116.4622927312025</v>
      </c>
      <c r="M19" s="22">
        <v>3318.2021741911349</v>
      </c>
      <c r="N19" s="8" t="s">
        <v>29</v>
      </c>
    </row>
    <row r="20" spans="1:14" s="12" customFormat="1" ht="18" customHeight="1" x14ac:dyDescent="0.25">
      <c r="A20" s="26" t="s">
        <v>100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5">
        <v>0</v>
      </c>
      <c r="I20" s="25">
        <v>36.715299999999999</v>
      </c>
      <c r="J20" s="25">
        <v>640.01725898472432</v>
      </c>
      <c r="K20" s="25">
        <v>667.60171739110967</v>
      </c>
      <c r="L20" s="25">
        <v>702.25538533453823</v>
      </c>
      <c r="M20" s="25">
        <v>739.83113940703549</v>
      </c>
      <c r="N20" s="8" t="s">
        <v>99</v>
      </c>
    </row>
    <row r="21" spans="1:14" s="12" customFormat="1" ht="18" customHeight="1" x14ac:dyDescent="0.25">
      <c r="A21" s="27" t="s">
        <v>110</v>
      </c>
      <c r="B21" s="24">
        <v>0</v>
      </c>
      <c r="C21" s="24">
        <v>0</v>
      </c>
      <c r="D21" s="24">
        <v>0</v>
      </c>
      <c r="E21" s="24">
        <v>0</v>
      </c>
      <c r="F21" s="28">
        <v>76.585507000000007</v>
      </c>
      <c r="G21" s="28">
        <v>101.369692</v>
      </c>
      <c r="H21" s="25">
        <v>89.108745999999996</v>
      </c>
      <c r="I21" s="25">
        <v>78.572284999999994</v>
      </c>
      <c r="J21" s="25">
        <v>79.120417233467506</v>
      </c>
      <c r="K21" s="25">
        <v>80.594765513734359</v>
      </c>
      <c r="L21" s="25">
        <v>83.575565274205218</v>
      </c>
      <c r="M21" s="25">
        <v>86.476516598474873</v>
      </c>
      <c r="N21" s="23" t="s">
        <v>97</v>
      </c>
    </row>
    <row r="22" spans="1:14" s="29" customFormat="1" ht="18" customHeight="1" x14ac:dyDescent="0.2">
      <c r="A22" s="21" t="s">
        <v>30</v>
      </c>
      <c r="B22" s="22">
        <v>110.60000000000001</v>
      </c>
      <c r="C22" s="22">
        <v>104.496196</v>
      </c>
      <c r="D22" s="22">
        <v>39.115687010000002</v>
      </c>
      <c r="E22" s="22">
        <v>45.097557000000002</v>
      </c>
      <c r="F22" s="22">
        <v>56.126871999999999</v>
      </c>
      <c r="G22" s="22">
        <v>54.600313999999997</v>
      </c>
      <c r="H22" s="22">
        <v>68.272266999999999</v>
      </c>
      <c r="I22" s="22">
        <v>70.772953999999999</v>
      </c>
      <c r="J22" s="22">
        <v>76.811244306611002</v>
      </c>
      <c r="K22" s="22">
        <v>720.80710100876638</v>
      </c>
      <c r="L22" s="22">
        <v>748.7521712673514</v>
      </c>
      <c r="M22" s="22">
        <v>781.08952317574358</v>
      </c>
      <c r="N22" s="23" t="s">
        <v>31</v>
      </c>
    </row>
    <row r="23" spans="1:14" s="11" customFormat="1" ht="18" customHeight="1" x14ac:dyDescent="0.2">
      <c r="A23" s="17" t="s">
        <v>32</v>
      </c>
      <c r="B23" s="30">
        <f t="shared" ref="B23:F23" si="9">SUM(B24:B46,B49)</f>
        <v>3530.4399999999996</v>
      </c>
      <c r="C23" s="30">
        <f t="shared" si="9"/>
        <v>2567.4414229999993</v>
      </c>
      <c r="D23" s="30">
        <f t="shared" si="9"/>
        <v>3411.9841732599989</v>
      </c>
      <c r="E23" s="30">
        <f t="shared" si="9"/>
        <v>3744.7069500000007</v>
      </c>
      <c r="F23" s="30">
        <f t="shared" si="9"/>
        <v>2843.3084128</v>
      </c>
      <c r="G23" s="30">
        <f>SUM(G24:G46,G49)</f>
        <v>2642.1310951999994</v>
      </c>
      <c r="H23" s="30">
        <f>SUM(H24:H46,H49)</f>
        <v>4036.9878939999999</v>
      </c>
      <c r="I23" s="30">
        <f t="shared" ref="I23:M23" si="10">SUM(I24:I46,I49)</f>
        <v>4278.3316970000014</v>
      </c>
      <c r="J23" s="30">
        <f t="shared" si="10"/>
        <v>3748.2393019212013</v>
      </c>
      <c r="K23" s="30">
        <f t="shared" si="10"/>
        <v>5427.8073974244908</v>
      </c>
      <c r="L23" s="30">
        <f t="shared" si="10"/>
        <v>5408.0843601272863</v>
      </c>
      <c r="M23" s="30">
        <f t="shared" si="10"/>
        <v>5510.9025135397205</v>
      </c>
      <c r="N23" s="31" t="s">
        <v>95</v>
      </c>
    </row>
    <row r="24" spans="1:14" s="12" customFormat="1" ht="18" customHeight="1" x14ac:dyDescent="0.25">
      <c r="A24" s="21" t="s">
        <v>33</v>
      </c>
      <c r="B24" s="22">
        <v>2.5</v>
      </c>
      <c r="C24" s="22">
        <v>137.9</v>
      </c>
      <c r="D24" s="22">
        <v>106.88384000000001</v>
      </c>
      <c r="E24" s="24">
        <v>0</v>
      </c>
      <c r="F24" s="24">
        <v>0</v>
      </c>
      <c r="G24" s="24">
        <v>0</v>
      </c>
      <c r="H24" s="25">
        <v>0</v>
      </c>
      <c r="I24" s="25" t="s">
        <v>102</v>
      </c>
      <c r="J24" s="25" t="s">
        <v>102</v>
      </c>
      <c r="K24" s="25">
        <v>71.181359999999998</v>
      </c>
      <c r="L24" s="25">
        <v>74.740427999999994</v>
      </c>
      <c r="M24" s="25">
        <v>78.477449400000012</v>
      </c>
      <c r="N24" s="23" t="s">
        <v>34</v>
      </c>
    </row>
    <row r="25" spans="1:14" s="12" customFormat="1" ht="18" customHeight="1" x14ac:dyDescent="0.2">
      <c r="A25" s="21" t="s">
        <v>35</v>
      </c>
      <c r="B25" s="32">
        <v>392.5</v>
      </c>
      <c r="C25" s="32">
        <v>192.02865</v>
      </c>
      <c r="D25" s="32">
        <v>505.718143</v>
      </c>
      <c r="E25" s="32">
        <v>487.06551999999999</v>
      </c>
      <c r="F25" s="32">
        <v>254.47890200000001</v>
      </c>
      <c r="G25" s="32">
        <v>156.94454099999999</v>
      </c>
      <c r="H25" s="32">
        <v>325.00863500000003</v>
      </c>
      <c r="I25" s="32">
        <v>303.72263400000003</v>
      </c>
      <c r="J25" s="32">
        <v>149.002004</v>
      </c>
      <c r="K25" s="32">
        <v>318.20249999999999</v>
      </c>
      <c r="L25" s="32">
        <v>334.11262499999998</v>
      </c>
      <c r="M25" s="32">
        <v>350.81825624999999</v>
      </c>
      <c r="N25" s="33" t="s">
        <v>36</v>
      </c>
    </row>
    <row r="26" spans="1:14" s="12" customFormat="1" ht="18" customHeight="1" x14ac:dyDescent="0.2">
      <c r="A26" s="21" t="s">
        <v>37</v>
      </c>
      <c r="B26" s="32">
        <v>4.3</v>
      </c>
      <c r="C26" s="32">
        <v>0.93521100000000001</v>
      </c>
      <c r="D26" s="24">
        <v>0</v>
      </c>
      <c r="E26" s="24">
        <v>0</v>
      </c>
      <c r="F26" s="32">
        <v>0</v>
      </c>
      <c r="G26" s="24">
        <v>0</v>
      </c>
      <c r="H26" s="32">
        <v>0</v>
      </c>
      <c r="I26" s="32">
        <v>0.185081</v>
      </c>
      <c r="J26" s="32">
        <v>0.37016100000000002</v>
      </c>
      <c r="K26" s="32">
        <v>0.185081</v>
      </c>
      <c r="L26" s="32">
        <v>0.185081</v>
      </c>
      <c r="M26" s="32">
        <v>0.185081</v>
      </c>
      <c r="N26" s="33" t="s">
        <v>38</v>
      </c>
    </row>
    <row r="27" spans="1:14" s="12" customFormat="1" ht="18" customHeight="1" x14ac:dyDescent="0.2">
      <c r="A27" s="21" t="s">
        <v>39</v>
      </c>
      <c r="B27" s="32">
        <v>237.89999999999998</v>
      </c>
      <c r="C27" s="32">
        <v>146.74612099999999</v>
      </c>
      <c r="D27" s="32">
        <v>304.89391938999898</v>
      </c>
      <c r="E27" s="32">
        <v>132.57864000000001</v>
      </c>
      <c r="F27" s="32">
        <v>205.310123</v>
      </c>
      <c r="G27" s="32">
        <v>188.03864400000001</v>
      </c>
      <c r="H27" s="32">
        <v>266.40812199999999</v>
      </c>
      <c r="I27" s="32">
        <v>24.317045</v>
      </c>
      <c r="J27" s="32">
        <v>82.029877999999997</v>
      </c>
      <c r="K27" s="32">
        <v>90</v>
      </c>
      <c r="L27" s="32">
        <v>90</v>
      </c>
      <c r="M27" s="32">
        <v>90</v>
      </c>
      <c r="N27" s="33" t="s">
        <v>40</v>
      </c>
    </row>
    <row r="28" spans="1:14" s="12" customFormat="1" ht="18" customHeight="1" x14ac:dyDescent="0.2">
      <c r="A28" s="21" t="s">
        <v>41</v>
      </c>
      <c r="B28" s="32">
        <v>2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33" t="s">
        <v>42</v>
      </c>
    </row>
    <row r="29" spans="1:14" s="12" customFormat="1" ht="18" customHeight="1" x14ac:dyDescent="0.2">
      <c r="A29" s="21" t="s">
        <v>43</v>
      </c>
      <c r="B29" s="32">
        <v>7.98</v>
      </c>
      <c r="C29" s="32">
        <v>8.7629000000000001</v>
      </c>
      <c r="D29" s="32">
        <v>3.43828829</v>
      </c>
      <c r="E29" s="32">
        <v>2.6666660000000002</v>
      </c>
      <c r="F29" s="32">
        <v>9.0000009999999993</v>
      </c>
      <c r="G29" s="24">
        <v>0</v>
      </c>
      <c r="H29" s="32">
        <v>0</v>
      </c>
      <c r="I29" s="32">
        <v>0</v>
      </c>
      <c r="J29" s="32">
        <v>10</v>
      </c>
      <c r="K29" s="32">
        <v>34.799466000000002</v>
      </c>
      <c r="L29" s="32">
        <v>36.539439600000001</v>
      </c>
      <c r="M29" s="32">
        <v>39.462594600000003</v>
      </c>
      <c r="N29" s="33" t="s">
        <v>44</v>
      </c>
    </row>
    <row r="30" spans="1:14" s="12" customFormat="1" ht="18" customHeight="1" x14ac:dyDescent="0.2">
      <c r="A30" s="21" t="s">
        <v>45</v>
      </c>
      <c r="B30" s="32">
        <v>1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33" t="s">
        <v>46</v>
      </c>
    </row>
    <row r="31" spans="1:14" s="12" customFormat="1" ht="18" customHeight="1" x14ac:dyDescent="0.2">
      <c r="A31" s="34" t="s">
        <v>47</v>
      </c>
      <c r="B31" s="24">
        <v>0</v>
      </c>
      <c r="C31" s="32">
        <v>10.016769999999999</v>
      </c>
      <c r="D31" s="24">
        <v>0</v>
      </c>
      <c r="E31" s="24">
        <v>0</v>
      </c>
      <c r="F31" s="24">
        <v>0</v>
      </c>
      <c r="G31" s="24">
        <v>0</v>
      </c>
      <c r="H31" s="25">
        <v>0</v>
      </c>
      <c r="I31" s="25">
        <v>0</v>
      </c>
      <c r="J31" s="25">
        <v>7.1796600000000002</v>
      </c>
      <c r="K31" s="25">
        <v>24.202472664000002</v>
      </c>
      <c r="L31" s="25">
        <v>42.253150336000004</v>
      </c>
      <c r="M31" s="25">
        <v>44.559408464400001</v>
      </c>
      <c r="N31" s="33" t="s">
        <v>48</v>
      </c>
    </row>
    <row r="32" spans="1:14" s="12" customFormat="1" ht="18" customHeight="1" x14ac:dyDescent="0.2">
      <c r="A32" s="35" t="s">
        <v>49</v>
      </c>
      <c r="B32" s="32">
        <v>60</v>
      </c>
      <c r="C32" s="32">
        <v>60</v>
      </c>
      <c r="D32" s="32">
        <v>36.166326929999997</v>
      </c>
      <c r="E32" s="32">
        <v>40</v>
      </c>
      <c r="F32" s="32">
        <v>39.405994</v>
      </c>
      <c r="G32" s="32">
        <v>76.2</v>
      </c>
      <c r="H32" s="32">
        <v>33.799999999999997</v>
      </c>
      <c r="I32" s="32">
        <v>60</v>
      </c>
      <c r="J32" s="32">
        <v>60</v>
      </c>
      <c r="K32" s="32">
        <v>96.203999999999994</v>
      </c>
      <c r="L32" s="32">
        <v>105.822</v>
      </c>
      <c r="M32" s="32">
        <v>116.40600000000001</v>
      </c>
      <c r="N32" s="23" t="s">
        <v>50</v>
      </c>
    </row>
    <row r="33" spans="1:14" s="12" customFormat="1" ht="18" customHeight="1" x14ac:dyDescent="0.2">
      <c r="A33" s="36" t="s">
        <v>51</v>
      </c>
      <c r="B33" s="32">
        <v>27.4</v>
      </c>
      <c r="C33" s="32">
        <v>24.702947999999999</v>
      </c>
      <c r="D33" s="24">
        <v>0</v>
      </c>
      <c r="E33" s="24">
        <v>0</v>
      </c>
      <c r="F33" s="24">
        <v>0</v>
      </c>
      <c r="G33" s="28">
        <v>3.837278</v>
      </c>
      <c r="H33" s="25">
        <v>17.862296000000001</v>
      </c>
      <c r="I33" s="25">
        <v>50.051968000000002</v>
      </c>
      <c r="J33" s="25">
        <v>53.2</v>
      </c>
      <c r="K33" s="25">
        <v>62.542616850000002</v>
      </c>
      <c r="L33" s="25">
        <v>65.669747692499996</v>
      </c>
      <c r="M33" s="25">
        <v>68.953235077125001</v>
      </c>
      <c r="N33" s="23" t="s">
        <v>52</v>
      </c>
    </row>
    <row r="34" spans="1:14" s="12" customFormat="1" ht="18" customHeight="1" x14ac:dyDescent="0.2">
      <c r="A34" s="36" t="s">
        <v>53</v>
      </c>
      <c r="B34" s="32">
        <v>171.5</v>
      </c>
      <c r="C34" s="32">
        <v>65.525085000000004</v>
      </c>
      <c r="D34" s="32">
        <v>62.790163999999997</v>
      </c>
      <c r="E34" s="32">
        <v>244.34785600000001</v>
      </c>
      <c r="F34" s="24">
        <v>0</v>
      </c>
      <c r="G34" s="24">
        <v>0</v>
      </c>
      <c r="H34" s="25">
        <v>120</v>
      </c>
      <c r="I34" s="25">
        <v>0</v>
      </c>
      <c r="J34" s="25">
        <v>0</v>
      </c>
      <c r="K34" s="25">
        <v>561.64919999999995</v>
      </c>
      <c r="L34" s="25">
        <v>841.56240000000003</v>
      </c>
      <c r="M34" s="25">
        <v>940.59</v>
      </c>
      <c r="N34" s="8" t="s">
        <v>54</v>
      </c>
    </row>
    <row r="35" spans="1:14" s="12" customFormat="1" ht="18" customHeight="1" x14ac:dyDescent="0.2">
      <c r="A35" s="36" t="s">
        <v>55</v>
      </c>
      <c r="B35" s="24">
        <v>0</v>
      </c>
      <c r="C35" s="24">
        <v>0</v>
      </c>
      <c r="D35" s="32">
        <v>6.63</v>
      </c>
      <c r="E35" s="24">
        <v>0</v>
      </c>
      <c r="F35" s="24">
        <v>0</v>
      </c>
      <c r="G35" s="24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8" t="s">
        <v>56</v>
      </c>
    </row>
    <row r="36" spans="1:14" s="12" customFormat="1" ht="18" customHeight="1" x14ac:dyDescent="0.2">
      <c r="A36" s="36" t="s">
        <v>57</v>
      </c>
      <c r="B36" s="24">
        <v>0</v>
      </c>
      <c r="C36" s="24">
        <v>0</v>
      </c>
      <c r="D36" s="24">
        <v>0</v>
      </c>
      <c r="E36" s="24">
        <v>0</v>
      </c>
      <c r="F36" s="32">
        <v>11.05</v>
      </c>
      <c r="G36" s="24">
        <v>0</v>
      </c>
      <c r="H36" s="32">
        <v>11.05</v>
      </c>
      <c r="I36" s="32">
        <v>0</v>
      </c>
      <c r="J36" s="32">
        <v>22.1</v>
      </c>
      <c r="K36" s="32">
        <v>229.495644</v>
      </c>
      <c r="L36" s="32">
        <v>255.13331879999998</v>
      </c>
      <c r="M36" s="32">
        <v>161.65796219999999</v>
      </c>
      <c r="N36" s="37" t="s">
        <v>58</v>
      </c>
    </row>
    <row r="37" spans="1:14" s="12" customFormat="1" ht="18" customHeight="1" x14ac:dyDescent="0.2">
      <c r="A37" s="36" t="s">
        <v>59</v>
      </c>
      <c r="B37" s="32">
        <v>5.5</v>
      </c>
      <c r="C37" s="24">
        <v>0</v>
      </c>
      <c r="D37" s="24">
        <v>0</v>
      </c>
      <c r="E37" s="24">
        <v>0</v>
      </c>
      <c r="F37" s="32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8" t="s">
        <v>60</v>
      </c>
    </row>
    <row r="38" spans="1:14" s="12" customFormat="1" ht="18" customHeight="1" x14ac:dyDescent="0.25">
      <c r="A38" s="36" t="s">
        <v>61</v>
      </c>
      <c r="B38" s="24">
        <v>0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8" t="s">
        <v>62</v>
      </c>
    </row>
    <row r="39" spans="1:14" s="12" customFormat="1" ht="18" customHeight="1" x14ac:dyDescent="0.2">
      <c r="A39" s="36" t="s">
        <v>63</v>
      </c>
      <c r="B39" s="32">
        <v>54.5</v>
      </c>
      <c r="C39" s="32">
        <v>16.276667</v>
      </c>
      <c r="D39" s="32">
        <v>41.804403549999897</v>
      </c>
      <c r="E39" s="32">
        <v>52.75</v>
      </c>
      <c r="F39" s="32">
        <v>95.199361999999994</v>
      </c>
      <c r="G39" s="32">
        <v>43.042678000000002</v>
      </c>
      <c r="H39" s="32">
        <v>0</v>
      </c>
      <c r="I39" s="32">
        <v>30.877223999999998</v>
      </c>
      <c r="J39" s="32">
        <v>102.59079300000001</v>
      </c>
      <c r="K39" s="32">
        <v>101.36250864</v>
      </c>
      <c r="L39" s="32">
        <v>106.317924</v>
      </c>
      <c r="M39" s="32">
        <v>112.37676192000001</v>
      </c>
      <c r="N39" s="23" t="s">
        <v>64</v>
      </c>
    </row>
    <row r="40" spans="1:14" s="12" customFormat="1" ht="18" customHeight="1" x14ac:dyDescent="0.2">
      <c r="A40" s="36" t="s">
        <v>65</v>
      </c>
      <c r="B40" s="24">
        <v>0</v>
      </c>
      <c r="C40" s="24">
        <v>0</v>
      </c>
      <c r="D40" s="24">
        <v>0</v>
      </c>
      <c r="E40" s="32">
        <v>14.306495999999999</v>
      </c>
      <c r="F40" s="32">
        <v>18.859279999999998</v>
      </c>
      <c r="G40" s="32">
        <v>7.8092800000000002</v>
      </c>
      <c r="H40" s="32">
        <v>7.8092800000000002</v>
      </c>
      <c r="I40" s="32">
        <v>19.523199999999999</v>
      </c>
      <c r="J40" s="32">
        <v>27.890625</v>
      </c>
      <c r="K40" s="32">
        <v>7.7673797460000005</v>
      </c>
      <c r="L40" s="32">
        <v>8.6011980460000004</v>
      </c>
      <c r="M40" s="32">
        <v>0</v>
      </c>
      <c r="N40" s="33" t="s">
        <v>66</v>
      </c>
    </row>
    <row r="41" spans="1:14" s="12" customFormat="1" ht="18" customHeight="1" x14ac:dyDescent="0.2">
      <c r="A41" s="34" t="s">
        <v>67</v>
      </c>
      <c r="B41" s="32">
        <v>47.6</v>
      </c>
      <c r="C41" s="32">
        <v>13.870419999999999</v>
      </c>
      <c r="D41" s="32">
        <v>12</v>
      </c>
      <c r="E41" s="24">
        <v>0</v>
      </c>
      <c r="F41" s="32">
        <v>0</v>
      </c>
      <c r="G41" s="24">
        <v>0</v>
      </c>
      <c r="H41" s="24">
        <v>0</v>
      </c>
      <c r="I41" s="24">
        <v>0</v>
      </c>
      <c r="J41" s="24">
        <v>0</v>
      </c>
      <c r="K41" s="32">
        <v>6.2178371759999997</v>
      </c>
      <c r="L41" s="32">
        <v>6.4665216020000003</v>
      </c>
      <c r="M41" s="32">
        <v>6.4665216020000003</v>
      </c>
      <c r="N41" s="8" t="s">
        <v>76</v>
      </c>
    </row>
    <row r="42" spans="1:14" s="12" customFormat="1" ht="18" customHeight="1" x14ac:dyDescent="0.2">
      <c r="A42" s="34" t="s">
        <v>68</v>
      </c>
      <c r="B42" s="24">
        <v>0</v>
      </c>
      <c r="C42" s="24">
        <v>0</v>
      </c>
      <c r="D42" s="24">
        <v>0</v>
      </c>
      <c r="E42" s="24">
        <v>0</v>
      </c>
      <c r="F42" s="32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37" t="s">
        <v>69</v>
      </c>
    </row>
    <row r="43" spans="1:14" s="12" customFormat="1" ht="18" customHeight="1" x14ac:dyDescent="0.2">
      <c r="A43" s="21" t="s">
        <v>70</v>
      </c>
      <c r="B43" s="24">
        <v>0</v>
      </c>
      <c r="C43" s="24">
        <v>0</v>
      </c>
      <c r="D43" s="24">
        <v>0</v>
      </c>
      <c r="E43" s="24">
        <v>0</v>
      </c>
      <c r="F43" s="32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37" t="s">
        <v>71</v>
      </c>
    </row>
    <row r="44" spans="1:14" s="12" customFormat="1" ht="18" customHeight="1" x14ac:dyDescent="0.2">
      <c r="A44" s="21" t="s">
        <v>72</v>
      </c>
      <c r="B44" s="24">
        <v>0</v>
      </c>
      <c r="C44" s="24">
        <v>0</v>
      </c>
      <c r="D44" s="24">
        <v>0</v>
      </c>
      <c r="E44" s="24">
        <v>0</v>
      </c>
      <c r="F44" s="32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37" t="s">
        <v>73</v>
      </c>
    </row>
    <row r="45" spans="1:14" s="12" customFormat="1" ht="18" customHeight="1" x14ac:dyDescent="0.2">
      <c r="A45" s="21" t="s">
        <v>74</v>
      </c>
      <c r="B45" s="24">
        <v>0</v>
      </c>
      <c r="C45" s="24">
        <v>0</v>
      </c>
      <c r="D45" s="24">
        <v>0</v>
      </c>
      <c r="E45" s="24">
        <v>0</v>
      </c>
      <c r="F45" s="32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37" t="s">
        <v>75</v>
      </c>
    </row>
    <row r="46" spans="1:14" s="12" customFormat="1" ht="18" customHeight="1" x14ac:dyDescent="0.2">
      <c r="A46" s="26" t="s">
        <v>77</v>
      </c>
      <c r="B46" s="38">
        <f t="shared" ref="B46:M46" si="11">SUM(B47:B48)</f>
        <v>1517.2</v>
      </c>
      <c r="C46" s="38">
        <f t="shared" si="11"/>
        <v>995.66539599999999</v>
      </c>
      <c r="D46" s="38">
        <f t="shared" si="11"/>
        <v>1218.15239903</v>
      </c>
      <c r="E46" s="38">
        <f>SUM(E47:E48)</f>
        <v>1258.555134</v>
      </c>
      <c r="F46" s="39">
        <f t="shared" si="11"/>
        <v>1131.3926084999998</v>
      </c>
      <c r="G46" s="39">
        <f t="shared" si="11"/>
        <v>1209.1183469999999</v>
      </c>
      <c r="H46" s="39">
        <f>SUM(H47:H48)</f>
        <v>1641.4926660000001</v>
      </c>
      <c r="I46" s="39">
        <f t="shared" si="11"/>
        <v>1336.944409</v>
      </c>
      <c r="J46" s="39">
        <f>SUM(J47:J48)</f>
        <v>1479.4675037190748</v>
      </c>
      <c r="K46" s="39">
        <f>SUM(K47:K48)</f>
        <v>2335.2487957137737</v>
      </c>
      <c r="L46" s="39">
        <f t="shared" si="11"/>
        <v>1906.1986289624733</v>
      </c>
      <c r="M46" s="39">
        <f t="shared" si="11"/>
        <v>1915.0771227157445</v>
      </c>
      <c r="N46" s="23" t="s">
        <v>78</v>
      </c>
    </row>
    <row r="47" spans="1:14" s="12" customFormat="1" ht="18" customHeight="1" x14ac:dyDescent="0.2">
      <c r="A47" s="26" t="s">
        <v>79</v>
      </c>
      <c r="B47" s="40">
        <v>1403.2</v>
      </c>
      <c r="C47" s="40">
        <v>898.39401799999996</v>
      </c>
      <c r="D47" s="40">
        <v>1106.32749016</v>
      </c>
      <c r="E47" s="40">
        <v>1152.1696119999999</v>
      </c>
      <c r="F47" s="32">
        <v>1031.2231979999999</v>
      </c>
      <c r="G47" s="32">
        <v>1106.3326259999999</v>
      </c>
      <c r="H47" s="32">
        <v>1534.5484730000001</v>
      </c>
      <c r="I47" s="32">
        <v>1247.016365</v>
      </c>
      <c r="J47" s="32">
        <v>1373.4137953035399</v>
      </c>
      <c r="K47" s="32">
        <v>1726.3381290105806</v>
      </c>
      <c r="L47" s="32">
        <v>1786.8365138389884</v>
      </c>
      <c r="M47" s="32">
        <v>1782.7898602844825</v>
      </c>
      <c r="N47" s="41" t="s">
        <v>80</v>
      </c>
    </row>
    <row r="48" spans="1:14" s="12" customFormat="1" ht="18" customHeight="1" x14ac:dyDescent="0.2">
      <c r="A48" s="26" t="s">
        <v>81</v>
      </c>
      <c r="B48" s="40">
        <v>114</v>
      </c>
      <c r="C48" s="40">
        <v>97.271377999999999</v>
      </c>
      <c r="D48" s="40">
        <v>111.82490887</v>
      </c>
      <c r="E48" s="40">
        <v>106.38552200000001</v>
      </c>
      <c r="F48" s="32">
        <v>100.1694105</v>
      </c>
      <c r="G48" s="32">
        <v>102.785721</v>
      </c>
      <c r="H48" s="32">
        <v>106.94419299999998</v>
      </c>
      <c r="I48" s="32">
        <v>89.928044</v>
      </c>
      <c r="J48" s="32">
        <v>106.05370841553493</v>
      </c>
      <c r="K48" s="32">
        <v>608.91066670319333</v>
      </c>
      <c r="L48" s="32">
        <v>119.36211512348486</v>
      </c>
      <c r="M48" s="32">
        <v>132.28726243126204</v>
      </c>
      <c r="N48" s="41" t="s">
        <v>82</v>
      </c>
    </row>
    <row r="49" spans="1:14" s="12" customFormat="1" ht="18" customHeight="1" x14ac:dyDescent="0.2">
      <c r="A49" s="26" t="s">
        <v>83</v>
      </c>
      <c r="B49" s="40">
        <v>998.55999999999926</v>
      </c>
      <c r="C49" s="40">
        <v>895.01125499999932</v>
      </c>
      <c r="D49" s="40">
        <v>1113.5066890700002</v>
      </c>
      <c r="E49" s="40">
        <v>1512.4366380000008</v>
      </c>
      <c r="F49" s="32">
        <v>1078.6121423</v>
      </c>
      <c r="G49" s="32">
        <v>957.14032719999977</v>
      </c>
      <c r="H49" s="32">
        <v>1613.5568949999999</v>
      </c>
      <c r="I49" s="32">
        <v>2452.7101360000015</v>
      </c>
      <c r="J49" s="32">
        <v>1754.4086772021262</v>
      </c>
      <c r="K49" s="32">
        <v>1488.748535634717</v>
      </c>
      <c r="L49" s="32">
        <v>1534.481897088313</v>
      </c>
      <c r="M49" s="32">
        <v>1585.8721203104508</v>
      </c>
      <c r="N49" s="41" t="s">
        <v>84</v>
      </c>
    </row>
    <row r="50" spans="1:14" s="12" customFormat="1" ht="18" customHeight="1" x14ac:dyDescent="0.25">
      <c r="A50" s="17" t="s">
        <v>8</v>
      </c>
      <c r="B50" s="42">
        <v>42.3</v>
      </c>
      <c r="C50" s="42">
        <v>13.887772999999999</v>
      </c>
      <c r="D50" s="42">
        <v>49.354096069998995</v>
      </c>
      <c r="E50" s="42">
        <v>534.46453699999995</v>
      </c>
      <c r="F50" s="42">
        <v>48.072814719999997</v>
      </c>
      <c r="G50" s="42">
        <v>268.11802599999999</v>
      </c>
      <c r="H50" s="42">
        <v>124.11061599999999</v>
      </c>
      <c r="I50" s="42">
        <v>120.282314</v>
      </c>
      <c r="J50" s="42">
        <v>786.01080337733936</v>
      </c>
      <c r="K50" s="42">
        <v>701.87305021011116</v>
      </c>
      <c r="L50" s="42">
        <v>284.18569796385151</v>
      </c>
      <c r="M50" s="42">
        <v>276.55827715723785</v>
      </c>
      <c r="N50" s="41" t="s">
        <v>85</v>
      </c>
    </row>
    <row r="51" spans="1:14" s="12" customFormat="1" ht="18" customHeight="1" x14ac:dyDescent="0.25">
      <c r="A51" s="43" t="s">
        <v>86</v>
      </c>
      <c r="B51" s="44">
        <v>517</v>
      </c>
      <c r="C51" s="44">
        <v>421.515827</v>
      </c>
      <c r="D51" s="44">
        <v>154.54323556</v>
      </c>
      <c r="E51" s="44">
        <v>732.43525699999998</v>
      </c>
      <c r="F51" s="44">
        <v>366.669873</v>
      </c>
      <c r="G51" s="44">
        <v>117.65522752999999</v>
      </c>
      <c r="H51" s="44">
        <v>165.27382499999999</v>
      </c>
      <c r="I51" s="44">
        <v>636.94119636999983</v>
      </c>
      <c r="J51" s="44">
        <v>478.86920934666665</v>
      </c>
      <c r="K51" s="44">
        <v>875.60900800000002</v>
      </c>
      <c r="L51" s="44">
        <v>905.50853600000005</v>
      </c>
      <c r="M51" s="44">
        <v>964.30859999999996</v>
      </c>
      <c r="N51" s="45" t="s">
        <v>87</v>
      </c>
    </row>
    <row r="52" spans="1:14" s="12" customFormat="1" ht="13.5" x14ac:dyDescent="0.25">
      <c r="A52" s="13" t="s">
        <v>111</v>
      </c>
      <c r="B52" s="46"/>
      <c r="C52" s="46"/>
      <c r="D52" s="46"/>
      <c r="E52" s="47"/>
      <c r="F52" s="47"/>
      <c r="G52" s="47"/>
      <c r="H52" s="47"/>
      <c r="I52" s="47"/>
      <c r="J52" s="47"/>
      <c r="K52" s="47"/>
      <c r="L52" s="47"/>
      <c r="M52" s="47"/>
      <c r="N52" s="48" t="s">
        <v>88</v>
      </c>
    </row>
    <row r="53" spans="1:14" s="12" customFormat="1" ht="13.5" x14ac:dyDescent="0.25">
      <c r="A53" s="13" t="s">
        <v>89</v>
      </c>
      <c r="B53" s="46"/>
      <c r="C53" s="46"/>
      <c r="D53" s="46"/>
      <c r="E53" s="47"/>
      <c r="F53" s="47"/>
      <c r="G53" s="47"/>
      <c r="H53" s="47"/>
      <c r="I53" s="47"/>
      <c r="J53" s="47"/>
      <c r="K53" s="47"/>
      <c r="L53" s="47"/>
      <c r="M53" s="47"/>
      <c r="N53" s="48" t="s">
        <v>90</v>
      </c>
    </row>
    <row r="54" spans="1:14" s="12" customFormat="1" ht="13.5" x14ac:dyDescent="0.25">
      <c r="A54" s="13" t="s">
        <v>91</v>
      </c>
      <c r="B54" s="46"/>
      <c r="C54" s="46"/>
      <c r="D54" s="46"/>
      <c r="E54" s="47"/>
      <c r="F54" s="47"/>
      <c r="G54" s="47"/>
      <c r="H54" s="47"/>
      <c r="I54" s="47"/>
      <c r="J54" s="47"/>
      <c r="K54" s="47"/>
      <c r="L54" s="47"/>
      <c r="M54" s="47"/>
      <c r="N54" s="48" t="s">
        <v>92</v>
      </c>
    </row>
    <row r="55" spans="1:14" s="12" customFormat="1" ht="13.5" x14ac:dyDescent="0.25">
      <c r="A55" s="13" t="s">
        <v>101</v>
      </c>
      <c r="B55" s="46"/>
      <c r="C55" s="46"/>
      <c r="D55" s="46"/>
      <c r="E55" s="47"/>
      <c r="F55" s="47"/>
      <c r="G55" s="47"/>
      <c r="H55" s="47"/>
      <c r="I55" s="47"/>
      <c r="J55" s="47"/>
      <c r="K55" s="47"/>
      <c r="L55" s="47"/>
      <c r="M55" s="47"/>
      <c r="N55" s="48" t="s">
        <v>96</v>
      </c>
    </row>
    <row r="56" spans="1:14" ht="13.5" x14ac:dyDescent="0.25">
      <c r="A56" s="51" t="s">
        <v>103</v>
      </c>
      <c r="N56" s="48" t="s">
        <v>94</v>
      </c>
    </row>
    <row r="57" spans="1:14" s="12" customFormat="1" ht="17.25" x14ac:dyDescent="0.25">
      <c r="A57" s="52" t="s">
        <v>104</v>
      </c>
      <c r="N57" s="49"/>
    </row>
    <row r="58" spans="1:14" s="12" customFormat="1" ht="15" customHeight="1" x14ac:dyDescent="0.25">
      <c r="A58" s="52" t="s">
        <v>105</v>
      </c>
    </row>
    <row r="59" spans="1:14" ht="15" customHeight="1" x14ac:dyDescent="0.25">
      <c r="A59" s="52" t="s">
        <v>109</v>
      </c>
    </row>
    <row r="60" spans="1:14" x14ac:dyDescent="0.25">
      <c r="A60" s="13" t="s">
        <v>93</v>
      </c>
    </row>
    <row r="61" spans="1:14" s="11" customFormat="1" ht="12" x14ac:dyDescent="0.25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</row>
    <row r="66" spans="1:1" x14ac:dyDescent="0.25">
      <c r="A66" s="50"/>
    </row>
  </sheetData>
  <mergeCells count="4">
    <mergeCell ref="A1:N1"/>
    <mergeCell ref="A2:N2"/>
    <mergeCell ref="A3:N3"/>
    <mergeCell ref="A4:N4"/>
  </mergeCells>
  <pageMargins left="0.17" right="0.16" top="0.41" bottom="0.36" header="0.3" footer="0.3"/>
  <pageSetup paperSize="9" scale="8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13.3</vt:lpstr>
      <vt:lpstr>'13.3'!Print_Titles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2017-06-05T07:44:58Z</cp:lastPrinted>
  <dcterms:created xsi:type="dcterms:W3CDTF">2014-03-06T08:38:12Z</dcterms:created>
  <dcterms:modified xsi:type="dcterms:W3CDTF">2017-06-05T07:45:00Z</dcterms:modified>
</cp:coreProperties>
</file>