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4" sheetId="4" r:id="rId1"/>
  </sheets>
  <externalReferences>
    <externalReference r:id="rId2"/>
  </externalReferences>
  <definedNames>
    <definedName name="_xlnm.Print_Area" localSheetId="0">'13.4'!$A$1:$V$40</definedName>
  </definedNames>
  <calcPr calcId="144525"/>
</workbook>
</file>

<file path=xl/calcChain.xml><?xml version="1.0" encoding="utf-8"?>
<calcChain xmlns="http://schemas.openxmlformats.org/spreadsheetml/2006/main">
  <c r="P27" i="4" l="1"/>
  <c r="P10" i="4"/>
  <c r="P8" i="4"/>
  <c r="P9" i="4"/>
  <c r="P22" i="4"/>
  <c r="Q10" i="4"/>
  <c r="Q9" i="4"/>
  <c r="N28" i="4" l="1"/>
  <c r="N27" i="4" s="1"/>
  <c r="N24" i="4"/>
  <c r="N10" i="4"/>
  <c r="N9" i="4" s="1"/>
  <c r="N8" i="4" l="1"/>
  <c r="T15" i="4" l="1"/>
  <c r="T34" i="4" l="1"/>
  <c r="T33" i="4"/>
  <c r="T32" i="4"/>
  <c r="T31" i="4"/>
  <c r="T29" i="4"/>
  <c r="T26" i="4"/>
  <c r="T25" i="4"/>
  <c r="T23" i="4"/>
  <c r="T22" i="4"/>
  <c r="T20" i="4"/>
  <c r="T18" i="4"/>
  <c r="T17" i="4"/>
  <c r="T16" i="4"/>
  <c r="T14" i="4"/>
  <c r="T13" i="4"/>
  <c r="T12" i="4"/>
  <c r="T11" i="4"/>
  <c r="H24" i="4"/>
  <c r="I24" i="4"/>
  <c r="J24" i="4"/>
  <c r="K24" i="4"/>
  <c r="L24" i="4"/>
  <c r="M24" i="4"/>
  <c r="T24" i="4" l="1"/>
  <c r="I10" i="4"/>
  <c r="I28" i="4"/>
  <c r="I27" i="4" s="1"/>
  <c r="J28" i="4"/>
  <c r="J27" i="4" s="1"/>
  <c r="K28" i="4"/>
  <c r="L28" i="4"/>
  <c r="L27" i="4" s="1"/>
  <c r="M28" i="4"/>
  <c r="M27" i="4" s="1"/>
  <c r="J10" i="4"/>
  <c r="J9" i="4" s="1"/>
  <c r="K10" i="4"/>
  <c r="L10" i="4"/>
  <c r="L9" i="4" s="1"/>
  <c r="M10" i="4"/>
  <c r="T10" i="4" l="1"/>
  <c r="T28" i="4"/>
  <c r="K27" i="4"/>
  <c r="M9" i="4"/>
  <c r="M8" i="4" s="1"/>
  <c r="K9" i="4"/>
  <c r="T27" i="4" l="1"/>
  <c r="T9" i="4"/>
  <c r="S13" i="4" l="1"/>
  <c r="S18" i="4" l="1"/>
  <c r="S11" i="4"/>
  <c r="S12" i="4"/>
  <c r="S14" i="4"/>
  <c r="S15" i="4"/>
  <c r="S16" i="4"/>
  <c r="S17" i="4"/>
  <c r="S20" i="4"/>
  <c r="S22" i="4"/>
  <c r="S23" i="4"/>
  <c r="S24" i="4"/>
  <c r="S25" i="4"/>
  <c r="S26" i="4"/>
  <c r="S28" i="4"/>
  <c r="S29" i="4"/>
  <c r="S31" i="4"/>
  <c r="S32" i="4"/>
  <c r="S33" i="4"/>
  <c r="S34" i="4"/>
  <c r="L8" i="4" l="1"/>
  <c r="K8" i="4" l="1"/>
  <c r="H28" i="4"/>
  <c r="H27" i="4" s="1"/>
  <c r="G28" i="4"/>
  <c r="G27" i="4" s="1"/>
  <c r="F28" i="4"/>
  <c r="F27" i="4" s="1"/>
  <c r="E28" i="4"/>
  <c r="E27" i="4" s="1"/>
  <c r="D28" i="4"/>
  <c r="D27" i="4" s="1"/>
  <c r="C28" i="4"/>
  <c r="C27" i="4" s="1"/>
  <c r="B28" i="4"/>
  <c r="B27" i="4" s="1"/>
  <c r="G24" i="4"/>
  <c r="F24" i="4"/>
  <c r="E24" i="4"/>
  <c r="D24" i="4"/>
  <c r="C24" i="4"/>
  <c r="B24" i="4"/>
  <c r="H10" i="4"/>
  <c r="H9" i="4" s="1"/>
  <c r="G10" i="4"/>
  <c r="F10" i="4"/>
  <c r="E10" i="4"/>
  <c r="D10" i="4"/>
  <c r="C10" i="4"/>
  <c r="B10" i="4"/>
  <c r="C9" i="4" l="1"/>
  <c r="Q20" i="4"/>
  <c r="Q30" i="4"/>
  <c r="Q23" i="4"/>
  <c r="Q13" i="4"/>
  <c r="Q11" i="4"/>
  <c r="Q32" i="4"/>
  <c r="Q25" i="4"/>
  <c r="Q33" i="4"/>
  <c r="Q17" i="4"/>
  <c r="Q26" i="4"/>
  <c r="Q34" i="4"/>
  <c r="Q16" i="4"/>
  <c r="Q8" i="4"/>
  <c r="Q37" i="4"/>
  <c r="Q15" i="4"/>
  <c r="Q18" i="4"/>
  <c r="Q14" i="4"/>
  <c r="Q29" i="4"/>
  <c r="Q22" i="4"/>
  <c r="Q12" i="4"/>
  <c r="Q31" i="4"/>
  <c r="Q24" i="4"/>
  <c r="Q28" i="4"/>
  <c r="Q27" i="4"/>
  <c r="G9" i="4"/>
  <c r="G8" i="4" s="1"/>
  <c r="D9" i="4"/>
  <c r="E9" i="4"/>
  <c r="E8" i="4" s="1"/>
  <c r="F9" i="4"/>
  <c r="F8" i="4" s="1"/>
  <c r="B9" i="4"/>
  <c r="B8" i="4" s="1"/>
  <c r="I9" i="4"/>
  <c r="S9" i="4" s="1"/>
  <c r="S10" i="4"/>
  <c r="H8" i="4"/>
  <c r="C8" i="4"/>
  <c r="D8" i="4"/>
  <c r="I8" i="4" l="1"/>
  <c r="J8" i="4"/>
  <c r="S27" i="4"/>
  <c r="S8" i="4" l="1"/>
  <c r="T8" i="4"/>
  <c r="P11" i="4"/>
  <c r="P12" i="4"/>
  <c r="P20" i="4"/>
  <c r="P34" i="4"/>
  <c r="P24" i="4"/>
  <c r="P26" i="4"/>
  <c r="P28" i="4"/>
  <c r="P30" i="4"/>
  <c r="P32" i="4"/>
  <c r="P37" i="4"/>
  <c r="P14" i="4"/>
  <c r="P16" i="4"/>
  <c r="P17" i="4"/>
  <c r="P15" i="4"/>
  <c r="P18" i="4"/>
  <c r="P23" i="4"/>
  <c r="P25" i="4"/>
  <c r="P29" i="4"/>
  <c r="P31" i="4"/>
  <c r="P33" i="4"/>
  <c r="P13" i="4"/>
</calcChain>
</file>

<file path=xl/sharedStrings.xml><?xml version="1.0" encoding="utf-8"?>
<sst xmlns="http://schemas.openxmlformats.org/spreadsheetml/2006/main" count="84" uniqueCount="77">
  <si>
    <t>Particulars</t>
  </si>
  <si>
    <t>clIBcfwt</t>
  </si>
  <si>
    <t>Actual</t>
  </si>
  <si>
    <t>Revised</t>
  </si>
  <si>
    <t>Expenditure and net lending</t>
  </si>
  <si>
    <t>Current expenditure</t>
  </si>
  <si>
    <t>udwrwK Wditenivua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</si>
  <si>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</si>
  <si>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</si>
  <si>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</si>
  <si>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</si>
  <si>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</si>
  <si>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ikWbufWs egInwrwd EverukUd iaWdwrwK wlcmuj</t>
  </si>
  <si>
    <t>Expenditure on goods and services</t>
  </si>
  <si>
    <t>udwrwK unuveruk cSwtwmcdiK iaWSwCcaekwt</t>
  </si>
  <si>
    <t xml:space="preserve">  Salaries and wages</t>
  </si>
  <si>
    <t>wrUjua iaWawrWsum</t>
  </si>
  <si>
    <t xml:space="preserve">  Other allowances</t>
  </si>
  <si>
    <t>Eved cSwncnufwzcawvum cnutogctog cnehinehea</t>
  </si>
  <si>
    <t xml:space="preserve">  Other benefits and gratuities</t>
  </si>
  <si>
    <t>Wsiawf EdcSwkwtog cnUn cSwkwtwmcdiKikwv</t>
  </si>
  <si>
    <t xml:space="preserve">  Travel expenses</t>
  </si>
  <si>
    <t>udwrwK egumurukurutwd</t>
  </si>
  <si>
    <t xml:space="preserve">  Supplies and requisites</t>
  </si>
  <si>
    <t>cnudOh itekwt iaWSwmutwgitekwt</t>
  </si>
  <si>
    <t xml:space="preserve">  Repairs and maintenance</t>
  </si>
  <si>
    <t>cSwmuTcaeheleb iaWSwmurukutWmWrwm</t>
  </si>
  <si>
    <t xml:space="preserve">  Transportation, communication,</t>
  </si>
  <si>
    <t>EverukcnunEb iaWtWlwBWvum iaWmulufua itekwt</t>
  </si>
  <si>
    <t xml:space="preserve">  utilities, and other services </t>
  </si>
  <si>
    <t>udwrwK egutwmcdiK</t>
  </si>
  <si>
    <t xml:space="preserve">  Subscriptions, membership fees, etc,</t>
  </si>
  <si>
    <t>egWtcnwt iaWkwtctwAWmwj ikeaikea egurEb</t>
  </si>
  <si>
    <t xml:space="preserve">  to international organizations </t>
  </si>
  <si>
    <t>Wsiawf Eved cSwaWdcnwC</t>
  </si>
  <si>
    <t xml:space="preserve">  Social welfare contributions and transfers</t>
  </si>
  <si>
    <t>Wsiawf egIheaEved iawkwTcSwaWdiawf egutwAWmwj</t>
  </si>
  <si>
    <t>Interest payments</t>
  </si>
  <si>
    <t>udwrwK egutwmcdiK Eved cSwaWsiawf Wviawfigen cSwNcnwrwd</t>
  </si>
  <si>
    <t>Subsidies and transfers</t>
  </si>
  <si>
    <t>cSwmurukulwdwb iaWSwaIDiscbws</t>
  </si>
  <si>
    <t xml:space="preserve">  Food, medicine and other  </t>
  </si>
  <si>
    <t>cSwaIDiscbws eguhEb iaWCcaekwtObWk</t>
  </si>
  <si>
    <t xml:space="preserve">  Pension</t>
  </si>
  <si>
    <t xml:space="preserve">cSwnwxcnep </t>
  </si>
  <si>
    <t>Capital expenditure and net lending</t>
  </si>
  <si>
    <t>IkWbufWs egInwrwd EverukUd idwa udwrwK ivinwncnuhimed</t>
  </si>
  <si>
    <t xml:space="preserve">  Development expenditure</t>
  </si>
  <si>
    <t>udwrwK Everuk iawkwTcSwaIqcawrwt</t>
  </si>
  <si>
    <t xml:space="preserve">  Foreign loan-financed</t>
  </si>
  <si>
    <t>udwrwK Everuk cnunOlEbil cnurEb</t>
  </si>
  <si>
    <t>Other 1_/</t>
  </si>
  <si>
    <t>1_/ cnutogctog cnehinehea</t>
  </si>
  <si>
    <t>Memorandum item:</t>
  </si>
  <si>
    <t>caeacmwTiawa Wviawfiveruk cDrOker iawkwTcSwnWdwh</t>
  </si>
  <si>
    <t>Capital contributions to</t>
  </si>
  <si>
    <t>Wtcnwt iaWkwtctwAWmwj ikeaikea egurEb</t>
  </si>
  <si>
    <t xml:space="preserve">      foreign organizations </t>
  </si>
  <si>
    <t>cSwmukcaed cSwlWmcsuawr</t>
  </si>
  <si>
    <t>Wsiawf EverukudwrwK cSwaIqcawrwt  cnegibil iawgutog egIhea Elih egurEb iaWncnEjcaWr Inenemih iawgiawbim 1_/</t>
  </si>
  <si>
    <t>ބެހިފައިވާ ގޮތް އިން ސައްތައިން</t>
  </si>
  <si>
    <t>Percentage Share</t>
  </si>
  <si>
    <t>Percentage Change</t>
  </si>
  <si>
    <t>އިތުރުވި މިންވަރު</t>
  </si>
  <si>
    <t>(In million MVR)</t>
  </si>
  <si>
    <t>cawtunOl egEretea</t>
  </si>
  <si>
    <t xml:space="preserve">  Training expenses</t>
  </si>
  <si>
    <t>unIrcmwt</t>
  </si>
  <si>
    <t xml:space="preserve">  Domestic Loan</t>
  </si>
  <si>
    <t xml:space="preserve">  Grant Financed</t>
  </si>
  <si>
    <t xml:space="preserve">  Domestic PSIP</t>
  </si>
  <si>
    <t>2014-2015</t>
  </si>
  <si>
    <t>2015-2016</t>
  </si>
  <si>
    <t>Table  13.4 :  ECONOMIC CLASSIFICATION OF CENTRAL GOVERNMENT EXPENDITURE AND NET LENDING, 2014 - 2019</t>
  </si>
  <si>
    <t>2019 - 2014 ,IkWbufWs egInwrwd iaWdwrwK EverukcnurWkurws cnutogegukwtiawb IdWBitcqia : 13.4 ulwvWt</t>
  </si>
  <si>
    <t>Estimate</t>
  </si>
  <si>
    <t xml:space="preserve"> 1_/  Comprises development expenditure financed from domestic sources and by foreign grants.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</si>
</sst>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69" formatCode="0.0_);\(0.0\)"/>
    <numFmt numFmtId="170" formatCode="_-* #,##0.00_-;\-* #,##0.00_-;_-* &quot;-&quot;??_-;_-@_-"/>
    <numFmt numFmtId="171" formatCode="#,##0.00\ ;&quot; (&quot;#,##0.00\);&quot; -&quot;#\ ;@\ 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sz val="9"/>
      <color theme="1"/>
      <name val="A_Randhoo"/>
    </font>
    <font>
      <sz val="9"/>
      <color theme="1"/>
      <name val="Akuru"/>
      <family val="2"/>
      <charset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kuru"/>
      <family val="2"/>
      <charset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94">
    <xf numFmtId="0" fontId="0" fillId="0" borderId="0" xfId="0"/>
    <xf numFmtId="164" fontId="10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1" xfId="2" applyNumberFormat="1" applyFont="1" applyFill="1" applyBorder="1" applyAlignment="1" applyProtection="1">
      <alignment horizontal="right" vertical="center"/>
    </xf>
    <xf numFmtId="164" fontId="16" fillId="2" borderId="0" xfId="2" applyNumberFormat="1" applyFont="1" applyFill="1" applyAlignment="1">
      <alignment vertical="center"/>
    </xf>
    <xf numFmtId="165" fontId="8" fillId="2" borderId="0" xfId="2" applyNumberFormat="1" applyFont="1" applyFill="1" applyAlignment="1">
      <alignment horizontal="right" vertical="center"/>
    </xf>
    <xf numFmtId="165" fontId="17" fillId="2" borderId="0" xfId="2" applyNumberFormat="1" applyFont="1" applyFill="1" applyAlignment="1">
      <alignment horizontal="right" vertical="center"/>
    </xf>
    <xf numFmtId="164" fontId="9" fillId="2" borderId="0" xfId="2" applyNumberFormat="1" applyFont="1" applyFill="1" applyAlignment="1">
      <alignment vertical="center"/>
    </xf>
    <xf numFmtId="164" fontId="19" fillId="2" borderId="0" xfId="2" applyNumberFormat="1" applyFont="1" applyFill="1" applyAlignment="1">
      <alignment vertical="center"/>
    </xf>
    <xf numFmtId="165" fontId="17" fillId="2" borderId="2" xfId="2" applyNumberFormat="1" applyFont="1" applyFill="1" applyBorder="1" applyAlignment="1">
      <alignment horizontal="right" vertical="center"/>
    </xf>
    <xf numFmtId="164" fontId="14" fillId="2" borderId="0" xfId="2" applyNumberFormat="1" applyFont="1" applyFill="1" applyAlignment="1" applyProtection="1">
      <alignment horizontal="left" vertical="center"/>
    </xf>
    <xf numFmtId="165" fontId="17" fillId="2" borderId="0" xfId="2" applyNumberFormat="1" applyFont="1" applyFill="1" applyBorder="1" applyAlignment="1">
      <alignment horizontal="righ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17" fillId="2" borderId="0" xfId="2" applyNumberFormat="1" applyFont="1" applyFill="1" applyAlignment="1">
      <alignment horizontal="right" vertical="center"/>
    </xf>
    <xf numFmtId="164" fontId="9" fillId="2" borderId="0" xfId="2" applyNumberFormat="1" applyFont="1" applyFill="1" applyBorder="1" applyAlignment="1">
      <alignment vertical="center"/>
    </xf>
    <xf numFmtId="164" fontId="10" fillId="2" borderId="2" xfId="2" applyNumberFormat="1" applyFont="1" applyFill="1" applyBorder="1" applyAlignment="1" applyProtection="1">
      <alignment horizontal="right" vertical="center"/>
    </xf>
    <xf numFmtId="41" fontId="20" fillId="2" borderId="0" xfId="3" applyNumberFormat="1" applyFont="1" applyFill="1" applyAlignment="1" applyProtection="1">
      <alignment horizontal="right" vertical="center"/>
      <protection locked="0"/>
    </xf>
    <xf numFmtId="37" fontId="13" fillId="2" borderId="0" xfId="2" applyNumberFormat="1" applyFont="1" applyFill="1" applyAlignment="1" applyProtection="1">
      <alignment vertical="center"/>
    </xf>
    <xf numFmtId="164" fontId="16" fillId="2" borderId="0" xfId="2" applyNumberFormat="1" applyFont="1" applyFill="1" applyBorder="1" applyAlignment="1">
      <alignment vertical="center"/>
    </xf>
    <xf numFmtId="164" fontId="9" fillId="2" borderId="3" xfId="2" applyNumberFormat="1" applyFont="1" applyFill="1" applyBorder="1" applyAlignment="1" applyProtection="1">
      <alignment horizontal="center" vertical="center"/>
    </xf>
    <xf numFmtId="164" fontId="12" fillId="2" borderId="11" xfId="2" applyNumberFormat="1" applyFont="1" applyFill="1" applyBorder="1" applyAlignment="1" applyProtection="1">
      <alignment horizontal="center" vertical="center"/>
    </xf>
    <xf numFmtId="164" fontId="10" fillId="2" borderId="0" xfId="2" applyNumberFormat="1" applyFont="1" applyFill="1" applyBorder="1" applyAlignment="1" applyProtection="1">
      <alignment horizontal="center" vertical="center"/>
      <protection locked="0"/>
    </xf>
    <xf numFmtId="164" fontId="10" fillId="2" borderId="13" xfId="2" applyNumberFormat="1" applyFont="1" applyFill="1" applyBorder="1" applyAlignment="1" applyProtection="1">
      <alignment horizontal="right" vertical="center"/>
    </xf>
    <xf numFmtId="164" fontId="10" fillId="2" borderId="10" xfId="2" applyNumberFormat="1" applyFont="1" applyFill="1" applyBorder="1" applyAlignment="1" applyProtection="1">
      <alignment horizontal="right" vertical="center"/>
    </xf>
    <xf numFmtId="168" fontId="10" fillId="2" borderId="2" xfId="2" applyNumberFormat="1" applyFont="1" applyFill="1" applyBorder="1" applyAlignment="1" applyProtection="1">
      <alignment horizontal="right" vertical="center"/>
      <protection locked="0"/>
    </xf>
    <xf numFmtId="1" fontId="9" fillId="2" borderId="2" xfId="2" applyNumberFormat="1" applyFont="1" applyFill="1" applyBorder="1" applyAlignment="1">
      <alignment vertical="center"/>
    </xf>
    <xf numFmtId="164" fontId="10" fillId="2" borderId="0" xfId="2" applyNumberFormat="1" applyFont="1" applyFill="1" applyAlignment="1" applyProtection="1">
      <alignment horizontal="left" vertical="center"/>
    </xf>
    <xf numFmtId="165" fontId="10" fillId="2" borderId="0" xfId="2" applyNumberFormat="1" applyFont="1" applyFill="1" applyAlignment="1" applyProtection="1">
      <alignment horizontal="right" vertical="center"/>
    </xf>
    <xf numFmtId="165" fontId="10" fillId="2" borderId="0" xfId="2" applyNumberFormat="1" applyFont="1" applyFill="1" applyAlignment="1" applyProtection="1">
      <alignment horizontal="right" vertical="center"/>
      <protection locked="0"/>
    </xf>
    <xf numFmtId="165" fontId="10" fillId="2" borderId="4" xfId="2" applyNumberFormat="1" applyFont="1" applyFill="1" applyBorder="1" applyAlignment="1" applyProtection="1">
      <alignment horizontal="right" vertical="center"/>
      <protection locked="0"/>
    </xf>
    <xf numFmtId="165" fontId="10" fillId="2" borderId="3" xfId="2" applyNumberFormat="1" applyFont="1" applyFill="1" applyBorder="1" applyAlignment="1" applyProtection="1">
      <alignment horizontal="right" vertical="center"/>
      <protection locked="0"/>
    </xf>
    <xf numFmtId="165" fontId="10" fillId="2" borderId="9" xfId="2" applyNumberFormat="1" applyFont="1" applyFill="1" applyBorder="1" applyAlignment="1" applyProtection="1">
      <alignment horizontal="right" vertical="center"/>
      <protection locked="0"/>
    </xf>
    <xf numFmtId="168" fontId="10" fillId="2" borderId="0" xfId="1" applyNumberFormat="1" applyFont="1" applyFill="1" applyBorder="1" applyAlignment="1" applyProtection="1">
      <alignment horizontal="right" vertical="center" indent="2"/>
    </xf>
    <xf numFmtId="164" fontId="8" fillId="2" borderId="0" xfId="2" applyNumberFormat="1" applyFont="1" applyFill="1" applyAlignment="1">
      <alignment horizontal="right" vertical="center"/>
    </xf>
    <xf numFmtId="165" fontId="10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Alignment="1" applyProtection="1">
      <alignment horizontal="left" vertical="center"/>
    </xf>
    <xf numFmtId="165" fontId="13" fillId="2" borderId="9" xfId="2" applyNumberFormat="1" applyFont="1" applyFill="1" applyBorder="1" applyAlignment="1" applyProtection="1">
      <alignment horizontal="right" vertical="center"/>
      <protection locked="0"/>
    </xf>
    <xf numFmtId="167" fontId="13" fillId="2" borderId="0" xfId="1" applyNumberFormat="1" applyFont="1" applyFill="1" applyBorder="1" applyAlignment="1" applyProtection="1">
      <alignment horizontal="center" vertical="center"/>
      <protection locked="0"/>
    </xf>
    <xf numFmtId="165" fontId="13" fillId="2" borderId="0" xfId="2" applyNumberFormat="1" applyFont="1" applyFill="1" applyBorder="1" applyAlignment="1" applyProtection="1">
      <alignment horizontal="center" vertical="center"/>
      <protection locked="0"/>
    </xf>
    <xf numFmtId="165" fontId="13" fillId="2" borderId="9" xfId="2" applyNumberFormat="1" applyFont="1" applyFill="1" applyBorder="1" applyAlignment="1" applyProtection="1">
      <alignment vertical="center"/>
      <protection locked="0"/>
    </xf>
    <xf numFmtId="164" fontId="10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Alignment="1" applyProtection="1">
      <alignment vertical="center"/>
    </xf>
    <xf numFmtId="164" fontId="18" fillId="2" borderId="0" xfId="2" applyNumberFormat="1" applyFont="1" applyFill="1" applyAlignment="1">
      <alignment horizontal="right" vertical="center"/>
    </xf>
    <xf numFmtId="169" fontId="10" fillId="2" borderId="0" xfId="2" applyNumberFormat="1" applyFont="1" applyFill="1" applyAlignment="1" applyProtection="1">
      <alignment horizontal="right" vertical="center"/>
      <protection locked="0"/>
    </xf>
    <xf numFmtId="41" fontId="20" fillId="2" borderId="4" xfId="3" applyNumberFormat="1" applyFont="1" applyFill="1" applyBorder="1" applyAlignment="1" applyProtection="1">
      <alignment horizontal="right" vertical="center"/>
      <protection locked="0"/>
    </xf>
    <xf numFmtId="41" fontId="20" fillId="2" borderId="0" xfId="3" applyNumberFormat="1" applyFont="1" applyFill="1" applyBorder="1" applyAlignment="1" applyProtection="1">
      <alignment horizontal="right" vertical="center"/>
      <protection locked="0"/>
    </xf>
    <xf numFmtId="41" fontId="20" fillId="2" borderId="9" xfId="3" applyNumberFormat="1" applyFont="1" applyFill="1" applyBorder="1" applyAlignment="1" applyProtection="1">
      <alignment horizontal="right" vertical="center"/>
      <protection locked="0"/>
    </xf>
    <xf numFmtId="164" fontId="21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5" fontId="13" fillId="2" borderId="2" xfId="2" applyNumberFormat="1" applyFont="1" applyFill="1" applyBorder="1" applyAlignment="1" applyProtection="1">
      <alignment horizontal="right" vertical="center"/>
      <protection locked="0"/>
    </xf>
    <xf numFmtId="165" fontId="10" fillId="2" borderId="5" xfId="2" applyNumberFormat="1" applyFont="1" applyFill="1" applyBorder="1" applyAlignment="1" applyProtection="1">
      <alignment horizontal="right" vertical="center"/>
      <protection locked="0"/>
    </xf>
    <xf numFmtId="165" fontId="10" fillId="2" borderId="2" xfId="2" applyNumberFormat="1" applyFont="1" applyFill="1" applyBorder="1" applyAlignment="1" applyProtection="1">
      <alignment horizontal="right" vertical="center"/>
      <protection locked="0"/>
    </xf>
    <xf numFmtId="165" fontId="10" fillId="2" borderId="10" xfId="2" applyNumberFormat="1" applyFont="1" applyFill="1" applyBorder="1" applyAlignment="1" applyProtection="1">
      <alignment horizontal="right" vertical="center"/>
      <protection locked="0"/>
    </xf>
    <xf numFmtId="165" fontId="10" fillId="2" borderId="2" xfId="2" applyNumberFormat="1" applyFont="1" applyFill="1" applyBorder="1" applyAlignment="1" applyProtection="1">
      <alignment horizontal="right" vertical="center" indent="2"/>
      <protection locked="0"/>
    </xf>
    <xf numFmtId="164" fontId="14" fillId="2" borderId="0" xfId="2" applyNumberFormat="1" applyFont="1" applyFill="1" applyAlignment="1" applyProtection="1">
      <alignment horizontal="left"/>
    </xf>
    <xf numFmtId="168" fontId="13" fillId="2" borderId="0" xfId="2" applyNumberFormat="1" applyFont="1" applyFill="1" applyAlignment="1" applyProtection="1">
      <alignment horizontal="right" vertical="center"/>
    </xf>
    <xf numFmtId="168" fontId="19" fillId="2" borderId="0" xfId="2" applyNumberFormat="1" applyFont="1" applyFill="1" applyAlignment="1">
      <alignment horizontal="right" vertical="center"/>
    </xf>
    <xf numFmtId="1" fontId="19" fillId="2" borderId="0" xfId="2" applyNumberFormat="1" applyFont="1" applyFill="1" applyAlignment="1">
      <alignment vertical="center"/>
    </xf>
    <xf numFmtId="168" fontId="16" fillId="2" borderId="0" xfId="2" applyNumberFormat="1" applyFont="1" applyFill="1" applyAlignment="1">
      <alignment horizontal="right" vertical="center"/>
    </xf>
    <xf numFmtId="1" fontId="16" fillId="2" borderId="0" xfId="2" applyNumberFormat="1" applyFont="1" applyFill="1" applyAlignment="1">
      <alignment vertical="center"/>
    </xf>
    <xf numFmtId="165" fontId="13" fillId="2" borderId="4" xfId="2" applyNumberFormat="1" applyFont="1" applyFill="1" applyBorder="1" applyAlignment="1" applyProtection="1">
      <alignment horizontal="right" vertical="center"/>
      <protection locked="0"/>
    </xf>
    <xf numFmtId="165" fontId="10" fillId="2" borderId="6" xfId="2" applyNumberFormat="1" applyFont="1" applyFill="1" applyBorder="1" applyAlignment="1" applyProtection="1">
      <alignment horizontal="right" vertical="center"/>
      <protection locked="0"/>
    </xf>
    <xf numFmtId="164" fontId="10" fillId="2" borderId="14" xfId="2" applyNumberFormat="1" applyFont="1" applyFill="1" applyBorder="1" applyAlignment="1" applyProtection="1">
      <alignment horizontal="right" vertical="center"/>
    </xf>
    <xf numFmtId="164" fontId="19" fillId="2" borderId="2" xfId="2" applyNumberFormat="1" applyFont="1" applyFill="1" applyBorder="1" applyAlignment="1">
      <alignment vertical="center"/>
    </xf>
    <xf numFmtId="164" fontId="9" fillId="2" borderId="0" xfId="2" applyNumberFormat="1" applyFont="1" applyFill="1" applyBorder="1" applyAlignment="1" applyProtection="1">
      <alignment horizontal="center" vertical="center"/>
    </xf>
    <xf numFmtId="164" fontId="8" fillId="2" borderId="0" xfId="2" applyNumberFormat="1" applyFont="1" applyFill="1" applyBorder="1" applyAlignment="1">
      <alignment horizontal="right" vertical="center"/>
    </xf>
    <xf numFmtId="168" fontId="13" fillId="2" borderId="0" xfId="1" applyNumberFormat="1" applyFont="1" applyFill="1" applyBorder="1" applyAlignment="1" applyProtection="1">
      <alignment horizontal="right" vertical="center" indent="2"/>
    </xf>
    <xf numFmtId="168" fontId="12" fillId="2" borderId="3" xfId="2" applyNumberFormat="1" applyFont="1" applyFill="1" applyBorder="1" applyAlignment="1" applyProtection="1">
      <alignment horizontal="center" vertical="center"/>
      <protection hidden="1"/>
    </xf>
    <xf numFmtId="164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5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10" fillId="2" borderId="2" xfId="2" applyNumberFormat="1" applyFont="1" applyFill="1" applyBorder="1" applyAlignment="1" applyProtection="1">
      <alignment horizontal="left" vertical="center"/>
    </xf>
    <xf numFmtId="164" fontId="10" fillId="2" borderId="12" xfId="2" applyNumberFormat="1" applyFont="1" applyFill="1" applyBorder="1" applyAlignment="1" applyProtection="1">
      <alignment horizontal="center" vertical="center"/>
      <protection locked="0"/>
    </xf>
    <xf numFmtId="164" fontId="15" fillId="2" borderId="0" xfId="2" applyNumberFormat="1" applyFont="1" applyFill="1" applyAlignment="1">
      <alignment horizontal="center" vertical="center"/>
    </xf>
    <xf numFmtId="164" fontId="11" fillId="2" borderId="0" xfId="2" applyNumberFormat="1" applyFont="1" applyFill="1" applyBorder="1" applyAlignment="1" applyProtection="1">
      <alignment horizontal="center" vertical="center"/>
    </xf>
    <xf numFmtId="168" fontId="13" fillId="2" borderId="0" xfId="1" applyNumberFormat="1" applyFont="1" applyFill="1" applyBorder="1" applyAlignment="1" applyProtection="1">
      <alignment horizontal="right" vertical="center" indent="2"/>
    </xf>
    <xf numFmtId="168" fontId="12" fillId="2" borderId="3" xfId="2" applyNumberFormat="1" applyFont="1" applyFill="1" applyBorder="1" applyAlignment="1" applyProtection="1">
      <alignment horizontal="center" vertical="center"/>
      <protection hidden="1"/>
    </xf>
    <xf numFmtId="164" fontId="10" fillId="2" borderId="8" xfId="2" applyNumberFormat="1" applyFont="1" applyFill="1" applyBorder="1" applyAlignment="1" applyProtection="1">
      <alignment horizontal="center" vertical="center"/>
      <protection locked="0"/>
    </xf>
    <xf numFmtId="164" fontId="10" fillId="2" borderId="7" xfId="2" applyNumberFormat="1" applyFont="1" applyFill="1" applyBorder="1" applyAlignment="1" applyProtection="1">
      <alignment horizontal="center" vertical="center"/>
      <protection locked="0"/>
    </xf>
    <xf numFmtId="164" fontId="12" fillId="2" borderId="6" xfId="2" applyNumberFormat="1" applyFont="1" applyFill="1" applyBorder="1" applyAlignment="1" applyProtection="1">
      <alignment horizontal="center" vertical="center"/>
    </xf>
    <xf numFmtId="164" fontId="12" fillId="2" borderId="3" xfId="2" applyNumberFormat="1" applyFont="1" applyFill="1" applyBorder="1" applyAlignment="1" applyProtection="1">
      <alignment horizontal="center" vertical="center"/>
    </xf>
    <xf numFmtId="165" fontId="13" fillId="2" borderId="4" xfId="2" applyNumberFormat="1" applyFont="1" applyFill="1" applyBorder="1" applyAlignment="1" applyProtection="1">
      <alignment horizontal="right" vertical="center"/>
      <protection locked="0"/>
    </xf>
    <xf numFmtId="168" fontId="13" fillId="2" borderId="0" xfId="1" applyNumberFormat="1" applyFont="1" applyFill="1" applyBorder="1" applyAlignment="1" applyProtection="1">
      <alignment horizontal="left" vertical="center" indent="4"/>
    </xf>
    <xf numFmtId="164" fontId="17" fillId="2" borderId="0" xfId="2" applyNumberFormat="1" applyFont="1" applyFill="1" applyAlignment="1">
      <alignment horizontal="center" vertical="center" wrapText="1"/>
    </xf>
    <xf numFmtId="164" fontId="10" fillId="2" borderId="2" xfId="2" applyNumberFormat="1" applyFont="1" applyFill="1" applyBorder="1" applyAlignment="1" applyProtection="1">
      <alignment horizontal="center" vertical="center"/>
    </xf>
    <xf numFmtId="164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7" fontId="13" fillId="2" borderId="0" xfId="1" applyNumberFormat="1" applyFont="1" applyFill="1" applyAlignment="1" applyProtection="1">
      <alignment horizontal="right" vertical="center"/>
      <protection locked="0"/>
    </xf>
    <xf numFmtId="167" fontId="13" fillId="2" borderId="0" xfId="1" applyNumberFormat="1" applyFont="1" applyFill="1" applyAlignment="1" applyProtection="1">
      <alignment horizontal="center" vertical="center"/>
      <protection locked="0"/>
    </xf>
    <xf numFmtId="167" fontId="13" fillId="2" borderId="0" xfId="1" applyNumberFormat="1" applyFont="1" applyFill="1" applyBorder="1" applyAlignment="1" applyProtection="1">
      <alignment horizontal="center" vertical="center"/>
      <protection locked="0"/>
    </xf>
    <xf numFmtId="165" fontId="13" fillId="2" borderId="0" xfId="2" applyNumberFormat="1" applyFont="1" applyFill="1" applyAlignment="1" applyProtection="1">
      <alignment horizontal="center" vertical="center"/>
      <protection locked="0"/>
    </xf>
    <xf numFmtId="165" fontId="13" fillId="2" borderId="0" xfId="2" applyNumberFormat="1" applyFont="1" applyFill="1" applyBorder="1" applyAlignment="1" applyProtection="1">
      <alignment horizontal="right" vertical="center"/>
      <protection locked="0"/>
    </xf>
  </cellXfs>
  <cellStyles count="12">
    <cellStyle name="Comma" xfId="1" builtinId="3"/>
    <cellStyle name="Comma 2" xfId="7"/>
    <cellStyle name="Comma 3" xfId="8"/>
    <cellStyle name="Comma 4" xfId="4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1"/>
    <cellStyle name="Normal 4" xfId="9"/>
    <cellStyle name="Normal_13 Public Finance_done" xfId="2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51"/>
  <sheetViews>
    <sheetView tabSelected="1" zoomScaleNormal="100" zoomScaleSheetLayoutView="89" workbookViewId="0">
      <pane ySplit="7" topLeftCell="A8" activePane="bottomLeft" state="frozen"/>
      <selection pane="bottomLeft" activeCell="V31" sqref="V31"/>
    </sheetView>
  </sheetViews>
  <sheetFormatPr defaultColWidth="9.140625" defaultRowHeight="12.75"/>
  <cols>
    <col min="1" max="1" width="35.5703125" style="4" customWidth="1"/>
    <col min="2" max="3" width="9.140625" style="4" hidden="1" customWidth="1"/>
    <col min="4" max="4" width="10.28515625" style="4" hidden="1" customWidth="1"/>
    <col min="5" max="5" width="9.140625" style="4" hidden="1" customWidth="1"/>
    <col min="6" max="6" width="10.85546875" style="4" hidden="1" customWidth="1"/>
    <col min="7" max="8" width="0" style="4" hidden="1" customWidth="1"/>
    <col min="9" max="9" width="9.140625" style="4"/>
    <col min="10" max="12" width="9.28515625" style="4" bestFit="1" customWidth="1"/>
    <col min="13" max="14" width="9.28515625" style="4" customWidth="1"/>
    <col min="15" max="15" width="2.28515625" style="4" customWidth="1"/>
    <col min="16" max="17" width="11" style="4" customWidth="1"/>
    <col min="18" max="18" width="1" style="4" customWidth="1"/>
    <col min="19" max="19" width="9.85546875" style="59" customWidth="1"/>
    <col min="20" max="20" width="12.140625" style="59" customWidth="1"/>
    <col min="21" max="21" width="2.5703125" style="59" customWidth="1"/>
    <col min="22" max="22" width="42.28515625" style="60" bestFit="1" customWidth="1"/>
    <col min="23" max="16384" width="9.140625" style="4"/>
  </cols>
  <sheetData>
    <row r="1" spans="1:23" ht="19.5">
      <c r="A1" s="75" t="s">
        <v>74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3" ht="15">
      <c r="A2" s="76" t="s">
        <v>73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3" ht="15">
      <c r="A3" s="85" t="s">
        <v>11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</row>
    <row r="4" spans="1:23">
      <c r="A4" s="86" t="s">
        <v>64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18"/>
    </row>
    <row r="5" spans="1:23" ht="17.25">
      <c r="A5" s="65"/>
      <c r="B5" s="19"/>
      <c r="C5" s="19"/>
      <c r="D5" s="19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81" t="s">
        <v>60</v>
      </c>
      <c r="Q5" s="82"/>
      <c r="R5" s="20"/>
      <c r="S5" s="78" t="s">
        <v>63</v>
      </c>
      <c r="T5" s="78"/>
      <c r="U5" s="68"/>
      <c r="V5" s="19"/>
      <c r="W5" s="18"/>
    </row>
    <row r="6" spans="1:23" s="14" customFormat="1" ht="15">
      <c r="A6" s="72" t="s">
        <v>0</v>
      </c>
      <c r="B6" s="1"/>
      <c r="C6" s="1"/>
      <c r="D6" s="1"/>
      <c r="E6" s="1" t="s">
        <v>2</v>
      </c>
      <c r="F6" s="1" t="s">
        <v>3</v>
      </c>
      <c r="G6" s="1" t="s">
        <v>2</v>
      </c>
      <c r="H6" s="1" t="s">
        <v>2</v>
      </c>
      <c r="I6" s="1" t="s">
        <v>2</v>
      </c>
      <c r="J6" s="2" t="s">
        <v>2</v>
      </c>
      <c r="K6" s="2" t="s">
        <v>3</v>
      </c>
      <c r="L6" s="2" t="s">
        <v>75</v>
      </c>
      <c r="M6" s="2" t="s">
        <v>75</v>
      </c>
      <c r="N6" s="2" t="s">
        <v>75</v>
      </c>
      <c r="O6" s="1"/>
      <c r="P6" s="79" t="s">
        <v>61</v>
      </c>
      <c r="Q6" s="80"/>
      <c r="R6" s="74"/>
      <c r="S6" s="79" t="s">
        <v>62</v>
      </c>
      <c r="T6" s="80"/>
      <c r="U6" s="21"/>
      <c r="V6" s="66" t="s">
        <v>1</v>
      </c>
    </row>
    <row r="7" spans="1:23" s="7" customFormat="1">
      <c r="A7" s="73"/>
      <c r="B7" s="15">
        <v>2008</v>
      </c>
      <c r="C7" s="15">
        <v>2009</v>
      </c>
      <c r="D7" s="15">
        <v>2010</v>
      </c>
      <c r="E7" s="15">
        <v>2011</v>
      </c>
      <c r="F7" s="15">
        <v>2012</v>
      </c>
      <c r="G7" s="15">
        <v>2012</v>
      </c>
      <c r="H7" s="15">
        <v>2013</v>
      </c>
      <c r="I7" s="15">
        <v>2014</v>
      </c>
      <c r="J7" s="3">
        <v>2015</v>
      </c>
      <c r="K7" s="3">
        <v>2016</v>
      </c>
      <c r="L7" s="3">
        <v>2017</v>
      </c>
      <c r="M7" s="3">
        <v>2018</v>
      </c>
      <c r="N7" s="3">
        <v>2019</v>
      </c>
      <c r="O7" s="15"/>
      <c r="P7" s="63">
        <v>2015</v>
      </c>
      <c r="Q7" s="22">
        <v>2016</v>
      </c>
      <c r="R7" s="23"/>
      <c r="S7" s="24" t="s">
        <v>71</v>
      </c>
      <c r="T7" s="24" t="s">
        <v>72</v>
      </c>
      <c r="V7" s="25"/>
    </row>
    <row r="8" spans="1:23" s="7" customFormat="1" ht="21" customHeight="1">
      <c r="A8" s="26" t="s">
        <v>4</v>
      </c>
      <c r="B8" s="27">
        <f t="shared" ref="B8:M8" si="0">+B9+B27</f>
        <v>10176</v>
      </c>
      <c r="C8" s="27">
        <f t="shared" si="0"/>
        <v>10953.434156000001</v>
      </c>
      <c r="D8" s="27">
        <f t="shared" si="0"/>
        <v>10815.062102899999</v>
      </c>
      <c r="E8" s="27">
        <f t="shared" si="0"/>
        <v>12264.726665999999</v>
      </c>
      <c r="F8" s="27">
        <f t="shared" si="0"/>
        <v>14145.628022305787</v>
      </c>
      <c r="G8" s="28">
        <f t="shared" si="0"/>
        <v>13110.002924999999</v>
      </c>
      <c r="H8" s="28">
        <f t="shared" si="0"/>
        <v>13530.771002489999</v>
      </c>
      <c r="I8" s="28">
        <f t="shared" si="0"/>
        <v>16417.244472999999</v>
      </c>
      <c r="J8" s="28">
        <f t="shared" si="0"/>
        <v>21336.878134909999</v>
      </c>
      <c r="K8" s="28">
        <f t="shared" si="0"/>
        <v>22434.980117157469</v>
      </c>
      <c r="L8" s="28">
        <f t="shared" si="0"/>
        <v>22236.477511119629</v>
      </c>
      <c r="M8" s="28">
        <f t="shared" si="0"/>
        <v>22536.118266786325</v>
      </c>
      <c r="N8" s="28">
        <f t="shared" ref="N8" si="1">+N9+N27</f>
        <v>21206.975172978509</v>
      </c>
      <c r="O8" s="28"/>
      <c r="P8" s="62">
        <f>J8/$J$8*100</f>
        <v>100</v>
      </c>
      <c r="Q8" s="30">
        <f t="shared" ref="Q8:Q17" si="2">K8/$K$8*100</f>
        <v>100</v>
      </c>
      <c r="R8" s="31"/>
      <c r="S8" s="32">
        <f t="shared" ref="S8:S18" si="3">+(J8-I8)/I8*100</f>
        <v>29.966256944037656</v>
      </c>
      <c r="T8" s="32">
        <f t="shared" ref="T8:T18" si="4">+(K8-J8)/J8*100</f>
        <v>5.1464978864496</v>
      </c>
      <c r="V8" s="33" t="s">
        <v>12</v>
      </c>
    </row>
    <row r="9" spans="1:23" s="7" customFormat="1" ht="21" customHeight="1">
      <c r="A9" s="26" t="s">
        <v>5</v>
      </c>
      <c r="B9" s="27">
        <f t="shared" ref="B9:M9" si="5">+B10+B23+B24</f>
        <v>7463.2000000000007</v>
      </c>
      <c r="C9" s="27">
        <f t="shared" si="5"/>
        <v>8764.9308290000008</v>
      </c>
      <c r="D9" s="27">
        <f t="shared" si="5"/>
        <v>8428.0733739999996</v>
      </c>
      <c r="E9" s="27">
        <f t="shared" si="5"/>
        <v>9075.7434510000003</v>
      </c>
      <c r="F9" s="27">
        <f t="shared" si="5"/>
        <v>10522.12938529569</v>
      </c>
      <c r="G9" s="28">
        <f t="shared" si="5"/>
        <v>10316.485255</v>
      </c>
      <c r="H9" s="28">
        <f t="shared" si="5"/>
        <v>11573.214585849999</v>
      </c>
      <c r="I9" s="28">
        <f t="shared" si="5"/>
        <v>13960.001397</v>
      </c>
      <c r="J9" s="28">
        <f t="shared" si="5"/>
        <v>16733.74419112</v>
      </c>
      <c r="K9" s="28">
        <f t="shared" si="5"/>
        <v>15312.396627187471</v>
      </c>
      <c r="L9" s="28">
        <f t="shared" si="5"/>
        <v>13574.702557579996</v>
      </c>
      <c r="M9" s="28">
        <f t="shared" si="5"/>
        <v>14102.325075473605</v>
      </c>
      <c r="N9" s="28">
        <f t="shared" ref="N9" si="6">+N10+N23+N24</f>
        <v>14340.063969503071</v>
      </c>
      <c r="O9" s="28"/>
      <c r="P9" s="29">
        <f>J9/$J$8*100</f>
        <v>78.426394364325247</v>
      </c>
      <c r="Q9" s="34">
        <f>K9/$K$8*100</f>
        <v>68.252329831471954</v>
      </c>
      <c r="R9" s="31"/>
      <c r="S9" s="32">
        <f t="shared" si="3"/>
        <v>19.869215734577768</v>
      </c>
      <c r="T9" s="32">
        <f t="shared" si="4"/>
        <v>-8.4939003949085592</v>
      </c>
      <c r="V9" s="5" t="s">
        <v>6</v>
      </c>
    </row>
    <row r="10" spans="1:23" s="8" customFormat="1" ht="21" customHeight="1">
      <c r="A10" s="26" t="s">
        <v>13</v>
      </c>
      <c r="B10" s="28">
        <f t="shared" ref="B10:H10" si="7">SUM(B11:B22)</f>
        <v>6704.0000000000009</v>
      </c>
      <c r="C10" s="28">
        <f t="shared" si="7"/>
        <v>7725.4148610000011</v>
      </c>
      <c r="D10" s="28">
        <f t="shared" si="7"/>
        <v>7113.477116</v>
      </c>
      <c r="E10" s="28">
        <f t="shared" si="7"/>
        <v>7352.3074530000004</v>
      </c>
      <c r="F10" s="28">
        <f t="shared" si="7"/>
        <v>8817.3874749850675</v>
      </c>
      <c r="G10" s="28">
        <f t="shared" si="7"/>
        <v>8519.2447279999997</v>
      </c>
      <c r="H10" s="28">
        <f t="shared" si="7"/>
        <v>8842.2643139699994</v>
      </c>
      <c r="I10" s="28">
        <f>SUM(I11:I22)</f>
        <v>10437.031647</v>
      </c>
      <c r="J10" s="28">
        <f t="shared" ref="J10:M10" si="8">SUM(J11:J22)</f>
        <v>13631.306274120001</v>
      </c>
      <c r="K10" s="28">
        <f t="shared" si="8"/>
        <v>12682.388493202381</v>
      </c>
      <c r="L10" s="28">
        <f t="shared" si="8"/>
        <v>11532.236874579998</v>
      </c>
      <c r="M10" s="28">
        <f t="shared" si="8"/>
        <v>11770.791578473605</v>
      </c>
      <c r="N10" s="28">
        <f t="shared" ref="N10" si="9">SUM(N11:N22)</f>
        <v>11901.56004450307</v>
      </c>
      <c r="O10" s="28"/>
      <c r="P10" s="29">
        <f>J10/$J$8*100</f>
        <v>63.886132675695194</v>
      </c>
      <c r="Q10" s="34">
        <f>K10/$K$8*100</f>
        <v>56.529528561976946</v>
      </c>
      <c r="R10" s="31"/>
      <c r="S10" s="32">
        <f t="shared" si="3"/>
        <v>30.605202083852618</v>
      </c>
      <c r="T10" s="32">
        <f t="shared" si="4"/>
        <v>-6.9613121577292079</v>
      </c>
      <c r="V10" s="6" t="s">
        <v>14</v>
      </c>
    </row>
    <row r="11" spans="1:23" s="8" customFormat="1" ht="15">
      <c r="A11" s="35" t="s">
        <v>15</v>
      </c>
      <c r="B11" s="69">
        <v>2588.9</v>
      </c>
      <c r="C11" s="70">
        <v>2944.8222249999999</v>
      </c>
      <c r="D11" s="70">
        <v>2486.4620610000002</v>
      </c>
      <c r="E11" s="70">
        <v>2596.3040620000002</v>
      </c>
      <c r="F11" s="70">
        <v>2527.3335364730301</v>
      </c>
      <c r="G11" s="70">
        <v>2722.7159489999999</v>
      </c>
      <c r="H11" s="70">
        <v>3283.7425111899997</v>
      </c>
      <c r="I11" s="70">
        <v>3392.859852</v>
      </c>
      <c r="J11" s="70">
        <v>3929.2445547999996</v>
      </c>
      <c r="K11" s="70">
        <v>4048.6506534576197</v>
      </c>
      <c r="L11" s="70">
        <v>3761.3584492857144</v>
      </c>
      <c r="M11" s="70">
        <v>3761.3584492857144</v>
      </c>
      <c r="N11" s="70">
        <v>3761.3584492857144</v>
      </c>
      <c r="O11" s="70"/>
      <c r="P11" s="61">
        <f t="shared" ref="P11:P17" si="10">J11/$J$8*100</f>
        <v>18.415273921311044</v>
      </c>
      <c r="Q11" s="71">
        <f t="shared" si="2"/>
        <v>18.046152179833477</v>
      </c>
      <c r="R11" s="36"/>
      <c r="S11" s="67">
        <f t="shared" si="3"/>
        <v>15.809220722271069</v>
      </c>
      <c r="T11" s="67">
        <f t="shared" si="4"/>
        <v>3.0389072757447111</v>
      </c>
      <c r="V11" s="6" t="s">
        <v>16</v>
      </c>
    </row>
    <row r="12" spans="1:23" s="8" customFormat="1" ht="15">
      <c r="A12" s="35" t="s">
        <v>17</v>
      </c>
      <c r="B12" s="69">
        <v>977.2</v>
      </c>
      <c r="C12" s="70">
        <v>1797.9487119999999</v>
      </c>
      <c r="D12" s="70">
        <v>1691.8551520000001</v>
      </c>
      <c r="E12" s="70">
        <v>1684.651282</v>
      </c>
      <c r="F12" s="70">
        <v>1693.9412848249981</v>
      </c>
      <c r="G12" s="70">
        <v>1836.5324539999999</v>
      </c>
      <c r="H12" s="70">
        <v>2321.9727118199999</v>
      </c>
      <c r="I12" s="70">
        <v>2435.6551049999998</v>
      </c>
      <c r="J12" s="70">
        <v>2891.4520778200003</v>
      </c>
      <c r="K12" s="70">
        <v>2881.6090816971437</v>
      </c>
      <c r="L12" s="70">
        <v>3051.3221684285718</v>
      </c>
      <c r="M12" s="70">
        <v>3051.3221684285718</v>
      </c>
      <c r="N12" s="70">
        <v>3051.3221684285718</v>
      </c>
      <c r="O12" s="70"/>
      <c r="P12" s="61">
        <f t="shared" si="10"/>
        <v>13.551429874313225</v>
      </c>
      <c r="Q12" s="71">
        <f t="shared" si="2"/>
        <v>12.844268488980706</v>
      </c>
      <c r="R12" s="36"/>
      <c r="S12" s="67">
        <f t="shared" si="3"/>
        <v>18.713526881713431</v>
      </c>
      <c r="T12" s="67">
        <f t="shared" si="4"/>
        <v>-0.34041705890134499</v>
      </c>
      <c r="V12" s="6" t="s">
        <v>18</v>
      </c>
    </row>
    <row r="13" spans="1:23" s="8" customFormat="1" ht="15">
      <c r="A13" s="35" t="s">
        <v>19</v>
      </c>
      <c r="B13" s="69">
        <v>126.3</v>
      </c>
      <c r="C13" s="70">
        <v>286.51753100000002</v>
      </c>
      <c r="D13" s="70">
        <v>155.387157</v>
      </c>
      <c r="E13" s="70">
        <v>146.63359800000001</v>
      </c>
      <c r="F13" s="70">
        <v>159.16254198666658</v>
      </c>
      <c r="G13" s="70">
        <v>157.925938</v>
      </c>
      <c r="H13" s="70">
        <v>321.28531844000003</v>
      </c>
      <c r="I13" s="70">
        <v>192.40862899999999</v>
      </c>
      <c r="J13" s="70">
        <v>904.71419108000009</v>
      </c>
      <c r="K13" s="70">
        <v>926.1619471985714</v>
      </c>
      <c r="L13" s="70">
        <v>939.95235228571426</v>
      </c>
      <c r="M13" s="70">
        <v>1262.2574522857144</v>
      </c>
      <c r="N13" s="70">
        <v>1362.0390522857144</v>
      </c>
      <c r="O13" s="70"/>
      <c r="P13" s="61">
        <f t="shared" si="10"/>
        <v>4.2401432175767368</v>
      </c>
      <c r="Q13" s="71">
        <f t="shared" si="2"/>
        <v>4.1282048941522165</v>
      </c>
      <c r="R13" s="36"/>
      <c r="S13" s="67">
        <f t="shared" si="3"/>
        <v>370.20458270611141</v>
      </c>
      <c r="T13" s="67">
        <f t="shared" si="4"/>
        <v>2.3706664856188566</v>
      </c>
      <c r="V13" s="6" t="s">
        <v>20</v>
      </c>
    </row>
    <row r="14" spans="1:23" s="8" customFormat="1" ht="15">
      <c r="A14" s="35" t="s">
        <v>21</v>
      </c>
      <c r="B14" s="69">
        <v>173.5</v>
      </c>
      <c r="C14" s="70">
        <v>133.39837399999999</v>
      </c>
      <c r="D14" s="70">
        <v>103.018094</v>
      </c>
      <c r="E14" s="70">
        <v>136.514331</v>
      </c>
      <c r="F14" s="70">
        <v>138.30028738441143</v>
      </c>
      <c r="G14" s="70">
        <v>139.60034300000001</v>
      </c>
      <c r="H14" s="70">
        <v>118.49545676999999</v>
      </c>
      <c r="I14" s="70">
        <v>133.54383899999999</v>
      </c>
      <c r="J14" s="70">
        <v>188.85908920000003</v>
      </c>
      <c r="K14" s="70">
        <v>174.40470077857145</v>
      </c>
      <c r="L14" s="70">
        <v>98.177825971428575</v>
      </c>
      <c r="M14" s="70">
        <v>101.12506295085714</v>
      </c>
      <c r="N14" s="70">
        <v>103.0486802698743</v>
      </c>
      <c r="O14" s="70"/>
      <c r="P14" s="61">
        <f t="shared" si="10"/>
        <v>0.88512990516171708</v>
      </c>
      <c r="Q14" s="71">
        <f t="shared" si="2"/>
        <v>0.77737845038335018</v>
      </c>
      <c r="R14" s="36"/>
      <c r="S14" s="67">
        <f t="shared" si="3"/>
        <v>41.421042418886913</v>
      </c>
      <c r="T14" s="67">
        <f t="shared" si="4"/>
        <v>-7.6535307263509624</v>
      </c>
      <c r="V14" s="6" t="s">
        <v>22</v>
      </c>
    </row>
    <row r="15" spans="1:23" s="8" customFormat="1" ht="15">
      <c r="A15" s="35" t="s">
        <v>66</v>
      </c>
      <c r="B15" s="69">
        <v>0</v>
      </c>
      <c r="C15" s="69">
        <v>0</v>
      </c>
      <c r="D15" s="69">
        <v>0</v>
      </c>
      <c r="E15" s="69">
        <v>0</v>
      </c>
      <c r="F15" s="70"/>
      <c r="G15" s="70">
        <v>308.01030900000001</v>
      </c>
      <c r="H15" s="70">
        <v>274.06769034999996</v>
      </c>
      <c r="I15" s="70">
        <v>305.657895</v>
      </c>
      <c r="J15" s="70">
        <v>415.17217681</v>
      </c>
      <c r="K15" s="70">
        <v>368.95584312142864</v>
      </c>
      <c r="L15" s="70">
        <v>252.61789285714286</v>
      </c>
      <c r="M15" s="70">
        <v>256.08691071428569</v>
      </c>
      <c r="N15" s="70">
        <v>259.58753106857142</v>
      </c>
      <c r="O15" s="70"/>
      <c r="P15" s="61">
        <f t="shared" si="10"/>
        <v>1.9457962602819696</v>
      </c>
      <c r="Q15" s="71">
        <f t="shared" si="2"/>
        <v>1.6445561404320765</v>
      </c>
      <c r="R15" s="36"/>
      <c r="S15" s="67">
        <f t="shared" si="3"/>
        <v>35.829037496315941</v>
      </c>
      <c r="T15" s="67">
        <f t="shared" si="4"/>
        <v>-11.131847524965977</v>
      </c>
      <c r="V15" s="6" t="s">
        <v>67</v>
      </c>
    </row>
    <row r="16" spans="1:23" s="8" customFormat="1" ht="15">
      <c r="A16" s="35" t="s">
        <v>23</v>
      </c>
      <c r="B16" s="69">
        <v>435.7</v>
      </c>
      <c r="C16" s="70">
        <v>345.66474499999998</v>
      </c>
      <c r="D16" s="70">
        <v>315.84864700000003</v>
      </c>
      <c r="E16" s="70">
        <v>353.68075299999998</v>
      </c>
      <c r="F16" s="70">
        <v>387.57731545110539</v>
      </c>
      <c r="G16" s="70">
        <v>496.65301599999998</v>
      </c>
      <c r="H16" s="70">
        <v>537.30073173999995</v>
      </c>
      <c r="I16" s="70">
        <v>825.74070600000005</v>
      </c>
      <c r="J16" s="70">
        <v>1218.26251843</v>
      </c>
      <c r="K16" s="70">
        <v>947.18677145190532</v>
      </c>
      <c r="L16" s="70">
        <v>920.45936819428584</v>
      </c>
      <c r="M16" s="70">
        <v>831.35245459817133</v>
      </c>
      <c r="N16" s="70">
        <v>846.13800079013481</v>
      </c>
      <c r="O16" s="70"/>
      <c r="P16" s="61">
        <f t="shared" si="10"/>
        <v>5.7096568238666503</v>
      </c>
      <c r="Q16" s="71">
        <f t="shared" si="2"/>
        <v>4.2219193710251197</v>
      </c>
      <c r="R16" s="36"/>
      <c r="S16" s="67">
        <f t="shared" si="3"/>
        <v>47.535722724804117</v>
      </c>
      <c r="T16" s="67">
        <f t="shared" si="4"/>
        <v>-22.251012641137116</v>
      </c>
      <c r="V16" s="6" t="s">
        <v>24</v>
      </c>
    </row>
    <row r="17" spans="1:22" s="8" customFormat="1" ht="15">
      <c r="A17" s="35" t="s">
        <v>25</v>
      </c>
      <c r="B17" s="69">
        <v>181.1</v>
      </c>
      <c r="C17" s="70">
        <v>138.21754999999999</v>
      </c>
      <c r="D17" s="70">
        <v>121.898888</v>
      </c>
      <c r="E17" s="70">
        <v>127.86300199999999</v>
      </c>
      <c r="F17" s="70">
        <v>121.2473748227352</v>
      </c>
      <c r="G17" s="70">
        <v>195.09169399999999</v>
      </c>
      <c r="H17" s="70">
        <v>99.355695399999988</v>
      </c>
      <c r="I17" s="70">
        <v>216.49781200000001</v>
      </c>
      <c r="J17" s="70">
        <v>386.44576319000004</v>
      </c>
      <c r="K17" s="70">
        <v>234.88760087285718</v>
      </c>
      <c r="L17" s="70">
        <v>108.14493899999999</v>
      </c>
      <c r="M17" s="70">
        <v>94.802753999999993</v>
      </c>
      <c r="N17" s="70">
        <v>95.646546000000001</v>
      </c>
      <c r="O17" s="70"/>
      <c r="P17" s="61">
        <f t="shared" si="10"/>
        <v>1.8111635673530087</v>
      </c>
      <c r="Q17" s="71">
        <f t="shared" si="2"/>
        <v>1.0469703991100199</v>
      </c>
      <c r="R17" s="36"/>
      <c r="S17" s="67">
        <f t="shared" si="3"/>
        <v>78.498692259300995</v>
      </c>
      <c r="T17" s="67">
        <f t="shared" si="4"/>
        <v>-39.218482062288189</v>
      </c>
      <c r="V17" s="6" t="s">
        <v>26</v>
      </c>
    </row>
    <row r="18" spans="1:22" s="8" customFormat="1" ht="15">
      <c r="A18" s="35" t="s">
        <v>27</v>
      </c>
      <c r="B18" s="87">
        <v>1044.5999999999999</v>
      </c>
      <c r="C18" s="88">
        <v>883.85667899999999</v>
      </c>
      <c r="D18" s="88">
        <v>864.94494099999997</v>
      </c>
      <c r="E18" s="89">
        <v>990.785977</v>
      </c>
      <c r="F18" s="89">
        <v>1009.8796036041454</v>
      </c>
      <c r="G18" s="89">
        <v>1035.3256839999999</v>
      </c>
      <c r="H18" s="90">
        <v>1038.28734955</v>
      </c>
      <c r="I18" s="90">
        <v>1366</v>
      </c>
      <c r="J18" s="90">
        <v>2050.2554301199998</v>
      </c>
      <c r="K18" s="90">
        <v>1452.23092555524</v>
      </c>
      <c r="L18" s="91">
        <v>1250.7661755571401</v>
      </c>
      <c r="M18" s="91">
        <v>1269.37210361029</v>
      </c>
      <c r="N18" s="91">
        <v>1287.13944584249</v>
      </c>
      <c r="O18" s="37"/>
      <c r="P18" s="83">
        <f>J18/J$8*100</f>
        <v>9.6089756765564811</v>
      </c>
      <c r="Q18" s="93">
        <f>K18/K$8*100</f>
        <v>6.4730653558485924</v>
      </c>
      <c r="R18" s="36"/>
      <c r="S18" s="77">
        <f t="shared" si="3"/>
        <v>50.09190557247436</v>
      </c>
      <c r="T18" s="84">
        <f t="shared" si="4"/>
        <v>-29.168292680964047</v>
      </c>
      <c r="V18" s="6" t="s">
        <v>28</v>
      </c>
    </row>
    <row r="19" spans="1:22" s="8" customFormat="1" ht="15">
      <c r="A19" s="35" t="s">
        <v>29</v>
      </c>
      <c r="B19" s="87"/>
      <c r="C19" s="88"/>
      <c r="D19" s="88"/>
      <c r="E19" s="89"/>
      <c r="F19" s="89"/>
      <c r="G19" s="89"/>
      <c r="H19" s="90"/>
      <c r="I19" s="90"/>
      <c r="J19" s="90"/>
      <c r="K19" s="90"/>
      <c r="L19" s="91"/>
      <c r="M19" s="91"/>
      <c r="N19" s="91"/>
      <c r="O19" s="37"/>
      <c r="P19" s="83"/>
      <c r="Q19" s="93"/>
      <c r="R19" s="36"/>
      <c r="S19" s="77"/>
      <c r="T19" s="84"/>
      <c r="V19" s="6" t="s">
        <v>30</v>
      </c>
    </row>
    <row r="20" spans="1:22" s="8" customFormat="1" ht="15">
      <c r="A20" s="35" t="s">
        <v>31</v>
      </c>
      <c r="B20" s="87">
        <v>21.2</v>
      </c>
      <c r="C20" s="88">
        <v>16.188054000000001</v>
      </c>
      <c r="D20" s="88">
        <v>13.388978</v>
      </c>
      <c r="E20" s="88">
        <v>17.164441</v>
      </c>
      <c r="F20" s="88">
        <v>23.852456573333328</v>
      </c>
      <c r="G20" s="88">
        <v>32.124121000000002</v>
      </c>
      <c r="H20" s="92">
        <v>24.469034969999999</v>
      </c>
      <c r="I20" s="92">
        <v>29.4</v>
      </c>
      <c r="J20" s="88">
        <v>37.105308000000001</v>
      </c>
      <c r="K20" s="88">
        <v>31.850445000000001</v>
      </c>
      <c r="L20" s="93">
        <v>29.145644000000001</v>
      </c>
      <c r="M20" s="93">
        <v>29.136279999999999</v>
      </c>
      <c r="N20" s="93">
        <v>29.205957000000001</v>
      </c>
      <c r="O20" s="38"/>
      <c r="P20" s="83">
        <f>J20/J$8*100</f>
        <v>0.17390223520698997</v>
      </c>
      <c r="Q20" s="93">
        <f>K20/K$8*100</f>
        <v>0.1419677879528938</v>
      </c>
      <c r="R20" s="39"/>
      <c r="S20" s="77">
        <f>+(J20-I20)/I20*100</f>
        <v>26.208530612244907</v>
      </c>
      <c r="T20" s="84">
        <f>+(K20-J20)/J20*100</f>
        <v>-14.162025012701687</v>
      </c>
      <c r="V20" s="6" t="s">
        <v>32</v>
      </c>
    </row>
    <row r="21" spans="1:22" s="7" customFormat="1" ht="15">
      <c r="A21" s="35" t="s">
        <v>33</v>
      </c>
      <c r="B21" s="87"/>
      <c r="C21" s="88"/>
      <c r="D21" s="88"/>
      <c r="E21" s="88"/>
      <c r="F21" s="88"/>
      <c r="G21" s="88"/>
      <c r="H21" s="92"/>
      <c r="I21" s="92"/>
      <c r="J21" s="88"/>
      <c r="K21" s="88"/>
      <c r="L21" s="93"/>
      <c r="M21" s="93"/>
      <c r="N21" s="93"/>
      <c r="O21" s="38"/>
      <c r="P21" s="83"/>
      <c r="Q21" s="93"/>
      <c r="R21" s="39"/>
      <c r="S21" s="77"/>
      <c r="T21" s="84"/>
      <c r="V21" s="6" t="s">
        <v>34</v>
      </c>
    </row>
    <row r="22" spans="1:22" s="7" customFormat="1" ht="15">
      <c r="A22" s="35" t="s">
        <v>35</v>
      </c>
      <c r="B22" s="69">
        <v>1155.5</v>
      </c>
      <c r="C22" s="70">
        <v>1178.8009910000001</v>
      </c>
      <c r="D22" s="70">
        <v>1360.673198</v>
      </c>
      <c r="E22" s="70">
        <v>1298.7100069999999</v>
      </c>
      <c r="F22" s="70">
        <v>2756.0930738646425</v>
      </c>
      <c r="G22" s="70">
        <v>1595.26522</v>
      </c>
      <c r="H22" s="70">
        <v>823.28781374000005</v>
      </c>
      <c r="I22" s="70">
        <v>1539.2678089999999</v>
      </c>
      <c r="J22" s="70">
        <v>1609.7951646700001</v>
      </c>
      <c r="K22" s="70">
        <v>1616.4505240690476</v>
      </c>
      <c r="L22" s="70">
        <v>1120.2920590000001</v>
      </c>
      <c r="M22" s="70">
        <v>1113.9779426</v>
      </c>
      <c r="N22" s="70">
        <v>1106.0742135320002</v>
      </c>
      <c r="O22" s="70"/>
      <c r="P22" s="61">
        <f>J22/J$8*100</f>
        <v>7.5446611940673689</v>
      </c>
      <c r="Q22" s="71">
        <f t="shared" ref="Q22:Q34" si="11">K22/K$8*100</f>
        <v>7.2050454942585134</v>
      </c>
      <c r="R22" s="36"/>
      <c r="S22" s="67">
        <f t="shared" ref="S22:T29" si="12">+(J22-I22)/I22*100</f>
        <v>4.5818768675360593</v>
      </c>
      <c r="T22" s="67">
        <f t="shared" si="12"/>
        <v>0.41342895947956199</v>
      </c>
      <c r="V22" s="6" t="s">
        <v>36</v>
      </c>
    </row>
    <row r="23" spans="1:22" s="8" customFormat="1" ht="15">
      <c r="A23" s="26" t="s">
        <v>37</v>
      </c>
      <c r="B23" s="40">
        <v>280</v>
      </c>
      <c r="C23" s="28">
        <v>617.87877800000001</v>
      </c>
      <c r="D23" s="28">
        <v>675.78201999999999</v>
      </c>
      <c r="E23" s="28">
        <v>725.78473299999996</v>
      </c>
      <c r="F23" s="28">
        <v>924.91904556651195</v>
      </c>
      <c r="G23" s="28">
        <v>1107.0812289999999</v>
      </c>
      <c r="H23" s="28">
        <v>956.72619699999996</v>
      </c>
      <c r="I23" s="28">
        <v>978.34736899999996</v>
      </c>
      <c r="J23" s="28">
        <v>1347.6498610000001</v>
      </c>
      <c r="K23" s="28">
        <v>1658.17213898509</v>
      </c>
      <c r="L23" s="28">
        <v>1411.3721829999999</v>
      </c>
      <c r="M23" s="28">
        <v>1615.403597</v>
      </c>
      <c r="N23" s="28">
        <v>1677.9932249999999</v>
      </c>
      <c r="O23" s="28"/>
      <c r="P23" s="29">
        <f t="shared" ref="P23:P34" si="13">J23/J$8*100</f>
        <v>6.3160592307787695</v>
      </c>
      <c r="Q23" s="34">
        <f t="shared" si="11"/>
        <v>7.3910122956470969</v>
      </c>
      <c r="R23" s="31"/>
      <c r="S23" s="32">
        <f t="shared" si="12"/>
        <v>37.747583701019813</v>
      </c>
      <c r="T23" s="32">
        <f t="shared" si="12"/>
        <v>23.041762327988685</v>
      </c>
      <c r="V23" s="5" t="s">
        <v>38</v>
      </c>
    </row>
    <row r="24" spans="1:22" s="8" customFormat="1" ht="15">
      <c r="A24" s="26" t="s">
        <v>39</v>
      </c>
      <c r="B24" s="28">
        <f t="shared" ref="B24:N24" si="14">SUM(B25:B26)</f>
        <v>479.2</v>
      </c>
      <c r="C24" s="28">
        <f t="shared" si="14"/>
        <v>421.63718999999998</v>
      </c>
      <c r="D24" s="28">
        <f t="shared" si="14"/>
        <v>638.81423799999993</v>
      </c>
      <c r="E24" s="28">
        <f t="shared" si="14"/>
        <v>997.65126500000008</v>
      </c>
      <c r="F24" s="28">
        <f t="shared" si="14"/>
        <v>779.82286474411012</v>
      </c>
      <c r="G24" s="28">
        <f t="shared" si="14"/>
        <v>690.15929800000004</v>
      </c>
      <c r="H24" s="28">
        <f t="shared" si="14"/>
        <v>1774.22407488</v>
      </c>
      <c r="I24" s="28">
        <f t="shared" si="14"/>
        <v>2544.6223810000001</v>
      </c>
      <c r="J24" s="28">
        <f t="shared" si="14"/>
        <v>1754.7880560000001</v>
      </c>
      <c r="K24" s="28">
        <f t="shared" si="14"/>
        <v>971.83599499999991</v>
      </c>
      <c r="L24" s="28">
        <f t="shared" si="14"/>
        <v>631.09349999999995</v>
      </c>
      <c r="M24" s="28">
        <f t="shared" si="14"/>
        <v>716.12990000000002</v>
      </c>
      <c r="N24" s="28">
        <f t="shared" si="14"/>
        <v>760.51070000000004</v>
      </c>
      <c r="O24" s="28"/>
      <c r="P24" s="29">
        <f t="shared" si="13"/>
        <v>8.2242024578512769</v>
      </c>
      <c r="Q24" s="34">
        <f t="shared" si="11"/>
        <v>4.3317889738479183</v>
      </c>
      <c r="R24" s="31"/>
      <c r="S24" s="32">
        <f t="shared" si="12"/>
        <v>-31.039353064622755</v>
      </c>
      <c r="T24" s="32">
        <f t="shared" si="12"/>
        <v>-44.618041382428927</v>
      </c>
      <c r="V24" s="5" t="s">
        <v>40</v>
      </c>
    </row>
    <row r="25" spans="1:22" s="7" customFormat="1" ht="15">
      <c r="A25" s="41" t="s">
        <v>41</v>
      </c>
      <c r="B25" s="69">
        <v>409.5</v>
      </c>
      <c r="C25" s="70">
        <v>326.71006599999998</v>
      </c>
      <c r="D25" s="70">
        <v>389.53778699999998</v>
      </c>
      <c r="E25" s="70">
        <v>748.89331000000004</v>
      </c>
      <c r="F25" s="70">
        <v>524.65218775999983</v>
      </c>
      <c r="G25" s="70">
        <v>442.056106</v>
      </c>
      <c r="H25" s="70">
        <v>1308.5437119999999</v>
      </c>
      <c r="I25" s="70">
        <v>1338.103672</v>
      </c>
      <c r="J25" s="70">
        <v>1236.8888260000001</v>
      </c>
      <c r="K25" s="70">
        <v>458.28434966666663</v>
      </c>
      <c r="L25" s="70">
        <v>130</v>
      </c>
      <c r="M25" s="70">
        <v>130</v>
      </c>
      <c r="N25" s="70">
        <v>130</v>
      </c>
      <c r="O25" s="70"/>
      <c r="P25" s="61">
        <f t="shared" si="13"/>
        <v>5.796953135221238</v>
      </c>
      <c r="Q25" s="71">
        <f t="shared" si="11"/>
        <v>2.0427223348247465</v>
      </c>
      <c r="R25" s="36"/>
      <c r="S25" s="67">
        <f t="shared" si="12"/>
        <v>-7.5640511357927025</v>
      </c>
      <c r="T25" s="67">
        <f t="shared" si="12"/>
        <v>-62.948622379529304</v>
      </c>
      <c r="V25" s="6" t="s">
        <v>42</v>
      </c>
    </row>
    <row r="26" spans="1:22" s="8" customFormat="1" ht="15">
      <c r="A26" s="35" t="s">
        <v>43</v>
      </c>
      <c r="B26" s="69">
        <v>69.7</v>
      </c>
      <c r="C26" s="70">
        <v>94.927124000000006</v>
      </c>
      <c r="D26" s="70">
        <v>249.27645100000001</v>
      </c>
      <c r="E26" s="70">
        <v>248.75795500000001</v>
      </c>
      <c r="F26" s="70">
        <v>255.17067698411032</v>
      </c>
      <c r="G26" s="70">
        <v>248.10319200000001</v>
      </c>
      <c r="H26" s="70">
        <v>465.68036288000002</v>
      </c>
      <c r="I26" s="70">
        <v>1206.5187089999999</v>
      </c>
      <c r="J26" s="70">
        <v>517.89922999999999</v>
      </c>
      <c r="K26" s="70">
        <v>513.55164533333334</v>
      </c>
      <c r="L26" s="70">
        <v>501.09350000000001</v>
      </c>
      <c r="M26" s="70">
        <v>586.12990000000002</v>
      </c>
      <c r="N26" s="70">
        <v>630.51070000000004</v>
      </c>
      <c r="O26" s="70"/>
      <c r="P26" s="61">
        <f t="shared" si="13"/>
        <v>2.4272493226300398</v>
      </c>
      <c r="Q26" s="71">
        <f t="shared" si="11"/>
        <v>2.2890666390231718</v>
      </c>
      <c r="R26" s="36"/>
      <c r="S26" s="67">
        <f t="shared" si="12"/>
        <v>-57.07491097015388</v>
      </c>
      <c r="T26" s="67">
        <f t="shared" si="12"/>
        <v>-0.83946536600694477</v>
      </c>
      <c r="V26" s="6" t="s">
        <v>44</v>
      </c>
    </row>
    <row r="27" spans="1:22" s="7" customFormat="1" ht="15">
      <c r="A27" s="26" t="s">
        <v>45</v>
      </c>
      <c r="B27" s="27">
        <f t="shared" ref="B27:N27" si="15">+B28+B34</f>
        <v>2712.7999999999997</v>
      </c>
      <c r="C27" s="27">
        <f t="shared" si="15"/>
        <v>2188.5033270000004</v>
      </c>
      <c r="D27" s="27">
        <f t="shared" si="15"/>
        <v>2386.9887288999994</v>
      </c>
      <c r="E27" s="27">
        <f t="shared" si="15"/>
        <v>3188.9832149999993</v>
      </c>
      <c r="F27" s="27">
        <f t="shared" si="15"/>
        <v>3623.4986370100969</v>
      </c>
      <c r="G27" s="28">
        <f t="shared" si="15"/>
        <v>2793.5176699999997</v>
      </c>
      <c r="H27" s="28">
        <f t="shared" si="15"/>
        <v>1957.5564166399993</v>
      </c>
      <c r="I27" s="28">
        <f>+I28+I34</f>
        <v>2457.2430760000007</v>
      </c>
      <c r="J27" s="28">
        <f t="shared" si="15"/>
        <v>4603.1339437899996</v>
      </c>
      <c r="K27" s="28">
        <f t="shared" si="15"/>
        <v>7122.5834899699994</v>
      </c>
      <c r="L27" s="28">
        <f t="shared" si="15"/>
        <v>8661.7749535396324</v>
      </c>
      <c r="M27" s="28">
        <f t="shared" si="15"/>
        <v>8433.7931913127195</v>
      </c>
      <c r="N27" s="28">
        <f t="shared" si="15"/>
        <v>6866.9112034754389</v>
      </c>
      <c r="O27" s="28"/>
      <c r="P27" s="29">
        <f>J27/J$8*100</f>
        <v>21.57360563567476</v>
      </c>
      <c r="Q27" s="34">
        <f t="shared" si="11"/>
        <v>31.747670168528042</v>
      </c>
      <c r="R27" s="31"/>
      <c r="S27" s="32">
        <f t="shared" si="12"/>
        <v>87.329206001189206</v>
      </c>
      <c r="T27" s="32">
        <f t="shared" si="12"/>
        <v>54.733352905772833</v>
      </c>
      <c r="V27" s="5" t="s">
        <v>46</v>
      </c>
    </row>
    <row r="28" spans="1:22" s="8" customFormat="1" ht="15">
      <c r="A28" s="26" t="s">
        <v>47</v>
      </c>
      <c r="B28" s="28">
        <f t="shared" ref="B28:N28" si="16">SUM(B29:B33)</f>
        <v>2879.2</v>
      </c>
      <c r="C28" s="28">
        <f t="shared" si="16"/>
        <v>2339.3396600000005</v>
      </c>
      <c r="D28" s="28">
        <f t="shared" si="16"/>
        <v>2568.2887288999996</v>
      </c>
      <c r="E28" s="28">
        <f t="shared" si="16"/>
        <v>3587.9832149999993</v>
      </c>
      <c r="F28" s="28">
        <f t="shared" si="16"/>
        <v>3693.7986370100971</v>
      </c>
      <c r="G28" s="28">
        <f t="shared" si="16"/>
        <v>2883.7493059999997</v>
      </c>
      <c r="H28" s="28">
        <f t="shared" si="16"/>
        <v>2093.0414236399993</v>
      </c>
      <c r="I28" s="28">
        <f t="shared" si="16"/>
        <v>2579.4051260000006</v>
      </c>
      <c r="J28" s="28">
        <f t="shared" si="16"/>
        <v>4707.1521897899993</v>
      </c>
      <c r="K28" s="28">
        <f t="shared" si="16"/>
        <v>7144.315422636666</v>
      </c>
      <c r="L28" s="28">
        <f t="shared" si="16"/>
        <v>8634.7392993476333</v>
      </c>
      <c r="M28" s="28">
        <f t="shared" si="16"/>
        <v>8486.9132019587996</v>
      </c>
      <c r="N28" s="28">
        <f t="shared" si="16"/>
        <v>6921.3229520079794</v>
      </c>
      <c r="O28" s="28"/>
      <c r="P28" s="29">
        <f t="shared" si="13"/>
        <v>22.061110158793408</v>
      </c>
      <c r="Q28" s="34">
        <f t="shared" si="11"/>
        <v>31.844536457480299</v>
      </c>
      <c r="R28" s="31"/>
      <c r="S28" s="32">
        <f t="shared" si="12"/>
        <v>82.489836216212836</v>
      </c>
      <c r="T28" s="32">
        <f t="shared" si="12"/>
        <v>51.775747513177308</v>
      </c>
      <c r="V28" s="5" t="s">
        <v>48</v>
      </c>
    </row>
    <row r="29" spans="1:22" s="7" customFormat="1" ht="15">
      <c r="A29" s="35" t="s">
        <v>49</v>
      </c>
      <c r="B29" s="70">
        <v>1098</v>
      </c>
      <c r="C29" s="70">
        <v>738.42376899999999</v>
      </c>
      <c r="D29" s="70">
        <v>1256.347945</v>
      </c>
      <c r="E29" s="70">
        <v>1327.61689</v>
      </c>
      <c r="F29" s="70">
        <v>1891.8309750000001</v>
      </c>
      <c r="G29" s="70">
        <v>1131.645327</v>
      </c>
      <c r="H29" s="70">
        <v>1176.9269400000001</v>
      </c>
      <c r="I29" s="70">
        <v>188.39416600000001</v>
      </c>
      <c r="J29" s="70">
        <v>635.05139099999997</v>
      </c>
      <c r="K29" s="70">
        <v>968.64821500000005</v>
      </c>
      <c r="L29" s="70">
        <v>2827.1556740000001</v>
      </c>
      <c r="M29" s="70">
        <v>3911.9502000000002</v>
      </c>
      <c r="N29" s="70">
        <v>4085.20597</v>
      </c>
      <c r="O29" s="70"/>
      <c r="P29" s="61">
        <f t="shared" si="13"/>
        <v>2.9763088441742123</v>
      </c>
      <c r="Q29" s="71">
        <f t="shared" si="11"/>
        <v>4.3175800020398167</v>
      </c>
      <c r="R29" s="36"/>
      <c r="S29" s="67">
        <f t="shared" si="12"/>
        <v>237.08654810467959</v>
      </c>
      <c r="T29" s="67">
        <f t="shared" si="12"/>
        <v>52.530681568100071</v>
      </c>
      <c r="V29" s="6" t="s">
        <v>50</v>
      </c>
    </row>
    <row r="30" spans="1:22" s="7" customFormat="1" ht="15">
      <c r="A30" s="35" t="s">
        <v>68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/>
      <c r="P30" s="61">
        <f t="shared" si="13"/>
        <v>0</v>
      </c>
      <c r="Q30" s="71">
        <f t="shared" si="11"/>
        <v>0</v>
      </c>
      <c r="R30" s="36"/>
      <c r="S30" s="67">
        <v>2</v>
      </c>
      <c r="T30" s="67">
        <v>2</v>
      </c>
      <c r="V30" s="6" t="s">
        <v>65</v>
      </c>
    </row>
    <row r="31" spans="1:22" s="7" customFormat="1" ht="14.25" customHeight="1">
      <c r="A31" s="35" t="s">
        <v>69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70">
        <v>154.819729</v>
      </c>
      <c r="H31" s="70">
        <v>36.444533999999997</v>
      </c>
      <c r="I31" s="70">
        <v>84.145286999999996</v>
      </c>
      <c r="J31" s="70">
        <v>79.620881999999995</v>
      </c>
      <c r="K31" s="70">
        <v>345.17071700000002</v>
      </c>
      <c r="L31" s="70">
        <v>793.13024499999995</v>
      </c>
      <c r="M31" s="70">
        <v>820.75414000000001</v>
      </c>
      <c r="N31" s="70">
        <v>900.91058499999997</v>
      </c>
      <c r="O31" s="70"/>
      <c r="P31" s="61">
        <f t="shared" si="13"/>
        <v>0.37316087900286377</v>
      </c>
      <c r="Q31" s="71">
        <f t="shared" si="11"/>
        <v>1.5385381007582255</v>
      </c>
      <c r="R31" s="36"/>
      <c r="S31" s="67">
        <f t="shared" ref="S31:T34" si="17">+(J31-I31)/I31*100</f>
        <v>-5.3768965099613979</v>
      </c>
      <c r="T31" s="67">
        <f t="shared" si="17"/>
        <v>333.51782639132284</v>
      </c>
      <c r="V31" s="6"/>
    </row>
    <row r="32" spans="1:22" s="7" customFormat="1" ht="17.25" customHeight="1">
      <c r="A32" s="35" t="s">
        <v>70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70">
        <v>522.60649899999999</v>
      </c>
      <c r="H32" s="70">
        <v>645.19940499999996</v>
      </c>
      <c r="I32" s="70">
        <v>1702.5169109999999</v>
      </c>
      <c r="J32" s="70">
        <v>2402.6626430000001</v>
      </c>
      <c r="K32" s="70">
        <v>4553.237607</v>
      </c>
      <c r="L32" s="70">
        <v>4368.676735</v>
      </c>
      <c r="M32" s="70">
        <v>3331.4919110000001</v>
      </c>
      <c r="N32" s="70">
        <v>1675.6591969999999</v>
      </c>
      <c r="O32" s="70"/>
      <c r="P32" s="61">
        <f t="shared" si="13"/>
        <v>11.260610047113317</v>
      </c>
      <c r="Q32" s="71">
        <f t="shared" si="11"/>
        <v>20.295260273120753</v>
      </c>
      <c r="R32" s="36"/>
      <c r="S32" s="67">
        <f t="shared" si="17"/>
        <v>41.124157268356214</v>
      </c>
      <c r="T32" s="67">
        <f t="shared" si="17"/>
        <v>89.507986910503604</v>
      </c>
      <c r="V32" s="6"/>
    </row>
    <row r="33" spans="1:26" s="8" customFormat="1" ht="17.25" customHeight="1">
      <c r="A33" s="35" t="s">
        <v>51</v>
      </c>
      <c r="B33" s="70">
        <v>1781.2</v>
      </c>
      <c r="C33" s="70">
        <v>1600.9158910000006</v>
      </c>
      <c r="D33" s="70">
        <v>1311.9407838999996</v>
      </c>
      <c r="E33" s="70">
        <v>2260.3663249999995</v>
      </c>
      <c r="F33" s="70">
        <v>1801.9676620100972</v>
      </c>
      <c r="G33" s="70">
        <v>1074.6777509999999</v>
      </c>
      <c r="H33" s="70">
        <v>234.47054463999962</v>
      </c>
      <c r="I33" s="70">
        <v>604.34876200000042</v>
      </c>
      <c r="J33" s="70">
        <v>1589.8172737899997</v>
      </c>
      <c r="K33" s="70">
        <v>1277.258883636666</v>
      </c>
      <c r="L33" s="70">
        <v>645.77664534763403</v>
      </c>
      <c r="M33" s="70">
        <v>422.71695095879841</v>
      </c>
      <c r="N33" s="70">
        <v>259.54720000797965</v>
      </c>
      <c r="O33" s="70"/>
      <c r="P33" s="61">
        <f t="shared" si="13"/>
        <v>7.4510303885030158</v>
      </c>
      <c r="Q33" s="71">
        <f t="shared" si="11"/>
        <v>5.6931580815614993</v>
      </c>
      <c r="R33" s="36"/>
      <c r="S33" s="67">
        <f t="shared" si="17"/>
        <v>163.06288251981206</v>
      </c>
      <c r="T33" s="67">
        <f t="shared" si="17"/>
        <v>-19.660019758636725</v>
      </c>
      <c r="V33" s="6" t="s">
        <v>52</v>
      </c>
      <c r="W33" s="13"/>
      <c r="Z33" s="42"/>
    </row>
    <row r="34" spans="1:26" s="7" customFormat="1" ht="17.25" customHeight="1">
      <c r="A34" s="26" t="s">
        <v>7</v>
      </c>
      <c r="B34" s="43">
        <v>-166.4</v>
      </c>
      <c r="C34" s="43">
        <v>-150.836333</v>
      </c>
      <c r="D34" s="43">
        <v>-181.3</v>
      </c>
      <c r="E34" s="43">
        <v>-399</v>
      </c>
      <c r="F34" s="43">
        <v>-70.3</v>
      </c>
      <c r="G34" s="43">
        <v>-90.231635999999995</v>
      </c>
      <c r="H34" s="43">
        <v>-135.485007</v>
      </c>
      <c r="I34" s="43">
        <v>-122.16204999999999</v>
      </c>
      <c r="J34" s="43">
        <v>-104.018246</v>
      </c>
      <c r="K34" s="43">
        <v>-21.731932666666651</v>
      </c>
      <c r="L34" s="43">
        <v>27.035654192000024</v>
      </c>
      <c r="M34" s="43">
        <v>-53.120010646079976</v>
      </c>
      <c r="N34" s="43">
        <v>-54.41174853254077</v>
      </c>
      <c r="O34" s="43"/>
      <c r="P34" s="44">
        <f t="shared" si="13"/>
        <v>-0.48750452311864767</v>
      </c>
      <c r="Q34" s="45">
        <f t="shared" si="11"/>
        <v>-9.6866288952254728E-2</v>
      </c>
      <c r="R34" s="46"/>
      <c r="S34" s="32">
        <f t="shared" si="17"/>
        <v>-14.852242574514745</v>
      </c>
      <c r="T34" s="32">
        <f t="shared" si="17"/>
        <v>-79.107576312460935</v>
      </c>
      <c r="V34" s="5" t="s">
        <v>8</v>
      </c>
      <c r="W34" s="33"/>
      <c r="Z34" s="47"/>
    </row>
    <row r="35" spans="1:26" s="8" customFormat="1" ht="17.25" customHeight="1">
      <c r="A35" s="48" t="s">
        <v>53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29"/>
      <c r="Q35" s="34"/>
      <c r="R35" s="31"/>
      <c r="S35" s="67"/>
      <c r="T35" s="67"/>
      <c r="V35" s="11" t="s">
        <v>54</v>
      </c>
    </row>
    <row r="36" spans="1:26" s="8" customFormat="1" ht="17.25" customHeight="1">
      <c r="A36" s="48" t="s">
        <v>55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29"/>
      <c r="Q36" s="34"/>
      <c r="R36" s="31"/>
      <c r="S36" s="67"/>
      <c r="T36" s="67"/>
      <c r="V36" s="11" t="s">
        <v>56</v>
      </c>
    </row>
    <row r="37" spans="1:26" s="8" customFormat="1" ht="17.25" customHeight="1">
      <c r="A37" s="12" t="s">
        <v>57</v>
      </c>
      <c r="B37" s="50">
        <v>0.2</v>
      </c>
      <c r="C37" s="50">
        <v>1.1656</v>
      </c>
      <c r="D37" s="50">
        <v>0</v>
      </c>
      <c r="E37" s="50">
        <v>8.7040279999999992</v>
      </c>
      <c r="F37" s="50">
        <v>61.816024759999998</v>
      </c>
      <c r="G37" s="50">
        <v>46.362653000000002</v>
      </c>
      <c r="H37" s="50">
        <v>0</v>
      </c>
      <c r="I37" s="50">
        <v>5.5719279999999998</v>
      </c>
      <c r="J37" s="50">
        <v>55.088943999999998</v>
      </c>
      <c r="K37" s="50">
        <v>118.427286</v>
      </c>
      <c r="L37" s="50">
        <v>153.86613800000001</v>
      </c>
      <c r="M37" s="50">
        <v>74.978778000000005</v>
      </c>
      <c r="N37" s="50">
        <v>74.968028000000004</v>
      </c>
      <c r="O37" s="50"/>
      <c r="P37" s="51">
        <f>J37/J$8*100</f>
        <v>0.25818652406261383</v>
      </c>
      <c r="Q37" s="52">
        <f>K37/K$8*100</f>
        <v>0.52786891444325845</v>
      </c>
      <c r="R37" s="53"/>
      <c r="S37" s="54">
        <v>1</v>
      </c>
      <c r="T37" s="54">
        <v>1</v>
      </c>
      <c r="U37" s="64"/>
      <c r="V37" s="9" t="s">
        <v>58</v>
      </c>
    </row>
    <row r="38" spans="1:26" s="8" customFormat="1" ht="17.25" customHeight="1">
      <c r="A38" s="55" t="s">
        <v>76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56"/>
      <c r="T38" s="56"/>
      <c r="U38" s="56"/>
      <c r="V38" s="13" t="s">
        <v>59</v>
      </c>
    </row>
    <row r="39" spans="1:26" s="8" customFormat="1" ht="17.25" customHeight="1">
      <c r="A39" s="10" t="s">
        <v>9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56"/>
      <c r="T39" s="56"/>
      <c r="U39" s="56"/>
      <c r="V39" s="13" t="s">
        <v>10</v>
      </c>
    </row>
    <row r="40" spans="1:26" s="8" customFormat="1" ht="12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56"/>
      <c r="T40" s="56"/>
      <c r="U40" s="56"/>
    </row>
    <row r="41" spans="1:26" s="8" customFormat="1" ht="12">
      <c r="S41" s="57"/>
      <c r="T41" s="57"/>
      <c r="U41" s="57"/>
      <c r="V41" s="58"/>
    </row>
    <row r="42" spans="1:26" s="8" customFormat="1" ht="12">
      <c r="S42" s="57"/>
      <c r="T42" s="57"/>
      <c r="U42" s="57"/>
      <c r="V42" s="58"/>
    </row>
    <row r="43" spans="1:26" s="8" customFormat="1" ht="12">
      <c r="S43" s="57"/>
      <c r="T43" s="57"/>
      <c r="U43" s="57"/>
      <c r="V43" s="58"/>
    </row>
    <row r="44" spans="1:26" s="8" customFormat="1" ht="12">
      <c r="S44" s="57"/>
      <c r="T44" s="57"/>
      <c r="U44" s="57"/>
      <c r="V44" s="58"/>
    </row>
    <row r="45" spans="1:26" s="8" customFormat="1" ht="12">
      <c r="S45" s="57"/>
      <c r="T45" s="57"/>
      <c r="U45" s="57"/>
      <c r="V45" s="58"/>
    </row>
    <row r="46" spans="1:26" s="8" customFormat="1" ht="12">
      <c r="S46" s="57"/>
      <c r="T46" s="57"/>
      <c r="U46" s="57"/>
      <c r="V46" s="58"/>
    </row>
    <row r="47" spans="1:26" s="8" customFormat="1" ht="12">
      <c r="S47" s="57"/>
      <c r="T47" s="57"/>
      <c r="U47" s="57"/>
      <c r="V47" s="58"/>
    </row>
    <row r="48" spans="1:26" s="8" customFormat="1" ht="12">
      <c r="S48" s="57"/>
      <c r="T48" s="57"/>
      <c r="U48" s="57"/>
      <c r="V48" s="58"/>
    </row>
    <row r="49" spans="19:22" s="8" customFormat="1" ht="12">
      <c r="S49" s="57"/>
      <c r="T49" s="57"/>
      <c r="U49" s="57"/>
      <c r="V49" s="58"/>
    </row>
    <row r="50" spans="19:22" s="8" customFormat="1" ht="12">
      <c r="S50" s="57"/>
      <c r="T50" s="57"/>
      <c r="U50" s="57"/>
      <c r="V50" s="58"/>
    </row>
    <row r="51" spans="19:22" s="8" customFormat="1" ht="12">
      <c r="S51" s="57"/>
      <c r="T51" s="57"/>
      <c r="U51" s="57"/>
      <c r="V51" s="58"/>
    </row>
  </sheetData>
  <mergeCells count="42">
    <mergeCell ref="L20:L21"/>
    <mergeCell ref="L18:L19"/>
    <mergeCell ref="N18:N19"/>
    <mergeCell ref="N20:N21"/>
    <mergeCell ref="Q18:Q19"/>
    <mergeCell ref="Q20:Q21"/>
    <mergeCell ref="M20:M21"/>
    <mergeCell ref="G20:G21"/>
    <mergeCell ref="H20:H21"/>
    <mergeCell ref="I20:I21"/>
    <mergeCell ref="J20:J21"/>
    <mergeCell ref="K20:K21"/>
    <mergeCell ref="B20:B21"/>
    <mergeCell ref="C20:C21"/>
    <mergeCell ref="D20:D21"/>
    <mergeCell ref="E20:E21"/>
    <mergeCell ref="F20:F21"/>
    <mergeCell ref="A1:V1"/>
    <mergeCell ref="A2:V2"/>
    <mergeCell ref="A3:V3"/>
    <mergeCell ref="A4:V4"/>
    <mergeCell ref="B18:B19"/>
    <mergeCell ref="C18:C19"/>
    <mergeCell ref="D18:D19"/>
    <mergeCell ref="E18:E19"/>
    <mergeCell ref="F18:F19"/>
    <mergeCell ref="G18:G19"/>
    <mergeCell ref="H18:H19"/>
    <mergeCell ref="I18:I19"/>
    <mergeCell ref="S18:S19"/>
    <mergeCell ref="M18:M19"/>
    <mergeCell ref="J18:J19"/>
    <mergeCell ref="K18:K19"/>
    <mergeCell ref="S20:S21"/>
    <mergeCell ref="S5:T5"/>
    <mergeCell ref="S6:T6"/>
    <mergeCell ref="P5:Q5"/>
    <mergeCell ref="P6:Q6"/>
    <mergeCell ref="P18:P19"/>
    <mergeCell ref="T18:T19"/>
    <mergeCell ref="P20:P21"/>
    <mergeCell ref="T20:T21"/>
  </mergeCells>
  <pageMargins left="0.17" right="0.16" top="0.35" bottom="0.27" header="0.17" footer="0.17"/>
  <pageSetup paperSize="9" scale="75" orientation="landscape" horizontalDpi="4294967295" verticalDpi="4294967295" r:id="rId1"/>
  <colBreaks count="1" manualBreakCount="1">
    <brk id="22" max="1048575" man="1"/>
  </colBreaks>
  <ignoredErrors>
    <ignoredError sqref="I27:M27 I24:M24 I9:M9 I8:M8" unlockedFormula="1"/>
    <ignoredError sqref="I28:M28 I10:M10" formulaRange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13.4</vt:lpstr>
      <vt:lpstr>'13.4'!Print_Area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2017-06-05T07:45:49Z</cp:lastPrinted>
  <dcterms:created xsi:type="dcterms:W3CDTF">2014-03-06T08:38:12Z</dcterms:created>
  <dcterms:modified xsi:type="dcterms:W3CDTF">2017-06-05T07:45:56Z</dcterms:modified>
</cp:coreProperties>
</file>