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600" windowHeight="9735" tabRatio="688"/>
  </bookViews>
  <sheets>
    <sheet name="13.9" sheetId="24" r:id="rId1"/>
  </sheets>
  <externalReferences>
    <externalReference r:id="rId2"/>
  </externalReferences>
  <definedNames>
    <definedName name="_xlnm.Print_Area" localSheetId="0">'13.9'!$A$1:$O$147</definedName>
    <definedName name="_xlnm.Print_Titles" localSheetId="0">'13.9'!$4:$5</definedName>
  </definedNames>
  <calcPr calcId="144525"/>
</workbook>
</file>

<file path=xl/calcChain.xml><?xml version="1.0" encoding="utf-8"?>
<calcChain xmlns="http://schemas.openxmlformats.org/spreadsheetml/2006/main">
  <c r="H116" i="24" l="1"/>
  <c r="I116" i="24"/>
  <c r="J116" i="24"/>
  <c r="G116" i="24"/>
  <c r="L93" i="24"/>
  <c r="M93" i="24"/>
  <c r="N93" i="24"/>
  <c r="O93" i="24"/>
  <c r="K93" i="24"/>
  <c r="I98" i="24"/>
  <c r="J98" i="24"/>
  <c r="K98" i="24"/>
  <c r="L98" i="24"/>
  <c r="M98" i="24"/>
  <c r="N98" i="24"/>
  <c r="O98" i="24"/>
  <c r="K130" i="24"/>
  <c r="L130" i="24"/>
  <c r="M130" i="24"/>
  <c r="N130" i="24"/>
  <c r="O130" i="24"/>
  <c r="K124" i="24"/>
  <c r="L124" i="24"/>
  <c r="M124" i="24"/>
  <c r="N124" i="24"/>
  <c r="O124" i="24"/>
  <c r="L119" i="24"/>
  <c r="M119" i="24"/>
  <c r="N119" i="24"/>
  <c r="O119" i="24"/>
  <c r="K119" i="24"/>
  <c r="O70" i="24"/>
  <c r="N136" i="24"/>
  <c r="O136" i="24"/>
  <c r="H136" i="24"/>
  <c r="I136" i="24"/>
  <c r="J136" i="24"/>
  <c r="K136" i="24"/>
  <c r="L136" i="24"/>
  <c r="H133" i="24"/>
  <c r="I133" i="24"/>
  <c r="J133" i="24"/>
  <c r="K133" i="24"/>
  <c r="L133" i="24"/>
  <c r="M133" i="24"/>
  <c r="N133" i="24"/>
  <c r="O133" i="24"/>
  <c r="G133" i="24"/>
  <c r="J21" i="24"/>
  <c r="I21" i="24"/>
  <c r="K116" i="24" l="1"/>
  <c r="L116" i="24"/>
  <c r="M116" i="24"/>
  <c r="N116" i="24"/>
  <c r="O116" i="24"/>
  <c r="L82" i="24"/>
  <c r="M82" i="24"/>
  <c r="N82" i="24"/>
  <c r="O82" i="24"/>
  <c r="O7" i="24" s="1"/>
  <c r="K82" i="24"/>
  <c r="L50" i="24"/>
  <c r="M50" i="24"/>
  <c r="N50" i="24"/>
  <c r="O50" i="24"/>
  <c r="K50" i="24"/>
  <c r="O21" i="24"/>
  <c r="N21" i="24"/>
  <c r="M21" i="24"/>
  <c r="L21" i="24"/>
  <c r="K21" i="24"/>
  <c r="H21" i="24"/>
  <c r="G21" i="24"/>
  <c r="L16" i="24"/>
  <c r="M16" i="24"/>
  <c r="N16" i="24"/>
  <c r="O16" i="24"/>
  <c r="K16" i="24"/>
  <c r="L8" i="24"/>
  <c r="M8" i="24"/>
  <c r="N8" i="24"/>
  <c r="O8" i="24"/>
  <c r="K8" i="24"/>
  <c r="O29" i="24"/>
  <c r="O33" i="24"/>
  <c r="O36" i="24"/>
  <c r="O44" i="24"/>
  <c r="O102" i="24"/>
  <c r="O110" i="24"/>
  <c r="O113" i="24"/>
  <c r="I29" i="24" l="1"/>
  <c r="J29" i="24"/>
  <c r="K29" i="24"/>
  <c r="L29" i="24"/>
  <c r="M29" i="24"/>
  <c r="N29" i="24"/>
  <c r="L33" i="24" l="1"/>
  <c r="M33" i="24"/>
  <c r="N33" i="24"/>
  <c r="J36" i="24"/>
  <c r="L36" i="24"/>
  <c r="M36" i="24"/>
  <c r="N36" i="24"/>
  <c r="M44" i="24"/>
  <c r="N44" i="24"/>
  <c r="J102" i="24"/>
  <c r="J113" i="24"/>
  <c r="K113" i="24"/>
  <c r="J119" i="24"/>
  <c r="J124" i="24"/>
  <c r="J130" i="24"/>
  <c r="M136" i="24"/>
  <c r="J16" i="24"/>
  <c r="J33" i="24"/>
  <c r="K33" i="24"/>
  <c r="K36" i="24"/>
  <c r="J44" i="24"/>
  <c r="K44" i="24"/>
  <c r="L44" i="24"/>
  <c r="J50" i="24"/>
  <c r="J70" i="24"/>
  <c r="K70" i="24"/>
  <c r="L70" i="24"/>
  <c r="M70" i="24"/>
  <c r="N70" i="24"/>
  <c r="J82" i="24"/>
  <c r="J93" i="24"/>
  <c r="K102" i="24"/>
  <c r="L102" i="24"/>
  <c r="M102" i="24"/>
  <c r="N102" i="24"/>
  <c r="J110" i="24"/>
  <c r="K110" i="24"/>
  <c r="L110" i="24"/>
  <c r="M110" i="24"/>
  <c r="N110" i="24"/>
  <c r="L113" i="24"/>
  <c r="M113" i="24"/>
  <c r="N113" i="24"/>
  <c r="J7" i="24" l="1"/>
  <c r="L7" i="24"/>
  <c r="M7" i="24"/>
  <c r="K7" i="24"/>
  <c r="N7" i="24"/>
  <c r="B131" i="24" l="1"/>
  <c r="C131" i="24"/>
  <c r="D131" i="24"/>
  <c r="E131" i="24"/>
  <c r="F131" i="24"/>
  <c r="G131" i="24"/>
  <c r="H131" i="24"/>
  <c r="I131" i="24"/>
  <c r="I130" i="24" s="1"/>
  <c r="B130" i="24"/>
  <c r="C130" i="24"/>
  <c r="D130" i="24"/>
  <c r="E130" i="24"/>
  <c r="F130" i="24"/>
  <c r="G130" i="24"/>
  <c r="H130" i="24"/>
  <c r="B34" i="24"/>
  <c r="C34" i="24"/>
  <c r="D34" i="24"/>
  <c r="B18" i="24"/>
  <c r="B17" i="24" s="1"/>
  <c r="C18" i="24"/>
  <c r="C17" i="24" s="1"/>
  <c r="C16" i="24" s="1"/>
  <c r="D18" i="24"/>
  <c r="D17" i="24" s="1"/>
  <c r="D16" i="24" s="1"/>
  <c r="E18" i="24"/>
  <c r="E17" i="24" s="1"/>
  <c r="E16" i="24" s="1"/>
  <c r="I102" i="24"/>
  <c r="H102" i="24"/>
  <c r="I93" i="24"/>
  <c r="H93" i="24"/>
  <c r="I82" i="24"/>
  <c r="H82" i="24"/>
  <c r="I70" i="24"/>
  <c r="H70" i="24"/>
  <c r="I50" i="24"/>
  <c r="H50" i="24"/>
  <c r="I44" i="24"/>
  <c r="H44" i="24"/>
  <c r="H36" i="24"/>
  <c r="H29" i="24"/>
  <c r="H16" i="24"/>
  <c r="I8" i="24"/>
  <c r="J8" i="24"/>
  <c r="H8" i="24"/>
  <c r="H7" i="24" l="1"/>
  <c r="F113" i="24" l="1"/>
  <c r="E113" i="24"/>
  <c r="D113" i="24"/>
  <c r="C113" i="24"/>
  <c r="B113" i="24"/>
  <c r="G113" i="24"/>
  <c r="B8" i="24"/>
  <c r="C8" i="24"/>
  <c r="D8" i="24"/>
  <c r="B16" i="24"/>
  <c r="G136" i="24"/>
  <c r="F136" i="24"/>
  <c r="E136" i="24"/>
  <c r="D136" i="24"/>
  <c r="C136" i="24"/>
  <c r="B136" i="24"/>
  <c r="I124" i="24"/>
  <c r="H124" i="24"/>
  <c r="G124" i="24"/>
  <c r="F124" i="24"/>
  <c r="E124" i="24"/>
  <c r="D124" i="24"/>
  <c r="C124" i="24"/>
  <c r="B124" i="24"/>
  <c r="I119" i="24"/>
  <c r="H119" i="24"/>
  <c r="G119" i="24"/>
  <c r="F119" i="24"/>
  <c r="E119" i="24"/>
  <c r="D119" i="24"/>
  <c r="C119" i="24"/>
  <c r="B119" i="24"/>
  <c r="I113" i="24"/>
  <c r="H113" i="24"/>
  <c r="I110" i="24"/>
  <c r="H110" i="24"/>
  <c r="G110" i="24"/>
  <c r="F110" i="24"/>
  <c r="E110" i="24"/>
  <c r="D110" i="24"/>
  <c r="C110" i="24"/>
  <c r="B110" i="24"/>
  <c r="G102" i="24"/>
  <c r="F102" i="24"/>
  <c r="E102" i="24"/>
  <c r="D102" i="24"/>
  <c r="C102" i="24"/>
  <c r="B102" i="24"/>
  <c r="H98" i="24"/>
  <c r="G98" i="24"/>
  <c r="F98" i="24"/>
  <c r="E98" i="24"/>
  <c r="D98" i="24"/>
  <c r="C98" i="24"/>
  <c r="B98" i="24"/>
  <c r="G93" i="24"/>
  <c r="F93" i="24"/>
  <c r="E93" i="24"/>
  <c r="D93" i="24"/>
  <c r="C93" i="24"/>
  <c r="B93" i="24"/>
  <c r="G82" i="24"/>
  <c r="G7" i="24" s="1"/>
  <c r="G70" i="24"/>
  <c r="F70" i="24"/>
  <c r="E70" i="24"/>
  <c r="D70" i="24"/>
  <c r="C70" i="24"/>
  <c r="B70" i="24"/>
  <c r="G50" i="24"/>
  <c r="F50" i="24"/>
  <c r="E50" i="24"/>
  <c r="D50" i="24"/>
  <c r="C50" i="24"/>
  <c r="B50" i="24"/>
  <c r="G44" i="24"/>
  <c r="F44" i="24"/>
  <c r="E44" i="24"/>
  <c r="D44" i="24"/>
  <c r="C44" i="24"/>
  <c r="B44" i="24"/>
  <c r="I36" i="24"/>
  <c r="G36" i="24"/>
  <c r="F36" i="24"/>
  <c r="E36" i="24"/>
  <c r="D36" i="24"/>
  <c r="C36" i="24"/>
  <c r="B36" i="24"/>
  <c r="I33" i="24"/>
  <c r="H33" i="24"/>
  <c r="G33" i="24"/>
  <c r="F33" i="24"/>
  <c r="E33" i="24"/>
  <c r="D33" i="24"/>
  <c r="D31" i="24" s="1"/>
  <c r="D30" i="24" s="1"/>
  <c r="D29" i="24" s="1"/>
  <c r="C33" i="24"/>
  <c r="C31" i="24" s="1"/>
  <c r="C30" i="24" s="1"/>
  <c r="C29" i="24" s="1"/>
  <c r="B33" i="24"/>
  <c r="B31" i="24" s="1"/>
  <c r="B30" i="24" s="1"/>
  <c r="B29" i="24" s="1"/>
  <c r="G29" i="24"/>
  <c r="F29" i="24"/>
  <c r="E29" i="24"/>
  <c r="F21" i="24"/>
  <c r="E21" i="24"/>
  <c r="D21" i="24"/>
  <c r="C21" i="24"/>
  <c r="B21" i="24"/>
  <c r="I16" i="24"/>
  <c r="I7" i="24" s="1"/>
  <c r="G16" i="24"/>
  <c r="F16" i="24"/>
  <c r="G8" i="24"/>
  <c r="F8" i="24"/>
  <c r="E8" i="24"/>
  <c r="F7" i="24" l="1"/>
  <c r="B7" i="24"/>
  <c r="E7" i="24"/>
  <c r="C7" i="24"/>
  <c r="D7" i="24"/>
</calcChain>
</file>

<file path=xl/sharedStrings.xml><?xml version="1.0" encoding="utf-8"?>
<sst xmlns="http://schemas.openxmlformats.org/spreadsheetml/2006/main" count="855" uniqueCount="122">
  <si>
    <t>Actual</t>
  </si>
  <si>
    <t>Revised</t>
  </si>
  <si>
    <t>Actuals</t>
  </si>
  <si>
    <t>Memorandum item:</t>
  </si>
  <si>
    <t xml:space="preserve"> (In million MVR)</t>
  </si>
  <si>
    <t>Major projects</t>
  </si>
  <si>
    <t>Expenditure on major projects</t>
  </si>
  <si>
    <t>Saudhi Fund</t>
  </si>
  <si>
    <t>Reconstruction and Development of Ga. Atoll</t>
  </si>
  <si>
    <t>Reconstruction of fishing Harbours In Maldives</t>
  </si>
  <si>
    <t>Contraction of S.Hithadhoo Hospital</t>
  </si>
  <si>
    <t>AbuDhabi Fund</t>
  </si>
  <si>
    <t>Housing and Infrastructure project in Tsunami affected areas</t>
  </si>
  <si>
    <t>Kuwait Fund</t>
  </si>
  <si>
    <t>Rehabilitation of Tsunami Damage Utilities Project</t>
  </si>
  <si>
    <t xml:space="preserve">Water Supply and Sewerage in Gn.Fuwammulah </t>
  </si>
  <si>
    <t>Maldives Port Development</t>
  </si>
  <si>
    <t>Regional Port Project</t>
  </si>
  <si>
    <t>Japan</t>
  </si>
  <si>
    <t>Post Tsunami Recovery and Reconstruction</t>
  </si>
  <si>
    <t>Airport Upgrading</t>
  </si>
  <si>
    <t>French Develoment Agency</t>
  </si>
  <si>
    <t>Rehabilitation of Harbors and Creation of Sewerage network</t>
  </si>
  <si>
    <t>International Development Association(IDA)</t>
  </si>
  <si>
    <t>Integrated Human Development Project</t>
  </si>
  <si>
    <t xml:space="preserve">Mobile phone banking </t>
  </si>
  <si>
    <t>Maldives Environment Management Project</t>
  </si>
  <si>
    <t>Pension and Social Protection Administration Project</t>
  </si>
  <si>
    <t>Third Education Training Project</t>
  </si>
  <si>
    <t>International Fund for Agriculture Development (IFAD)</t>
  </si>
  <si>
    <t>Post Tsunami Agriculture and Fisheries Rehabilitation Project</t>
  </si>
  <si>
    <t xml:space="preserve">Fisheries and Agriculture Diversification Project </t>
  </si>
  <si>
    <t>Islamic Development Bank (IDB)</t>
  </si>
  <si>
    <t>Development of water supply and sewerage</t>
  </si>
  <si>
    <t>Micro Finance Loan to BML</t>
  </si>
  <si>
    <t>Construction of Basic housing in Tsunami affected</t>
  </si>
  <si>
    <t>Construction of Harbours for Tsunami Victims</t>
  </si>
  <si>
    <t>Quarentine facility</t>
  </si>
  <si>
    <t xml:space="preserve">SME Co-Finance </t>
  </si>
  <si>
    <t>Trade Finance Loan</t>
  </si>
  <si>
    <t>Trade Finance Loan 2</t>
  </si>
  <si>
    <t>Technical Assistance Loan</t>
  </si>
  <si>
    <t>Health and Education Project</t>
  </si>
  <si>
    <t>Health and Education Project Phase 2</t>
  </si>
  <si>
    <t>Reconstruction of Harbours (Istisna)</t>
  </si>
  <si>
    <t>Sanitation in 5 islands ( Istisna)</t>
  </si>
  <si>
    <t>Asian Development Bank(ADB)</t>
  </si>
  <si>
    <t>Information Technology Development Project</t>
  </si>
  <si>
    <t>Outer Island Electrification</t>
  </si>
  <si>
    <t>Employment Skills Training Project</t>
  </si>
  <si>
    <t>Regional Development Project Phase 2</t>
  </si>
  <si>
    <t>Domestic Maritime transport Project</t>
  </si>
  <si>
    <t>Private Sector Development Porject</t>
  </si>
  <si>
    <t>Micro Small &amp; Medium Enterprises dev project</t>
  </si>
  <si>
    <t>Post Secondary Education Development Project</t>
  </si>
  <si>
    <t>OPEC Fund For International Development (OFID)</t>
  </si>
  <si>
    <t>-</t>
  </si>
  <si>
    <t>Provision of water supply &amp; sewerage project</t>
  </si>
  <si>
    <t>Danish Commercial Loan (DANIDA)</t>
  </si>
  <si>
    <t>Fourth Power Generation Project</t>
  </si>
  <si>
    <t>Supplementary loan for Fourth Power</t>
  </si>
  <si>
    <t>ING Bank / Netherland</t>
  </si>
  <si>
    <t>Dredging &amp; Reclamation Project (4 islands)</t>
  </si>
  <si>
    <t>Ga. Villingili Reclamation Project</t>
  </si>
  <si>
    <t>EXIM Bank / China</t>
  </si>
  <si>
    <t>1000 Housing Units in Hulumale'</t>
  </si>
  <si>
    <t>EXIM Bank / India</t>
  </si>
  <si>
    <t>Velaanaage Office building</t>
  </si>
  <si>
    <t xml:space="preserve">Procurement of construction equipment </t>
  </si>
  <si>
    <t xml:space="preserve">Coastal Surveillance Vessel </t>
  </si>
  <si>
    <t>India</t>
  </si>
  <si>
    <t>Standby Credit Facilities</t>
  </si>
  <si>
    <t>Police 9 story Building</t>
  </si>
  <si>
    <t>MNDF 9 story Building</t>
  </si>
  <si>
    <t xml:space="preserve">Hulhumale' Project </t>
  </si>
  <si>
    <t>Other</t>
  </si>
  <si>
    <t>Tsunami Projects</t>
  </si>
  <si>
    <t>Construction of S.Hithadhoo Hospital (Funded by Saudhi/OFID)</t>
  </si>
  <si>
    <t>Source: Ministry of Finance and Treasury</t>
  </si>
  <si>
    <t>Bank of Ceylon</t>
  </si>
  <si>
    <t>Small Scale Waste-to-Energy Project</t>
  </si>
  <si>
    <t>Preparing Outer island for sustainable energy (POISED)</t>
  </si>
  <si>
    <t>Outer Island Water Supply and Sewerage</t>
  </si>
  <si>
    <t>Establishment of a regional Solid waste management in Upper North Region</t>
  </si>
  <si>
    <t>Development of  GDh atoll</t>
  </si>
  <si>
    <t>Ibrahim Nasir international Airport Development Project</t>
  </si>
  <si>
    <t>Male-Hulhule Bridge Project</t>
  </si>
  <si>
    <t>European Investment Bank (EIB)</t>
  </si>
  <si>
    <t>Preparing Outer Island for Sustainable Energy (POISED)</t>
  </si>
  <si>
    <t>Ibrahim Nasir International Airport Development Project (Terminal)</t>
  </si>
  <si>
    <t>Development Of Hulhumale' Phase II</t>
  </si>
  <si>
    <t>Mariculture Enterprises Development Project</t>
  </si>
  <si>
    <t>Reconstruction of Harbours ( Concessional )</t>
  </si>
  <si>
    <t>Sanitation in 5 islands ( Concessional )</t>
  </si>
  <si>
    <t>Reconstruction of Harbours Phase II (additional financing)</t>
  </si>
  <si>
    <t>Hdh.Kulhudufushi Harbour Expansion Project</t>
  </si>
  <si>
    <t>L.Gan - Fonadhoo Connectivity Project</t>
  </si>
  <si>
    <t>Provision of water supply &amp; waste management project (Phase II)</t>
  </si>
  <si>
    <t>Gdh.Thinadhoo Township Development Project</t>
  </si>
  <si>
    <t xml:space="preserve">Fourth Power Supplementary Loan </t>
  </si>
  <si>
    <t>Development of 1500 Housing Units in Maldives (Phase II)</t>
  </si>
  <si>
    <t>SMART Maldives</t>
  </si>
  <si>
    <t xml:space="preserve">Other Consessional loan </t>
  </si>
  <si>
    <t>Development of 485 Housing Units in Maldives (Phase III)</t>
  </si>
  <si>
    <t>Development Bank/ China</t>
  </si>
  <si>
    <t>Development of 1500 Housing Units in Maldives</t>
  </si>
  <si>
    <t>Arabic Fund</t>
  </si>
  <si>
    <t>Ibrahim Nasir International Airport Development Project (terminal)</t>
  </si>
  <si>
    <t>Coastal Protection in Gn.Fuwammulah</t>
  </si>
  <si>
    <t>Table  13.9 : EXPENDITURE ON MAJOR PROJECTS FINANCED BY FOREIGN LOANS, 2011- 2019</t>
  </si>
  <si>
    <t>ތާވަލު 13.9: ބޮޑެތި މަޝްރޫޢުތަކަށް ރާއްޖޭން ބޭރުން ނެގޭ ލޯނުތަކުން ޚަރަދުކުރެވޭ ގޮތް، 2011 - 2019</t>
  </si>
  <si>
    <t>Estimate</t>
  </si>
  <si>
    <t>I-Heaven Project</t>
  </si>
  <si>
    <t>Expansion and Upgrading of Ibrahim Nasir International Airport Development Project</t>
  </si>
  <si>
    <t>Micro Enterprises Development Project</t>
  </si>
  <si>
    <t xml:space="preserve">Terminal Development Project at Ibrahim Nasir International Airport </t>
  </si>
  <si>
    <t>Islamic Corporation for the Development of the Private Sector (I.C.D)</t>
  </si>
  <si>
    <t>Construction of National Dignostics Service Center</t>
  </si>
  <si>
    <t>Projects to be carried under Male-Hulhumale' project</t>
  </si>
  <si>
    <t xml:space="preserve">600 Housing Units in Urban centres across Maldives and in Land Reclaimed Islands </t>
  </si>
  <si>
    <t xml:space="preserve">10 Storey Trade Facilitation Centre in M.Feeroz Lodge </t>
  </si>
  <si>
    <t xml:space="preserve"> Purchase of major medical equipments &amp; accessoriesfor I.G.M.H 25 storey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</si>
</sst>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General_)"/>
    <numFmt numFmtId="165" formatCode="#,##0.0"/>
    <numFmt numFmtId="167" formatCode="_(* #,##0.0_);_(* \(#,##0.0\);_(* &quot;-&quot;??_);_(@_)"/>
    <numFmt numFmtId="168" formatCode="0.0"/>
    <numFmt numFmtId="170" formatCode="_-* #,##0.00_-;\-* #,##0.00_-;_-* &quot;-&quot;??_-;_-@_-"/>
    <numFmt numFmtId="171" formatCode="#,##0.00\ ;&quot; (&quot;#,##0.00\);&quot; -&quot;#\ ;@\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i/>
      <sz val="9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170" fontId="1" fillId="0" borderId="0" applyFont="0" applyFill="0" applyBorder="0" applyAlignment="0" applyProtection="0"/>
    <xf numFmtId="0" fontId="6" fillId="0" borderId="0"/>
    <xf numFmtId="171" fontId="6" fillId="0" borderId="0"/>
    <xf numFmtId="0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48">
    <xf numFmtId="0" fontId="0" fillId="0" borderId="0" xfId="0"/>
    <xf numFmtId="164" fontId="5" fillId="2" borderId="1" xfId="2" applyNumberFormat="1" applyFont="1" applyFill="1" applyBorder="1" applyAlignment="1" applyProtection="1">
      <alignment horizontal="right" vertical="center"/>
    </xf>
    <xf numFmtId="0" fontId="10" fillId="2" borderId="0" xfId="0" applyFont="1" applyFill="1" applyBorder="1" applyAlignment="1">
      <alignment horizontal="left" vertical="center"/>
    </xf>
    <xf numFmtId="164" fontId="8" fillId="2" borderId="0" xfId="3" applyNumberFormat="1" applyFont="1" applyFill="1" applyAlignment="1">
      <alignment vertical="center"/>
    </xf>
    <xf numFmtId="164" fontId="5" fillId="2" borderId="0" xfId="3" applyNumberFormat="1" applyFont="1" applyFill="1" applyAlignment="1">
      <alignment vertical="center"/>
    </xf>
    <xf numFmtId="164" fontId="5" fillId="2" borderId="3" xfId="3" applyNumberFormat="1" applyFont="1" applyFill="1" applyBorder="1" applyAlignment="1">
      <alignment vertical="center"/>
    </xf>
    <xf numFmtId="164" fontId="5" fillId="2" borderId="3" xfId="3" applyNumberFormat="1" applyFont="1" applyFill="1" applyBorder="1" applyAlignment="1" applyProtection="1">
      <alignment horizontal="right" vertical="center"/>
      <protection locked="0"/>
    </xf>
    <xf numFmtId="164" fontId="5" fillId="2" borderId="2" xfId="3" applyNumberFormat="1" applyFont="1" applyFill="1" applyBorder="1" applyAlignment="1" applyProtection="1">
      <alignment horizontal="right"/>
    </xf>
    <xf numFmtId="164" fontId="8" fillId="2" borderId="0" xfId="3" applyNumberFormat="1" applyFont="1" applyFill="1" applyBorder="1" applyAlignment="1">
      <alignment vertical="center"/>
    </xf>
    <xf numFmtId="164" fontId="5" fillId="2" borderId="0" xfId="3" applyNumberFormat="1" applyFont="1" applyFill="1" applyBorder="1" applyAlignment="1" applyProtection="1">
      <alignment horizontal="left" vertical="center"/>
    </xf>
    <xf numFmtId="167" fontId="5" fillId="2" borderId="0" xfId="1" applyNumberFormat="1" applyFont="1" applyFill="1" applyBorder="1" applyAlignment="1" applyProtection="1">
      <alignment horizontal="right"/>
    </xf>
    <xf numFmtId="0" fontId="11" fillId="2" borderId="0" xfId="0" applyFont="1" applyFill="1" applyBorder="1" applyAlignment="1">
      <alignment horizontal="left" vertical="center"/>
    </xf>
    <xf numFmtId="167" fontId="5" fillId="2" borderId="0" xfId="1" applyNumberFormat="1" applyFont="1" applyFill="1" applyBorder="1" applyAlignment="1">
      <alignment horizontal="right" vertical="center"/>
    </xf>
    <xf numFmtId="168" fontId="5" fillId="2" borderId="0" xfId="0" applyNumberFormat="1" applyFont="1" applyFill="1" applyAlignment="1">
      <alignment horizontal="left" indent="1"/>
    </xf>
    <xf numFmtId="0" fontId="8" fillId="2" borderId="0" xfId="0" applyFont="1" applyFill="1" applyBorder="1" applyAlignment="1">
      <alignment horizontal="left" vertical="center"/>
    </xf>
    <xf numFmtId="167" fontId="1" fillId="2" borderId="0" xfId="1" applyNumberFormat="1" applyFont="1" applyFill="1" applyBorder="1" applyAlignment="1">
      <alignment horizontal="right" vertical="center"/>
    </xf>
    <xf numFmtId="168" fontId="8" fillId="2" borderId="0" xfId="0" applyNumberFormat="1" applyFont="1" applyFill="1" applyAlignment="1">
      <alignment horizontal="left" indent="1"/>
    </xf>
    <xf numFmtId="0" fontId="5" fillId="2" borderId="0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167" fontId="8" fillId="2" borderId="4" xfId="1" applyNumberFormat="1" applyFont="1" applyFill="1" applyBorder="1" applyAlignment="1">
      <alignment horizontal="right" vertical="center"/>
    </xf>
    <xf numFmtId="167" fontId="8" fillId="2" borderId="0" xfId="1" applyNumberFormat="1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left" vertical="center"/>
    </xf>
    <xf numFmtId="167" fontId="8" fillId="2" borderId="2" xfId="1" applyNumberFormat="1" applyFont="1" applyFill="1" applyBorder="1" applyAlignment="1">
      <alignment horizontal="right" vertical="center"/>
    </xf>
    <xf numFmtId="43" fontId="8" fillId="2" borderId="0" xfId="1" applyNumberFormat="1" applyFont="1" applyFill="1" applyBorder="1" applyAlignment="1">
      <alignment horizontal="right" vertical="center"/>
    </xf>
    <xf numFmtId="164" fontId="8" fillId="2" borderId="0" xfId="3" applyNumberFormat="1" applyFont="1" applyFill="1" applyAlignment="1">
      <alignment horizontal="left" vertical="center"/>
    </xf>
    <xf numFmtId="43" fontId="8" fillId="2" borderId="0" xfId="1" applyNumberFormat="1" applyFont="1" applyFill="1" applyAlignment="1">
      <alignment horizontal="right" vertical="center"/>
    </xf>
    <xf numFmtId="164" fontId="8" fillId="2" borderId="0" xfId="3" applyNumberFormat="1" applyFont="1" applyFill="1" applyAlignment="1">
      <alignment horizontal="right" vertical="center"/>
    </xf>
    <xf numFmtId="168" fontId="8" fillId="2" borderId="0" xfId="1" applyNumberFormat="1" applyFont="1" applyFill="1" applyBorder="1" applyAlignment="1">
      <alignment horizontal="right" vertical="center"/>
    </xf>
    <xf numFmtId="165" fontId="5" fillId="2" borderId="0" xfId="1" applyNumberFormat="1" applyFont="1" applyFill="1" applyAlignment="1">
      <alignment horizontal="right" vertical="center"/>
    </xf>
    <xf numFmtId="165" fontId="8" fillId="2" borderId="0" xfId="1" applyNumberFormat="1" applyFont="1" applyFill="1" applyAlignment="1">
      <alignment horizontal="right" vertical="center"/>
    </xf>
    <xf numFmtId="165" fontId="1" fillId="2" borderId="0" xfId="1" applyNumberFormat="1" applyFont="1" applyFill="1" applyBorder="1" applyAlignment="1">
      <alignment horizontal="right" vertical="center"/>
    </xf>
    <xf numFmtId="165" fontId="5" fillId="2" borderId="0" xfId="1" applyNumberFormat="1" applyFont="1" applyFill="1" applyAlignment="1">
      <alignment vertical="center"/>
    </xf>
    <xf numFmtId="165" fontId="8" fillId="2" borderId="4" xfId="1" applyNumberFormat="1" applyFont="1" applyFill="1" applyBorder="1" applyAlignment="1">
      <alignment horizontal="right" vertical="center"/>
    </xf>
    <xf numFmtId="165" fontId="8" fillId="2" borderId="0" xfId="1" applyNumberFormat="1" applyFont="1" applyFill="1" applyBorder="1" applyAlignment="1">
      <alignment horizontal="right" vertical="center"/>
    </xf>
    <xf numFmtId="165" fontId="8" fillId="2" borderId="2" xfId="1" applyNumberFormat="1" applyFont="1" applyFill="1" applyBorder="1" applyAlignment="1">
      <alignment horizontal="right" vertical="center"/>
    </xf>
    <xf numFmtId="165" fontId="5" fillId="2" borderId="0" xfId="1" applyNumberFormat="1" applyFont="1" applyFill="1" applyBorder="1" applyAlignment="1" applyProtection="1">
      <alignment horizontal="right" vertical="center"/>
    </xf>
    <xf numFmtId="168" fontId="8" fillId="2" borderId="0" xfId="3" applyNumberFormat="1" applyFont="1" applyFill="1" applyBorder="1" applyAlignment="1">
      <alignment vertical="center"/>
    </xf>
    <xf numFmtId="164" fontId="5" fillId="2" borderId="3" xfId="2" applyNumberFormat="1" applyFont="1" applyFill="1" applyBorder="1" applyAlignment="1" applyProtection="1">
      <alignment horizontal="right" vertical="center"/>
      <protection locked="0"/>
    </xf>
    <xf numFmtId="165" fontId="5" fillId="2" borderId="0" xfId="1" applyNumberFormat="1" applyFont="1" applyFill="1" applyBorder="1" applyAlignment="1">
      <alignment horizontal="right" vertical="center"/>
    </xf>
    <xf numFmtId="167" fontId="5" fillId="2" borderId="0" xfId="1" applyNumberFormat="1" applyFont="1" applyFill="1" applyBorder="1" applyAlignment="1">
      <alignment vertical="center"/>
    </xf>
    <xf numFmtId="165" fontId="5" fillId="2" borderId="0" xfId="1" applyNumberFormat="1" applyFont="1" applyFill="1" applyBorder="1" applyAlignment="1">
      <alignment vertical="center"/>
    </xf>
    <xf numFmtId="164" fontId="8" fillId="2" borderId="0" xfId="3" applyNumberFormat="1" applyFont="1" applyFill="1" applyBorder="1" applyAlignment="1">
      <alignment horizontal="left" vertical="center"/>
    </xf>
    <xf numFmtId="168" fontId="8" fillId="2" borderId="0" xfId="3" applyNumberFormat="1" applyFont="1" applyFill="1" applyBorder="1" applyAlignment="1">
      <alignment horizontal="left" vertical="center"/>
    </xf>
    <xf numFmtId="164" fontId="5" fillId="2" borderId="3" xfId="3" applyNumberFormat="1" applyFont="1" applyFill="1" applyBorder="1" applyAlignment="1" applyProtection="1">
      <alignment horizontal="left" vertical="center"/>
    </xf>
    <xf numFmtId="164" fontId="5" fillId="2" borderId="2" xfId="3" applyNumberFormat="1" applyFont="1" applyFill="1" applyBorder="1" applyAlignment="1" applyProtection="1">
      <alignment horizontal="left" vertical="center"/>
    </xf>
    <xf numFmtId="164" fontId="5" fillId="2" borderId="0" xfId="3" applyNumberFormat="1" applyFont="1" applyFill="1" applyBorder="1" applyAlignment="1" applyProtection="1">
      <alignment horizontal="center" vertical="center"/>
    </xf>
    <xf numFmtId="164" fontId="9" fillId="2" borderId="0" xfId="3" applyNumberFormat="1" applyFont="1" applyFill="1" applyAlignment="1">
      <alignment horizontal="center" vertical="center"/>
    </xf>
    <xf numFmtId="164" fontId="5" fillId="2" borderId="2" xfId="3" applyNumberFormat="1" applyFont="1" applyFill="1" applyBorder="1" applyAlignment="1" applyProtection="1">
      <alignment horizontal="center" vertical="center"/>
    </xf>
  </cellXfs>
  <cellStyles count="12">
    <cellStyle name="Comma" xfId="1" builtinId="3"/>
    <cellStyle name="Comma 2" xfId="7"/>
    <cellStyle name="Comma 3" xfId="8"/>
    <cellStyle name="Comma 4" xfId="4"/>
    <cellStyle name="Comma 6" xfId="10"/>
    <cellStyle name="Excel Built-in Comma" xfId="6"/>
    <cellStyle name="Excel Built-in Normal" xfId="5"/>
    <cellStyle name="Normal" xfId="0" builtinId="0"/>
    <cellStyle name="Normal 2" xfId="11"/>
    <cellStyle name="Normal 4" xfId="9"/>
    <cellStyle name="Normal_13 Public Finance_done" xfId="2"/>
    <cellStyle name="Normal_13 Public Finance_done 2" xfId="3"/>
  </cellStyles>
  <dxfs count="0"/>
  <tableStyles count="0" defaultTableStyle="TableStyleMedium9" defaultPivotStyle="PivotStyleLight16"/>
  <colors>
    <mruColors>
      <color rgb="FFFAC090"/>
      <color rgb="FFCC6600"/>
      <color rgb="FF953735"/>
      <color rgb="FFFCD5B5"/>
      <color rgb="FFFDEADA"/>
      <color rgb="FFFFCC00"/>
      <color rgb="FFFDEADB"/>
      <color rgb="FF00A8A4"/>
      <color rgb="FF7DDFDD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59</xdr:row>
      <xdr:rowOff>0</xdr:rowOff>
    </xdr:from>
    <xdr:to>
      <xdr:col>0</xdr:col>
      <xdr:colOff>1743075</xdr:colOff>
      <xdr:row>59</xdr:row>
      <xdr:rowOff>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0" y="9265920"/>
          <a:ext cx="1743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1743075</xdr:colOff>
      <xdr:row>57</xdr:row>
      <xdr:rowOff>0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0" y="8915400"/>
          <a:ext cx="1743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dp%20unit\Publications\Statistical%20%20Year%20Book\YEARBOOK%202013\RECEIVED%20TABLES\13.%20public%20finance_%20Min%20of%20Fin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13.1"/>
      <sheetName val="13.2"/>
      <sheetName val="13.3"/>
      <sheetName val="13.4"/>
      <sheetName val="13.5"/>
      <sheetName val=" 5 cd"/>
      <sheetName val="13.6"/>
      <sheetName val="13.7"/>
      <sheetName val="13.8"/>
      <sheetName val="13.9cd"/>
      <sheetName val="13.10cd"/>
      <sheetName val="13.11cd"/>
      <sheetName val="13.12cd"/>
      <sheetName val="13.13 cd"/>
      <sheetName val="13.14cd"/>
      <sheetName val="Fig13.1&amp;13.2"/>
      <sheetName val="fig13.5&amp;13.6"/>
      <sheetName val="Graph 13.5"/>
      <sheetName val="Graph 13.6"/>
      <sheetName val="Graph 13.7"/>
    </sheetNames>
    <sheetDataSet>
      <sheetData sheetId="0" refreshError="1"/>
      <sheetData sheetId="1" refreshError="1"/>
      <sheetData sheetId="2" refreshError="1"/>
      <sheetData sheetId="3">
        <row r="11">
          <cell r="C11">
            <v>2731.9902730000003</v>
          </cell>
        </row>
      </sheetData>
      <sheetData sheetId="4">
        <row r="10">
          <cell r="C10">
            <v>8764.9308290000008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9">
          <cell r="B9">
            <v>1998</v>
          </cell>
          <cell r="C9">
            <v>1999</v>
          </cell>
          <cell r="D9">
            <v>2000</v>
          </cell>
          <cell r="E9">
            <v>2001</v>
          </cell>
          <cell r="F9">
            <v>2002</v>
          </cell>
          <cell r="G9">
            <v>2003</v>
          </cell>
          <cell r="H9">
            <v>2004</v>
          </cell>
          <cell r="I9">
            <v>2005</v>
          </cell>
          <cell r="J9">
            <v>2006</v>
          </cell>
          <cell r="K9">
            <v>2007</v>
          </cell>
        </row>
        <row r="10">
          <cell r="A10" t="str">
            <v>Expenditure on goods and services</v>
          </cell>
          <cell r="B10">
            <v>91.563294552739038</v>
          </cell>
          <cell r="C10">
            <v>91.996117761242317</v>
          </cell>
          <cell r="D10">
            <v>92.819446665600509</v>
          </cell>
          <cell r="E10">
            <v>92.563660342903518</v>
          </cell>
          <cell r="F10">
            <v>91.959798994974875</v>
          </cell>
          <cell r="G10">
            <v>92.71006522573218</v>
          </cell>
          <cell r="H10">
            <v>93.282163480506455</v>
          </cell>
          <cell r="I10">
            <v>91.764477849805104</v>
          </cell>
          <cell r="J10">
            <v>93.783658475694565</v>
          </cell>
          <cell r="K10">
            <v>93.862898431426345</v>
          </cell>
        </row>
        <row r="11">
          <cell r="A11" t="str">
            <v>Interest payments</v>
          </cell>
          <cell r="B11">
            <v>6.2870791278218654</v>
          </cell>
          <cell r="C11">
            <v>6.3862827563895177</v>
          </cell>
          <cell r="D11">
            <v>5.6719441334825946</v>
          </cell>
          <cell r="E11">
            <v>5.9095059348686219</v>
          </cell>
          <cell r="F11">
            <v>6.471034417369868</v>
          </cell>
          <cell r="G11">
            <v>5.7637379033977068</v>
          </cell>
          <cell r="H11">
            <v>4.9711272909866935</v>
          </cell>
          <cell r="I11">
            <v>3.3359894902332399</v>
          </cell>
          <cell r="J11">
            <v>3.5450622347444622</v>
          </cell>
          <cell r="K11">
            <v>3.5715918964649926</v>
          </cell>
        </row>
        <row r="12">
          <cell r="A12" t="str">
            <v>Subsidies and transfers</v>
          </cell>
          <cell r="B12">
            <v>2.1496263194390934</v>
          </cell>
          <cell r="C12">
            <v>1.6175994823681656</v>
          </cell>
          <cell r="D12">
            <v>1.5086092009168932</v>
          </cell>
          <cell r="E12">
            <v>1.5268337222278585</v>
          </cell>
          <cell r="F12">
            <v>1.5691665876552574</v>
          </cell>
          <cell r="G12">
            <v>1.5261968708701028</v>
          </cell>
          <cell r="H12">
            <v>1.7467092285068688</v>
          </cell>
          <cell r="I12">
            <v>4.8995326599616664</v>
          </cell>
          <cell r="J12">
            <v>2.6712792895609683</v>
          </cell>
          <cell r="K12">
            <v>2.5655096721086568</v>
          </cell>
        </row>
      </sheetData>
      <sheetData sheetId="17">
        <row r="4">
          <cell r="B4">
            <v>2000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Q278"/>
  <sheetViews>
    <sheetView tabSelected="1" zoomScaleNormal="100" workbookViewId="0">
      <selection activeCell="T28" sqref="T28"/>
    </sheetView>
  </sheetViews>
  <sheetFormatPr defaultColWidth="9.140625" defaultRowHeight="12.75" x14ac:dyDescent="0.25"/>
  <cols>
    <col min="1" max="1" width="78.42578125" style="3" customWidth="1"/>
    <col min="2" max="2" width="12.5703125" style="3" hidden="1" customWidth="1"/>
    <col min="3" max="3" width="9.28515625" style="3" hidden="1" customWidth="1"/>
    <col min="4" max="5" width="8.7109375" style="3" hidden="1" customWidth="1"/>
    <col min="6" max="6" width="11.7109375" style="26" hidden="1" customWidth="1"/>
    <col min="7" max="12" width="8.7109375" style="3" customWidth="1"/>
    <col min="13" max="16384" width="9.140625" style="3"/>
  </cols>
  <sheetData>
    <row r="1" spans="1:17" ht="15.75" customHeight="1" x14ac:dyDescent="0.25">
      <c r="A1" s="46" t="s">
        <v>110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7" s="4" customFormat="1" ht="13.5" customHeight="1" x14ac:dyDescent="0.25">
      <c r="A2" s="45" t="s">
        <v>109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spans="1:17" s="4" customFormat="1" ht="15" customHeight="1" x14ac:dyDescent="0.25">
      <c r="A3" s="47" t="s">
        <v>4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</row>
    <row r="4" spans="1:17" s="4" customFormat="1" x14ac:dyDescent="0.25">
      <c r="A4" s="43" t="s">
        <v>5</v>
      </c>
      <c r="B4" s="5"/>
      <c r="C4" s="5"/>
      <c r="D4" s="6"/>
      <c r="E4" s="6"/>
      <c r="F4" s="5"/>
      <c r="G4" s="6" t="s">
        <v>2</v>
      </c>
      <c r="H4" s="6" t="s">
        <v>2</v>
      </c>
      <c r="I4" s="6" t="s">
        <v>2</v>
      </c>
      <c r="J4" s="6" t="s">
        <v>0</v>
      </c>
      <c r="K4" s="37" t="s">
        <v>0</v>
      </c>
      <c r="L4" s="37" t="s">
        <v>1</v>
      </c>
      <c r="M4" s="37" t="s">
        <v>111</v>
      </c>
      <c r="N4" s="37" t="s">
        <v>111</v>
      </c>
      <c r="O4" s="37" t="s">
        <v>111</v>
      </c>
    </row>
    <row r="5" spans="1:17" s="8" customFormat="1" x14ac:dyDescent="0.2">
      <c r="A5" s="44"/>
      <c r="B5" s="7">
        <v>2006</v>
      </c>
      <c r="C5" s="7">
        <v>2007</v>
      </c>
      <c r="D5" s="7">
        <v>2008</v>
      </c>
      <c r="E5" s="7">
        <v>2009</v>
      </c>
      <c r="F5" s="7">
        <v>2010</v>
      </c>
      <c r="G5" s="7">
        <v>2011</v>
      </c>
      <c r="H5" s="7">
        <v>2012</v>
      </c>
      <c r="I5" s="7">
        <v>2013</v>
      </c>
      <c r="J5" s="7">
        <v>2014</v>
      </c>
      <c r="K5" s="1">
        <v>2015</v>
      </c>
      <c r="L5" s="1">
        <v>2016</v>
      </c>
      <c r="M5" s="1">
        <v>2017</v>
      </c>
      <c r="N5" s="1">
        <v>2018</v>
      </c>
      <c r="O5" s="1">
        <v>2019</v>
      </c>
    </row>
    <row r="6" spans="1:17" s="8" customFormat="1" x14ac:dyDescent="0.25">
      <c r="A6" s="9"/>
      <c r="G6" s="27"/>
      <c r="H6" s="27"/>
      <c r="I6" s="27"/>
      <c r="J6" s="27"/>
      <c r="K6" s="27"/>
      <c r="L6" s="27"/>
      <c r="M6" s="27"/>
      <c r="N6" s="36"/>
      <c r="O6" s="36"/>
    </row>
    <row r="7" spans="1:17" s="4" customFormat="1" ht="14.25" customHeight="1" x14ac:dyDescent="0.2">
      <c r="A7" s="9" t="s">
        <v>6</v>
      </c>
      <c r="B7" s="10">
        <f>B8+B16+B21+B29+B33+B36+B44+B50+B70+B82+B93+B98+B102+B110+B119+B124+B136</f>
        <v>806.06999999999994</v>
      </c>
      <c r="C7" s="10">
        <f>C8+C16+C21+C29+C33+C36+C44+C50+C70+C82+C93+C98+C102+C110+C119+C124+C136</f>
        <v>816.50812199999996</v>
      </c>
      <c r="D7" s="10">
        <f>D8+D16+D21+D29+D33+D36+D44+D50+D70+D82+D93+D98+D102+D110+D119+D124+D136</f>
        <v>755.14876800000002</v>
      </c>
      <c r="E7" s="10">
        <f>E8+E16+E21+E29+E33+E36+E44+E50+E70+E82+E93+E98+E102+E110+E119+E124+E136</f>
        <v>778.84185679999996</v>
      </c>
      <c r="F7" s="10">
        <f>F8+F16+F21+F29+F33+F36+F44+F50+F70+F82+F93+F98+F102+F110+F119+F124+F136</f>
        <v>1283.0207659999999</v>
      </c>
      <c r="G7" s="35">
        <f>G8+G16+G21+G29+G33+G36+G44+G50+G70+G82+G93+G98+G102+G110+G113+G119+G124+G130+G133+G136+G116</f>
        <v>1398.4178940000002</v>
      </c>
      <c r="H7" s="35">
        <f t="shared" ref="H7:N7" si="0">H8+H16+H21+H29+H33+H36+H44+H50+H70+H82+H93+H98+H102+H110+H113+H119+H124+H130+H133+H136+H116</f>
        <v>1145.8582073</v>
      </c>
      <c r="I7" s="35">
        <f t="shared" si="0"/>
        <v>1187.1923500000003</v>
      </c>
      <c r="J7" s="35">
        <f t="shared" si="0"/>
        <v>188.39416600000004</v>
      </c>
      <c r="K7" s="35">
        <f t="shared" si="0"/>
        <v>649.38820088</v>
      </c>
      <c r="L7" s="35">
        <f t="shared" si="0"/>
        <v>997.02027299999997</v>
      </c>
      <c r="M7" s="35">
        <f t="shared" si="0"/>
        <v>2844.0638703076334</v>
      </c>
      <c r="N7" s="35">
        <f t="shared" si="0"/>
        <v>3928.5600614999998</v>
      </c>
      <c r="O7" s="35">
        <f>O8+O16+O21+O29+O33+O36+O44+O50+O70+O82+O93+O98+O102+O110+O113+O119+O124+O130+O133+O136+O116</f>
        <v>4107.3524519000002</v>
      </c>
    </row>
    <row r="8" spans="1:17" s="4" customFormat="1" ht="14.25" customHeight="1" x14ac:dyDescent="0.2">
      <c r="A8" s="11" t="s">
        <v>7</v>
      </c>
      <c r="B8" s="12">
        <f>SUM(B9:B11)</f>
        <v>0</v>
      </c>
      <c r="C8" s="12">
        <f t="shared" ref="C8:G8" si="1">SUM(C9:C11)</f>
        <v>0</v>
      </c>
      <c r="D8" s="12">
        <f t="shared" si="1"/>
        <v>0</v>
      </c>
      <c r="E8" s="12">
        <f t="shared" si="1"/>
        <v>40.133375999999998</v>
      </c>
      <c r="F8" s="12">
        <f t="shared" si="1"/>
        <v>22.482177</v>
      </c>
      <c r="G8" s="38">
        <f t="shared" si="1"/>
        <v>181.95449299999999</v>
      </c>
      <c r="H8" s="38">
        <f>SUM(H9:H13)</f>
        <v>153.78399200000001</v>
      </c>
      <c r="I8" s="38">
        <f t="shared" ref="I8:J8" si="2">SUM(I9:I13)</f>
        <v>37.905923999999999</v>
      </c>
      <c r="J8" s="38">
        <f t="shared" si="2"/>
        <v>25.450016999999999</v>
      </c>
      <c r="K8" s="38">
        <f>SUM(K9:K14)</f>
        <v>1</v>
      </c>
      <c r="L8" s="38">
        <f t="shared" ref="L8:O8" si="3">SUM(L9:L14)</f>
        <v>74.038365999999996</v>
      </c>
      <c r="M8" s="38">
        <f t="shared" si="3"/>
        <v>276.58462726815571</v>
      </c>
      <c r="N8" s="38">
        <f t="shared" si="3"/>
        <v>451.696189</v>
      </c>
      <c r="O8" s="28">
        <f t="shared" si="3"/>
        <v>1076.326851</v>
      </c>
      <c r="P8" s="13"/>
      <c r="Q8" s="13"/>
    </row>
    <row r="9" spans="1:17" s="4" customFormat="1" ht="14.25" customHeight="1" x14ac:dyDescent="0.2">
      <c r="A9" s="14" t="s">
        <v>8</v>
      </c>
      <c r="B9" s="15" t="s">
        <v>56</v>
      </c>
      <c r="C9" s="15" t="s">
        <v>56</v>
      </c>
      <c r="D9" s="15" t="s">
        <v>56</v>
      </c>
      <c r="E9" s="20">
        <v>40.133375999999998</v>
      </c>
      <c r="F9" s="20">
        <v>22.482177</v>
      </c>
      <c r="G9" s="33">
        <v>134.44019499999999</v>
      </c>
      <c r="H9" s="33">
        <v>5.2662300000000002</v>
      </c>
      <c r="I9" s="33">
        <v>14.556865</v>
      </c>
      <c r="J9" s="33">
        <v>14.498196999999999</v>
      </c>
      <c r="K9" s="33">
        <v>0</v>
      </c>
      <c r="L9" s="33">
        <v>27.592303000000001</v>
      </c>
      <c r="M9" s="33">
        <v>0</v>
      </c>
      <c r="N9" s="33">
        <v>0</v>
      </c>
      <c r="O9" s="29">
        <v>0</v>
      </c>
      <c r="P9" s="16"/>
      <c r="Q9" s="16"/>
    </row>
    <row r="10" spans="1:17" s="4" customFormat="1" ht="14.25" customHeight="1" x14ac:dyDescent="0.2">
      <c r="A10" s="14" t="s">
        <v>9</v>
      </c>
      <c r="B10" s="15" t="s">
        <v>56</v>
      </c>
      <c r="C10" s="15" t="s">
        <v>56</v>
      </c>
      <c r="D10" s="15" t="s">
        <v>56</v>
      </c>
      <c r="E10" s="20">
        <v>0</v>
      </c>
      <c r="F10" s="20">
        <v>0</v>
      </c>
      <c r="G10" s="33">
        <v>47.514297999999997</v>
      </c>
      <c r="H10" s="33">
        <v>148.517762</v>
      </c>
      <c r="I10" s="33">
        <v>23.349059</v>
      </c>
      <c r="J10" s="33">
        <v>10.95182</v>
      </c>
      <c r="K10" s="33">
        <v>0</v>
      </c>
      <c r="L10" s="33">
        <v>0</v>
      </c>
      <c r="M10" s="33">
        <v>0</v>
      </c>
      <c r="N10" s="33">
        <v>0</v>
      </c>
      <c r="O10" s="29">
        <v>0</v>
      </c>
      <c r="P10" s="16"/>
      <c r="Q10" s="16"/>
    </row>
    <row r="11" spans="1:17" s="4" customFormat="1" ht="14.25" customHeight="1" x14ac:dyDescent="0.2">
      <c r="A11" s="14" t="s">
        <v>10</v>
      </c>
      <c r="B11" s="15" t="s">
        <v>56</v>
      </c>
      <c r="C11" s="15" t="s">
        <v>56</v>
      </c>
      <c r="D11" s="15" t="s">
        <v>56</v>
      </c>
      <c r="E11" s="20">
        <v>0</v>
      </c>
      <c r="F11" s="20">
        <v>0</v>
      </c>
      <c r="G11" s="33" t="s">
        <v>56</v>
      </c>
      <c r="H11" s="33" t="s">
        <v>56</v>
      </c>
      <c r="I11" s="33" t="s">
        <v>56</v>
      </c>
      <c r="J11" s="33" t="s">
        <v>56</v>
      </c>
      <c r="K11" s="33">
        <v>0</v>
      </c>
      <c r="L11" s="33">
        <v>9.5580630000000006</v>
      </c>
      <c r="M11" s="33">
        <v>13.381288</v>
      </c>
      <c r="N11" s="33">
        <v>28.674188999999998</v>
      </c>
      <c r="O11" s="29">
        <v>28.674188999999998</v>
      </c>
      <c r="P11" s="16"/>
      <c r="Q11" s="16"/>
    </row>
    <row r="12" spans="1:17" s="4" customFormat="1" ht="14.25" customHeight="1" x14ac:dyDescent="0.2">
      <c r="A12" s="14" t="s">
        <v>89</v>
      </c>
      <c r="B12" s="15" t="s">
        <v>56</v>
      </c>
      <c r="C12" s="15" t="s">
        <v>56</v>
      </c>
      <c r="D12" s="15" t="s">
        <v>56</v>
      </c>
      <c r="E12" s="20">
        <v>0</v>
      </c>
      <c r="F12" s="20">
        <v>0</v>
      </c>
      <c r="G12" s="30" t="s">
        <v>56</v>
      </c>
      <c r="H12" s="30" t="s">
        <v>56</v>
      </c>
      <c r="I12" s="30" t="s">
        <v>56</v>
      </c>
      <c r="J12" s="33" t="s">
        <v>56</v>
      </c>
      <c r="K12" s="33">
        <v>0</v>
      </c>
      <c r="L12" s="33">
        <v>0</v>
      </c>
      <c r="M12" s="33">
        <v>107.59</v>
      </c>
      <c r="N12" s="33">
        <v>153.69999999999999</v>
      </c>
      <c r="O12" s="29">
        <v>230.55</v>
      </c>
      <c r="P12" s="16"/>
      <c r="Q12" s="16"/>
    </row>
    <row r="13" spans="1:17" s="4" customFormat="1" ht="14.25" customHeight="1" x14ac:dyDescent="0.2">
      <c r="A13" s="14" t="s">
        <v>90</v>
      </c>
      <c r="B13" s="15" t="s">
        <v>56</v>
      </c>
      <c r="C13" s="15" t="s">
        <v>56</v>
      </c>
      <c r="D13" s="15" t="s">
        <v>56</v>
      </c>
      <c r="E13" s="20">
        <v>0</v>
      </c>
      <c r="F13" s="20">
        <v>0</v>
      </c>
      <c r="G13" s="30" t="s">
        <v>56</v>
      </c>
      <c r="H13" s="30" t="s">
        <v>56</v>
      </c>
      <c r="I13" s="30" t="s">
        <v>56</v>
      </c>
      <c r="J13" s="33" t="s">
        <v>56</v>
      </c>
      <c r="K13" s="33">
        <v>0</v>
      </c>
      <c r="L13" s="33">
        <v>36.887999999999998</v>
      </c>
      <c r="M13" s="33">
        <v>121.79933926815572</v>
      </c>
      <c r="N13" s="33">
        <v>167.88</v>
      </c>
      <c r="O13" s="29">
        <v>648.03266199999996</v>
      </c>
      <c r="P13" s="16"/>
      <c r="Q13" s="16"/>
    </row>
    <row r="14" spans="1:17" s="4" customFormat="1" ht="14.25" customHeight="1" x14ac:dyDescent="0.2">
      <c r="A14" s="14" t="s">
        <v>112</v>
      </c>
      <c r="B14" s="15"/>
      <c r="C14" s="15"/>
      <c r="D14" s="15"/>
      <c r="E14" s="20"/>
      <c r="F14" s="20"/>
      <c r="G14" s="30" t="s">
        <v>56</v>
      </c>
      <c r="H14" s="30" t="s">
        <v>56</v>
      </c>
      <c r="I14" s="30" t="s">
        <v>56</v>
      </c>
      <c r="J14" s="33" t="s">
        <v>56</v>
      </c>
      <c r="K14" s="33">
        <v>1</v>
      </c>
      <c r="L14" s="33">
        <v>0</v>
      </c>
      <c r="M14" s="33">
        <v>33.814</v>
      </c>
      <c r="N14" s="33">
        <v>101.44199999999999</v>
      </c>
      <c r="O14" s="29">
        <v>169.07</v>
      </c>
      <c r="P14" s="16"/>
      <c r="Q14" s="16"/>
    </row>
    <row r="15" spans="1:17" s="4" customFormat="1" ht="9.75" customHeight="1" x14ac:dyDescent="0.2">
      <c r="A15" s="14"/>
      <c r="B15" s="20"/>
      <c r="C15" s="20"/>
      <c r="D15" s="20"/>
      <c r="E15" s="20"/>
      <c r="F15" s="20"/>
      <c r="G15" s="33"/>
      <c r="H15" s="33"/>
      <c r="I15" s="33"/>
      <c r="J15" s="33"/>
      <c r="K15" s="33"/>
      <c r="L15" s="33"/>
      <c r="M15" s="33"/>
      <c r="N15" s="33"/>
      <c r="O15" s="29"/>
      <c r="P15" s="16"/>
      <c r="Q15" s="16"/>
    </row>
    <row r="16" spans="1:17" s="4" customFormat="1" ht="14.25" customHeight="1" x14ac:dyDescent="0.2">
      <c r="A16" s="11" t="s">
        <v>11</v>
      </c>
      <c r="B16" s="20">
        <f t="shared" ref="B16:F17" si="4">SUM(B17)</f>
        <v>0</v>
      </c>
      <c r="C16" s="20">
        <f t="shared" si="4"/>
        <v>0</v>
      </c>
      <c r="D16" s="20">
        <f t="shared" si="4"/>
        <v>0</v>
      </c>
      <c r="E16" s="20">
        <f t="shared" si="4"/>
        <v>0</v>
      </c>
      <c r="F16" s="12">
        <f t="shared" si="4"/>
        <v>13.876379999999999</v>
      </c>
      <c r="G16" s="35">
        <f>SUM(G17:G18)</f>
        <v>16.510059999999999</v>
      </c>
      <c r="H16" s="35">
        <f>SUM(H17:H18)</f>
        <v>87.622929999999997</v>
      </c>
      <c r="I16" s="35">
        <f t="shared" ref="I16:J16" si="5">SUM(I17:I18)</f>
        <v>21.216504</v>
      </c>
      <c r="J16" s="35">
        <f t="shared" si="5"/>
        <v>9.7509049999999995</v>
      </c>
      <c r="K16" s="35">
        <f>SUM(K17:K19)</f>
        <v>11.3955135</v>
      </c>
      <c r="L16" s="35">
        <f t="shared" ref="L16:O16" si="6">SUM(L17:L19)</f>
        <v>4.6116279999999996</v>
      </c>
      <c r="M16" s="35">
        <f t="shared" si="6"/>
        <v>18.752279000000001</v>
      </c>
      <c r="N16" s="35">
        <f t="shared" si="6"/>
        <v>75.314882999999995</v>
      </c>
      <c r="O16" s="35">
        <f t="shared" si="6"/>
        <v>110.666511</v>
      </c>
      <c r="P16" s="16"/>
      <c r="Q16" s="16"/>
    </row>
    <row r="17" spans="1:17" s="4" customFormat="1" ht="14.25" customHeight="1" x14ac:dyDescent="0.2">
      <c r="A17" s="14" t="s">
        <v>12</v>
      </c>
      <c r="B17" s="20">
        <f t="shared" si="4"/>
        <v>0</v>
      </c>
      <c r="C17" s="20">
        <f t="shared" si="4"/>
        <v>0</v>
      </c>
      <c r="D17" s="20">
        <f t="shared" si="4"/>
        <v>0</v>
      </c>
      <c r="E17" s="20">
        <f t="shared" si="4"/>
        <v>0</v>
      </c>
      <c r="F17" s="20">
        <v>13.876379999999999</v>
      </c>
      <c r="G17" s="33">
        <v>16.510059999999999</v>
      </c>
      <c r="H17" s="33">
        <v>87.622929999999997</v>
      </c>
      <c r="I17" s="33">
        <v>21.216504</v>
      </c>
      <c r="J17" s="33">
        <v>9.7509049999999995</v>
      </c>
      <c r="K17" s="33">
        <v>11.3955135</v>
      </c>
      <c r="L17" s="33">
        <v>0</v>
      </c>
      <c r="M17" s="33">
        <v>0</v>
      </c>
      <c r="N17" s="33">
        <v>0</v>
      </c>
      <c r="O17" s="29">
        <v>0</v>
      </c>
      <c r="P17" s="16"/>
      <c r="Q17" s="16"/>
    </row>
    <row r="18" spans="1:17" s="4" customFormat="1" ht="14.25" customHeight="1" x14ac:dyDescent="0.2">
      <c r="A18" s="14" t="s">
        <v>80</v>
      </c>
      <c r="B18" s="20">
        <f>SUM(B20)</f>
        <v>0</v>
      </c>
      <c r="C18" s="20">
        <f>SUM(C20)</f>
        <v>0</v>
      </c>
      <c r="D18" s="20">
        <f>SUM(D20)</f>
        <v>0</v>
      </c>
      <c r="E18" s="20">
        <f>SUM(E20)</f>
        <v>0</v>
      </c>
      <c r="F18" s="15" t="s">
        <v>56</v>
      </c>
      <c r="G18" s="30" t="s">
        <v>56</v>
      </c>
      <c r="H18" s="30" t="s">
        <v>56</v>
      </c>
      <c r="I18" s="30" t="s">
        <v>56</v>
      </c>
      <c r="J18" s="30" t="s">
        <v>56</v>
      </c>
      <c r="K18" s="30" t="s">
        <v>56</v>
      </c>
      <c r="L18" s="33">
        <v>4.6116279999999996</v>
      </c>
      <c r="M18" s="33">
        <v>6.4562790000000003</v>
      </c>
      <c r="N18" s="33">
        <v>13.834883</v>
      </c>
      <c r="O18" s="29">
        <v>18.446511000000001</v>
      </c>
      <c r="P18" s="16"/>
      <c r="Q18" s="16"/>
    </row>
    <row r="19" spans="1:17" s="4" customFormat="1" ht="14.25" customHeight="1" x14ac:dyDescent="0.2">
      <c r="A19" s="14" t="s">
        <v>113</v>
      </c>
      <c r="B19" s="20"/>
      <c r="C19" s="20"/>
      <c r="D19" s="20"/>
      <c r="E19" s="20"/>
      <c r="F19" s="15"/>
      <c r="G19" s="30" t="s">
        <v>56</v>
      </c>
      <c r="H19" s="30" t="s">
        <v>56</v>
      </c>
      <c r="I19" s="30" t="s">
        <v>56</v>
      </c>
      <c r="J19" s="30" t="s">
        <v>56</v>
      </c>
      <c r="K19" s="30" t="s">
        <v>56</v>
      </c>
      <c r="L19" s="33">
        <v>0</v>
      </c>
      <c r="M19" s="33">
        <v>12.295999999999999</v>
      </c>
      <c r="N19" s="33">
        <v>61.48</v>
      </c>
      <c r="O19" s="29">
        <v>92.22</v>
      </c>
      <c r="P19" s="16"/>
      <c r="Q19" s="16"/>
    </row>
    <row r="20" spans="1:17" s="4" customFormat="1" ht="14.25" customHeight="1" x14ac:dyDescent="0.2">
      <c r="A20" s="14"/>
      <c r="B20" s="20"/>
      <c r="C20" s="20"/>
      <c r="D20" s="20"/>
      <c r="E20" s="20"/>
      <c r="F20" s="20"/>
      <c r="G20" s="33"/>
      <c r="H20" s="33"/>
      <c r="I20" s="33"/>
      <c r="J20" s="33"/>
      <c r="K20" s="33"/>
      <c r="L20" s="33"/>
      <c r="M20" s="33"/>
      <c r="N20" s="33"/>
      <c r="O20" s="29"/>
      <c r="P20" s="16"/>
      <c r="Q20" s="16"/>
    </row>
    <row r="21" spans="1:17" s="4" customFormat="1" ht="14.25" customHeight="1" x14ac:dyDescent="0.2">
      <c r="A21" s="11" t="s">
        <v>13</v>
      </c>
      <c r="B21" s="12">
        <f>SUM(B22:B26)</f>
        <v>21.2</v>
      </c>
      <c r="C21" s="12">
        <f t="shared" ref="C21:F21" si="7">SUM(C22:C26)</f>
        <v>9.5</v>
      </c>
      <c r="D21" s="12">
        <f t="shared" si="7"/>
        <v>2.7</v>
      </c>
      <c r="E21" s="12">
        <f t="shared" si="7"/>
        <v>4.1224828000000002</v>
      </c>
      <c r="F21" s="12">
        <f t="shared" si="7"/>
        <v>65.438178000000008</v>
      </c>
      <c r="G21" s="35">
        <f>SUM(G22:G27)</f>
        <v>41.59984</v>
      </c>
      <c r="H21" s="38">
        <f t="shared" ref="H21:O21" si="8">SUM(H22:H27)</f>
        <v>9.1164190000000005</v>
      </c>
      <c r="I21" s="38">
        <f>SUM(I22:I27)</f>
        <v>0</v>
      </c>
      <c r="J21" s="38">
        <f>SUM(J22:J27)</f>
        <v>0</v>
      </c>
      <c r="K21" s="38">
        <f t="shared" si="8"/>
        <v>0</v>
      </c>
      <c r="L21" s="38">
        <f t="shared" si="8"/>
        <v>9.5452010000000005</v>
      </c>
      <c r="M21" s="38">
        <f t="shared" si="8"/>
        <v>96.848145634077866</v>
      </c>
      <c r="N21" s="38">
        <f t="shared" si="8"/>
        <v>141.38390299999998</v>
      </c>
      <c r="O21" s="28">
        <f t="shared" si="8"/>
        <v>187.875641</v>
      </c>
      <c r="P21" s="16"/>
      <c r="Q21" s="16"/>
    </row>
    <row r="22" spans="1:17" s="4" customFormat="1" ht="14.25" customHeight="1" x14ac:dyDescent="0.2">
      <c r="A22" s="14" t="s">
        <v>14</v>
      </c>
      <c r="B22" s="15" t="s">
        <v>56</v>
      </c>
      <c r="C22" s="15" t="s">
        <v>56</v>
      </c>
      <c r="D22" s="15" t="s">
        <v>56</v>
      </c>
      <c r="E22" s="20">
        <v>0.77411799999999997</v>
      </c>
      <c r="F22" s="20">
        <v>63.394744000000003</v>
      </c>
      <c r="G22" s="33">
        <v>41.59984</v>
      </c>
      <c r="H22" s="33">
        <v>9.1164190000000005</v>
      </c>
      <c r="I22" s="33" t="s">
        <v>56</v>
      </c>
      <c r="J22" s="33" t="s">
        <v>56</v>
      </c>
      <c r="K22" s="33" t="s">
        <v>56</v>
      </c>
      <c r="L22" s="33" t="s">
        <v>56</v>
      </c>
      <c r="M22" s="33" t="s">
        <v>56</v>
      </c>
      <c r="N22" s="33" t="s">
        <v>56</v>
      </c>
      <c r="O22" s="29" t="s">
        <v>56</v>
      </c>
      <c r="P22" s="16"/>
      <c r="Q22" s="16"/>
    </row>
    <row r="23" spans="1:17" s="4" customFormat="1" ht="14.25" customHeight="1" x14ac:dyDescent="0.2">
      <c r="A23" s="14" t="s">
        <v>15</v>
      </c>
      <c r="B23" s="15" t="s">
        <v>56</v>
      </c>
      <c r="C23" s="15" t="s">
        <v>56</v>
      </c>
      <c r="D23" s="15" t="s">
        <v>56</v>
      </c>
      <c r="E23" s="20">
        <v>0</v>
      </c>
      <c r="F23" s="20">
        <v>0</v>
      </c>
      <c r="G23" s="33" t="s">
        <v>56</v>
      </c>
      <c r="H23" s="33" t="s">
        <v>56</v>
      </c>
      <c r="I23" s="33" t="s">
        <v>56</v>
      </c>
      <c r="J23" s="33" t="s">
        <v>56</v>
      </c>
      <c r="K23" s="33" t="s">
        <v>56</v>
      </c>
      <c r="L23" s="33">
        <v>9.5452010000000005</v>
      </c>
      <c r="M23" s="33">
        <v>16.133476000000002</v>
      </c>
      <c r="N23" s="33">
        <v>64.533902999999995</v>
      </c>
      <c r="O23" s="29">
        <v>72.600640999999996</v>
      </c>
      <c r="P23" s="16"/>
      <c r="Q23" s="16"/>
    </row>
    <row r="24" spans="1:17" s="4" customFormat="1" ht="14.25" customHeight="1" x14ac:dyDescent="0.2">
      <c r="A24" s="14" t="s">
        <v>108</v>
      </c>
      <c r="B24" s="15" t="s">
        <v>56</v>
      </c>
      <c r="C24" s="15" t="s">
        <v>56</v>
      </c>
      <c r="D24" s="15" t="s">
        <v>56</v>
      </c>
      <c r="E24" s="20">
        <v>0</v>
      </c>
      <c r="F24" s="20">
        <v>0</v>
      </c>
      <c r="G24" s="33" t="s">
        <v>56</v>
      </c>
      <c r="H24" s="33" t="s">
        <v>56</v>
      </c>
      <c r="I24" s="33" t="s">
        <v>56</v>
      </c>
      <c r="J24" s="33" t="s">
        <v>56</v>
      </c>
      <c r="K24" s="33" t="s">
        <v>56</v>
      </c>
      <c r="L24" s="33" t="s">
        <v>56</v>
      </c>
      <c r="M24" s="33" t="s">
        <v>56</v>
      </c>
      <c r="N24" s="33" t="s">
        <v>56</v>
      </c>
      <c r="O24" s="29" t="s">
        <v>56</v>
      </c>
      <c r="P24" s="16"/>
      <c r="Q24" s="16"/>
    </row>
    <row r="25" spans="1:17" s="4" customFormat="1" ht="14.25" customHeight="1" x14ac:dyDescent="0.2">
      <c r="A25" s="14" t="s">
        <v>16</v>
      </c>
      <c r="B25" s="15" t="s">
        <v>56</v>
      </c>
      <c r="C25" s="15" t="s">
        <v>56</v>
      </c>
      <c r="D25" s="15" t="s">
        <v>56</v>
      </c>
      <c r="E25" s="20">
        <v>3.3483648000000001</v>
      </c>
      <c r="F25" s="20">
        <v>2.043434</v>
      </c>
      <c r="G25" s="33" t="s">
        <v>56</v>
      </c>
      <c r="H25" s="33" t="s">
        <v>56</v>
      </c>
      <c r="I25" s="33" t="s">
        <v>56</v>
      </c>
      <c r="J25" s="33" t="s">
        <v>56</v>
      </c>
      <c r="K25" s="33" t="s">
        <v>56</v>
      </c>
      <c r="L25" s="33" t="s">
        <v>56</v>
      </c>
      <c r="M25" s="33" t="s">
        <v>56</v>
      </c>
      <c r="N25" s="33" t="s">
        <v>56</v>
      </c>
      <c r="O25" s="29" t="s">
        <v>56</v>
      </c>
      <c r="P25" s="16"/>
      <c r="Q25" s="16"/>
    </row>
    <row r="26" spans="1:17" s="4" customFormat="1" ht="14.25" customHeight="1" x14ac:dyDescent="0.2">
      <c r="A26" s="14" t="s">
        <v>17</v>
      </c>
      <c r="B26" s="20">
        <v>21.2</v>
      </c>
      <c r="C26" s="20">
        <v>9.5</v>
      </c>
      <c r="D26" s="20">
        <v>2.7</v>
      </c>
      <c r="E26" s="20">
        <v>0</v>
      </c>
      <c r="F26" s="20">
        <v>0</v>
      </c>
      <c r="G26" s="33" t="s">
        <v>56</v>
      </c>
      <c r="H26" s="33" t="s">
        <v>56</v>
      </c>
      <c r="I26" s="33" t="s">
        <v>56</v>
      </c>
      <c r="J26" s="33" t="s">
        <v>56</v>
      </c>
      <c r="K26" s="33" t="s">
        <v>56</v>
      </c>
      <c r="L26" s="33" t="s">
        <v>56</v>
      </c>
      <c r="M26" s="33" t="s">
        <v>56</v>
      </c>
      <c r="N26" s="33" t="s">
        <v>56</v>
      </c>
      <c r="O26" s="29" t="s">
        <v>56</v>
      </c>
      <c r="P26" s="16"/>
      <c r="Q26" s="16"/>
    </row>
    <row r="27" spans="1:17" s="4" customFormat="1" ht="14.25" customHeight="1" x14ac:dyDescent="0.2">
      <c r="A27" s="14" t="s">
        <v>113</v>
      </c>
      <c r="B27" s="20"/>
      <c r="C27" s="20"/>
      <c r="D27" s="20"/>
      <c r="E27" s="20"/>
      <c r="F27" s="20"/>
      <c r="G27" s="33" t="s">
        <v>56</v>
      </c>
      <c r="H27" s="33" t="s">
        <v>56</v>
      </c>
      <c r="I27" s="33" t="s">
        <v>56</v>
      </c>
      <c r="J27" s="33" t="s">
        <v>56</v>
      </c>
      <c r="K27" s="33" t="s">
        <v>56</v>
      </c>
      <c r="L27" s="33" t="s">
        <v>56</v>
      </c>
      <c r="M27" s="33">
        <v>80.714669634077865</v>
      </c>
      <c r="N27" s="33">
        <v>76.849999999999994</v>
      </c>
      <c r="O27" s="29">
        <v>115.27500000000001</v>
      </c>
      <c r="P27" s="16"/>
      <c r="Q27" s="16"/>
    </row>
    <row r="28" spans="1:17" s="4" customFormat="1" ht="14.25" customHeight="1" x14ac:dyDescent="0.2">
      <c r="A28" s="14"/>
      <c r="B28" s="20"/>
      <c r="C28" s="20"/>
      <c r="D28" s="20"/>
      <c r="E28" s="20"/>
      <c r="F28" s="20"/>
      <c r="G28" s="33"/>
      <c r="H28" s="33"/>
      <c r="I28" s="33"/>
      <c r="J28" s="33"/>
      <c r="K28" s="33"/>
      <c r="L28" s="33"/>
      <c r="M28" s="33"/>
      <c r="N28" s="33"/>
      <c r="O28" s="29"/>
      <c r="P28" s="16"/>
      <c r="Q28" s="16"/>
    </row>
    <row r="29" spans="1:17" s="4" customFormat="1" ht="14.25" customHeight="1" x14ac:dyDescent="0.2">
      <c r="A29" s="11" t="s">
        <v>18</v>
      </c>
      <c r="B29" s="12">
        <f>SUM(B30:B31)</f>
        <v>0</v>
      </c>
      <c r="C29" s="12">
        <f t="shared" ref="C29:M29" si="9">SUM(C30:C31)</f>
        <v>0</v>
      </c>
      <c r="D29" s="12">
        <f t="shared" si="9"/>
        <v>0</v>
      </c>
      <c r="E29" s="12">
        <f t="shared" si="9"/>
        <v>73.282560000000004</v>
      </c>
      <c r="F29" s="12">
        <f t="shared" si="9"/>
        <v>249.074994</v>
      </c>
      <c r="G29" s="35">
        <f t="shared" si="9"/>
        <v>32.668301999999997</v>
      </c>
      <c r="H29" s="38">
        <f>SUM(H30:H31)</f>
        <v>7.1360210000000004</v>
      </c>
      <c r="I29" s="38">
        <f t="shared" si="9"/>
        <v>0</v>
      </c>
      <c r="J29" s="38">
        <f t="shared" si="9"/>
        <v>0</v>
      </c>
      <c r="K29" s="38">
        <f t="shared" si="9"/>
        <v>0</v>
      </c>
      <c r="L29" s="38">
        <f t="shared" si="9"/>
        <v>0</v>
      </c>
      <c r="M29" s="38">
        <f t="shared" si="9"/>
        <v>0</v>
      </c>
      <c r="N29" s="38">
        <f t="shared" ref="N29:O29" si="10">SUM(N30:N31)</f>
        <v>0</v>
      </c>
      <c r="O29" s="28">
        <f t="shared" si="10"/>
        <v>0</v>
      </c>
      <c r="P29" s="13"/>
      <c r="Q29" s="13"/>
    </row>
    <row r="30" spans="1:17" s="4" customFormat="1" ht="14.25" customHeight="1" x14ac:dyDescent="0.2">
      <c r="A30" s="14" t="s">
        <v>19</v>
      </c>
      <c r="B30" s="20">
        <f t="shared" ref="B30:D30" si="11">SUM(B31:B32)</f>
        <v>0</v>
      </c>
      <c r="C30" s="20">
        <f t="shared" si="11"/>
        <v>0</v>
      </c>
      <c r="D30" s="20">
        <f t="shared" si="11"/>
        <v>0</v>
      </c>
      <c r="E30" s="20">
        <v>73.282560000000004</v>
      </c>
      <c r="F30" s="20">
        <v>249.074994</v>
      </c>
      <c r="G30" s="33">
        <v>32.668301999999997</v>
      </c>
      <c r="H30" s="33">
        <v>7.1360210000000004</v>
      </c>
      <c r="I30" s="33" t="s">
        <v>56</v>
      </c>
      <c r="J30" s="33" t="s">
        <v>56</v>
      </c>
      <c r="K30" s="33" t="s">
        <v>56</v>
      </c>
      <c r="L30" s="33" t="s">
        <v>56</v>
      </c>
      <c r="M30" s="33" t="s">
        <v>56</v>
      </c>
      <c r="N30" s="33" t="s">
        <v>56</v>
      </c>
      <c r="O30" s="29" t="s">
        <v>56</v>
      </c>
      <c r="P30" s="16"/>
      <c r="Q30" s="16"/>
    </row>
    <row r="31" spans="1:17" s="4" customFormat="1" ht="14.25" customHeight="1" x14ac:dyDescent="0.2">
      <c r="A31" s="14" t="s">
        <v>20</v>
      </c>
      <c r="B31" s="20">
        <f t="shared" ref="B31:D31" si="12">SUM(B32:B33)</f>
        <v>0</v>
      </c>
      <c r="C31" s="20">
        <f t="shared" si="12"/>
        <v>0</v>
      </c>
      <c r="D31" s="20">
        <f t="shared" si="12"/>
        <v>0</v>
      </c>
      <c r="E31" s="15" t="s">
        <v>56</v>
      </c>
      <c r="F31" s="15" t="s">
        <v>56</v>
      </c>
      <c r="G31" s="33" t="s">
        <v>56</v>
      </c>
      <c r="H31" s="33" t="s">
        <v>56</v>
      </c>
      <c r="I31" s="33" t="s">
        <v>56</v>
      </c>
      <c r="J31" s="33" t="s">
        <v>56</v>
      </c>
      <c r="K31" s="33" t="s">
        <v>56</v>
      </c>
      <c r="L31" s="33" t="s">
        <v>56</v>
      </c>
      <c r="M31" s="33" t="s">
        <v>56</v>
      </c>
      <c r="N31" s="33" t="s">
        <v>56</v>
      </c>
      <c r="O31" s="29" t="s">
        <v>56</v>
      </c>
      <c r="P31" s="16"/>
      <c r="Q31" s="16"/>
    </row>
    <row r="32" spans="1:17" s="4" customFormat="1" ht="14.25" customHeight="1" x14ac:dyDescent="0.2">
      <c r="A32" s="14"/>
      <c r="B32" s="20"/>
      <c r="C32" s="20"/>
      <c r="D32" s="20"/>
      <c r="E32" s="20"/>
      <c r="F32" s="20"/>
      <c r="G32" s="33"/>
      <c r="H32" s="33"/>
      <c r="I32" s="33"/>
      <c r="J32" s="33"/>
      <c r="K32" s="33"/>
      <c r="L32" s="33"/>
      <c r="M32" s="33"/>
      <c r="N32" s="33"/>
      <c r="O32" s="29"/>
      <c r="P32" s="16"/>
      <c r="Q32" s="16"/>
    </row>
    <row r="33" spans="1:17" s="4" customFormat="1" ht="14.25" customHeight="1" x14ac:dyDescent="0.2">
      <c r="A33" s="11" t="s">
        <v>21</v>
      </c>
      <c r="B33" s="12">
        <f>SUM(B34)</f>
        <v>0</v>
      </c>
      <c r="C33" s="12">
        <f t="shared" ref="C33:O34" si="13">SUM(C34)</f>
        <v>0</v>
      </c>
      <c r="D33" s="12">
        <f t="shared" si="13"/>
        <v>0</v>
      </c>
      <c r="E33" s="12">
        <f t="shared" si="13"/>
        <v>0.52935699999999997</v>
      </c>
      <c r="F33" s="12">
        <f t="shared" si="13"/>
        <v>3.4447350000000001</v>
      </c>
      <c r="G33" s="35">
        <f t="shared" si="13"/>
        <v>0.482072</v>
      </c>
      <c r="H33" s="38">
        <f t="shared" si="13"/>
        <v>49.063294999999997</v>
      </c>
      <c r="I33" s="38">
        <f t="shared" si="13"/>
        <v>66.525672</v>
      </c>
      <c r="J33" s="38">
        <f t="shared" si="13"/>
        <v>52.931077999999999</v>
      </c>
      <c r="K33" s="38">
        <f t="shared" si="13"/>
        <v>82.833104200000008</v>
      </c>
      <c r="L33" s="38">
        <f t="shared" si="13"/>
        <v>10</v>
      </c>
      <c r="M33" s="38">
        <f t="shared" si="13"/>
        <v>3.6768000000000001</v>
      </c>
      <c r="N33" s="38">
        <f t="shared" si="13"/>
        <v>0</v>
      </c>
      <c r="O33" s="28">
        <f t="shared" si="13"/>
        <v>0</v>
      </c>
      <c r="P33" s="13"/>
      <c r="Q33" s="13"/>
    </row>
    <row r="34" spans="1:17" s="4" customFormat="1" ht="14.25" customHeight="1" x14ac:dyDescent="0.2">
      <c r="A34" s="14" t="s">
        <v>22</v>
      </c>
      <c r="B34" s="20">
        <f>SUM(B35)</f>
        <v>0</v>
      </c>
      <c r="C34" s="20">
        <f t="shared" si="13"/>
        <v>0</v>
      </c>
      <c r="D34" s="20">
        <f t="shared" si="13"/>
        <v>0</v>
      </c>
      <c r="E34" s="20">
        <v>0.52935699999999997</v>
      </c>
      <c r="F34" s="20">
        <v>3.4447350000000001</v>
      </c>
      <c r="G34" s="33">
        <v>0.482072</v>
      </c>
      <c r="H34" s="33">
        <v>49.063294999999997</v>
      </c>
      <c r="I34" s="33">
        <v>66.525672</v>
      </c>
      <c r="J34" s="33">
        <v>52.931077999999999</v>
      </c>
      <c r="K34" s="33">
        <v>82.833104200000008</v>
      </c>
      <c r="L34" s="33">
        <v>10</v>
      </c>
      <c r="M34" s="33">
        <v>3.6768000000000001</v>
      </c>
      <c r="N34" s="33">
        <v>0</v>
      </c>
      <c r="O34" s="29">
        <v>0</v>
      </c>
      <c r="P34" s="16"/>
      <c r="Q34" s="16"/>
    </row>
    <row r="35" spans="1:17" s="4" customFormat="1" ht="14.25" customHeight="1" x14ac:dyDescent="0.2">
      <c r="A35" s="14"/>
      <c r="B35" s="20"/>
      <c r="C35" s="20"/>
      <c r="D35" s="20"/>
      <c r="E35" s="20"/>
      <c r="F35" s="20"/>
      <c r="G35" s="33"/>
      <c r="H35" s="33"/>
      <c r="I35" s="33"/>
      <c r="J35" s="33"/>
      <c r="K35" s="33"/>
      <c r="L35" s="33"/>
      <c r="M35" s="33"/>
      <c r="N35" s="33"/>
      <c r="O35" s="29"/>
      <c r="P35" s="16"/>
      <c r="Q35" s="16"/>
    </row>
    <row r="36" spans="1:17" s="4" customFormat="1" ht="14.25" customHeight="1" x14ac:dyDescent="0.2">
      <c r="A36" s="11" t="s">
        <v>23</v>
      </c>
      <c r="B36" s="12">
        <f>SUM(B37:B42)</f>
        <v>5.3</v>
      </c>
      <c r="C36" s="12">
        <f t="shared" ref="C36:M36" si="14">SUM(C37:C42)</f>
        <v>35.1</v>
      </c>
      <c r="D36" s="12">
        <f t="shared" si="14"/>
        <v>43.17801</v>
      </c>
      <c r="E36" s="12">
        <f t="shared" si="14"/>
        <v>73.612108800000001</v>
      </c>
      <c r="F36" s="12">
        <f t="shared" si="14"/>
        <v>56.078963999999999</v>
      </c>
      <c r="G36" s="35">
        <f t="shared" si="14"/>
        <v>114.40424900000001</v>
      </c>
      <c r="H36" s="38">
        <f>SUM(H37:H42)</f>
        <v>86.079061999999993</v>
      </c>
      <c r="I36" s="38">
        <f t="shared" si="14"/>
        <v>59.978202999999993</v>
      </c>
      <c r="J36" s="38">
        <f t="shared" si="14"/>
        <v>0</v>
      </c>
      <c r="K36" s="38">
        <f t="shared" si="14"/>
        <v>0</v>
      </c>
      <c r="L36" s="38">
        <f t="shared" si="14"/>
        <v>0</v>
      </c>
      <c r="M36" s="38">
        <f t="shared" si="14"/>
        <v>0</v>
      </c>
      <c r="N36" s="38">
        <f t="shared" ref="N36:O36" si="15">SUM(N37:N42)</f>
        <v>0</v>
      </c>
      <c r="O36" s="28">
        <f t="shared" si="15"/>
        <v>0</v>
      </c>
      <c r="P36" s="16"/>
      <c r="Q36" s="16"/>
    </row>
    <row r="37" spans="1:17" s="4" customFormat="1" ht="14.25" customHeight="1" x14ac:dyDescent="0.2">
      <c r="A37" s="14" t="s">
        <v>24</v>
      </c>
      <c r="B37" s="20">
        <v>5.3</v>
      </c>
      <c r="C37" s="20">
        <v>26</v>
      </c>
      <c r="D37" s="20">
        <v>39.338009999999997</v>
      </c>
      <c r="E37" s="20">
        <v>15.217036800000001</v>
      </c>
      <c r="F37" s="20">
        <v>1.2089019999999999</v>
      </c>
      <c r="G37" s="33">
        <v>47.196472</v>
      </c>
      <c r="H37" s="33">
        <v>0</v>
      </c>
      <c r="I37" s="33">
        <v>0</v>
      </c>
      <c r="J37" s="33" t="s">
        <v>56</v>
      </c>
      <c r="K37" s="33" t="s">
        <v>56</v>
      </c>
      <c r="L37" s="33" t="s">
        <v>56</v>
      </c>
      <c r="M37" s="33" t="s">
        <v>56</v>
      </c>
      <c r="N37" s="33" t="s">
        <v>56</v>
      </c>
      <c r="O37" s="29" t="s">
        <v>56</v>
      </c>
      <c r="P37" s="16"/>
      <c r="Q37" s="16"/>
    </row>
    <row r="38" spans="1:17" s="4" customFormat="1" ht="14.25" customHeight="1" x14ac:dyDescent="0.2">
      <c r="A38" s="14" t="s">
        <v>25</v>
      </c>
      <c r="B38" s="20">
        <v>0</v>
      </c>
      <c r="C38" s="20">
        <v>0</v>
      </c>
      <c r="D38" s="20">
        <v>3.84</v>
      </c>
      <c r="E38" s="20">
        <v>29.44</v>
      </c>
      <c r="F38" s="20">
        <v>24.441600000000001</v>
      </c>
      <c r="G38" s="33">
        <v>27.064851000000001</v>
      </c>
      <c r="H38" s="33">
        <v>18.497710999999999</v>
      </c>
      <c r="I38" s="33">
        <v>0</v>
      </c>
      <c r="J38" s="33" t="s">
        <v>56</v>
      </c>
      <c r="K38" s="33" t="s">
        <v>56</v>
      </c>
      <c r="L38" s="33" t="s">
        <v>56</v>
      </c>
      <c r="M38" s="33" t="s">
        <v>56</v>
      </c>
      <c r="N38" s="33" t="s">
        <v>56</v>
      </c>
      <c r="O38" s="29" t="s">
        <v>56</v>
      </c>
      <c r="P38" s="16"/>
      <c r="Q38" s="16"/>
    </row>
    <row r="39" spans="1:17" s="4" customFormat="1" ht="14.25" customHeight="1" x14ac:dyDescent="0.2">
      <c r="A39" s="14" t="s">
        <v>26</v>
      </c>
      <c r="B39" s="20">
        <v>0</v>
      </c>
      <c r="C39" s="20">
        <v>0</v>
      </c>
      <c r="D39" s="20">
        <v>0</v>
      </c>
      <c r="E39" s="20">
        <v>15.268672</v>
      </c>
      <c r="F39" s="20">
        <v>26.117453000000001</v>
      </c>
      <c r="G39" s="33">
        <v>16.562859</v>
      </c>
      <c r="H39" s="33">
        <v>56.438654999999997</v>
      </c>
      <c r="I39" s="33">
        <v>49.712792999999998</v>
      </c>
      <c r="J39" s="33" t="s">
        <v>56</v>
      </c>
      <c r="K39" s="33" t="s">
        <v>56</v>
      </c>
      <c r="L39" s="33" t="s">
        <v>56</v>
      </c>
      <c r="M39" s="33" t="s">
        <v>56</v>
      </c>
      <c r="N39" s="33" t="s">
        <v>56</v>
      </c>
      <c r="O39" s="29" t="s">
        <v>56</v>
      </c>
      <c r="P39" s="16"/>
      <c r="Q39" s="16"/>
    </row>
    <row r="40" spans="1:17" s="4" customFormat="1" ht="14.25" customHeight="1" x14ac:dyDescent="0.2">
      <c r="A40" s="14" t="s">
        <v>27</v>
      </c>
      <c r="B40" s="20">
        <v>0</v>
      </c>
      <c r="C40" s="20">
        <v>0</v>
      </c>
      <c r="D40" s="20">
        <v>0</v>
      </c>
      <c r="E40" s="20">
        <v>10.133760000000001</v>
      </c>
      <c r="F40" s="20">
        <v>4.3110090000000003</v>
      </c>
      <c r="G40" s="33">
        <v>23.580067</v>
      </c>
      <c r="H40" s="33">
        <v>11.142696000000001</v>
      </c>
      <c r="I40" s="33">
        <v>10.265409999999999</v>
      </c>
      <c r="J40" s="33" t="s">
        <v>56</v>
      </c>
      <c r="K40" s="33" t="s">
        <v>56</v>
      </c>
      <c r="L40" s="33" t="s">
        <v>56</v>
      </c>
      <c r="M40" s="33" t="s">
        <v>56</v>
      </c>
      <c r="N40" s="33" t="s">
        <v>56</v>
      </c>
      <c r="O40" s="29" t="s">
        <v>56</v>
      </c>
      <c r="P40" s="16"/>
      <c r="Q40" s="16"/>
    </row>
    <row r="41" spans="1:17" s="4" customFormat="1" ht="14.25" customHeight="1" x14ac:dyDescent="0.2">
      <c r="A41" s="14" t="s">
        <v>19</v>
      </c>
      <c r="B41" s="20">
        <v>0</v>
      </c>
      <c r="C41" s="20">
        <v>0</v>
      </c>
      <c r="D41" s="20">
        <v>0</v>
      </c>
      <c r="E41" s="20">
        <v>3.5526399999999998</v>
      </c>
      <c r="F41" s="20">
        <v>0</v>
      </c>
      <c r="G41" s="33">
        <v>0</v>
      </c>
      <c r="H41" s="33" t="s">
        <v>56</v>
      </c>
      <c r="I41" s="33" t="s">
        <v>56</v>
      </c>
      <c r="J41" s="33" t="s">
        <v>56</v>
      </c>
      <c r="K41" s="33" t="s">
        <v>56</v>
      </c>
      <c r="L41" s="33" t="s">
        <v>56</v>
      </c>
      <c r="M41" s="33" t="s">
        <v>56</v>
      </c>
      <c r="N41" s="33" t="s">
        <v>56</v>
      </c>
      <c r="O41" s="29" t="s">
        <v>56</v>
      </c>
      <c r="P41" s="16"/>
      <c r="Q41" s="16"/>
    </row>
    <row r="42" spans="1:17" s="4" customFormat="1" ht="14.25" customHeight="1" x14ac:dyDescent="0.2">
      <c r="A42" s="14" t="s">
        <v>28</v>
      </c>
      <c r="B42" s="20">
        <v>0</v>
      </c>
      <c r="C42" s="20">
        <v>9.1</v>
      </c>
      <c r="D42" s="20">
        <v>0</v>
      </c>
      <c r="E42" s="20">
        <v>0</v>
      </c>
      <c r="F42" s="20">
        <v>0</v>
      </c>
      <c r="G42" s="33">
        <v>0</v>
      </c>
      <c r="H42" s="33" t="s">
        <v>56</v>
      </c>
      <c r="I42" s="33" t="s">
        <v>56</v>
      </c>
      <c r="J42" s="33" t="s">
        <v>56</v>
      </c>
      <c r="K42" s="33" t="s">
        <v>56</v>
      </c>
      <c r="L42" s="33" t="s">
        <v>56</v>
      </c>
      <c r="M42" s="33" t="s">
        <v>56</v>
      </c>
      <c r="N42" s="33" t="s">
        <v>56</v>
      </c>
      <c r="O42" s="29" t="s">
        <v>56</v>
      </c>
      <c r="P42" s="16"/>
      <c r="Q42" s="16"/>
    </row>
    <row r="43" spans="1:17" s="4" customFormat="1" ht="14.25" customHeight="1" x14ac:dyDescent="0.2">
      <c r="A43" s="14"/>
      <c r="B43" s="20"/>
      <c r="C43" s="20"/>
      <c r="D43" s="20"/>
      <c r="E43" s="20"/>
      <c r="F43" s="20"/>
      <c r="G43" s="33"/>
      <c r="H43" s="33"/>
      <c r="I43" s="33"/>
      <c r="J43" s="33"/>
      <c r="K43" s="33"/>
      <c r="L43" s="33"/>
      <c r="M43" s="33"/>
      <c r="N43" s="33"/>
      <c r="O43" s="29"/>
      <c r="P43" s="16"/>
      <c r="Q43" s="16"/>
    </row>
    <row r="44" spans="1:17" s="4" customFormat="1" ht="14.25" customHeight="1" x14ac:dyDescent="0.2">
      <c r="A44" s="11" t="s">
        <v>29</v>
      </c>
      <c r="B44" s="12">
        <f t="shared" ref="B44:G44" si="16">SUM(B45:B47)</f>
        <v>0</v>
      </c>
      <c r="C44" s="12">
        <f t="shared" si="16"/>
        <v>0</v>
      </c>
      <c r="D44" s="12">
        <f t="shared" si="16"/>
        <v>0</v>
      </c>
      <c r="E44" s="12">
        <f t="shared" si="16"/>
        <v>0.97870100000000004</v>
      </c>
      <c r="F44" s="12">
        <f t="shared" si="16"/>
        <v>16.572000000000003</v>
      </c>
      <c r="G44" s="35">
        <f t="shared" si="16"/>
        <v>26.341757999999999</v>
      </c>
      <c r="H44" s="38">
        <f>SUM(H45:H48)</f>
        <v>18.887602999999999</v>
      </c>
      <c r="I44" s="38">
        <f t="shared" ref="I44:N44" si="17">SUM(I45:I48)</f>
        <v>2.7029269999999999</v>
      </c>
      <c r="J44" s="38">
        <f t="shared" si="17"/>
        <v>5.7226840000000001</v>
      </c>
      <c r="K44" s="38">
        <f t="shared" si="17"/>
        <v>9.0050719099999998</v>
      </c>
      <c r="L44" s="38">
        <f t="shared" si="17"/>
        <v>8.1673539999999996</v>
      </c>
      <c r="M44" s="38">
        <f t="shared" si="17"/>
        <v>0.3936577</v>
      </c>
      <c r="N44" s="38">
        <f t="shared" si="17"/>
        <v>0</v>
      </c>
      <c r="O44" s="28">
        <f t="shared" ref="O44" si="18">SUM(O45:O48)</f>
        <v>0</v>
      </c>
      <c r="P44" s="16"/>
      <c r="Q44" s="16"/>
    </row>
    <row r="45" spans="1:17" s="4" customFormat="1" ht="14.25" customHeight="1" x14ac:dyDescent="0.2">
      <c r="A45" s="14" t="s">
        <v>30</v>
      </c>
      <c r="B45" s="20">
        <v>0</v>
      </c>
      <c r="C45" s="20">
        <v>0</v>
      </c>
      <c r="D45" s="20">
        <v>0</v>
      </c>
      <c r="E45" s="20">
        <v>0</v>
      </c>
      <c r="F45" s="20">
        <v>10.172000000000001</v>
      </c>
      <c r="G45" s="33">
        <v>12.119864</v>
      </c>
      <c r="H45" s="33">
        <v>5.4513499999999999E-2</v>
      </c>
      <c r="I45" s="33" t="s">
        <v>56</v>
      </c>
      <c r="J45" s="33" t="s">
        <v>56</v>
      </c>
      <c r="K45" s="33" t="s">
        <v>56</v>
      </c>
      <c r="L45" s="33" t="s">
        <v>56</v>
      </c>
      <c r="M45" s="33" t="s">
        <v>56</v>
      </c>
      <c r="N45" s="33" t="s">
        <v>56</v>
      </c>
      <c r="O45" s="29" t="s">
        <v>56</v>
      </c>
      <c r="P45" s="16"/>
      <c r="Q45" s="16"/>
    </row>
    <row r="46" spans="1:17" s="4" customFormat="1" ht="14.25" customHeight="1" x14ac:dyDescent="0.2">
      <c r="A46" s="14" t="s">
        <v>30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33">
        <v>14.221894000000001</v>
      </c>
      <c r="H46" s="33">
        <v>14.6449775</v>
      </c>
      <c r="I46" s="33">
        <v>0</v>
      </c>
      <c r="J46" s="33">
        <v>1.71305</v>
      </c>
      <c r="K46" s="33" t="s">
        <v>56</v>
      </c>
      <c r="L46" s="33" t="s">
        <v>56</v>
      </c>
      <c r="M46" s="33" t="s">
        <v>56</v>
      </c>
      <c r="N46" s="33" t="s">
        <v>56</v>
      </c>
      <c r="O46" s="29" t="s">
        <v>56</v>
      </c>
      <c r="P46" s="16"/>
      <c r="Q46" s="16"/>
    </row>
    <row r="47" spans="1:17" s="4" customFormat="1" ht="14.25" customHeight="1" x14ac:dyDescent="0.2">
      <c r="A47" s="14" t="s">
        <v>31</v>
      </c>
      <c r="B47" s="20">
        <v>0</v>
      </c>
      <c r="C47" s="20">
        <v>0</v>
      </c>
      <c r="D47" s="20">
        <v>0</v>
      </c>
      <c r="E47" s="20">
        <v>0.97870100000000004</v>
      </c>
      <c r="F47" s="20">
        <v>6.4</v>
      </c>
      <c r="G47" s="33">
        <v>0</v>
      </c>
      <c r="H47" s="33">
        <v>4.1881120000000003</v>
      </c>
      <c r="I47" s="33">
        <v>2.7029269999999999</v>
      </c>
      <c r="J47" s="33">
        <v>4.0096340000000001</v>
      </c>
      <c r="K47" s="33">
        <v>9.0050719099999998</v>
      </c>
      <c r="L47" s="33">
        <v>8.1673539999999996</v>
      </c>
      <c r="M47" s="33">
        <v>0.3936577</v>
      </c>
      <c r="N47" s="33">
        <v>0</v>
      </c>
      <c r="O47" s="29">
        <v>0</v>
      </c>
      <c r="P47" s="16"/>
      <c r="Q47" s="16"/>
    </row>
    <row r="48" spans="1:17" s="4" customFormat="1" ht="14.25" customHeight="1" x14ac:dyDescent="0.2">
      <c r="A48" s="14" t="s">
        <v>91</v>
      </c>
      <c r="B48" s="20"/>
      <c r="C48" s="20"/>
      <c r="D48" s="20"/>
      <c r="E48" s="20"/>
      <c r="F48" s="20"/>
      <c r="G48" s="30" t="s">
        <v>56</v>
      </c>
      <c r="H48" s="30" t="s">
        <v>56</v>
      </c>
      <c r="I48" s="30" t="s">
        <v>56</v>
      </c>
      <c r="J48" s="30" t="s">
        <v>56</v>
      </c>
      <c r="K48" s="33" t="s">
        <v>56</v>
      </c>
      <c r="L48" s="33" t="s">
        <v>56</v>
      </c>
      <c r="M48" s="33" t="s">
        <v>56</v>
      </c>
      <c r="N48" s="33" t="s">
        <v>56</v>
      </c>
      <c r="O48" s="29" t="s">
        <v>56</v>
      </c>
      <c r="P48" s="16"/>
      <c r="Q48" s="16"/>
    </row>
    <row r="49" spans="1:17" s="4" customFormat="1" ht="14.25" customHeight="1" x14ac:dyDescent="0.2">
      <c r="A49" s="14"/>
      <c r="B49" s="20"/>
      <c r="C49" s="20"/>
      <c r="D49" s="20"/>
      <c r="E49" s="20"/>
      <c r="F49" s="20"/>
      <c r="G49" s="33"/>
      <c r="H49" s="33"/>
      <c r="I49" s="33"/>
      <c r="J49" s="33"/>
      <c r="K49" s="33"/>
      <c r="L49" s="33"/>
      <c r="M49" s="33"/>
      <c r="N49" s="33"/>
      <c r="O49" s="29"/>
      <c r="P49" s="16"/>
      <c r="Q49" s="16"/>
    </row>
    <row r="50" spans="1:17" s="4" customFormat="1" ht="14.25" customHeight="1" x14ac:dyDescent="0.2">
      <c r="A50" s="11" t="s">
        <v>32</v>
      </c>
      <c r="B50" s="12">
        <f>SUM(B51:B65)</f>
        <v>144.19999999999999</v>
      </c>
      <c r="C50" s="12">
        <f>SUM(C51:C65)</f>
        <v>18</v>
      </c>
      <c r="D50" s="12">
        <f>SUM(D51:D65)</f>
        <v>68.600000000000009</v>
      </c>
      <c r="E50" s="12">
        <f>SUM(E51:E65)</f>
        <v>60.392844799999999</v>
      </c>
      <c r="F50" s="12">
        <f>SUM(F51:F65)</f>
        <v>27.212074000000001</v>
      </c>
      <c r="G50" s="38">
        <f t="shared" ref="G50" si="19">SUM(G51:G66)</f>
        <v>86.673029999999997</v>
      </c>
      <c r="H50" s="38">
        <f>SUM(H51:H67)</f>
        <v>82.244337999999999</v>
      </c>
      <c r="I50" s="38">
        <f t="shared" ref="I50:J50" si="20">SUM(I51:I67)</f>
        <v>30.346392999999999</v>
      </c>
      <c r="J50" s="38">
        <f t="shared" si="20"/>
        <v>11.611944999999999</v>
      </c>
      <c r="K50" s="38">
        <f>SUM(K51:K68)</f>
        <v>6.6867516699999996</v>
      </c>
      <c r="L50" s="38">
        <f t="shared" ref="L50:O50" si="21">SUM(L51:L68)</f>
        <v>113.97651500000001</v>
      </c>
      <c r="M50" s="38">
        <f t="shared" si="21"/>
        <v>43.134540600000001</v>
      </c>
      <c r="N50" s="38">
        <f t="shared" si="21"/>
        <v>186.2873185</v>
      </c>
      <c r="O50" s="28">
        <f t="shared" si="21"/>
        <v>162.59585490000001</v>
      </c>
      <c r="P50" s="16"/>
      <c r="Q50" s="16"/>
    </row>
    <row r="51" spans="1:17" s="4" customFormat="1" ht="14.25" customHeight="1" x14ac:dyDescent="0.2">
      <c r="A51" s="14" t="s">
        <v>33</v>
      </c>
      <c r="B51" s="15" t="s">
        <v>56</v>
      </c>
      <c r="C51" s="15" t="s">
        <v>56</v>
      </c>
      <c r="D51" s="20">
        <v>1.4</v>
      </c>
      <c r="E51" s="15" t="s">
        <v>56</v>
      </c>
      <c r="F51" s="20">
        <v>0.383718</v>
      </c>
      <c r="G51" s="33" t="s">
        <v>56</v>
      </c>
      <c r="H51" s="33" t="s">
        <v>56</v>
      </c>
      <c r="I51" s="33" t="s">
        <v>56</v>
      </c>
      <c r="J51" s="33" t="s">
        <v>56</v>
      </c>
      <c r="K51" s="33" t="s">
        <v>56</v>
      </c>
      <c r="L51" s="33" t="s">
        <v>56</v>
      </c>
      <c r="M51" s="33" t="s">
        <v>56</v>
      </c>
      <c r="N51" s="33" t="s">
        <v>56</v>
      </c>
      <c r="O51" s="29" t="s">
        <v>56</v>
      </c>
      <c r="P51" s="16"/>
      <c r="Q51" s="16"/>
    </row>
    <row r="52" spans="1:17" ht="14.25" customHeight="1" x14ac:dyDescent="0.2">
      <c r="A52" s="14" t="s">
        <v>34</v>
      </c>
      <c r="B52" s="15" t="s">
        <v>56</v>
      </c>
      <c r="C52" s="15" t="s">
        <v>56</v>
      </c>
      <c r="D52" s="15" t="s">
        <v>56</v>
      </c>
      <c r="E52" s="15" t="s">
        <v>56</v>
      </c>
      <c r="F52" s="20">
        <v>0</v>
      </c>
      <c r="G52" s="33">
        <v>20.308920000000001</v>
      </c>
      <c r="H52" s="33" t="s">
        <v>56</v>
      </c>
      <c r="I52" s="33" t="s">
        <v>56</v>
      </c>
      <c r="J52" s="33" t="s">
        <v>56</v>
      </c>
      <c r="K52" s="33" t="s">
        <v>56</v>
      </c>
      <c r="L52" s="33" t="s">
        <v>56</v>
      </c>
      <c r="M52" s="33" t="s">
        <v>56</v>
      </c>
      <c r="N52" s="33" t="s">
        <v>56</v>
      </c>
      <c r="O52" s="29" t="s">
        <v>56</v>
      </c>
      <c r="P52" s="16"/>
      <c r="Q52" s="16"/>
    </row>
    <row r="53" spans="1:17" ht="14.25" customHeight="1" x14ac:dyDescent="0.2">
      <c r="A53" s="14" t="s">
        <v>35</v>
      </c>
      <c r="B53" s="15" t="s">
        <v>56</v>
      </c>
      <c r="C53" s="15" t="s">
        <v>56</v>
      </c>
      <c r="D53" s="15" t="s">
        <v>56</v>
      </c>
      <c r="E53" s="20">
        <v>12.635954999999999</v>
      </c>
      <c r="F53" s="20">
        <v>23.015940000000001</v>
      </c>
      <c r="G53" s="33">
        <v>35.039594999999998</v>
      </c>
      <c r="H53" s="33">
        <v>22.579273000000001</v>
      </c>
      <c r="I53" s="33">
        <v>0.46817999999999999</v>
      </c>
      <c r="J53" s="33" t="s">
        <v>56</v>
      </c>
      <c r="K53" s="33" t="s">
        <v>56</v>
      </c>
      <c r="L53" s="33" t="s">
        <v>56</v>
      </c>
      <c r="M53" s="33" t="s">
        <v>56</v>
      </c>
      <c r="N53" s="33" t="s">
        <v>56</v>
      </c>
      <c r="O53" s="29" t="s">
        <v>56</v>
      </c>
      <c r="P53" s="16"/>
      <c r="Q53" s="16"/>
    </row>
    <row r="54" spans="1:17" ht="14.25" customHeight="1" x14ac:dyDescent="0.2">
      <c r="A54" s="14" t="s">
        <v>36</v>
      </c>
      <c r="B54" s="15" t="s">
        <v>56</v>
      </c>
      <c r="C54" s="15" t="s">
        <v>56</v>
      </c>
      <c r="D54" s="15" t="s">
        <v>56</v>
      </c>
      <c r="E54" s="20">
        <v>1.758157</v>
      </c>
      <c r="F54" s="20">
        <v>3.8124159999999998</v>
      </c>
      <c r="G54" s="33">
        <v>31.324515000000002</v>
      </c>
      <c r="H54" s="33">
        <v>59.665064999999998</v>
      </c>
      <c r="I54" s="33">
        <v>29.878212999999999</v>
      </c>
      <c r="J54" s="33" t="s">
        <v>56</v>
      </c>
      <c r="K54" s="33" t="s">
        <v>56</v>
      </c>
      <c r="L54" s="33" t="s">
        <v>56</v>
      </c>
      <c r="M54" s="33" t="s">
        <v>56</v>
      </c>
      <c r="N54" s="33" t="s">
        <v>56</v>
      </c>
      <c r="O54" s="29" t="s">
        <v>56</v>
      </c>
      <c r="P54" s="16"/>
      <c r="Q54" s="16"/>
    </row>
    <row r="55" spans="1:17" ht="14.25" customHeight="1" x14ac:dyDescent="0.2">
      <c r="A55" s="14" t="s">
        <v>37</v>
      </c>
      <c r="B55" s="15" t="s">
        <v>56</v>
      </c>
      <c r="C55" s="15" t="s">
        <v>56</v>
      </c>
      <c r="D55" s="15" t="s">
        <v>56</v>
      </c>
      <c r="E55" s="15" t="s">
        <v>56</v>
      </c>
      <c r="F55" s="15" t="s">
        <v>56</v>
      </c>
      <c r="G55" s="30" t="s">
        <v>56</v>
      </c>
      <c r="H55" s="30" t="s">
        <v>56</v>
      </c>
      <c r="I55" s="30" t="s">
        <v>56</v>
      </c>
      <c r="J55" s="33">
        <v>0.27332400000000001</v>
      </c>
      <c r="K55" s="33">
        <v>0.16628499999999999</v>
      </c>
      <c r="L55" s="33">
        <v>5.5796539999999997</v>
      </c>
      <c r="M55" s="33">
        <v>1.115931</v>
      </c>
      <c r="N55" s="33">
        <v>8.3694810000000004</v>
      </c>
      <c r="O55" s="29">
        <v>9.4854109999999991</v>
      </c>
      <c r="P55" s="16"/>
      <c r="Q55" s="16"/>
    </row>
    <row r="56" spans="1:17" ht="14.25" customHeight="1" x14ac:dyDescent="0.2">
      <c r="A56" s="14" t="s">
        <v>38</v>
      </c>
      <c r="B56" s="15" t="s">
        <v>56</v>
      </c>
      <c r="C56" s="15" t="s">
        <v>56</v>
      </c>
      <c r="D56" s="15" t="s">
        <v>56</v>
      </c>
      <c r="E56" s="15" t="s">
        <v>56</v>
      </c>
      <c r="F56" s="15" t="s">
        <v>56</v>
      </c>
      <c r="G56" s="30" t="s">
        <v>56</v>
      </c>
      <c r="H56" s="30" t="s">
        <v>56</v>
      </c>
      <c r="I56" s="30" t="s">
        <v>56</v>
      </c>
      <c r="J56" s="33">
        <v>6.2303629999999997</v>
      </c>
      <c r="K56" s="33" t="s">
        <v>56</v>
      </c>
      <c r="L56" s="33" t="s">
        <v>56</v>
      </c>
      <c r="M56" s="33" t="s">
        <v>56</v>
      </c>
      <c r="N56" s="33" t="s">
        <v>56</v>
      </c>
      <c r="O56" s="29" t="s">
        <v>56</v>
      </c>
      <c r="P56" s="16"/>
      <c r="Q56" s="16"/>
    </row>
    <row r="57" spans="1:17" ht="14.25" customHeight="1" x14ac:dyDescent="0.2">
      <c r="A57" s="14" t="s">
        <v>39</v>
      </c>
      <c r="B57" s="20">
        <v>137.1</v>
      </c>
      <c r="C57" s="20">
        <v>10</v>
      </c>
      <c r="D57" s="15" t="s">
        <v>56</v>
      </c>
      <c r="E57" s="15" t="s">
        <v>56</v>
      </c>
      <c r="F57" s="15" t="s">
        <v>56</v>
      </c>
      <c r="G57" s="30" t="s">
        <v>56</v>
      </c>
      <c r="H57" s="30" t="s">
        <v>56</v>
      </c>
      <c r="I57" s="30" t="s">
        <v>56</v>
      </c>
      <c r="J57" s="33" t="s">
        <v>56</v>
      </c>
      <c r="K57" s="33" t="s">
        <v>56</v>
      </c>
      <c r="L57" s="33" t="s">
        <v>56</v>
      </c>
      <c r="M57" s="33" t="s">
        <v>56</v>
      </c>
      <c r="N57" s="33" t="s">
        <v>56</v>
      </c>
      <c r="O57" s="29" t="s">
        <v>56</v>
      </c>
      <c r="P57" s="16"/>
      <c r="Q57" s="16"/>
    </row>
    <row r="58" spans="1:17" ht="14.25" customHeight="1" x14ac:dyDescent="0.2">
      <c r="A58" s="14" t="s">
        <v>40</v>
      </c>
      <c r="B58" s="15" t="s">
        <v>56</v>
      </c>
      <c r="C58" s="15" t="s">
        <v>56</v>
      </c>
      <c r="D58" s="20">
        <v>67.2</v>
      </c>
      <c r="E58" s="20">
        <v>38.764032</v>
      </c>
      <c r="F58" s="15" t="s">
        <v>56</v>
      </c>
      <c r="G58" s="30" t="s">
        <v>56</v>
      </c>
      <c r="H58" s="30" t="s">
        <v>56</v>
      </c>
      <c r="I58" s="30" t="s">
        <v>56</v>
      </c>
      <c r="J58" s="33" t="s">
        <v>56</v>
      </c>
      <c r="K58" s="33" t="s">
        <v>56</v>
      </c>
      <c r="L58" s="33" t="s">
        <v>56</v>
      </c>
      <c r="M58" s="33" t="s">
        <v>56</v>
      </c>
      <c r="N58" s="33" t="s">
        <v>56</v>
      </c>
      <c r="O58" s="29" t="s">
        <v>56</v>
      </c>
      <c r="P58" s="16"/>
      <c r="Q58" s="16"/>
    </row>
    <row r="59" spans="1:17" ht="14.25" customHeight="1" x14ac:dyDescent="0.2">
      <c r="A59" s="14" t="s">
        <v>41</v>
      </c>
      <c r="B59" s="15" t="s">
        <v>56</v>
      </c>
      <c r="C59" s="15" t="s">
        <v>56</v>
      </c>
      <c r="D59" s="15" t="s">
        <v>56</v>
      </c>
      <c r="E59" s="20">
        <v>6.4</v>
      </c>
      <c r="F59" s="15" t="s">
        <v>56</v>
      </c>
      <c r="G59" s="30" t="s">
        <v>56</v>
      </c>
      <c r="H59" s="30" t="s">
        <v>56</v>
      </c>
      <c r="I59" s="30" t="s">
        <v>56</v>
      </c>
      <c r="J59" s="33" t="s">
        <v>56</v>
      </c>
      <c r="K59" s="33" t="s">
        <v>56</v>
      </c>
      <c r="L59" s="33" t="s">
        <v>56</v>
      </c>
      <c r="M59" s="33" t="s">
        <v>56</v>
      </c>
      <c r="N59" s="33" t="s">
        <v>56</v>
      </c>
      <c r="O59" s="29" t="s">
        <v>56</v>
      </c>
      <c r="P59" s="16"/>
      <c r="Q59" s="16"/>
    </row>
    <row r="60" spans="1:17" ht="14.25" customHeight="1" x14ac:dyDescent="0.2">
      <c r="A60" s="14" t="s">
        <v>42</v>
      </c>
      <c r="B60" s="20">
        <v>7</v>
      </c>
      <c r="C60" s="20">
        <v>3.8</v>
      </c>
      <c r="D60" s="15" t="s">
        <v>56</v>
      </c>
      <c r="E60" s="15" t="s">
        <v>56</v>
      </c>
      <c r="F60" s="15" t="s">
        <v>56</v>
      </c>
      <c r="G60" s="30" t="s">
        <v>56</v>
      </c>
      <c r="H60" s="30" t="s">
        <v>56</v>
      </c>
      <c r="I60" s="30" t="s">
        <v>56</v>
      </c>
      <c r="J60" s="33" t="s">
        <v>56</v>
      </c>
      <c r="K60" s="33" t="s">
        <v>56</v>
      </c>
      <c r="L60" s="33" t="s">
        <v>56</v>
      </c>
      <c r="M60" s="33" t="s">
        <v>56</v>
      </c>
      <c r="N60" s="33" t="s">
        <v>56</v>
      </c>
      <c r="O60" s="29" t="s">
        <v>56</v>
      </c>
      <c r="P60" s="16"/>
      <c r="Q60" s="16"/>
    </row>
    <row r="61" spans="1:17" ht="14.25" customHeight="1" x14ac:dyDescent="0.2">
      <c r="A61" s="14" t="s">
        <v>43</v>
      </c>
      <c r="B61" s="20">
        <v>0.1</v>
      </c>
      <c r="C61" s="20">
        <v>4.2</v>
      </c>
      <c r="D61" s="20">
        <v>0</v>
      </c>
      <c r="E61" s="20">
        <v>0.83470080000000002</v>
      </c>
      <c r="F61" s="15" t="s">
        <v>56</v>
      </c>
      <c r="G61" s="30" t="s">
        <v>56</v>
      </c>
      <c r="H61" s="30" t="s">
        <v>56</v>
      </c>
      <c r="I61" s="30" t="s">
        <v>56</v>
      </c>
      <c r="J61" s="33" t="s">
        <v>56</v>
      </c>
      <c r="K61" s="33" t="s">
        <v>56</v>
      </c>
      <c r="L61" s="33" t="s">
        <v>56</v>
      </c>
      <c r="M61" s="33" t="s">
        <v>56</v>
      </c>
      <c r="N61" s="33" t="s">
        <v>56</v>
      </c>
      <c r="O61" s="29" t="s">
        <v>56</v>
      </c>
      <c r="P61" s="16"/>
      <c r="Q61" s="16"/>
    </row>
    <row r="62" spans="1:17" ht="14.25" customHeight="1" x14ac:dyDescent="0.2">
      <c r="A62" s="14" t="s">
        <v>92</v>
      </c>
      <c r="B62" s="15" t="s">
        <v>56</v>
      </c>
      <c r="C62" s="15" t="s">
        <v>56</v>
      </c>
      <c r="D62" s="15" t="s">
        <v>56</v>
      </c>
      <c r="E62" s="15" t="s">
        <v>56</v>
      </c>
      <c r="F62" s="15" t="s">
        <v>56</v>
      </c>
      <c r="G62" s="30" t="s">
        <v>56</v>
      </c>
      <c r="H62" s="30" t="s">
        <v>56</v>
      </c>
      <c r="I62" s="30" t="s">
        <v>56</v>
      </c>
      <c r="J62" s="33">
        <v>5.1082580000000002</v>
      </c>
      <c r="K62" s="33">
        <v>2.1887285700000003</v>
      </c>
      <c r="L62" s="33">
        <v>34.153440000000003</v>
      </c>
      <c r="M62" s="33">
        <v>8.2146170000000005</v>
      </c>
      <c r="N62" s="33">
        <v>41.073082999999997</v>
      </c>
      <c r="O62" s="29">
        <v>24.643848999999999</v>
      </c>
      <c r="P62" s="16"/>
      <c r="Q62" s="16"/>
    </row>
    <row r="63" spans="1:17" ht="14.25" customHeight="1" x14ac:dyDescent="0.2">
      <c r="A63" s="14" t="s">
        <v>44</v>
      </c>
      <c r="B63" s="15" t="s">
        <v>56</v>
      </c>
      <c r="C63" s="15" t="s">
        <v>56</v>
      </c>
      <c r="D63" s="15" t="s">
        <v>56</v>
      </c>
      <c r="E63" s="15" t="s">
        <v>56</v>
      </c>
      <c r="F63" s="15" t="s">
        <v>56</v>
      </c>
      <c r="G63" s="30" t="s">
        <v>56</v>
      </c>
      <c r="H63" s="30" t="s">
        <v>56</v>
      </c>
      <c r="I63" s="30" t="s">
        <v>56</v>
      </c>
      <c r="J63" s="33" t="s">
        <v>56</v>
      </c>
      <c r="K63" s="33">
        <v>0</v>
      </c>
      <c r="L63" s="33">
        <v>52.641722000000001</v>
      </c>
      <c r="M63" s="33">
        <v>14.642390000000001</v>
      </c>
      <c r="N63" s="33">
        <v>73.211949000000004</v>
      </c>
      <c r="O63" s="29">
        <v>43.927168999999999</v>
      </c>
      <c r="P63" s="16"/>
      <c r="Q63" s="16"/>
    </row>
    <row r="64" spans="1:17" ht="14.25" customHeight="1" x14ac:dyDescent="0.2">
      <c r="A64" s="14" t="s">
        <v>45</v>
      </c>
      <c r="B64" s="15" t="s">
        <v>56</v>
      </c>
      <c r="C64" s="15" t="s">
        <v>56</v>
      </c>
      <c r="D64" s="15" t="s">
        <v>56</v>
      </c>
      <c r="E64" s="15" t="s">
        <v>56</v>
      </c>
      <c r="F64" s="15" t="s">
        <v>56</v>
      </c>
      <c r="G64" s="30" t="s">
        <v>56</v>
      </c>
      <c r="H64" s="30" t="s">
        <v>56</v>
      </c>
      <c r="I64" s="30" t="s">
        <v>56</v>
      </c>
      <c r="J64" s="33" t="s">
        <v>56</v>
      </c>
      <c r="K64" s="33">
        <v>0</v>
      </c>
      <c r="L64" s="33">
        <v>0</v>
      </c>
      <c r="M64" s="33">
        <v>5.6530240000000003</v>
      </c>
      <c r="N64" s="33">
        <v>16.959071000000002</v>
      </c>
      <c r="O64" s="29">
        <v>16.959071000000002</v>
      </c>
      <c r="P64" s="16"/>
      <c r="Q64" s="16"/>
    </row>
    <row r="65" spans="1:17" ht="14.25" customHeight="1" x14ac:dyDescent="0.2">
      <c r="A65" s="14" t="s">
        <v>93</v>
      </c>
      <c r="B65" s="15" t="s">
        <v>56</v>
      </c>
      <c r="C65" s="15" t="s">
        <v>56</v>
      </c>
      <c r="D65" s="15" t="s">
        <v>56</v>
      </c>
      <c r="E65" s="15" t="s">
        <v>56</v>
      </c>
      <c r="F65" s="15" t="s">
        <v>56</v>
      </c>
      <c r="G65" s="30" t="s">
        <v>56</v>
      </c>
      <c r="H65" s="30" t="s">
        <v>56</v>
      </c>
      <c r="I65" s="30" t="s">
        <v>56</v>
      </c>
      <c r="J65" s="33" t="s">
        <v>56</v>
      </c>
      <c r="K65" s="33">
        <v>0</v>
      </c>
      <c r="L65" s="33">
        <v>10.528458000000001</v>
      </c>
      <c r="M65" s="33">
        <v>4.897958</v>
      </c>
      <c r="N65" s="33">
        <v>14.693873</v>
      </c>
      <c r="O65" s="29">
        <v>14.693873</v>
      </c>
      <c r="P65" s="16"/>
      <c r="Q65" s="16"/>
    </row>
    <row r="66" spans="1:17" ht="13.5" customHeight="1" x14ac:dyDescent="0.2">
      <c r="A66" s="14" t="s">
        <v>81</v>
      </c>
      <c r="B66" s="15" t="s">
        <v>56</v>
      </c>
      <c r="C66" s="15" t="s">
        <v>56</v>
      </c>
      <c r="D66" s="15" t="s">
        <v>56</v>
      </c>
      <c r="E66" s="15" t="s">
        <v>56</v>
      </c>
      <c r="F66" s="15" t="s">
        <v>56</v>
      </c>
      <c r="G66" s="30" t="s">
        <v>56</v>
      </c>
      <c r="H66" s="30" t="s">
        <v>56</v>
      </c>
      <c r="I66" s="30" t="s">
        <v>56</v>
      </c>
      <c r="J66" s="33" t="s">
        <v>56</v>
      </c>
      <c r="K66" s="33">
        <v>0</v>
      </c>
      <c r="L66" s="33">
        <v>0</v>
      </c>
      <c r="M66" s="33">
        <v>3.0739999999999998</v>
      </c>
      <c r="N66" s="33">
        <v>15.37</v>
      </c>
      <c r="O66" s="29">
        <v>30.74</v>
      </c>
      <c r="P66" s="16"/>
      <c r="Q66" s="16"/>
    </row>
    <row r="67" spans="1:17" ht="13.5" customHeight="1" x14ac:dyDescent="0.2">
      <c r="A67" s="14" t="s">
        <v>94</v>
      </c>
      <c r="B67" s="15"/>
      <c r="C67" s="15"/>
      <c r="D67" s="15"/>
      <c r="E67" s="15"/>
      <c r="F67" s="15"/>
      <c r="G67" s="33" t="s">
        <v>56</v>
      </c>
      <c r="H67" s="33" t="s">
        <v>56</v>
      </c>
      <c r="I67" s="33" t="s">
        <v>56</v>
      </c>
      <c r="J67" s="33" t="s">
        <v>56</v>
      </c>
      <c r="K67" s="33" t="s">
        <v>56</v>
      </c>
      <c r="L67" s="33" t="s">
        <v>56</v>
      </c>
      <c r="M67" s="33" t="s">
        <v>56</v>
      </c>
      <c r="N67" s="33" t="s">
        <v>56</v>
      </c>
      <c r="O67" s="29" t="s">
        <v>56</v>
      </c>
      <c r="P67" s="16"/>
      <c r="Q67" s="16"/>
    </row>
    <row r="68" spans="1:17" ht="13.5" customHeight="1" x14ac:dyDescent="0.2">
      <c r="A68" s="14" t="s">
        <v>114</v>
      </c>
      <c r="B68" s="15"/>
      <c r="C68" s="15"/>
      <c r="D68" s="15"/>
      <c r="E68" s="15"/>
      <c r="F68" s="15"/>
      <c r="G68" s="33" t="s">
        <v>56</v>
      </c>
      <c r="H68" s="33" t="s">
        <v>56</v>
      </c>
      <c r="I68" s="33" t="s">
        <v>56</v>
      </c>
      <c r="J68" s="33" t="s">
        <v>56</v>
      </c>
      <c r="K68" s="33">
        <v>4.3317380999999999</v>
      </c>
      <c r="L68" s="33">
        <v>11.073240999999999</v>
      </c>
      <c r="M68" s="33">
        <v>5.5366206</v>
      </c>
      <c r="N68" s="33">
        <v>16.609861500000001</v>
      </c>
      <c r="O68" s="29">
        <v>22.146481899999998</v>
      </c>
      <c r="P68" s="16"/>
      <c r="Q68" s="16"/>
    </row>
    <row r="69" spans="1:17" ht="13.5" customHeight="1" x14ac:dyDescent="0.2">
      <c r="A69" s="14"/>
      <c r="B69" s="20"/>
      <c r="C69" s="20"/>
      <c r="D69" s="20"/>
      <c r="E69" s="20"/>
      <c r="F69" s="20"/>
      <c r="G69" s="33"/>
      <c r="H69" s="33"/>
      <c r="I69" s="33"/>
      <c r="J69" s="33"/>
      <c r="K69" s="33"/>
      <c r="L69" s="33"/>
      <c r="M69" s="33"/>
      <c r="N69" s="33"/>
      <c r="O69" s="29"/>
      <c r="P69" s="16"/>
      <c r="Q69" s="16"/>
    </row>
    <row r="70" spans="1:17" ht="14.25" customHeight="1" x14ac:dyDescent="0.2">
      <c r="A70" s="11" t="s">
        <v>46</v>
      </c>
      <c r="B70" s="12">
        <f t="shared" ref="B70:G70" si="22">SUM(B71:B78)</f>
        <v>64.87</v>
      </c>
      <c r="C70" s="12">
        <f t="shared" si="22"/>
        <v>77.8</v>
      </c>
      <c r="D70" s="12">
        <f t="shared" si="22"/>
        <v>34.9</v>
      </c>
      <c r="E70" s="12">
        <f t="shared" si="22"/>
        <v>81.389620000000008</v>
      </c>
      <c r="F70" s="12">
        <f t="shared" si="22"/>
        <v>125.39468100000001</v>
      </c>
      <c r="G70" s="35">
        <f t="shared" si="22"/>
        <v>110.975019</v>
      </c>
      <c r="H70" s="38">
        <f>SUM(H71:H80)</f>
        <v>43.581213299999995</v>
      </c>
      <c r="I70" s="38">
        <f t="shared" ref="I70:N70" si="23">SUM(I71:I80)</f>
        <v>37.78454</v>
      </c>
      <c r="J70" s="38">
        <f t="shared" si="23"/>
        <v>11.569822</v>
      </c>
      <c r="K70" s="38">
        <f t="shared" si="23"/>
        <v>0</v>
      </c>
      <c r="L70" s="38">
        <f t="shared" si="23"/>
        <v>9.1494230000000005</v>
      </c>
      <c r="M70" s="38">
        <f t="shared" si="23"/>
        <v>10.9779179</v>
      </c>
      <c r="N70" s="38">
        <f t="shared" si="23"/>
        <v>0</v>
      </c>
      <c r="O70" s="28">
        <f>SUM(O71:O80)</f>
        <v>0</v>
      </c>
      <c r="P70" s="16"/>
      <c r="Q70" s="16"/>
    </row>
    <row r="71" spans="1:17" ht="14.25" customHeight="1" x14ac:dyDescent="0.2">
      <c r="A71" s="14" t="s">
        <v>47</v>
      </c>
      <c r="B71" s="20">
        <v>18.8</v>
      </c>
      <c r="C71" s="20">
        <v>27.9</v>
      </c>
      <c r="D71" s="20">
        <v>16.5</v>
      </c>
      <c r="E71" s="20">
        <v>28.826278400000003</v>
      </c>
      <c r="F71" s="20">
        <v>26.077563999999999</v>
      </c>
      <c r="G71" s="33" t="s">
        <v>56</v>
      </c>
      <c r="H71" s="33" t="s">
        <v>56</v>
      </c>
      <c r="I71" s="33" t="s">
        <v>56</v>
      </c>
      <c r="J71" s="33" t="s">
        <v>56</v>
      </c>
      <c r="K71" s="33" t="s">
        <v>56</v>
      </c>
      <c r="L71" s="33" t="s">
        <v>56</v>
      </c>
      <c r="M71" s="33" t="s">
        <v>56</v>
      </c>
      <c r="N71" s="33" t="s">
        <v>56</v>
      </c>
      <c r="O71" s="29" t="s">
        <v>56</v>
      </c>
      <c r="P71" s="16"/>
      <c r="Q71" s="16"/>
    </row>
    <row r="72" spans="1:17" ht="14.25" customHeight="1" x14ac:dyDescent="0.2">
      <c r="A72" s="14" t="s">
        <v>48</v>
      </c>
      <c r="B72" s="20">
        <v>30</v>
      </c>
      <c r="C72" s="20">
        <v>4.2</v>
      </c>
      <c r="D72" s="20">
        <v>12.2</v>
      </c>
      <c r="E72" s="20">
        <v>26.0098816</v>
      </c>
      <c r="F72" s="20">
        <v>31.063718000000001</v>
      </c>
      <c r="G72" s="33" t="s">
        <v>56</v>
      </c>
      <c r="H72" s="33" t="s">
        <v>56</v>
      </c>
      <c r="I72" s="33" t="s">
        <v>56</v>
      </c>
      <c r="J72" s="33" t="s">
        <v>56</v>
      </c>
      <c r="K72" s="33" t="s">
        <v>56</v>
      </c>
      <c r="L72" s="33" t="s">
        <v>56</v>
      </c>
      <c r="M72" s="33" t="s">
        <v>56</v>
      </c>
      <c r="N72" s="33" t="s">
        <v>56</v>
      </c>
      <c r="O72" s="29" t="s">
        <v>56</v>
      </c>
      <c r="P72" s="16"/>
      <c r="Q72" s="16"/>
    </row>
    <row r="73" spans="1:17" ht="14.25" customHeight="1" x14ac:dyDescent="0.2">
      <c r="A73" s="14" t="s">
        <v>49</v>
      </c>
      <c r="B73" s="20">
        <v>3.7</v>
      </c>
      <c r="C73" s="20">
        <v>14.4</v>
      </c>
      <c r="D73" s="20">
        <v>0.2</v>
      </c>
      <c r="E73" s="20">
        <v>15.06729</v>
      </c>
      <c r="F73" s="20">
        <v>21.153192000000001</v>
      </c>
      <c r="G73" s="33">
        <v>2.4465000000000001E-2</v>
      </c>
      <c r="H73" s="33">
        <v>3.0701839999999998</v>
      </c>
      <c r="I73" s="33">
        <v>11.101946999999999</v>
      </c>
      <c r="J73" s="33" t="s">
        <v>56</v>
      </c>
      <c r="K73" s="33" t="s">
        <v>56</v>
      </c>
      <c r="L73" s="33" t="s">
        <v>56</v>
      </c>
      <c r="M73" s="33" t="s">
        <v>56</v>
      </c>
      <c r="N73" s="33" t="s">
        <v>56</v>
      </c>
      <c r="O73" s="29" t="s">
        <v>56</v>
      </c>
      <c r="P73" s="16"/>
      <c r="Q73" s="16"/>
    </row>
    <row r="74" spans="1:17" ht="14.25" customHeight="1" x14ac:dyDescent="0.2">
      <c r="A74" s="14" t="s">
        <v>50</v>
      </c>
      <c r="B74" s="20">
        <v>5.4</v>
      </c>
      <c r="C74" s="20">
        <v>3.9</v>
      </c>
      <c r="D74" s="20">
        <v>3.6</v>
      </c>
      <c r="E74" s="20">
        <v>5.09504</v>
      </c>
      <c r="F74" s="20">
        <v>5.163119</v>
      </c>
      <c r="G74" s="33">
        <v>44.064557000000001</v>
      </c>
      <c r="H74" s="33">
        <v>1.8353710000000001</v>
      </c>
      <c r="I74" s="33" t="s">
        <v>56</v>
      </c>
      <c r="J74" s="33" t="s">
        <v>56</v>
      </c>
      <c r="K74" s="33" t="s">
        <v>56</v>
      </c>
      <c r="L74" s="33" t="s">
        <v>56</v>
      </c>
      <c r="M74" s="33" t="s">
        <v>56</v>
      </c>
      <c r="N74" s="33" t="s">
        <v>56</v>
      </c>
      <c r="O74" s="29" t="s">
        <v>56</v>
      </c>
      <c r="P74" s="16"/>
      <c r="Q74" s="16"/>
    </row>
    <row r="75" spans="1:17" ht="14.25" customHeight="1" x14ac:dyDescent="0.2">
      <c r="A75" s="14" t="s">
        <v>51</v>
      </c>
      <c r="B75" s="20">
        <v>0</v>
      </c>
      <c r="C75" s="20">
        <v>0</v>
      </c>
      <c r="D75" s="20">
        <v>2.4</v>
      </c>
      <c r="E75" s="20">
        <v>6.3911300000000004</v>
      </c>
      <c r="F75" s="20">
        <v>29.665980000000001</v>
      </c>
      <c r="G75" s="33">
        <v>24.122235</v>
      </c>
      <c r="H75" s="33">
        <v>0</v>
      </c>
      <c r="I75" s="33" t="s">
        <v>56</v>
      </c>
      <c r="J75" s="33" t="s">
        <v>56</v>
      </c>
      <c r="K75" s="33" t="s">
        <v>56</v>
      </c>
      <c r="L75" s="33" t="s">
        <v>56</v>
      </c>
      <c r="M75" s="33" t="s">
        <v>56</v>
      </c>
      <c r="N75" s="33" t="s">
        <v>56</v>
      </c>
      <c r="O75" s="29" t="s">
        <v>56</v>
      </c>
      <c r="P75" s="16"/>
      <c r="Q75" s="16"/>
    </row>
    <row r="76" spans="1:17" ht="14.25" customHeight="1" x14ac:dyDescent="0.2">
      <c r="A76" s="14" t="s">
        <v>52</v>
      </c>
      <c r="B76" s="20">
        <v>0</v>
      </c>
      <c r="C76" s="20">
        <v>0</v>
      </c>
      <c r="D76" s="15" t="s">
        <v>56</v>
      </c>
      <c r="E76" s="15" t="s">
        <v>56</v>
      </c>
      <c r="F76" s="20">
        <v>12.271108</v>
      </c>
      <c r="G76" s="33">
        <v>42.763762</v>
      </c>
      <c r="H76" s="33">
        <v>38.675658299999995</v>
      </c>
      <c r="I76" s="33">
        <v>26.682593000000001</v>
      </c>
      <c r="J76" s="30" t="s">
        <v>56</v>
      </c>
      <c r="K76" s="33" t="s">
        <v>56</v>
      </c>
      <c r="L76" s="33" t="s">
        <v>56</v>
      </c>
      <c r="M76" s="33" t="s">
        <v>56</v>
      </c>
      <c r="N76" s="33" t="s">
        <v>56</v>
      </c>
      <c r="O76" s="29" t="s">
        <v>56</v>
      </c>
      <c r="P76" s="16"/>
      <c r="Q76" s="16"/>
    </row>
    <row r="77" spans="1:17" ht="14.25" customHeight="1" x14ac:dyDescent="0.2">
      <c r="A77" s="14" t="s">
        <v>53</v>
      </c>
      <c r="B77" s="20">
        <v>0</v>
      </c>
      <c r="C77" s="20">
        <v>12.8</v>
      </c>
      <c r="D77" s="15" t="s">
        <v>56</v>
      </c>
      <c r="E77" s="15" t="s">
        <v>56</v>
      </c>
      <c r="F77" s="15" t="s">
        <v>56</v>
      </c>
      <c r="G77" s="33">
        <v>0</v>
      </c>
      <c r="H77" s="33">
        <v>0</v>
      </c>
      <c r="I77" s="33" t="s">
        <v>56</v>
      </c>
      <c r="J77" s="33">
        <v>11.569822</v>
      </c>
      <c r="K77" s="33">
        <v>0</v>
      </c>
      <c r="L77" s="33">
        <v>9.1494230000000005</v>
      </c>
      <c r="M77" s="30">
        <v>10.9779179</v>
      </c>
      <c r="N77" s="30">
        <v>0</v>
      </c>
      <c r="O77" s="30">
        <v>0</v>
      </c>
      <c r="P77" s="16"/>
      <c r="Q77" s="16"/>
    </row>
    <row r="78" spans="1:17" ht="14.25" customHeight="1" x14ac:dyDescent="0.2">
      <c r="A78" s="14" t="s">
        <v>54</v>
      </c>
      <c r="B78" s="20">
        <v>6.97</v>
      </c>
      <c r="C78" s="20">
        <v>14.6</v>
      </c>
      <c r="D78" s="15" t="s">
        <v>56</v>
      </c>
      <c r="E78" s="15" t="s">
        <v>56</v>
      </c>
      <c r="F78" s="20">
        <v>0</v>
      </c>
      <c r="G78" s="33" t="s">
        <v>56</v>
      </c>
      <c r="H78" s="33" t="s">
        <v>56</v>
      </c>
      <c r="I78" s="33" t="s">
        <v>56</v>
      </c>
      <c r="J78" s="33" t="s">
        <v>56</v>
      </c>
      <c r="K78" s="33" t="s">
        <v>56</v>
      </c>
      <c r="L78" s="33" t="s">
        <v>56</v>
      </c>
      <c r="M78" s="33" t="s">
        <v>56</v>
      </c>
      <c r="N78" s="33" t="s">
        <v>56</v>
      </c>
      <c r="O78" s="29" t="s">
        <v>56</v>
      </c>
      <c r="P78" s="16"/>
      <c r="Q78" s="16"/>
    </row>
    <row r="79" spans="1:17" ht="14.25" customHeight="1" x14ac:dyDescent="0.2">
      <c r="A79" s="14" t="s">
        <v>95</v>
      </c>
      <c r="B79" s="20"/>
      <c r="C79" s="20"/>
      <c r="D79" s="15"/>
      <c r="E79" s="15"/>
      <c r="F79" s="20"/>
      <c r="G79" s="33" t="s">
        <v>56</v>
      </c>
      <c r="H79" s="33" t="s">
        <v>56</v>
      </c>
      <c r="I79" s="33" t="s">
        <v>56</v>
      </c>
      <c r="J79" s="33" t="s">
        <v>56</v>
      </c>
      <c r="K79" s="33" t="s">
        <v>56</v>
      </c>
      <c r="L79" s="33" t="s">
        <v>56</v>
      </c>
      <c r="M79" s="33" t="s">
        <v>56</v>
      </c>
      <c r="N79" s="33" t="s">
        <v>56</v>
      </c>
      <c r="O79" s="29" t="s">
        <v>56</v>
      </c>
      <c r="P79" s="16"/>
      <c r="Q79" s="16"/>
    </row>
    <row r="80" spans="1:17" ht="14.25" customHeight="1" x14ac:dyDescent="0.2">
      <c r="A80" s="14" t="s">
        <v>96</v>
      </c>
      <c r="B80" s="20"/>
      <c r="C80" s="20"/>
      <c r="D80" s="15"/>
      <c r="E80" s="15"/>
      <c r="F80" s="20"/>
      <c r="G80" s="33" t="s">
        <v>56</v>
      </c>
      <c r="H80" s="33" t="s">
        <v>56</v>
      </c>
      <c r="I80" s="33" t="s">
        <v>56</v>
      </c>
      <c r="J80" s="33" t="s">
        <v>56</v>
      </c>
      <c r="K80" s="33" t="s">
        <v>56</v>
      </c>
      <c r="L80" s="33" t="s">
        <v>56</v>
      </c>
      <c r="M80" s="33" t="s">
        <v>56</v>
      </c>
      <c r="N80" s="33" t="s">
        <v>56</v>
      </c>
      <c r="O80" s="29" t="s">
        <v>56</v>
      </c>
      <c r="P80" s="16"/>
      <c r="Q80" s="16"/>
    </row>
    <row r="81" spans="1:17" ht="14.25" customHeight="1" x14ac:dyDescent="0.2">
      <c r="A81" s="14"/>
      <c r="B81" s="20"/>
      <c r="C81" s="20"/>
      <c r="D81" s="20"/>
      <c r="E81" s="20"/>
      <c r="F81" s="20"/>
      <c r="G81" s="33"/>
      <c r="H81" s="33"/>
      <c r="I81" s="33"/>
      <c r="J81" s="33"/>
      <c r="K81" s="33"/>
      <c r="L81" s="33"/>
      <c r="M81" s="33"/>
      <c r="N81" s="33"/>
      <c r="O81" s="29"/>
      <c r="P81" s="16"/>
      <c r="Q81" s="16"/>
    </row>
    <row r="82" spans="1:17" ht="14.25" customHeight="1" x14ac:dyDescent="0.2">
      <c r="A82" s="11" t="s">
        <v>55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35">
        <f>SUM(G83:G88)</f>
        <v>10.230764000000001</v>
      </c>
      <c r="H82" s="35">
        <f>SUM(H83:H90)</f>
        <v>14.050041999999999</v>
      </c>
      <c r="I82" s="35">
        <f t="shared" ref="I82:J82" si="24">SUM(I83:I90)</f>
        <v>14.039686</v>
      </c>
      <c r="J82" s="35">
        <f t="shared" si="24"/>
        <v>15.610315</v>
      </c>
      <c r="K82" s="35">
        <f>SUM(K83:K91)</f>
        <v>31.178673200000006</v>
      </c>
      <c r="L82" s="35">
        <f t="shared" ref="L82:O82" si="25">SUM(L83:L91)</f>
        <v>60.105713999999992</v>
      </c>
      <c r="M82" s="35">
        <f t="shared" si="25"/>
        <v>197.01923940539979</v>
      </c>
      <c r="N82" s="35">
        <f t="shared" si="25"/>
        <v>611.34602400000006</v>
      </c>
      <c r="O82" s="35">
        <f t="shared" si="25"/>
        <v>254.85262800000001</v>
      </c>
      <c r="P82" s="16"/>
      <c r="Q82" s="16"/>
    </row>
    <row r="83" spans="1:17" ht="14.25" customHeight="1" x14ac:dyDescent="0.2">
      <c r="A83" s="14" t="s">
        <v>36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33">
        <v>10.230764000000001</v>
      </c>
      <c r="H83" s="33">
        <v>14.050041999999999</v>
      </c>
      <c r="I83" s="33">
        <v>14.039686</v>
      </c>
      <c r="J83" s="33">
        <v>15.610315</v>
      </c>
      <c r="K83" s="33">
        <v>27.327903700000004</v>
      </c>
      <c r="L83" s="33">
        <v>0</v>
      </c>
      <c r="M83" s="33">
        <v>0</v>
      </c>
      <c r="N83" s="33">
        <v>0</v>
      </c>
      <c r="O83" s="29">
        <v>0</v>
      </c>
      <c r="P83" s="16"/>
      <c r="Q83" s="16"/>
    </row>
    <row r="84" spans="1:17" ht="14.25" customHeight="1" x14ac:dyDescent="0.2">
      <c r="A84" s="14" t="s">
        <v>10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30" t="s">
        <v>56</v>
      </c>
      <c r="H84" s="30" t="s">
        <v>56</v>
      </c>
      <c r="I84" s="30" t="s">
        <v>56</v>
      </c>
      <c r="J84" s="30" t="s">
        <v>56</v>
      </c>
      <c r="K84" s="33">
        <v>0</v>
      </c>
      <c r="L84" s="33">
        <v>6.4554</v>
      </c>
      <c r="M84" s="33">
        <v>9.0375599999999991</v>
      </c>
      <c r="N84" s="33">
        <v>51.6432</v>
      </c>
      <c r="O84" s="29">
        <v>32.277000000000001</v>
      </c>
      <c r="P84" s="16"/>
      <c r="Q84" s="16"/>
    </row>
    <row r="85" spans="1:17" ht="14.25" customHeight="1" x14ac:dyDescent="0.2">
      <c r="A85" s="14" t="s">
        <v>82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30" t="s">
        <v>56</v>
      </c>
      <c r="H85" s="30" t="s">
        <v>56</v>
      </c>
      <c r="I85" s="30" t="s">
        <v>56</v>
      </c>
      <c r="J85" s="30" t="s">
        <v>56</v>
      </c>
      <c r="K85" s="33">
        <v>3.8507695000000002</v>
      </c>
      <c r="L85" s="33">
        <v>15.225313999999999</v>
      </c>
      <c r="M85" s="33">
        <v>30.450627999999998</v>
      </c>
      <c r="N85" s="33">
        <v>137.02782400000001</v>
      </c>
      <c r="O85" s="29">
        <v>30.450627999999998</v>
      </c>
      <c r="P85" s="16"/>
      <c r="Q85" s="16"/>
    </row>
    <row r="86" spans="1:17" ht="14.25" customHeight="1" x14ac:dyDescent="0.2">
      <c r="A86" s="14" t="s">
        <v>83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30" t="s">
        <v>56</v>
      </c>
      <c r="H86" s="30" t="s">
        <v>56</v>
      </c>
      <c r="I86" s="30" t="s">
        <v>56</v>
      </c>
      <c r="J86" s="30" t="s">
        <v>56</v>
      </c>
      <c r="K86" s="30" t="s">
        <v>56</v>
      </c>
      <c r="L86" s="30" t="s">
        <v>56</v>
      </c>
      <c r="M86" s="30" t="s">
        <v>56</v>
      </c>
      <c r="N86" s="30" t="s">
        <v>56</v>
      </c>
      <c r="O86" s="30" t="s">
        <v>56</v>
      </c>
      <c r="P86" s="16"/>
      <c r="Q86" s="16"/>
    </row>
    <row r="87" spans="1:17" ht="14.25" customHeight="1" x14ac:dyDescent="0.2">
      <c r="A87" s="14" t="s">
        <v>57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30" t="s">
        <v>56</v>
      </c>
      <c r="H87" s="30" t="s">
        <v>56</v>
      </c>
      <c r="I87" s="30" t="s">
        <v>56</v>
      </c>
      <c r="J87" s="30" t="s">
        <v>56</v>
      </c>
      <c r="K87" s="33">
        <v>0</v>
      </c>
      <c r="L87" s="33">
        <v>38.424999999999997</v>
      </c>
      <c r="M87" s="33">
        <v>76.849999999999994</v>
      </c>
      <c r="N87" s="33">
        <v>345.82499999999999</v>
      </c>
      <c r="O87" s="29">
        <v>76.849999999999994</v>
      </c>
      <c r="P87" s="16"/>
      <c r="Q87" s="16"/>
    </row>
    <row r="88" spans="1:17" ht="14.25" customHeight="1" x14ac:dyDescent="0.2">
      <c r="A88" s="14" t="s">
        <v>84</v>
      </c>
      <c r="B88" s="20">
        <v>0</v>
      </c>
      <c r="C88" s="20">
        <v>0</v>
      </c>
      <c r="D88" s="20">
        <v>0</v>
      </c>
      <c r="E88" s="20">
        <v>0</v>
      </c>
      <c r="F88" s="20">
        <v>0</v>
      </c>
      <c r="G88" s="30" t="s">
        <v>56</v>
      </c>
      <c r="H88" s="30" t="s">
        <v>56</v>
      </c>
      <c r="I88" s="30" t="s">
        <v>56</v>
      </c>
      <c r="J88" s="30" t="s">
        <v>56</v>
      </c>
      <c r="K88" s="33" t="s">
        <v>56</v>
      </c>
      <c r="L88" s="33" t="s">
        <v>56</v>
      </c>
      <c r="M88" s="33" t="s">
        <v>56</v>
      </c>
      <c r="N88" s="33" t="s">
        <v>56</v>
      </c>
      <c r="O88" s="29" t="s">
        <v>56</v>
      </c>
      <c r="P88" s="16"/>
      <c r="Q88" s="16"/>
    </row>
    <row r="89" spans="1:17" ht="14.25" customHeight="1" x14ac:dyDescent="0.2">
      <c r="A89" s="14" t="s">
        <v>97</v>
      </c>
      <c r="B89" s="20">
        <v>0</v>
      </c>
      <c r="C89" s="20">
        <v>0</v>
      </c>
      <c r="D89" s="20">
        <v>0</v>
      </c>
      <c r="E89" s="20">
        <v>0</v>
      </c>
      <c r="F89" s="20">
        <v>0</v>
      </c>
      <c r="G89" s="30" t="s">
        <v>56</v>
      </c>
      <c r="H89" s="30" t="s">
        <v>56</v>
      </c>
      <c r="I89" s="30" t="s">
        <v>56</v>
      </c>
      <c r="J89" s="30" t="s">
        <v>56</v>
      </c>
      <c r="K89" s="33" t="s">
        <v>56</v>
      </c>
      <c r="L89" s="33" t="s">
        <v>56</v>
      </c>
      <c r="M89" s="33" t="s">
        <v>56</v>
      </c>
      <c r="N89" s="33" t="s">
        <v>56</v>
      </c>
      <c r="O89" s="29" t="s">
        <v>56</v>
      </c>
      <c r="P89" s="16"/>
      <c r="Q89" s="16"/>
    </row>
    <row r="90" spans="1:17" ht="14.25" customHeight="1" x14ac:dyDescent="0.2">
      <c r="A90" s="14" t="s">
        <v>98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30" t="s">
        <v>56</v>
      </c>
      <c r="H90" s="30" t="s">
        <v>56</v>
      </c>
      <c r="I90" s="30" t="s">
        <v>56</v>
      </c>
      <c r="J90" s="30" t="s">
        <v>56</v>
      </c>
      <c r="K90" s="33" t="s">
        <v>56</v>
      </c>
      <c r="L90" s="33" t="s">
        <v>56</v>
      </c>
      <c r="M90" s="33" t="s">
        <v>56</v>
      </c>
      <c r="N90" s="33" t="s">
        <v>56</v>
      </c>
      <c r="O90" s="29" t="s">
        <v>56</v>
      </c>
      <c r="P90" s="16"/>
      <c r="Q90" s="16"/>
    </row>
    <row r="91" spans="1:17" ht="14.25" customHeight="1" x14ac:dyDescent="0.2">
      <c r="A91" s="14" t="s">
        <v>115</v>
      </c>
      <c r="B91" s="20"/>
      <c r="C91" s="20"/>
      <c r="D91" s="20"/>
      <c r="E91" s="20"/>
      <c r="F91" s="20"/>
      <c r="G91" s="30" t="s">
        <v>56</v>
      </c>
      <c r="H91" s="30" t="s">
        <v>56</v>
      </c>
      <c r="I91" s="30" t="s">
        <v>56</v>
      </c>
      <c r="J91" s="30" t="s">
        <v>56</v>
      </c>
      <c r="K91" s="33" t="s">
        <v>56</v>
      </c>
      <c r="L91" s="33" t="s">
        <v>56</v>
      </c>
      <c r="M91" s="33">
        <v>80.681051405399785</v>
      </c>
      <c r="N91" s="33">
        <v>76.849999999999994</v>
      </c>
      <c r="O91" s="29">
        <v>115.27500000000001</v>
      </c>
      <c r="P91" s="16"/>
      <c r="Q91" s="16"/>
    </row>
    <row r="92" spans="1:17" ht="14.25" customHeight="1" x14ac:dyDescent="0.2">
      <c r="A92" s="14"/>
      <c r="B92" s="20"/>
      <c r="C92" s="20"/>
      <c r="D92" s="20"/>
      <c r="E92" s="20"/>
      <c r="F92" s="20"/>
      <c r="G92" s="33"/>
      <c r="H92" s="33"/>
      <c r="I92" s="33"/>
      <c r="J92" s="33"/>
      <c r="K92" s="33"/>
      <c r="L92" s="33"/>
      <c r="M92" s="33"/>
      <c r="N92" s="33"/>
      <c r="O92" s="29"/>
      <c r="P92" s="16"/>
      <c r="Q92" s="16"/>
    </row>
    <row r="93" spans="1:17" ht="14.25" customHeight="1" x14ac:dyDescent="0.2">
      <c r="A93" s="11" t="s">
        <v>58</v>
      </c>
      <c r="B93" s="12">
        <f t="shared" ref="B93:G93" si="26">SUM(B94:B95)</f>
        <v>0</v>
      </c>
      <c r="C93" s="12">
        <f t="shared" si="26"/>
        <v>0</v>
      </c>
      <c r="D93" s="12">
        <f t="shared" si="26"/>
        <v>0</v>
      </c>
      <c r="E93" s="12">
        <f t="shared" si="26"/>
        <v>0</v>
      </c>
      <c r="F93" s="12">
        <f t="shared" si="26"/>
        <v>0</v>
      </c>
      <c r="G93" s="35">
        <f t="shared" si="26"/>
        <v>277.13603499999999</v>
      </c>
      <c r="H93" s="38">
        <f>SUM(H94:H96)</f>
        <v>19.486806000000001</v>
      </c>
      <c r="I93" s="38">
        <f t="shared" ref="I93:O93" si="27">SUM(I94:I96)</f>
        <v>100.155069</v>
      </c>
      <c r="J93" s="38">
        <f t="shared" si="27"/>
        <v>37.040430999999998</v>
      </c>
      <c r="K93" s="38">
        <f t="shared" si="27"/>
        <v>0</v>
      </c>
      <c r="L93" s="38">
        <f t="shared" si="27"/>
        <v>0</v>
      </c>
      <c r="M93" s="38">
        <f t="shared" si="27"/>
        <v>0</v>
      </c>
      <c r="N93" s="38">
        <f t="shared" si="27"/>
        <v>0</v>
      </c>
      <c r="O93" s="28">
        <f t="shared" si="27"/>
        <v>0</v>
      </c>
      <c r="P93" s="16"/>
      <c r="Q93" s="16"/>
    </row>
    <row r="94" spans="1:17" ht="14.25" customHeight="1" x14ac:dyDescent="0.2">
      <c r="A94" s="14" t="s">
        <v>59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33">
        <v>277.13603499999999</v>
      </c>
      <c r="H94" s="33">
        <v>19.486806000000001</v>
      </c>
      <c r="I94" s="33">
        <v>100.155069</v>
      </c>
      <c r="J94" s="33" t="s">
        <v>56</v>
      </c>
      <c r="K94" s="33" t="s">
        <v>56</v>
      </c>
      <c r="L94" s="33" t="s">
        <v>56</v>
      </c>
      <c r="M94" s="33" t="s">
        <v>56</v>
      </c>
      <c r="N94" s="33" t="s">
        <v>56</v>
      </c>
      <c r="O94" s="29" t="s">
        <v>56</v>
      </c>
      <c r="P94" s="16"/>
      <c r="Q94" s="16"/>
    </row>
    <row r="95" spans="1:17" ht="14.25" customHeight="1" x14ac:dyDescent="0.2">
      <c r="A95" s="14" t="s">
        <v>60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33">
        <v>0</v>
      </c>
      <c r="H95" s="33">
        <v>0</v>
      </c>
      <c r="I95" s="33">
        <v>0</v>
      </c>
      <c r="J95" s="33" t="s">
        <v>56</v>
      </c>
      <c r="K95" s="33" t="s">
        <v>56</v>
      </c>
      <c r="L95" s="33" t="s">
        <v>56</v>
      </c>
      <c r="M95" s="33" t="s">
        <v>56</v>
      </c>
      <c r="N95" s="33" t="s">
        <v>56</v>
      </c>
      <c r="O95" s="29" t="s">
        <v>56</v>
      </c>
      <c r="P95" s="16"/>
      <c r="Q95" s="16"/>
    </row>
    <row r="96" spans="1:17" ht="14.25" customHeight="1" x14ac:dyDescent="0.2">
      <c r="A96" s="14" t="s">
        <v>99</v>
      </c>
      <c r="B96" s="20"/>
      <c r="C96" s="20"/>
      <c r="D96" s="20"/>
      <c r="E96" s="20"/>
      <c r="F96" s="20"/>
      <c r="G96" s="30" t="s">
        <v>56</v>
      </c>
      <c r="H96" s="30" t="s">
        <v>56</v>
      </c>
      <c r="I96" s="30" t="s">
        <v>56</v>
      </c>
      <c r="J96" s="33">
        <v>37.040430999999998</v>
      </c>
      <c r="K96" s="33" t="s">
        <v>56</v>
      </c>
      <c r="L96" s="33" t="s">
        <v>56</v>
      </c>
      <c r="M96" s="33" t="s">
        <v>56</v>
      </c>
      <c r="N96" s="33" t="s">
        <v>56</v>
      </c>
      <c r="O96" s="29" t="s">
        <v>56</v>
      </c>
      <c r="P96" s="16"/>
      <c r="Q96" s="16"/>
    </row>
    <row r="97" spans="1:17" ht="14.25" customHeight="1" x14ac:dyDescent="0.2">
      <c r="A97" s="14"/>
      <c r="B97" s="20"/>
      <c r="C97" s="20"/>
      <c r="D97" s="20"/>
      <c r="E97" s="20"/>
      <c r="F97" s="20"/>
      <c r="G97" s="33"/>
      <c r="H97" s="33"/>
      <c r="I97" s="33"/>
      <c r="J97" s="33"/>
      <c r="K97" s="33"/>
      <c r="L97" s="33"/>
      <c r="M97" s="33"/>
      <c r="N97" s="33"/>
      <c r="O97" s="29"/>
      <c r="P97" s="16"/>
      <c r="Q97" s="16"/>
    </row>
    <row r="98" spans="1:17" ht="14.25" customHeight="1" x14ac:dyDescent="0.2">
      <c r="A98" s="11" t="s">
        <v>61</v>
      </c>
      <c r="B98" s="12">
        <f>SUM(B99:B100)</f>
        <v>0</v>
      </c>
      <c r="C98" s="12">
        <f t="shared" ref="C98:O98" si="28">SUM(C99:C100)</f>
        <v>35.9</v>
      </c>
      <c r="D98" s="12">
        <f t="shared" si="28"/>
        <v>129.30000000000001</v>
      </c>
      <c r="E98" s="12">
        <f t="shared" si="28"/>
        <v>0</v>
      </c>
      <c r="F98" s="12">
        <f t="shared" si="28"/>
        <v>386.53935100000001</v>
      </c>
      <c r="G98" s="35">
        <f t="shared" si="28"/>
        <v>233.78553700000001</v>
      </c>
      <c r="H98" s="38">
        <f t="shared" si="28"/>
        <v>0</v>
      </c>
      <c r="I98" s="38">
        <f t="shared" si="28"/>
        <v>0</v>
      </c>
      <c r="J98" s="38">
        <f t="shared" si="28"/>
        <v>0</v>
      </c>
      <c r="K98" s="38">
        <f t="shared" si="28"/>
        <v>0</v>
      </c>
      <c r="L98" s="38">
        <f t="shared" si="28"/>
        <v>0</v>
      </c>
      <c r="M98" s="38">
        <f t="shared" si="28"/>
        <v>0</v>
      </c>
      <c r="N98" s="38">
        <f t="shared" si="28"/>
        <v>0</v>
      </c>
      <c r="O98" s="28">
        <f t="shared" si="28"/>
        <v>0</v>
      </c>
      <c r="P98" s="16"/>
      <c r="Q98" s="16"/>
    </row>
    <row r="99" spans="1:17" ht="14.25" customHeight="1" x14ac:dyDescent="0.2">
      <c r="A99" s="14" t="s">
        <v>62</v>
      </c>
      <c r="B99" s="20">
        <v>0</v>
      </c>
      <c r="C99" s="20">
        <v>0</v>
      </c>
      <c r="D99" s="20">
        <v>0</v>
      </c>
      <c r="E99" s="20">
        <v>0</v>
      </c>
      <c r="F99" s="20">
        <v>386.53935100000001</v>
      </c>
      <c r="G99" s="33">
        <v>233.78553700000001</v>
      </c>
      <c r="H99" s="33" t="s">
        <v>56</v>
      </c>
      <c r="I99" s="33" t="s">
        <v>56</v>
      </c>
      <c r="J99" s="33" t="s">
        <v>56</v>
      </c>
      <c r="K99" s="33" t="s">
        <v>56</v>
      </c>
      <c r="L99" s="33" t="s">
        <v>56</v>
      </c>
      <c r="M99" s="33" t="s">
        <v>56</v>
      </c>
      <c r="N99" s="33" t="s">
        <v>56</v>
      </c>
      <c r="O99" s="29" t="s">
        <v>56</v>
      </c>
      <c r="P99" s="16"/>
      <c r="Q99" s="16"/>
    </row>
    <row r="100" spans="1:17" ht="14.25" customHeight="1" x14ac:dyDescent="0.2">
      <c r="A100" s="14" t="s">
        <v>63</v>
      </c>
      <c r="B100" s="20">
        <v>0</v>
      </c>
      <c r="C100" s="20">
        <v>35.9</v>
      </c>
      <c r="D100" s="20">
        <v>129.30000000000001</v>
      </c>
      <c r="E100" s="20">
        <v>0</v>
      </c>
      <c r="F100" s="20">
        <v>0</v>
      </c>
      <c r="G100" s="33">
        <v>0</v>
      </c>
      <c r="H100" s="33" t="s">
        <v>56</v>
      </c>
      <c r="I100" s="33" t="s">
        <v>56</v>
      </c>
      <c r="J100" s="33" t="s">
        <v>56</v>
      </c>
      <c r="K100" s="33" t="s">
        <v>56</v>
      </c>
      <c r="L100" s="33" t="s">
        <v>56</v>
      </c>
      <c r="M100" s="33" t="s">
        <v>56</v>
      </c>
      <c r="N100" s="33" t="s">
        <v>56</v>
      </c>
      <c r="O100" s="29" t="s">
        <v>56</v>
      </c>
      <c r="P100" s="16"/>
      <c r="Q100" s="16"/>
    </row>
    <row r="101" spans="1:17" ht="14.25" customHeight="1" x14ac:dyDescent="0.2">
      <c r="A101" s="14"/>
      <c r="B101" s="20"/>
      <c r="C101" s="20"/>
      <c r="D101" s="20"/>
      <c r="E101" s="20"/>
      <c r="F101" s="20"/>
      <c r="G101" s="33"/>
      <c r="H101" s="33"/>
      <c r="I101" s="33"/>
      <c r="J101" s="33"/>
      <c r="K101" s="33"/>
      <c r="L101" s="33"/>
      <c r="M101" s="33"/>
      <c r="N101" s="33"/>
      <c r="O101" s="29"/>
      <c r="P101" s="16"/>
      <c r="Q101" s="16"/>
    </row>
    <row r="102" spans="1:17" ht="14.25" customHeight="1" x14ac:dyDescent="0.25">
      <c r="A102" s="11" t="s">
        <v>64</v>
      </c>
      <c r="B102" s="12">
        <f t="shared" ref="B102:G102" si="29">SUM(B103:B106)</f>
        <v>0</v>
      </c>
      <c r="C102" s="12">
        <f t="shared" si="29"/>
        <v>0</v>
      </c>
      <c r="D102" s="12">
        <f t="shared" si="29"/>
        <v>0</v>
      </c>
      <c r="E102" s="12">
        <f t="shared" si="29"/>
        <v>0</v>
      </c>
      <c r="F102" s="12">
        <f t="shared" si="29"/>
        <v>270.71978799999999</v>
      </c>
      <c r="G102" s="35">
        <f t="shared" si="29"/>
        <v>265.65673500000003</v>
      </c>
      <c r="H102" s="38">
        <f>SUM(H103:H108)</f>
        <v>471.93762600000002</v>
      </c>
      <c r="I102" s="38">
        <f t="shared" ref="I102:N102" si="30">SUM(I103:I108)</f>
        <v>816.53743200000008</v>
      </c>
      <c r="J102" s="38">
        <f t="shared" si="30"/>
        <v>0</v>
      </c>
      <c r="K102" s="38">
        <f t="shared" si="30"/>
        <v>408.18139250000002</v>
      </c>
      <c r="L102" s="38">
        <f t="shared" si="30"/>
        <v>684.26755500000002</v>
      </c>
      <c r="M102" s="38">
        <f t="shared" si="30"/>
        <v>726.55324799999994</v>
      </c>
      <c r="N102" s="38">
        <f t="shared" si="30"/>
        <v>1444.3947719999999</v>
      </c>
      <c r="O102" s="28">
        <f t="shared" ref="O102" si="31">SUM(O103:O108)</f>
        <v>1706.7704389999999</v>
      </c>
    </row>
    <row r="103" spans="1:17" ht="14.25" customHeight="1" x14ac:dyDescent="0.25">
      <c r="A103" s="14" t="s">
        <v>65</v>
      </c>
      <c r="B103" s="20">
        <v>0</v>
      </c>
      <c r="C103" s="20">
        <v>0</v>
      </c>
      <c r="D103" s="20">
        <v>0</v>
      </c>
      <c r="E103" s="20">
        <v>0</v>
      </c>
      <c r="F103" s="20">
        <v>270.71978799999999</v>
      </c>
      <c r="G103" s="33">
        <v>265.65673500000003</v>
      </c>
      <c r="H103" s="33">
        <v>471.93762600000002</v>
      </c>
      <c r="I103" s="33">
        <v>94.399932000000007</v>
      </c>
      <c r="J103" s="33" t="s">
        <v>56</v>
      </c>
      <c r="K103" s="33" t="s">
        <v>56</v>
      </c>
      <c r="L103" s="33" t="s">
        <v>56</v>
      </c>
      <c r="M103" s="33" t="s">
        <v>56</v>
      </c>
      <c r="N103" s="33" t="s">
        <v>56</v>
      </c>
      <c r="O103" s="29" t="s">
        <v>56</v>
      </c>
    </row>
    <row r="104" spans="1:17" ht="14.25" customHeight="1" x14ac:dyDescent="0.25">
      <c r="A104" s="14" t="s">
        <v>100</v>
      </c>
      <c r="B104" s="20">
        <v>0</v>
      </c>
      <c r="C104" s="20">
        <v>0</v>
      </c>
      <c r="D104" s="20">
        <v>0</v>
      </c>
      <c r="E104" s="20">
        <v>0</v>
      </c>
      <c r="F104" s="20">
        <v>0</v>
      </c>
      <c r="G104" s="33" t="s">
        <v>56</v>
      </c>
      <c r="H104" s="33" t="s">
        <v>56</v>
      </c>
      <c r="I104" s="33">
        <v>722.13750000000005</v>
      </c>
      <c r="J104" s="33" t="s">
        <v>56</v>
      </c>
      <c r="K104" s="33">
        <v>408.18139250000002</v>
      </c>
      <c r="L104" s="33">
        <v>631.77765899999997</v>
      </c>
      <c r="M104" s="33">
        <v>56.413158000000003</v>
      </c>
      <c r="N104" s="33">
        <v>169.239474</v>
      </c>
      <c r="O104" s="29">
        <v>112.82631600000001</v>
      </c>
    </row>
    <row r="105" spans="1:17" ht="14.25" customHeight="1" x14ac:dyDescent="0.25">
      <c r="A105" s="14" t="s">
        <v>85</v>
      </c>
      <c r="B105" s="20">
        <v>0</v>
      </c>
      <c r="C105" s="20">
        <v>0</v>
      </c>
      <c r="D105" s="20">
        <v>0</v>
      </c>
      <c r="E105" s="20">
        <v>0</v>
      </c>
      <c r="F105" s="20" t="s">
        <v>56</v>
      </c>
      <c r="G105" s="33" t="s">
        <v>56</v>
      </c>
      <c r="H105" s="33" t="s">
        <v>56</v>
      </c>
      <c r="I105" s="33" t="s">
        <v>56</v>
      </c>
      <c r="J105" s="33" t="s">
        <v>56</v>
      </c>
      <c r="K105" s="33">
        <v>0</v>
      </c>
      <c r="L105" s="33">
        <v>0</v>
      </c>
      <c r="M105" s="33">
        <v>565.16029900000001</v>
      </c>
      <c r="N105" s="33">
        <v>1149.179549</v>
      </c>
      <c r="O105" s="29">
        <v>1436.474436</v>
      </c>
    </row>
    <row r="106" spans="1:17" ht="14.25" customHeight="1" x14ac:dyDescent="0.25">
      <c r="A106" s="14" t="s">
        <v>86</v>
      </c>
      <c r="B106" s="20">
        <v>0</v>
      </c>
      <c r="C106" s="20">
        <v>0</v>
      </c>
      <c r="D106" s="20">
        <v>0</v>
      </c>
      <c r="E106" s="20">
        <v>0</v>
      </c>
      <c r="F106" s="20" t="s">
        <v>56</v>
      </c>
      <c r="G106" s="33" t="s">
        <v>56</v>
      </c>
      <c r="H106" s="33" t="s">
        <v>56</v>
      </c>
      <c r="I106" s="33" t="s">
        <v>56</v>
      </c>
      <c r="J106" s="33" t="s">
        <v>56</v>
      </c>
      <c r="K106" s="33">
        <v>0</v>
      </c>
      <c r="L106" s="33">
        <v>52.489896000000002</v>
      </c>
      <c r="M106" s="33">
        <v>104.97979100000001</v>
      </c>
      <c r="N106" s="33">
        <v>125.97574899999999</v>
      </c>
      <c r="O106" s="29">
        <v>157.46968699999999</v>
      </c>
    </row>
    <row r="107" spans="1:17" ht="14.25" customHeight="1" x14ac:dyDescent="0.25">
      <c r="A107" s="14" t="s">
        <v>101</v>
      </c>
      <c r="B107" s="20">
        <v>0</v>
      </c>
      <c r="C107" s="20">
        <v>0</v>
      </c>
      <c r="D107" s="20">
        <v>0</v>
      </c>
      <c r="E107" s="20">
        <v>0</v>
      </c>
      <c r="F107" s="20" t="s">
        <v>56</v>
      </c>
      <c r="G107" s="33" t="s">
        <v>56</v>
      </c>
      <c r="H107" s="33" t="s">
        <v>56</v>
      </c>
      <c r="I107" s="33" t="s">
        <v>56</v>
      </c>
      <c r="J107" s="33" t="s">
        <v>56</v>
      </c>
      <c r="K107" s="33" t="s">
        <v>56</v>
      </c>
      <c r="L107" s="33" t="s">
        <v>56</v>
      </c>
      <c r="M107" s="33" t="s">
        <v>56</v>
      </c>
      <c r="N107" s="33" t="s">
        <v>56</v>
      </c>
      <c r="O107" s="29" t="s">
        <v>56</v>
      </c>
    </row>
    <row r="108" spans="1:17" ht="14.25" customHeight="1" x14ac:dyDescent="0.25">
      <c r="A108" s="14" t="s">
        <v>102</v>
      </c>
      <c r="B108" s="20">
        <v>0</v>
      </c>
      <c r="C108" s="20">
        <v>0</v>
      </c>
      <c r="D108" s="20">
        <v>0</v>
      </c>
      <c r="E108" s="20">
        <v>0</v>
      </c>
      <c r="F108" s="20" t="s">
        <v>56</v>
      </c>
      <c r="G108" s="33" t="s">
        <v>56</v>
      </c>
      <c r="H108" s="33" t="s">
        <v>56</v>
      </c>
      <c r="I108" s="33" t="s">
        <v>56</v>
      </c>
      <c r="J108" s="33" t="s">
        <v>56</v>
      </c>
      <c r="K108" s="33" t="s">
        <v>56</v>
      </c>
      <c r="L108" s="33" t="s">
        <v>56</v>
      </c>
      <c r="M108" s="33" t="s">
        <v>56</v>
      </c>
      <c r="N108" s="33" t="s">
        <v>56</v>
      </c>
      <c r="O108" s="29" t="s">
        <v>56</v>
      </c>
    </row>
    <row r="109" spans="1:17" ht="14.25" customHeight="1" x14ac:dyDescent="0.25">
      <c r="A109" s="14"/>
      <c r="B109" s="20"/>
      <c r="C109" s="20"/>
      <c r="D109" s="20"/>
      <c r="E109" s="20"/>
      <c r="F109" s="20"/>
      <c r="G109" s="33"/>
      <c r="H109" s="33"/>
      <c r="I109" s="33"/>
      <c r="J109" s="33"/>
      <c r="K109" s="33"/>
      <c r="L109" s="33"/>
      <c r="M109" s="33"/>
      <c r="N109" s="33"/>
      <c r="O109" s="29"/>
    </row>
    <row r="110" spans="1:17" ht="14.25" customHeight="1" x14ac:dyDescent="0.25">
      <c r="A110" s="11" t="s">
        <v>66</v>
      </c>
      <c r="B110" s="12">
        <f>SUM(B111)</f>
        <v>0</v>
      </c>
      <c r="C110" s="12">
        <f t="shared" ref="C110:O110" si="32">SUM(C111)</f>
        <v>0</v>
      </c>
      <c r="D110" s="12">
        <f t="shared" si="32"/>
        <v>0</v>
      </c>
      <c r="E110" s="12">
        <f t="shared" si="32"/>
        <v>0</v>
      </c>
      <c r="F110" s="12">
        <f t="shared" si="32"/>
        <v>0</v>
      </c>
      <c r="G110" s="38">
        <f t="shared" si="32"/>
        <v>0</v>
      </c>
      <c r="H110" s="38">
        <f t="shared" si="32"/>
        <v>102.86886</v>
      </c>
      <c r="I110" s="38">
        <f t="shared" si="32"/>
        <v>0</v>
      </c>
      <c r="J110" s="38">
        <f t="shared" si="32"/>
        <v>18.706969000000001</v>
      </c>
      <c r="K110" s="38">
        <f t="shared" si="32"/>
        <v>99.107693899999987</v>
      </c>
      <c r="L110" s="38">
        <f t="shared" si="32"/>
        <v>0</v>
      </c>
      <c r="M110" s="38">
        <f t="shared" si="32"/>
        <v>7.8829380000000002</v>
      </c>
      <c r="N110" s="38">
        <f t="shared" si="32"/>
        <v>78.829379000000003</v>
      </c>
      <c r="O110" s="28">
        <f t="shared" si="32"/>
        <v>118.244069</v>
      </c>
    </row>
    <row r="111" spans="1:17" ht="14.25" customHeight="1" x14ac:dyDescent="0.25">
      <c r="A111" s="14" t="s">
        <v>103</v>
      </c>
      <c r="B111" s="20" t="s">
        <v>56</v>
      </c>
      <c r="C111" s="20" t="s">
        <v>56</v>
      </c>
      <c r="D111" s="20" t="s">
        <v>56</v>
      </c>
      <c r="E111" s="20" t="s">
        <v>56</v>
      </c>
      <c r="F111" s="20" t="s">
        <v>56</v>
      </c>
      <c r="G111" s="33" t="s">
        <v>56</v>
      </c>
      <c r="H111" s="33">
        <v>102.86886</v>
      </c>
      <c r="I111" s="33" t="s">
        <v>56</v>
      </c>
      <c r="J111" s="33">
        <v>18.706969000000001</v>
      </c>
      <c r="K111" s="33">
        <v>99.107693899999987</v>
      </c>
      <c r="L111" s="33">
        <v>0</v>
      </c>
      <c r="M111" s="33">
        <v>7.8829380000000002</v>
      </c>
      <c r="N111" s="33">
        <v>78.829379000000003</v>
      </c>
      <c r="O111" s="29">
        <v>118.244069</v>
      </c>
    </row>
    <row r="112" spans="1:17" ht="14.25" customHeight="1" x14ac:dyDescent="0.25">
      <c r="A112" s="14"/>
      <c r="B112" s="20"/>
      <c r="C112" s="20"/>
      <c r="D112" s="20"/>
      <c r="E112" s="20"/>
      <c r="F112" s="20"/>
      <c r="G112" s="33"/>
      <c r="H112" s="33"/>
      <c r="I112" s="33"/>
      <c r="J112" s="33"/>
      <c r="K112" s="33"/>
      <c r="L112" s="33"/>
      <c r="M112" s="33"/>
      <c r="N112" s="33"/>
      <c r="O112" s="29"/>
    </row>
    <row r="113" spans="1:15" ht="14.25" customHeight="1" x14ac:dyDescent="0.25">
      <c r="A113" s="11" t="s">
        <v>87</v>
      </c>
      <c r="B113" s="12">
        <f t="shared" ref="B113:E113" si="33">SUM(B114)</f>
        <v>0</v>
      </c>
      <c r="C113" s="12">
        <f t="shared" si="33"/>
        <v>0</v>
      </c>
      <c r="D113" s="12">
        <f t="shared" si="33"/>
        <v>0</v>
      </c>
      <c r="E113" s="12">
        <f t="shared" si="33"/>
        <v>0</v>
      </c>
      <c r="F113" s="12">
        <f>SUM(F114)</f>
        <v>0</v>
      </c>
      <c r="G113" s="38">
        <f>SUM(G114)</f>
        <v>0</v>
      </c>
      <c r="H113" s="38">
        <f t="shared" ref="H113:J113" si="34">SUM(H114)</f>
        <v>0</v>
      </c>
      <c r="I113" s="38">
        <f t="shared" si="34"/>
        <v>0</v>
      </c>
      <c r="J113" s="38">
        <f t="shared" si="34"/>
        <v>0</v>
      </c>
      <c r="K113" s="38">
        <f>SUM(K114)</f>
        <v>0</v>
      </c>
      <c r="L113" s="38">
        <f>SUM(L114)</f>
        <v>23.158517</v>
      </c>
      <c r="M113" s="38">
        <f>SUM(M114)</f>
        <v>27.018269800000002</v>
      </c>
      <c r="N113" s="38">
        <f>SUM(N114)</f>
        <v>231.58517000000001</v>
      </c>
      <c r="O113" s="28">
        <f>SUM(O114)</f>
        <v>347.37775399999998</v>
      </c>
    </row>
    <row r="114" spans="1:15" ht="14.25" customHeight="1" x14ac:dyDescent="0.25">
      <c r="A114" s="14" t="s">
        <v>88</v>
      </c>
      <c r="B114" s="20" t="s">
        <v>56</v>
      </c>
      <c r="C114" s="20" t="s">
        <v>56</v>
      </c>
      <c r="D114" s="20" t="s">
        <v>56</v>
      </c>
      <c r="E114" s="20" t="s">
        <v>56</v>
      </c>
      <c r="F114" s="20" t="s">
        <v>56</v>
      </c>
      <c r="G114" s="33" t="s">
        <v>56</v>
      </c>
      <c r="H114" s="33" t="s">
        <v>56</v>
      </c>
      <c r="I114" s="33" t="s">
        <v>56</v>
      </c>
      <c r="J114" s="33" t="s">
        <v>56</v>
      </c>
      <c r="K114" s="33">
        <v>0</v>
      </c>
      <c r="L114" s="33">
        <v>23.158517</v>
      </c>
      <c r="M114" s="33">
        <v>27.018269800000002</v>
      </c>
      <c r="N114" s="33">
        <v>231.58517000000001</v>
      </c>
      <c r="O114" s="29">
        <v>347.37775399999998</v>
      </c>
    </row>
    <row r="115" spans="1:15" ht="14.25" customHeight="1" x14ac:dyDescent="0.25">
      <c r="A115" s="14"/>
      <c r="B115" s="20"/>
      <c r="C115" s="20"/>
      <c r="D115" s="20"/>
      <c r="E115" s="20"/>
      <c r="F115" s="20"/>
      <c r="G115" s="33"/>
      <c r="H115" s="33"/>
      <c r="I115" s="33"/>
      <c r="J115" s="33"/>
      <c r="K115" s="33"/>
      <c r="L115" s="33"/>
      <c r="M115" s="33"/>
      <c r="N115" s="33"/>
      <c r="O115" s="29"/>
    </row>
    <row r="116" spans="1:15" ht="14.25" customHeight="1" x14ac:dyDescent="0.25">
      <c r="A116" s="11" t="s">
        <v>116</v>
      </c>
      <c r="B116" s="12"/>
      <c r="C116" s="12"/>
      <c r="D116" s="12"/>
      <c r="E116" s="12"/>
      <c r="F116" s="12"/>
      <c r="G116" s="35">
        <f t="shared" ref="G116:J116" si="35">SUM(G117:G120)</f>
        <v>0</v>
      </c>
      <c r="H116" s="35">
        <f t="shared" si="35"/>
        <v>0</v>
      </c>
      <c r="I116" s="35">
        <f t="shared" si="35"/>
        <v>0</v>
      </c>
      <c r="J116" s="35">
        <f t="shared" si="35"/>
        <v>0</v>
      </c>
      <c r="K116" s="38">
        <f t="shared" ref="K116:N116" si="36">K117</f>
        <v>0</v>
      </c>
      <c r="L116" s="38">
        <f t="shared" si="36"/>
        <v>0</v>
      </c>
      <c r="M116" s="38">
        <f t="shared" si="36"/>
        <v>1255.986897</v>
      </c>
      <c r="N116" s="38">
        <f t="shared" si="36"/>
        <v>252.50326999999999</v>
      </c>
      <c r="O116" s="28">
        <f>O117</f>
        <v>78.907272000000006</v>
      </c>
    </row>
    <row r="117" spans="1:15" ht="14.25" customHeight="1" x14ac:dyDescent="0.25">
      <c r="A117" s="14" t="s">
        <v>117</v>
      </c>
      <c r="B117" s="20"/>
      <c r="C117" s="20"/>
      <c r="D117" s="20"/>
      <c r="E117" s="20"/>
      <c r="F117" s="20"/>
      <c r="G117" s="33" t="s">
        <v>56</v>
      </c>
      <c r="H117" s="33" t="s">
        <v>56</v>
      </c>
      <c r="I117" s="33" t="s">
        <v>56</v>
      </c>
      <c r="J117" s="33" t="s">
        <v>56</v>
      </c>
      <c r="K117" s="33">
        <v>0</v>
      </c>
      <c r="L117" s="33">
        <v>0</v>
      </c>
      <c r="M117" s="33">
        <v>1255.986897</v>
      </c>
      <c r="N117" s="33">
        <v>252.50326999999999</v>
      </c>
      <c r="O117" s="29">
        <v>78.907272000000006</v>
      </c>
    </row>
    <row r="118" spans="1:15" ht="14.25" customHeight="1" x14ac:dyDescent="0.25">
      <c r="A118" s="14"/>
      <c r="B118" s="20"/>
      <c r="C118" s="20"/>
      <c r="D118" s="20"/>
      <c r="E118" s="20"/>
      <c r="F118" s="20"/>
      <c r="G118" s="33"/>
      <c r="H118" s="33"/>
      <c r="I118" s="33"/>
      <c r="J118" s="33"/>
      <c r="K118" s="33"/>
      <c r="L118" s="33"/>
      <c r="M118" s="33"/>
      <c r="N118" s="33"/>
      <c r="O118" s="29"/>
    </row>
    <row r="119" spans="1:15" ht="14.25" customHeight="1" x14ac:dyDescent="0.25">
      <c r="A119" s="11" t="s">
        <v>79</v>
      </c>
      <c r="B119" s="12">
        <f t="shared" ref="B119:J119" si="37">SUM(B120:B122)</f>
        <v>66.2</v>
      </c>
      <c r="C119" s="12">
        <f t="shared" si="37"/>
        <v>117.8</v>
      </c>
      <c r="D119" s="12">
        <f t="shared" si="37"/>
        <v>25</v>
      </c>
      <c r="E119" s="12">
        <f t="shared" si="37"/>
        <v>30.742463999999998</v>
      </c>
      <c r="F119" s="12">
        <f t="shared" si="37"/>
        <v>46.187443999999999</v>
      </c>
      <c r="G119" s="35">
        <f t="shared" si="37"/>
        <v>0</v>
      </c>
      <c r="H119" s="38">
        <f t="shared" si="37"/>
        <v>0</v>
      </c>
      <c r="I119" s="38">
        <f t="shared" si="37"/>
        <v>0</v>
      </c>
      <c r="J119" s="38">
        <f t="shared" si="37"/>
        <v>0</v>
      </c>
      <c r="K119" s="38">
        <f>SUM(K120:K122)</f>
        <v>0</v>
      </c>
      <c r="L119" s="38">
        <f t="shared" ref="L119:O119" si="38">SUM(L120:L122)</f>
        <v>0</v>
      </c>
      <c r="M119" s="38">
        <f t="shared" si="38"/>
        <v>0</v>
      </c>
      <c r="N119" s="38">
        <f t="shared" si="38"/>
        <v>0</v>
      </c>
      <c r="O119" s="28">
        <f t="shared" si="38"/>
        <v>0</v>
      </c>
    </row>
    <row r="120" spans="1:15" ht="14.25" customHeight="1" x14ac:dyDescent="0.25">
      <c r="A120" s="14" t="s">
        <v>67</v>
      </c>
      <c r="B120" s="20">
        <v>45.5</v>
      </c>
      <c r="C120" s="20">
        <v>21.3</v>
      </c>
      <c r="D120" s="20">
        <v>19.399999999999999</v>
      </c>
      <c r="E120" s="20">
        <v>30.742463999999998</v>
      </c>
      <c r="F120" s="20">
        <v>46.187443999999999</v>
      </c>
      <c r="G120" s="33" t="s">
        <v>56</v>
      </c>
      <c r="H120" s="33" t="s">
        <v>56</v>
      </c>
      <c r="I120" s="33" t="s">
        <v>56</v>
      </c>
      <c r="J120" s="33" t="s">
        <v>56</v>
      </c>
      <c r="K120" s="33" t="s">
        <v>56</v>
      </c>
      <c r="L120" s="33" t="s">
        <v>56</v>
      </c>
      <c r="M120" s="33" t="s">
        <v>56</v>
      </c>
      <c r="N120" s="33" t="s">
        <v>56</v>
      </c>
      <c r="O120" s="29" t="s">
        <v>56</v>
      </c>
    </row>
    <row r="121" spans="1:15" ht="14.25" customHeight="1" x14ac:dyDescent="0.25">
      <c r="A121" s="14" t="s">
        <v>68</v>
      </c>
      <c r="B121" s="20">
        <v>0</v>
      </c>
      <c r="C121" s="20">
        <v>29.7</v>
      </c>
      <c r="D121" s="20">
        <v>0</v>
      </c>
      <c r="E121" s="20">
        <v>0</v>
      </c>
      <c r="F121" s="20">
        <v>0</v>
      </c>
      <c r="G121" s="33" t="s">
        <v>56</v>
      </c>
      <c r="H121" s="33" t="s">
        <v>56</v>
      </c>
      <c r="I121" s="33" t="s">
        <v>56</v>
      </c>
      <c r="J121" s="33" t="s">
        <v>56</v>
      </c>
      <c r="K121" s="33" t="s">
        <v>56</v>
      </c>
      <c r="L121" s="33" t="s">
        <v>56</v>
      </c>
      <c r="M121" s="33" t="s">
        <v>56</v>
      </c>
      <c r="N121" s="33" t="s">
        <v>56</v>
      </c>
      <c r="O121" s="29" t="s">
        <v>56</v>
      </c>
    </row>
    <row r="122" spans="1:15" ht="14.25" customHeight="1" x14ac:dyDescent="0.25">
      <c r="A122" s="14" t="s">
        <v>69</v>
      </c>
      <c r="B122" s="20">
        <v>20.7</v>
      </c>
      <c r="C122" s="20">
        <v>66.8</v>
      </c>
      <c r="D122" s="20">
        <v>5.6</v>
      </c>
      <c r="E122" s="20">
        <v>0</v>
      </c>
      <c r="F122" s="20">
        <v>0</v>
      </c>
      <c r="G122" s="33" t="s">
        <v>56</v>
      </c>
      <c r="H122" s="33" t="s">
        <v>56</v>
      </c>
      <c r="I122" s="33" t="s">
        <v>56</v>
      </c>
      <c r="J122" s="33" t="s">
        <v>56</v>
      </c>
      <c r="K122" s="33" t="s">
        <v>56</v>
      </c>
      <c r="L122" s="33" t="s">
        <v>56</v>
      </c>
      <c r="M122" s="33" t="s">
        <v>56</v>
      </c>
      <c r="N122" s="33" t="s">
        <v>56</v>
      </c>
      <c r="O122" s="29" t="s">
        <v>56</v>
      </c>
    </row>
    <row r="123" spans="1:15" ht="14.25" customHeight="1" x14ac:dyDescent="0.25">
      <c r="A123" s="14"/>
      <c r="B123" s="20"/>
      <c r="C123" s="20"/>
      <c r="D123" s="20"/>
      <c r="E123" s="20"/>
      <c r="F123" s="20"/>
      <c r="G123" s="33"/>
      <c r="H123" s="33"/>
      <c r="I123" s="33"/>
      <c r="J123" s="33"/>
      <c r="K123" s="33"/>
      <c r="L123" s="33"/>
      <c r="M123" s="33"/>
      <c r="N123" s="33"/>
      <c r="O123" s="29"/>
    </row>
    <row r="124" spans="1:15" ht="14.25" customHeight="1" x14ac:dyDescent="0.25">
      <c r="A124" s="11" t="s">
        <v>70</v>
      </c>
      <c r="B124" s="12">
        <f>SUM(B125:B128)</f>
        <v>8.5</v>
      </c>
      <c r="C124" s="12">
        <f t="shared" ref="C124:O124" si="39">SUM(C125:C128)</f>
        <v>98.7</v>
      </c>
      <c r="D124" s="12">
        <f t="shared" si="39"/>
        <v>80.370757999999995</v>
      </c>
      <c r="E124" s="12">
        <f t="shared" si="39"/>
        <v>413.65834240000004</v>
      </c>
      <c r="F124" s="12">
        <f t="shared" si="39"/>
        <v>0</v>
      </c>
      <c r="G124" s="35">
        <f t="shared" si="39"/>
        <v>0</v>
      </c>
      <c r="H124" s="38">
        <f t="shared" si="39"/>
        <v>0</v>
      </c>
      <c r="I124" s="38">
        <f t="shared" si="39"/>
        <v>0</v>
      </c>
      <c r="J124" s="38">
        <f>SUM(J125:J128)</f>
        <v>0</v>
      </c>
      <c r="K124" s="35">
        <f t="shared" si="39"/>
        <v>0</v>
      </c>
      <c r="L124" s="38">
        <f t="shared" si="39"/>
        <v>0</v>
      </c>
      <c r="M124" s="38">
        <f t="shared" si="39"/>
        <v>0</v>
      </c>
      <c r="N124" s="38">
        <f t="shared" si="39"/>
        <v>0</v>
      </c>
      <c r="O124" s="35">
        <f t="shared" si="39"/>
        <v>0</v>
      </c>
    </row>
    <row r="125" spans="1:15" ht="14.25" customHeight="1" x14ac:dyDescent="0.25">
      <c r="A125" s="14" t="s">
        <v>71</v>
      </c>
      <c r="B125" s="20">
        <v>0</v>
      </c>
      <c r="C125" s="20">
        <v>0</v>
      </c>
      <c r="D125" s="20">
        <v>0</v>
      </c>
      <c r="E125" s="20">
        <v>413.65834240000004</v>
      </c>
      <c r="F125" s="20" t="s">
        <v>56</v>
      </c>
      <c r="G125" s="33" t="s">
        <v>56</v>
      </c>
      <c r="H125" s="33" t="s">
        <v>56</v>
      </c>
      <c r="I125" s="33" t="s">
        <v>56</v>
      </c>
      <c r="J125" s="33" t="s">
        <v>56</v>
      </c>
      <c r="K125" s="33" t="s">
        <v>56</v>
      </c>
      <c r="L125" s="33" t="s">
        <v>56</v>
      </c>
      <c r="M125" s="33" t="s">
        <v>56</v>
      </c>
      <c r="N125" s="33" t="s">
        <v>56</v>
      </c>
      <c r="O125" s="29" t="s">
        <v>56</v>
      </c>
    </row>
    <row r="126" spans="1:15" ht="14.25" customHeight="1" x14ac:dyDescent="0.25">
      <c r="A126" s="14" t="s">
        <v>72</v>
      </c>
      <c r="B126" s="20">
        <v>0</v>
      </c>
      <c r="C126" s="20">
        <v>17.5</v>
      </c>
      <c r="D126" s="20">
        <v>9.9</v>
      </c>
      <c r="E126" s="20">
        <v>0</v>
      </c>
      <c r="F126" s="20" t="s">
        <v>56</v>
      </c>
      <c r="G126" s="33" t="s">
        <v>56</v>
      </c>
      <c r="H126" s="33" t="s">
        <v>56</v>
      </c>
      <c r="I126" s="33" t="s">
        <v>56</v>
      </c>
      <c r="J126" s="33" t="s">
        <v>56</v>
      </c>
      <c r="K126" s="33" t="s">
        <v>56</v>
      </c>
      <c r="L126" s="33" t="s">
        <v>56</v>
      </c>
      <c r="M126" s="33" t="s">
        <v>56</v>
      </c>
      <c r="N126" s="33" t="s">
        <v>56</v>
      </c>
      <c r="O126" s="29" t="s">
        <v>56</v>
      </c>
    </row>
    <row r="127" spans="1:15" ht="14.25" customHeight="1" x14ac:dyDescent="0.25">
      <c r="A127" s="14" t="s">
        <v>73</v>
      </c>
      <c r="B127" s="20">
        <v>8.5</v>
      </c>
      <c r="C127" s="20">
        <v>12.5</v>
      </c>
      <c r="D127" s="20">
        <v>11.2</v>
      </c>
      <c r="E127" s="20">
        <v>0</v>
      </c>
      <c r="F127" s="20" t="s">
        <v>56</v>
      </c>
      <c r="G127" s="33" t="s">
        <v>56</v>
      </c>
      <c r="H127" s="33" t="s">
        <v>56</v>
      </c>
      <c r="I127" s="33" t="s">
        <v>56</v>
      </c>
      <c r="J127" s="33" t="s">
        <v>56</v>
      </c>
      <c r="K127" s="33" t="s">
        <v>56</v>
      </c>
      <c r="L127" s="33" t="s">
        <v>56</v>
      </c>
      <c r="M127" s="33" t="s">
        <v>56</v>
      </c>
      <c r="N127" s="33" t="s">
        <v>56</v>
      </c>
      <c r="O127" s="29" t="s">
        <v>56</v>
      </c>
    </row>
    <row r="128" spans="1:15" ht="14.25" customHeight="1" x14ac:dyDescent="0.25">
      <c r="A128" s="14" t="s">
        <v>74</v>
      </c>
      <c r="B128" s="20">
        <v>0</v>
      </c>
      <c r="C128" s="20">
        <v>68.7</v>
      </c>
      <c r="D128" s="20">
        <v>59.270758000000001</v>
      </c>
      <c r="E128" s="20">
        <v>0</v>
      </c>
      <c r="F128" s="20" t="s">
        <v>56</v>
      </c>
      <c r="G128" s="33" t="s">
        <v>56</v>
      </c>
      <c r="H128" s="33" t="s">
        <v>56</v>
      </c>
      <c r="I128" s="33" t="s">
        <v>56</v>
      </c>
      <c r="J128" s="33" t="s">
        <v>56</v>
      </c>
      <c r="K128" s="33" t="s">
        <v>56</v>
      </c>
      <c r="L128" s="33" t="s">
        <v>56</v>
      </c>
      <c r="M128" s="33" t="s">
        <v>56</v>
      </c>
      <c r="N128" s="33" t="s">
        <v>56</v>
      </c>
      <c r="O128" s="29" t="s">
        <v>56</v>
      </c>
    </row>
    <row r="129" spans="1:15" ht="14.25" customHeight="1" x14ac:dyDescent="0.25">
      <c r="A129" s="14"/>
      <c r="B129" s="20"/>
      <c r="C129" s="20"/>
      <c r="D129" s="20"/>
      <c r="E129" s="20"/>
      <c r="F129" s="20"/>
      <c r="G129" s="33"/>
      <c r="H129" s="33"/>
      <c r="I129" s="33"/>
      <c r="J129" s="33"/>
      <c r="K129" s="33" t="s">
        <v>56</v>
      </c>
      <c r="L129" s="33" t="s">
        <v>56</v>
      </c>
      <c r="M129" s="33" t="s">
        <v>56</v>
      </c>
      <c r="N129" s="33" t="s">
        <v>56</v>
      </c>
      <c r="O129" s="29" t="s">
        <v>56</v>
      </c>
    </row>
    <row r="130" spans="1:15" ht="14.25" customHeight="1" x14ac:dyDescent="0.25">
      <c r="A130" s="11" t="s">
        <v>104</v>
      </c>
      <c r="B130" s="12">
        <f t="shared" ref="B130" si="40">SUM(B131)</f>
        <v>0</v>
      </c>
      <c r="C130" s="12">
        <f t="shared" ref="C130" si="41">SUM(C131)</f>
        <v>0</v>
      </c>
      <c r="D130" s="12">
        <f t="shared" ref="D130" si="42">SUM(D131)</f>
        <v>0</v>
      </c>
      <c r="E130" s="12">
        <f t="shared" ref="E130" si="43">SUM(E131)</f>
        <v>0</v>
      </c>
      <c r="F130" s="12">
        <f t="shared" ref="F130" si="44">SUM(F131)</f>
        <v>0</v>
      </c>
      <c r="G130" s="38">
        <f t="shared" ref="G130" si="45">SUM(G131)</f>
        <v>0</v>
      </c>
      <c r="H130" s="38">
        <f t="shared" ref="H130" si="46">SUM(H131)</f>
        <v>0</v>
      </c>
      <c r="I130" s="38">
        <f t="shared" ref="I130" si="47">SUM(I131)</f>
        <v>0</v>
      </c>
      <c r="J130" s="38">
        <f>SUM(J131)</f>
        <v>0</v>
      </c>
      <c r="K130" s="38">
        <f t="shared" ref="K130:O130" si="48">SUM(K131)</f>
        <v>0</v>
      </c>
      <c r="L130" s="38">
        <f t="shared" si="48"/>
        <v>0</v>
      </c>
      <c r="M130" s="38">
        <f t="shared" si="48"/>
        <v>0</v>
      </c>
      <c r="N130" s="38">
        <f t="shared" si="48"/>
        <v>0</v>
      </c>
      <c r="O130" s="28">
        <f t="shared" si="48"/>
        <v>0</v>
      </c>
    </row>
    <row r="131" spans="1:15" ht="14.25" customHeight="1" x14ac:dyDescent="0.25">
      <c r="A131" s="14" t="s">
        <v>105</v>
      </c>
      <c r="B131" s="20">
        <f t="shared" ref="B131" si="49">SUM(B132)</f>
        <v>0</v>
      </c>
      <c r="C131" s="20">
        <f t="shared" ref="C131" si="50">SUM(C132)</f>
        <v>0</v>
      </c>
      <c r="D131" s="20">
        <f t="shared" ref="D131" si="51">SUM(D132)</f>
        <v>0</v>
      </c>
      <c r="E131" s="20">
        <f t="shared" ref="E131" si="52">SUM(E132)</f>
        <v>0</v>
      </c>
      <c r="F131" s="20">
        <f t="shared" ref="F131" si="53">SUM(F132)</f>
        <v>0</v>
      </c>
      <c r="G131" s="33">
        <f t="shared" ref="G131" si="54">SUM(G132)</f>
        <v>0</v>
      </c>
      <c r="H131" s="33">
        <f t="shared" ref="H131" si="55">SUM(H132)</f>
        <v>0</v>
      </c>
      <c r="I131" s="33">
        <f t="shared" ref="I131" si="56">SUM(I132)</f>
        <v>0</v>
      </c>
      <c r="J131" s="33" t="s">
        <v>56</v>
      </c>
      <c r="K131" s="33" t="s">
        <v>56</v>
      </c>
      <c r="L131" s="33" t="s">
        <v>56</v>
      </c>
      <c r="M131" s="33" t="s">
        <v>56</v>
      </c>
      <c r="N131" s="33" t="s">
        <v>56</v>
      </c>
      <c r="O131" s="29" t="s">
        <v>56</v>
      </c>
    </row>
    <row r="132" spans="1:15" ht="14.25" customHeight="1" x14ac:dyDescent="0.25">
      <c r="A132" s="14"/>
      <c r="B132" s="20"/>
      <c r="C132" s="20"/>
      <c r="D132" s="20"/>
      <c r="E132" s="20"/>
      <c r="F132" s="20"/>
      <c r="G132" s="33"/>
      <c r="H132" s="33"/>
      <c r="I132" s="33"/>
      <c r="J132" s="33"/>
      <c r="K132" s="33"/>
      <c r="L132" s="33"/>
      <c r="M132" s="33"/>
      <c r="N132" s="33"/>
      <c r="O132" s="29"/>
    </row>
    <row r="133" spans="1:15" ht="14.25" customHeight="1" x14ac:dyDescent="0.25">
      <c r="A133" s="17" t="s">
        <v>106</v>
      </c>
      <c r="B133" s="20"/>
      <c r="C133" s="20"/>
      <c r="D133" s="20"/>
      <c r="E133" s="20"/>
      <c r="F133" s="20"/>
      <c r="G133" s="38">
        <f t="shared" ref="G133:O133" si="57">SUM(G134)</f>
        <v>0</v>
      </c>
      <c r="H133" s="38">
        <f t="shared" si="57"/>
        <v>0</v>
      </c>
      <c r="I133" s="38">
        <f t="shared" si="57"/>
        <v>0</v>
      </c>
      <c r="J133" s="38">
        <f t="shared" si="57"/>
        <v>0</v>
      </c>
      <c r="K133" s="38">
        <f t="shared" si="57"/>
        <v>0</v>
      </c>
      <c r="L133" s="38">
        <f t="shared" si="57"/>
        <v>0</v>
      </c>
      <c r="M133" s="38">
        <f t="shared" si="57"/>
        <v>0</v>
      </c>
      <c r="N133" s="38">
        <f t="shared" si="57"/>
        <v>0</v>
      </c>
      <c r="O133" s="28">
        <f t="shared" si="57"/>
        <v>0</v>
      </c>
    </row>
    <row r="134" spans="1:15" ht="14.25" customHeight="1" x14ac:dyDescent="0.25">
      <c r="A134" s="14" t="s">
        <v>107</v>
      </c>
      <c r="B134" s="20"/>
      <c r="C134" s="20"/>
      <c r="D134" s="20"/>
      <c r="E134" s="20"/>
      <c r="F134" s="20"/>
      <c r="G134" s="33" t="s">
        <v>56</v>
      </c>
      <c r="H134" s="33" t="s">
        <v>56</v>
      </c>
      <c r="I134" s="33" t="s">
        <v>56</v>
      </c>
      <c r="J134" s="33" t="s">
        <v>56</v>
      </c>
      <c r="K134" s="33" t="s">
        <v>56</v>
      </c>
      <c r="L134" s="33" t="s">
        <v>56</v>
      </c>
      <c r="M134" s="33" t="s">
        <v>56</v>
      </c>
      <c r="N134" s="33" t="s">
        <v>56</v>
      </c>
      <c r="O134" s="29" t="s">
        <v>56</v>
      </c>
    </row>
    <row r="135" spans="1:15" ht="14.25" customHeight="1" x14ac:dyDescent="0.25">
      <c r="A135" s="14"/>
      <c r="B135" s="20"/>
      <c r="C135" s="20"/>
      <c r="D135" s="20"/>
      <c r="E135" s="20"/>
      <c r="F135" s="20"/>
      <c r="G135" s="33"/>
      <c r="H135" s="33"/>
      <c r="I135" s="33"/>
      <c r="J135" s="33"/>
      <c r="K135" s="33" t="s">
        <v>56</v>
      </c>
      <c r="L135" s="33" t="s">
        <v>56</v>
      </c>
      <c r="M135" s="33" t="s">
        <v>56</v>
      </c>
      <c r="N135" s="33" t="s">
        <v>56</v>
      </c>
      <c r="O135" s="29" t="s">
        <v>56</v>
      </c>
    </row>
    <row r="136" spans="1:15" ht="14.25" customHeight="1" x14ac:dyDescent="0.25">
      <c r="A136" s="11" t="s">
        <v>75</v>
      </c>
      <c r="B136" s="12">
        <f t="shared" ref="B136:O136" si="58">SUM(B137:B141)</f>
        <v>495.79999999999995</v>
      </c>
      <c r="C136" s="12">
        <f t="shared" si="58"/>
        <v>423.70812199999995</v>
      </c>
      <c r="D136" s="12">
        <f t="shared" si="58"/>
        <v>371.1</v>
      </c>
      <c r="E136" s="39">
        <f t="shared" si="58"/>
        <v>0</v>
      </c>
      <c r="F136" s="39">
        <f t="shared" si="58"/>
        <v>0</v>
      </c>
      <c r="G136" s="40">
        <f t="shared" si="58"/>
        <v>0</v>
      </c>
      <c r="H136" s="40">
        <f t="shared" si="58"/>
        <v>0</v>
      </c>
      <c r="I136" s="40">
        <f t="shared" si="58"/>
        <v>0</v>
      </c>
      <c r="J136" s="40">
        <f t="shared" si="58"/>
        <v>0</v>
      </c>
      <c r="K136" s="40">
        <f t="shared" si="58"/>
        <v>0</v>
      </c>
      <c r="L136" s="40">
        <f t="shared" si="58"/>
        <v>0</v>
      </c>
      <c r="M136" s="40">
        <f t="shared" si="58"/>
        <v>179.23531000000003</v>
      </c>
      <c r="N136" s="40">
        <f t="shared" si="58"/>
        <v>455.21915300000001</v>
      </c>
      <c r="O136" s="31">
        <f t="shared" si="58"/>
        <v>63.735432000000003</v>
      </c>
    </row>
    <row r="137" spans="1:15" ht="14.25" customHeight="1" x14ac:dyDescent="0.25">
      <c r="A137" s="14" t="s">
        <v>118</v>
      </c>
      <c r="B137" s="20">
        <v>40.799999999999997</v>
      </c>
      <c r="C137" s="20">
        <v>14.9</v>
      </c>
      <c r="D137" s="20">
        <v>12.6</v>
      </c>
      <c r="E137" s="20" t="s">
        <v>56</v>
      </c>
      <c r="F137" s="20" t="s">
        <v>56</v>
      </c>
      <c r="G137" s="33" t="s">
        <v>56</v>
      </c>
      <c r="H137" s="33" t="s">
        <v>56</v>
      </c>
      <c r="I137" s="33" t="s">
        <v>56</v>
      </c>
      <c r="J137" s="33" t="s">
        <v>56</v>
      </c>
      <c r="K137" s="33">
        <v>0</v>
      </c>
      <c r="L137" s="33">
        <v>0</v>
      </c>
      <c r="M137" s="33">
        <v>34.081209999999999</v>
      </c>
      <c r="N137" s="33">
        <v>143.195153</v>
      </c>
      <c r="O137" s="29">
        <v>54.735432000000003</v>
      </c>
    </row>
    <row r="138" spans="1:15" ht="14.25" customHeight="1" x14ac:dyDescent="0.25">
      <c r="A138" s="14" t="s">
        <v>119</v>
      </c>
      <c r="B138" s="20">
        <v>437.7</v>
      </c>
      <c r="C138" s="20">
        <v>380.8</v>
      </c>
      <c r="D138" s="20">
        <v>358.5</v>
      </c>
      <c r="E138" s="20" t="s">
        <v>56</v>
      </c>
      <c r="F138" s="20" t="s">
        <v>56</v>
      </c>
      <c r="G138" s="33" t="s">
        <v>56</v>
      </c>
      <c r="H138" s="33" t="s">
        <v>56</v>
      </c>
      <c r="I138" s="33" t="s">
        <v>56</v>
      </c>
      <c r="J138" s="33" t="s">
        <v>56</v>
      </c>
      <c r="K138" s="33">
        <v>0</v>
      </c>
      <c r="L138" s="33">
        <v>0</v>
      </c>
      <c r="M138" s="33">
        <v>45</v>
      </c>
      <c r="N138" s="33">
        <v>201</v>
      </c>
      <c r="O138" s="29">
        <v>9</v>
      </c>
    </row>
    <row r="139" spans="1:15" ht="14.25" customHeight="1" x14ac:dyDescent="0.25">
      <c r="A139" s="14" t="s">
        <v>120</v>
      </c>
      <c r="B139" s="20">
        <v>15.4</v>
      </c>
      <c r="C139" s="20">
        <v>8.1081219999999998</v>
      </c>
      <c r="D139" s="20" t="s">
        <v>56</v>
      </c>
      <c r="E139" s="20" t="s">
        <v>56</v>
      </c>
      <c r="F139" s="20" t="s">
        <v>56</v>
      </c>
      <c r="G139" s="33" t="s">
        <v>56</v>
      </c>
      <c r="H139" s="33" t="s">
        <v>56</v>
      </c>
      <c r="I139" s="33" t="s">
        <v>56</v>
      </c>
      <c r="J139" s="33" t="s">
        <v>56</v>
      </c>
      <c r="K139" s="33">
        <v>0</v>
      </c>
      <c r="L139" s="33">
        <v>0</v>
      </c>
      <c r="M139" s="33">
        <v>26.138100000000001</v>
      </c>
      <c r="N139" s="33">
        <v>0</v>
      </c>
      <c r="O139" s="29">
        <v>0</v>
      </c>
    </row>
    <row r="140" spans="1:15" ht="14.25" customHeight="1" x14ac:dyDescent="0.25">
      <c r="A140" s="14" t="s">
        <v>121</v>
      </c>
      <c r="B140" s="20" t="s">
        <v>56</v>
      </c>
      <c r="C140" s="20">
        <v>19.899999999999999</v>
      </c>
      <c r="D140" s="20" t="s">
        <v>56</v>
      </c>
      <c r="E140" s="20" t="s">
        <v>56</v>
      </c>
      <c r="F140" s="20" t="s">
        <v>56</v>
      </c>
      <c r="G140" s="33" t="s">
        <v>56</v>
      </c>
      <c r="H140" s="33" t="s">
        <v>56</v>
      </c>
      <c r="I140" s="33" t="s">
        <v>56</v>
      </c>
      <c r="J140" s="33" t="s">
        <v>56</v>
      </c>
      <c r="K140" s="33">
        <v>0</v>
      </c>
      <c r="L140" s="33">
        <v>0</v>
      </c>
      <c r="M140" s="33">
        <v>74.016000000000005</v>
      </c>
      <c r="N140" s="33">
        <v>111.024</v>
      </c>
      <c r="O140" s="29">
        <v>0</v>
      </c>
    </row>
    <row r="141" spans="1:15" ht="14.25" customHeight="1" x14ac:dyDescent="0.25">
      <c r="A141" s="14"/>
      <c r="B141" s="20">
        <v>1.9</v>
      </c>
      <c r="C141" s="20" t="s">
        <v>56</v>
      </c>
      <c r="D141" s="20" t="s">
        <v>56</v>
      </c>
      <c r="E141" s="20" t="s">
        <v>56</v>
      </c>
      <c r="F141" s="20" t="s">
        <v>56</v>
      </c>
      <c r="G141" s="33"/>
      <c r="H141" s="33"/>
      <c r="I141" s="33"/>
      <c r="J141" s="33"/>
      <c r="K141" s="33"/>
      <c r="L141" s="33"/>
      <c r="M141" s="33"/>
      <c r="N141" s="33"/>
      <c r="O141" s="29"/>
    </row>
    <row r="142" spans="1:15" ht="13.5" customHeight="1" x14ac:dyDescent="0.25">
      <c r="A142" s="14"/>
      <c r="B142" s="20"/>
      <c r="C142" s="20"/>
      <c r="D142" s="20"/>
      <c r="E142" s="20"/>
      <c r="F142" s="20"/>
      <c r="G142" s="33"/>
      <c r="H142" s="33"/>
      <c r="I142" s="33"/>
      <c r="J142" s="33"/>
      <c r="K142" s="33"/>
      <c r="L142" s="33"/>
      <c r="M142" s="33"/>
      <c r="N142" s="33"/>
      <c r="O142" s="29"/>
    </row>
    <row r="143" spans="1:15" ht="14.25" customHeight="1" thickBot="1" x14ac:dyDescent="0.3">
      <c r="A143" s="18" t="s">
        <v>3</v>
      </c>
      <c r="B143" s="19"/>
      <c r="C143" s="19"/>
      <c r="D143" s="19"/>
      <c r="E143" s="19"/>
      <c r="F143" s="19"/>
      <c r="G143" s="32"/>
      <c r="H143" s="32"/>
      <c r="I143" s="32"/>
      <c r="J143" s="32"/>
      <c r="K143" s="32"/>
      <c r="L143" s="32"/>
      <c r="M143" s="32"/>
      <c r="N143" s="32"/>
      <c r="O143" s="32"/>
    </row>
    <row r="144" spans="1:15" ht="14.25" customHeight="1" x14ac:dyDescent="0.25">
      <c r="A144" s="14" t="s">
        <v>77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33">
        <v>0</v>
      </c>
      <c r="H144" s="33" t="s">
        <v>56</v>
      </c>
      <c r="I144" s="33" t="s">
        <v>56</v>
      </c>
      <c r="J144" s="33" t="s">
        <v>56</v>
      </c>
      <c r="K144" s="33" t="s">
        <v>56</v>
      </c>
      <c r="L144" s="33" t="s">
        <v>56</v>
      </c>
      <c r="M144" s="33" t="s">
        <v>56</v>
      </c>
      <c r="N144" s="33" t="s">
        <v>56</v>
      </c>
      <c r="O144" s="29" t="s">
        <v>56</v>
      </c>
    </row>
    <row r="145" spans="1:15" ht="14.25" customHeight="1" x14ac:dyDescent="0.25">
      <c r="A145" s="21" t="s">
        <v>76</v>
      </c>
      <c r="B145" s="22">
        <v>437.7</v>
      </c>
      <c r="C145" s="22">
        <v>380.8</v>
      </c>
      <c r="D145" s="22">
        <v>358.5</v>
      </c>
      <c r="E145" s="22">
        <v>92.003429999999994</v>
      </c>
      <c r="F145" s="22">
        <v>363.346474</v>
      </c>
      <c r="G145" s="34">
        <v>0</v>
      </c>
      <c r="H145" s="34" t="s">
        <v>56</v>
      </c>
      <c r="I145" s="34" t="s">
        <v>56</v>
      </c>
      <c r="J145" s="34" t="s">
        <v>56</v>
      </c>
      <c r="K145" s="34" t="s">
        <v>56</v>
      </c>
      <c r="L145" s="34" t="s">
        <v>56</v>
      </c>
      <c r="M145" s="34" t="s">
        <v>56</v>
      </c>
      <c r="N145" s="34" t="s">
        <v>56</v>
      </c>
      <c r="O145" s="34" t="s">
        <v>56</v>
      </c>
    </row>
    <row r="146" spans="1:15" x14ac:dyDescent="0.25">
      <c r="A146" s="2" t="s">
        <v>78</v>
      </c>
      <c r="B146" s="23"/>
      <c r="C146" s="23"/>
      <c r="D146" s="23"/>
      <c r="E146" s="23"/>
      <c r="F146" s="23"/>
      <c r="G146" s="20"/>
      <c r="H146" s="20"/>
      <c r="I146" s="20"/>
      <c r="J146" s="20"/>
      <c r="K146" s="20"/>
      <c r="L146" s="20"/>
      <c r="M146" s="20"/>
      <c r="N146" s="8"/>
    </row>
    <row r="147" spans="1:15" x14ac:dyDescent="0.25">
      <c r="A147" s="41"/>
      <c r="B147" s="23"/>
      <c r="C147" s="23"/>
      <c r="D147" s="23"/>
      <c r="E147" s="23"/>
      <c r="F147" s="23"/>
      <c r="G147" s="20"/>
      <c r="H147" s="20"/>
      <c r="I147" s="20"/>
      <c r="J147" s="20"/>
      <c r="K147" s="20"/>
      <c r="L147" s="20"/>
      <c r="M147" s="20"/>
      <c r="N147" s="8"/>
    </row>
    <row r="148" spans="1:15" x14ac:dyDescent="0.25">
      <c r="A148" s="42"/>
      <c r="B148" s="23"/>
      <c r="C148" s="23"/>
      <c r="D148" s="23"/>
      <c r="E148" s="23"/>
      <c r="F148" s="23"/>
      <c r="G148" s="20"/>
      <c r="H148" s="20"/>
      <c r="I148" s="20"/>
      <c r="J148" s="20"/>
      <c r="K148" s="20"/>
      <c r="L148" s="20"/>
      <c r="M148" s="20"/>
      <c r="N148" s="8"/>
    </row>
    <row r="149" spans="1:15" x14ac:dyDescent="0.25">
      <c r="A149" s="42"/>
      <c r="B149" s="23"/>
      <c r="C149" s="23"/>
      <c r="D149" s="23"/>
      <c r="E149" s="23"/>
      <c r="F149" s="23"/>
      <c r="G149" s="20"/>
      <c r="H149" s="20"/>
      <c r="I149" s="20"/>
      <c r="J149" s="20"/>
      <c r="K149" s="20"/>
      <c r="L149" s="20"/>
      <c r="M149" s="20"/>
      <c r="N149" s="8"/>
    </row>
    <row r="150" spans="1:15" x14ac:dyDescent="0.25">
      <c r="A150" s="42"/>
      <c r="B150" s="23"/>
      <c r="C150" s="23"/>
      <c r="D150" s="23"/>
      <c r="E150" s="23"/>
      <c r="F150" s="23"/>
      <c r="G150" s="20"/>
      <c r="H150" s="20"/>
      <c r="I150" s="20"/>
      <c r="J150" s="20"/>
      <c r="K150" s="20"/>
      <c r="L150" s="20"/>
      <c r="M150" s="20"/>
      <c r="N150" s="8"/>
    </row>
    <row r="151" spans="1:15" x14ac:dyDescent="0.25">
      <c r="A151" s="41"/>
      <c r="B151" s="23"/>
      <c r="C151" s="23"/>
      <c r="D151" s="23"/>
      <c r="E151" s="23"/>
      <c r="F151" s="23"/>
      <c r="G151" s="23"/>
      <c r="H151" s="20"/>
      <c r="I151" s="20"/>
      <c r="J151" s="20"/>
      <c r="K151" s="20"/>
      <c r="L151" s="20"/>
      <c r="M151" s="20"/>
      <c r="N151" s="8"/>
    </row>
    <row r="152" spans="1:15" x14ac:dyDescent="0.25">
      <c r="A152" s="42"/>
      <c r="B152" s="23"/>
      <c r="C152" s="23"/>
      <c r="D152" s="23"/>
      <c r="E152" s="23"/>
      <c r="F152" s="23"/>
      <c r="G152" s="23"/>
      <c r="H152" s="20"/>
      <c r="I152" s="20"/>
      <c r="J152" s="20"/>
      <c r="K152" s="20"/>
      <c r="L152" s="20"/>
      <c r="M152" s="20"/>
      <c r="N152" s="8"/>
    </row>
    <row r="153" spans="1:15" x14ac:dyDescent="0.25">
      <c r="A153" s="41"/>
      <c r="B153" s="23"/>
      <c r="C153" s="23"/>
      <c r="D153" s="23"/>
      <c r="E153" s="23"/>
      <c r="F153" s="23"/>
      <c r="G153" s="23"/>
      <c r="H153" s="20"/>
      <c r="I153" s="20"/>
      <c r="J153" s="20"/>
      <c r="K153" s="20"/>
      <c r="L153" s="20"/>
      <c r="M153" s="20"/>
      <c r="N153" s="8"/>
    </row>
    <row r="154" spans="1:15" x14ac:dyDescent="0.25">
      <c r="A154" s="41"/>
      <c r="B154" s="23"/>
      <c r="C154" s="23"/>
      <c r="D154" s="23"/>
      <c r="E154" s="23"/>
      <c r="F154" s="23"/>
      <c r="G154" s="23"/>
      <c r="H154" s="20"/>
      <c r="I154" s="20"/>
      <c r="J154" s="20"/>
      <c r="K154" s="20"/>
      <c r="L154" s="20"/>
      <c r="M154" s="20"/>
      <c r="N154" s="8"/>
    </row>
    <row r="155" spans="1:15" x14ac:dyDescent="0.25">
      <c r="A155" s="41"/>
      <c r="B155" s="23"/>
      <c r="C155" s="23"/>
      <c r="D155" s="23"/>
      <c r="E155" s="23"/>
      <c r="F155" s="23"/>
      <c r="G155" s="23"/>
      <c r="H155" s="20"/>
      <c r="I155" s="20"/>
      <c r="J155" s="20"/>
      <c r="K155" s="20"/>
      <c r="L155" s="20"/>
      <c r="M155" s="20"/>
      <c r="N155" s="8"/>
    </row>
    <row r="156" spans="1:15" x14ac:dyDescent="0.25">
      <c r="A156" s="41"/>
      <c r="B156" s="23"/>
      <c r="C156" s="23"/>
      <c r="D156" s="23"/>
      <c r="E156" s="23"/>
      <c r="F156" s="23"/>
      <c r="G156" s="23"/>
      <c r="H156" s="20"/>
      <c r="I156" s="20"/>
      <c r="J156" s="20"/>
      <c r="K156" s="20"/>
      <c r="L156" s="20"/>
      <c r="M156" s="20"/>
      <c r="N156" s="8"/>
    </row>
    <row r="157" spans="1:15" x14ac:dyDescent="0.25">
      <c r="A157" s="41"/>
      <c r="B157" s="23"/>
      <c r="C157" s="23"/>
      <c r="D157" s="23"/>
      <c r="E157" s="23"/>
      <c r="F157" s="23"/>
      <c r="G157" s="23"/>
      <c r="H157" s="20"/>
      <c r="I157" s="20"/>
      <c r="J157" s="20"/>
      <c r="K157" s="20"/>
      <c r="L157" s="20"/>
      <c r="M157" s="20"/>
      <c r="N157" s="8"/>
    </row>
    <row r="158" spans="1:15" x14ac:dyDescent="0.25">
      <c r="A158" s="41"/>
      <c r="B158" s="23"/>
      <c r="C158" s="23"/>
      <c r="D158" s="23"/>
      <c r="E158" s="23"/>
      <c r="F158" s="23"/>
      <c r="G158" s="23"/>
      <c r="H158" s="20"/>
      <c r="I158" s="20"/>
      <c r="J158" s="20"/>
      <c r="K158" s="20"/>
      <c r="L158" s="20"/>
      <c r="M158" s="20"/>
      <c r="N158" s="8"/>
    </row>
    <row r="159" spans="1:15" x14ac:dyDescent="0.25">
      <c r="A159" s="41"/>
      <c r="B159" s="23"/>
      <c r="C159" s="23"/>
      <c r="D159" s="23"/>
      <c r="E159" s="23"/>
      <c r="F159" s="23"/>
      <c r="G159" s="23"/>
      <c r="H159" s="20"/>
      <c r="I159" s="20"/>
      <c r="J159" s="20"/>
      <c r="K159" s="20"/>
      <c r="L159" s="20"/>
      <c r="M159" s="20"/>
      <c r="N159" s="8"/>
    </row>
    <row r="160" spans="1:15" x14ac:dyDescent="0.25">
      <c r="A160" s="41"/>
      <c r="B160" s="23"/>
      <c r="C160" s="23"/>
      <c r="D160" s="23"/>
      <c r="E160" s="23"/>
      <c r="F160" s="23"/>
      <c r="G160" s="23"/>
      <c r="H160" s="20"/>
      <c r="I160" s="20"/>
      <c r="J160" s="20"/>
      <c r="K160" s="20"/>
      <c r="L160" s="20"/>
      <c r="M160" s="20"/>
      <c r="N160" s="8"/>
    </row>
    <row r="161" spans="1:14" x14ac:dyDescent="0.25">
      <c r="A161" s="41"/>
      <c r="B161" s="23"/>
      <c r="C161" s="23"/>
      <c r="D161" s="23"/>
      <c r="E161" s="23"/>
      <c r="F161" s="23"/>
      <c r="G161" s="23"/>
      <c r="H161" s="20"/>
      <c r="I161" s="20"/>
      <c r="J161" s="20"/>
      <c r="K161" s="20"/>
      <c r="L161" s="20"/>
      <c r="M161" s="20"/>
      <c r="N161" s="8"/>
    </row>
    <row r="162" spans="1:14" x14ac:dyDescent="0.25">
      <c r="A162" s="41"/>
      <c r="B162" s="23"/>
      <c r="C162" s="23"/>
      <c r="D162" s="23"/>
      <c r="E162" s="23"/>
      <c r="F162" s="23"/>
      <c r="G162" s="23"/>
      <c r="H162" s="20"/>
      <c r="I162" s="20"/>
      <c r="J162" s="20"/>
      <c r="K162" s="20"/>
      <c r="L162" s="20"/>
      <c r="M162" s="20"/>
      <c r="N162" s="8"/>
    </row>
    <row r="163" spans="1:14" x14ac:dyDescent="0.25">
      <c r="A163" s="41"/>
      <c r="B163" s="23"/>
      <c r="C163" s="23"/>
      <c r="D163" s="23"/>
      <c r="E163" s="23"/>
      <c r="F163" s="23"/>
      <c r="G163" s="23"/>
      <c r="H163" s="20"/>
      <c r="I163" s="20"/>
      <c r="J163" s="20"/>
      <c r="K163" s="20"/>
      <c r="L163" s="20"/>
      <c r="M163" s="20"/>
      <c r="N163" s="8"/>
    </row>
    <row r="164" spans="1:14" x14ac:dyDescent="0.25">
      <c r="A164" s="41"/>
      <c r="B164" s="23"/>
      <c r="C164" s="23"/>
      <c r="D164" s="23"/>
      <c r="E164" s="23"/>
      <c r="F164" s="23"/>
      <c r="G164" s="23"/>
      <c r="H164" s="20"/>
      <c r="I164" s="20"/>
      <c r="J164" s="20"/>
      <c r="K164" s="20"/>
      <c r="L164" s="20"/>
      <c r="M164" s="20"/>
      <c r="N164" s="8"/>
    </row>
    <row r="165" spans="1:14" x14ac:dyDescent="0.25">
      <c r="A165" s="41"/>
      <c r="B165" s="23"/>
      <c r="C165" s="23"/>
      <c r="D165" s="23"/>
      <c r="E165" s="23"/>
      <c r="F165" s="23"/>
      <c r="G165" s="23"/>
      <c r="H165" s="20"/>
      <c r="I165" s="20"/>
      <c r="J165" s="20"/>
      <c r="K165" s="20"/>
      <c r="L165" s="20"/>
      <c r="M165" s="20"/>
      <c r="N165" s="8"/>
    </row>
    <row r="166" spans="1:14" x14ac:dyDescent="0.25">
      <c r="A166" s="41"/>
      <c r="B166" s="23"/>
      <c r="C166" s="23"/>
      <c r="D166" s="23"/>
      <c r="E166" s="23"/>
      <c r="F166" s="23"/>
      <c r="G166" s="23"/>
      <c r="H166" s="20"/>
      <c r="I166" s="20"/>
      <c r="J166" s="20"/>
      <c r="K166" s="20"/>
      <c r="L166" s="20"/>
      <c r="M166" s="20"/>
      <c r="N166" s="8"/>
    </row>
    <row r="167" spans="1:14" x14ac:dyDescent="0.25">
      <c r="A167" s="41"/>
      <c r="B167" s="23"/>
      <c r="C167" s="23"/>
      <c r="D167" s="23"/>
      <c r="E167" s="23"/>
      <c r="F167" s="23"/>
      <c r="G167" s="23"/>
      <c r="H167" s="20"/>
      <c r="I167" s="20"/>
      <c r="J167" s="20"/>
      <c r="K167" s="20"/>
      <c r="L167" s="20"/>
      <c r="M167" s="20"/>
      <c r="N167" s="8"/>
    </row>
    <row r="168" spans="1:14" x14ac:dyDescent="0.25">
      <c r="A168" s="41"/>
      <c r="B168" s="23"/>
      <c r="C168" s="23"/>
      <c r="D168" s="23"/>
      <c r="E168" s="23"/>
      <c r="F168" s="23"/>
      <c r="G168" s="23"/>
      <c r="H168" s="20"/>
      <c r="I168" s="20"/>
      <c r="J168" s="20"/>
      <c r="K168" s="20"/>
      <c r="L168" s="20"/>
      <c r="M168" s="20"/>
      <c r="N168" s="8"/>
    </row>
    <row r="169" spans="1:14" x14ac:dyDescent="0.25">
      <c r="A169" s="41"/>
      <c r="B169" s="23"/>
      <c r="C169" s="23"/>
      <c r="D169" s="23"/>
      <c r="E169" s="23"/>
      <c r="F169" s="23"/>
      <c r="G169" s="23"/>
      <c r="H169" s="20"/>
      <c r="I169" s="20"/>
      <c r="J169" s="20"/>
      <c r="K169" s="20"/>
      <c r="L169" s="20"/>
      <c r="M169" s="20"/>
      <c r="N169" s="8"/>
    </row>
    <row r="170" spans="1:14" x14ac:dyDescent="0.25">
      <c r="A170" s="41"/>
      <c r="B170" s="23"/>
      <c r="C170" s="23"/>
      <c r="D170" s="23"/>
      <c r="E170" s="23"/>
      <c r="F170" s="23"/>
      <c r="G170" s="23"/>
      <c r="H170" s="20"/>
      <c r="I170" s="20"/>
      <c r="J170" s="20"/>
      <c r="K170" s="20"/>
      <c r="L170" s="20"/>
      <c r="M170" s="20"/>
      <c r="N170" s="8"/>
    </row>
    <row r="171" spans="1:14" x14ac:dyDescent="0.25">
      <c r="A171" s="41"/>
      <c r="B171" s="23"/>
      <c r="C171" s="23"/>
      <c r="D171" s="23"/>
      <c r="E171" s="23"/>
      <c r="F171" s="23"/>
      <c r="G171" s="23"/>
      <c r="H171" s="20"/>
      <c r="I171" s="20"/>
      <c r="J171" s="20"/>
      <c r="K171" s="20"/>
      <c r="L171" s="20"/>
      <c r="M171" s="20"/>
      <c r="N171" s="8"/>
    </row>
    <row r="172" spans="1:14" x14ac:dyDescent="0.25">
      <c r="A172" s="41"/>
      <c r="B172" s="23"/>
      <c r="C172" s="23"/>
      <c r="D172" s="23"/>
      <c r="E172" s="23"/>
      <c r="F172" s="23"/>
      <c r="G172" s="23"/>
      <c r="H172" s="20"/>
      <c r="I172" s="20"/>
      <c r="J172" s="20"/>
      <c r="K172" s="20"/>
      <c r="L172" s="20"/>
      <c r="M172" s="20"/>
      <c r="N172" s="8"/>
    </row>
    <row r="173" spans="1:14" x14ac:dyDescent="0.25">
      <c r="A173" s="41"/>
      <c r="B173" s="23"/>
      <c r="C173" s="23"/>
      <c r="D173" s="23"/>
      <c r="E173" s="23"/>
      <c r="F173" s="23"/>
      <c r="G173" s="23"/>
      <c r="H173" s="20"/>
      <c r="I173" s="20"/>
      <c r="J173" s="20"/>
      <c r="K173" s="20"/>
      <c r="L173" s="20"/>
      <c r="M173" s="20"/>
      <c r="N173" s="8"/>
    </row>
    <row r="174" spans="1:14" x14ac:dyDescent="0.25">
      <c r="A174" s="41"/>
      <c r="B174" s="23"/>
      <c r="C174" s="23"/>
      <c r="D174" s="23"/>
      <c r="E174" s="23"/>
      <c r="F174" s="23"/>
      <c r="G174" s="23"/>
      <c r="H174" s="20"/>
      <c r="I174" s="20"/>
      <c r="J174" s="20"/>
      <c r="K174" s="20"/>
      <c r="L174" s="20"/>
      <c r="M174" s="20"/>
      <c r="N174" s="8"/>
    </row>
    <row r="175" spans="1:14" x14ac:dyDescent="0.25">
      <c r="A175" s="41"/>
      <c r="B175" s="23"/>
      <c r="C175" s="23"/>
      <c r="D175" s="23"/>
      <c r="E175" s="23"/>
      <c r="F175" s="23"/>
      <c r="G175" s="23"/>
      <c r="H175" s="20"/>
      <c r="I175" s="20"/>
      <c r="J175" s="20"/>
      <c r="K175" s="20"/>
      <c r="L175" s="20"/>
      <c r="M175" s="20"/>
      <c r="N175" s="8"/>
    </row>
    <row r="176" spans="1:14" x14ac:dyDescent="0.25">
      <c r="A176" s="41"/>
      <c r="B176" s="23"/>
      <c r="C176" s="23"/>
      <c r="D176" s="23"/>
      <c r="E176" s="23"/>
      <c r="F176" s="23"/>
      <c r="G176" s="23"/>
      <c r="H176" s="20"/>
      <c r="I176" s="20"/>
      <c r="J176" s="20"/>
      <c r="K176" s="20"/>
      <c r="L176" s="20"/>
      <c r="M176" s="20"/>
      <c r="N176" s="8"/>
    </row>
    <row r="177" spans="1:14" x14ac:dyDescent="0.25">
      <c r="A177" s="41"/>
      <c r="B177" s="23"/>
      <c r="C177" s="23"/>
      <c r="D177" s="23"/>
      <c r="E177" s="23"/>
      <c r="F177" s="23"/>
      <c r="G177" s="23"/>
      <c r="H177" s="20"/>
      <c r="I177" s="20"/>
      <c r="J177" s="20"/>
      <c r="K177" s="20"/>
      <c r="L177" s="20"/>
      <c r="M177" s="20"/>
      <c r="N177" s="8"/>
    </row>
    <row r="178" spans="1:14" x14ac:dyDescent="0.25">
      <c r="A178" s="41"/>
      <c r="B178" s="23"/>
      <c r="C178" s="23"/>
      <c r="D178" s="23"/>
      <c r="E178" s="23"/>
      <c r="F178" s="23"/>
      <c r="G178" s="23"/>
      <c r="H178" s="20"/>
      <c r="I178" s="20"/>
      <c r="J178" s="20"/>
      <c r="K178" s="20"/>
      <c r="L178" s="20"/>
      <c r="M178" s="20"/>
      <c r="N178" s="8"/>
    </row>
    <row r="179" spans="1:14" x14ac:dyDescent="0.25">
      <c r="A179" s="41"/>
      <c r="B179" s="23"/>
      <c r="C179" s="23"/>
      <c r="D179" s="23"/>
      <c r="E179" s="23"/>
      <c r="F179" s="23"/>
      <c r="G179" s="23"/>
      <c r="H179" s="20"/>
      <c r="I179" s="20"/>
      <c r="J179" s="20"/>
      <c r="K179" s="20"/>
      <c r="L179" s="20"/>
      <c r="M179" s="20"/>
      <c r="N179" s="8"/>
    </row>
    <row r="180" spans="1:14" x14ac:dyDescent="0.25">
      <c r="A180" s="41"/>
      <c r="B180" s="23"/>
      <c r="C180" s="23"/>
      <c r="D180" s="23"/>
      <c r="E180" s="23"/>
      <c r="F180" s="23"/>
      <c r="G180" s="23"/>
      <c r="H180" s="20"/>
      <c r="I180" s="20"/>
      <c r="J180" s="20"/>
      <c r="K180" s="20"/>
      <c r="L180" s="20"/>
      <c r="M180" s="20"/>
      <c r="N180" s="8"/>
    </row>
    <row r="181" spans="1:14" x14ac:dyDescent="0.25">
      <c r="A181" s="41"/>
      <c r="B181" s="23"/>
      <c r="C181" s="23"/>
      <c r="D181" s="23"/>
      <c r="E181" s="23"/>
      <c r="F181" s="23"/>
      <c r="G181" s="23"/>
      <c r="H181" s="20"/>
      <c r="I181" s="20"/>
      <c r="J181" s="20"/>
      <c r="K181" s="20"/>
      <c r="L181" s="20"/>
      <c r="M181" s="20"/>
      <c r="N181" s="8"/>
    </row>
    <row r="182" spans="1:14" x14ac:dyDescent="0.25">
      <c r="A182" s="41"/>
      <c r="B182" s="23"/>
      <c r="C182" s="23"/>
      <c r="D182" s="23"/>
      <c r="E182" s="23"/>
      <c r="F182" s="23"/>
      <c r="G182" s="23"/>
      <c r="H182" s="20"/>
      <c r="I182" s="20"/>
      <c r="J182" s="20"/>
      <c r="K182" s="20"/>
      <c r="L182" s="20"/>
      <c r="M182" s="20"/>
      <c r="N182" s="8"/>
    </row>
    <row r="183" spans="1:14" x14ac:dyDescent="0.25">
      <c r="A183" s="41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8"/>
    </row>
    <row r="184" spans="1:14" x14ac:dyDescent="0.25">
      <c r="A184" s="41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8"/>
    </row>
    <row r="185" spans="1:14" x14ac:dyDescent="0.25">
      <c r="A185" s="41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8"/>
    </row>
    <row r="186" spans="1:14" x14ac:dyDescent="0.25">
      <c r="A186" s="41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8"/>
    </row>
    <row r="187" spans="1:14" x14ac:dyDescent="0.25">
      <c r="A187" s="41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8"/>
    </row>
    <row r="188" spans="1:14" x14ac:dyDescent="0.25">
      <c r="A188" s="41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8"/>
    </row>
    <row r="189" spans="1:14" x14ac:dyDescent="0.25">
      <c r="A189" s="41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8"/>
    </row>
    <row r="190" spans="1:14" x14ac:dyDescent="0.25">
      <c r="A190" s="41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8"/>
    </row>
    <row r="191" spans="1:14" x14ac:dyDescent="0.25">
      <c r="A191" s="41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8"/>
    </row>
    <row r="192" spans="1:14" x14ac:dyDescent="0.25">
      <c r="A192" s="41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8"/>
    </row>
    <row r="193" spans="1:14" x14ac:dyDescent="0.25">
      <c r="A193" s="41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8"/>
    </row>
    <row r="194" spans="1:14" x14ac:dyDescent="0.25">
      <c r="A194" s="41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8"/>
    </row>
    <row r="195" spans="1:14" x14ac:dyDescent="0.25">
      <c r="A195" s="41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8"/>
    </row>
    <row r="196" spans="1:14" x14ac:dyDescent="0.25">
      <c r="A196" s="41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8"/>
    </row>
    <row r="197" spans="1:14" x14ac:dyDescent="0.25">
      <c r="A197" s="41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8"/>
    </row>
    <row r="198" spans="1:14" x14ac:dyDescent="0.25">
      <c r="A198" s="41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8"/>
    </row>
    <row r="199" spans="1:14" x14ac:dyDescent="0.25">
      <c r="A199" s="41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8"/>
    </row>
    <row r="200" spans="1:14" x14ac:dyDescent="0.25">
      <c r="A200" s="41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8"/>
    </row>
    <row r="201" spans="1:14" x14ac:dyDescent="0.25">
      <c r="A201" s="41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8"/>
    </row>
    <row r="202" spans="1:14" x14ac:dyDescent="0.25">
      <c r="A202" s="41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8"/>
    </row>
    <row r="203" spans="1:14" x14ac:dyDescent="0.25">
      <c r="A203" s="41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8"/>
    </row>
    <row r="204" spans="1:14" x14ac:dyDescent="0.25">
      <c r="A204" s="41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8"/>
    </row>
    <row r="205" spans="1:14" x14ac:dyDescent="0.25">
      <c r="A205" s="41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8"/>
    </row>
    <row r="206" spans="1:14" x14ac:dyDescent="0.25">
      <c r="A206" s="41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8"/>
    </row>
    <row r="207" spans="1:14" x14ac:dyDescent="0.25">
      <c r="A207" s="41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8"/>
    </row>
    <row r="208" spans="1:14" x14ac:dyDescent="0.25">
      <c r="A208" s="41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8"/>
    </row>
    <row r="209" spans="1:14" x14ac:dyDescent="0.25">
      <c r="A209" s="41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8"/>
    </row>
    <row r="210" spans="1:14" x14ac:dyDescent="0.25">
      <c r="A210" s="41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8"/>
    </row>
    <row r="211" spans="1:14" x14ac:dyDescent="0.25">
      <c r="A211" s="41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8"/>
    </row>
    <row r="212" spans="1:14" x14ac:dyDescent="0.25">
      <c r="A212" s="41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8"/>
    </row>
    <row r="213" spans="1:14" x14ac:dyDescent="0.25">
      <c r="A213" s="41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8"/>
    </row>
    <row r="214" spans="1:14" x14ac:dyDescent="0.25">
      <c r="A214" s="41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8"/>
    </row>
    <row r="215" spans="1:14" x14ac:dyDescent="0.25">
      <c r="A215" s="41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8"/>
    </row>
    <row r="216" spans="1:14" x14ac:dyDescent="0.25">
      <c r="A216" s="41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8"/>
    </row>
    <row r="217" spans="1:14" x14ac:dyDescent="0.25">
      <c r="A217" s="41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8"/>
    </row>
    <row r="218" spans="1:14" x14ac:dyDescent="0.25">
      <c r="A218" s="41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8"/>
    </row>
    <row r="219" spans="1:14" x14ac:dyDescent="0.25">
      <c r="A219" s="41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8"/>
    </row>
    <row r="220" spans="1:14" x14ac:dyDescent="0.25">
      <c r="A220" s="41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8"/>
    </row>
    <row r="221" spans="1:14" x14ac:dyDescent="0.25">
      <c r="A221" s="41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8"/>
    </row>
    <row r="222" spans="1:14" x14ac:dyDescent="0.25">
      <c r="A222" s="41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8"/>
    </row>
    <row r="223" spans="1:14" x14ac:dyDescent="0.25">
      <c r="A223" s="41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8"/>
    </row>
    <row r="224" spans="1:14" x14ac:dyDescent="0.25">
      <c r="A224" s="41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8"/>
    </row>
    <row r="225" spans="1:14" x14ac:dyDescent="0.25">
      <c r="A225" s="41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8"/>
    </row>
    <row r="226" spans="1:14" x14ac:dyDescent="0.25">
      <c r="A226" s="41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8"/>
    </row>
    <row r="227" spans="1:14" x14ac:dyDescent="0.25">
      <c r="A227" s="41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8"/>
    </row>
    <row r="228" spans="1:14" x14ac:dyDescent="0.25">
      <c r="A228" s="41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8"/>
    </row>
    <row r="229" spans="1:14" x14ac:dyDescent="0.25">
      <c r="A229" s="41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8"/>
    </row>
    <row r="230" spans="1:14" x14ac:dyDescent="0.25">
      <c r="A230" s="41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8"/>
    </row>
    <row r="231" spans="1:14" x14ac:dyDescent="0.25">
      <c r="A231" s="41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8"/>
    </row>
    <row r="232" spans="1:14" x14ac:dyDescent="0.25">
      <c r="A232" s="41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8"/>
    </row>
    <row r="233" spans="1:14" x14ac:dyDescent="0.25">
      <c r="A233" s="41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8"/>
    </row>
    <row r="234" spans="1:14" x14ac:dyDescent="0.25">
      <c r="A234" s="41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8"/>
    </row>
    <row r="235" spans="1:14" x14ac:dyDescent="0.25">
      <c r="A235" s="41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8"/>
    </row>
    <row r="236" spans="1:14" x14ac:dyDescent="0.25">
      <c r="A236" s="41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8"/>
    </row>
    <row r="237" spans="1:14" x14ac:dyDescent="0.25">
      <c r="A237" s="41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8"/>
    </row>
    <row r="238" spans="1:14" x14ac:dyDescent="0.25">
      <c r="A238" s="24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</row>
    <row r="239" spans="1:14" x14ac:dyDescent="0.25">
      <c r="A239" s="24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</row>
    <row r="240" spans="1:14" x14ac:dyDescent="0.25">
      <c r="A240" s="24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</row>
    <row r="241" spans="1:13" x14ac:dyDescent="0.25">
      <c r="A241" s="24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</row>
    <row r="242" spans="1:13" x14ac:dyDescent="0.25">
      <c r="A242" s="24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</row>
    <row r="243" spans="1:13" x14ac:dyDescent="0.25">
      <c r="A243" s="24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</row>
    <row r="244" spans="1:13" x14ac:dyDescent="0.25">
      <c r="A244" s="24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</row>
    <row r="245" spans="1:13" x14ac:dyDescent="0.25">
      <c r="A245" s="24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</row>
    <row r="246" spans="1:13" x14ac:dyDescent="0.25">
      <c r="A246" s="24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</row>
    <row r="247" spans="1:13" x14ac:dyDescent="0.25">
      <c r="A247" s="24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</row>
    <row r="248" spans="1:13" x14ac:dyDescent="0.25">
      <c r="A248" s="24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</row>
    <row r="249" spans="1:13" x14ac:dyDescent="0.25">
      <c r="A249" s="24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</row>
    <row r="250" spans="1:13" x14ac:dyDescent="0.25">
      <c r="A250" s="24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</row>
    <row r="251" spans="1:13" x14ac:dyDescent="0.25">
      <c r="A251" s="24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</row>
    <row r="252" spans="1:13" x14ac:dyDescent="0.25"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</row>
    <row r="253" spans="1:13" x14ac:dyDescent="0.25"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</row>
    <row r="254" spans="1:13" x14ac:dyDescent="0.25"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</row>
    <row r="255" spans="1:13" x14ac:dyDescent="0.25"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</row>
    <row r="256" spans="1:13" x14ac:dyDescent="0.25"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</row>
    <row r="257" spans="2:12" x14ac:dyDescent="0.25"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</row>
    <row r="258" spans="2:12" x14ac:dyDescent="0.25"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</row>
    <row r="259" spans="2:12" x14ac:dyDescent="0.25"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</row>
    <row r="260" spans="2:12" x14ac:dyDescent="0.25"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</row>
    <row r="261" spans="2:12" x14ac:dyDescent="0.25"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</row>
    <row r="262" spans="2:12" x14ac:dyDescent="0.25"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</row>
    <row r="263" spans="2:12" x14ac:dyDescent="0.25"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</row>
    <row r="264" spans="2:12" x14ac:dyDescent="0.25"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</row>
    <row r="265" spans="2:12" x14ac:dyDescent="0.25"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</row>
    <row r="266" spans="2:12" x14ac:dyDescent="0.25"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</row>
    <row r="267" spans="2:12" x14ac:dyDescent="0.25"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</row>
    <row r="268" spans="2:12" x14ac:dyDescent="0.25"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</row>
    <row r="269" spans="2:12" x14ac:dyDescent="0.25"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</row>
    <row r="270" spans="2:12" x14ac:dyDescent="0.25"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</row>
    <row r="271" spans="2:12" x14ac:dyDescent="0.25"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</row>
    <row r="272" spans="2:12" x14ac:dyDescent="0.25"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</row>
    <row r="273" spans="2:12" x14ac:dyDescent="0.25"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</row>
    <row r="274" spans="2:12" x14ac:dyDescent="0.25"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</row>
    <row r="275" spans="2:12" x14ac:dyDescent="0.25"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</row>
    <row r="276" spans="2:12" x14ac:dyDescent="0.25"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</row>
    <row r="277" spans="2:12" x14ac:dyDescent="0.25"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</row>
    <row r="278" spans="2:12" x14ac:dyDescent="0.25"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</row>
  </sheetData>
  <mergeCells count="4">
    <mergeCell ref="A4:A5"/>
    <mergeCell ref="A2:N2"/>
    <mergeCell ref="A1:N1"/>
    <mergeCell ref="A3:N3"/>
  </mergeCells>
  <pageMargins left="0.18" right="0.22" top="0.42" bottom="0.3" header="0.3" footer="0.17"/>
  <pageSetup paperSize="9" scale="70" orientation="landscape" horizontalDpi="4294967295" verticalDpi="4294967295" r:id="rId1"/>
  <rowBreaks count="2" manualBreakCount="2">
    <brk id="54" max="14" man="1"/>
    <brk id="108" max="1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13.9</vt:lpstr>
      <vt:lpstr>'13.9'!Print_Area</vt:lpstr>
      <vt:lpstr>'13.9'!Print_Titles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2017-06-05T07:54:12Z</cp:lastPrinted>
  <dcterms:created xsi:type="dcterms:W3CDTF">2014-03-06T08:38:12Z</dcterms:created>
  <dcterms:modified xsi:type="dcterms:W3CDTF">2017-06-05T07:54:16Z</dcterms:modified>
</cp:coreProperties>
</file>