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9735" tabRatio="688"/>
  </bookViews>
  <sheets>
    <sheet name="13.10" sheetId="22" r:id="rId1"/>
  </sheets>
  <externalReferences>
    <externalReference r:id="rId2"/>
  </externalReferences>
  <definedNames>
    <definedName name="_xlnm.Print_Area" localSheetId="0">'13.10'!$A$1:$R$37</definedName>
  </definedNames>
  <calcPr calcId="144525"/>
</workbook>
</file>

<file path=xl/calcChain.xml><?xml version="1.0" encoding="utf-8"?>
<calcChain xmlns="http://schemas.openxmlformats.org/spreadsheetml/2006/main">
  <c r="O8" i="22" l="1"/>
  <c r="O15" i="22"/>
  <c r="O6" i="22" l="1"/>
  <c r="N15" i="22" l="1"/>
  <c r="N8" i="22"/>
  <c r="N6" i="22" l="1"/>
  <c r="M15" i="22" l="1"/>
  <c r="L15" i="22"/>
  <c r="K15" i="22"/>
  <c r="J15" i="22"/>
  <c r="I15" i="22"/>
  <c r="H15" i="22"/>
  <c r="G15" i="22"/>
  <c r="F15" i="22"/>
  <c r="E15" i="22"/>
  <c r="D15" i="22"/>
  <c r="C15" i="22"/>
  <c r="B15" i="22"/>
  <c r="M8" i="22"/>
  <c r="L8" i="22"/>
  <c r="K8" i="22"/>
  <c r="J8" i="22"/>
  <c r="I8" i="22"/>
  <c r="H8" i="22"/>
  <c r="G8" i="22"/>
  <c r="F8" i="22"/>
  <c r="E8" i="22"/>
  <c r="E6" i="22" s="1"/>
  <c r="D8" i="22"/>
  <c r="C8" i="22"/>
  <c r="B8" i="22"/>
  <c r="B6" i="22" s="1"/>
  <c r="G6" i="22"/>
  <c r="K6" i="22" l="1"/>
  <c r="L6" i="22"/>
  <c r="H6" i="22"/>
  <c r="F6" i="22"/>
  <c r="J6" i="22"/>
  <c r="D6" i="22"/>
  <c r="I6" i="22"/>
  <c r="M6" i="22"/>
  <c r="C6" i="22"/>
</calcChain>
</file>

<file path=xl/sharedStrings.xml><?xml version="1.0" encoding="utf-8"?>
<sst xmlns="http://schemas.openxmlformats.org/spreadsheetml/2006/main" count="235" uniqueCount="39">
  <si>
    <t>Particulars</t>
  </si>
  <si>
    <t>Actual</t>
  </si>
  <si>
    <t>Revised</t>
  </si>
  <si>
    <t>Actuals</t>
  </si>
  <si>
    <t>Kuwait Fund</t>
  </si>
  <si>
    <t>Japan</t>
  </si>
  <si>
    <t>-</t>
  </si>
  <si>
    <t>Source: Ministry of Finance and Treasury</t>
  </si>
  <si>
    <t>Total disbursements</t>
  </si>
  <si>
    <t>Bilateral</t>
  </si>
  <si>
    <t>Saudi Arabia</t>
  </si>
  <si>
    <t>AbuDabi Fund</t>
  </si>
  <si>
    <t xml:space="preserve">India </t>
  </si>
  <si>
    <t>Multilateral</t>
  </si>
  <si>
    <t>OPEC Fund (OFID)</t>
  </si>
  <si>
    <t>IDA</t>
  </si>
  <si>
    <t>ADB</t>
  </si>
  <si>
    <t>IDB</t>
  </si>
  <si>
    <t>IFAD</t>
  </si>
  <si>
    <t>Bank of Ceylon</t>
  </si>
  <si>
    <t>ING Bank (Netherland)</t>
  </si>
  <si>
    <t>Exim Bank of China</t>
  </si>
  <si>
    <t>Exim Bank of India</t>
  </si>
  <si>
    <t>Exim Bank of Thailand</t>
  </si>
  <si>
    <t>French Development Agency</t>
  </si>
  <si>
    <t>DANIDA</t>
  </si>
  <si>
    <t>State Bank of India</t>
  </si>
  <si>
    <t>Rabo Bank</t>
  </si>
  <si>
    <t>EU Investment Bank</t>
  </si>
  <si>
    <t>Society General Italy</t>
  </si>
  <si>
    <t>SBI</t>
  </si>
  <si>
    <t>others</t>
  </si>
  <si>
    <t>European Investment Bank (EIB)</t>
  </si>
  <si>
    <t>Arabic Fund</t>
  </si>
  <si>
    <t>China Development Bank</t>
  </si>
  <si>
    <t>ތާވަލު 13.10: އެޖެންސީތަކުން ލިބޭ ބޭރުގެ އެހީ، 2013 - 2019</t>
  </si>
  <si>
    <t>Table  13.10 : FOREIGN LOANS BY LENDING AGENCY, 2013 - 2019 (In million MVR)</t>
  </si>
  <si>
    <t>Estimate</t>
  </si>
  <si>
    <t>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</si>
</sst>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8" formatCode="0.0"/>
    <numFmt numFmtId="170" formatCode="_-* #,##0.00_-;\-* #,##0.00_-;_-* &quot;-&quot;??_-;_-@_-"/>
    <numFmt numFmtId="171" formatCode="#,##0.00\ ;&quot; (&quot;#,##0.00\);&quot; -&quot;#\ ;@\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b/>
      <sz val="11"/>
      <color theme="1"/>
      <name val="Faruma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70" fontId="1" fillId="0" borderId="0" applyFont="0" applyFill="0" applyBorder="0" applyAlignment="0" applyProtection="0"/>
    <xf numFmtId="0" fontId="7" fillId="0" borderId="0"/>
    <xf numFmtId="171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8">
    <xf numFmtId="0" fontId="0" fillId="0" borderId="0" xfId="0"/>
    <xf numFmtId="164" fontId="6" fillId="2" borderId="1" xfId="2" applyNumberFormat="1" applyFont="1" applyFill="1" applyBorder="1" applyAlignment="1" applyProtection="1">
      <alignment horizontal="right" vertical="center"/>
    </xf>
    <xf numFmtId="164" fontId="10" fillId="2" borderId="0" xfId="3" applyNumberFormat="1" applyFont="1" applyFill="1" applyAlignment="1">
      <alignment vertical="center"/>
    </xf>
    <xf numFmtId="164" fontId="6" fillId="2" borderId="0" xfId="3" applyNumberFormat="1" applyFont="1" applyFill="1" applyAlignment="1">
      <alignment vertical="center"/>
    </xf>
    <xf numFmtId="164" fontId="6" fillId="2" borderId="3" xfId="3" applyNumberFormat="1" applyFont="1" applyFill="1" applyBorder="1" applyAlignment="1">
      <alignment vertical="center"/>
    </xf>
    <xf numFmtId="164" fontId="6" fillId="2" borderId="3" xfId="3" applyNumberFormat="1" applyFont="1" applyFill="1" applyBorder="1" applyAlignment="1" applyProtection="1">
      <alignment horizontal="right" vertical="center"/>
      <protection locked="0"/>
    </xf>
    <xf numFmtId="164" fontId="6" fillId="2" borderId="2" xfId="3" applyNumberFormat="1" applyFont="1" applyFill="1" applyBorder="1" applyAlignment="1" applyProtection="1">
      <alignment horizontal="right"/>
    </xf>
    <xf numFmtId="164" fontId="10" fillId="2" borderId="0" xfId="3" applyNumberFormat="1" applyFont="1" applyFill="1" applyBorder="1" applyAlignment="1">
      <alignment vertical="center"/>
    </xf>
    <xf numFmtId="167" fontId="10" fillId="2" borderId="0" xfId="1" applyNumberFormat="1" applyFont="1" applyFill="1" applyAlignment="1">
      <alignment horizontal="right" vertical="center"/>
    </xf>
    <xf numFmtId="167" fontId="6" fillId="2" borderId="0" xfId="1" applyNumberFormat="1" applyFont="1" applyFill="1" applyAlignment="1">
      <alignment horizontal="right" vertical="center"/>
    </xf>
    <xf numFmtId="167" fontId="1" fillId="2" borderId="0" xfId="1" applyNumberFormat="1" applyFont="1" applyFill="1" applyBorder="1" applyAlignment="1">
      <alignment horizontal="right" vertical="center"/>
    </xf>
    <xf numFmtId="167" fontId="10" fillId="2" borderId="0" xfId="1" applyNumberFormat="1" applyFont="1" applyFill="1" applyBorder="1" applyAlignment="1">
      <alignment horizontal="right" vertical="center"/>
    </xf>
    <xf numFmtId="167" fontId="10" fillId="2" borderId="2" xfId="1" applyNumberFormat="1" applyFont="1" applyFill="1" applyBorder="1" applyAlignment="1">
      <alignment horizontal="right" vertical="center"/>
    </xf>
    <xf numFmtId="164" fontId="10" fillId="2" borderId="0" xfId="3" applyNumberFormat="1" applyFont="1" applyFill="1" applyAlignment="1">
      <alignment horizontal="right" vertical="center"/>
    </xf>
    <xf numFmtId="165" fontId="6" fillId="2" borderId="3" xfId="3" applyNumberFormat="1" applyFont="1" applyFill="1" applyBorder="1" applyAlignment="1" applyProtection="1">
      <alignment horizontal="right" vertical="center"/>
    </xf>
    <xf numFmtId="2" fontId="6" fillId="2" borderId="0" xfId="3" applyNumberFormat="1" applyFont="1" applyFill="1" applyAlignment="1">
      <alignment horizontal="left"/>
    </xf>
    <xf numFmtId="167" fontId="6" fillId="2" borderId="0" xfId="1" applyNumberFormat="1" applyFont="1" applyFill="1" applyBorder="1" applyAlignment="1" applyProtection="1">
      <alignment horizontal="right" vertical="center"/>
    </xf>
    <xf numFmtId="2" fontId="10" fillId="2" borderId="0" xfId="3" applyNumberFormat="1" applyFont="1" applyFill="1" applyAlignment="1">
      <alignment horizontal="left"/>
    </xf>
    <xf numFmtId="167" fontId="10" fillId="2" borderId="0" xfId="1" applyNumberFormat="1" applyFont="1" applyFill="1" applyBorder="1" applyAlignment="1" applyProtection="1">
      <alignment horizontal="right" vertical="center"/>
    </xf>
    <xf numFmtId="167" fontId="10" fillId="2" borderId="0" xfId="1" applyNumberFormat="1" applyFont="1" applyFill="1" applyAlignment="1" applyProtection="1">
      <alignment horizontal="right" vertical="center"/>
    </xf>
    <xf numFmtId="167" fontId="10" fillId="2" borderId="0" xfId="1" applyNumberFormat="1" applyFont="1" applyFill="1" applyAlignment="1">
      <alignment horizontal="left"/>
    </xf>
    <xf numFmtId="167" fontId="10" fillId="2" borderId="0" xfId="1" applyNumberFormat="1" applyFont="1" applyFill="1" applyBorder="1" applyAlignment="1">
      <alignment horizontal="left"/>
    </xf>
    <xf numFmtId="167" fontId="10" fillId="2" borderId="2" xfId="1" applyNumberFormat="1" applyFont="1" applyFill="1" applyBorder="1" applyAlignment="1">
      <alignment horizontal="left"/>
    </xf>
    <xf numFmtId="167" fontId="1" fillId="2" borderId="2" xfId="1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/>
    <xf numFmtId="167" fontId="10" fillId="2" borderId="0" xfId="1" applyNumberFormat="1" applyFont="1" applyFill="1" applyAlignment="1">
      <alignment horizontal="left" indent="1"/>
    </xf>
    <xf numFmtId="167" fontId="10" fillId="2" borderId="0" xfId="1" applyNumberFormat="1" applyFont="1" applyFill="1" applyAlignment="1">
      <alignment vertical="center"/>
    </xf>
    <xf numFmtId="168" fontId="10" fillId="2" borderId="0" xfId="3" applyNumberFormat="1" applyFont="1" applyFill="1" applyAlignment="1">
      <alignment horizontal="left" indent="1"/>
    </xf>
    <xf numFmtId="164" fontId="10" fillId="2" borderId="0" xfId="3" applyNumberFormat="1" applyFont="1" applyFill="1" applyAlignment="1">
      <alignment horizontal="left" indent="1"/>
    </xf>
    <xf numFmtId="0" fontId="12" fillId="2" borderId="0" xfId="0" applyFont="1" applyFill="1"/>
    <xf numFmtId="164" fontId="12" fillId="2" borderId="0" xfId="3" applyNumberFormat="1" applyFont="1" applyFill="1" applyAlignment="1">
      <alignment vertical="center"/>
    </xf>
    <xf numFmtId="164" fontId="12" fillId="2" borderId="0" xfId="3" applyNumberFormat="1" applyFont="1" applyFill="1" applyAlignment="1">
      <alignment horizontal="right" vertical="center"/>
    </xf>
    <xf numFmtId="164" fontId="6" fillId="2" borderId="0" xfId="3" applyNumberFormat="1" applyFont="1" applyFill="1" applyBorder="1" applyAlignment="1" applyProtection="1">
      <alignment horizontal="center" vertical="center"/>
    </xf>
    <xf numFmtId="164" fontId="6" fillId="2" borderId="3" xfId="2" applyNumberFormat="1" applyFont="1" applyFill="1" applyBorder="1" applyAlignment="1" applyProtection="1">
      <alignment horizontal="right" vertical="center"/>
      <protection locked="0"/>
    </xf>
    <xf numFmtId="164" fontId="6" fillId="2" borderId="3" xfId="3" applyNumberFormat="1" applyFont="1" applyFill="1" applyBorder="1" applyAlignment="1" applyProtection="1">
      <alignment horizontal="left" vertical="center"/>
    </xf>
    <xf numFmtId="164" fontId="6" fillId="2" borderId="2" xfId="3" applyNumberFormat="1" applyFont="1" applyFill="1" applyBorder="1" applyAlignment="1" applyProtection="1">
      <alignment horizontal="left" vertical="center"/>
    </xf>
    <xf numFmtId="164" fontId="9" fillId="2" borderId="0" xfId="3" applyNumberFormat="1" applyFont="1" applyFill="1" applyBorder="1" applyAlignment="1" applyProtection="1">
      <alignment horizontal="center" vertical="center"/>
    </xf>
    <xf numFmtId="164" fontId="5" fillId="2" borderId="0" xfId="3" applyNumberFormat="1" applyFont="1" applyFill="1" applyAlignment="1">
      <alignment horizontal="center" vertical="center"/>
    </xf>
  </cellXfs>
  <cellStyles count="12">
    <cellStyle name="Comma" xfId="1" builtinId="3"/>
    <cellStyle name="Comma 2" xfId="7"/>
    <cellStyle name="Comma 3" xfId="8"/>
    <cellStyle name="Comma 4" xfId="4"/>
    <cellStyle name="Comma 6" xfId="10"/>
    <cellStyle name="Excel Built-in Comma" xfId="6"/>
    <cellStyle name="Excel Built-in Normal" xfId="5"/>
    <cellStyle name="Normal" xfId="0" builtinId="0"/>
    <cellStyle name="Normal 2" xfId="11"/>
    <cellStyle name="Normal 4" xfId="9"/>
    <cellStyle name="Normal_13 Public Finance_done" xfId="2"/>
    <cellStyle name="Normal_13 Public Finance_done 2" xfId="3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s\Statistical%20%20Year%20Book\YEARBOOK%202013\RECEIVED%20TABLES\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70"/>
  <sheetViews>
    <sheetView tabSelected="1" zoomScale="106" zoomScaleNormal="106" workbookViewId="0">
      <selection activeCell="V26" sqref="V26"/>
    </sheetView>
  </sheetViews>
  <sheetFormatPr defaultColWidth="9.140625" defaultRowHeight="12.75" x14ac:dyDescent="0.25"/>
  <cols>
    <col min="1" max="1" width="24.42578125" style="2" customWidth="1"/>
    <col min="2" max="5" width="9.140625" style="2" hidden="1" customWidth="1"/>
    <col min="6" max="6" width="9.140625" style="13" hidden="1" customWidth="1"/>
    <col min="7" max="8" width="0" style="2" hidden="1" customWidth="1"/>
    <col min="9" max="16384" width="9.140625" style="2"/>
  </cols>
  <sheetData>
    <row r="1" spans="1:15" ht="21" x14ac:dyDescent="0.25">
      <c r="A1" s="37" t="s">
        <v>35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5" s="3" customFormat="1" ht="15" x14ac:dyDescent="0.25">
      <c r="A2" s="36" t="s">
        <v>36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5" s="3" customForma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5" s="3" customFormat="1" x14ac:dyDescent="0.25">
      <c r="A4" s="34" t="s">
        <v>0</v>
      </c>
      <c r="B4" s="14"/>
      <c r="C4" s="14"/>
      <c r="D4" s="5"/>
      <c r="E4" s="5"/>
      <c r="F4" s="4"/>
      <c r="G4" s="5" t="s">
        <v>3</v>
      </c>
      <c r="H4" s="5" t="s">
        <v>3</v>
      </c>
      <c r="I4" s="5" t="s">
        <v>3</v>
      </c>
      <c r="J4" s="5" t="s">
        <v>1</v>
      </c>
      <c r="K4" s="33" t="s">
        <v>1</v>
      </c>
      <c r="L4" s="33" t="s">
        <v>2</v>
      </c>
      <c r="M4" s="33" t="s">
        <v>37</v>
      </c>
      <c r="N4" s="33" t="s">
        <v>37</v>
      </c>
      <c r="O4" s="33" t="s">
        <v>37</v>
      </c>
    </row>
    <row r="5" spans="1:15" s="7" customFormat="1" x14ac:dyDescent="0.2">
      <c r="A5" s="35"/>
      <c r="B5" s="6">
        <v>2006</v>
      </c>
      <c r="C5" s="6">
        <v>2007</v>
      </c>
      <c r="D5" s="6">
        <v>2008</v>
      </c>
      <c r="E5" s="6">
        <v>2009</v>
      </c>
      <c r="F5" s="6">
        <v>2010</v>
      </c>
      <c r="G5" s="6">
        <v>2011</v>
      </c>
      <c r="H5" s="6">
        <v>2012</v>
      </c>
      <c r="I5" s="6">
        <v>2013</v>
      </c>
      <c r="J5" s="6">
        <v>2014</v>
      </c>
      <c r="K5" s="1">
        <v>2015</v>
      </c>
      <c r="L5" s="1">
        <v>2016</v>
      </c>
      <c r="M5" s="1">
        <v>2017</v>
      </c>
      <c r="N5" s="1">
        <v>2018</v>
      </c>
      <c r="O5" s="1">
        <v>2019</v>
      </c>
    </row>
    <row r="6" spans="1:15" s="3" customFormat="1" x14ac:dyDescent="0.2">
      <c r="A6" s="15" t="s">
        <v>8</v>
      </c>
      <c r="B6" s="16">
        <f t="shared" ref="B6:M6" si="0">B8+B15</f>
        <v>806.09999999999991</v>
      </c>
      <c r="C6" s="16">
        <f t="shared" si="0"/>
        <v>816.49044500000002</v>
      </c>
      <c r="D6" s="16">
        <f t="shared" si="0"/>
        <v>755.10795499999995</v>
      </c>
      <c r="E6" s="16">
        <f t="shared" si="0"/>
        <v>778.84185600000001</v>
      </c>
      <c r="F6" s="16">
        <f t="shared" si="0"/>
        <v>1283.0210480000001</v>
      </c>
      <c r="G6" s="16">
        <f t="shared" si="0"/>
        <v>1398.4178940000002</v>
      </c>
      <c r="H6" s="16">
        <f t="shared" si="0"/>
        <v>1145.8582073000002</v>
      </c>
      <c r="I6" s="16">
        <f t="shared" si="0"/>
        <v>1187.1923499999998</v>
      </c>
      <c r="J6" s="16">
        <f t="shared" si="0"/>
        <v>188.39416599999998</v>
      </c>
      <c r="K6" s="16">
        <f t="shared" si="0"/>
        <v>648.38820088</v>
      </c>
      <c r="L6" s="16">
        <f t="shared" si="0"/>
        <v>997.02027299999997</v>
      </c>
      <c r="M6" s="16">
        <f t="shared" si="0"/>
        <v>2844.0638703076334</v>
      </c>
      <c r="N6" s="16">
        <f t="shared" ref="N6:O6" si="1">N8+N15</f>
        <v>3928.5600614999994</v>
      </c>
      <c r="O6" s="16">
        <f t="shared" si="1"/>
        <v>4107.3524519000002</v>
      </c>
    </row>
    <row r="7" spans="1:15" s="3" customFormat="1" x14ac:dyDescent="0.2">
      <c r="A7" s="17"/>
      <c r="B7" s="18"/>
      <c r="C7" s="18"/>
      <c r="D7" s="19"/>
      <c r="E7" s="8"/>
      <c r="F7" s="9"/>
      <c r="G7" s="9"/>
      <c r="H7" s="18"/>
      <c r="I7" s="18"/>
      <c r="J7" s="18"/>
      <c r="K7" s="18"/>
      <c r="L7" s="18"/>
      <c r="M7" s="18"/>
      <c r="N7" s="18"/>
      <c r="O7" s="18"/>
    </row>
    <row r="8" spans="1:15" s="3" customFormat="1" x14ac:dyDescent="0.2">
      <c r="A8" s="15" t="s">
        <v>9</v>
      </c>
      <c r="B8" s="16">
        <f t="shared" ref="B8:L8" si="2">SUM(B9:B14)</f>
        <v>120.4</v>
      </c>
      <c r="C8" s="16">
        <f t="shared" si="2"/>
        <v>24.2</v>
      </c>
      <c r="D8" s="16">
        <f t="shared" si="2"/>
        <v>28.072474</v>
      </c>
      <c r="E8" s="16">
        <f t="shared" si="2"/>
        <v>531.19676100000004</v>
      </c>
      <c r="F8" s="16">
        <f t="shared" si="2"/>
        <v>350.87172900000002</v>
      </c>
      <c r="G8" s="16">
        <f t="shared" si="2"/>
        <v>272.73269500000004</v>
      </c>
      <c r="H8" s="16">
        <f t="shared" si="2"/>
        <v>257.65936199999999</v>
      </c>
      <c r="I8" s="16">
        <f t="shared" si="2"/>
        <v>59.122427999999999</v>
      </c>
      <c r="J8" s="16">
        <f t="shared" si="2"/>
        <v>35.200921999999998</v>
      </c>
      <c r="K8" s="16">
        <f t="shared" si="2"/>
        <v>11.3955135</v>
      </c>
      <c r="L8" s="16">
        <f t="shared" si="2"/>
        <v>88.195194999999998</v>
      </c>
      <c r="M8" s="16">
        <f t="shared" ref="M8:N8" si="3">SUM(M9:M14)</f>
        <v>392.18505190223357</v>
      </c>
      <c r="N8" s="16">
        <f t="shared" si="3"/>
        <v>668.39497499999993</v>
      </c>
      <c r="O8" s="16">
        <f t="shared" ref="O8" si="4">SUM(O9:O14)</f>
        <v>1374.869003</v>
      </c>
    </row>
    <row r="9" spans="1:15" s="3" customFormat="1" x14ac:dyDescent="0.2">
      <c r="A9" s="17" t="s">
        <v>10</v>
      </c>
      <c r="B9" s="18">
        <v>77.900000000000006</v>
      </c>
      <c r="C9" s="18">
        <v>11.6</v>
      </c>
      <c r="D9" s="18">
        <v>1.8260099999999999</v>
      </c>
      <c r="E9" s="18">
        <v>40.133375999999998</v>
      </c>
      <c r="F9" s="18">
        <v>22.482177</v>
      </c>
      <c r="G9" s="18">
        <v>181.95449300000001</v>
      </c>
      <c r="H9" s="18">
        <v>153.78399200000001</v>
      </c>
      <c r="I9" s="18">
        <v>37.905923999999999</v>
      </c>
      <c r="J9" s="18">
        <v>25.450016999999999</v>
      </c>
      <c r="K9" s="18" t="s">
        <v>6</v>
      </c>
      <c r="L9" s="18">
        <v>74.038365999999996</v>
      </c>
      <c r="M9" s="18">
        <v>276.58462726815571</v>
      </c>
      <c r="N9" s="18">
        <v>451.696189</v>
      </c>
      <c r="O9" s="18">
        <v>1076.326851</v>
      </c>
    </row>
    <row r="10" spans="1:15" s="3" customFormat="1" x14ac:dyDescent="0.2">
      <c r="A10" s="17" t="s">
        <v>4</v>
      </c>
      <c r="B10" s="18">
        <v>42.5</v>
      </c>
      <c r="C10" s="18">
        <v>12.6</v>
      </c>
      <c r="D10" s="18">
        <v>4.2685310000000003</v>
      </c>
      <c r="E10" s="18">
        <v>4.1224829999999999</v>
      </c>
      <c r="F10" s="18">
        <v>65.438177999999994</v>
      </c>
      <c r="G10" s="18">
        <v>41.59984</v>
      </c>
      <c r="H10" s="18">
        <v>9.1164190000000005</v>
      </c>
      <c r="I10" s="11" t="s">
        <v>6</v>
      </c>
      <c r="J10" s="11" t="s">
        <v>6</v>
      </c>
      <c r="K10" s="18" t="s">
        <v>6</v>
      </c>
      <c r="L10" s="18">
        <v>9.5452010000000005</v>
      </c>
      <c r="M10" s="18">
        <v>96.848145634077866</v>
      </c>
      <c r="N10" s="18">
        <v>141.38390299999998</v>
      </c>
      <c r="O10" s="18">
        <v>187.875641</v>
      </c>
    </row>
    <row r="11" spans="1:15" s="3" customFormat="1" ht="15" x14ac:dyDescent="0.2">
      <c r="A11" s="17" t="s">
        <v>5</v>
      </c>
      <c r="B11" s="10" t="s">
        <v>6</v>
      </c>
      <c r="C11" s="10" t="s">
        <v>6</v>
      </c>
      <c r="D11" s="18">
        <v>21.977933</v>
      </c>
      <c r="E11" s="18">
        <v>73.282560000000004</v>
      </c>
      <c r="F11" s="18">
        <v>249.074994</v>
      </c>
      <c r="G11" s="18">
        <v>32.668301999999997</v>
      </c>
      <c r="H11" s="18">
        <v>7.1360210000000004</v>
      </c>
      <c r="I11" s="11" t="s">
        <v>6</v>
      </c>
      <c r="J11" s="11" t="s">
        <v>6</v>
      </c>
      <c r="K11" s="11" t="s">
        <v>6</v>
      </c>
      <c r="L11" s="11" t="s">
        <v>6</v>
      </c>
      <c r="M11" s="11" t="s">
        <v>6</v>
      </c>
      <c r="N11" s="11" t="s">
        <v>6</v>
      </c>
      <c r="O11" s="11" t="s">
        <v>6</v>
      </c>
    </row>
    <row r="12" spans="1:15" s="3" customFormat="1" ht="15" x14ac:dyDescent="0.2">
      <c r="A12" s="17" t="s">
        <v>11</v>
      </c>
      <c r="B12" s="10" t="s">
        <v>6</v>
      </c>
      <c r="C12" s="10" t="s">
        <v>6</v>
      </c>
      <c r="D12" s="10" t="s">
        <v>6</v>
      </c>
      <c r="E12" s="10" t="s">
        <v>6</v>
      </c>
      <c r="F12" s="18">
        <v>13.876379999999999</v>
      </c>
      <c r="G12" s="18">
        <v>16.510059999999999</v>
      </c>
      <c r="H12" s="18">
        <v>87.622929999999997</v>
      </c>
      <c r="I12" s="18">
        <v>21.216504</v>
      </c>
      <c r="J12" s="18">
        <v>9.7509049999999995</v>
      </c>
      <c r="K12" s="18">
        <v>11.3955135</v>
      </c>
      <c r="L12" s="18">
        <v>4.6116279999999996</v>
      </c>
      <c r="M12" s="18">
        <v>18.752279000000001</v>
      </c>
      <c r="N12" s="18">
        <v>75.314882999999995</v>
      </c>
      <c r="O12" s="18">
        <v>110.666511</v>
      </c>
    </row>
    <row r="13" spans="1:15" s="3" customFormat="1" ht="15" x14ac:dyDescent="0.2">
      <c r="A13" s="17" t="s">
        <v>33</v>
      </c>
      <c r="B13" s="10"/>
      <c r="C13" s="10"/>
      <c r="D13" s="10"/>
      <c r="E13" s="10"/>
      <c r="F13" s="18"/>
      <c r="G13" s="18"/>
      <c r="H13" s="18"/>
      <c r="I13" s="18" t="s">
        <v>6</v>
      </c>
      <c r="J13" s="18" t="s">
        <v>6</v>
      </c>
      <c r="K13" s="18" t="s">
        <v>6</v>
      </c>
      <c r="L13" s="18" t="s">
        <v>6</v>
      </c>
      <c r="M13" s="18" t="s">
        <v>6</v>
      </c>
      <c r="N13" s="18" t="s">
        <v>6</v>
      </c>
      <c r="O13" s="18" t="s">
        <v>6</v>
      </c>
    </row>
    <row r="14" spans="1:15" s="3" customFormat="1" ht="15" x14ac:dyDescent="0.2">
      <c r="A14" s="17" t="s">
        <v>12</v>
      </c>
      <c r="B14" s="10" t="s">
        <v>6</v>
      </c>
      <c r="C14" s="10" t="s">
        <v>6</v>
      </c>
      <c r="D14" s="10" t="s">
        <v>6</v>
      </c>
      <c r="E14" s="18">
        <v>413.658342</v>
      </c>
      <c r="F14" s="10" t="s">
        <v>6</v>
      </c>
      <c r="G14" s="10" t="s">
        <v>6</v>
      </c>
      <c r="H14" s="10" t="s">
        <v>6</v>
      </c>
      <c r="I14" s="18" t="s">
        <v>6</v>
      </c>
      <c r="J14" s="18" t="s">
        <v>6</v>
      </c>
      <c r="K14" s="18" t="s">
        <v>6</v>
      </c>
      <c r="L14" s="18" t="s">
        <v>6</v>
      </c>
      <c r="M14" s="18" t="s">
        <v>6</v>
      </c>
      <c r="N14" s="18" t="s">
        <v>6</v>
      </c>
      <c r="O14" s="18" t="s">
        <v>6</v>
      </c>
    </row>
    <row r="15" spans="1:15" s="3" customFormat="1" x14ac:dyDescent="0.2">
      <c r="A15" s="15" t="s">
        <v>13</v>
      </c>
      <c r="B15" s="16">
        <f t="shared" ref="B15:I15" si="5">SUM(B16:B35)</f>
        <v>685.69999999999993</v>
      </c>
      <c r="C15" s="16">
        <f t="shared" si="5"/>
        <v>792.29044499999998</v>
      </c>
      <c r="D15" s="16">
        <f t="shared" si="5"/>
        <v>727.035481</v>
      </c>
      <c r="E15" s="16">
        <f t="shared" si="5"/>
        <v>247.64509500000003</v>
      </c>
      <c r="F15" s="16">
        <f t="shared" si="5"/>
        <v>932.14931899999999</v>
      </c>
      <c r="G15" s="16">
        <f t="shared" si="5"/>
        <v>1125.685199</v>
      </c>
      <c r="H15" s="16">
        <f t="shared" si="5"/>
        <v>888.19884530000013</v>
      </c>
      <c r="I15" s="16">
        <f t="shared" si="5"/>
        <v>1128.0699219999999</v>
      </c>
      <c r="J15" s="16">
        <f>SUM(J16:J36)</f>
        <v>153.19324399999999</v>
      </c>
      <c r="K15" s="16">
        <f t="shared" ref="K15:M15" si="6">SUM(K16:K36)</f>
        <v>636.99268738000001</v>
      </c>
      <c r="L15" s="16">
        <f t="shared" si="6"/>
        <v>908.82507799999996</v>
      </c>
      <c r="M15" s="16">
        <f t="shared" si="6"/>
        <v>2451.8788184053997</v>
      </c>
      <c r="N15" s="16">
        <f t="shared" ref="N15:O15" si="7">SUM(N16:N36)</f>
        <v>3260.1650864999997</v>
      </c>
      <c r="O15" s="16">
        <f t="shared" si="7"/>
        <v>2732.4834489</v>
      </c>
    </row>
    <row r="16" spans="1:15" s="3" customFormat="1" x14ac:dyDescent="0.2">
      <c r="A16" s="20" t="s">
        <v>14</v>
      </c>
      <c r="B16" s="18">
        <v>3.2</v>
      </c>
      <c r="C16" s="18">
        <v>9.0444999999999998E-2</v>
      </c>
      <c r="D16" s="18">
        <v>7.4265999999999999E-2</v>
      </c>
      <c r="E16" s="18">
        <v>0</v>
      </c>
      <c r="F16" s="18">
        <v>0</v>
      </c>
      <c r="G16" s="18">
        <v>10.230764000000001</v>
      </c>
      <c r="H16" s="18">
        <v>14.050041999999999</v>
      </c>
      <c r="I16" s="18">
        <v>14.039686</v>
      </c>
      <c r="J16" s="18">
        <v>15.610315</v>
      </c>
      <c r="K16" s="18">
        <v>31.178673200000006</v>
      </c>
      <c r="L16" s="18">
        <v>60.105713999999992</v>
      </c>
      <c r="M16" s="18">
        <v>197.01923940539979</v>
      </c>
      <c r="N16" s="18">
        <v>611.34602400000006</v>
      </c>
      <c r="O16" s="18">
        <v>254.85262800000001</v>
      </c>
    </row>
    <row r="17" spans="1:18" s="3" customFormat="1" x14ac:dyDescent="0.2">
      <c r="A17" s="20" t="s">
        <v>15</v>
      </c>
      <c r="B17" s="18">
        <v>43.699999999999996</v>
      </c>
      <c r="C17" s="18">
        <v>66.400000000000006</v>
      </c>
      <c r="D17" s="18">
        <v>53.807986999999997</v>
      </c>
      <c r="E17" s="18">
        <v>73.612109000000004</v>
      </c>
      <c r="F17" s="18">
        <v>56.078963999999999</v>
      </c>
      <c r="G17" s="18">
        <v>114.40424899999999</v>
      </c>
      <c r="H17" s="18">
        <v>86.079061999999993</v>
      </c>
      <c r="I17" s="18">
        <v>59.978203000000001</v>
      </c>
      <c r="J17" s="18" t="s">
        <v>6</v>
      </c>
      <c r="K17" s="18" t="s">
        <v>6</v>
      </c>
      <c r="L17" s="18" t="s">
        <v>6</v>
      </c>
      <c r="M17" s="18" t="s">
        <v>6</v>
      </c>
      <c r="N17" s="18" t="s">
        <v>6</v>
      </c>
      <c r="O17" s="18" t="s">
        <v>6</v>
      </c>
    </row>
    <row r="18" spans="1:18" s="3" customFormat="1" ht="14.25" customHeight="1" x14ac:dyDescent="0.2">
      <c r="A18" s="20" t="s">
        <v>16</v>
      </c>
      <c r="B18" s="18">
        <v>64.900000000000006</v>
      </c>
      <c r="C18" s="18">
        <v>65.099999999999994</v>
      </c>
      <c r="D18" s="18">
        <v>34.857382000000001</v>
      </c>
      <c r="E18" s="18">
        <v>81.389618999999996</v>
      </c>
      <c r="F18" s="18">
        <v>125.39468100000001</v>
      </c>
      <c r="G18" s="18">
        <v>110.975019</v>
      </c>
      <c r="H18" s="18">
        <v>43.581213299999995</v>
      </c>
      <c r="I18" s="18">
        <v>37.78454</v>
      </c>
      <c r="J18" s="18">
        <v>11.569822</v>
      </c>
      <c r="K18" s="18" t="s">
        <v>6</v>
      </c>
      <c r="L18" s="18">
        <v>9.1494230000000005</v>
      </c>
      <c r="M18" s="11">
        <v>10.9779179</v>
      </c>
      <c r="N18" s="11" t="s">
        <v>6</v>
      </c>
      <c r="O18" s="11" t="s">
        <v>6</v>
      </c>
    </row>
    <row r="19" spans="1:18" s="3" customFormat="1" ht="14.25" customHeight="1" x14ac:dyDescent="0.2">
      <c r="A19" s="20" t="s">
        <v>17</v>
      </c>
      <c r="B19" s="18">
        <v>146.1</v>
      </c>
      <c r="C19" s="18">
        <v>30.8</v>
      </c>
      <c r="D19" s="18">
        <v>68.596787000000006</v>
      </c>
      <c r="E19" s="18">
        <v>60.392845000000001</v>
      </c>
      <c r="F19" s="18">
        <v>27.212074000000001</v>
      </c>
      <c r="G19" s="18">
        <v>86.673029999999997</v>
      </c>
      <c r="H19" s="18">
        <v>82.244337999999999</v>
      </c>
      <c r="I19" s="18">
        <v>30.346392999999999</v>
      </c>
      <c r="J19" s="18">
        <v>11.611944999999999</v>
      </c>
      <c r="K19" s="18">
        <v>6.6867516699999996</v>
      </c>
      <c r="L19" s="18">
        <v>113.97651500000001</v>
      </c>
      <c r="M19" s="18">
        <v>43.134540600000001</v>
      </c>
      <c r="N19" s="18">
        <v>186.2873185</v>
      </c>
      <c r="O19" s="18">
        <v>162.59585490000001</v>
      </c>
    </row>
    <row r="20" spans="1:18" s="3" customFormat="1" ht="14.25" customHeight="1" x14ac:dyDescent="0.2">
      <c r="A20" s="20" t="s">
        <v>18</v>
      </c>
      <c r="B20" s="18">
        <v>5.0999999999999996</v>
      </c>
      <c r="C20" s="18">
        <v>5.0999999999999996</v>
      </c>
      <c r="D20" s="18">
        <v>0</v>
      </c>
      <c r="E20" s="18">
        <v>0.97870100000000004</v>
      </c>
      <c r="F20" s="18">
        <v>16.572282000000001</v>
      </c>
      <c r="G20" s="18">
        <v>26.341757999999999</v>
      </c>
      <c r="H20" s="18">
        <v>18.887602999999999</v>
      </c>
      <c r="I20" s="18">
        <v>2.7029269999999999</v>
      </c>
      <c r="J20" s="18">
        <v>5.7226840000000001</v>
      </c>
      <c r="K20" s="18">
        <v>9.0050719099999998</v>
      </c>
      <c r="L20" s="11">
        <v>8.1673539999999996</v>
      </c>
      <c r="M20" s="11">
        <v>0.3936577</v>
      </c>
      <c r="N20" s="11" t="s">
        <v>6</v>
      </c>
      <c r="O20" s="11" t="s">
        <v>6</v>
      </c>
      <c r="P20" s="2"/>
      <c r="Q20" s="2"/>
      <c r="R20" s="2"/>
    </row>
    <row r="21" spans="1:18" s="3" customFormat="1" ht="14.25" customHeight="1" x14ac:dyDescent="0.2">
      <c r="A21" s="20" t="s">
        <v>19</v>
      </c>
      <c r="B21" s="18">
        <v>4.5999999999999996</v>
      </c>
      <c r="C21" s="18">
        <v>117.8</v>
      </c>
      <c r="D21" s="18">
        <v>35.050213999999997</v>
      </c>
      <c r="E21" s="18">
        <v>30.742463999999998</v>
      </c>
      <c r="F21" s="18">
        <v>46.187443999999999</v>
      </c>
      <c r="G21" s="10" t="s">
        <v>6</v>
      </c>
      <c r="H21" s="10" t="s">
        <v>6</v>
      </c>
      <c r="I21" s="11" t="s">
        <v>6</v>
      </c>
      <c r="J21" s="11" t="s">
        <v>6</v>
      </c>
      <c r="K21" s="11" t="s">
        <v>6</v>
      </c>
      <c r="L21" s="11" t="s">
        <v>6</v>
      </c>
      <c r="M21" s="11" t="s">
        <v>6</v>
      </c>
      <c r="N21" s="11" t="s">
        <v>6</v>
      </c>
      <c r="O21" s="11" t="s">
        <v>6</v>
      </c>
      <c r="P21" s="2"/>
      <c r="Q21" s="2"/>
      <c r="R21" s="2"/>
    </row>
    <row r="22" spans="1:18" s="3" customFormat="1" ht="14.25" customHeight="1" x14ac:dyDescent="0.2">
      <c r="A22" s="20" t="s">
        <v>20</v>
      </c>
      <c r="B22" s="10" t="s">
        <v>6</v>
      </c>
      <c r="C22" s="18">
        <v>35.9</v>
      </c>
      <c r="D22" s="18">
        <v>129.32033300000001</v>
      </c>
      <c r="E22" s="10" t="s">
        <v>6</v>
      </c>
      <c r="F22" s="18">
        <v>386.53935100000001</v>
      </c>
      <c r="G22" s="18">
        <v>233.78553700000001</v>
      </c>
      <c r="H22" s="10" t="s">
        <v>6</v>
      </c>
      <c r="I22" s="11" t="s">
        <v>6</v>
      </c>
      <c r="J22" s="11" t="s">
        <v>6</v>
      </c>
      <c r="K22" s="11" t="s">
        <v>6</v>
      </c>
      <c r="L22" s="11" t="s">
        <v>6</v>
      </c>
      <c r="M22" s="11" t="s">
        <v>6</v>
      </c>
      <c r="N22" s="11" t="s">
        <v>6</v>
      </c>
      <c r="O22" s="11" t="s">
        <v>6</v>
      </c>
      <c r="P22" s="2"/>
      <c r="Q22" s="2"/>
      <c r="R22" s="2"/>
    </row>
    <row r="23" spans="1:18" s="3" customFormat="1" ht="14.25" customHeight="1" x14ac:dyDescent="0.2">
      <c r="A23" s="20" t="s">
        <v>21</v>
      </c>
      <c r="B23" s="10" t="s">
        <v>6</v>
      </c>
      <c r="C23" s="10" t="s">
        <v>6</v>
      </c>
      <c r="D23" s="10" t="s">
        <v>6</v>
      </c>
      <c r="E23" s="10" t="s">
        <v>6</v>
      </c>
      <c r="F23" s="19">
        <v>270.71978799999999</v>
      </c>
      <c r="G23" s="19">
        <v>265.65673500000003</v>
      </c>
      <c r="H23" s="19">
        <v>471.93762600000002</v>
      </c>
      <c r="I23" s="19">
        <v>816.53743199999997</v>
      </c>
      <c r="J23" s="11" t="s">
        <v>6</v>
      </c>
      <c r="K23" s="19">
        <v>408.18139250000002</v>
      </c>
      <c r="L23" s="19">
        <v>684.26755500000002</v>
      </c>
      <c r="M23" s="19">
        <v>726.55324799999994</v>
      </c>
      <c r="N23" s="19">
        <v>1444.3947719999999</v>
      </c>
      <c r="O23" s="19">
        <v>1706.7704389999999</v>
      </c>
      <c r="P23" s="2"/>
      <c r="Q23" s="2"/>
      <c r="R23" s="2"/>
    </row>
    <row r="24" spans="1:18" ht="14.25" customHeight="1" x14ac:dyDescent="0.2">
      <c r="A24" s="20" t="s">
        <v>22</v>
      </c>
      <c r="B24" s="10" t="s">
        <v>6</v>
      </c>
      <c r="C24" s="10" t="s">
        <v>6</v>
      </c>
      <c r="D24" s="10" t="s">
        <v>6</v>
      </c>
      <c r="E24" s="10" t="s">
        <v>6</v>
      </c>
      <c r="F24" s="10" t="s">
        <v>6</v>
      </c>
      <c r="G24" s="10" t="s">
        <v>6</v>
      </c>
      <c r="H24" s="19">
        <v>102.86886</v>
      </c>
      <c r="I24" s="11" t="s">
        <v>6</v>
      </c>
      <c r="J24" s="19">
        <v>18.706969000000001</v>
      </c>
      <c r="K24" s="19">
        <v>99.107693899999987</v>
      </c>
      <c r="L24" s="19" t="s">
        <v>6</v>
      </c>
      <c r="M24" s="19">
        <v>7.8829380000000002</v>
      </c>
      <c r="N24" s="19">
        <v>78.829379000000003</v>
      </c>
      <c r="O24" s="19">
        <v>118.244069</v>
      </c>
    </row>
    <row r="25" spans="1:18" ht="14.25" customHeight="1" x14ac:dyDescent="0.2">
      <c r="A25" s="20" t="s">
        <v>23</v>
      </c>
      <c r="B25" s="10" t="s">
        <v>6</v>
      </c>
      <c r="C25" s="10" t="s">
        <v>6</v>
      </c>
      <c r="D25" s="10" t="s">
        <v>6</v>
      </c>
      <c r="E25" s="10" t="s">
        <v>6</v>
      </c>
      <c r="F25" s="10" t="s">
        <v>6</v>
      </c>
      <c r="G25" s="10" t="s">
        <v>6</v>
      </c>
      <c r="H25" s="10" t="s">
        <v>6</v>
      </c>
      <c r="I25" s="11" t="s">
        <v>6</v>
      </c>
      <c r="J25" s="11" t="s">
        <v>6</v>
      </c>
      <c r="K25" s="11" t="s">
        <v>6</v>
      </c>
      <c r="L25" s="11" t="s">
        <v>6</v>
      </c>
      <c r="M25" s="11" t="s">
        <v>6</v>
      </c>
      <c r="N25" s="11" t="s">
        <v>6</v>
      </c>
      <c r="O25" s="11" t="s">
        <v>6</v>
      </c>
    </row>
    <row r="26" spans="1:18" ht="14.25" customHeight="1" x14ac:dyDescent="0.2">
      <c r="A26" s="20" t="s">
        <v>32</v>
      </c>
      <c r="B26" s="10"/>
      <c r="C26" s="10"/>
      <c r="D26" s="10"/>
      <c r="E26" s="10"/>
      <c r="F26" s="10"/>
      <c r="G26" s="10"/>
      <c r="H26" s="10"/>
      <c r="I26" s="11" t="s">
        <v>6</v>
      </c>
      <c r="J26" s="11" t="s">
        <v>6</v>
      </c>
      <c r="K26" s="11" t="s">
        <v>6</v>
      </c>
      <c r="L26" s="11">
        <v>23.158517</v>
      </c>
      <c r="M26" s="11">
        <v>27.018269800000002</v>
      </c>
      <c r="N26" s="11">
        <v>231.58517000000001</v>
      </c>
      <c r="O26" s="11">
        <v>347.37775399999998</v>
      </c>
    </row>
    <row r="27" spans="1:18" ht="14.25" customHeight="1" x14ac:dyDescent="0.2">
      <c r="A27" s="20" t="s">
        <v>24</v>
      </c>
      <c r="B27" s="18">
        <v>32</v>
      </c>
      <c r="C27" s="10" t="s">
        <v>6</v>
      </c>
      <c r="D27" s="10" t="s">
        <v>6</v>
      </c>
      <c r="E27" s="19">
        <v>0.52935699999999997</v>
      </c>
      <c r="F27" s="19">
        <v>3.4447350000000001</v>
      </c>
      <c r="G27" s="19">
        <v>0.482072</v>
      </c>
      <c r="H27" s="19">
        <v>49.063294999999997</v>
      </c>
      <c r="I27" s="19">
        <v>66.525672</v>
      </c>
      <c r="J27" s="19">
        <v>52.931077999999999</v>
      </c>
      <c r="K27" s="19">
        <v>82.833104200000008</v>
      </c>
      <c r="L27" s="11">
        <v>10</v>
      </c>
      <c r="M27" s="11">
        <v>3.6768000000000001</v>
      </c>
      <c r="N27" s="11" t="s">
        <v>6</v>
      </c>
      <c r="O27" s="11" t="s">
        <v>6</v>
      </c>
    </row>
    <row r="28" spans="1:18" ht="14.25" customHeight="1" x14ac:dyDescent="0.2">
      <c r="A28" s="21" t="s">
        <v>25</v>
      </c>
      <c r="B28" s="10" t="s">
        <v>6</v>
      </c>
      <c r="C28" s="10" t="s">
        <v>6</v>
      </c>
      <c r="D28" s="10" t="s">
        <v>6</v>
      </c>
      <c r="E28" s="10" t="s">
        <v>6</v>
      </c>
      <c r="F28" s="10" t="s">
        <v>6</v>
      </c>
      <c r="G28" s="18">
        <v>277.13603499999999</v>
      </c>
      <c r="H28" s="18">
        <v>19.486806000000001</v>
      </c>
      <c r="I28" s="18">
        <v>100.155069</v>
      </c>
      <c r="J28" s="18">
        <v>37.040430999999998</v>
      </c>
      <c r="K28" s="11" t="s">
        <v>6</v>
      </c>
      <c r="L28" s="11" t="s">
        <v>6</v>
      </c>
      <c r="M28" s="11" t="s">
        <v>6</v>
      </c>
      <c r="N28" s="11" t="s">
        <v>6</v>
      </c>
      <c r="O28" s="11" t="s">
        <v>6</v>
      </c>
    </row>
    <row r="29" spans="1:18" ht="14.25" customHeight="1" x14ac:dyDescent="0.2">
      <c r="A29" s="21" t="s">
        <v>34</v>
      </c>
      <c r="B29" s="10"/>
      <c r="C29" s="10"/>
      <c r="D29" s="10"/>
      <c r="E29" s="10"/>
      <c r="F29" s="10"/>
      <c r="G29" s="18"/>
      <c r="H29" s="18"/>
      <c r="I29" s="11" t="s">
        <v>6</v>
      </c>
      <c r="J29" s="11" t="s">
        <v>6</v>
      </c>
      <c r="K29" s="11" t="s">
        <v>6</v>
      </c>
      <c r="L29" s="11" t="s">
        <v>6</v>
      </c>
      <c r="M29" s="11" t="s">
        <v>6</v>
      </c>
      <c r="N29" s="11" t="s">
        <v>6</v>
      </c>
      <c r="O29" s="11" t="s">
        <v>6</v>
      </c>
    </row>
    <row r="30" spans="1:18" ht="14.25" customHeight="1" x14ac:dyDescent="0.2">
      <c r="A30" s="21" t="s">
        <v>26</v>
      </c>
      <c r="B30" s="10" t="s">
        <v>6</v>
      </c>
      <c r="C30" s="10" t="s">
        <v>6</v>
      </c>
      <c r="D30" s="18">
        <v>80.306944000000001</v>
      </c>
      <c r="E30" s="10" t="s">
        <v>6</v>
      </c>
      <c r="F30" s="10" t="s">
        <v>6</v>
      </c>
      <c r="G30" s="10" t="s">
        <v>6</v>
      </c>
      <c r="H30" s="10" t="s">
        <v>6</v>
      </c>
      <c r="I30" s="11" t="s">
        <v>6</v>
      </c>
      <c r="J30" s="11" t="s">
        <v>6</v>
      </c>
      <c r="K30" s="11" t="s">
        <v>6</v>
      </c>
      <c r="L30" s="11" t="s">
        <v>6</v>
      </c>
      <c r="M30" s="11" t="s">
        <v>6</v>
      </c>
      <c r="N30" s="11" t="s">
        <v>6</v>
      </c>
      <c r="O30" s="11" t="s">
        <v>6</v>
      </c>
    </row>
    <row r="31" spans="1:18" ht="14.25" customHeight="1" x14ac:dyDescent="0.2">
      <c r="A31" s="21" t="s">
        <v>27</v>
      </c>
      <c r="B31" s="11">
        <v>106.2</v>
      </c>
      <c r="C31" s="11">
        <v>24.4</v>
      </c>
      <c r="D31" s="10" t="s">
        <v>6</v>
      </c>
      <c r="E31" s="10" t="s">
        <v>6</v>
      </c>
      <c r="F31" s="10" t="s">
        <v>6</v>
      </c>
      <c r="G31" s="10" t="s">
        <v>6</v>
      </c>
      <c r="H31" s="10" t="s">
        <v>6</v>
      </c>
      <c r="I31" s="11" t="s">
        <v>6</v>
      </c>
      <c r="J31" s="11" t="s">
        <v>6</v>
      </c>
      <c r="K31" s="11" t="s">
        <v>6</v>
      </c>
      <c r="L31" s="11" t="s">
        <v>6</v>
      </c>
      <c r="M31" s="11" t="s">
        <v>6</v>
      </c>
      <c r="N31" s="11" t="s">
        <v>6</v>
      </c>
      <c r="O31" s="11" t="s">
        <v>6</v>
      </c>
    </row>
    <row r="32" spans="1:18" ht="14.25" customHeight="1" x14ac:dyDescent="0.2">
      <c r="A32" s="21" t="s">
        <v>38</v>
      </c>
      <c r="B32" s="11"/>
      <c r="C32" s="11"/>
      <c r="D32" s="10"/>
      <c r="E32" s="10"/>
      <c r="F32" s="10"/>
      <c r="G32" s="10"/>
      <c r="H32" s="10"/>
      <c r="I32" s="11" t="s">
        <v>6</v>
      </c>
      <c r="J32" s="11" t="s">
        <v>6</v>
      </c>
      <c r="K32" s="11" t="s">
        <v>6</v>
      </c>
      <c r="L32" s="11" t="s">
        <v>6</v>
      </c>
      <c r="M32" s="11">
        <v>1255.986897</v>
      </c>
      <c r="N32" s="11">
        <v>252.50326999999999</v>
      </c>
      <c r="O32" s="11">
        <v>78.907272000000006</v>
      </c>
    </row>
    <row r="33" spans="1:15" ht="14.25" customHeight="1" x14ac:dyDescent="0.2">
      <c r="A33" s="21" t="s">
        <v>28</v>
      </c>
      <c r="B33" s="11">
        <v>256</v>
      </c>
      <c r="C33" s="11">
        <v>320</v>
      </c>
      <c r="D33" s="11">
        <v>325.021568</v>
      </c>
      <c r="E33" s="10" t="s">
        <v>6</v>
      </c>
      <c r="F33" s="10" t="s">
        <v>6</v>
      </c>
      <c r="G33" s="10" t="s">
        <v>6</v>
      </c>
      <c r="H33" s="10" t="s">
        <v>6</v>
      </c>
      <c r="I33" s="11" t="s">
        <v>6</v>
      </c>
      <c r="J33" s="11" t="s">
        <v>6</v>
      </c>
      <c r="K33" s="11" t="s">
        <v>6</v>
      </c>
      <c r="L33" s="11" t="s">
        <v>6</v>
      </c>
      <c r="M33" s="11" t="s">
        <v>6</v>
      </c>
      <c r="N33" s="11" t="s">
        <v>6</v>
      </c>
      <c r="O33" s="11" t="s">
        <v>6</v>
      </c>
    </row>
    <row r="34" spans="1:15" ht="14.25" customHeight="1" x14ac:dyDescent="0.2">
      <c r="A34" s="21" t="s">
        <v>29</v>
      </c>
      <c r="B34" s="11">
        <v>15.4</v>
      </c>
      <c r="C34" s="11">
        <v>28</v>
      </c>
      <c r="D34" s="11">
        <v>0</v>
      </c>
      <c r="E34" s="10" t="s">
        <v>6</v>
      </c>
      <c r="F34" s="10" t="s">
        <v>6</v>
      </c>
      <c r="G34" s="10" t="s">
        <v>6</v>
      </c>
      <c r="H34" s="10" t="s">
        <v>6</v>
      </c>
      <c r="I34" s="11" t="s">
        <v>6</v>
      </c>
      <c r="J34" s="11" t="s">
        <v>6</v>
      </c>
      <c r="K34" s="11" t="s">
        <v>6</v>
      </c>
      <c r="L34" s="11" t="s">
        <v>6</v>
      </c>
      <c r="M34" s="11" t="s">
        <v>6</v>
      </c>
      <c r="N34" s="11" t="s">
        <v>6</v>
      </c>
      <c r="O34" s="11" t="s">
        <v>6</v>
      </c>
    </row>
    <row r="35" spans="1:15" ht="14.25" customHeight="1" x14ac:dyDescent="0.2">
      <c r="A35" s="21" t="s">
        <v>30</v>
      </c>
      <c r="B35" s="11">
        <v>8.5</v>
      </c>
      <c r="C35" s="11">
        <v>98.7</v>
      </c>
      <c r="D35" s="10" t="s">
        <v>6</v>
      </c>
      <c r="E35" s="10" t="s">
        <v>6</v>
      </c>
      <c r="F35" s="10" t="s">
        <v>6</v>
      </c>
      <c r="G35" s="10" t="s">
        <v>6</v>
      </c>
      <c r="H35" s="10" t="s">
        <v>6</v>
      </c>
      <c r="I35" s="11" t="s">
        <v>6</v>
      </c>
      <c r="J35" s="11" t="s">
        <v>6</v>
      </c>
      <c r="K35" s="11" t="s">
        <v>6</v>
      </c>
      <c r="L35" s="11" t="s">
        <v>6</v>
      </c>
      <c r="M35" s="11" t="s">
        <v>6</v>
      </c>
      <c r="N35" s="11" t="s">
        <v>6</v>
      </c>
      <c r="O35" s="11" t="s">
        <v>6</v>
      </c>
    </row>
    <row r="36" spans="1:15" ht="14.25" customHeight="1" x14ac:dyDescent="0.2">
      <c r="A36" s="22" t="s">
        <v>31</v>
      </c>
      <c r="B36" s="23" t="s">
        <v>6</v>
      </c>
      <c r="C36" s="23" t="s">
        <v>6</v>
      </c>
      <c r="D36" s="23" t="s">
        <v>6</v>
      </c>
      <c r="E36" s="23" t="s">
        <v>6</v>
      </c>
      <c r="F36" s="23" t="s">
        <v>6</v>
      </c>
      <c r="G36" s="23" t="s">
        <v>6</v>
      </c>
      <c r="H36" s="23" t="s">
        <v>6</v>
      </c>
      <c r="I36" s="12" t="s">
        <v>6</v>
      </c>
      <c r="J36" s="12" t="s">
        <v>6</v>
      </c>
      <c r="K36" s="12" t="s">
        <v>6</v>
      </c>
      <c r="L36" s="12" t="s">
        <v>6</v>
      </c>
      <c r="M36" s="12">
        <v>179.23531000000003</v>
      </c>
      <c r="N36" s="12">
        <v>455.21915300000001</v>
      </c>
      <c r="O36" s="12">
        <v>63.735432000000003</v>
      </c>
    </row>
    <row r="37" spans="1:15" x14ac:dyDescent="0.2">
      <c r="A37" s="24" t="s">
        <v>7</v>
      </c>
      <c r="B37" s="25"/>
      <c r="C37" s="26"/>
      <c r="D37" s="26"/>
      <c r="E37" s="26"/>
      <c r="F37" s="8"/>
      <c r="G37" s="26"/>
      <c r="H37" s="26"/>
      <c r="I37" s="26"/>
      <c r="J37" s="26"/>
      <c r="K37" s="26"/>
      <c r="L37" s="26"/>
    </row>
    <row r="38" spans="1:15" x14ac:dyDescent="0.2">
      <c r="A38" s="27"/>
      <c r="B38" s="28"/>
    </row>
    <row r="39" spans="1:15" x14ac:dyDescent="0.2">
      <c r="A39" s="27"/>
      <c r="B39" s="28"/>
    </row>
    <row r="40" spans="1:15" ht="18.75" x14ac:dyDescent="0.3">
      <c r="A40" s="27"/>
      <c r="B40" s="29"/>
      <c r="C40" s="30"/>
      <c r="D40" s="30"/>
      <c r="E40" s="30"/>
      <c r="F40" s="31"/>
      <c r="G40" s="30"/>
      <c r="H40" s="30"/>
      <c r="I40" s="30"/>
      <c r="J40" s="30"/>
      <c r="K40" s="30"/>
      <c r="L40" s="30"/>
    </row>
    <row r="41" spans="1:15" x14ac:dyDescent="0.2">
      <c r="A41" s="27"/>
    </row>
    <row r="42" spans="1:15" x14ac:dyDescent="0.2">
      <c r="A42" s="27"/>
    </row>
    <row r="43" spans="1:15" x14ac:dyDescent="0.2">
      <c r="A43" s="27"/>
    </row>
    <row r="44" spans="1:15" x14ac:dyDescent="0.2">
      <c r="A44" s="27"/>
    </row>
    <row r="46" spans="1:15" x14ac:dyDescent="0.2">
      <c r="A46" s="27"/>
    </row>
    <row r="47" spans="1:15" x14ac:dyDescent="0.2">
      <c r="A47" s="27"/>
    </row>
    <row r="48" spans="1:15" x14ac:dyDescent="0.2">
      <c r="A48" s="27"/>
    </row>
    <row r="49" spans="1:1" x14ac:dyDescent="0.2">
      <c r="A49" s="27"/>
    </row>
    <row r="51" spans="1:1" x14ac:dyDescent="0.2">
      <c r="A51" s="27"/>
    </row>
    <row r="52" spans="1:1" x14ac:dyDescent="0.2">
      <c r="A52" s="27"/>
    </row>
    <row r="53" spans="1:1" x14ac:dyDescent="0.2">
      <c r="A53" s="27"/>
    </row>
    <row r="54" spans="1:1" x14ac:dyDescent="0.2">
      <c r="A54" s="27"/>
    </row>
    <row r="55" spans="1:1" x14ac:dyDescent="0.2">
      <c r="A55" s="27"/>
    </row>
    <row r="56" spans="1:1" x14ac:dyDescent="0.2">
      <c r="A56" s="27"/>
    </row>
    <row r="57" spans="1:1" x14ac:dyDescent="0.2">
      <c r="A57" s="27"/>
    </row>
    <row r="58" spans="1:1" x14ac:dyDescent="0.2">
      <c r="A58" s="27"/>
    </row>
    <row r="59" spans="1:1" x14ac:dyDescent="0.2">
      <c r="A59" s="27"/>
    </row>
    <row r="60" spans="1:1" x14ac:dyDescent="0.2">
      <c r="A60" s="27"/>
    </row>
    <row r="64" spans="1:1" x14ac:dyDescent="0.2">
      <c r="A64" s="27"/>
    </row>
    <row r="66" spans="1:1" x14ac:dyDescent="0.2">
      <c r="A66" s="27"/>
    </row>
    <row r="67" spans="1:1" x14ac:dyDescent="0.2">
      <c r="A67" s="27"/>
    </row>
    <row r="68" spans="1:1" x14ac:dyDescent="0.2">
      <c r="A68" s="27"/>
    </row>
    <row r="70" spans="1:1" x14ac:dyDescent="0.2">
      <c r="A70" s="27"/>
    </row>
  </sheetData>
  <mergeCells count="3">
    <mergeCell ref="A4:A5"/>
    <mergeCell ref="A2:N2"/>
    <mergeCell ref="A1:N1"/>
  </mergeCells>
  <pageMargins left="0.32" right="0.7" top="0.56999999999999995" bottom="0.75" header="0.3" footer="0.3"/>
  <pageSetup paperSize="9" scale="99" orientation="landscape" horizontalDpi="4294967295" verticalDpi="4294967295" r:id="rId1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13.10</vt:lpstr>
      <vt:lpstr>'13.10'!Print_Area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2017-06-05T07:54:52Z</cp:lastPrinted>
  <dcterms:created xsi:type="dcterms:W3CDTF">2014-03-06T08:38:12Z</dcterms:created>
  <dcterms:modified xsi:type="dcterms:W3CDTF">2017-06-05T07:54:54Z</dcterms:modified>
</cp:coreProperties>
</file>