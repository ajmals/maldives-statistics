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4" sheetId="37" r:id="rId1"/>
  </sheets>
  <externalReferences>
    <externalReference r:id="rId2"/>
    <externalReference r:id="rId3"/>
    <externalReference r:id="rId4"/>
  </externalReferences>
  <definedNames>
    <definedName name="_xlnm.Print_Area" localSheetId="0">'6.4'!$A$1:$H$77</definedName>
  </definedNames>
  <calcPr calcId="144525"/>
</workbook>
</file>

<file path=xl/calcChain.xml><?xml version="1.0" encoding="utf-8"?>
<calcChain xmlns="http://schemas.openxmlformats.org/spreadsheetml/2006/main">
  <c r="AG20" i="37" l="1"/>
  <c r="AG19" i="37"/>
  <c r="B15" i="37"/>
  <c r="B5" i="37"/>
  <c r="B7" i="37"/>
  <c r="B8" i="37"/>
  <c r="B37" i="37"/>
</calcChain>
</file>

<file path=xl/sharedStrings.xml><?xml version="1.0" encoding="utf-8"?>
<sst xmlns="http://schemas.openxmlformats.org/spreadsheetml/2006/main" count="39" uniqueCount="39">
  <si>
    <t>HA</t>
  </si>
  <si>
    <t>N</t>
  </si>
  <si>
    <t>R</t>
  </si>
  <si>
    <t>B</t>
  </si>
  <si>
    <t>K</t>
  </si>
  <si>
    <t>AA</t>
  </si>
  <si>
    <t>V</t>
  </si>
  <si>
    <t>M</t>
  </si>
  <si>
    <t>F</t>
  </si>
  <si>
    <t>L</t>
  </si>
  <si>
    <t>GA</t>
  </si>
  <si>
    <t>S</t>
  </si>
  <si>
    <t>IGMH</t>
  </si>
  <si>
    <t>ADK</t>
  </si>
  <si>
    <t>HMH</t>
  </si>
  <si>
    <t>Source: Ministry of Health</t>
  </si>
  <si>
    <t>MALE'</t>
  </si>
  <si>
    <t>VMH</t>
  </si>
  <si>
    <t>DHAMANAVESHI</t>
  </si>
  <si>
    <t>SENAHIYA</t>
  </si>
  <si>
    <t xml:space="preserve">ATOLLS </t>
  </si>
  <si>
    <t>HDH</t>
  </si>
  <si>
    <t>SH</t>
  </si>
  <si>
    <t>LH</t>
  </si>
  <si>
    <t>ADH</t>
  </si>
  <si>
    <t>DH</t>
  </si>
  <si>
    <t>TH</t>
  </si>
  <si>
    <t>GDH</t>
  </si>
  <si>
    <t>GN</t>
  </si>
  <si>
    <t>TOTAL PUBLIC</t>
  </si>
  <si>
    <t>MEDICA</t>
  </si>
  <si>
    <t>IMDC (Addu)</t>
  </si>
  <si>
    <t>Institutions</t>
  </si>
  <si>
    <t xml:space="preserve"> TOTAL</t>
  </si>
  <si>
    <t>TOTAL PRIVATE</t>
  </si>
  <si>
    <t>No: of inpatient beds</t>
  </si>
  <si>
    <t xml:space="preserve"> PUBLIC</t>
  </si>
  <si>
    <t xml:space="preserve"> PRIVATE</t>
  </si>
  <si>
    <t>Table 6.4: INPATIENT BEDS IN HEALTH FACILITIES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</si>
</sst>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8" formatCode="0.00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3" fillId="0" borderId="0"/>
    <xf numFmtId="164" fontId="5" fillId="0" borderId="0" applyFont="0" applyFill="0" applyBorder="0" applyAlignment="0" applyProtection="0"/>
    <xf numFmtId="0" fontId="5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4" borderId="0" applyNumberFormat="0" applyBorder="0" applyAlignment="0" applyProtection="0"/>
    <xf numFmtId="0" fontId="11" fillId="21" borderId="3" applyNumberFormat="0" applyAlignment="0" applyProtection="0"/>
    <xf numFmtId="0" fontId="12" fillId="22" borderId="4" applyNumberFormat="0" applyAlignment="0" applyProtection="0"/>
    <xf numFmtId="40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3" applyNumberFormat="0" applyAlignment="0" applyProtection="0"/>
    <xf numFmtId="0" fontId="19" fillId="0" borderId="8" applyNumberFormat="0" applyFill="0" applyAlignment="0" applyProtection="0"/>
    <xf numFmtId="0" fontId="20" fillId="23" borderId="0" applyNumberFormat="0" applyBorder="0" applyAlignment="0" applyProtection="0"/>
    <xf numFmtId="168" fontId="7" fillId="0" borderId="0"/>
    <xf numFmtId="0" fontId="5" fillId="0" borderId="0"/>
    <xf numFmtId="0" fontId="5" fillId="0" borderId="0"/>
    <xf numFmtId="0" fontId="5" fillId="0" borderId="0"/>
    <xf numFmtId="0" fontId="2" fillId="0" borderId="0"/>
    <xf numFmtId="165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24" borderId="9" applyNumberFormat="0" applyFont="0" applyAlignment="0" applyProtection="0"/>
    <xf numFmtId="0" fontId="21" fillId="21" borderId="10" applyNumberFormat="0" applyAlignment="0" applyProtection="0"/>
    <xf numFmtId="9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11" applyNumberFormat="0" applyFill="0" applyAlignment="0" applyProtection="0"/>
    <xf numFmtId="0" fontId="23" fillId="0" borderId="0" applyNumberFormat="0" applyFill="0" applyBorder="0" applyAlignment="0" applyProtection="0"/>
    <xf numFmtId="165" fontId="3" fillId="0" borderId="0"/>
    <xf numFmtId="165" fontId="3" fillId="0" borderId="0"/>
  </cellStyleXfs>
  <cellXfs count="18">
    <xf numFmtId="0" fontId="0" fillId="0" borderId="0" xfId="0"/>
    <xf numFmtId="0" fontId="0" fillId="2" borderId="0" xfId="0" applyFill="1"/>
    <xf numFmtId="0" fontId="24" fillId="2" borderId="0" xfId="0" applyFont="1" applyFill="1"/>
    <xf numFmtId="0" fontId="25" fillId="2" borderId="0" xfId="0" applyFont="1" applyFill="1"/>
    <xf numFmtId="0" fontId="0" fillId="2" borderId="0" xfId="0" applyFill="1" applyAlignment="1">
      <alignment horizontal="center" vertical="center"/>
    </xf>
    <xf numFmtId="0" fontId="24" fillId="2" borderId="2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left" vertical="center"/>
    </xf>
    <xf numFmtId="37" fontId="24" fillId="2" borderId="0" xfId="1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horizontal="left" vertical="center" indent="1"/>
    </xf>
    <xf numFmtId="37" fontId="0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 indent="1"/>
    </xf>
    <xf numFmtId="37" fontId="0" fillId="2" borderId="1" xfId="1" applyNumberFormat="1" applyFont="1" applyFill="1" applyBorder="1" applyAlignment="1">
      <alignment horizontal="right" vertical="center"/>
    </xf>
    <xf numFmtId="0" fontId="24" fillId="2" borderId="2" xfId="0" applyFont="1" applyFill="1" applyBorder="1" applyAlignment="1">
      <alignment horizontal="right" vertical="center" wrapText="1"/>
    </xf>
    <xf numFmtId="0" fontId="26" fillId="2" borderId="0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39176772297897"/>
          <c:y val="0.20947106187997686"/>
          <c:w val="0.46388888888888891"/>
          <c:h val="0.77314814814814814"/>
        </c:manualLayout>
      </c:layout>
      <c:doughnutChart>
        <c:varyColors val="1"/>
        <c:ser>
          <c:idx val="0"/>
          <c:order val="0"/>
          <c:spPr>
            <a:solidFill>
              <a:srgbClr val="F59D27"/>
            </a:solidFill>
          </c:spPr>
          <c:explosion val="9"/>
          <c:dPt>
            <c:idx val="1"/>
            <c:bubble3D val="0"/>
            <c:spPr>
              <a:solidFill>
                <a:srgbClr val="953735"/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'6.4'!$AF$19:$AF$20</c:f>
              <c:strCache>
                <c:ptCount val="2"/>
                <c:pt idx="0">
                  <c:v> PUBLIC</c:v>
                </c:pt>
                <c:pt idx="1">
                  <c:v> PRIVATE</c:v>
                </c:pt>
              </c:strCache>
            </c:strRef>
          </c:cat>
          <c:val>
            <c:numRef>
              <c:f>'6.4'!$AG$19:$AG$20</c:f>
              <c:numCache>
                <c:formatCode>General</c:formatCode>
                <c:ptCount val="2"/>
                <c:pt idx="0">
                  <c:v>1640</c:v>
                </c:pt>
                <c:pt idx="1">
                  <c:v>103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-1" verticalDpi="-1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31279773101691E-2"/>
          <c:y val="0.15832166644530424"/>
          <c:w val="0.90344609542465126"/>
          <c:h val="0.7256985798693743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cat>
            <c:strRef>
              <c:f>'6.4'!$A$16:$A$35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'6.4'!$B$16:$B$35</c:f>
              <c:numCache>
                <c:formatCode>#,##0_);\(#,##0\)</c:formatCode>
                <c:ptCount val="20"/>
                <c:pt idx="0">
                  <c:v>84</c:v>
                </c:pt>
                <c:pt idx="1">
                  <c:v>109</c:v>
                </c:pt>
                <c:pt idx="2">
                  <c:v>16</c:v>
                </c:pt>
                <c:pt idx="3">
                  <c:v>60</c:v>
                </c:pt>
                <c:pt idx="4">
                  <c:v>94</c:v>
                </c:pt>
                <c:pt idx="5">
                  <c:v>63</c:v>
                </c:pt>
                <c:pt idx="6">
                  <c:v>55</c:v>
                </c:pt>
                <c:pt idx="7">
                  <c:v>46</c:v>
                </c:pt>
                <c:pt idx="8">
                  <c:v>49</c:v>
                </c:pt>
                <c:pt idx="9">
                  <c:v>66</c:v>
                </c:pt>
                <c:pt idx="10">
                  <c:v>6</c:v>
                </c:pt>
                <c:pt idx="11">
                  <c:v>48</c:v>
                </c:pt>
                <c:pt idx="12">
                  <c:v>41</c:v>
                </c:pt>
                <c:pt idx="13">
                  <c:v>39</c:v>
                </c:pt>
                <c:pt idx="14">
                  <c:v>112</c:v>
                </c:pt>
                <c:pt idx="15">
                  <c:v>117</c:v>
                </c:pt>
                <c:pt idx="16">
                  <c:v>60</c:v>
                </c:pt>
                <c:pt idx="17">
                  <c:v>105</c:v>
                </c:pt>
                <c:pt idx="18">
                  <c:v>33</c:v>
                </c:pt>
                <c:pt idx="19">
                  <c:v>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812544"/>
        <c:axId val="126853888"/>
      </c:barChart>
      <c:catAx>
        <c:axId val="126812544"/>
        <c:scaling>
          <c:orientation val="minMax"/>
        </c:scaling>
        <c:delete val="0"/>
        <c:axPos val="b"/>
        <c:majorTickMark val="none"/>
        <c:minorTickMark val="none"/>
        <c:tickLblPos val="nextTo"/>
        <c:crossAx val="126853888"/>
        <c:crosses val="autoZero"/>
        <c:auto val="1"/>
        <c:lblAlgn val="ctr"/>
        <c:lblOffset val="100"/>
        <c:noMultiLvlLbl val="0"/>
      </c:catAx>
      <c:valAx>
        <c:axId val="126853888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numFmt formatCode="#,##0_);\(#,##0\)" sourceLinked="1"/>
        <c:majorTickMark val="none"/>
        <c:minorTickMark val="none"/>
        <c:tickLblPos val="nextTo"/>
        <c:crossAx val="12681254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43</xdr:row>
      <xdr:rowOff>76200</xdr:rowOff>
    </xdr:from>
    <xdr:to>
      <xdr:col>7</xdr:col>
      <xdr:colOff>209549</xdr:colOff>
      <xdr:row>61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790576</xdr:colOff>
      <xdr:row>46</xdr:row>
      <xdr:rowOff>14539</xdr:rowOff>
    </xdr:from>
    <xdr:to>
      <xdr:col>6</xdr:col>
      <xdr:colOff>400051</xdr:colOff>
      <xdr:row>46</xdr:row>
      <xdr:rowOff>28575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790576" y="8844214"/>
          <a:ext cx="4762500" cy="14036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133350</xdr:colOff>
      <xdr:row>62</xdr:row>
      <xdr:rowOff>66675</xdr:rowOff>
    </xdr:from>
    <xdr:to>
      <xdr:col>7</xdr:col>
      <xdr:colOff>190500</xdr:colOff>
      <xdr:row>76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418389</xdr:colOff>
      <xdr:row>62</xdr:row>
      <xdr:rowOff>122490</xdr:rowOff>
    </xdr:from>
    <xdr:to>
      <xdr:col>7</xdr:col>
      <xdr:colOff>84569</xdr:colOff>
      <xdr:row>63</xdr:row>
      <xdr:rowOff>142430</xdr:rowOff>
    </xdr:to>
    <xdr:sp macro="" textlink="">
      <xdr:nvSpPr>
        <xdr:cNvPr id="6" name="TextBox 5"/>
        <xdr:cNvSpPr txBox="1"/>
      </xdr:nvSpPr>
      <xdr:spPr>
        <a:xfrm>
          <a:off x="418389" y="12246836"/>
          <a:ext cx="5430140" cy="211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6.6: Percentage of inpatients bed in public and private sector, 2016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476250</xdr:colOff>
      <xdr:row>63</xdr:row>
      <xdr:rowOff>137979</xdr:rowOff>
    </xdr:from>
    <xdr:to>
      <xdr:col>7</xdr:col>
      <xdr:colOff>26706</xdr:colOff>
      <xdr:row>63</xdr:row>
      <xdr:rowOff>137979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476250" y="12453715"/>
          <a:ext cx="5314416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0.09167</cdr:x>
      <cdr:y>0.03472</cdr:y>
    </cdr:from>
    <cdr:to>
      <cdr:x>0.94926</cdr:x>
      <cdr:y>0.16102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33479" y="117078"/>
          <a:ext cx="4991022" cy="4258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>
              <a:latin typeface="Consolas" pitchFamily="49" charset="0"/>
              <a:cs typeface="Consolas" pitchFamily="49" charset="0"/>
            </a:rPr>
            <a:t>Figure 6.5: Percentage of inpatients bed in public and private sector, 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G46"/>
  <sheetViews>
    <sheetView tabSelected="1" zoomScaleNormal="100" workbookViewId="0">
      <selection activeCell="S1" sqref="S1:X1048576"/>
    </sheetView>
  </sheetViews>
  <sheetFormatPr defaultRowHeight="15" x14ac:dyDescent="0.25"/>
  <cols>
    <col min="1" max="1" width="22.42578125" style="1" customWidth="1"/>
    <col min="2" max="2" width="18.28515625" style="1" customWidth="1"/>
    <col min="3" max="16384" width="9.140625" style="1"/>
  </cols>
  <sheetData>
    <row r="2" spans="1:4" ht="15.75" x14ac:dyDescent="0.25">
      <c r="A2" s="17" t="s">
        <v>38</v>
      </c>
      <c r="B2" s="17"/>
      <c r="C2" s="17"/>
      <c r="D2" s="17"/>
    </row>
    <row r="3" spans="1:4" ht="15.75" x14ac:dyDescent="0.25">
      <c r="A3" s="3"/>
      <c r="B3" s="4"/>
    </row>
    <row r="4" spans="1:4" s="2" customFormat="1" ht="30" x14ac:dyDescent="0.25">
      <c r="A4" s="5" t="s">
        <v>32</v>
      </c>
      <c r="B4" s="15" t="s">
        <v>35</v>
      </c>
    </row>
    <row r="5" spans="1:4" ht="15" customHeight="1" x14ac:dyDescent="0.25">
      <c r="A5" s="6" t="s">
        <v>33</v>
      </c>
      <c r="B5" s="7">
        <f>B7+B37</f>
        <v>1743</v>
      </c>
    </row>
    <row r="6" spans="1:4" x14ac:dyDescent="0.25">
      <c r="A6" s="8"/>
    </row>
    <row r="7" spans="1:4" ht="15" customHeight="1" x14ac:dyDescent="0.25">
      <c r="A7" s="6" t="s">
        <v>29</v>
      </c>
      <c r="B7" s="7">
        <f>B15+B8</f>
        <v>1640</v>
      </c>
    </row>
    <row r="8" spans="1:4" x14ac:dyDescent="0.25">
      <c r="A8" s="6" t="s">
        <v>16</v>
      </c>
      <c r="B8" s="7">
        <f>SUM(B9:B13)</f>
        <v>368</v>
      </c>
    </row>
    <row r="9" spans="1:4" x14ac:dyDescent="0.25">
      <c r="A9" s="9" t="s">
        <v>12</v>
      </c>
      <c r="B9" s="10">
        <v>309</v>
      </c>
    </row>
    <row r="10" spans="1:4" x14ac:dyDescent="0.25">
      <c r="A10" s="9" t="s">
        <v>14</v>
      </c>
      <c r="B10" s="10">
        <v>52</v>
      </c>
    </row>
    <row r="11" spans="1:4" x14ac:dyDescent="0.25">
      <c r="A11" s="9" t="s">
        <v>17</v>
      </c>
      <c r="B11" s="10">
        <v>6</v>
      </c>
    </row>
    <row r="12" spans="1:4" x14ac:dyDescent="0.25">
      <c r="A12" s="9" t="s">
        <v>18</v>
      </c>
      <c r="B12" s="10">
        <v>0</v>
      </c>
    </row>
    <row r="13" spans="1:4" x14ac:dyDescent="0.25">
      <c r="A13" s="9" t="s">
        <v>19</v>
      </c>
      <c r="B13" s="10">
        <v>1</v>
      </c>
    </row>
    <row r="14" spans="1:4" x14ac:dyDescent="0.25">
      <c r="A14" s="11"/>
      <c r="B14" s="10"/>
    </row>
    <row r="15" spans="1:4" ht="18.75" x14ac:dyDescent="0.25">
      <c r="A15" s="12" t="s">
        <v>20</v>
      </c>
      <c r="B15" s="7">
        <f>SUM(B16:B35)</f>
        <v>1272</v>
      </c>
    </row>
    <row r="16" spans="1:4" x14ac:dyDescent="0.25">
      <c r="A16" s="9" t="s">
        <v>0</v>
      </c>
      <c r="B16" s="10">
        <v>84</v>
      </c>
    </row>
    <row r="17" spans="1:33" x14ac:dyDescent="0.25">
      <c r="A17" s="9" t="s">
        <v>21</v>
      </c>
      <c r="B17" s="10">
        <v>109</v>
      </c>
    </row>
    <row r="18" spans="1:33" x14ac:dyDescent="0.25">
      <c r="A18" s="9" t="s">
        <v>22</v>
      </c>
      <c r="B18" s="10">
        <v>16</v>
      </c>
    </row>
    <row r="19" spans="1:33" x14ac:dyDescent="0.25">
      <c r="A19" s="9" t="s">
        <v>1</v>
      </c>
      <c r="B19" s="10">
        <v>60</v>
      </c>
      <c r="AF19" s="1" t="s">
        <v>36</v>
      </c>
      <c r="AG19" s="1">
        <f>B7</f>
        <v>1640</v>
      </c>
    </row>
    <row r="20" spans="1:33" x14ac:dyDescent="0.25">
      <c r="A20" s="9" t="s">
        <v>2</v>
      </c>
      <c r="B20" s="10">
        <v>94</v>
      </c>
      <c r="AF20" s="1" t="s">
        <v>37</v>
      </c>
      <c r="AG20" s="1">
        <f>B37</f>
        <v>103</v>
      </c>
    </row>
    <row r="21" spans="1:33" x14ac:dyDescent="0.25">
      <c r="A21" s="9" t="s">
        <v>3</v>
      </c>
      <c r="B21" s="10">
        <v>63</v>
      </c>
    </row>
    <row r="22" spans="1:33" x14ac:dyDescent="0.25">
      <c r="A22" s="9" t="s">
        <v>23</v>
      </c>
      <c r="B22" s="10">
        <v>55</v>
      </c>
    </row>
    <row r="23" spans="1:33" x14ac:dyDescent="0.25">
      <c r="A23" s="9" t="s">
        <v>4</v>
      </c>
      <c r="B23" s="10">
        <v>46</v>
      </c>
    </row>
    <row r="24" spans="1:33" x14ac:dyDescent="0.25">
      <c r="A24" s="9" t="s">
        <v>5</v>
      </c>
      <c r="B24" s="10">
        <v>49</v>
      </c>
    </row>
    <row r="25" spans="1:33" x14ac:dyDescent="0.25">
      <c r="A25" s="9" t="s">
        <v>24</v>
      </c>
      <c r="B25" s="10">
        <v>66</v>
      </c>
    </row>
    <row r="26" spans="1:33" x14ac:dyDescent="0.25">
      <c r="A26" s="9" t="s">
        <v>6</v>
      </c>
      <c r="B26" s="10">
        <v>6</v>
      </c>
    </row>
    <row r="27" spans="1:33" x14ac:dyDescent="0.25">
      <c r="A27" s="9" t="s">
        <v>7</v>
      </c>
      <c r="B27" s="10">
        <v>48</v>
      </c>
    </row>
    <row r="28" spans="1:33" x14ac:dyDescent="0.25">
      <c r="A28" s="9" t="s">
        <v>8</v>
      </c>
      <c r="B28" s="10">
        <v>41</v>
      </c>
    </row>
    <row r="29" spans="1:33" x14ac:dyDescent="0.25">
      <c r="A29" s="9" t="s">
        <v>25</v>
      </c>
      <c r="B29" s="10">
        <v>39</v>
      </c>
    </row>
    <row r="30" spans="1:33" x14ac:dyDescent="0.25">
      <c r="A30" s="9" t="s">
        <v>26</v>
      </c>
      <c r="B30" s="10">
        <v>112</v>
      </c>
    </row>
    <row r="31" spans="1:33" x14ac:dyDescent="0.25">
      <c r="A31" s="9" t="s">
        <v>9</v>
      </c>
      <c r="B31" s="10">
        <v>117</v>
      </c>
    </row>
    <row r="32" spans="1:33" x14ac:dyDescent="0.25">
      <c r="A32" s="9" t="s">
        <v>10</v>
      </c>
      <c r="B32" s="10">
        <v>60</v>
      </c>
    </row>
    <row r="33" spans="1:2" x14ac:dyDescent="0.25">
      <c r="A33" s="9" t="s">
        <v>27</v>
      </c>
      <c r="B33" s="10">
        <v>105</v>
      </c>
    </row>
    <row r="34" spans="1:2" x14ac:dyDescent="0.25">
      <c r="A34" s="9" t="s">
        <v>28</v>
      </c>
      <c r="B34" s="10">
        <v>33</v>
      </c>
    </row>
    <row r="35" spans="1:2" x14ac:dyDescent="0.25">
      <c r="A35" s="9" t="s">
        <v>11</v>
      </c>
      <c r="B35" s="10">
        <v>69</v>
      </c>
    </row>
    <row r="36" spans="1:2" x14ac:dyDescent="0.25">
      <c r="A36" s="8"/>
      <c r="B36" s="10"/>
    </row>
    <row r="37" spans="1:2" x14ac:dyDescent="0.25">
      <c r="A37" s="6" t="s">
        <v>34</v>
      </c>
      <c r="B37" s="7">
        <f>SUM(B38:B40)</f>
        <v>103</v>
      </c>
    </row>
    <row r="38" spans="1:2" x14ac:dyDescent="0.25">
      <c r="A38" s="9" t="s">
        <v>13</v>
      </c>
      <c r="B38" s="10">
        <v>71</v>
      </c>
    </row>
    <row r="39" spans="1:2" x14ac:dyDescent="0.25">
      <c r="A39" s="9" t="s">
        <v>30</v>
      </c>
      <c r="B39" s="10">
        <v>12</v>
      </c>
    </row>
    <row r="40" spans="1:2" x14ac:dyDescent="0.25">
      <c r="A40" s="13" t="s">
        <v>31</v>
      </c>
      <c r="B40" s="14">
        <v>20</v>
      </c>
    </row>
    <row r="41" spans="1:2" x14ac:dyDescent="0.25">
      <c r="A41" s="16" t="s">
        <v>15</v>
      </c>
      <c r="B41" s="8"/>
    </row>
    <row r="43" spans="1:2" x14ac:dyDescent="0.25">
      <c r="B43" s="4"/>
    </row>
    <row r="44" spans="1:2" x14ac:dyDescent="0.25">
      <c r="B44" s="4"/>
    </row>
    <row r="45" spans="1:2" x14ac:dyDescent="0.25">
      <c r="B45" s="4"/>
    </row>
    <row r="46" spans="1:2" x14ac:dyDescent="0.25">
      <c r="B46" s="4"/>
    </row>
  </sheetData>
  <mergeCells count="1">
    <mergeCell ref="A2:D2"/>
  </mergeCells>
  <pageMargins left="0.7" right="0.7" top="0.75" bottom="0.75" header="0.3" footer="0.3"/>
  <pageSetup scale="94" orientation="portrait" horizontalDpi="4294967295" verticalDpi="4294967295" r:id="rId1"/>
  <rowBreaks count="1" manualBreakCount="1">
    <brk id="42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6.4</vt:lpstr>
      <vt:lpstr>'6.4'!Print_Area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2017-07-05T07:40:49Z</cp:lastPrinted>
  <dcterms:created xsi:type="dcterms:W3CDTF">2014-03-04T09:17:57Z</dcterms:created>
  <dcterms:modified xsi:type="dcterms:W3CDTF">2017-07-05T07:40:50Z</dcterms:modified>
</cp:coreProperties>
</file>