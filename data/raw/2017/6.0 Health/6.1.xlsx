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0" windowWidth="10785" windowHeight="9450" tabRatio="841"/>
  </bookViews>
  <sheets>
    <sheet name="6.1" sheetId="33" r:id="rId1"/>
  </sheets>
  <externalReferences>
    <externalReference r:id="rId2"/>
    <externalReference r:id="rId3"/>
    <externalReference r:id="rId4"/>
  </externalReferences>
  <definedNames>
    <definedName name="_xlnm.Print_Area" localSheetId="0">'6.1'!$A$1:$S$63</definedName>
  </definedNames>
  <calcPr calcId="144525"/>
</workbook>
</file>

<file path=xl/calcChain.xml><?xml version="1.0" encoding="utf-8"?>
<calcChain xmlns="http://schemas.openxmlformats.org/spreadsheetml/2006/main">
  <c r="D13" i="33" l="1"/>
  <c r="C13" i="33"/>
  <c r="B13" i="33"/>
  <c r="AL9" i="33" s="1"/>
  <c r="D18" i="33"/>
  <c r="D17" i="33"/>
  <c r="D16" i="33"/>
  <c r="D15" i="33"/>
  <c r="L13" i="33"/>
  <c r="K13" i="33"/>
  <c r="J13" i="33"/>
  <c r="F13" i="33"/>
  <c r="G13" i="33"/>
  <c r="H13" i="33"/>
  <c r="AH7" i="33"/>
  <c r="AG7" i="33"/>
  <c r="AF7" i="33"/>
  <c r="AE7" i="33"/>
  <c r="AH10" i="33"/>
  <c r="AG10" i="33"/>
  <c r="AF10" i="33"/>
  <c r="AE10" i="33"/>
  <c r="AL11" i="33"/>
  <c r="AL10" i="33"/>
  <c r="AL8" i="33"/>
  <c r="AL7" i="33"/>
  <c r="B20" i="33"/>
  <c r="D20" i="33"/>
  <c r="D7" i="33" s="1"/>
  <c r="C20" i="33"/>
  <c r="H20" i="33"/>
  <c r="G20" i="33"/>
  <c r="F20" i="33"/>
  <c r="H11" i="33"/>
  <c r="G11" i="33"/>
  <c r="F11" i="33"/>
  <c r="H8" i="33"/>
  <c r="G8" i="33"/>
  <c r="F8" i="33"/>
  <c r="J8" i="33"/>
  <c r="K8" i="33"/>
  <c r="L8" i="33"/>
  <c r="J11" i="33"/>
  <c r="K11" i="33"/>
  <c r="L11" i="33"/>
  <c r="L20" i="33"/>
  <c r="K20" i="33"/>
  <c r="J20" i="33"/>
  <c r="J25" i="33"/>
  <c r="F25" i="33"/>
  <c r="D25" i="33"/>
  <c r="C25" i="33"/>
  <c r="B25" i="33" s="1"/>
  <c r="J24" i="33"/>
  <c r="F24" i="33"/>
  <c r="D24" i="33"/>
  <c r="D23" i="33" s="1"/>
  <c r="C24" i="33"/>
  <c r="B24" i="33" s="1"/>
  <c r="L23" i="33"/>
  <c r="K23" i="33"/>
  <c r="H23" i="33"/>
  <c r="G23" i="33"/>
  <c r="J22" i="33"/>
  <c r="F22" i="33"/>
  <c r="D22" i="33"/>
  <c r="B22" i="33" s="1"/>
  <c r="C22" i="33"/>
  <c r="J21" i="33"/>
  <c r="F21" i="33"/>
  <c r="D21" i="33"/>
  <c r="C21" i="33"/>
  <c r="B21" i="33" s="1"/>
  <c r="B19" i="33"/>
  <c r="J18" i="33"/>
  <c r="F18" i="33"/>
  <c r="C18" i="33"/>
  <c r="B18" i="33" s="1"/>
  <c r="J17" i="33"/>
  <c r="F17" i="33"/>
  <c r="C17" i="33"/>
  <c r="B17" i="33"/>
  <c r="J16" i="33"/>
  <c r="F16" i="33"/>
  <c r="B16" i="33"/>
  <c r="C16" i="33"/>
  <c r="J15" i="33"/>
  <c r="F15" i="33"/>
  <c r="C15" i="33"/>
  <c r="J12" i="33"/>
  <c r="F12" i="33"/>
  <c r="D12" i="33"/>
  <c r="B12" i="33" s="1"/>
  <c r="B11" i="33" s="1"/>
  <c r="C12" i="33"/>
  <c r="C11" i="33" s="1"/>
  <c r="J10" i="33"/>
  <c r="F10" i="33"/>
  <c r="D10" i="33"/>
  <c r="C10" i="33"/>
  <c r="B10" i="33" s="1"/>
  <c r="J9" i="33"/>
  <c r="F9" i="33"/>
  <c r="D9" i="33"/>
  <c r="C9" i="33"/>
  <c r="C7" i="33" l="1"/>
  <c r="G7" i="33"/>
  <c r="B7" i="33"/>
  <c r="H7" i="33"/>
  <c r="F7" i="33" s="1"/>
  <c r="K7" i="33"/>
  <c r="L7" i="33"/>
  <c r="B9" i="33"/>
  <c r="B8" i="33" s="1"/>
  <c r="B23" i="33"/>
  <c r="J23" i="33"/>
  <c r="D8" i="33"/>
  <c r="F23" i="33"/>
  <c r="D11" i="33"/>
  <c r="C8" i="33"/>
  <c r="B15" i="33"/>
  <c r="C23" i="33"/>
  <c r="J7" i="33" l="1"/>
</calcChain>
</file>

<file path=xl/sharedStrings.xml><?xml version="1.0" encoding="utf-8"?>
<sst xmlns="http://schemas.openxmlformats.org/spreadsheetml/2006/main" count="101" uniqueCount="59">
  <si>
    <t>Male'</t>
  </si>
  <si>
    <t>Male</t>
  </si>
  <si>
    <t>Female</t>
  </si>
  <si>
    <t>Total</t>
  </si>
  <si>
    <t>Republic</t>
  </si>
  <si>
    <t>elWm</t>
  </si>
  <si>
    <t>cawtuLotwa</t>
  </si>
  <si>
    <t>Both sexes</t>
  </si>
  <si>
    <t>ތާވަލު 6.1: ޞިއްޙީ ދާއިރާގައި މަސައްކަތްކުރާ މީހުންގެ އަދަދު، 2016</t>
  </si>
  <si>
    <t>Table 6.1 :  DISTRIBUTION OF MEDICAL STAFF IN MALE' AND ATOLLS - 2016</t>
  </si>
  <si>
    <t>Categories of Health Personnel</t>
  </si>
  <si>
    <t>ސިއްހީ ދާއިރާގެ މުވައްޒިފުން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</si>
  <si>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</si>
  <si>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</si>
  <si>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</si>
  <si>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</si>
  <si>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</si>
  <si>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</si>
  <si>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</si>
  <si>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</si>
  <si>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 xml:space="preserve">         Nurses</t>
  </si>
  <si>
    <t>Paramedical Staff</t>
  </si>
  <si>
    <t>ޕެރަމެޑިކަލް މުވައްޒިފުން</t>
  </si>
  <si>
    <t>Laboratory Scientists / Laboratory technicians/ laboratory assistants</t>
  </si>
  <si>
    <t xml:space="preserve"> ލެބޯރެޓަރީ ސައިންސިސްޓްސް  ލެބޯރެޓަރީ ޓެކްނީޝަންސް  / ލެބޯޓްރީ އެސިސްޓަންޓްސް</t>
  </si>
  <si>
    <t xml:space="preserve">         Physiotherapists</t>
  </si>
  <si>
    <t xml:space="preserve">  ފިޒިއީތެރަޕިސްޓްސް</t>
  </si>
  <si>
    <t xml:space="preserve">         Radiographers</t>
  </si>
  <si>
    <t xml:space="preserve">  ރޭޑިއޯގްރާފަރސް</t>
  </si>
  <si>
    <t xml:space="preserve">         Dental technicians / dental assistants</t>
  </si>
  <si>
    <t xml:space="preserve">  ޑެންޓިސްޓުން</t>
  </si>
  <si>
    <t xml:space="preserve">         Pharmacists / Pharmacy Asst.</t>
  </si>
  <si>
    <t>NA</t>
  </si>
  <si>
    <t xml:space="preserve">  ފާމަސިސްޓް 2_/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</si>
  <si>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</si>
  <si>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</si>
  <si>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</si>
  <si>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</si>
  <si>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</si>
  <si>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</si>
  <si>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</si>
  <si>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</si>
  <si>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 xml:space="preserve">                 Trained</t>
  </si>
  <si>
    <t xml:space="preserve">  ތަމްރީން ދެވިފައި</t>
  </si>
  <si>
    <t xml:space="preserve">                 Untrained</t>
  </si>
  <si>
    <t xml:space="preserve">  ތަމްރީން ނުދެވި</t>
  </si>
  <si>
    <t>Source: Ministry of Health</t>
  </si>
  <si>
    <t>މަޢުލޫމާތު ދެއްވީ: މިނިސްޓްރީ އޮފް ހެލްތް</t>
  </si>
  <si>
    <t xml:space="preserve">Atolls </t>
  </si>
  <si>
    <r>
      <rPr>
        <b/>
        <i/>
        <sz val="10"/>
        <rFont val="Calibri"/>
        <family val="2"/>
        <scheme val="minor"/>
      </rPr>
      <t xml:space="preserve">Note: </t>
    </r>
    <r>
      <rPr>
        <i/>
        <sz val="10"/>
        <rFont val="Calibri"/>
        <family val="2"/>
        <scheme val="minor"/>
      </rPr>
      <t>Pvt. Sector data  includes ADK,IMDC ,Medica and FMDD hospital only</t>
    </r>
  </si>
  <si>
    <t xml:space="preserve">            All data except for pharmacist / pharmacy assistants are taken fron HR reports provided by health facilities</t>
  </si>
  <si>
    <t xml:space="preserve"> ejcaWr</t>
  </si>
  <si>
    <t xml:space="preserve"> </t>
  </si>
  <si>
    <t xml:space="preserve">  ލެބޯރެޓަރީ ސައިންސިސްޓްސް</t>
  </si>
  <si>
    <r>
      <t xml:space="preserve">  ލެބޯރެޓަރީ ޓެކްނީޝަންސް </t>
    </r>
    <r>
      <rPr>
        <vertAlign val="superscript"/>
        <sz val="9"/>
        <rFont val="Faruma"/>
      </rPr>
      <t>1_/</t>
    </r>
  </si>
  <si>
    <t xml:space="preserve">           Pharmacists / Pharmacy Assistant data is taken from MFDA, pharmacy registration unit's available records on the number of pharmacist cards issued.</t>
  </si>
  <si>
    <t xml:space="preserve">  ޑެންޓަލް ޓެކްނީޝަންސް /  ޑެންޓަލް އެސިސްޓަންޓްސް</t>
  </si>
  <si>
    <t xml:space="preserve">  ފާމަސިސްޓްސް / ފާމަސީ އެސިސްޓަންޓް</t>
  </si>
  <si>
    <t xml:space="preserve">ނޯޓް: މިތާވަލުގައި ޕްރައިވެޓް ސެކްޓަރގެ ތެރޭގައި ހިމެނެނީ އޭ.ޑީ.ކޭ، އައި.އެމް.ޑީ.ސީ، މެޑިކާ އަދި އެފް.އެމް.ޑީ.ޑީ އެޗެ.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</si>
</sst>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ރ_._-;_-* #,##0.00\ _ރ_.\-;_-* &quot;-&quot;??\ _ރ_._-;_-@_-"/>
    <numFmt numFmtId="165" formatCode="General_)"/>
    <numFmt numFmtId="168" formatCode="0.00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0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sz val="11"/>
      <name val="Calibri"/>
      <family val="2"/>
      <scheme val="minor"/>
    </font>
    <font>
      <b/>
      <sz val="11"/>
      <name val="A_Randhoo"/>
    </font>
    <font>
      <sz val="10"/>
      <name val="Faruma"/>
    </font>
    <font>
      <b/>
      <sz val="10"/>
      <name val="Faruma"/>
    </font>
    <font>
      <sz val="10"/>
      <color theme="1"/>
      <name val="Faruma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sz val="9"/>
      <name val="Faruma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12"/>
      <color theme="1"/>
      <name val="Faruma"/>
    </font>
    <font>
      <i/>
      <sz val="10"/>
      <color theme="1"/>
      <name val="Calibri"/>
      <family val="2"/>
      <scheme val="minor"/>
    </font>
    <font>
      <b/>
      <sz val="9"/>
      <name val="Faruma"/>
    </font>
    <font>
      <b/>
      <i/>
      <sz val="10"/>
      <name val="Calibri"/>
      <family val="2"/>
      <scheme val="minor"/>
    </font>
    <font>
      <sz val="11"/>
      <name val="A_Randhoo"/>
    </font>
    <font>
      <sz val="11"/>
      <name val="Faruma"/>
    </font>
    <font>
      <vertAlign val="superscript"/>
      <sz val="9"/>
      <name val="Faruma"/>
    </font>
    <font>
      <b/>
      <sz val="10"/>
      <name val="Courier"/>
      <family val="3"/>
    </font>
    <font>
      <b/>
      <sz val="9"/>
      <name val="Cambria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 style="thin">
        <color theme="0"/>
      </top>
      <bottom style="hair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62">
    <xf numFmtId="0" fontId="0" fillId="0" borderId="0"/>
    <xf numFmtId="0" fontId="1" fillId="0" borderId="0"/>
    <xf numFmtId="165" fontId="7" fillId="0" borderId="0"/>
    <xf numFmtId="164" fontId="10" fillId="0" borderId="0" applyFont="0" applyFill="0" applyBorder="0" applyAlignment="0" applyProtection="0"/>
    <xf numFmtId="0" fontId="10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5" fillId="4" borderId="0" applyNumberFormat="0" applyBorder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40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8" borderId="3" applyNumberFormat="0" applyAlignment="0" applyProtection="0"/>
    <xf numFmtId="0" fontId="24" fillId="0" borderId="8" applyNumberFormat="0" applyFill="0" applyAlignment="0" applyProtection="0"/>
    <xf numFmtId="0" fontId="25" fillId="23" borderId="0" applyNumberFormat="0" applyBorder="0" applyAlignment="0" applyProtection="0"/>
    <xf numFmtId="168" fontId="1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165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3" fillId="24" borderId="9" applyNumberFormat="0" applyFont="0" applyAlignment="0" applyProtection="0"/>
    <xf numFmtId="0" fontId="26" fillId="21" borderId="10" applyNumberFormat="0" applyAlignment="0" applyProtection="0"/>
    <xf numFmtId="9" fontId="1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28" fillId="0" borderId="0" applyNumberFormat="0" applyFill="0" applyBorder="0" applyAlignment="0" applyProtection="0"/>
    <xf numFmtId="165" fontId="7" fillId="0" borderId="0"/>
    <xf numFmtId="165" fontId="7" fillId="0" borderId="0"/>
  </cellStyleXfs>
  <cellXfs count="105">
    <xf numFmtId="0" fontId="0" fillId="0" borderId="0" xfId="0"/>
    <xf numFmtId="0" fontId="0" fillId="2" borderId="0" xfId="0" applyFill="1"/>
    <xf numFmtId="0" fontId="0" fillId="2" borderId="0" xfId="0" applyFill="1" applyBorder="1"/>
    <xf numFmtId="3" fontId="5" fillId="2" borderId="0" xfId="0" applyNumberFormat="1" applyFont="1" applyFill="1" applyBorder="1" applyAlignment="1">
      <alignment horizontal="right" vertical="center"/>
    </xf>
    <xf numFmtId="0" fontId="0" fillId="2" borderId="12" xfId="0" applyNumberFormat="1" applyFill="1" applyBorder="1" applyAlignment="1">
      <alignment vertical="center"/>
    </xf>
    <xf numFmtId="0" fontId="40" fillId="2" borderId="16" xfId="0" applyNumberFormat="1" applyFont="1" applyFill="1" applyBorder="1" applyAlignment="1" applyProtection="1">
      <alignment horizontal="center" vertical="center" wrapText="1"/>
    </xf>
    <xf numFmtId="0" fontId="40" fillId="2" borderId="16" xfId="0" applyNumberFormat="1" applyFont="1" applyFill="1" applyBorder="1" applyAlignment="1" applyProtection="1">
      <alignment horizontal="right" vertical="center"/>
    </xf>
    <xf numFmtId="0" fontId="0" fillId="2" borderId="16" xfId="0" applyNumberFormat="1" applyFill="1" applyBorder="1" applyAlignment="1">
      <alignment vertical="center"/>
    </xf>
    <xf numFmtId="0" fontId="4" fillId="2" borderId="18" xfId="0" applyNumberFormat="1" applyFont="1" applyFill="1" applyBorder="1" applyAlignment="1" applyProtection="1">
      <alignment horizontal="left" vertical="center" wrapText="1"/>
    </xf>
    <xf numFmtId="0" fontId="0" fillId="2" borderId="30" xfId="0" applyNumberFormat="1" applyFont="1" applyFill="1" applyBorder="1" applyAlignment="1">
      <alignment vertical="center"/>
    </xf>
    <xf numFmtId="0" fontId="0" fillId="2" borderId="19" xfId="0" applyNumberFormat="1" applyFont="1" applyFill="1" applyBorder="1" applyAlignment="1">
      <alignment vertical="center"/>
    </xf>
    <xf numFmtId="0" fontId="32" fillId="2" borderId="15" xfId="0" applyNumberFormat="1" applyFont="1" applyFill="1" applyBorder="1" applyAlignment="1">
      <alignment vertical="center"/>
    </xf>
    <xf numFmtId="0" fontId="0" fillId="2" borderId="12" xfId="0" applyNumberFormat="1" applyFont="1" applyFill="1" applyBorder="1" applyAlignment="1">
      <alignment vertical="center"/>
    </xf>
    <xf numFmtId="0" fontId="4" fillId="2" borderId="13" xfId="0" applyNumberFormat="1" applyFont="1" applyFill="1" applyBorder="1" applyAlignment="1" applyProtection="1">
      <alignment horizontal="left" vertical="center" wrapText="1"/>
    </xf>
    <xf numFmtId="0" fontId="32" fillId="2" borderId="15" xfId="0" applyNumberFormat="1" applyFont="1" applyFill="1" applyBorder="1" applyAlignment="1">
      <alignment horizontal="right" vertical="center" indent="1"/>
    </xf>
    <xf numFmtId="0" fontId="0" fillId="2" borderId="12" xfId="0" applyNumberFormat="1" applyFont="1" applyFill="1" applyBorder="1" applyAlignment="1">
      <alignment horizontal="right" vertical="center" indent="1"/>
    </xf>
    <xf numFmtId="0" fontId="32" fillId="2" borderId="35" xfId="0" applyNumberFormat="1" applyFont="1" applyFill="1" applyBorder="1" applyAlignment="1">
      <alignment vertical="center"/>
    </xf>
    <xf numFmtId="0" fontId="0" fillId="2" borderId="25" xfId="0" applyNumberFormat="1" applyFont="1" applyFill="1" applyBorder="1" applyAlignment="1">
      <alignment vertical="center"/>
    </xf>
    <xf numFmtId="0" fontId="0" fillId="2" borderId="12" xfId="0" applyNumberFormat="1" applyFill="1" applyBorder="1" applyAlignment="1">
      <alignment horizontal="right" vertical="center"/>
    </xf>
    <xf numFmtId="0" fontId="32" fillId="2" borderId="12" xfId="0" applyNumberFormat="1" applyFont="1" applyFill="1" applyBorder="1" applyAlignment="1">
      <alignment vertical="center"/>
    </xf>
    <xf numFmtId="0" fontId="39" fillId="2" borderId="12" xfId="0" applyFont="1" applyFill="1" applyBorder="1" applyAlignment="1">
      <alignment horizontal="right" vertical="center"/>
    </xf>
    <xf numFmtId="0" fontId="0" fillId="2" borderId="12" xfId="0" applyNumberFormat="1" applyFill="1" applyBorder="1" applyAlignment="1">
      <alignment vertical="center" wrapText="1"/>
    </xf>
    <xf numFmtId="0" fontId="37" fillId="2" borderId="12" xfId="0" applyNumberFormat="1" applyFont="1" applyFill="1" applyBorder="1" applyAlignment="1" applyProtection="1">
      <alignment horizontal="left" vertical="center" wrapText="1"/>
    </xf>
    <xf numFmtId="0" fontId="42" fillId="2" borderId="14" xfId="0" applyNumberFormat="1" applyFont="1" applyFill="1" applyBorder="1" applyAlignment="1" applyProtection="1">
      <alignment horizontal="center" vertical="center"/>
    </xf>
    <xf numFmtId="0" fontId="35" fillId="2" borderId="12" xfId="0" applyFont="1" applyFill="1" applyBorder="1" applyAlignment="1">
      <alignment horizontal="right" vertical="center"/>
    </xf>
    <xf numFmtId="0" fontId="39" fillId="2" borderId="0" xfId="0" applyFont="1" applyFill="1" applyBorder="1" applyAlignment="1">
      <alignment horizontal="right" vertical="center"/>
    </xf>
    <xf numFmtId="0" fontId="45" fillId="2" borderId="24" xfId="0" applyFont="1" applyFill="1" applyBorder="1" applyAlignment="1">
      <alignment horizontal="center" vertical="center"/>
    </xf>
    <xf numFmtId="0" fontId="35" fillId="2" borderId="19" xfId="0" applyFont="1" applyFill="1" applyBorder="1" applyAlignment="1">
      <alignment horizontal="right" vertical="center"/>
    </xf>
    <xf numFmtId="0" fontId="0" fillId="2" borderId="30" xfId="0" applyNumberFormat="1" applyFill="1" applyBorder="1" applyAlignment="1">
      <alignment vertical="center"/>
    </xf>
    <xf numFmtId="0" fontId="0" fillId="2" borderId="19" xfId="0" applyNumberFormat="1" applyFill="1" applyBorder="1" applyAlignment="1">
      <alignment vertical="center"/>
    </xf>
    <xf numFmtId="0" fontId="6" fillId="2" borderId="19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41" fillId="2" borderId="12" xfId="0" applyFont="1" applyFill="1" applyBorder="1" applyAlignment="1">
      <alignment horizontal="right" vertical="center"/>
    </xf>
    <xf numFmtId="0" fontId="7" fillId="2" borderId="12" xfId="0" applyNumberFormat="1" applyFont="1" applyFill="1" applyBorder="1" applyAlignment="1">
      <alignment vertical="center"/>
    </xf>
    <xf numFmtId="0" fontId="29" fillId="2" borderId="12" xfId="0" applyNumberFormat="1" applyFont="1" applyFill="1" applyBorder="1" applyAlignment="1" applyProtection="1"/>
    <xf numFmtId="0" fontId="38" fillId="2" borderId="12" xfId="0" applyNumberFormat="1" applyFont="1" applyFill="1" applyBorder="1"/>
    <xf numFmtId="0" fontId="5" fillId="2" borderId="12" xfId="0" applyNumberFormat="1" applyFont="1" applyFill="1" applyBorder="1" applyAlignment="1">
      <alignment horizontal="center"/>
    </xf>
    <xf numFmtId="0" fontId="51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4" fillId="2" borderId="12" xfId="0" applyNumberFormat="1" applyFont="1" applyFill="1" applyBorder="1" applyAlignment="1">
      <alignment vertical="center" wrapText="1"/>
    </xf>
    <xf numFmtId="0" fontId="0" fillId="2" borderId="0" xfId="0" applyNumberFormat="1" applyFill="1" applyBorder="1" applyAlignment="1">
      <alignment vertical="center"/>
    </xf>
    <xf numFmtId="0" fontId="50" fillId="2" borderId="0" xfId="0" applyFont="1" applyFill="1" applyBorder="1"/>
    <xf numFmtId="0" fontId="32" fillId="2" borderId="23" xfId="0" applyNumberFormat="1" applyFont="1" applyFill="1" applyBorder="1" applyAlignment="1">
      <alignment vertical="center"/>
    </xf>
    <xf numFmtId="0" fontId="35" fillId="2" borderId="16" xfId="0" applyFont="1" applyFill="1" applyBorder="1" applyAlignment="1">
      <alignment horizontal="right" vertical="center"/>
    </xf>
    <xf numFmtId="0" fontId="32" fillId="2" borderId="29" xfId="0" applyNumberFormat="1" applyFont="1" applyFill="1" applyBorder="1" applyAlignment="1">
      <alignment vertical="center"/>
    </xf>
    <xf numFmtId="0" fontId="0" fillId="2" borderId="37" xfId="0" applyNumberFormat="1" applyFill="1" applyBorder="1" applyAlignment="1">
      <alignment vertical="center"/>
    </xf>
    <xf numFmtId="0" fontId="39" fillId="2" borderId="37" xfId="0" applyFont="1" applyFill="1" applyBorder="1" applyAlignment="1">
      <alignment horizontal="right" vertical="center"/>
    </xf>
    <xf numFmtId="0" fontId="32" fillId="2" borderId="0" xfId="0" applyNumberFormat="1" applyFont="1" applyFill="1" applyBorder="1" applyAlignment="1">
      <alignment vertical="center"/>
    </xf>
    <xf numFmtId="0" fontId="8" fillId="2" borderId="26" xfId="0" applyNumberFormat="1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30" fillId="2" borderId="13" xfId="0" applyNumberFormat="1" applyFont="1" applyFill="1" applyBorder="1" applyAlignment="1" applyProtection="1">
      <alignment horizontal="left" vertical="center" wrapText="1"/>
    </xf>
    <xf numFmtId="0" fontId="30" fillId="2" borderId="13" xfId="0" applyNumberFormat="1" applyFont="1" applyFill="1" applyBorder="1" applyAlignment="1" applyProtection="1">
      <alignment horizontal="left" vertical="center" wrapText="1" indent="1"/>
    </xf>
    <xf numFmtId="0" fontId="30" fillId="2" borderId="0" xfId="0" applyNumberFormat="1" applyFont="1" applyFill="1" applyBorder="1" applyAlignment="1" applyProtection="1">
      <alignment horizontal="left" vertical="center" wrapText="1"/>
    </xf>
    <xf numFmtId="0" fontId="30" fillId="2" borderId="33" xfId="0" applyNumberFormat="1" applyFont="1" applyFill="1" applyBorder="1" applyAlignment="1" applyProtection="1">
      <alignment horizontal="left" vertical="center" wrapText="1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31" xfId="0" applyNumberFormat="1" applyFont="1" applyFill="1" applyBorder="1" applyAlignment="1">
      <alignment horizontal="center" vertical="center"/>
    </xf>
    <xf numFmtId="3" fontId="5" fillId="2" borderId="21" xfId="0" applyNumberFormat="1" applyFont="1" applyFill="1" applyBorder="1" applyAlignment="1" applyProtection="1">
      <alignment horizontal="right" vertical="center"/>
    </xf>
    <xf numFmtId="3" fontId="3" fillId="2" borderId="14" xfId="0" applyNumberFormat="1" applyFont="1" applyFill="1" applyBorder="1" applyAlignment="1" applyProtection="1">
      <alignment horizontal="right" vertical="center"/>
    </xf>
    <xf numFmtId="3" fontId="5" fillId="2" borderId="14" xfId="0" applyNumberFormat="1" applyFont="1" applyFill="1" applyBorder="1" applyAlignment="1" applyProtection="1">
      <alignment horizontal="right" vertical="center"/>
    </xf>
    <xf numFmtId="3" fontId="5" fillId="2" borderId="22" xfId="0" applyNumberFormat="1" applyFont="1" applyFill="1" applyBorder="1" applyAlignment="1" applyProtection="1">
      <alignment horizontal="righ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3" fontId="3" fillId="2" borderId="2" xfId="0" applyNumberFormat="1" applyFont="1" applyFill="1" applyBorder="1" applyAlignment="1" applyProtection="1">
      <alignment horizontal="right" vertical="center"/>
    </xf>
    <xf numFmtId="0" fontId="5" fillId="2" borderId="0" xfId="0" applyNumberFormat="1" applyFont="1" applyFill="1" applyBorder="1" applyAlignment="1">
      <alignment horizontal="right" vertical="center"/>
    </xf>
    <xf numFmtId="0" fontId="4" fillId="2" borderId="20" xfId="0" applyNumberFormat="1" applyFont="1" applyFill="1" applyBorder="1" applyAlignment="1" applyProtection="1">
      <alignment horizontal="left" vertical="center" wrapText="1"/>
    </xf>
    <xf numFmtId="0" fontId="4" fillId="2" borderId="17" xfId="0" applyNumberFormat="1" applyFont="1" applyFill="1" applyBorder="1" applyAlignment="1" applyProtection="1">
      <alignment horizontal="left" vertical="center" wrapText="1"/>
    </xf>
    <xf numFmtId="3" fontId="0" fillId="2" borderId="0" xfId="0" applyNumberFormat="1" applyFill="1" applyBorder="1"/>
    <xf numFmtId="3" fontId="0" fillId="2" borderId="0" xfId="0" applyNumberFormat="1" applyFill="1" applyBorder="1" applyAlignment="1">
      <alignment vertical="center"/>
    </xf>
    <xf numFmtId="0" fontId="0" fillId="2" borderId="13" xfId="0" applyNumberFormat="1" applyFill="1" applyBorder="1" applyAlignment="1">
      <alignment vertical="center"/>
    </xf>
    <xf numFmtId="0" fontId="31" fillId="2" borderId="18" xfId="0" applyFont="1" applyFill="1" applyBorder="1" applyAlignment="1">
      <alignment horizontal="right" vertical="center"/>
    </xf>
    <xf numFmtId="0" fontId="47" fillId="2" borderId="18" xfId="0" applyFont="1" applyFill="1" applyBorder="1" applyAlignment="1">
      <alignment horizontal="right" vertical="center" indent="1"/>
    </xf>
    <xf numFmtId="0" fontId="47" fillId="2" borderId="13" xfId="0" applyFont="1" applyFill="1" applyBorder="1" applyAlignment="1">
      <alignment horizontal="right" vertical="center" indent="1"/>
    </xf>
    <xf numFmtId="0" fontId="33" fillId="2" borderId="13" xfId="0" applyFont="1" applyFill="1" applyBorder="1" applyAlignment="1">
      <alignment horizontal="right" vertical="center"/>
    </xf>
    <xf numFmtId="0" fontId="33" fillId="2" borderId="13" xfId="0" applyFont="1" applyFill="1" applyBorder="1" applyAlignment="1">
      <alignment horizontal="right" vertical="center" indent="3"/>
    </xf>
    <xf numFmtId="0" fontId="31" fillId="2" borderId="13" xfId="0" applyFont="1" applyFill="1" applyBorder="1" applyAlignment="1">
      <alignment horizontal="right" vertical="center"/>
    </xf>
    <xf numFmtId="0" fontId="48" fillId="2" borderId="13" xfId="0" applyFont="1" applyFill="1" applyBorder="1" applyAlignment="1">
      <alignment horizontal="right" vertical="center" indent="1"/>
    </xf>
    <xf numFmtId="0" fontId="48" fillId="2" borderId="13" xfId="0" applyFont="1" applyFill="1" applyBorder="1" applyAlignment="1">
      <alignment horizontal="right" vertical="center"/>
    </xf>
    <xf numFmtId="0" fontId="48" fillId="2" borderId="34" xfId="0" applyFont="1" applyFill="1" applyBorder="1" applyAlignment="1">
      <alignment horizontal="right" vertical="center" indent="1"/>
    </xf>
    <xf numFmtId="0" fontId="36" fillId="2" borderId="13" xfId="0" applyNumberFormat="1" applyFont="1" applyFill="1" applyBorder="1" applyAlignment="1">
      <alignment vertical="center"/>
    </xf>
    <xf numFmtId="0" fontId="39" fillId="2" borderId="13" xfId="0" applyFont="1" applyFill="1" applyBorder="1" applyAlignment="1">
      <alignment horizontal="right" vertical="center"/>
    </xf>
    <xf numFmtId="0" fontId="42" fillId="2" borderId="0" xfId="0" applyNumberFormat="1" applyFont="1" applyFill="1" applyBorder="1" applyAlignment="1" applyProtection="1">
      <alignment vertical="center"/>
    </xf>
    <xf numFmtId="0" fontId="5" fillId="2" borderId="0" xfId="0" applyNumberFormat="1" applyFont="1" applyFill="1" applyBorder="1" applyAlignment="1">
      <alignment horizontal="center" vertical="center"/>
    </xf>
    <xf numFmtId="0" fontId="34" fillId="2" borderId="14" xfId="0" applyFont="1" applyFill="1" applyBorder="1" applyAlignment="1">
      <alignment horizontal="right" vertical="center" wrapText="1" indent="1"/>
    </xf>
    <xf numFmtId="0" fontId="34" fillId="2" borderId="15" xfId="0" applyFont="1" applyFill="1" applyBorder="1" applyAlignment="1">
      <alignment horizontal="right" vertical="center" wrapText="1" indent="1"/>
    </xf>
    <xf numFmtId="0" fontId="45" fillId="2" borderId="32" xfId="0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45" fillId="2" borderId="27" xfId="0" applyFont="1" applyFill="1" applyBorder="1" applyAlignment="1">
      <alignment horizontal="center" vertical="center"/>
    </xf>
    <xf numFmtId="0" fontId="45" fillId="2" borderId="20" xfId="0" applyFont="1" applyFill="1" applyBorder="1" applyAlignment="1">
      <alignment horizontal="center" vertical="center"/>
    </xf>
    <xf numFmtId="0" fontId="45" fillId="2" borderId="0" xfId="0" applyFont="1" applyFill="1" applyBorder="1" applyAlignment="1">
      <alignment horizontal="center" vertical="center"/>
    </xf>
    <xf numFmtId="0" fontId="45" fillId="2" borderId="24" xfId="0" applyFont="1" applyFill="1" applyBorder="1" applyAlignment="1">
      <alignment horizontal="center" vertical="center"/>
    </xf>
    <xf numFmtId="0" fontId="45" fillId="2" borderId="33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center" vertical="center"/>
    </xf>
    <xf numFmtId="0" fontId="45" fillId="2" borderId="29" xfId="0" applyFont="1" applyFill="1" applyBorder="1" applyAlignment="1">
      <alignment horizontal="center" vertical="center"/>
    </xf>
    <xf numFmtId="0" fontId="42" fillId="2" borderId="28" xfId="0" applyNumberFormat="1" applyFont="1" applyFill="1" applyBorder="1" applyAlignment="1" applyProtection="1">
      <alignment horizontal="center" vertical="center"/>
    </xf>
    <xf numFmtId="0" fontId="42" fillId="2" borderId="36" xfId="0" applyNumberFormat="1" applyFont="1" applyFill="1" applyBorder="1" applyAlignment="1" applyProtection="1">
      <alignment horizontal="center" vertical="center"/>
    </xf>
    <xf numFmtId="0" fontId="4" fillId="2" borderId="32" xfId="0" applyNumberFormat="1" applyFont="1" applyFill="1" applyBorder="1" applyAlignment="1" applyProtection="1">
      <alignment horizontal="center" vertical="center" wrapText="1"/>
    </xf>
    <xf numFmtId="0" fontId="4" fillId="2" borderId="20" xfId="0" applyNumberFormat="1" applyFont="1" applyFill="1" applyBorder="1" applyAlignment="1" applyProtection="1">
      <alignment horizontal="center" vertical="center" wrapText="1"/>
    </xf>
    <xf numFmtId="0" fontId="4" fillId="2" borderId="33" xfId="0" applyNumberFormat="1" applyFont="1" applyFill="1" applyBorder="1" applyAlignment="1" applyProtection="1">
      <alignment horizontal="center" vertical="center" wrapText="1"/>
    </xf>
    <xf numFmtId="0" fontId="8" fillId="2" borderId="26" xfId="0" applyNumberFormat="1" applyFont="1" applyFill="1" applyBorder="1" applyAlignment="1">
      <alignment horizontal="center" vertical="center"/>
    </xf>
    <xf numFmtId="0" fontId="40" fillId="2" borderId="17" xfId="0" applyNumberFormat="1" applyFont="1" applyFill="1" applyBorder="1" applyAlignment="1" applyProtection="1">
      <alignment horizontal="center" vertical="center"/>
    </xf>
    <xf numFmtId="0" fontId="40" fillId="2" borderId="22" xfId="0" applyNumberFormat="1" applyFont="1" applyFill="1" applyBorder="1" applyAlignment="1" applyProtection="1">
      <alignment horizontal="center" vertical="center"/>
    </xf>
    <xf numFmtId="0" fontId="40" fillId="2" borderId="23" xfId="0" applyNumberFormat="1" applyFont="1" applyFill="1" applyBorder="1" applyAlignment="1" applyProtection="1">
      <alignment horizontal="center" vertical="center"/>
    </xf>
    <xf numFmtId="0" fontId="42" fillId="2" borderId="0" xfId="0" applyNumberFormat="1" applyFont="1" applyFill="1" applyBorder="1" applyAlignment="1" applyProtection="1">
      <alignment horizontal="center" vertical="center"/>
    </xf>
    <xf numFmtId="0" fontId="43" fillId="2" borderId="13" xfId="0" applyNumberFormat="1" applyFont="1" applyFill="1" applyBorder="1" applyAlignment="1">
      <alignment horizontal="center" vertical="center" wrapText="1"/>
    </xf>
    <xf numFmtId="0" fontId="43" fillId="2" borderId="14" xfId="0" applyNumberFormat="1" applyFont="1" applyFill="1" applyBorder="1" applyAlignment="1">
      <alignment horizontal="center" vertical="center" wrapText="1"/>
    </xf>
    <xf numFmtId="0" fontId="43" fillId="2" borderId="15" xfId="0" applyNumberFormat="1" applyFont="1" applyFill="1" applyBorder="1" applyAlignment="1">
      <alignment horizontal="center" vertical="center" wrapText="1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953735"/>
      <color rgb="FFFDEADA"/>
      <color rgb="FFF59D27"/>
      <color rgb="FFFAC090"/>
      <color rgb="FFFACA8A"/>
      <color rgb="FFF7AF4F"/>
      <color rgb="FFC49500"/>
      <color rgb="FFFCD5B5"/>
      <color rgb="FFFF3399"/>
      <color rgb="FFFFD1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097868406181192"/>
          <c:y val="0.12202973670859237"/>
          <c:w val="0.39422173908857538"/>
          <c:h val="0.85267664453009639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</c:dPt>
          <c:dPt>
            <c:idx val="1"/>
            <c:bubble3D val="0"/>
            <c:spPr>
              <a:solidFill>
                <a:srgbClr val="F59D27"/>
              </a:solidFill>
            </c:spPr>
          </c:dPt>
          <c:dPt>
            <c:idx val="2"/>
            <c:bubble3D val="0"/>
            <c:spPr>
              <a:solidFill>
                <a:srgbClr val="953735"/>
              </a:solidFill>
            </c:spPr>
          </c:dPt>
          <c:dPt>
            <c:idx val="3"/>
            <c:bubble3D val="0"/>
            <c:spPr>
              <a:solidFill>
                <a:srgbClr val="FACA8A"/>
              </a:solidFill>
            </c:spPr>
          </c:dPt>
          <c:dPt>
            <c:idx val="4"/>
            <c:bubble3D val="0"/>
            <c:spPr>
              <a:solidFill>
                <a:srgbClr val="FFFF00"/>
              </a:solidFill>
            </c:spPr>
          </c:dPt>
          <c:dLbls>
            <c:dLbl>
              <c:idx val="0"/>
              <c:layout>
                <c:manualLayout>
                  <c:x val="1.9146650608891352E-2"/>
                  <c:y val="-2.21523460473475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2.0707353171571085E-2"/>
                  <c:y val="1.96414733818470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-9.6320394629164296E-4"/>
                  <c:y val="-4.35506099546414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0.1081507505347"/>
                  <c:y val="-0.1430679973850072"/>
                </c:manualLayout>
              </c:layout>
              <c:spPr/>
              <c:txPr>
                <a:bodyPr/>
                <a:lstStyle/>
                <a:p>
                  <a:pPr>
                    <a:defRPr sz="7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0.1699421144040637"/>
                  <c:y val="-7.58117583807237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'6.1'!$AK$7:$AK$11</c:f>
              <c:strCache>
                <c:ptCount val="5"/>
                <c:pt idx="0">
                  <c:v>Doctors</c:v>
                </c:pt>
                <c:pt idx="1">
                  <c:v>Nurses</c:v>
                </c:pt>
                <c:pt idx="2">
                  <c:v>Paramedical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'6.1'!$AL$7:$AL$11</c:f>
              <c:numCache>
                <c:formatCode>#,##0</c:formatCode>
                <c:ptCount val="5"/>
                <c:pt idx="0">
                  <c:v>810</c:v>
                </c:pt>
                <c:pt idx="1">
                  <c:v>2622</c:v>
                </c:pt>
                <c:pt idx="2">
                  <c:v>827</c:v>
                </c:pt>
                <c:pt idx="3">
                  <c:v>478</c:v>
                </c:pt>
                <c:pt idx="4">
                  <c:v>60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66"/>
        <c:holeSize val="10"/>
      </c:doughnutChart>
    </c:plotArea>
    <c:plotVisOnly val="1"/>
    <c:dispBlanksAs val="gap"/>
    <c:showDLblsOverMax val="0"/>
  </c:chart>
  <c:spPr>
    <a:solidFill>
      <a:srgbClr val="FDEADA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396085031355807E-2"/>
          <c:y val="0.15759385413901913"/>
          <c:w val="0.89351461601650939"/>
          <c:h val="0.679097879618980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'6.1'!$AD$7</c:f>
              <c:strCache>
                <c:ptCount val="1"/>
                <c:pt idx="0">
                  <c:v>Doctors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'6.1'!$AE$7:$AH$7</c:f>
              <c:numCache>
                <c:formatCode>#,##0</c:formatCode>
                <c:ptCount val="4"/>
                <c:pt idx="0">
                  <c:v>222</c:v>
                </c:pt>
                <c:pt idx="1">
                  <c:v>174</c:v>
                </c:pt>
                <c:pt idx="2">
                  <c:v>338</c:v>
                </c:pt>
                <c:pt idx="3">
                  <c:v>76</c:v>
                </c:pt>
              </c:numCache>
            </c:numRef>
          </c:val>
        </c:ser>
        <c:ser>
          <c:idx val="1"/>
          <c:order val="1"/>
          <c:tx>
            <c:strRef>
              <c:f>'6.1'!$AD$8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rgbClr val="F59D27"/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'6.1'!$AE$8:$AH$8</c:f>
              <c:numCache>
                <c:formatCode>General</c:formatCode>
                <c:ptCount val="4"/>
                <c:pt idx="0">
                  <c:v>137</c:v>
                </c:pt>
                <c:pt idx="1">
                  <c:v>933</c:v>
                </c:pt>
                <c:pt idx="2">
                  <c:v>134</c:v>
                </c:pt>
                <c:pt idx="3">
                  <c:v>1418</c:v>
                </c:pt>
              </c:numCache>
            </c:numRef>
          </c:val>
        </c:ser>
        <c:ser>
          <c:idx val="2"/>
          <c:order val="2"/>
          <c:tx>
            <c:strRef>
              <c:f>'6.1'!$AD$9</c:f>
              <c:strCache>
                <c:ptCount val="1"/>
                <c:pt idx="0">
                  <c:v>Paramedical Staff</c:v>
                </c:pt>
              </c:strCache>
            </c:strRef>
          </c:tx>
          <c:spPr>
            <a:solidFill>
              <a:srgbClr val="FACA8A"/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'6.1'!$AE$9:$AH$9</c:f>
              <c:numCache>
                <c:formatCode>General</c:formatCode>
                <c:ptCount val="4"/>
                <c:pt idx="0">
                  <c:v>100</c:v>
                </c:pt>
                <c:pt idx="1">
                  <c:v>138</c:v>
                </c:pt>
                <c:pt idx="2">
                  <c:v>138</c:v>
                </c:pt>
                <c:pt idx="3">
                  <c:v>89</c:v>
                </c:pt>
              </c:numCache>
            </c:numRef>
          </c:val>
        </c:ser>
        <c:ser>
          <c:idx val="3"/>
          <c:order val="3"/>
          <c:tx>
            <c:strRef>
              <c:f>'6.1'!$AD$10</c:f>
              <c:strCache>
                <c:ptCount val="1"/>
                <c:pt idx="0">
                  <c:v>Community Health Personnel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'6.1'!$AE$10:$AH$10</c:f>
              <c:numCache>
                <c:formatCode>#,##0</c:formatCode>
                <c:ptCount val="4"/>
                <c:pt idx="0">
                  <c:v>1</c:v>
                </c:pt>
                <c:pt idx="1">
                  <c:v>7</c:v>
                </c:pt>
                <c:pt idx="2">
                  <c:v>149</c:v>
                </c:pt>
                <c:pt idx="3">
                  <c:v>321</c:v>
                </c:pt>
              </c:numCache>
            </c:numRef>
          </c:val>
        </c:ser>
        <c:ser>
          <c:idx val="4"/>
          <c:order val="4"/>
          <c:tx>
            <c:strRef>
              <c:f>'6.1'!$AD$11</c:f>
              <c:strCache>
                <c:ptCount val="1"/>
                <c:pt idx="0">
                  <c:v>Traditional Birth Attendant (Foolhuma)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cat>
            <c:multiLvlStrRef>
              <c:f>'6.1'!$AE$5:$AH$6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'6.1'!$AE$11:$AH$11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297152"/>
        <c:axId val="117298688"/>
      </c:barChart>
      <c:catAx>
        <c:axId val="117297152"/>
        <c:scaling>
          <c:orientation val="minMax"/>
        </c:scaling>
        <c:delete val="0"/>
        <c:axPos val="b"/>
        <c:majorTickMark val="none"/>
        <c:minorTickMark val="none"/>
        <c:tickLblPos val="nextTo"/>
        <c:crossAx val="117298688"/>
        <c:crosses val="autoZero"/>
        <c:auto val="1"/>
        <c:lblAlgn val="ctr"/>
        <c:lblOffset val="100"/>
        <c:noMultiLvlLbl val="0"/>
      </c:catAx>
      <c:valAx>
        <c:axId val="117298688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17297152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8.7521388070765968E-2"/>
          <c:y val="0.17068506886077442"/>
          <c:w val="0.71909438801065895"/>
          <c:h val="0.21850681774534281"/>
        </c:manualLayout>
      </c:layout>
      <c:overlay val="0"/>
      <c:spPr>
        <a:noFill/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30</xdr:row>
      <xdr:rowOff>76199</xdr:rowOff>
    </xdr:from>
    <xdr:to>
      <xdr:col>15</xdr:col>
      <xdr:colOff>790575</xdr:colOff>
      <xdr:row>43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390524</xdr:colOff>
      <xdr:row>44</xdr:row>
      <xdr:rowOff>165100</xdr:rowOff>
    </xdr:from>
    <xdr:to>
      <xdr:col>15</xdr:col>
      <xdr:colOff>800100</xdr:colOff>
      <xdr:row>57</xdr:row>
      <xdr:rowOff>63500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531679</xdr:colOff>
      <xdr:row>44</xdr:row>
      <xdr:rowOff>238087</xdr:rowOff>
    </xdr:from>
    <xdr:to>
      <xdr:col>15</xdr:col>
      <xdr:colOff>142875</xdr:colOff>
      <xdr:row>46</xdr:row>
      <xdr:rowOff>12662</xdr:rowOff>
    </xdr:to>
    <xdr:sp macro="" textlink="">
      <xdr:nvSpPr>
        <xdr:cNvPr id="9" name="TextBox 8"/>
        <xdr:cNvSpPr txBox="1"/>
      </xdr:nvSpPr>
      <xdr:spPr>
        <a:xfrm>
          <a:off x="3608254" y="10772737"/>
          <a:ext cx="5383346" cy="269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342900</xdr:colOff>
      <xdr:row>30</xdr:row>
      <xdr:rowOff>104775</xdr:rowOff>
    </xdr:from>
    <xdr:to>
      <xdr:col>11</xdr:col>
      <xdr:colOff>66676</xdr:colOff>
      <xdr:row>31</xdr:row>
      <xdr:rowOff>114300</xdr:rowOff>
    </xdr:to>
    <xdr:sp macro="" textlink="">
      <xdr:nvSpPr>
        <xdr:cNvPr id="10" name="TextBox 9"/>
        <xdr:cNvSpPr txBox="1"/>
      </xdr:nvSpPr>
      <xdr:spPr>
        <a:xfrm>
          <a:off x="4114800" y="7172325"/>
          <a:ext cx="4105276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6.1: Percentage of Health Personnels, 2016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338811</xdr:colOff>
      <xdr:row>31</xdr:row>
      <xdr:rowOff>79721</xdr:rowOff>
    </xdr:from>
    <xdr:to>
      <xdr:col>10</xdr:col>
      <xdr:colOff>577123</xdr:colOff>
      <xdr:row>31</xdr:row>
      <xdr:rowOff>79721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4110711" y="7394921"/>
          <a:ext cx="3924487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2</xdr:col>
      <xdr:colOff>574183</xdr:colOff>
      <xdr:row>45</xdr:row>
      <xdr:rowOff>222292</xdr:rowOff>
    </xdr:from>
    <xdr:to>
      <xdr:col>15</xdr:col>
      <xdr:colOff>47625</xdr:colOff>
      <xdr:row>45</xdr:row>
      <xdr:rowOff>222292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>
          <a:off x="3650758" y="11004592"/>
          <a:ext cx="524559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wrap="square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6.%20HEALTH%20_%20Min%20of%20Yo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22"/>
      <sheetName val="6.23"/>
    </sheetNames>
    <sheetDataSet>
      <sheetData sheetId="0">
        <row r="30">
          <cell r="AG30" t="str">
            <v>Female</v>
          </cell>
          <cell r="AH30" t="str">
            <v>Male</v>
          </cell>
        </row>
        <row r="31">
          <cell r="AF31" t="str">
            <v>Family</v>
          </cell>
          <cell r="AG31">
            <v>1</v>
          </cell>
          <cell r="AH31">
            <v>6</v>
          </cell>
        </row>
        <row r="32">
          <cell r="AF32" t="str">
            <v>Abuse</v>
          </cell>
          <cell r="AG32">
            <v>0</v>
          </cell>
          <cell r="AH32">
            <v>2</v>
          </cell>
        </row>
        <row r="33">
          <cell r="AF33" t="str">
            <v>Psychological</v>
          </cell>
          <cell r="AG33">
            <v>4</v>
          </cell>
          <cell r="AH33">
            <v>16</v>
          </cell>
        </row>
        <row r="34">
          <cell r="AF34" t="str">
            <v>Behavioural</v>
          </cell>
          <cell r="AG34">
            <v>5</v>
          </cell>
          <cell r="AH34">
            <v>16</v>
          </cell>
        </row>
      </sheetData>
      <sheetData sheetId="1">
        <row r="45">
          <cell r="D45" t="str">
            <v xml:space="preserve">    15 - 19</v>
          </cell>
          <cell r="E45" t="str">
            <v xml:space="preserve">    20 - 24</v>
          </cell>
          <cell r="F45" t="str">
            <v xml:space="preserve">    25 - 29</v>
          </cell>
          <cell r="G45" t="str">
            <v xml:space="preserve">    30 - 34</v>
          </cell>
          <cell r="H45" t="str">
            <v xml:space="preserve">    35 - 39</v>
          </cell>
          <cell r="I45" t="str">
            <v xml:space="preserve">    40+</v>
          </cell>
        </row>
        <row r="46">
          <cell r="B46" t="str">
            <v>Family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 t="str">
            <v>Abuse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 t="str">
            <v>Psychological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 t="str">
            <v>Behavioural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86"/>
  <sheetViews>
    <sheetView tabSelected="1" zoomScaleNormal="100" workbookViewId="0">
      <selection activeCell="V10" sqref="V10"/>
    </sheetView>
  </sheetViews>
  <sheetFormatPr defaultRowHeight="19.5" customHeight="1" x14ac:dyDescent="0.25"/>
  <cols>
    <col min="1" max="1" width="35.7109375" style="21" customWidth="1"/>
    <col min="2" max="4" width="10.42578125" style="18" customWidth="1"/>
    <col min="5" max="5" width="1.5703125" style="18" customWidth="1"/>
    <col min="6" max="8" width="10.42578125" style="18" customWidth="1"/>
    <col min="9" max="9" width="1.5703125" style="18" customWidth="1"/>
    <col min="10" max="12" width="10.42578125" style="18" customWidth="1"/>
    <col min="13" max="13" width="3.140625" style="4" hidden="1" customWidth="1"/>
    <col min="14" max="14" width="6.5703125" style="4" hidden="1" customWidth="1"/>
    <col min="15" max="15" width="20.85546875" style="4" hidden="1" customWidth="1"/>
    <col min="16" max="16" width="28.85546875" style="4" customWidth="1"/>
    <col min="17" max="17" width="9.140625" style="4"/>
    <col min="18" max="18" width="9.140625" style="67"/>
    <col min="19" max="19" width="1.7109375" style="40" customWidth="1"/>
    <col min="20" max="104" width="9.140625" style="40"/>
    <col min="105" max="264" width="9.140625" style="4"/>
    <col min="265" max="265" width="40.85546875" style="4" customWidth="1"/>
    <col min="266" max="268" width="11.140625" style="4" customWidth="1"/>
    <col min="269" max="269" width="4.140625" style="4" customWidth="1"/>
    <col min="270" max="272" width="11.140625" style="4" customWidth="1"/>
    <col min="273" max="273" width="3.28515625" style="4" customWidth="1"/>
    <col min="274" max="276" width="11.140625" style="4" customWidth="1"/>
    <col min="277" max="277" width="3.140625" style="4" bestFit="1" customWidth="1"/>
    <col min="278" max="278" width="6.5703125" style="4" bestFit="1" customWidth="1"/>
    <col min="279" max="279" width="20.85546875" style="4" customWidth="1"/>
    <col min="280" max="280" width="7.5703125" style="4" customWidth="1"/>
    <col min="281" max="520" width="9.140625" style="4"/>
    <col min="521" max="521" width="40.85546875" style="4" customWidth="1"/>
    <col min="522" max="524" width="11.140625" style="4" customWidth="1"/>
    <col min="525" max="525" width="4.140625" style="4" customWidth="1"/>
    <col min="526" max="528" width="11.140625" style="4" customWidth="1"/>
    <col min="529" max="529" width="3.28515625" style="4" customWidth="1"/>
    <col min="530" max="532" width="11.140625" style="4" customWidth="1"/>
    <col min="533" max="533" width="3.140625" style="4" bestFit="1" customWidth="1"/>
    <col min="534" max="534" width="6.5703125" style="4" bestFit="1" customWidth="1"/>
    <col min="535" max="535" width="20.85546875" style="4" customWidth="1"/>
    <col min="536" max="536" width="7.5703125" style="4" customWidth="1"/>
    <col min="537" max="776" width="9.140625" style="4"/>
    <col min="777" max="777" width="40.85546875" style="4" customWidth="1"/>
    <col min="778" max="780" width="11.140625" style="4" customWidth="1"/>
    <col min="781" max="781" width="4.140625" style="4" customWidth="1"/>
    <col min="782" max="784" width="11.140625" style="4" customWidth="1"/>
    <col min="785" max="785" width="3.28515625" style="4" customWidth="1"/>
    <col min="786" max="788" width="11.140625" style="4" customWidth="1"/>
    <col min="789" max="789" width="3.140625" style="4" bestFit="1" customWidth="1"/>
    <col min="790" max="790" width="6.5703125" style="4" bestFit="1" customWidth="1"/>
    <col min="791" max="791" width="20.85546875" style="4" customWidth="1"/>
    <col min="792" max="792" width="7.5703125" style="4" customWidth="1"/>
    <col min="793" max="1032" width="9.140625" style="4"/>
    <col min="1033" max="1033" width="40.85546875" style="4" customWidth="1"/>
    <col min="1034" max="1036" width="11.140625" style="4" customWidth="1"/>
    <col min="1037" max="1037" width="4.140625" style="4" customWidth="1"/>
    <col min="1038" max="1040" width="11.140625" style="4" customWidth="1"/>
    <col min="1041" max="1041" width="3.28515625" style="4" customWidth="1"/>
    <col min="1042" max="1044" width="11.140625" style="4" customWidth="1"/>
    <col min="1045" max="1045" width="3.140625" style="4" bestFit="1" customWidth="1"/>
    <col min="1046" max="1046" width="6.5703125" style="4" bestFit="1" customWidth="1"/>
    <col min="1047" max="1047" width="20.85546875" style="4" customWidth="1"/>
    <col min="1048" max="1048" width="7.5703125" style="4" customWidth="1"/>
    <col min="1049" max="1288" width="9.140625" style="4"/>
    <col min="1289" max="1289" width="40.85546875" style="4" customWidth="1"/>
    <col min="1290" max="1292" width="11.140625" style="4" customWidth="1"/>
    <col min="1293" max="1293" width="4.140625" style="4" customWidth="1"/>
    <col min="1294" max="1296" width="11.140625" style="4" customWidth="1"/>
    <col min="1297" max="1297" width="3.28515625" style="4" customWidth="1"/>
    <col min="1298" max="1300" width="11.140625" style="4" customWidth="1"/>
    <col min="1301" max="1301" width="3.140625" style="4" bestFit="1" customWidth="1"/>
    <col min="1302" max="1302" width="6.5703125" style="4" bestFit="1" customWidth="1"/>
    <col min="1303" max="1303" width="20.85546875" style="4" customWidth="1"/>
    <col min="1304" max="1304" width="7.5703125" style="4" customWidth="1"/>
    <col min="1305" max="1544" width="9.140625" style="4"/>
    <col min="1545" max="1545" width="40.85546875" style="4" customWidth="1"/>
    <col min="1546" max="1548" width="11.140625" style="4" customWidth="1"/>
    <col min="1549" max="1549" width="4.140625" style="4" customWidth="1"/>
    <col min="1550" max="1552" width="11.140625" style="4" customWidth="1"/>
    <col min="1553" max="1553" width="3.28515625" style="4" customWidth="1"/>
    <col min="1554" max="1556" width="11.140625" style="4" customWidth="1"/>
    <col min="1557" max="1557" width="3.140625" style="4" bestFit="1" customWidth="1"/>
    <col min="1558" max="1558" width="6.5703125" style="4" bestFit="1" customWidth="1"/>
    <col min="1559" max="1559" width="20.85546875" style="4" customWidth="1"/>
    <col min="1560" max="1560" width="7.5703125" style="4" customWidth="1"/>
    <col min="1561" max="1800" width="9.140625" style="4"/>
    <col min="1801" max="1801" width="40.85546875" style="4" customWidth="1"/>
    <col min="1802" max="1804" width="11.140625" style="4" customWidth="1"/>
    <col min="1805" max="1805" width="4.140625" style="4" customWidth="1"/>
    <col min="1806" max="1808" width="11.140625" style="4" customWidth="1"/>
    <col min="1809" max="1809" width="3.28515625" style="4" customWidth="1"/>
    <col min="1810" max="1812" width="11.140625" style="4" customWidth="1"/>
    <col min="1813" max="1813" width="3.140625" style="4" bestFit="1" customWidth="1"/>
    <col min="1814" max="1814" width="6.5703125" style="4" bestFit="1" customWidth="1"/>
    <col min="1815" max="1815" width="20.85546875" style="4" customWidth="1"/>
    <col min="1816" max="1816" width="7.5703125" style="4" customWidth="1"/>
    <col min="1817" max="2056" width="9.140625" style="4"/>
    <col min="2057" max="2057" width="40.85546875" style="4" customWidth="1"/>
    <col min="2058" max="2060" width="11.140625" style="4" customWidth="1"/>
    <col min="2061" max="2061" width="4.140625" style="4" customWidth="1"/>
    <col min="2062" max="2064" width="11.140625" style="4" customWidth="1"/>
    <col min="2065" max="2065" width="3.28515625" style="4" customWidth="1"/>
    <col min="2066" max="2068" width="11.140625" style="4" customWidth="1"/>
    <col min="2069" max="2069" width="3.140625" style="4" bestFit="1" customWidth="1"/>
    <col min="2070" max="2070" width="6.5703125" style="4" bestFit="1" customWidth="1"/>
    <col min="2071" max="2071" width="20.85546875" style="4" customWidth="1"/>
    <col min="2072" max="2072" width="7.5703125" style="4" customWidth="1"/>
    <col min="2073" max="2312" width="9.140625" style="4"/>
    <col min="2313" max="2313" width="40.85546875" style="4" customWidth="1"/>
    <col min="2314" max="2316" width="11.140625" style="4" customWidth="1"/>
    <col min="2317" max="2317" width="4.140625" style="4" customWidth="1"/>
    <col min="2318" max="2320" width="11.140625" style="4" customWidth="1"/>
    <col min="2321" max="2321" width="3.28515625" style="4" customWidth="1"/>
    <col min="2322" max="2324" width="11.140625" style="4" customWidth="1"/>
    <col min="2325" max="2325" width="3.140625" style="4" bestFit="1" customWidth="1"/>
    <col min="2326" max="2326" width="6.5703125" style="4" bestFit="1" customWidth="1"/>
    <col min="2327" max="2327" width="20.85546875" style="4" customWidth="1"/>
    <col min="2328" max="2328" width="7.5703125" style="4" customWidth="1"/>
    <col min="2329" max="2568" width="9.140625" style="4"/>
    <col min="2569" max="2569" width="40.85546875" style="4" customWidth="1"/>
    <col min="2570" max="2572" width="11.140625" style="4" customWidth="1"/>
    <col min="2573" max="2573" width="4.140625" style="4" customWidth="1"/>
    <col min="2574" max="2576" width="11.140625" style="4" customWidth="1"/>
    <col min="2577" max="2577" width="3.28515625" style="4" customWidth="1"/>
    <col min="2578" max="2580" width="11.140625" style="4" customWidth="1"/>
    <col min="2581" max="2581" width="3.140625" style="4" bestFit="1" customWidth="1"/>
    <col min="2582" max="2582" width="6.5703125" style="4" bestFit="1" customWidth="1"/>
    <col min="2583" max="2583" width="20.85546875" style="4" customWidth="1"/>
    <col min="2584" max="2584" width="7.5703125" style="4" customWidth="1"/>
    <col min="2585" max="2824" width="9.140625" style="4"/>
    <col min="2825" max="2825" width="40.85546875" style="4" customWidth="1"/>
    <col min="2826" max="2828" width="11.140625" style="4" customWidth="1"/>
    <col min="2829" max="2829" width="4.140625" style="4" customWidth="1"/>
    <col min="2830" max="2832" width="11.140625" style="4" customWidth="1"/>
    <col min="2833" max="2833" width="3.28515625" style="4" customWidth="1"/>
    <col min="2834" max="2836" width="11.140625" style="4" customWidth="1"/>
    <col min="2837" max="2837" width="3.140625" style="4" bestFit="1" customWidth="1"/>
    <col min="2838" max="2838" width="6.5703125" style="4" bestFit="1" customWidth="1"/>
    <col min="2839" max="2839" width="20.85546875" style="4" customWidth="1"/>
    <col min="2840" max="2840" width="7.5703125" style="4" customWidth="1"/>
    <col min="2841" max="3080" width="9.140625" style="4"/>
    <col min="3081" max="3081" width="40.85546875" style="4" customWidth="1"/>
    <col min="3082" max="3084" width="11.140625" style="4" customWidth="1"/>
    <col min="3085" max="3085" width="4.140625" style="4" customWidth="1"/>
    <col min="3086" max="3088" width="11.140625" style="4" customWidth="1"/>
    <col min="3089" max="3089" width="3.28515625" style="4" customWidth="1"/>
    <col min="3090" max="3092" width="11.140625" style="4" customWidth="1"/>
    <col min="3093" max="3093" width="3.140625" style="4" bestFit="1" customWidth="1"/>
    <col min="3094" max="3094" width="6.5703125" style="4" bestFit="1" customWidth="1"/>
    <col min="3095" max="3095" width="20.85546875" style="4" customWidth="1"/>
    <col min="3096" max="3096" width="7.5703125" style="4" customWidth="1"/>
    <col min="3097" max="3336" width="9.140625" style="4"/>
    <col min="3337" max="3337" width="40.85546875" style="4" customWidth="1"/>
    <col min="3338" max="3340" width="11.140625" style="4" customWidth="1"/>
    <col min="3341" max="3341" width="4.140625" style="4" customWidth="1"/>
    <col min="3342" max="3344" width="11.140625" style="4" customWidth="1"/>
    <col min="3345" max="3345" width="3.28515625" style="4" customWidth="1"/>
    <col min="3346" max="3348" width="11.140625" style="4" customWidth="1"/>
    <col min="3349" max="3349" width="3.140625" style="4" bestFit="1" customWidth="1"/>
    <col min="3350" max="3350" width="6.5703125" style="4" bestFit="1" customWidth="1"/>
    <col min="3351" max="3351" width="20.85546875" style="4" customWidth="1"/>
    <col min="3352" max="3352" width="7.5703125" style="4" customWidth="1"/>
    <col min="3353" max="3592" width="9.140625" style="4"/>
    <col min="3593" max="3593" width="40.85546875" style="4" customWidth="1"/>
    <col min="3594" max="3596" width="11.140625" style="4" customWidth="1"/>
    <col min="3597" max="3597" width="4.140625" style="4" customWidth="1"/>
    <col min="3598" max="3600" width="11.140625" style="4" customWidth="1"/>
    <col min="3601" max="3601" width="3.28515625" style="4" customWidth="1"/>
    <col min="3602" max="3604" width="11.140625" style="4" customWidth="1"/>
    <col min="3605" max="3605" width="3.140625" style="4" bestFit="1" customWidth="1"/>
    <col min="3606" max="3606" width="6.5703125" style="4" bestFit="1" customWidth="1"/>
    <col min="3607" max="3607" width="20.85546875" style="4" customWidth="1"/>
    <col min="3608" max="3608" width="7.5703125" style="4" customWidth="1"/>
    <col min="3609" max="3848" width="9.140625" style="4"/>
    <col min="3849" max="3849" width="40.85546875" style="4" customWidth="1"/>
    <col min="3850" max="3852" width="11.140625" style="4" customWidth="1"/>
    <col min="3853" max="3853" width="4.140625" style="4" customWidth="1"/>
    <col min="3854" max="3856" width="11.140625" style="4" customWidth="1"/>
    <col min="3857" max="3857" width="3.28515625" style="4" customWidth="1"/>
    <col min="3858" max="3860" width="11.140625" style="4" customWidth="1"/>
    <col min="3861" max="3861" width="3.140625" style="4" bestFit="1" customWidth="1"/>
    <col min="3862" max="3862" width="6.5703125" style="4" bestFit="1" customWidth="1"/>
    <col min="3863" max="3863" width="20.85546875" style="4" customWidth="1"/>
    <col min="3864" max="3864" width="7.5703125" style="4" customWidth="1"/>
    <col min="3865" max="4104" width="9.140625" style="4"/>
    <col min="4105" max="4105" width="40.85546875" style="4" customWidth="1"/>
    <col min="4106" max="4108" width="11.140625" style="4" customWidth="1"/>
    <col min="4109" max="4109" width="4.140625" style="4" customWidth="1"/>
    <col min="4110" max="4112" width="11.140625" style="4" customWidth="1"/>
    <col min="4113" max="4113" width="3.28515625" style="4" customWidth="1"/>
    <col min="4114" max="4116" width="11.140625" style="4" customWidth="1"/>
    <col min="4117" max="4117" width="3.140625" style="4" bestFit="1" customWidth="1"/>
    <col min="4118" max="4118" width="6.5703125" style="4" bestFit="1" customWidth="1"/>
    <col min="4119" max="4119" width="20.85546875" style="4" customWidth="1"/>
    <col min="4120" max="4120" width="7.5703125" style="4" customWidth="1"/>
    <col min="4121" max="4360" width="9.140625" style="4"/>
    <col min="4361" max="4361" width="40.85546875" style="4" customWidth="1"/>
    <col min="4362" max="4364" width="11.140625" style="4" customWidth="1"/>
    <col min="4365" max="4365" width="4.140625" style="4" customWidth="1"/>
    <col min="4366" max="4368" width="11.140625" style="4" customWidth="1"/>
    <col min="4369" max="4369" width="3.28515625" style="4" customWidth="1"/>
    <col min="4370" max="4372" width="11.140625" style="4" customWidth="1"/>
    <col min="4373" max="4373" width="3.140625" style="4" bestFit="1" customWidth="1"/>
    <col min="4374" max="4374" width="6.5703125" style="4" bestFit="1" customWidth="1"/>
    <col min="4375" max="4375" width="20.85546875" style="4" customWidth="1"/>
    <col min="4376" max="4376" width="7.5703125" style="4" customWidth="1"/>
    <col min="4377" max="4616" width="9.140625" style="4"/>
    <col min="4617" max="4617" width="40.85546875" style="4" customWidth="1"/>
    <col min="4618" max="4620" width="11.140625" style="4" customWidth="1"/>
    <col min="4621" max="4621" width="4.140625" style="4" customWidth="1"/>
    <col min="4622" max="4624" width="11.140625" style="4" customWidth="1"/>
    <col min="4625" max="4625" width="3.28515625" style="4" customWidth="1"/>
    <col min="4626" max="4628" width="11.140625" style="4" customWidth="1"/>
    <col min="4629" max="4629" width="3.140625" style="4" bestFit="1" customWidth="1"/>
    <col min="4630" max="4630" width="6.5703125" style="4" bestFit="1" customWidth="1"/>
    <col min="4631" max="4631" width="20.85546875" style="4" customWidth="1"/>
    <col min="4632" max="4632" width="7.5703125" style="4" customWidth="1"/>
    <col min="4633" max="4872" width="9.140625" style="4"/>
    <col min="4873" max="4873" width="40.85546875" style="4" customWidth="1"/>
    <col min="4874" max="4876" width="11.140625" style="4" customWidth="1"/>
    <col min="4877" max="4877" width="4.140625" style="4" customWidth="1"/>
    <col min="4878" max="4880" width="11.140625" style="4" customWidth="1"/>
    <col min="4881" max="4881" width="3.28515625" style="4" customWidth="1"/>
    <col min="4882" max="4884" width="11.140625" style="4" customWidth="1"/>
    <col min="4885" max="4885" width="3.140625" style="4" bestFit="1" customWidth="1"/>
    <col min="4886" max="4886" width="6.5703125" style="4" bestFit="1" customWidth="1"/>
    <col min="4887" max="4887" width="20.85546875" style="4" customWidth="1"/>
    <col min="4888" max="4888" width="7.5703125" style="4" customWidth="1"/>
    <col min="4889" max="5128" width="9.140625" style="4"/>
    <col min="5129" max="5129" width="40.85546875" style="4" customWidth="1"/>
    <col min="5130" max="5132" width="11.140625" style="4" customWidth="1"/>
    <col min="5133" max="5133" width="4.140625" style="4" customWidth="1"/>
    <col min="5134" max="5136" width="11.140625" style="4" customWidth="1"/>
    <col min="5137" max="5137" width="3.28515625" style="4" customWidth="1"/>
    <col min="5138" max="5140" width="11.140625" style="4" customWidth="1"/>
    <col min="5141" max="5141" width="3.140625" style="4" bestFit="1" customWidth="1"/>
    <col min="5142" max="5142" width="6.5703125" style="4" bestFit="1" customWidth="1"/>
    <col min="5143" max="5143" width="20.85546875" style="4" customWidth="1"/>
    <col min="5144" max="5144" width="7.5703125" style="4" customWidth="1"/>
    <col min="5145" max="5384" width="9.140625" style="4"/>
    <col min="5385" max="5385" width="40.85546875" style="4" customWidth="1"/>
    <col min="5386" max="5388" width="11.140625" style="4" customWidth="1"/>
    <col min="5389" max="5389" width="4.140625" style="4" customWidth="1"/>
    <col min="5390" max="5392" width="11.140625" style="4" customWidth="1"/>
    <col min="5393" max="5393" width="3.28515625" style="4" customWidth="1"/>
    <col min="5394" max="5396" width="11.140625" style="4" customWidth="1"/>
    <col min="5397" max="5397" width="3.140625" style="4" bestFit="1" customWidth="1"/>
    <col min="5398" max="5398" width="6.5703125" style="4" bestFit="1" customWidth="1"/>
    <col min="5399" max="5399" width="20.85546875" style="4" customWidth="1"/>
    <col min="5400" max="5400" width="7.5703125" style="4" customWidth="1"/>
    <col min="5401" max="5640" width="9.140625" style="4"/>
    <col min="5641" max="5641" width="40.85546875" style="4" customWidth="1"/>
    <col min="5642" max="5644" width="11.140625" style="4" customWidth="1"/>
    <col min="5645" max="5645" width="4.140625" style="4" customWidth="1"/>
    <col min="5646" max="5648" width="11.140625" style="4" customWidth="1"/>
    <col min="5649" max="5649" width="3.28515625" style="4" customWidth="1"/>
    <col min="5650" max="5652" width="11.140625" style="4" customWidth="1"/>
    <col min="5653" max="5653" width="3.140625" style="4" bestFit="1" customWidth="1"/>
    <col min="5654" max="5654" width="6.5703125" style="4" bestFit="1" customWidth="1"/>
    <col min="5655" max="5655" width="20.85546875" style="4" customWidth="1"/>
    <col min="5656" max="5656" width="7.5703125" style="4" customWidth="1"/>
    <col min="5657" max="5896" width="9.140625" style="4"/>
    <col min="5897" max="5897" width="40.85546875" style="4" customWidth="1"/>
    <col min="5898" max="5900" width="11.140625" style="4" customWidth="1"/>
    <col min="5901" max="5901" width="4.140625" style="4" customWidth="1"/>
    <col min="5902" max="5904" width="11.140625" style="4" customWidth="1"/>
    <col min="5905" max="5905" width="3.28515625" style="4" customWidth="1"/>
    <col min="5906" max="5908" width="11.140625" style="4" customWidth="1"/>
    <col min="5909" max="5909" width="3.140625" style="4" bestFit="1" customWidth="1"/>
    <col min="5910" max="5910" width="6.5703125" style="4" bestFit="1" customWidth="1"/>
    <col min="5911" max="5911" width="20.85546875" style="4" customWidth="1"/>
    <col min="5912" max="5912" width="7.5703125" style="4" customWidth="1"/>
    <col min="5913" max="6152" width="9.140625" style="4"/>
    <col min="6153" max="6153" width="40.85546875" style="4" customWidth="1"/>
    <col min="6154" max="6156" width="11.140625" style="4" customWidth="1"/>
    <col min="6157" max="6157" width="4.140625" style="4" customWidth="1"/>
    <col min="6158" max="6160" width="11.140625" style="4" customWidth="1"/>
    <col min="6161" max="6161" width="3.28515625" style="4" customWidth="1"/>
    <col min="6162" max="6164" width="11.140625" style="4" customWidth="1"/>
    <col min="6165" max="6165" width="3.140625" style="4" bestFit="1" customWidth="1"/>
    <col min="6166" max="6166" width="6.5703125" style="4" bestFit="1" customWidth="1"/>
    <col min="6167" max="6167" width="20.85546875" style="4" customWidth="1"/>
    <col min="6168" max="6168" width="7.5703125" style="4" customWidth="1"/>
    <col min="6169" max="6408" width="9.140625" style="4"/>
    <col min="6409" max="6409" width="40.85546875" style="4" customWidth="1"/>
    <col min="6410" max="6412" width="11.140625" style="4" customWidth="1"/>
    <col min="6413" max="6413" width="4.140625" style="4" customWidth="1"/>
    <col min="6414" max="6416" width="11.140625" style="4" customWidth="1"/>
    <col min="6417" max="6417" width="3.28515625" style="4" customWidth="1"/>
    <col min="6418" max="6420" width="11.140625" style="4" customWidth="1"/>
    <col min="6421" max="6421" width="3.140625" style="4" bestFit="1" customWidth="1"/>
    <col min="6422" max="6422" width="6.5703125" style="4" bestFit="1" customWidth="1"/>
    <col min="6423" max="6423" width="20.85546875" style="4" customWidth="1"/>
    <col min="6424" max="6424" width="7.5703125" style="4" customWidth="1"/>
    <col min="6425" max="6664" width="9.140625" style="4"/>
    <col min="6665" max="6665" width="40.85546875" style="4" customWidth="1"/>
    <col min="6666" max="6668" width="11.140625" style="4" customWidth="1"/>
    <col min="6669" max="6669" width="4.140625" style="4" customWidth="1"/>
    <col min="6670" max="6672" width="11.140625" style="4" customWidth="1"/>
    <col min="6673" max="6673" width="3.28515625" style="4" customWidth="1"/>
    <col min="6674" max="6676" width="11.140625" style="4" customWidth="1"/>
    <col min="6677" max="6677" width="3.140625" style="4" bestFit="1" customWidth="1"/>
    <col min="6678" max="6678" width="6.5703125" style="4" bestFit="1" customWidth="1"/>
    <col min="6679" max="6679" width="20.85546875" style="4" customWidth="1"/>
    <col min="6680" max="6680" width="7.5703125" style="4" customWidth="1"/>
    <col min="6681" max="6920" width="9.140625" style="4"/>
    <col min="6921" max="6921" width="40.85546875" style="4" customWidth="1"/>
    <col min="6922" max="6924" width="11.140625" style="4" customWidth="1"/>
    <col min="6925" max="6925" width="4.140625" style="4" customWidth="1"/>
    <col min="6926" max="6928" width="11.140625" style="4" customWidth="1"/>
    <col min="6929" max="6929" width="3.28515625" style="4" customWidth="1"/>
    <col min="6930" max="6932" width="11.140625" style="4" customWidth="1"/>
    <col min="6933" max="6933" width="3.140625" style="4" bestFit="1" customWidth="1"/>
    <col min="6934" max="6934" width="6.5703125" style="4" bestFit="1" customWidth="1"/>
    <col min="6935" max="6935" width="20.85546875" style="4" customWidth="1"/>
    <col min="6936" max="6936" width="7.5703125" style="4" customWidth="1"/>
    <col min="6937" max="7176" width="9.140625" style="4"/>
    <col min="7177" max="7177" width="40.85546875" style="4" customWidth="1"/>
    <col min="7178" max="7180" width="11.140625" style="4" customWidth="1"/>
    <col min="7181" max="7181" width="4.140625" style="4" customWidth="1"/>
    <col min="7182" max="7184" width="11.140625" style="4" customWidth="1"/>
    <col min="7185" max="7185" width="3.28515625" style="4" customWidth="1"/>
    <col min="7186" max="7188" width="11.140625" style="4" customWidth="1"/>
    <col min="7189" max="7189" width="3.140625" style="4" bestFit="1" customWidth="1"/>
    <col min="7190" max="7190" width="6.5703125" style="4" bestFit="1" customWidth="1"/>
    <col min="7191" max="7191" width="20.85546875" style="4" customWidth="1"/>
    <col min="7192" max="7192" width="7.5703125" style="4" customWidth="1"/>
    <col min="7193" max="7432" width="9.140625" style="4"/>
    <col min="7433" max="7433" width="40.85546875" style="4" customWidth="1"/>
    <col min="7434" max="7436" width="11.140625" style="4" customWidth="1"/>
    <col min="7437" max="7437" width="4.140625" style="4" customWidth="1"/>
    <col min="7438" max="7440" width="11.140625" style="4" customWidth="1"/>
    <col min="7441" max="7441" width="3.28515625" style="4" customWidth="1"/>
    <col min="7442" max="7444" width="11.140625" style="4" customWidth="1"/>
    <col min="7445" max="7445" width="3.140625" style="4" bestFit="1" customWidth="1"/>
    <col min="7446" max="7446" width="6.5703125" style="4" bestFit="1" customWidth="1"/>
    <col min="7447" max="7447" width="20.85546875" style="4" customWidth="1"/>
    <col min="7448" max="7448" width="7.5703125" style="4" customWidth="1"/>
    <col min="7449" max="7688" width="9.140625" style="4"/>
    <col min="7689" max="7689" width="40.85546875" style="4" customWidth="1"/>
    <col min="7690" max="7692" width="11.140625" style="4" customWidth="1"/>
    <col min="7693" max="7693" width="4.140625" style="4" customWidth="1"/>
    <col min="7694" max="7696" width="11.140625" style="4" customWidth="1"/>
    <col min="7697" max="7697" width="3.28515625" style="4" customWidth="1"/>
    <col min="7698" max="7700" width="11.140625" style="4" customWidth="1"/>
    <col min="7701" max="7701" width="3.140625" style="4" bestFit="1" customWidth="1"/>
    <col min="7702" max="7702" width="6.5703125" style="4" bestFit="1" customWidth="1"/>
    <col min="7703" max="7703" width="20.85546875" style="4" customWidth="1"/>
    <col min="7704" max="7704" width="7.5703125" style="4" customWidth="1"/>
    <col min="7705" max="7944" width="9.140625" style="4"/>
    <col min="7945" max="7945" width="40.85546875" style="4" customWidth="1"/>
    <col min="7946" max="7948" width="11.140625" style="4" customWidth="1"/>
    <col min="7949" max="7949" width="4.140625" style="4" customWidth="1"/>
    <col min="7950" max="7952" width="11.140625" style="4" customWidth="1"/>
    <col min="7953" max="7953" width="3.28515625" style="4" customWidth="1"/>
    <col min="7954" max="7956" width="11.140625" style="4" customWidth="1"/>
    <col min="7957" max="7957" width="3.140625" style="4" bestFit="1" customWidth="1"/>
    <col min="7958" max="7958" width="6.5703125" style="4" bestFit="1" customWidth="1"/>
    <col min="7959" max="7959" width="20.85546875" style="4" customWidth="1"/>
    <col min="7960" max="7960" width="7.5703125" style="4" customWidth="1"/>
    <col min="7961" max="8200" width="9.140625" style="4"/>
    <col min="8201" max="8201" width="40.85546875" style="4" customWidth="1"/>
    <col min="8202" max="8204" width="11.140625" style="4" customWidth="1"/>
    <col min="8205" max="8205" width="4.140625" style="4" customWidth="1"/>
    <col min="8206" max="8208" width="11.140625" style="4" customWidth="1"/>
    <col min="8209" max="8209" width="3.28515625" style="4" customWidth="1"/>
    <col min="8210" max="8212" width="11.140625" style="4" customWidth="1"/>
    <col min="8213" max="8213" width="3.140625" style="4" bestFit="1" customWidth="1"/>
    <col min="8214" max="8214" width="6.5703125" style="4" bestFit="1" customWidth="1"/>
    <col min="8215" max="8215" width="20.85546875" style="4" customWidth="1"/>
    <col min="8216" max="8216" width="7.5703125" style="4" customWidth="1"/>
    <col min="8217" max="8456" width="9.140625" style="4"/>
    <col min="8457" max="8457" width="40.85546875" style="4" customWidth="1"/>
    <col min="8458" max="8460" width="11.140625" style="4" customWidth="1"/>
    <col min="8461" max="8461" width="4.140625" style="4" customWidth="1"/>
    <col min="8462" max="8464" width="11.140625" style="4" customWidth="1"/>
    <col min="8465" max="8465" width="3.28515625" style="4" customWidth="1"/>
    <col min="8466" max="8468" width="11.140625" style="4" customWidth="1"/>
    <col min="8469" max="8469" width="3.140625" style="4" bestFit="1" customWidth="1"/>
    <col min="8470" max="8470" width="6.5703125" style="4" bestFit="1" customWidth="1"/>
    <col min="8471" max="8471" width="20.85546875" style="4" customWidth="1"/>
    <col min="8472" max="8472" width="7.5703125" style="4" customWidth="1"/>
    <col min="8473" max="8712" width="9.140625" style="4"/>
    <col min="8713" max="8713" width="40.85546875" style="4" customWidth="1"/>
    <col min="8714" max="8716" width="11.140625" style="4" customWidth="1"/>
    <col min="8717" max="8717" width="4.140625" style="4" customWidth="1"/>
    <col min="8718" max="8720" width="11.140625" style="4" customWidth="1"/>
    <col min="8721" max="8721" width="3.28515625" style="4" customWidth="1"/>
    <col min="8722" max="8724" width="11.140625" style="4" customWidth="1"/>
    <col min="8725" max="8725" width="3.140625" style="4" bestFit="1" customWidth="1"/>
    <col min="8726" max="8726" width="6.5703125" style="4" bestFit="1" customWidth="1"/>
    <col min="8727" max="8727" width="20.85546875" style="4" customWidth="1"/>
    <col min="8728" max="8728" width="7.5703125" style="4" customWidth="1"/>
    <col min="8729" max="8968" width="9.140625" style="4"/>
    <col min="8969" max="8969" width="40.85546875" style="4" customWidth="1"/>
    <col min="8970" max="8972" width="11.140625" style="4" customWidth="1"/>
    <col min="8973" max="8973" width="4.140625" style="4" customWidth="1"/>
    <col min="8974" max="8976" width="11.140625" style="4" customWidth="1"/>
    <col min="8977" max="8977" width="3.28515625" style="4" customWidth="1"/>
    <col min="8978" max="8980" width="11.140625" style="4" customWidth="1"/>
    <col min="8981" max="8981" width="3.140625" style="4" bestFit="1" customWidth="1"/>
    <col min="8982" max="8982" width="6.5703125" style="4" bestFit="1" customWidth="1"/>
    <col min="8983" max="8983" width="20.85546875" style="4" customWidth="1"/>
    <col min="8984" max="8984" width="7.5703125" style="4" customWidth="1"/>
    <col min="8985" max="9224" width="9.140625" style="4"/>
    <col min="9225" max="9225" width="40.85546875" style="4" customWidth="1"/>
    <col min="9226" max="9228" width="11.140625" style="4" customWidth="1"/>
    <col min="9229" max="9229" width="4.140625" style="4" customWidth="1"/>
    <col min="9230" max="9232" width="11.140625" style="4" customWidth="1"/>
    <col min="9233" max="9233" width="3.28515625" style="4" customWidth="1"/>
    <col min="9234" max="9236" width="11.140625" style="4" customWidth="1"/>
    <col min="9237" max="9237" width="3.140625" style="4" bestFit="1" customWidth="1"/>
    <col min="9238" max="9238" width="6.5703125" style="4" bestFit="1" customWidth="1"/>
    <col min="9239" max="9239" width="20.85546875" style="4" customWidth="1"/>
    <col min="9240" max="9240" width="7.5703125" style="4" customWidth="1"/>
    <col min="9241" max="9480" width="9.140625" style="4"/>
    <col min="9481" max="9481" width="40.85546875" style="4" customWidth="1"/>
    <col min="9482" max="9484" width="11.140625" style="4" customWidth="1"/>
    <col min="9485" max="9485" width="4.140625" style="4" customWidth="1"/>
    <col min="9486" max="9488" width="11.140625" style="4" customWidth="1"/>
    <col min="9489" max="9489" width="3.28515625" style="4" customWidth="1"/>
    <col min="9490" max="9492" width="11.140625" style="4" customWidth="1"/>
    <col min="9493" max="9493" width="3.140625" style="4" bestFit="1" customWidth="1"/>
    <col min="9494" max="9494" width="6.5703125" style="4" bestFit="1" customWidth="1"/>
    <col min="9495" max="9495" width="20.85546875" style="4" customWidth="1"/>
    <col min="9496" max="9496" width="7.5703125" style="4" customWidth="1"/>
    <col min="9497" max="9736" width="9.140625" style="4"/>
    <col min="9737" max="9737" width="40.85546875" style="4" customWidth="1"/>
    <col min="9738" max="9740" width="11.140625" style="4" customWidth="1"/>
    <col min="9741" max="9741" width="4.140625" style="4" customWidth="1"/>
    <col min="9742" max="9744" width="11.140625" style="4" customWidth="1"/>
    <col min="9745" max="9745" width="3.28515625" style="4" customWidth="1"/>
    <col min="9746" max="9748" width="11.140625" style="4" customWidth="1"/>
    <col min="9749" max="9749" width="3.140625" style="4" bestFit="1" customWidth="1"/>
    <col min="9750" max="9750" width="6.5703125" style="4" bestFit="1" customWidth="1"/>
    <col min="9751" max="9751" width="20.85546875" style="4" customWidth="1"/>
    <col min="9752" max="9752" width="7.5703125" style="4" customWidth="1"/>
    <col min="9753" max="9992" width="9.140625" style="4"/>
    <col min="9993" max="9993" width="40.85546875" style="4" customWidth="1"/>
    <col min="9994" max="9996" width="11.140625" style="4" customWidth="1"/>
    <col min="9997" max="9997" width="4.140625" style="4" customWidth="1"/>
    <col min="9998" max="10000" width="11.140625" style="4" customWidth="1"/>
    <col min="10001" max="10001" width="3.28515625" style="4" customWidth="1"/>
    <col min="10002" max="10004" width="11.140625" style="4" customWidth="1"/>
    <col min="10005" max="10005" width="3.140625" style="4" bestFit="1" customWidth="1"/>
    <col min="10006" max="10006" width="6.5703125" style="4" bestFit="1" customWidth="1"/>
    <col min="10007" max="10007" width="20.85546875" style="4" customWidth="1"/>
    <col min="10008" max="10008" width="7.5703125" style="4" customWidth="1"/>
    <col min="10009" max="10248" width="9.140625" style="4"/>
    <col min="10249" max="10249" width="40.85546875" style="4" customWidth="1"/>
    <col min="10250" max="10252" width="11.140625" style="4" customWidth="1"/>
    <col min="10253" max="10253" width="4.140625" style="4" customWidth="1"/>
    <col min="10254" max="10256" width="11.140625" style="4" customWidth="1"/>
    <col min="10257" max="10257" width="3.28515625" style="4" customWidth="1"/>
    <col min="10258" max="10260" width="11.140625" style="4" customWidth="1"/>
    <col min="10261" max="10261" width="3.140625" style="4" bestFit="1" customWidth="1"/>
    <col min="10262" max="10262" width="6.5703125" style="4" bestFit="1" customWidth="1"/>
    <col min="10263" max="10263" width="20.85546875" style="4" customWidth="1"/>
    <col min="10264" max="10264" width="7.5703125" style="4" customWidth="1"/>
    <col min="10265" max="10504" width="9.140625" style="4"/>
    <col min="10505" max="10505" width="40.85546875" style="4" customWidth="1"/>
    <col min="10506" max="10508" width="11.140625" style="4" customWidth="1"/>
    <col min="10509" max="10509" width="4.140625" style="4" customWidth="1"/>
    <col min="10510" max="10512" width="11.140625" style="4" customWidth="1"/>
    <col min="10513" max="10513" width="3.28515625" style="4" customWidth="1"/>
    <col min="10514" max="10516" width="11.140625" style="4" customWidth="1"/>
    <col min="10517" max="10517" width="3.140625" style="4" bestFit="1" customWidth="1"/>
    <col min="10518" max="10518" width="6.5703125" style="4" bestFit="1" customWidth="1"/>
    <col min="10519" max="10519" width="20.85546875" style="4" customWidth="1"/>
    <col min="10520" max="10520" width="7.5703125" style="4" customWidth="1"/>
    <col min="10521" max="10760" width="9.140625" style="4"/>
    <col min="10761" max="10761" width="40.85546875" style="4" customWidth="1"/>
    <col min="10762" max="10764" width="11.140625" style="4" customWidth="1"/>
    <col min="10765" max="10765" width="4.140625" style="4" customWidth="1"/>
    <col min="10766" max="10768" width="11.140625" style="4" customWidth="1"/>
    <col min="10769" max="10769" width="3.28515625" style="4" customWidth="1"/>
    <col min="10770" max="10772" width="11.140625" style="4" customWidth="1"/>
    <col min="10773" max="10773" width="3.140625" style="4" bestFit="1" customWidth="1"/>
    <col min="10774" max="10774" width="6.5703125" style="4" bestFit="1" customWidth="1"/>
    <col min="10775" max="10775" width="20.85546875" style="4" customWidth="1"/>
    <col min="10776" max="10776" width="7.5703125" style="4" customWidth="1"/>
    <col min="10777" max="11016" width="9.140625" style="4"/>
    <col min="11017" max="11017" width="40.85546875" style="4" customWidth="1"/>
    <col min="11018" max="11020" width="11.140625" style="4" customWidth="1"/>
    <col min="11021" max="11021" width="4.140625" style="4" customWidth="1"/>
    <col min="11022" max="11024" width="11.140625" style="4" customWidth="1"/>
    <col min="11025" max="11025" width="3.28515625" style="4" customWidth="1"/>
    <col min="11026" max="11028" width="11.140625" style="4" customWidth="1"/>
    <col min="11029" max="11029" width="3.140625" style="4" bestFit="1" customWidth="1"/>
    <col min="11030" max="11030" width="6.5703125" style="4" bestFit="1" customWidth="1"/>
    <col min="11031" max="11031" width="20.85546875" style="4" customWidth="1"/>
    <col min="11032" max="11032" width="7.5703125" style="4" customWidth="1"/>
    <col min="11033" max="11272" width="9.140625" style="4"/>
    <col min="11273" max="11273" width="40.85546875" style="4" customWidth="1"/>
    <col min="11274" max="11276" width="11.140625" style="4" customWidth="1"/>
    <col min="11277" max="11277" width="4.140625" style="4" customWidth="1"/>
    <col min="11278" max="11280" width="11.140625" style="4" customWidth="1"/>
    <col min="11281" max="11281" width="3.28515625" style="4" customWidth="1"/>
    <col min="11282" max="11284" width="11.140625" style="4" customWidth="1"/>
    <col min="11285" max="11285" width="3.140625" style="4" bestFit="1" customWidth="1"/>
    <col min="11286" max="11286" width="6.5703125" style="4" bestFit="1" customWidth="1"/>
    <col min="11287" max="11287" width="20.85546875" style="4" customWidth="1"/>
    <col min="11288" max="11288" width="7.5703125" style="4" customWidth="1"/>
    <col min="11289" max="11528" width="9.140625" style="4"/>
    <col min="11529" max="11529" width="40.85546875" style="4" customWidth="1"/>
    <col min="11530" max="11532" width="11.140625" style="4" customWidth="1"/>
    <col min="11533" max="11533" width="4.140625" style="4" customWidth="1"/>
    <col min="11534" max="11536" width="11.140625" style="4" customWidth="1"/>
    <col min="11537" max="11537" width="3.28515625" style="4" customWidth="1"/>
    <col min="11538" max="11540" width="11.140625" style="4" customWidth="1"/>
    <col min="11541" max="11541" width="3.140625" style="4" bestFit="1" customWidth="1"/>
    <col min="11542" max="11542" width="6.5703125" style="4" bestFit="1" customWidth="1"/>
    <col min="11543" max="11543" width="20.85546875" style="4" customWidth="1"/>
    <col min="11544" max="11544" width="7.5703125" style="4" customWidth="1"/>
    <col min="11545" max="11784" width="9.140625" style="4"/>
    <col min="11785" max="11785" width="40.85546875" style="4" customWidth="1"/>
    <col min="11786" max="11788" width="11.140625" style="4" customWidth="1"/>
    <col min="11789" max="11789" width="4.140625" style="4" customWidth="1"/>
    <col min="11790" max="11792" width="11.140625" style="4" customWidth="1"/>
    <col min="11793" max="11793" width="3.28515625" style="4" customWidth="1"/>
    <col min="11794" max="11796" width="11.140625" style="4" customWidth="1"/>
    <col min="11797" max="11797" width="3.140625" style="4" bestFit="1" customWidth="1"/>
    <col min="11798" max="11798" width="6.5703125" style="4" bestFit="1" customWidth="1"/>
    <col min="11799" max="11799" width="20.85546875" style="4" customWidth="1"/>
    <col min="11800" max="11800" width="7.5703125" style="4" customWidth="1"/>
    <col min="11801" max="12040" width="9.140625" style="4"/>
    <col min="12041" max="12041" width="40.85546875" style="4" customWidth="1"/>
    <col min="12042" max="12044" width="11.140625" style="4" customWidth="1"/>
    <col min="12045" max="12045" width="4.140625" style="4" customWidth="1"/>
    <col min="12046" max="12048" width="11.140625" style="4" customWidth="1"/>
    <col min="12049" max="12049" width="3.28515625" style="4" customWidth="1"/>
    <col min="12050" max="12052" width="11.140625" style="4" customWidth="1"/>
    <col min="12053" max="12053" width="3.140625" style="4" bestFit="1" customWidth="1"/>
    <col min="12054" max="12054" width="6.5703125" style="4" bestFit="1" customWidth="1"/>
    <col min="12055" max="12055" width="20.85546875" style="4" customWidth="1"/>
    <col min="12056" max="12056" width="7.5703125" style="4" customWidth="1"/>
    <col min="12057" max="12296" width="9.140625" style="4"/>
    <col min="12297" max="12297" width="40.85546875" style="4" customWidth="1"/>
    <col min="12298" max="12300" width="11.140625" style="4" customWidth="1"/>
    <col min="12301" max="12301" width="4.140625" style="4" customWidth="1"/>
    <col min="12302" max="12304" width="11.140625" style="4" customWidth="1"/>
    <col min="12305" max="12305" width="3.28515625" style="4" customWidth="1"/>
    <col min="12306" max="12308" width="11.140625" style="4" customWidth="1"/>
    <col min="12309" max="12309" width="3.140625" style="4" bestFit="1" customWidth="1"/>
    <col min="12310" max="12310" width="6.5703125" style="4" bestFit="1" customWidth="1"/>
    <col min="12311" max="12311" width="20.85546875" style="4" customWidth="1"/>
    <col min="12312" max="12312" width="7.5703125" style="4" customWidth="1"/>
    <col min="12313" max="12552" width="9.140625" style="4"/>
    <col min="12553" max="12553" width="40.85546875" style="4" customWidth="1"/>
    <col min="12554" max="12556" width="11.140625" style="4" customWidth="1"/>
    <col min="12557" max="12557" width="4.140625" style="4" customWidth="1"/>
    <col min="12558" max="12560" width="11.140625" style="4" customWidth="1"/>
    <col min="12561" max="12561" width="3.28515625" style="4" customWidth="1"/>
    <col min="12562" max="12564" width="11.140625" style="4" customWidth="1"/>
    <col min="12565" max="12565" width="3.140625" style="4" bestFit="1" customWidth="1"/>
    <col min="12566" max="12566" width="6.5703125" style="4" bestFit="1" customWidth="1"/>
    <col min="12567" max="12567" width="20.85546875" style="4" customWidth="1"/>
    <col min="12568" max="12568" width="7.5703125" style="4" customWidth="1"/>
    <col min="12569" max="12808" width="9.140625" style="4"/>
    <col min="12809" max="12809" width="40.85546875" style="4" customWidth="1"/>
    <col min="12810" max="12812" width="11.140625" style="4" customWidth="1"/>
    <col min="12813" max="12813" width="4.140625" style="4" customWidth="1"/>
    <col min="12814" max="12816" width="11.140625" style="4" customWidth="1"/>
    <col min="12817" max="12817" width="3.28515625" style="4" customWidth="1"/>
    <col min="12818" max="12820" width="11.140625" style="4" customWidth="1"/>
    <col min="12821" max="12821" width="3.140625" style="4" bestFit="1" customWidth="1"/>
    <col min="12822" max="12822" width="6.5703125" style="4" bestFit="1" customWidth="1"/>
    <col min="12823" max="12823" width="20.85546875" style="4" customWidth="1"/>
    <col min="12824" max="12824" width="7.5703125" style="4" customWidth="1"/>
    <col min="12825" max="13064" width="9.140625" style="4"/>
    <col min="13065" max="13065" width="40.85546875" style="4" customWidth="1"/>
    <col min="13066" max="13068" width="11.140625" style="4" customWidth="1"/>
    <col min="13069" max="13069" width="4.140625" style="4" customWidth="1"/>
    <col min="13070" max="13072" width="11.140625" style="4" customWidth="1"/>
    <col min="13073" max="13073" width="3.28515625" style="4" customWidth="1"/>
    <col min="13074" max="13076" width="11.140625" style="4" customWidth="1"/>
    <col min="13077" max="13077" width="3.140625" style="4" bestFit="1" customWidth="1"/>
    <col min="13078" max="13078" width="6.5703125" style="4" bestFit="1" customWidth="1"/>
    <col min="13079" max="13079" width="20.85546875" style="4" customWidth="1"/>
    <col min="13080" max="13080" width="7.5703125" style="4" customWidth="1"/>
    <col min="13081" max="13320" width="9.140625" style="4"/>
    <col min="13321" max="13321" width="40.85546875" style="4" customWidth="1"/>
    <col min="13322" max="13324" width="11.140625" style="4" customWidth="1"/>
    <col min="13325" max="13325" width="4.140625" style="4" customWidth="1"/>
    <col min="13326" max="13328" width="11.140625" style="4" customWidth="1"/>
    <col min="13329" max="13329" width="3.28515625" style="4" customWidth="1"/>
    <col min="13330" max="13332" width="11.140625" style="4" customWidth="1"/>
    <col min="13333" max="13333" width="3.140625" style="4" bestFit="1" customWidth="1"/>
    <col min="13334" max="13334" width="6.5703125" style="4" bestFit="1" customWidth="1"/>
    <col min="13335" max="13335" width="20.85546875" style="4" customWidth="1"/>
    <col min="13336" max="13336" width="7.5703125" style="4" customWidth="1"/>
    <col min="13337" max="13576" width="9.140625" style="4"/>
    <col min="13577" max="13577" width="40.85546875" style="4" customWidth="1"/>
    <col min="13578" max="13580" width="11.140625" style="4" customWidth="1"/>
    <col min="13581" max="13581" width="4.140625" style="4" customWidth="1"/>
    <col min="13582" max="13584" width="11.140625" style="4" customWidth="1"/>
    <col min="13585" max="13585" width="3.28515625" style="4" customWidth="1"/>
    <col min="13586" max="13588" width="11.140625" style="4" customWidth="1"/>
    <col min="13589" max="13589" width="3.140625" style="4" bestFit="1" customWidth="1"/>
    <col min="13590" max="13590" width="6.5703125" style="4" bestFit="1" customWidth="1"/>
    <col min="13591" max="13591" width="20.85546875" style="4" customWidth="1"/>
    <col min="13592" max="13592" width="7.5703125" style="4" customWidth="1"/>
    <col min="13593" max="13832" width="9.140625" style="4"/>
    <col min="13833" max="13833" width="40.85546875" style="4" customWidth="1"/>
    <col min="13834" max="13836" width="11.140625" style="4" customWidth="1"/>
    <col min="13837" max="13837" width="4.140625" style="4" customWidth="1"/>
    <col min="13838" max="13840" width="11.140625" style="4" customWidth="1"/>
    <col min="13841" max="13841" width="3.28515625" style="4" customWidth="1"/>
    <col min="13842" max="13844" width="11.140625" style="4" customWidth="1"/>
    <col min="13845" max="13845" width="3.140625" style="4" bestFit="1" customWidth="1"/>
    <col min="13846" max="13846" width="6.5703125" style="4" bestFit="1" customWidth="1"/>
    <col min="13847" max="13847" width="20.85546875" style="4" customWidth="1"/>
    <col min="13848" max="13848" width="7.5703125" style="4" customWidth="1"/>
    <col min="13849" max="14088" width="9.140625" style="4"/>
    <col min="14089" max="14089" width="40.85546875" style="4" customWidth="1"/>
    <col min="14090" max="14092" width="11.140625" style="4" customWidth="1"/>
    <col min="14093" max="14093" width="4.140625" style="4" customWidth="1"/>
    <col min="14094" max="14096" width="11.140625" style="4" customWidth="1"/>
    <col min="14097" max="14097" width="3.28515625" style="4" customWidth="1"/>
    <col min="14098" max="14100" width="11.140625" style="4" customWidth="1"/>
    <col min="14101" max="14101" width="3.140625" style="4" bestFit="1" customWidth="1"/>
    <col min="14102" max="14102" width="6.5703125" style="4" bestFit="1" customWidth="1"/>
    <col min="14103" max="14103" width="20.85546875" style="4" customWidth="1"/>
    <col min="14104" max="14104" width="7.5703125" style="4" customWidth="1"/>
    <col min="14105" max="14344" width="9.140625" style="4"/>
    <col min="14345" max="14345" width="40.85546875" style="4" customWidth="1"/>
    <col min="14346" max="14348" width="11.140625" style="4" customWidth="1"/>
    <col min="14349" max="14349" width="4.140625" style="4" customWidth="1"/>
    <col min="14350" max="14352" width="11.140625" style="4" customWidth="1"/>
    <col min="14353" max="14353" width="3.28515625" style="4" customWidth="1"/>
    <col min="14354" max="14356" width="11.140625" style="4" customWidth="1"/>
    <col min="14357" max="14357" width="3.140625" style="4" bestFit="1" customWidth="1"/>
    <col min="14358" max="14358" width="6.5703125" style="4" bestFit="1" customWidth="1"/>
    <col min="14359" max="14359" width="20.85546875" style="4" customWidth="1"/>
    <col min="14360" max="14360" width="7.5703125" style="4" customWidth="1"/>
    <col min="14361" max="14600" width="9.140625" style="4"/>
    <col min="14601" max="14601" width="40.85546875" style="4" customWidth="1"/>
    <col min="14602" max="14604" width="11.140625" style="4" customWidth="1"/>
    <col min="14605" max="14605" width="4.140625" style="4" customWidth="1"/>
    <col min="14606" max="14608" width="11.140625" style="4" customWidth="1"/>
    <col min="14609" max="14609" width="3.28515625" style="4" customWidth="1"/>
    <col min="14610" max="14612" width="11.140625" style="4" customWidth="1"/>
    <col min="14613" max="14613" width="3.140625" style="4" bestFit="1" customWidth="1"/>
    <col min="14614" max="14614" width="6.5703125" style="4" bestFit="1" customWidth="1"/>
    <col min="14615" max="14615" width="20.85546875" style="4" customWidth="1"/>
    <col min="14616" max="14616" width="7.5703125" style="4" customWidth="1"/>
    <col min="14617" max="14856" width="9.140625" style="4"/>
    <col min="14857" max="14857" width="40.85546875" style="4" customWidth="1"/>
    <col min="14858" max="14860" width="11.140625" style="4" customWidth="1"/>
    <col min="14861" max="14861" width="4.140625" style="4" customWidth="1"/>
    <col min="14862" max="14864" width="11.140625" style="4" customWidth="1"/>
    <col min="14865" max="14865" width="3.28515625" style="4" customWidth="1"/>
    <col min="14866" max="14868" width="11.140625" style="4" customWidth="1"/>
    <col min="14869" max="14869" width="3.140625" style="4" bestFit="1" customWidth="1"/>
    <col min="14870" max="14870" width="6.5703125" style="4" bestFit="1" customWidth="1"/>
    <col min="14871" max="14871" width="20.85546875" style="4" customWidth="1"/>
    <col min="14872" max="14872" width="7.5703125" style="4" customWidth="1"/>
    <col min="14873" max="15112" width="9.140625" style="4"/>
    <col min="15113" max="15113" width="40.85546875" style="4" customWidth="1"/>
    <col min="15114" max="15116" width="11.140625" style="4" customWidth="1"/>
    <col min="15117" max="15117" width="4.140625" style="4" customWidth="1"/>
    <col min="15118" max="15120" width="11.140625" style="4" customWidth="1"/>
    <col min="15121" max="15121" width="3.28515625" style="4" customWidth="1"/>
    <col min="15122" max="15124" width="11.140625" style="4" customWidth="1"/>
    <col min="15125" max="15125" width="3.140625" style="4" bestFit="1" customWidth="1"/>
    <col min="15126" max="15126" width="6.5703125" style="4" bestFit="1" customWidth="1"/>
    <col min="15127" max="15127" width="20.85546875" style="4" customWidth="1"/>
    <col min="15128" max="15128" width="7.5703125" style="4" customWidth="1"/>
    <col min="15129" max="15368" width="9.140625" style="4"/>
    <col min="15369" max="15369" width="40.85546875" style="4" customWidth="1"/>
    <col min="15370" max="15372" width="11.140625" style="4" customWidth="1"/>
    <col min="15373" max="15373" width="4.140625" style="4" customWidth="1"/>
    <col min="15374" max="15376" width="11.140625" style="4" customWidth="1"/>
    <col min="15377" max="15377" width="3.28515625" style="4" customWidth="1"/>
    <col min="15378" max="15380" width="11.140625" style="4" customWidth="1"/>
    <col min="15381" max="15381" width="3.140625" style="4" bestFit="1" customWidth="1"/>
    <col min="15382" max="15382" width="6.5703125" style="4" bestFit="1" customWidth="1"/>
    <col min="15383" max="15383" width="20.85546875" style="4" customWidth="1"/>
    <col min="15384" max="15384" width="7.5703125" style="4" customWidth="1"/>
    <col min="15385" max="15624" width="9.140625" style="4"/>
    <col min="15625" max="15625" width="40.85546875" style="4" customWidth="1"/>
    <col min="15626" max="15628" width="11.140625" style="4" customWidth="1"/>
    <col min="15629" max="15629" width="4.140625" style="4" customWidth="1"/>
    <col min="15630" max="15632" width="11.140625" style="4" customWidth="1"/>
    <col min="15633" max="15633" width="3.28515625" style="4" customWidth="1"/>
    <col min="15634" max="15636" width="11.140625" style="4" customWidth="1"/>
    <col min="15637" max="15637" width="3.140625" style="4" bestFit="1" customWidth="1"/>
    <col min="15638" max="15638" width="6.5703125" style="4" bestFit="1" customWidth="1"/>
    <col min="15639" max="15639" width="20.85546875" style="4" customWidth="1"/>
    <col min="15640" max="15640" width="7.5703125" style="4" customWidth="1"/>
    <col min="15641" max="15880" width="9.140625" style="4"/>
    <col min="15881" max="15881" width="40.85546875" style="4" customWidth="1"/>
    <col min="15882" max="15884" width="11.140625" style="4" customWidth="1"/>
    <col min="15885" max="15885" width="4.140625" style="4" customWidth="1"/>
    <col min="15886" max="15888" width="11.140625" style="4" customWidth="1"/>
    <col min="15889" max="15889" width="3.28515625" style="4" customWidth="1"/>
    <col min="15890" max="15892" width="11.140625" style="4" customWidth="1"/>
    <col min="15893" max="15893" width="3.140625" style="4" bestFit="1" customWidth="1"/>
    <col min="15894" max="15894" width="6.5703125" style="4" bestFit="1" customWidth="1"/>
    <col min="15895" max="15895" width="20.85546875" style="4" customWidth="1"/>
    <col min="15896" max="15896" width="7.5703125" style="4" customWidth="1"/>
    <col min="15897" max="16136" width="9.140625" style="4"/>
    <col min="16137" max="16137" width="40.85546875" style="4" customWidth="1"/>
    <col min="16138" max="16140" width="11.140625" style="4" customWidth="1"/>
    <col min="16141" max="16141" width="4.140625" style="4" customWidth="1"/>
    <col min="16142" max="16144" width="11.140625" style="4" customWidth="1"/>
    <col min="16145" max="16145" width="3.28515625" style="4" customWidth="1"/>
    <col min="16146" max="16148" width="11.140625" style="4" customWidth="1"/>
    <col min="16149" max="16149" width="3.140625" style="4" bestFit="1" customWidth="1"/>
    <col min="16150" max="16150" width="6.5703125" style="4" bestFit="1" customWidth="1"/>
    <col min="16151" max="16151" width="20.85546875" style="4" customWidth="1"/>
    <col min="16152" max="16152" width="7.5703125" style="4" customWidth="1"/>
    <col min="16153" max="16384" width="9.140625" style="4"/>
  </cols>
  <sheetData>
    <row r="1" spans="1:39" ht="19.5" customHeight="1" x14ac:dyDescent="0.25">
      <c r="A1" s="102" t="s">
        <v>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4"/>
    </row>
    <row r="2" spans="1:39" ht="19.5" customHeight="1" x14ac:dyDescent="0.25">
      <c r="A2" s="98" t="s">
        <v>9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AD2" s="79"/>
      <c r="AE2" s="79"/>
    </row>
    <row r="3" spans="1:39" ht="19.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7"/>
      <c r="O3" s="7"/>
      <c r="P3" s="26"/>
    </row>
    <row r="4" spans="1:39" ht="16.5" customHeight="1" x14ac:dyDescent="0.25">
      <c r="A4" s="94" t="s">
        <v>10</v>
      </c>
      <c r="B4" s="97" t="s">
        <v>51</v>
      </c>
      <c r="C4" s="97"/>
      <c r="D4" s="97"/>
      <c r="E4" s="48"/>
      <c r="F4" s="97" t="s">
        <v>5</v>
      </c>
      <c r="G4" s="97"/>
      <c r="H4" s="97"/>
      <c r="I4" s="48"/>
      <c r="J4" s="97" t="s">
        <v>6</v>
      </c>
      <c r="K4" s="97"/>
      <c r="L4" s="97"/>
      <c r="M4" s="83" t="s">
        <v>11</v>
      </c>
      <c r="N4" s="84"/>
      <c r="O4" s="85"/>
      <c r="P4" s="83" t="s">
        <v>11</v>
      </c>
      <c r="Q4" s="84"/>
      <c r="R4" s="85"/>
    </row>
    <row r="5" spans="1:39" ht="19.5" customHeight="1" x14ac:dyDescent="0.25">
      <c r="A5" s="95"/>
      <c r="B5" s="92" t="s">
        <v>4</v>
      </c>
      <c r="C5" s="92"/>
      <c r="D5" s="92"/>
      <c r="E5" s="23"/>
      <c r="F5" s="93" t="s">
        <v>0</v>
      </c>
      <c r="G5" s="93"/>
      <c r="H5" s="93"/>
      <c r="I5" s="23"/>
      <c r="J5" s="92" t="s">
        <v>48</v>
      </c>
      <c r="K5" s="92"/>
      <c r="L5" s="92"/>
      <c r="M5" s="86"/>
      <c r="N5" s="87"/>
      <c r="O5" s="88"/>
      <c r="P5" s="86"/>
      <c r="Q5" s="87"/>
      <c r="R5" s="88"/>
      <c r="AE5" s="101" t="s">
        <v>0</v>
      </c>
      <c r="AF5" s="101"/>
      <c r="AG5" s="101" t="s">
        <v>48</v>
      </c>
      <c r="AH5" s="101"/>
    </row>
    <row r="6" spans="1:39" ht="19.5" customHeight="1" x14ac:dyDescent="0.25">
      <c r="A6" s="96"/>
      <c r="B6" s="54" t="s">
        <v>7</v>
      </c>
      <c r="C6" s="54" t="s">
        <v>1</v>
      </c>
      <c r="D6" s="54" t="s">
        <v>2</v>
      </c>
      <c r="E6" s="55"/>
      <c r="F6" s="54" t="s">
        <v>7</v>
      </c>
      <c r="G6" s="54" t="s">
        <v>1</v>
      </c>
      <c r="H6" s="54" t="s">
        <v>2</v>
      </c>
      <c r="I6" s="55"/>
      <c r="J6" s="54" t="s">
        <v>7</v>
      </c>
      <c r="K6" s="54" t="s">
        <v>1</v>
      </c>
      <c r="L6" s="54" t="s">
        <v>2</v>
      </c>
      <c r="M6" s="89"/>
      <c r="N6" s="90"/>
      <c r="O6" s="91"/>
      <c r="P6" s="89"/>
      <c r="Q6" s="90"/>
      <c r="R6" s="91"/>
      <c r="AE6" s="80" t="s">
        <v>1</v>
      </c>
      <c r="AF6" s="80" t="s">
        <v>2</v>
      </c>
      <c r="AG6" s="80" t="s">
        <v>1</v>
      </c>
      <c r="AH6" s="80" t="s">
        <v>2</v>
      </c>
      <c r="AK6" s="2"/>
      <c r="AL6" s="2"/>
      <c r="AM6" s="2"/>
    </row>
    <row r="7" spans="1:39" ht="19.5" customHeight="1" x14ac:dyDescent="0.25">
      <c r="A7" s="63" t="s">
        <v>3</v>
      </c>
      <c r="B7" s="3">
        <f>SUM(C7:D7)</f>
        <v>4797</v>
      </c>
      <c r="C7" s="3">
        <f>C8+C11+C13+C20+C23</f>
        <v>1431</v>
      </c>
      <c r="D7" s="3">
        <f>D8+D11+D13+D20+D23</f>
        <v>3366</v>
      </c>
      <c r="E7" s="62"/>
      <c r="F7" s="3">
        <f>SUM(G7:H7)</f>
        <v>1712</v>
      </c>
      <c r="G7" s="3">
        <f>G8+G11+G13+G20+G23</f>
        <v>460</v>
      </c>
      <c r="H7" s="3">
        <f>H8+H11+H13+H20+H23</f>
        <v>1252</v>
      </c>
      <c r="I7" s="62"/>
      <c r="J7" s="3">
        <f>SUM(K7:L7)</f>
        <v>2723</v>
      </c>
      <c r="K7" s="3">
        <f>K8+K11+K13+K20+K23</f>
        <v>759</v>
      </c>
      <c r="L7" s="3">
        <f>L8+L11+L13+L20+L23</f>
        <v>1964</v>
      </c>
      <c r="M7" s="49"/>
      <c r="N7" s="49"/>
      <c r="O7" s="26"/>
      <c r="P7" s="49"/>
      <c r="Q7" s="49"/>
      <c r="R7" s="49"/>
      <c r="AD7" s="2" t="s">
        <v>12</v>
      </c>
      <c r="AE7" s="66">
        <f>G8</f>
        <v>222</v>
      </c>
      <c r="AF7" s="66">
        <f>H8</f>
        <v>174</v>
      </c>
      <c r="AG7" s="66">
        <f>K8</f>
        <v>338</v>
      </c>
      <c r="AH7" s="66">
        <f>L8</f>
        <v>76</v>
      </c>
      <c r="AK7" s="2" t="s">
        <v>12</v>
      </c>
      <c r="AL7" s="65">
        <f>B8</f>
        <v>810</v>
      </c>
      <c r="AM7" s="2"/>
    </row>
    <row r="8" spans="1:39" ht="19.5" customHeight="1" x14ac:dyDescent="0.25">
      <c r="A8" s="8" t="s">
        <v>12</v>
      </c>
      <c r="B8" s="56">
        <f>SUM(B9:B10)</f>
        <v>810</v>
      </c>
      <c r="C8" s="56">
        <f>SUM(C9:C10)</f>
        <v>560</v>
      </c>
      <c r="D8" s="56">
        <f>SUM(D9:D10)</f>
        <v>250</v>
      </c>
      <c r="E8" s="56"/>
      <c r="F8" s="56">
        <f>SUM(F9:F10)</f>
        <v>396</v>
      </c>
      <c r="G8" s="56">
        <f>SUM(G9:G10)</f>
        <v>222</v>
      </c>
      <c r="H8" s="56">
        <f>SUM(H9:H10)</f>
        <v>174</v>
      </c>
      <c r="I8" s="56"/>
      <c r="J8" s="56">
        <f>SUM(J9:J10)</f>
        <v>414</v>
      </c>
      <c r="K8" s="56">
        <f>SUM(K9:K10)</f>
        <v>338</v>
      </c>
      <c r="L8" s="56">
        <f>SUM(L9:L10)</f>
        <v>76</v>
      </c>
      <c r="M8" s="28"/>
      <c r="N8" s="29"/>
      <c r="O8" s="27" t="s">
        <v>13</v>
      </c>
      <c r="P8" s="9"/>
      <c r="Q8" s="10"/>
      <c r="R8" s="68" t="s">
        <v>13</v>
      </c>
      <c r="AD8" s="2" t="s">
        <v>18</v>
      </c>
      <c r="AE8" s="40">
        <v>137</v>
      </c>
      <c r="AF8" s="40">
        <v>933</v>
      </c>
      <c r="AG8" s="40">
        <v>134</v>
      </c>
      <c r="AH8" s="40">
        <v>1418</v>
      </c>
      <c r="AK8" s="2" t="s">
        <v>18</v>
      </c>
      <c r="AL8" s="65">
        <f>B11</f>
        <v>2622</v>
      </c>
      <c r="AM8" s="2"/>
    </row>
    <row r="9" spans="1:39" ht="19.5" customHeight="1" x14ac:dyDescent="0.25">
      <c r="A9" s="50" t="s">
        <v>14</v>
      </c>
      <c r="B9" s="57">
        <f>SUM(C9:D9)</f>
        <v>461</v>
      </c>
      <c r="C9" s="57">
        <f>G9+K9</f>
        <v>320</v>
      </c>
      <c r="D9" s="57">
        <f>H9+L9</f>
        <v>141</v>
      </c>
      <c r="E9" s="57"/>
      <c r="F9" s="57">
        <f>SUM(G9:H9)</f>
        <v>168</v>
      </c>
      <c r="G9" s="57">
        <v>79</v>
      </c>
      <c r="H9" s="57">
        <v>89</v>
      </c>
      <c r="I9" s="57"/>
      <c r="J9" s="57">
        <f>SUM(K9:L9)</f>
        <v>293</v>
      </c>
      <c r="K9" s="57">
        <v>241</v>
      </c>
      <c r="L9" s="57">
        <v>52</v>
      </c>
      <c r="M9" s="11"/>
      <c r="O9" s="30" t="s">
        <v>15</v>
      </c>
      <c r="P9" s="11"/>
      <c r="Q9" s="12"/>
      <c r="R9" s="69" t="s">
        <v>15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21</v>
      </c>
      <c r="AE9" s="40">
        <v>100</v>
      </c>
      <c r="AF9" s="40">
        <v>138</v>
      </c>
      <c r="AG9" s="40">
        <v>138</v>
      </c>
      <c r="AH9" s="40">
        <v>89</v>
      </c>
      <c r="AK9" s="2" t="s">
        <v>21</v>
      </c>
      <c r="AL9" s="65">
        <f>B13</f>
        <v>827</v>
      </c>
    </row>
    <row r="10" spans="1:39" ht="19.5" customHeight="1" x14ac:dyDescent="0.25">
      <c r="A10" s="50" t="s">
        <v>16</v>
      </c>
      <c r="B10" s="57">
        <f>SUM(C10:D10)</f>
        <v>349</v>
      </c>
      <c r="C10" s="57">
        <f>G10+K10</f>
        <v>240</v>
      </c>
      <c r="D10" s="57">
        <f>H10+L10</f>
        <v>109</v>
      </c>
      <c r="E10" s="57"/>
      <c r="F10" s="57">
        <f>SUM(G10:H10)</f>
        <v>228</v>
      </c>
      <c r="G10" s="57">
        <v>143</v>
      </c>
      <c r="H10" s="57">
        <v>85</v>
      </c>
      <c r="I10" s="57"/>
      <c r="J10" s="57">
        <f>SUM(K10:L10)</f>
        <v>121</v>
      </c>
      <c r="K10" s="57">
        <v>97</v>
      </c>
      <c r="L10" s="57">
        <v>24</v>
      </c>
      <c r="M10" s="11"/>
      <c r="O10" s="31" t="s">
        <v>17</v>
      </c>
      <c r="P10" s="11"/>
      <c r="Q10" s="12"/>
      <c r="R10" s="70" t="s">
        <v>17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34</v>
      </c>
      <c r="AE10" s="66">
        <f>G20</f>
        <v>1</v>
      </c>
      <c r="AF10" s="66">
        <f>H20</f>
        <v>7</v>
      </c>
      <c r="AG10" s="66">
        <f>K20</f>
        <v>149</v>
      </c>
      <c r="AH10" s="66">
        <f>L20</f>
        <v>321</v>
      </c>
      <c r="AK10" s="2" t="s">
        <v>34</v>
      </c>
      <c r="AL10" s="65">
        <f>B20</f>
        <v>478</v>
      </c>
    </row>
    <row r="11" spans="1:39" ht="19.5" customHeight="1" x14ac:dyDescent="0.25">
      <c r="A11" s="13" t="s">
        <v>18</v>
      </c>
      <c r="B11" s="58">
        <f>SUM(B12:B12)</f>
        <v>2622</v>
      </c>
      <c r="C11" s="58">
        <f>SUM(C12:C12)</f>
        <v>271</v>
      </c>
      <c r="D11" s="58">
        <f>SUM(D12:D12)</f>
        <v>2351</v>
      </c>
      <c r="E11" s="58"/>
      <c r="F11" s="58">
        <f>SUM(F12:F12)</f>
        <v>1070</v>
      </c>
      <c r="G11" s="58">
        <f>SUM(G12:G12)</f>
        <v>137</v>
      </c>
      <c r="H11" s="58">
        <f>SUM(H12:H12)</f>
        <v>933</v>
      </c>
      <c r="I11" s="58"/>
      <c r="J11" s="58">
        <f>SUM(J12:J12)</f>
        <v>1552</v>
      </c>
      <c r="K11" s="58">
        <f>SUM(K12:K12)</f>
        <v>134</v>
      </c>
      <c r="L11" s="58">
        <f>SUM(L12:L12)</f>
        <v>1418</v>
      </c>
      <c r="M11" s="11"/>
      <c r="O11" s="32" t="s">
        <v>19</v>
      </c>
      <c r="P11" s="11"/>
      <c r="Q11" s="12"/>
      <c r="R11" s="71" t="s">
        <v>19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40" t="s">
        <v>40</v>
      </c>
      <c r="AE11" s="40">
        <v>0</v>
      </c>
      <c r="AF11" s="40">
        <v>0</v>
      </c>
      <c r="AG11" s="40">
        <v>0</v>
      </c>
      <c r="AH11" s="40">
        <v>60</v>
      </c>
      <c r="AK11" s="40" t="s">
        <v>40</v>
      </c>
      <c r="AL11" s="65">
        <f>B23</f>
        <v>60</v>
      </c>
    </row>
    <row r="12" spans="1:39" ht="19.5" customHeight="1" x14ac:dyDescent="0.25">
      <c r="A12" s="50" t="s">
        <v>20</v>
      </c>
      <c r="B12" s="57">
        <f>SUM(C12:D12)</f>
        <v>2622</v>
      </c>
      <c r="C12" s="57">
        <f>G12+K12</f>
        <v>271</v>
      </c>
      <c r="D12" s="57">
        <f>H12+L12</f>
        <v>2351</v>
      </c>
      <c r="E12" s="57"/>
      <c r="F12" s="57">
        <f>SUM(G12:H12)</f>
        <v>1070</v>
      </c>
      <c r="G12" s="57">
        <v>137</v>
      </c>
      <c r="H12" s="57">
        <v>933</v>
      </c>
      <c r="I12" s="57"/>
      <c r="J12" s="57">
        <f>SUM(K12:L12)</f>
        <v>1552</v>
      </c>
      <c r="K12" s="57">
        <v>134</v>
      </c>
      <c r="L12" s="57">
        <v>1418</v>
      </c>
      <c r="M12" s="11"/>
      <c r="O12" s="33"/>
      <c r="P12" s="11"/>
      <c r="Q12" s="12"/>
      <c r="R12" s="72" t="s">
        <v>19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39" ht="19.5" customHeight="1" x14ac:dyDescent="0.25">
      <c r="A13" s="13" t="s">
        <v>21</v>
      </c>
      <c r="B13" s="58">
        <f>SUM(B14:B19)</f>
        <v>827</v>
      </c>
      <c r="C13" s="58">
        <f>SUM(C14:C19)</f>
        <v>450</v>
      </c>
      <c r="D13" s="58">
        <f>SUM(D14:D19)</f>
        <v>377</v>
      </c>
      <c r="E13" s="58"/>
      <c r="F13" s="58">
        <f>SUM(F14:F19)</f>
        <v>238</v>
      </c>
      <c r="G13" s="58">
        <f>SUM(G14:G19)</f>
        <v>100</v>
      </c>
      <c r="H13" s="58">
        <f>SUM(H14:H19)</f>
        <v>138</v>
      </c>
      <c r="I13" s="58"/>
      <c r="J13" s="58">
        <f>SUM(J14:J19)</f>
        <v>227</v>
      </c>
      <c r="K13" s="58">
        <f>SUM(K14:K19)</f>
        <v>138</v>
      </c>
      <c r="L13" s="58">
        <f>SUM(L14:L19)</f>
        <v>89</v>
      </c>
      <c r="M13" s="11"/>
      <c r="O13" s="24" t="s">
        <v>22</v>
      </c>
      <c r="P13" s="11"/>
      <c r="Q13" s="12"/>
      <c r="R13" s="73" t="s">
        <v>22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39" ht="3" customHeight="1" x14ac:dyDescent="0.25">
      <c r="A14" s="51" t="s">
        <v>52</v>
      </c>
      <c r="B14" s="57"/>
      <c r="C14" s="57"/>
      <c r="D14" s="57"/>
      <c r="E14" s="57"/>
      <c r="F14" s="57"/>
      <c r="G14" s="58"/>
      <c r="H14" s="58"/>
      <c r="I14" s="58"/>
      <c r="J14" s="57"/>
      <c r="K14" s="58"/>
      <c r="L14" s="58"/>
      <c r="M14" s="11"/>
      <c r="O14" s="20" t="s">
        <v>53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39" ht="19.5" customHeight="1" x14ac:dyDescent="0.25">
      <c r="A15" s="51" t="s">
        <v>23</v>
      </c>
      <c r="B15" s="57">
        <f>SUM(C15:D15)</f>
        <v>319</v>
      </c>
      <c r="C15" s="57">
        <f t="shared" ref="C15:C18" si="0">G15+K15</f>
        <v>146</v>
      </c>
      <c r="D15" s="57">
        <f>H15+L15</f>
        <v>173</v>
      </c>
      <c r="E15" s="57"/>
      <c r="F15" s="57">
        <f>SUM(G15:H15)</f>
        <v>142</v>
      </c>
      <c r="G15" s="57">
        <v>46</v>
      </c>
      <c r="H15" s="57">
        <v>96</v>
      </c>
      <c r="I15" s="57"/>
      <c r="J15" s="57">
        <f>SUM(K15:L15)</f>
        <v>177</v>
      </c>
      <c r="K15" s="57">
        <v>100</v>
      </c>
      <c r="L15" s="57">
        <v>77</v>
      </c>
      <c r="M15" s="11"/>
      <c r="O15" s="20" t="s">
        <v>54</v>
      </c>
      <c r="P15" s="81" t="s">
        <v>24</v>
      </c>
      <c r="Q15" s="81"/>
      <c r="R15" s="8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39" ht="19.5" customHeight="1" x14ac:dyDescent="0.25">
      <c r="A16" s="50" t="s">
        <v>25</v>
      </c>
      <c r="B16" s="57">
        <f t="shared" ref="B16:B25" si="1">SUM(C16:D16)</f>
        <v>37</v>
      </c>
      <c r="C16" s="57">
        <f t="shared" si="0"/>
        <v>23</v>
      </c>
      <c r="D16" s="57">
        <f>H16+L16</f>
        <v>14</v>
      </c>
      <c r="E16" s="57"/>
      <c r="F16" s="57">
        <f>SUM(G16:H16)</f>
        <v>25</v>
      </c>
      <c r="G16" s="57">
        <v>15</v>
      </c>
      <c r="H16" s="57">
        <v>10</v>
      </c>
      <c r="I16" s="57"/>
      <c r="J16" s="57">
        <f>SUM(K16:L16)</f>
        <v>12</v>
      </c>
      <c r="K16" s="57">
        <v>8</v>
      </c>
      <c r="L16" s="57">
        <v>4</v>
      </c>
      <c r="M16" s="11"/>
      <c r="O16" s="20" t="s">
        <v>26</v>
      </c>
      <c r="P16" s="14"/>
      <c r="Q16" s="15"/>
      <c r="R16" s="74" t="s">
        <v>26</v>
      </c>
    </row>
    <row r="17" spans="1:104" ht="19.5" customHeight="1" x14ac:dyDescent="0.25">
      <c r="A17" s="50" t="s">
        <v>27</v>
      </c>
      <c r="B17" s="57">
        <f t="shared" si="1"/>
        <v>73</v>
      </c>
      <c r="C17" s="57">
        <f t="shared" si="0"/>
        <v>57</v>
      </c>
      <c r="D17" s="57">
        <f>H17+L17</f>
        <v>16</v>
      </c>
      <c r="E17" s="57"/>
      <c r="F17" s="57">
        <f>SUM(G17:H17)</f>
        <v>39</v>
      </c>
      <c r="G17" s="57">
        <v>30</v>
      </c>
      <c r="H17" s="57">
        <v>9</v>
      </c>
      <c r="I17" s="57"/>
      <c r="J17" s="57">
        <f>SUM(K17:L17)</f>
        <v>34</v>
      </c>
      <c r="K17" s="57">
        <v>27</v>
      </c>
      <c r="L17" s="57">
        <v>7</v>
      </c>
      <c r="M17" s="11"/>
      <c r="O17" s="20" t="s">
        <v>28</v>
      </c>
      <c r="P17" s="14"/>
      <c r="Q17" s="15"/>
      <c r="R17" s="74" t="s">
        <v>28</v>
      </c>
    </row>
    <row r="18" spans="1:104" ht="20.25" customHeight="1" x14ac:dyDescent="0.25">
      <c r="A18" s="50" t="s">
        <v>29</v>
      </c>
      <c r="B18" s="57">
        <f t="shared" si="1"/>
        <v>36</v>
      </c>
      <c r="C18" s="57">
        <f t="shared" si="0"/>
        <v>12</v>
      </c>
      <c r="D18" s="57">
        <f>H18+L18</f>
        <v>24</v>
      </c>
      <c r="E18" s="57"/>
      <c r="F18" s="57">
        <f>SUM(G18:H18)</f>
        <v>32</v>
      </c>
      <c r="G18" s="57">
        <v>9</v>
      </c>
      <c r="H18" s="57">
        <v>23</v>
      </c>
      <c r="I18" s="57"/>
      <c r="J18" s="57">
        <f>SUM(K18:L18)</f>
        <v>4</v>
      </c>
      <c r="K18" s="57">
        <v>3</v>
      </c>
      <c r="L18" s="57">
        <v>1</v>
      </c>
      <c r="M18" s="11"/>
      <c r="O18" s="20" t="s">
        <v>30</v>
      </c>
      <c r="P18" s="14"/>
      <c r="Q18" s="15"/>
      <c r="R18" s="74" t="s">
        <v>56</v>
      </c>
      <c r="AD18" s="66"/>
    </row>
    <row r="19" spans="1:104" ht="19.5" customHeight="1" x14ac:dyDescent="0.25">
      <c r="A19" s="50" t="s">
        <v>31</v>
      </c>
      <c r="B19" s="57">
        <f t="shared" si="1"/>
        <v>362</v>
      </c>
      <c r="C19" s="57">
        <v>212</v>
      </c>
      <c r="D19" s="57">
        <v>150</v>
      </c>
      <c r="E19" s="57"/>
      <c r="F19" s="57" t="s">
        <v>32</v>
      </c>
      <c r="G19" s="57" t="s">
        <v>32</v>
      </c>
      <c r="H19" s="57" t="s">
        <v>32</v>
      </c>
      <c r="I19" s="57"/>
      <c r="J19" s="57" t="s">
        <v>32</v>
      </c>
      <c r="K19" s="57" t="s">
        <v>32</v>
      </c>
      <c r="L19" s="57" t="s">
        <v>32</v>
      </c>
      <c r="M19" s="11"/>
      <c r="O19" s="20" t="s">
        <v>33</v>
      </c>
      <c r="P19" s="11"/>
      <c r="Q19" s="12"/>
      <c r="R19" s="75" t="s">
        <v>57</v>
      </c>
    </row>
    <row r="20" spans="1:104" ht="19.5" customHeight="1" x14ac:dyDescent="0.25">
      <c r="A20" s="13" t="s">
        <v>34</v>
      </c>
      <c r="B20" s="58">
        <f>SUM(B21:B22)</f>
        <v>478</v>
      </c>
      <c r="C20" s="58">
        <f>SUM(C21:C22)</f>
        <v>150</v>
      </c>
      <c r="D20" s="58">
        <f>SUM(D21:D22)</f>
        <v>328</v>
      </c>
      <c r="E20" s="58"/>
      <c r="F20" s="58">
        <f>SUM(F21:F22)</f>
        <v>8</v>
      </c>
      <c r="G20" s="58">
        <f>SUM(G21:G22)</f>
        <v>1</v>
      </c>
      <c r="H20" s="58">
        <f>SUM(H21:H22)</f>
        <v>7</v>
      </c>
      <c r="I20" s="58"/>
      <c r="J20" s="58">
        <f>SUM(J21:J22)</f>
        <v>470</v>
      </c>
      <c r="K20" s="58">
        <f>SUM(K21:K22)</f>
        <v>149</v>
      </c>
      <c r="L20" s="58">
        <f>SUM(L21:L22)</f>
        <v>321</v>
      </c>
      <c r="M20" s="11"/>
      <c r="O20" s="24" t="s">
        <v>35</v>
      </c>
      <c r="P20" s="11"/>
      <c r="Q20" s="12"/>
      <c r="R20" s="73" t="s">
        <v>35</v>
      </c>
    </row>
    <row r="21" spans="1:104" ht="19.5" customHeight="1" x14ac:dyDescent="0.25">
      <c r="A21" s="50" t="s">
        <v>36</v>
      </c>
      <c r="B21" s="57">
        <f t="shared" si="1"/>
        <v>232</v>
      </c>
      <c r="C21" s="57">
        <f>G21+K21</f>
        <v>109</v>
      </c>
      <c r="D21" s="57">
        <f>H21+L21</f>
        <v>123</v>
      </c>
      <c r="E21" s="57"/>
      <c r="F21" s="57">
        <f>SUM(G21:H21)</f>
        <v>8</v>
      </c>
      <c r="G21" s="57">
        <v>1</v>
      </c>
      <c r="H21" s="57">
        <v>7</v>
      </c>
      <c r="I21" s="57"/>
      <c r="J21" s="57">
        <f>SUM(K21:L21)</f>
        <v>224</v>
      </c>
      <c r="K21" s="57">
        <v>108</v>
      </c>
      <c r="L21" s="57">
        <v>116</v>
      </c>
      <c r="M21" s="11"/>
      <c r="O21" s="20" t="s">
        <v>37</v>
      </c>
      <c r="P21" s="11"/>
      <c r="Q21" s="12"/>
      <c r="R21" s="74" t="s">
        <v>37</v>
      </c>
    </row>
    <row r="22" spans="1:104" ht="19.5" customHeight="1" x14ac:dyDescent="0.25">
      <c r="A22" s="50" t="s">
        <v>38</v>
      </c>
      <c r="B22" s="57">
        <f t="shared" si="1"/>
        <v>246</v>
      </c>
      <c r="C22" s="57">
        <f>G22+K22</f>
        <v>41</v>
      </c>
      <c r="D22" s="57">
        <f>H22+L22</f>
        <v>205</v>
      </c>
      <c r="E22" s="57"/>
      <c r="F22" s="57">
        <f>SUM(G22:H22)</f>
        <v>0</v>
      </c>
      <c r="G22" s="57">
        <v>0</v>
      </c>
      <c r="H22" s="57">
        <v>0</v>
      </c>
      <c r="I22" s="57"/>
      <c r="J22" s="57">
        <f>SUM(K22:L22)</f>
        <v>246</v>
      </c>
      <c r="K22" s="57">
        <v>41</v>
      </c>
      <c r="L22" s="57">
        <v>205</v>
      </c>
      <c r="M22" s="11"/>
      <c r="O22" s="20" t="s">
        <v>39</v>
      </c>
      <c r="P22" s="11"/>
      <c r="Q22" s="12"/>
      <c r="R22" s="74" t="s">
        <v>39</v>
      </c>
    </row>
    <row r="23" spans="1:104" s="7" customFormat="1" ht="19.5" customHeight="1" x14ac:dyDescent="0.25">
      <c r="A23" s="64" t="s">
        <v>40</v>
      </c>
      <c r="B23" s="59">
        <f>SUM(B24:B25)</f>
        <v>60</v>
      </c>
      <c r="C23" s="59">
        <f>SUM(C24:C25)</f>
        <v>0</v>
      </c>
      <c r="D23" s="59">
        <f>SUM(D24:D25)</f>
        <v>60</v>
      </c>
      <c r="E23" s="59"/>
      <c r="F23" s="59">
        <f>SUM(F24:F25)</f>
        <v>0</v>
      </c>
      <c r="G23" s="59">
        <f>SUM(G24:G25)</f>
        <v>0</v>
      </c>
      <c r="H23" s="59">
        <f>SUM(H24:H25)</f>
        <v>0</v>
      </c>
      <c r="I23" s="59"/>
      <c r="J23" s="59">
        <f>SUM(J24:J25)</f>
        <v>60</v>
      </c>
      <c r="K23" s="59">
        <f>SUM(K24:K25)</f>
        <v>0</v>
      </c>
      <c r="L23" s="59">
        <f>SUM(L24:L25)</f>
        <v>60</v>
      </c>
      <c r="M23" s="42"/>
      <c r="O23" s="43" t="s">
        <v>41</v>
      </c>
      <c r="P23" s="11"/>
      <c r="Q23" s="12"/>
      <c r="R23" s="73" t="s">
        <v>41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</row>
    <row r="24" spans="1:104" s="40" customFormat="1" ht="18.75" customHeight="1" x14ac:dyDescent="0.25">
      <c r="A24" s="52" t="s">
        <v>42</v>
      </c>
      <c r="B24" s="60">
        <f t="shared" si="1"/>
        <v>60</v>
      </c>
      <c r="C24" s="60">
        <f>G24+K24</f>
        <v>0</v>
      </c>
      <c r="D24" s="60">
        <f>H24+L24</f>
        <v>60</v>
      </c>
      <c r="E24" s="60"/>
      <c r="F24" s="60">
        <f>SUM(G24:H24)</f>
        <v>0</v>
      </c>
      <c r="G24" s="60">
        <v>0</v>
      </c>
      <c r="H24" s="60">
        <v>0</v>
      </c>
      <c r="I24" s="60"/>
      <c r="J24" s="60">
        <f>SUM(K24:L24)</f>
        <v>60</v>
      </c>
      <c r="K24" s="60">
        <v>0</v>
      </c>
      <c r="L24" s="60">
        <v>60</v>
      </c>
      <c r="M24" s="47"/>
      <c r="O24" s="25" t="s">
        <v>43</v>
      </c>
      <c r="P24" s="11"/>
      <c r="Q24" s="12"/>
      <c r="R24" s="74" t="s">
        <v>43</v>
      </c>
    </row>
    <row r="25" spans="1:104" s="29" customFormat="1" ht="19.5" customHeight="1" x14ac:dyDescent="0.25">
      <c r="A25" s="53" t="s">
        <v>44</v>
      </c>
      <c r="B25" s="61">
        <f t="shared" si="1"/>
        <v>0</v>
      </c>
      <c r="C25" s="61">
        <f>G25+K25</f>
        <v>0</v>
      </c>
      <c r="D25" s="61">
        <f>H25+L25</f>
        <v>0</v>
      </c>
      <c r="E25" s="61"/>
      <c r="F25" s="61">
        <f>SUM(G25:H25)</f>
        <v>0</v>
      </c>
      <c r="G25" s="61">
        <v>0</v>
      </c>
      <c r="H25" s="61">
        <v>0</v>
      </c>
      <c r="I25" s="61"/>
      <c r="J25" s="61">
        <f>SUM(K25:L25)</f>
        <v>0</v>
      </c>
      <c r="K25" s="61">
        <v>0</v>
      </c>
      <c r="L25" s="61">
        <v>0</v>
      </c>
      <c r="M25" s="44"/>
      <c r="N25" s="45"/>
      <c r="O25" s="46" t="s">
        <v>45</v>
      </c>
      <c r="P25" s="16"/>
      <c r="Q25" s="17"/>
      <c r="R25" s="76" t="s">
        <v>45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</row>
    <row r="26" spans="1:104" s="1" customFormat="1" ht="19.5" customHeight="1" x14ac:dyDescent="0.25">
      <c r="A26" s="34" t="s">
        <v>49</v>
      </c>
      <c r="B26" s="35"/>
      <c r="C26" s="35"/>
      <c r="D26" s="35"/>
      <c r="E26" s="35"/>
      <c r="F26" s="35"/>
      <c r="G26" s="35"/>
      <c r="H26" s="35"/>
      <c r="I26" s="35"/>
      <c r="J26" s="36"/>
      <c r="K26" s="20"/>
      <c r="L26" s="37"/>
      <c r="M26" s="38"/>
      <c r="N26" s="38"/>
      <c r="O26" s="38"/>
      <c r="P26" s="4"/>
      <c r="Q26" s="4"/>
      <c r="R26" s="77" t="s">
        <v>58</v>
      </c>
      <c r="S26" s="4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</row>
    <row r="27" spans="1:104" s="1" customFormat="1" ht="15" customHeight="1" x14ac:dyDescent="0.25">
      <c r="A27" s="34" t="s">
        <v>50</v>
      </c>
      <c r="B27" s="35"/>
      <c r="C27" s="35"/>
      <c r="D27" s="35"/>
      <c r="E27" s="35"/>
      <c r="F27" s="35"/>
      <c r="G27" s="35"/>
      <c r="H27" s="35"/>
      <c r="I27" s="35"/>
      <c r="J27" s="36"/>
      <c r="K27" s="20"/>
      <c r="L27" s="37"/>
      <c r="M27" s="38"/>
      <c r="N27" s="38"/>
      <c r="O27" s="38"/>
      <c r="P27" s="19"/>
      <c r="Q27" s="4"/>
      <c r="R27" s="78" t="s">
        <v>47</v>
      </c>
      <c r="S27" s="41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</row>
    <row r="28" spans="1:104" s="1" customFormat="1" ht="15" customHeight="1" x14ac:dyDescent="0.25">
      <c r="A28" s="34" t="s">
        <v>55</v>
      </c>
      <c r="B28" s="35"/>
      <c r="C28" s="35"/>
      <c r="D28" s="35"/>
      <c r="E28" s="35"/>
      <c r="F28" s="35"/>
      <c r="G28" s="35"/>
      <c r="H28" s="35"/>
      <c r="I28" s="35"/>
      <c r="J28" s="36"/>
      <c r="K28" s="20"/>
      <c r="L28" s="37"/>
      <c r="M28" s="38"/>
      <c r="N28" s="38"/>
      <c r="O28" s="38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</row>
    <row r="29" spans="1:104" s="1" customFormat="1" ht="19.5" customHeight="1" x14ac:dyDescent="0.25">
      <c r="A29" s="22" t="s">
        <v>46</v>
      </c>
      <c r="B29" s="35"/>
      <c r="C29" s="35"/>
      <c r="D29" s="35"/>
      <c r="E29" s="35"/>
      <c r="F29" s="35"/>
      <c r="G29" s="35"/>
      <c r="H29" s="35"/>
      <c r="I29" s="35"/>
      <c r="J29" s="35"/>
      <c r="K29" s="20"/>
      <c r="L29" s="37"/>
      <c r="M29" s="38"/>
      <c r="N29" s="38"/>
      <c r="O29" s="38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</row>
    <row r="30" spans="1:104" ht="19.5" customHeight="1" x14ac:dyDescent="0.25">
      <c r="A30" s="39"/>
      <c r="B30" s="35"/>
      <c r="C30" s="35"/>
      <c r="D30" s="35"/>
      <c r="E30" s="35"/>
      <c r="F30" s="35"/>
      <c r="G30" s="35"/>
      <c r="H30" s="35"/>
      <c r="I30" s="35"/>
      <c r="J30" s="35"/>
      <c r="K30" s="20"/>
      <c r="L30" s="37"/>
      <c r="M30" s="38"/>
      <c r="N30" s="38"/>
      <c r="O30" s="38"/>
    </row>
    <row r="34" spans="1:12" ht="19.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9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9.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9.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9.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9.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9.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9.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9.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9.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9.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9.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9.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9.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9.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9.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9.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9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9.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9.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9.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9.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9.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9.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9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9.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9.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9.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9.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9.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9.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9.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9.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9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9.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9.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9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9.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9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9.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9.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9.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9.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9.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9.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9.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9.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9.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9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9.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9.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9.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9.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</sheetData>
  <mergeCells count="14">
    <mergeCell ref="AG5:AH5"/>
    <mergeCell ref="J4:L4"/>
    <mergeCell ref="M4:O6"/>
    <mergeCell ref="A1:R1"/>
    <mergeCell ref="A4:A6"/>
    <mergeCell ref="B4:D4"/>
    <mergeCell ref="F4:H4"/>
    <mergeCell ref="A2:R2"/>
    <mergeCell ref="AE5:AF5"/>
    <mergeCell ref="P15:R15"/>
    <mergeCell ref="P4:R6"/>
    <mergeCell ref="B5:D5"/>
    <mergeCell ref="F5:H5"/>
    <mergeCell ref="J5:L5"/>
  </mergeCells>
  <pageMargins left="0.7" right="0.7" top="0.75" bottom="0.75" header="0.3" footer="0.3"/>
  <pageSetup paperSize="9" scale="72" orientation="landscape" horizontalDpi="4294967295" verticalDpi="4294967295" r:id="rId1"/>
  <rowBreaks count="1" manualBreakCount="1">
    <brk id="29" max="18" man="1"/>
  </rowBreaks>
  <ignoredErrors>
    <ignoredError sqref="B8 B11:E11 B20 B23 C23:P23 F11:G11 F8:L10 F12:L12 H11:L1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2017-07-05T07:30:31Z</cp:lastPrinted>
  <dcterms:created xsi:type="dcterms:W3CDTF">2014-03-04T09:17:57Z</dcterms:created>
  <dcterms:modified xsi:type="dcterms:W3CDTF">2017-07-05T07:30:34Z</dcterms:modified>
</cp:coreProperties>
</file>