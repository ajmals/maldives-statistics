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7" sheetId="26" r:id="rId1"/>
  </sheets>
  <externalReferences>
    <externalReference r:id="rId2"/>
    <externalReference r:id="rId3"/>
    <externalReference r:id="rId4"/>
  </externalReferences>
  <definedNames>
    <definedName name="_xlnm.Print_Area" localSheetId="0">'6.7'!$A$1:$Q$17</definedName>
  </definedNames>
  <calcPr calcId="144525"/>
</workbook>
</file>

<file path=xl/calcChain.xml><?xml version="1.0" encoding="utf-8"?>
<calcChain xmlns="http://schemas.openxmlformats.org/spreadsheetml/2006/main">
  <c r="O4" i="26" l="1"/>
  <c r="N4" i="26"/>
  <c r="M4" i="26"/>
  <c r="L4" i="26"/>
  <c r="K4" i="26"/>
  <c r="J4" i="26"/>
  <c r="I4" i="26"/>
  <c r="H4" i="26"/>
  <c r="G4" i="26"/>
  <c r="F4" i="26"/>
  <c r="E4" i="26"/>
  <c r="D4" i="26"/>
  <c r="C4" i="26"/>
  <c r="B4" i="26"/>
</calcChain>
</file>

<file path=xl/sharedStrings.xml><?xml version="1.0" encoding="utf-8"?>
<sst xmlns="http://schemas.openxmlformats.org/spreadsheetml/2006/main" count="86" uniqueCount="34">
  <si>
    <t>-</t>
  </si>
  <si>
    <t>Source: Indira Gandhi Memorial Hospital</t>
  </si>
  <si>
    <t>clwTipcsoh clwairOmem IdcnWg Wridcnia :ctWrwf ivcaedutWmUluAwm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</si>
  <si>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</si>
  <si>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</si>
  <si>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</si>
  <si>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</si>
  <si>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</si>
  <si>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</si>
  <si>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</si>
  <si>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</si>
  <si>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</si>
  <si>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</si>
  <si>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</si>
  <si>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</si>
  <si>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</si>
  <si>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 xml:space="preserve">Eye 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</si>
  <si>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</si>
  <si>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</si>
  <si>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</si>
  <si>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</si>
  <si>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</si>
  <si>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</si>
  <si>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</si>
  <si>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</si>
  <si>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</si>
  <si>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</si>
  <si>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</si>
  <si>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</si>
  <si>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</si>
  <si>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</si>
  <si>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</si>
  <si>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Table 6.7 : PATIENTS BY TYPE OF SURGICAL INTERVENTION, 2007 - 2016</t>
  </si>
  <si>
    <t xml:space="preserve">2016- 2007 ,cnuhImilwb unuverukcnwxErwpoa cnutogctog ikeaikea : 6.7 ulwvWt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</si>
</sst>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_);[Red]\(0\)"/>
    <numFmt numFmtId="168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i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b/>
      <sz val="10"/>
      <name val="Arial"/>
      <family val="2"/>
    </font>
    <font>
      <b/>
      <sz val="9"/>
      <name val="A_Randhoo"/>
    </font>
    <font>
      <b/>
      <sz val="9"/>
      <name val="Win Ahamedey PRB"/>
      <family val="2"/>
    </font>
    <font>
      <i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9" fillId="0" borderId="0"/>
    <xf numFmtId="164" fontId="13" fillId="0" borderId="0" applyFont="0" applyFill="0" applyBorder="0" applyAlignment="0" applyProtection="0"/>
    <xf numFmtId="0" fontId="13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4" applyNumberFormat="0" applyAlignment="0" applyProtection="0"/>
    <xf numFmtId="0" fontId="20" fillId="22" borderId="5" applyNumberFormat="0" applyAlignment="0" applyProtection="0"/>
    <xf numFmtId="40" fontId="1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4" applyNumberFormat="0" applyAlignment="0" applyProtection="0"/>
    <xf numFmtId="0" fontId="27" fillId="0" borderId="9" applyNumberFormat="0" applyFill="0" applyAlignment="0" applyProtection="0"/>
    <xf numFmtId="0" fontId="28" fillId="23" borderId="0" applyNumberFormat="0" applyBorder="0" applyAlignment="0" applyProtection="0"/>
    <xf numFmtId="168" fontId="15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65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6" fillId="24" borderId="10" applyNumberFormat="0" applyFont="0" applyAlignment="0" applyProtection="0"/>
    <xf numFmtId="0" fontId="29" fillId="21" borderId="11" applyNumberFormat="0" applyAlignment="0" applyProtection="0"/>
    <xf numFmtId="9" fontId="1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31" fillId="0" borderId="0" applyNumberFormat="0" applyFill="0" applyBorder="0" applyAlignment="0" applyProtection="0"/>
    <xf numFmtId="165" fontId="9" fillId="0" borderId="0"/>
    <xf numFmtId="165" fontId="9" fillId="0" borderId="0"/>
  </cellStyleXfs>
  <cellXfs count="39">
    <xf numFmtId="0" fontId="0" fillId="0" borderId="0" xfId="0"/>
    <xf numFmtId="166" fontId="3" fillId="2" borderId="0" xfId="1" applyNumberFormat="1" applyFont="1" applyFill="1" applyBorder="1" applyAlignment="1">
      <alignment horizontal="right" vertical="center"/>
    </xf>
    <xf numFmtId="0" fontId="32" fillId="2" borderId="0" xfId="0" applyFont="1" applyFill="1"/>
    <xf numFmtId="38" fontId="3" fillId="2" borderId="0" xfId="1" applyNumberFormat="1" applyFont="1" applyFill="1" applyBorder="1" applyAlignment="1">
      <alignment horizontal="right" vertical="center"/>
    </xf>
    <xf numFmtId="38" fontId="3" fillId="2" borderId="2" xfId="1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38" fillId="2" borderId="0" xfId="0" applyNumberFormat="1" applyFont="1" applyFill="1" applyBorder="1" applyAlignment="1">
      <alignment vertical="center"/>
    </xf>
    <xf numFmtId="165" fontId="38" fillId="2" borderId="0" xfId="0" applyNumberFormat="1" applyFont="1" applyFill="1" applyAlignment="1">
      <alignment vertical="center"/>
    </xf>
    <xf numFmtId="165" fontId="7" fillId="2" borderId="3" xfId="0" applyNumberFormat="1" applyFont="1" applyFill="1" applyBorder="1" applyAlignment="1" applyProtection="1">
      <alignment vertical="center"/>
    </xf>
    <xf numFmtId="1" fontId="7" fillId="2" borderId="3" xfId="0" applyNumberFormat="1" applyFont="1" applyFill="1" applyBorder="1" applyAlignment="1" applyProtection="1">
      <alignment horizontal="right" vertical="center"/>
    </xf>
    <xf numFmtId="1" fontId="35" fillId="2" borderId="3" xfId="0" applyNumberFormat="1" applyFont="1" applyFill="1" applyBorder="1" applyAlignment="1" applyProtection="1">
      <alignment horizontal="right" vertical="center"/>
    </xf>
    <xf numFmtId="165" fontId="40" fillId="2" borderId="3" xfId="0" applyNumberFormat="1" applyFont="1" applyFill="1" applyBorder="1" applyAlignment="1">
      <alignment horizontal="right" vertical="center"/>
    </xf>
    <xf numFmtId="165" fontId="38" fillId="2" borderId="1" xfId="0" applyNumberFormat="1" applyFont="1" applyFill="1" applyBorder="1" applyAlignment="1">
      <alignment vertical="center"/>
    </xf>
    <xf numFmtId="165" fontId="7" fillId="2" borderId="0" xfId="0" applyNumberFormat="1" applyFont="1" applyFill="1" applyAlignment="1" applyProtection="1">
      <alignment vertical="center"/>
    </xf>
    <xf numFmtId="38" fontId="7" fillId="2" borderId="0" xfId="1" applyNumberFormat="1" applyFont="1" applyFill="1" applyAlignment="1" applyProtection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5" fontId="38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 applyProtection="1">
      <alignment vertical="center"/>
    </xf>
    <xf numFmtId="38" fontId="3" fillId="2" borderId="0" xfId="1" applyNumberFormat="1" applyFont="1" applyFill="1" applyAlignment="1" applyProtection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 applyProtection="1">
      <alignment horizontal="right" vertical="center"/>
    </xf>
    <xf numFmtId="165" fontId="37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Border="1" applyAlignment="1" applyProtection="1">
      <alignment vertical="center"/>
    </xf>
    <xf numFmtId="165" fontId="3" fillId="2" borderId="2" xfId="0" applyNumberFormat="1" applyFont="1" applyFill="1" applyBorder="1" applyAlignment="1" applyProtection="1">
      <alignment vertical="center"/>
    </xf>
    <xf numFmtId="166" fontId="3" fillId="2" borderId="2" xfId="1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 applyProtection="1">
      <alignment vertical="center"/>
    </xf>
    <xf numFmtId="165" fontId="41" fillId="2" borderId="0" xfId="0" applyNumberFormat="1" applyFont="1" applyFill="1" applyAlignment="1" applyProtection="1">
      <alignment horizontal="left"/>
    </xf>
    <xf numFmtId="165" fontId="33" fillId="2" borderId="0" xfId="0" applyNumberFormat="1" applyFont="1" applyFill="1" applyAlignment="1" applyProtection="1">
      <alignment horizontal="left"/>
    </xf>
    <xf numFmtId="3" fontId="35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Border="1" applyAlignment="1" applyProtection="1">
      <alignment horizontal="left" vertical="center"/>
    </xf>
    <xf numFmtId="165" fontId="2" fillId="2" borderId="0" xfId="0" applyNumberFormat="1" applyFont="1" applyFill="1" applyAlignment="1"/>
    <xf numFmtId="165" fontId="34" fillId="2" borderId="0" xfId="0" applyNumberFormat="1" applyFont="1" applyFill="1"/>
    <xf numFmtId="38" fontId="36" fillId="2" borderId="0" xfId="1" applyNumberFormat="1" applyFont="1" applyFill="1" applyAlignment="1" applyProtection="1">
      <alignment horizontal="right" vertical="center"/>
    </xf>
    <xf numFmtId="38" fontId="36" fillId="2" borderId="0" xfId="1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 applyProtection="1">
      <alignment horizontal="center" vertical="top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H17"/>
  <sheetViews>
    <sheetView tabSelected="1" topLeftCell="H1" zoomScaleNormal="100" workbookViewId="0">
      <selection activeCell="U12" sqref="U12"/>
    </sheetView>
  </sheetViews>
  <sheetFormatPr defaultColWidth="12.5703125" defaultRowHeight="12.75"/>
  <cols>
    <col min="1" max="1" width="16.5703125" style="33" customWidth="1"/>
    <col min="2" max="5" width="8.140625" style="5" hidden="1" customWidth="1"/>
    <col min="6" max="9" width="8.140625" style="5" customWidth="1"/>
    <col min="10" max="10" width="8.140625" style="34" customWidth="1"/>
    <col min="11" max="15" width="8.140625" style="5" customWidth="1"/>
    <col min="16" max="16" width="26.28515625" style="5" customWidth="1"/>
    <col min="17" max="17" width="2.140625" style="5" customWidth="1"/>
    <col min="18" max="18" width="12.5703125" style="5"/>
    <col min="19" max="19" width="28.42578125" style="5" customWidth="1"/>
    <col min="20" max="16384" width="12.5703125" style="5"/>
  </cols>
  <sheetData>
    <row r="1" spans="1:60" ht="19.5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60" s="7" customFormat="1" ht="15">
      <c r="A2" s="38" t="s">
        <v>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s="12" customFormat="1" ht="15">
      <c r="A3" s="8" t="s">
        <v>3</v>
      </c>
      <c r="B3" s="9">
        <v>2003</v>
      </c>
      <c r="C3" s="9">
        <v>2004</v>
      </c>
      <c r="D3" s="9">
        <v>2005</v>
      </c>
      <c r="E3" s="9">
        <v>2006</v>
      </c>
      <c r="F3" s="9">
        <v>2007</v>
      </c>
      <c r="G3" s="9">
        <v>2008</v>
      </c>
      <c r="H3" s="9">
        <v>2009</v>
      </c>
      <c r="I3" s="9">
        <v>2010</v>
      </c>
      <c r="J3" s="10">
        <v>2011</v>
      </c>
      <c r="K3" s="9">
        <v>2012</v>
      </c>
      <c r="L3" s="9">
        <v>2013</v>
      </c>
      <c r="M3" s="9">
        <v>2014</v>
      </c>
      <c r="N3" s="9">
        <v>2015</v>
      </c>
      <c r="O3" s="9">
        <v>2016</v>
      </c>
      <c r="P3" s="11" t="s">
        <v>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s="16" customFormat="1" ht="15.75">
      <c r="A4" s="13" t="s">
        <v>5</v>
      </c>
      <c r="B4" s="14">
        <f t="shared" ref="B4:N4" si="0">SUM(B5:B16)</f>
        <v>3548</v>
      </c>
      <c r="C4" s="14">
        <f t="shared" si="0"/>
        <v>3961</v>
      </c>
      <c r="D4" s="14">
        <f t="shared" si="0"/>
        <v>4183</v>
      </c>
      <c r="E4" s="14">
        <f t="shared" si="0"/>
        <v>4396</v>
      </c>
      <c r="F4" s="14">
        <f t="shared" si="0"/>
        <v>4750</v>
      </c>
      <c r="G4" s="14">
        <f t="shared" si="0"/>
        <v>5581</v>
      </c>
      <c r="H4" s="14">
        <f t="shared" si="0"/>
        <v>5518</v>
      </c>
      <c r="I4" s="14">
        <f t="shared" si="0"/>
        <v>5229</v>
      </c>
      <c r="J4" s="14">
        <f t="shared" si="0"/>
        <v>5321</v>
      </c>
      <c r="K4" s="14">
        <f t="shared" si="0"/>
        <v>5484</v>
      </c>
      <c r="L4" s="14">
        <f t="shared" si="0"/>
        <v>5090</v>
      </c>
      <c r="M4" s="14">
        <f t="shared" si="0"/>
        <v>4842</v>
      </c>
      <c r="N4" s="14">
        <f t="shared" si="0"/>
        <v>5079</v>
      </c>
      <c r="O4" s="14">
        <f t="shared" ref="O4" si="1">SUM(O5:O16)</f>
        <v>3934</v>
      </c>
      <c r="P4" s="15" t="s">
        <v>6</v>
      </c>
      <c r="Q4" s="15"/>
    </row>
    <row r="5" spans="1:60" s="16" customFormat="1" ht="24.75" customHeight="1">
      <c r="A5" s="17" t="s">
        <v>7</v>
      </c>
      <c r="B5" s="18" t="s">
        <v>0</v>
      </c>
      <c r="C5" s="18" t="s">
        <v>0</v>
      </c>
      <c r="D5" s="18" t="s">
        <v>0</v>
      </c>
      <c r="E5" s="18" t="s">
        <v>0</v>
      </c>
      <c r="F5" s="18">
        <v>3</v>
      </c>
      <c r="G5" s="18">
        <v>3</v>
      </c>
      <c r="H5" s="3" t="s">
        <v>0</v>
      </c>
      <c r="I5" s="3" t="s">
        <v>0</v>
      </c>
      <c r="J5" s="35">
        <v>8</v>
      </c>
      <c r="K5" s="18">
        <v>26</v>
      </c>
      <c r="L5" s="3" t="s">
        <v>0</v>
      </c>
      <c r="M5" s="3" t="s">
        <v>0</v>
      </c>
      <c r="N5" s="18">
        <v>22</v>
      </c>
      <c r="O5" s="18">
        <v>38</v>
      </c>
      <c r="P5" s="19" t="s">
        <v>8</v>
      </c>
      <c r="Q5" s="20"/>
    </row>
    <row r="6" spans="1:60" s="16" customFormat="1" ht="24.75" customHeight="1">
      <c r="A6" s="17" t="s">
        <v>9</v>
      </c>
      <c r="B6" s="18" t="s">
        <v>0</v>
      </c>
      <c r="C6" s="18" t="s">
        <v>0</v>
      </c>
      <c r="D6" s="18" t="s">
        <v>0</v>
      </c>
      <c r="E6" s="18" t="s">
        <v>0</v>
      </c>
      <c r="F6" s="18">
        <v>1</v>
      </c>
      <c r="G6" s="3" t="s">
        <v>0</v>
      </c>
      <c r="H6" s="3" t="s">
        <v>0</v>
      </c>
      <c r="I6" s="3" t="s">
        <v>0</v>
      </c>
      <c r="J6" s="35">
        <v>1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10</v>
      </c>
      <c r="P6" s="19" t="s">
        <v>11</v>
      </c>
      <c r="Q6" s="20"/>
    </row>
    <row r="7" spans="1:60" s="16" customFormat="1" ht="24.75" customHeight="1">
      <c r="A7" s="17" t="s">
        <v>12</v>
      </c>
      <c r="B7" s="18" t="s">
        <v>0</v>
      </c>
      <c r="C7" s="18" t="s">
        <v>0</v>
      </c>
      <c r="D7" s="18" t="s">
        <v>0</v>
      </c>
      <c r="E7" s="18" t="s">
        <v>0</v>
      </c>
      <c r="F7" s="18">
        <v>2</v>
      </c>
      <c r="G7" s="18">
        <v>5</v>
      </c>
      <c r="H7" s="18">
        <v>2</v>
      </c>
      <c r="I7" s="18">
        <v>17</v>
      </c>
      <c r="J7" s="35">
        <v>13</v>
      </c>
      <c r="K7" s="18">
        <v>7</v>
      </c>
      <c r="L7" s="3" t="s">
        <v>0</v>
      </c>
      <c r="M7" s="3" t="s">
        <v>0</v>
      </c>
      <c r="N7" s="18">
        <v>1</v>
      </c>
      <c r="O7" s="18" t="s">
        <v>10</v>
      </c>
      <c r="P7" s="19" t="s">
        <v>13</v>
      </c>
      <c r="Q7" s="20"/>
    </row>
    <row r="8" spans="1:60" s="16" customFormat="1" ht="24.75" customHeight="1">
      <c r="A8" s="17" t="s">
        <v>14</v>
      </c>
      <c r="B8" s="3">
        <v>401</v>
      </c>
      <c r="C8" s="3">
        <v>419</v>
      </c>
      <c r="D8" s="3">
        <v>363</v>
      </c>
      <c r="E8" s="3">
        <v>437</v>
      </c>
      <c r="F8" s="3">
        <v>425</v>
      </c>
      <c r="G8" s="3">
        <v>507</v>
      </c>
      <c r="H8" s="3">
        <v>328</v>
      </c>
      <c r="I8" s="3">
        <v>252</v>
      </c>
      <c r="J8" s="36">
        <v>270</v>
      </c>
      <c r="K8" s="3">
        <v>280</v>
      </c>
      <c r="L8" s="3">
        <v>228</v>
      </c>
      <c r="M8" s="3">
        <v>66</v>
      </c>
      <c r="N8" s="3">
        <v>103</v>
      </c>
      <c r="O8" s="3">
        <v>172</v>
      </c>
      <c r="P8" s="21" t="s">
        <v>15</v>
      </c>
      <c r="Q8" s="20"/>
    </row>
    <row r="9" spans="1:60" s="16" customFormat="1" ht="24.75" customHeight="1">
      <c r="A9" s="17" t="s">
        <v>16</v>
      </c>
      <c r="B9" s="3">
        <v>262</v>
      </c>
      <c r="C9" s="3">
        <v>324</v>
      </c>
      <c r="D9" s="3">
        <v>282</v>
      </c>
      <c r="E9" s="3">
        <v>337</v>
      </c>
      <c r="F9" s="3">
        <v>361</v>
      </c>
      <c r="G9" s="3">
        <v>434</v>
      </c>
      <c r="H9" s="3">
        <v>435</v>
      </c>
      <c r="I9" s="3">
        <v>433</v>
      </c>
      <c r="J9" s="36">
        <v>322</v>
      </c>
      <c r="K9" s="3">
        <v>310</v>
      </c>
      <c r="L9" s="3">
        <v>294</v>
      </c>
      <c r="M9" s="3">
        <v>279</v>
      </c>
      <c r="N9" s="3">
        <v>382</v>
      </c>
      <c r="O9" s="3">
        <v>124</v>
      </c>
      <c r="P9" s="21" t="s">
        <v>17</v>
      </c>
      <c r="Q9" s="20"/>
    </row>
    <row r="10" spans="1:60" s="16" customFormat="1" ht="24.75" customHeight="1">
      <c r="A10" s="17" t="s">
        <v>18</v>
      </c>
      <c r="B10" s="3">
        <v>383</v>
      </c>
      <c r="C10" s="3">
        <v>333</v>
      </c>
      <c r="D10" s="3">
        <v>425</v>
      </c>
      <c r="E10" s="3">
        <v>641</v>
      </c>
      <c r="F10" s="3">
        <v>658</v>
      </c>
      <c r="G10" s="3">
        <v>956</v>
      </c>
      <c r="H10" s="3">
        <v>982</v>
      </c>
      <c r="I10" s="3">
        <v>980</v>
      </c>
      <c r="J10" s="36">
        <v>1166</v>
      </c>
      <c r="K10" s="3">
        <v>1092</v>
      </c>
      <c r="L10" s="3">
        <v>1023</v>
      </c>
      <c r="M10" s="3">
        <v>964</v>
      </c>
      <c r="N10" s="3">
        <v>1126</v>
      </c>
      <c r="O10" s="3">
        <v>989</v>
      </c>
      <c r="P10" s="21" t="s">
        <v>19</v>
      </c>
      <c r="Q10" s="20"/>
    </row>
    <row r="11" spans="1:60" s="16" customFormat="1" ht="24.75" customHeight="1">
      <c r="A11" s="17" t="s">
        <v>20</v>
      </c>
      <c r="B11" s="3">
        <v>974</v>
      </c>
      <c r="C11" s="3">
        <v>1174</v>
      </c>
      <c r="D11" s="3">
        <v>1275</v>
      </c>
      <c r="E11" s="3">
        <v>1229</v>
      </c>
      <c r="F11" s="3">
        <v>1307</v>
      </c>
      <c r="G11" s="3">
        <v>1459</v>
      </c>
      <c r="H11" s="3">
        <v>1585</v>
      </c>
      <c r="I11" s="3">
        <v>1380</v>
      </c>
      <c r="J11" s="36">
        <v>1451</v>
      </c>
      <c r="K11" s="3">
        <v>1376</v>
      </c>
      <c r="L11" s="3">
        <v>1480</v>
      </c>
      <c r="M11" s="3">
        <v>1379</v>
      </c>
      <c r="N11" s="3">
        <v>1267</v>
      </c>
      <c r="O11" s="3">
        <v>991</v>
      </c>
      <c r="P11" s="21" t="s">
        <v>21</v>
      </c>
      <c r="Q11" s="20"/>
    </row>
    <row r="12" spans="1:60" s="16" customFormat="1" ht="24.75" customHeight="1">
      <c r="A12" s="17" t="s">
        <v>22</v>
      </c>
      <c r="B12" s="3">
        <v>1424</v>
      </c>
      <c r="C12" s="3">
        <v>1594</v>
      </c>
      <c r="D12" s="3">
        <v>1642</v>
      </c>
      <c r="E12" s="3">
        <v>1579</v>
      </c>
      <c r="F12" s="3">
        <v>1849</v>
      </c>
      <c r="G12" s="3">
        <v>2059</v>
      </c>
      <c r="H12" s="3">
        <v>2056</v>
      </c>
      <c r="I12" s="3">
        <v>2119</v>
      </c>
      <c r="J12" s="36">
        <v>1977</v>
      </c>
      <c r="K12" s="3">
        <v>2288</v>
      </c>
      <c r="L12" s="3">
        <v>1959</v>
      </c>
      <c r="M12" s="3">
        <v>2147</v>
      </c>
      <c r="N12" s="3">
        <v>2121</v>
      </c>
      <c r="O12" s="3">
        <v>1567</v>
      </c>
      <c r="P12" s="21" t="s">
        <v>23</v>
      </c>
      <c r="Q12" s="20"/>
    </row>
    <row r="13" spans="1:60" s="16" customFormat="1" ht="24.75" customHeight="1">
      <c r="A13" s="17" t="s">
        <v>24</v>
      </c>
      <c r="B13" s="3">
        <v>95</v>
      </c>
      <c r="C13" s="3">
        <v>110</v>
      </c>
      <c r="D13" s="3">
        <v>176</v>
      </c>
      <c r="E13" s="3">
        <v>153</v>
      </c>
      <c r="F13" s="3">
        <v>132</v>
      </c>
      <c r="G13" s="3">
        <v>143</v>
      </c>
      <c r="H13" s="3">
        <v>126</v>
      </c>
      <c r="I13" s="3">
        <v>45</v>
      </c>
      <c r="J13" s="36">
        <v>91</v>
      </c>
      <c r="K13" s="3">
        <v>105</v>
      </c>
      <c r="L13" s="3">
        <v>96</v>
      </c>
      <c r="M13" s="3">
        <v>3</v>
      </c>
      <c r="N13" s="3" t="s">
        <v>0</v>
      </c>
      <c r="O13" s="3">
        <v>4</v>
      </c>
      <c r="P13" s="19" t="s">
        <v>25</v>
      </c>
      <c r="Q13" s="20"/>
    </row>
    <row r="14" spans="1:60" s="16" customFormat="1" ht="24.75" customHeight="1">
      <c r="A14" s="17" t="s">
        <v>26</v>
      </c>
      <c r="B14" s="1" t="s">
        <v>0</v>
      </c>
      <c r="C14" s="1" t="s">
        <v>0</v>
      </c>
      <c r="D14" s="1" t="s">
        <v>0</v>
      </c>
      <c r="E14" s="1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1">
        <v>48</v>
      </c>
      <c r="O14" s="1">
        <v>39</v>
      </c>
      <c r="P14" s="19" t="s">
        <v>27</v>
      </c>
      <c r="Q14" s="20"/>
      <c r="R14" s="2"/>
    </row>
    <row r="15" spans="1:60" s="16" customFormat="1" ht="24.75" customHeight="1">
      <c r="A15" s="22" t="s">
        <v>28</v>
      </c>
      <c r="B15" s="3">
        <v>9</v>
      </c>
      <c r="C15" s="3">
        <v>7</v>
      </c>
      <c r="D15" s="3">
        <v>20</v>
      </c>
      <c r="E15" s="3">
        <v>20</v>
      </c>
      <c r="F15" s="3">
        <v>12</v>
      </c>
      <c r="G15" s="3">
        <v>15</v>
      </c>
      <c r="H15" s="3">
        <v>4</v>
      </c>
      <c r="I15" s="3">
        <v>3</v>
      </c>
      <c r="J15" s="36">
        <v>22</v>
      </c>
      <c r="K15" s="3" t="s">
        <v>0</v>
      </c>
      <c r="L15" s="3">
        <v>10</v>
      </c>
      <c r="M15" s="3">
        <v>4</v>
      </c>
      <c r="N15" s="3">
        <v>8</v>
      </c>
      <c r="O15" s="3">
        <v>10</v>
      </c>
      <c r="P15" s="19" t="s">
        <v>29</v>
      </c>
      <c r="Q15" s="20"/>
    </row>
    <row r="16" spans="1:60" s="16" customFormat="1" ht="24.75" customHeight="1">
      <c r="A16" s="23" t="s">
        <v>30</v>
      </c>
      <c r="B16" s="24" t="s">
        <v>0</v>
      </c>
      <c r="C16" s="24" t="s">
        <v>0</v>
      </c>
      <c r="D16" s="24" t="s">
        <v>0</v>
      </c>
      <c r="E16" s="24" t="s">
        <v>0</v>
      </c>
      <c r="F16" s="24" t="s">
        <v>0</v>
      </c>
      <c r="G16" s="24" t="s">
        <v>0</v>
      </c>
      <c r="H16" s="24" t="s">
        <v>0</v>
      </c>
      <c r="I16" s="24" t="s">
        <v>0</v>
      </c>
      <c r="J16" s="24" t="s">
        <v>0</v>
      </c>
      <c r="K16" s="4" t="s">
        <v>0</v>
      </c>
      <c r="L16" s="24" t="s">
        <v>0</v>
      </c>
      <c r="M16" s="24" t="s">
        <v>0</v>
      </c>
      <c r="N16" s="4">
        <v>1</v>
      </c>
      <c r="O16" s="4" t="s">
        <v>10</v>
      </c>
      <c r="P16" s="25" t="s">
        <v>31</v>
      </c>
      <c r="Q16" s="20"/>
    </row>
    <row r="17" spans="1:17" ht="15">
      <c r="A17" s="26" t="s">
        <v>1</v>
      </c>
      <c r="B17" s="27"/>
      <c r="C17" s="27"/>
      <c r="D17" s="27"/>
      <c r="E17" s="28"/>
      <c r="F17" s="28"/>
      <c r="G17" s="28"/>
      <c r="H17" s="28"/>
      <c r="I17" s="28"/>
      <c r="J17" s="29"/>
      <c r="K17" s="30"/>
      <c r="L17" s="30"/>
      <c r="M17" s="30"/>
      <c r="N17" s="30"/>
      <c r="O17" s="30"/>
      <c r="P17" s="31" t="s">
        <v>2</v>
      </c>
      <c r="Q17" s="32"/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2017-07-05T07:44:42Z</cp:lastPrinted>
  <dcterms:created xsi:type="dcterms:W3CDTF">2014-03-04T09:17:57Z</dcterms:created>
  <dcterms:modified xsi:type="dcterms:W3CDTF">2017-07-05T07:44:43Z</dcterms:modified>
</cp:coreProperties>
</file>