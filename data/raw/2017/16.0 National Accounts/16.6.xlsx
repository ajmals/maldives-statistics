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16. NATIONAL ACCOUNTS\"/>
    </mc:Choice>
  </mc:AlternateContent>
  <bookViews>
    <workbookView xWindow="0" yWindow="0" windowWidth="28800" windowHeight="12330"/>
  </bookViews>
  <sheets>
    <sheet name="16.6" sheetId="6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'16.6'!$A$1:$Q$41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calcChain.xml><?xml version="1.0" encoding="utf-8"?>
<calcChain xmlns="http://schemas.openxmlformats.org/spreadsheetml/2006/main">
  <c r="D45" i="6" l="1"/>
  <c r="D44" i="6"/>
</calcChain>
</file>

<file path=xl/sharedStrings.xml><?xml version="1.0" encoding="utf-8"?>
<sst xmlns="http://schemas.openxmlformats.org/spreadsheetml/2006/main" count="100" uniqueCount="93">
  <si>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</si>
  <si>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</si>
  <si>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</si>
  <si>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</si>
  <si>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</si>
  <si>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</si>
  <si>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</si>
  <si>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</si>
  <si>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D</t>
  </si>
  <si>
    <t>cnudcaefua itekwt</t>
  </si>
  <si>
    <t>E</t>
  </si>
  <si>
    <t>F</t>
  </si>
  <si>
    <t>cnurukctWrWmia</t>
  </si>
  <si>
    <t xml:space="preserve">Tertiary </t>
  </si>
  <si>
    <t>wjwrwdwnwvcnit egumwkiretcnudcaefua</t>
  </si>
  <si>
    <t>G</t>
  </si>
  <si>
    <t>irWfwyiv</t>
  </si>
  <si>
    <t>H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</si>
  <si>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</si>
  <si>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</si>
  <si>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</si>
  <si>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</si>
  <si>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</si>
  <si>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</si>
  <si>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</si>
  <si>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N</t>
  </si>
  <si>
    <t>O</t>
  </si>
  <si>
    <t>(cnugwa IsWswa) cDwDea uailev csorcg</t>
  </si>
  <si>
    <t>Source: National Bureau of Statistics</t>
  </si>
  <si>
    <t xml:space="preserve">(In percent , at current prices) </t>
  </si>
  <si>
    <t>(cniawtcawscnia ,cnugwa egcaerwhwaea)</t>
  </si>
  <si>
    <t>Fisheries</t>
  </si>
  <si>
    <t>Education</t>
  </si>
  <si>
    <t>Electricity and water</t>
  </si>
  <si>
    <t>GDP at Market price</t>
  </si>
  <si>
    <t xml:space="preserve"> uqwrwf egIDiscbws  iaWa cswsckeT</t>
  </si>
  <si>
    <t xml:space="preserve"> 2016- 2003, (cnugwa egcaerwhwaea) urwvcnim WrukWscaih cSwDnwgcnim egumwkiretcnudcaefua Imuawq ,cnukwtiawb IdWBitcqia : 16.6 ulwvWt</t>
  </si>
  <si>
    <t>Table  16.6 :  PERCENTAGE SHARES OF GROSS DOMESTIC PRODUCT(AT CURRENT PRICES), BY KIND OF ACTIVITY,  2003 - 2016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</si>
  <si>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</si>
  <si>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</si>
  <si>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</si>
  <si>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</si>
  <si>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</si>
  <si>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</si>
  <si>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</si>
  <si>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</si>
  <si>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 xml:space="preserve">    ރިސޯޓްސް</t>
  </si>
  <si>
    <t xml:space="preserve">cSwmudcaefua cawtctwvWbeguhwmirukurWycawt    </t>
  </si>
  <si>
    <t xml:space="preserve">    ކުރުމުއްދަތުގެ އެކޮމޮޑޭޝަން ޚިދުމަތްދިނުން 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</si>
  <si>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</si>
  <si>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</si>
  <si>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</si>
  <si>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    އެހެނިހެން ތަކެތި އުފެއްދުމަށް</t>
  </si>
  <si>
    <t xml:space="preserve">ކަރަންޓް އާއި ފެން </t>
  </si>
  <si>
    <t xml:space="preserve">    ކަރަންޓް އުފެއްދުމާއި ދޫކުރުމަން</t>
  </si>
  <si>
    <t xml:space="preserve">    ފެނާއި ނަރުދަމާ ނިޒާމުގެ ޚިދުމަތައް</t>
  </si>
  <si>
    <t>ޓޫރިޒަމް</t>
  </si>
  <si>
    <t xml:space="preserve">    ރެސްޓޯރަންޓް،ކެފޭ،ސައިހޮޓާ ފަދަ ކެއިންބުމުގެ ޚިދުމަތްތައް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</si>
  <si>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</si>
  <si>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</si>
  <si>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</si>
  <si>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</si>
  <si>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</si>
  <si>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</si>
  <si>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</si>
  <si>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</si>
  <si>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</si>
  <si>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</si>
  <si>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</si>
  <si>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</si>
  <si>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</si>
  <si>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 xml:space="preserve">   fish preparation </t>
  </si>
  <si>
    <t xml:space="preserve">   Other manufacturing products</t>
  </si>
  <si>
    <t xml:space="preserve">   Electricity</t>
  </si>
  <si>
    <t xml:space="preserve">   Water &amp; sewerage</t>
  </si>
  <si>
    <t xml:space="preserve">   Resorts </t>
  </si>
  <si>
    <t xml:space="preserve">   Other accomodation services</t>
  </si>
  <si>
    <t xml:space="preserve">   Food and beverage services</t>
  </si>
  <si>
    <t xml:space="preserve">   Transportation</t>
  </si>
  <si>
    <t xml:space="preserve">   Travel agencies and support services</t>
  </si>
  <si>
    <t xml:space="preserve">   Postal and Telecommunication</t>
  </si>
  <si>
    <t xml:space="preserve">   Financial intermediation</t>
  </si>
  <si>
    <t xml:space="preserve">   Insurance and auxiliary to financial intermediation</t>
  </si>
  <si>
    <t>ދަތުރުފަތުރު, ޕޯސްޓް އާއި މުވާޞަލާތީ ޚިދުމަތްތައް</t>
  </si>
  <si>
    <t xml:space="preserve">    ދަތުރުފަތުރުގެ ޚިދުމަތް</t>
  </si>
  <si>
    <t xml:space="preserve">    ފަތުރުވެރިކަމާ ގުޅުންހުރި އެހެނިހެން ޚިދުމަތްތައް</t>
  </si>
  <si>
    <t xml:space="preserve">    ޕޯސްޓްގެ ޚިދުމަތްތައް އާއި މުވާޞަލާތީ ޚިދުމަތްތައް</t>
  </si>
  <si>
    <t xml:space="preserve">    ބޭންކިންގ އާއި ފައިނޭންޝަލް ޚިދުމަތްތައް</t>
  </si>
  <si>
    <t xml:space="preserve">    އިންޝުއެރެންސް އާއި އެހެނިހެން ފައިސާގެ ޚިދުމަތްތައް</t>
  </si>
  <si>
    <t>Note:  Published on November 2017</t>
  </si>
  <si>
    <t>ނޯޓް: ނޮވެމްބަރު 2017 ގައި ޕަބްލިޝްކުރެވިފައި</t>
  </si>
  <si>
    <t>މަޢުލޫމާތު ދެއްވީ: ނެޝަނަލް ބިއުރޯ އޮފް ސްޓެޓިސްޓިކްސް</t>
  </si>
  <si>
    <r>
      <rPr>
        <b/>
        <vertAlign val="superscript"/>
        <sz val="10"/>
        <rFont val="Faruma"/>
      </rPr>
      <t xml:space="preserve"> </t>
    </r>
    <r>
      <rPr>
        <b/>
        <sz val="10"/>
        <rFont val="Faruma"/>
      </rPr>
      <t>(މާކެޓް ޕްރައިޒްއިން</t>
    </r>
    <r>
      <rPr>
        <b/>
        <sz val="10"/>
        <rFont val="A_Randhoo"/>
      </rPr>
      <t>) Ip.ID.Ij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</si>
</sst>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#,##0.0_);[Red]\(#,##0.0\)"/>
    <numFmt numFmtId="166" formatCode="0.0"/>
  </numFmts>
  <fonts count="27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b/>
      <sz val="11"/>
      <name val="Calibri"/>
      <family val="2"/>
      <scheme val="minor"/>
    </font>
    <font>
      <b/>
      <sz val="9"/>
      <name val="A_Randhoo"/>
    </font>
    <font>
      <b/>
      <sz val="10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sz val="9"/>
      <name val="Courier"/>
      <family val="3"/>
    </font>
    <font>
      <sz val="10"/>
      <name val="Arial"/>
      <family val="2"/>
    </font>
    <font>
      <sz val="9"/>
      <name val="Calibri"/>
      <family val="2"/>
    </font>
    <font>
      <sz val="9"/>
      <name val="A_Randhoo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9"/>
      <name val="A_Utheem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sz val="10"/>
      <name val="A_Randhoo"/>
    </font>
    <font>
      <sz val="10"/>
      <color indexed="10"/>
      <name val="Arial"/>
      <family val="2"/>
    </font>
    <font>
      <b/>
      <sz val="11"/>
      <name val="Arial"/>
      <family val="2"/>
    </font>
    <font>
      <b/>
      <vertAlign val="superscript"/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3">
    <xf numFmtId="0" fontId="0" fillId="0" borderId="0"/>
    <xf numFmtId="164" fontId="1" fillId="0" borderId="0"/>
    <xf numFmtId="0" fontId="10" fillId="0" borderId="0"/>
    <xf numFmtId="164" fontId="1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" fillId="0" borderId="0"/>
    <xf numFmtId="164" fontId="1" fillId="0" borderId="0"/>
    <xf numFmtId="164" fontId="17" fillId="0" borderId="0"/>
    <xf numFmtId="40" fontId="17" fillId="0" borderId="0" applyFill="0" applyBorder="0" applyAlignment="0" applyProtection="0"/>
    <xf numFmtId="9" fontId="10" fillId="0" borderId="0" applyFill="0" applyBorder="0" applyAlignment="0" applyProtection="0"/>
    <xf numFmtId="43" fontId="18" fillId="0" borderId="0" applyFont="0" applyFill="0" applyBorder="0" applyAlignment="0" applyProtection="0"/>
  </cellStyleXfs>
  <cellXfs count="71">
    <xf numFmtId="0" fontId="0" fillId="0" borderId="0" xfId="0"/>
    <xf numFmtId="164" fontId="1" fillId="2" borderId="0" xfId="1" applyFont="1" applyFill="1" applyAlignment="1">
      <alignment vertical="center"/>
    </xf>
    <xf numFmtId="164" fontId="9" fillId="2" borderId="0" xfId="3" applyFont="1" applyFill="1"/>
    <xf numFmtId="0" fontId="0" fillId="0" borderId="0" xfId="0"/>
    <xf numFmtId="164" fontId="7" fillId="2" borderId="2" xfId="1" applyFont="1" applyFill="1" applyBorder="1" applyAlignment="1" applyProtection="1">
      <alignment horizontal="left" vertical="center"/>
    </xf>
    <xf numFmtId="164" fontId="6" fillId="2" borderId="2" xfId="1" applyFont="1" applyFill="1" applyBorder="1" applyAlignment="1" applyProtection="1">
      <alignment horizontal="left" vertical="center"/>
    </xf>
    <xf numFmtId="164" fontId="12" fillId="2" borderId="0" xfId="1" applyFont="1" applyFill="1" applyBorder="1" applyAlignment="1">
      <alignment horizontal="right" vertical="center"/>
    </xf>
    <xf numFmtId="164" fontId="14" fillId="2" borderId="0" xfId="1" applyFont="1" applyFill="1" applyAlignment="1">
      <alignment horizontal="left" vertical="center" indent="1"/>
    </xf>
    <xf numFmtId="164" fontId="15" fillId="2" borderId="0" xfId="1" applyFont="1" applyFill="1"/>
    <xf numFmtId="164" fontId="16" fillId="2" borderId="2" xfId="1" applyFont="1" applyFill="1" applyBorder="1" applyAlignment="1" applyProtection="1">
      <alignment horizontal="right" vertical="center"/>
    </xf>
    <xf numFmtId="164" fontId="6" fillId="2" borderId="2" xfId="1" applyFont="1" applyFill="1" applyBorder="1" applyAlignment="1" applyProtection="1">
      <alignment horizontal="right" vertical="center"/>
    </xf>
    <xf numFmtId="164" fontId="9" fillId="2" borderId="0" xfId="8" applyFont="1" applyFill="1"/>
    <xf numFmtId="0" fontId="4" fillId="2" borderId="2" xfId="1" applyNumberFormat="1" applyFont="1" applyFill="1" applyBorder="1" applyAlignment="1">
      <alignment horizontal="right" vertical="center"/>
    </xf>
    <xf numFmtId="1" fontId="7" fillId="2" borderId="3" xfId="6" applyNumberFormat="1" applyFont="1" applyFill="1" applyBorder="1" applyAlignment="1">
      <alignment horizontal="right" vertical="center"/>
    </xf>
    <xf numFmtId="1" fontId="7" fillId="2" borderId="3" xfId="6" applyNumberFormat="1" applyFont="1" applyFill="1" applyBorder="1" applyAlignment="1">
      <alignment vertical="center"/>
    </xf>
    <xf numFmtId="0" fontId="0" fillId="0" borderId="0" xfId="0"/>
    <xf numFmtId="164" fontId="13" fillId="2" borderId="0" xfId="1" applyFont="1" applyFill="1"/>
    <xf numFmtId="164" fontId="8" fillId="2" borderId="2" xfId="1" applyFont="1" applyFill="1" applyBorder="1" applyAlignment="1">
      <alignment horizontal="right" vertical="center"/>
    </xf>
    <xf numFmtId="164" fontId="22" fillId="2" borderId="1" xfId="1" applyFont="1" applyFill="1" applyBorder="1" applyAlignment="1">
      <alignment horizontal="center"/>
    </xf>
    <xf numFmtId="164" fontId="5" fillId="2" borderId="0" xfId="1" applyFont="1" applyFill="1" applyBorder="1" applyAlignment="1">
      <alignment horizontal="left"/>
    </xf>
    <xf numFmtId="165" fontId="22" fillId="2" borderId="1" xfId="2" applyNumberFormat="1" applyFont="1" applyFill="1" applyBorder="1" applyAlignment="1">
      <alignment horizontal="right" vertical="center"/>
    </xf>
    <xf numFmtId="164" fontId="15" fillId="2" borderId="0" xfId="1" applyFont="1" applyFill="1" applyBorder="1" applyAlignment="1">
      <alignment horizontal="center"/>
    </xf>
    <xf numFmtId="165" fontId="15" fillId="2" borderId="0" xfId="2" applyNumberFormat="1" applyFont="1" applyFill="1" applyBorder="1" applyAlignment="1">
      <alignment horizontal="right" vertical="center"/>
    </xf>
    <xf numFmtId="164" fontId="23" fillId="0" borderId="0" xfId="7" applyNumberFormat="1" applyFont="1" applyFill="1" applyBorder="1" applyAlignment="1">
      <alignment horizontal="right" vertical="center"/>
    </xf>
    <xf numFmtId="164" fontId="22" fillId="2" borderId="0" xfId="1" applyFont="1" applyFill="1" applyBorder="1" applyAlignment="1">
      <alignment horizontal="center"/>
    </xf>
    <xf numFmtId="164" fontId="22" fillId="2" borderId="0" xfId="1" applyFont="1" applyFill="1" applyBorder="1"/>
    <xf numFmtId="165" fontId="22" fillId="2" borderId="0" xfId="2" applyNumberFormat="1" applyFont="1" applyFill="1" applyBorder="1" applyAlignment="1">
      <alignment horizontal="right" vertical="center"/>
    </xf>
    <xf numFmtId="164" fontId="8" fillId="0" borderId="0" xfId="7" applyNumberFormat="1" applyFont="1" applyFill="1" applyBorder="1" applyAlignment="1">
      <alignment horizontal="right" vertical="center"/>
    </xf>
    <xf numFmtId="165" fontId="22" fillId="2" borderId="0" xfId="2" applyNumberFormat="1" applyFont="1" applyFill="1" applyBorder="1" applyAlignment="1">
      <alignment horizontal="right"/>
    </xf>
    <xf numFmtId="164" fontId="15" fillId="2" borderId="0" xfId="1" applyFont="1" applyFill="1" applyAlignment="1">
      <alignment horizontal="center"/>
    </xf>
    <xf numFmtId="165" fontId="15" fillId="2" borderId="0" xfId="2" applyNumberFormat="1" applyFont="1" applyFill="1" applyBorder="1" applyAlignment="1">
      <alignment horizontal="right"/>
    </xf>
    <xf numFmtId="164" fontId="23" fillId="2" borderId="0" xfId="1" applyFont="1" applyFill="1" applyAlignment="1">
      <alignment horizontal="right" vertical="center"/>
    </xf>
    <xf numFmtId="165" fontId="19" fillId="2" borderId="0" xfId="2" applyNumberFormat="1" applyFont="1" applyFill="1" applyBorder="1" applyAlignment="1">
      <alignment horizontal="right"/>
    </xf>
    <xf numFmtId="164" fontId="15" fillId="2" borderId="3" xfId="1" applyFont="1" applyFill="1" applyBorder="1" applyAlignment="1">
      <alignment horizontal="center"/>
    </xf>
    <xf numFmtId="164" fontId="15" fillId="2" borderId="3" xfId="1" applyFont="1" applyFill="1" applyBorder="1"/>
    <xf numFmtId="165" fontId="15" fillId="2" borderId="3" xfId="2" applyNumberFormat="1" applyFont="1" applyFill="1" applyBorder="1" applyAlignment="1">
      <alignment horizontal="right"/>
    </xf>
    <xf numFmtId="164" fontId="15" fillId="2" borderId="0" xfId="1" applyFont="1" applyFill="1" applyBorder="1" applyAlignment="1">
      <alignment horizontal="left"/>
    </xf>
    <xf numFmtId="0" fontId="18" fillId="0" borderId="0" xfId="0" applyFont="1"/>
    <xf numFmtId="164" fontId="25" fillId="2" borderId="0" xfId="8" applyFont="1" applyFill="1" applyBorder="1" applyAlignment="1">
      <alignment vertical="center"/>
    </xf>
    <xf numFmtId="164" fontId="3" fillId="2" borderId="3" xfId="1" applyFont="1" applyFill="1" applyBorder="1" applyAlignment="1" applyProtection="1">
      <alignment horizontal="left" vertical="center"/>
    </xf>
    <xf numFmtId="164" fontId="25" fillId="2" borderId="3" xfId="8" applyFont="1" applyFill="1" applyBorder="1" applyAlignment="1">
      <alignment horizontal="centerContinuous" vertical="center"/>
    </xf>
    <xf numFmtId="164" fontId="25" fillId="2" borderId="0" xfId="8" applyFont="1" applyFill="1" applyBorder="1" applyAlignment="1">
      <alignment horizontal="centerContinuous" vertical="center"/>
    </xf>
    <xf numFmtId="166" fontId="22" fillId="2" borderId="1" xfId="2" applyNumberFormat="1" applyFont="1" applyFill="1" applyBorder="1" applyAlignment="1">
      <alignment horizontal="right" vertical="center"/>
    </xf>
    <xf numFmtId="166" fontId="15" fillId="2" borderId="0" xfId="2" applyNumberFormat="1" applyFont="1" applyFill="1" applyBorder="1" applyAlignment="1">
      <alignment horizontal="right" vertical="center"/>
    </xf>
    <xf numFmtId="166" fontId="22" fillId="2" borderId="0" xfId="2" applyNumberFormat="1" applyFont="1" applyFill="1" applyBorder="1" applyAlignment="1">
      <alignment horizontal="right" vertical="center"/>
    </xf>
    <xf numFmtId="166" fontId="22" fillId="2" borderId="0" xfId="2" applyNumberFormat="1" applyFont="1" applyFill="1" applyBorder="1" applyAlignment="1">
      <alignment horizontal="right"/>
    </xf>
    <xf numFmtId="166" fontId="15" fillId="2" borderId="0" xfId="2" applyNumberFormat="1" applyFont="1" applyFill="1" applyBorder="1" applyAlignment="1">
      <alignment horizontal="right"/>
    </xf>
    <xf numFmtId="166" fontId="19" fillId="2" borderId="0" xfId="2" applyNumberFormat="1" applyFont="1" applyFill="1" applyBorder="1" applyAlignment="1">
      <alignment horizontal="right"/>
    </xf>
    <xf numFmtId="166" fontId="15" fillId="2" borderId="3" xfId="2" applyNumberFormat="1" applyFont="1" applyFill="1" applyBorder="1" applyAlignment="1">
      <alignment horizontal="right"/>
    </xf>
    <xf numFmtId="164" fontId="8" fillId="2" borderId="0" xfId="1" applyFont="1" applyFill="1" applyBorder="1" applyAlignment="1">
      <alignment horizontal="right" vertical="center"/>
    </xf>
    <xf numFmtId="164" fontId="8" fillId="2" borderId="1" xfId="1" applyFont="1" applyFill="1" applyBorder="1" applyAlignment="1">
      <alignment horizontal="right" vertical="center"/>
    </xf>
    <xf numFmtId="164" fontId="21" fillId="2" borderId="0" xfId="1" applyFont="1" applyFill="1" applyAlignment="1">
      <alignment horizontal="right" vertical="center"/>
    </xf>
    <xf numFmtId="164" fontId="21" fillId="2" borderId="3" xfId="1" applyFont="1" applyFill="1" applyBorder="1" applyAlignment="1">
      <alignment horizontal="right" vertical="center"/>
    </xf>
    <xf numFmtId="164" fontId="21" fillId="2" borderId="0" xfId="1" applyFont="1" applyFill="1" applyBorder="1" applyAlignment="1">
      <alignment horizontal="right" vertical="center"/>
    </xf>
    <xf numFmtId="164" fontId="14" fillId="2" borderId="0" xfId="1" applyFont="1" applyFill="1" applyAlignment="1">
      <alignment horizontal="left" vertical="center"/>
    </xf>
    <xf numFmtId="164" fontId="13" fillId="2" borderId="0" xfId="1" applyFont="1" applyFill="1" applyAlignment="1">
      <alignment vertical="center"/>
    </xf>
    <xf numFmtId="164" fontId="15" fillId="2" borderId="0" xfId="1" applyFont="1" applyFill="1" applyAlignment="1">
      <alignment vertical="center"/>
    </xf>
    <xf numFmtId="43" fontId="10" fillId="2" borderId="0" xfId="12" applyFont="1" applyFill="1" applyAlignment="1">
      <alignment vertical="center"/>
    </xf>
    <xf numFmtId="43" fontId="24" fillId="2" borderId="0" xfId="12" applyFont="1" applyFill="1" applyAlignment="1">
      <alignment vertical="center"/>
    </xf>
    <xf numFmtId="43" fontId="24" fillId="2" borderId="0" xfId="12" applyFont="1" applyFill="1" applyAlignment="1">
      <alignment horizontal="right" vertical="center"/>
    </xf>
    <xf numFmtId="1" fontId="21" fillId="2" borderId="0" xfId="1" applyNumberFormat="1" applyFont="1" applyFill="1" applyAlignment="1">
      <alignment horizontal="right" vertical="center"/>
    </xf>
    <xf numFmtId="164" fontId="11" fillId="2" borderId="0" xfId="1" applyFont="1" applyFill="1" applyAlignment="1">
      <alignment vertical="center"/>
    </xf>
    <xf numFmtId="164" fontId="10" fillId="2" borderId="0" xfId="1" applyFont="1" applyFill="1" applyAlignment="1">
      <alignment vertical="center"/>
    </xf>
    <xf numFmtId="164" fontId="8" fillId="2" borderId="1" xfId="1" applyFont="1" applyFill="1" applyBorder="1" applyAlignment="1">
      <alignment horizontal="right" vertical="center"/>
    </xf>
    <xf numFmtId="164" fontId="8" fillId="2" borderId="3" xfId="1" applyFont="1" applyFill="1" applyBorder="1" applyAlignment="1">
      <alignment horizontal="right" vertical="center"/>
    </xf>
    <xf numFmtId="164" fontId="7" fillId="2" borderId="1" xfId="8" applyFont="1" applyFill="1" applyBorder="1" applyAlignment="1">
      <alignment horizontal="left" vertical="center"/>
    </xf>
    <xf numFmtId="164" fontId="7" fillId="2" borderId="3" xfId="8" applyFont="1" applyFill="1" applyBorder="1" applyAlignment="1">
      <alignment horizontal="left" vertical="center"/>
    </xf>
    <xf numFmtId="164" fontId="7" fillId="2" borderId="1" xfId="8" applyFont="1" applyFill="1" applyBorder="1" applyAlignment="1">
      <alignment horizontal="center" vertical="center"/>
    </xf>
    <xf numFmtId="164" fontId="7" fillId="2" borderId="3" xfId="8" applyFont="1" applyFill="1" applyBorder="1" applyAlignment="1">
      <alignment horizontal="center" vertical="center"/>
    </xf>
    <xf numFmtId="164" fontId="2" fillId="2" borderId="0" xfId="8" applyFont="1" applyFill="1" applyAlignment="1">
      <alignment horizontal="center" vertical="center"/>
    </xf>
    <xf numFmtId="164" fontId="3" fillId="2" borderId="0" xfId="8" applyFont="1" applyFill="1" applyAlignment="1" applyProtection="1">
      <alignment horizontal="center" vertical="center"/>
    </xf>
  </cellXfs>
  <cellStyles count="13">
    <cellStyle name="1" xfId="4"/>
    <cellStyle name="Comma" xfId="12" builtinId="3"/>
    <cellStyle name="Comma 2" xfId="6"/>
    <cellStyle name="Comma 3" xfId="10"/>
    <cellStyle name="Normal" xfId="0" builtinId="0"/>
    <cellStyle name="Normal 2" xfId="5"/>
    <cellStyle name="Normal 3" xfId="9"/>
    <cellStyle name="Normal_Estimates96_99" xfId="2"/>
    <cellStyle name="Normal_XII-1 (Commerce)" xfId="1"/>
    <cellStyle name="Normal_XII-1 (Commerce) 2" xfId="7"/>
    <cellStyle name="Normal_XII-2 (Commerce)" xfId="3"/>
    <cellStyle name="Normal_XII-3 (Commerce)" xfId="8"/>
    <cellStyle name="Percent 2" xfId="11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97"/>
  <sheetViews>
    <sheetView showGridLines="0" tabSelected="1" zoomScale="82" zoomScaleNormal="82" workbookViewId="0">
      <selection activeCell="U17" sqref="U17"/>
    </sheetView>
  </sheetViews>
  <sheetFormatPr defaultRowHeight="20.100000000000001" customHeight="1" x14ac:dyDescent="0.25"/>
  <cols>
    <col min="2" max="2" width="39.42578125" customWidth="1"/>
    <col min="15" max="15" width="9.140625" style="3"/>
    <col min="16" max="16" width="9.140625" style="15"/>
    <col min="17" max="17" width="44.28515625" customWidth="1"/>
  </cols>
  <sheetData>
    <row r="1" spans="1:17" s="15" customFormat="1" ht="20.100000000000001" customHeight="1" x14ac:dyDescent="0.25"/>
    <row r="2" spans="1:17" s="37" customFormat="1" ht="20.100000000000001" customHeight="1" x14ac:dyDescent="0.25">
      <c r="A2" s="69" t="s">
        <v>36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</row>
    <row r="3" spans="1:17" s="37" customFormat="1" ht="20.100000000000001" customHeight="1" x14ac:dyDescent="0.25">
      <c r="A3" s="70" t="s">
        <v>37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</row>
    <row r="4" spans="1:17" s="37" customFormat="1" ht="20.100000000000001" customHeight="1" x14ac:dyDescent="0.25">
      <c r="A4" s="38"/>
      <c r="B4" s="39"/>
      <c r="C4" s="40"/>
      <c r="D4" s="40"/>
      <c r="E4" s="40"/>
      <c r="F4" s="40"/>
      <c r="G4" s="40"/>
      <c r="H4" s="40"/>
      <c r="I4" s="40"/>
      <c r="J4" s="40"/>
      <c r="K4" s="40"/>
      <c r="L4" s="40"/>
      <c r="M4" s="41"/>
      <c r="N4" s="41"/>
      <c r="O4" s="41"/>
      <c r="P4" s="41"/>
      <c r="Q4" s="38"/>
    </row>
    <row r="5" spans="1:17" ht="20.100000000000001" customHeight="1" x14ac:dyDescent="0.25">
      <c r="A5" s="67" t="s">
        <v>0</v>
      </c>
      <c r="B5" s="65" t="s">
        <v>1</v>
      </c>
      <c r="C5" s="4" t="s">
        <v>29</v>
      </c>
      <c r="D5" s="5"/>
      <c r="E5" s="10"/>
      <c r="F5" s="10"/>
      <c r="G5" s="12"/>
      <c r="H5" s="12"/>
      <c r="I5" s="12"/>
      <c r="J5" s="12"/>
      <c r="K5" s="12"/>
      <c r="L5" s="12"/>
      <c r="M5" s="12"/>
      <c r="N5" s="9"/>
      <c r="O5" s="9"/>
      <c r="P5" s="17" t="s">
        <v>30</v>
      </c>
      <c r="Q5" s="63" t="s">
        <v>2</v>
      </c>
    </row>
    <row r="6" spans="1:17" ht="20.100000000000001" customHeight="1" x14ac:dyDescent="0.25">
      <c r="A6" s="68"/>
      <c r="B6" s="66"/>
      <c r="C6" s="13">
        <v>2003</v>
      </c>
      <c r="D6" s="13">
        <v>2004</v>
      </c>
      <c r="E6" s="14">
        <v>2005</v>
      </c>
      <c r="F6" s="14">
        <v>2006</v>
      </c>
      <c r="G6" s="14">
        <v>2007</v>
      </c>
      <c r="H6" s="14">
        <v>2008</v>
      </c>
      <c r="I6" s="14">
        <v>2009</v>
      </c>
      <c r="J6" s="14">
        <v>2010</v>
      </c>
      <c r="K6" s="13">
        <v>2011</v>
      </c>
      <c r="L6" s="13">
        <v>2012</v>
      </c>
      <c r="M6" s="13">
        <v>2013</v>
      </c>
      <c r="N6" s="13">
        <v>2014</v>
      </c>
      <c r="O6" s="13">
        <v>2015</v>
      </c>
      <c r="P6" s="13">
        <v>2016</v>
      </c>
      <c r="Q6" s="64"/>
    </row>
    <row r="7" spans="1:17" ht="20.100000000000001" customHeight="1" x14ac:dyDescent="0.25">
      <c r="A7" s="18"/>
      <c r="B7" s="19" t="s">
        <v>34</v>
      </c>
      <c r="C7" s="20">
        <v>100</v>
      </c>
      <c r="D7" s="42">
        <v>100</v>
      </c>
      <c r="E7" s="42">
        <v>100</v>
      </c>
      <c r="F7" s="42">
        <v>100</v>
      </c>
      <c r="G7" s="42">
        <v>100</v>
      </c>
      <c r="H7" s="42">
        <v>100</v>
      </c>
      <c r="I7" s="42">
        <v>100.00000000000001</v>
      </c>
      <c r="J7" s="42">
        <v>99.999999999999986</v>
      </c>
      <c r="K7" s="42">
        <v>99.999999999999986</v>
      </c>
      <c r="L7" s="42">
        <v>100</v>
      </c>
      <c r="M7" s="42">
        <v>100</v>
      </c>
      <c r="N7" s="42">
        <v>100</v>
      </c>
      <c r="O7" s="42">
        <v>100</v>
      </c>
      <c r="P7" s="42">
        <v>100.00000000000001</v>
      </c>
      <c r="Q7" s="50" t="s">
        <v>92</v>
      </c>
    </row>
    <row r="8" spans="1:17" ht="20.100000000000001" customHeight="1" x14ac:dyDescent="0.25">
      <c r="A8" s="21"/>
      <c r="B8" s="36" t="s">
        <v>69</v>
      </c>
      <c r="C8" s="22">
        <v>9.2279723332233541</v>
      </c>
      <c r="D8" s="43">
        <v>10.321141410720186</v>
      </c>
      <c r="E8" s="43">
        <v>10.965041119376194</v>
      </c>
      <c r="F8" s="43">
        <v>10.980989499750763</v>
      </c>
      <c r="G8" s="43">
        <v>10.969707690549207</v>
      </c>
      <c r="H8" s="43">
        <v>9.4801085003624284</v>
      </c>
      <c r="I8" s="43">
        <v>7.0338215134871209</v>
      </c>
      <c r="J8" s="43">
        <v>7.2401173898265112</v>
      </c>
      <c r="K8" s="43">
        <v>9.4765750336861352</v>
      </c>
      <c r="L8" s="43">
        <v>9.5415748083291607</v>
      </c>
      <c r="M8" s="43">
        <v>10.95193927317283</v>
      </c>
      <c r="N8" s="43">
        <v>10.873809962793727</v>
      </c>
      <c r="O8" s="43">
        <v>11.715488686138592</v>
      </c>
      <c r="P8" s="43">
        <v>13.73168416643575</v>
      </c>
      <c r="Q8" s="23" t="s">
        <v>35</v>
      </c>
    </row>
    <row r="9" spans="1:17" ht="20.100000000000001" customHeight="1" x14ac:dyDescent="0.25">
      <c r="A9" s="24"/>
      <c r="B9" s="25" t="s">
        <v>70</v>
      </c>
      <c r="C9" s="26">
        <v>90.772027666776651</v>
      </c>
      <c r="D9" s="44">
        <v>89.678858589279812</v>
      </c>
      <c r="E9" s="44">
        <v>89.034958880623805</v>
      </c>
      <c r="F9" s="44">
        <v>89.019010500249237</v>
      </c>
      <c r="G9" s="44">
        <v>89.0302923094508</v>
      </c>
      <c r="H9" s="44">
        <v>90.519891499637566</v>
      </c>
      <c r="I9" s="44">
        <v>92.966178486512888</v>
      </c>
      <c r="J9" s="44">
        <v>92.759882610173477</v>
      </c>
      <c r="K9" s="44">
        <v>90.523424966313854</v>
      </c>
      <c r="L9" s="44">
        <v>90.458425191670841</v>
      </c>
      <c r="M9" s="44">
        <v>89.048060726827174</v>
      </c>
      <c r="N9" s="44">
        <v>89.126190037206271</v>
      </c>
      <c r="O9" s="44">
        <v>88.284511313861415</v>
      </c>
      <c r="P9" s="44">
        <v>86.268315833564259</v>
      </c>
      <c r="Q9" s="27" t="s">
        <v>27</v>
      </c>
    </row>
    <row r="10" spans="1:17" ht="20.100000000000001" customHeight="1" x14ac:dyDescent="0.25">
      <c r="A10" s="24"/>
      <c r="B10" s="25" t="s">
        <v>3</v>
      </c>
      <c r="C10" s="28">
        <v>5.3111930487764027</v>
      </c>
      <c r="D10" s="45">
        <v>5.5841996497327706</v>
      </c>
      <c r="E10" s="45">
        <v>7.7280315165600184</v>
      </c>
      <c r="F10" s="45">
        <v>6.5951582463179772</v>
      </c>
      <c r="G10" s="45">
        <v>6.1653556142230954</v>
      </c>
      <c r="H10" s="45">
        <v>6.875646866765921</v>
      </c>
      <c r="I10" s="45">
        <v>5.4194816317448229</v>
      </c>
      <c r="J10" s="45">
        <v>5.6341207093415635</v>
      </c>
      <c r="K10" s="45">
        <v>5.3856346830935191</v>
      </c>
      <c r="L10" s="45">
        <v>5.1906048911136144</v>
      </c>
      <c r="M10" s="45">
        <v>5.4134340812417046</v>
      </c>
      <c r="N10" s="45">
        <v>5.307186395837034</v>
      </c>
      <c r="O10" s="45">
        <v>5.7042528841145179</v>
      </c>
      <c r="P10" s="45">
        <v>5.8782227677854726</v>
      </c>
      <c r="Q10" s="49" t="s">
        <v>4</v>
      </c>
    </row>
    <row r="11" spans="1:17" ht="20.100000000000001" customHeight="1" x14ac:dyDescent="0.25">
      <c r="A11" s="29" t="s">
        <v>38</v>
      </c>
      <c r="B11" s="8" t="s">
        <v>59</v>
      </c>
      <c r="C11" s="30">
        <v>2.3293704912762676</v>
      </c>
      <c r="D11" s="46">
        <v>2.1982082649197356</v>
      </c>
      <c r="E11" s="46">
        <v>2.2381739153520552</v>
      </c>
      <c r="F11" s="46">
        <v>1.9335812457487722</v>
      </c>
      <c r="G11" s="46">
        <v>1.8379478227510639</v>
      </c>
      <c r="H11" s="46">
        <v>1.8187999634802867</v>
      </c>
      <c r="I11" s="46">
        <v>1.7638801937538255</v>
      </c>
      <c r="J11" s="46">
        <v>1.7758544505083498</v>
      </c>
      <c r="K11" s="46">
        <v>1.6753596051415742</v>
      </c>
      <c r="L11" s="46">
        <v>1.6104435743733425</v>
      </c>
      <c r="M11" s="46">
        <v>1.5326276882765388</v>
      </c>
      <c r="N11" s="46">
        <v>1.3776203712634822</v>
      </c>
      <c r="O11" s="46">
        <v>1.3013260825871757</v>
      </c>
      <c r="P11" s="46">
        <v>1.2742912381408182</v>
      </c>
      <c r="Q11" s="31" t="s">
        <v>45</v>
      </c>
    </row>
    <row r="12" spans="1:17" ht="20.100000000000001" customHeight="1" x14ac:dyDescent="0.25">
      <c r="A12" s="29" t="s">
        <v>38</v>
      </c>
      <c r="B12" s="8" t="s">
        <v>31</v>
      </c>
      <c r="C12" s="30">
        <v>2.9818225575001356</v>
      </c>
      <c r="D12" s="46">
        <v>3.385991384813035</v>
      </c>
      <c r="E12" s="46">
        <v>5.4898576012079632</v>
      </c>
      <c r="F12" s="46">
        <v>4.6615770005692045</v>
      </c>
      <c r="G12" s="46">
        <v>4.3274077914720319</v>
      </c>
      <c r="H12" s="46">
        <v>5.056846903285634</v>
      </c>
      <c r="I12" s="46">
        <v>3.6556014379909976</v>
      </c>
      <c r="J12" s="46">
        <v>3.8582662588332135</v>
      </c>
      <c r="K12" s="46">
        <v>3.7102750779519447</v>
      </c>
      <c r="L12" s="46">
        <v>3.5801613167402722</v>
      </c>
      <c r="M12" s="46">
        <v>3.8808063929651659</v>
      </c>
      <c r="N12" s="46">
        <v>3.929566024573552</v>
      </c>
      <c r="O12" s="46">
        <v>4.4029268015273422</v>
      </c>
      <c r="P12" s="46">
        <v>4.6039315296446546</v>
      </c>
      <c r="Q12" s="31" t="s">
        <v>5</v>
      </c>
    </row>
    <row r="13" spans="1:17" ht="20.100000000000001" customHeight="1" x14ac:dyDescent="0.25">
      <c r="A13" s="24"/>
      <c r="B13" s="25" t="s">
        <v>6</v>
      </c>
      <c r="C13" s="28">
        <v>12.375459227523448</v>
      </c>
      <c r="D13" s="45">
        <v>11.058812464190112</v>
      </c>
      <c r="E13" s="45">
        <v>11.731929555544635</v>
      </c>
      <c r="F13" s="45">
        <v>9.517634129735935</v>
      </c>
      <c r="G13" s="45">
        <v>8.7455135949025333</v>
      </c>
      <c r="H13" s="45">
        <v>11.449307157472621</v>
      </c>
      <c r="I13" s="45">
        <v>9.6202468145598523</v>
      </c>
      <c r="J13" s="45">
        <v>9.4317557144263375</v>
      </c>
      <c r="K13" s="45">
        <v>10.074482081304978</v>
      </c>
      <c r="L13" s="45">
        <v>9.7907916369502033</v>
      </c>
      <c r="M13" s="45">
        <v>8.0584030068898969</v>
      </c>
      <c r="N13" s="45">
        <v>8.4139106974515467</v>
      </c>
      <c r="O13" s="45">
        <v>9.06580822360743</v>
      </c>
      <c r="P13" s="45">
        <v>9.6893623764876313</v>
      </c>
      <c r="Q13" s="49" t="s">
        <v>7</v>
      </c>
    </row>
    <row r="14" spans="1:17" ht="20.100000000000001" customHeight="1" x14ac:dyDescent="0.25">
      <c r="A14" s="29" t="s">
        <v>39</v>
      </c>
      <c r="B14" s="8" t="s">
        <v>58</v>
      </c>
      <c r="C14" s="30">
        <v>5.2990884764324644</v>
      </c>
      <c r="D14" s="46">
        <v>4.8817669597233433</v>
      </c>
      <c r="E14" s="46">
        <v>4.6948707578583573</v>
      </c>
      <c r="F14" s="46">
        <v>3.6587933502549927</v>
      </c>
      <c r="G14" s="46">
        <v>3.2083461880381838</v>
      </c>
      <c r="H14" s="46">
        <v>3.2502926114728439</v>
      </c>
      <c r="I14" s="46">
        <v>2.5737655866752975</v>
      </c>
      <c r="J14" s="46">
        <v>2.2877108872171474</v>
      </c>
      <c r="K14" s="46">
        <v>2.5805289741884483</v>
      </c>
      <c r="L14" s="46">
        <v>2.6245273092483412</v>
      </c>
      <c r="M14" s="46">
        <v>2.1183821762179389</v>
      </c>
      <c r="N14" s="46">
        <v>1.9849732156564222</v>
      </c>
      <c r="O14" s="46">
        <v>1.853529090930681</v>
      </c>
      <c r="P14" s="46">
        <v>2.0131455928500306</v>
      </c>
      <c r="Q14" s="31" t="s">
        <v>9</v>
      </c>
    </row>
    <row r="15" spans="1:17" ht="20.100000000000001" customHeight="1" x14ac:dyDescent="0.25">
      <c r="A15" s="29" t="s">
        <v>39</v>
      </c>
      <c r="B15" s="16" t="s">
        <v>71</v>
      </c>
      <c r="C15" s="32">
        <v>2.734922275891658</v>
      </c>
      <c r="D15" s="47">
        <v>2.6319994197991927</v>
      </c>
      <c r="E15" s="47">
        <v>2.8764778173100756</v>
      </c>
      <c r="F15" s="47">
        <v>2.0896053366426011</v>
      </c>
      <c r="G15" s="47">
        <v>1.7292827612102946</v>
      </c>
      <c r="H15" s="47">
        <v>1.6916925962836986</v>
      </c>
      <c r="I15" s="47">
        <v>1.0705694864295983</v>
      </c>
      <c r="J15" s="47">
        <v>0.77357505350602884</v>
      </c>
      <c r="K15" s="47">
        <v>0.87393883711747133</v>
      </c>
      <c r="L15" s="47">
        <v>0.89773593016758868</v>
      </c>
      <c r="M15" s="47">
        <v>0.64476022556103596</v>
      </c>
      <c r="N15" s="47">
        <v>0.49099516365234752</v>
      </c>
      <c r="O15" s="47">
        <v>0.38931701458183843</v>
      </c>
      <c r="P15" s="47">
        <v>0.50945425567045599</v>
      </c>
      <c r="Q15" s="31" t="s">
        <v>47</v>
      </c>
    </row>
    <row r="16" spans="1:17" ht="20.100000000000001" customHeight="1" x14ac:dyDescent="0.25">
      <c r="A16" s="29" t="s">
        <v>39</v>
      </c>
      <c r="B16" s="16" t="s">
        <v>72</v>
      </c>
      <c r="C16" s="32">
        <v>2.5641662005408059</v>
      </c>
      <c r="D16" s="47">
        <v>2.249767539924151</v>
      </c>
      <c r="E16" s="47">
        <v>1.8183929405482813</v>
      </c>
      <c r="F16" s="47">
        <v>1.5691880136123926</v>
      </c>
      <c r="G16" s="47">
        <v>1.4790634268278888</v>
      </c>
      <c r="H16" s="47">
        <v>1.5586000151891455</v>
      </c>
      <c r="I16" s="47">
        <v>1.5031961002456997</v>
      </c>
      <c r="J16" s="47">
        <v>1.5141358337111186</v>
      </c>
      <c r="K16" s="47">
        <v>1.7065901370709766</v>
      </c>
      <c r="L16" s="47">
        <v>1.726791379080753</v>
      </c>
      <c r="M16" s="47">
        <v>1.473621950656903</v>
      </c>
      <c r="N16" s="47">
        <v>1.4939780520040742</v>
      </c>
      <c r="O16" s="47">
        <v>1.4642120763488429</v>
      </c>
      <c r="P16" s="47">
        <v>1.5036913371795742</v>
      </c>
      <c r="Q16" s="51" t="s">
        <v>52</v>
      </c>
    </row>
    <row r="17" spans="1:17" ht="20.100000000000001" customHeight="1" x14ac:dyDescent="0.25">
      <c r="A17" s="29"/>
      <c r="B17" s="8" t="s">
        <v>33</v>
      </c>
      <c r="C17" s="30">
        <v>1.8847526189271577</v>
      </c>
      <c r="D17" s="46">
        <v>1.7056130887236458</v>
      </c>
      <c r="E17" s="46">
        <v>2.0430357181665295</v>
      </c>
      <c r="F17" s="46">
        <v>1.6695066538110677</v>
      </c>
      <c r="G17" s="46">
        <v>1.5332264141089096</v>
      </c>
      <c r="H17" s="46">
        <v>1.6560541920394845</v>
      </c>
      <c r="I17" s="46">
        <v>1.7759887523877582</v>
      </c>
      <c r="J17" s="46">
        <v>1.8913129207946577</v>
      </c>
      <c r="K17" s="46">
        <v>1.7325255797658732</v>
      </c>
      <c r="L17" s="46">
        <v>1.6997529568285505</v>
      </c>
      <c r="M17" s="46">
        <v>1.5835406404743957</v>
      </c>
      <c r="N17" s="46">
        <v>1.5479838847402927</v>
      </c>
      <c r="O17" s="46">
        <v>1.6575991210733645</v>
      </c>
      <c r="P17" s="46">
        <v>1.602024778145819</v>
      </c>
      <c r="Q17" s="51" t="s">
        <v>53</v>
      </c>
    </row>
    <row r="18" spans="1:17" ht="20.100000000000001" customHeight="1" x14ac:dyDescent="0.25">
      <c r="A18" s="29" t="s">
        <v>8</v>
      </c>
      <c r="B18" s="16" t="s">
        <v>73</v>
      </c>
      <c r="C18" s="30">
        <v>1.2083839232913718</v>
      </c>
      <c r="D18" s="46">
        <v>1.0565973484900315</v>
      </c>
      <c r="E18" s="46">
        <v>1.1783042338513923</v>
      </c>
      <c r="F18" s="46">
        <v>0.9166846643756128</v>
      </c>
      <c r="G18" s="46">
        <v>0.85506423344901361</v>
      </c>
      <c r="H18" s="46">
        <v>1.0848209740277144</v>
      </c>
      <c r="I18" s="46">
        <v>0.96939311485797508</v>
      </c>
      <c r="J18" s="46">
        <v>1.0183109636243761</v>
      </c>
      <c r="K18" s="46">
        <v>0.8853077148030839</v>
      </c>
      <c r="L18" s="46">
        <v>0.88379684030869132</v>
      </c>
      <c r="M18" s="46">
        <v>0.83353671951610853</v>
      </c>
      <c r="N18" s="46">
        <v>0.84787782296354086</v>
      </c>
      <c r="O18" s="46">
        <v>0.99397298129271594</v>
      </c>
      <c r="P18" s="46">
        <v>0.8671469824082898</v>
      </c>
      <c r="Q18" s="51" t="s">
        <v>54</v>
      </c>
    </row>
    <row r="19" spans="1:17" ht="20.100000000000001" customHeight="1" x14ac:dyDescent="0.25">
      <c r="A19" s="29" t="s">
        <v>10</v>
      </c>
      <c r="B19" s="16" t="s">
        <v>74</v>
      </c>
      <c r="C19" s="30">
        <v>0.67636869563578628</v>
      </c>
      <c r="D19" s="46">
        <v>0.64901574023361397</v>
      </c>
      <c r="E19" s="46">
        <v>0.86473148431513736</v>
      </c>
      <c r="F19" s="46">
        <v>0.75282198943545509</v>
      </c>
      <c r="G19" s="46">
        <v>0.67816218065989586</v>
      </c>
      <c r="H19" s="46">
        <v>0.57123321801176985</v>
      </c>
      <c r="I19" s="46">
        <v>0.80659563752978314</v>
      </c>
      <c r="J19" s="46">
        <v>0.87300195717028162</v>
      </c>
      <c r="K19" s="46">
        <v>0.84721786496278917</v>
      </c>
      <c r="L19" s="46">
        <v>0.81595611651985933</v>
      </c>
      <c r="M19" s="46">
        <v>0.75000392095828694</v>
      </c>
      <c r="N19" s="46">
        <v>0.70010606177675172</v>
      </c>
      <c r="O19" s="46">
        <v>0.66362613978064855</v>
      </c>
      <c r="P19" s="46">
        <v>0.73487779573752909</v>
      </c>
      <c r="Q19" s="51" t="s">
        <v>55</v>
      </c>
    </row>
    <row r="20" spans="1:17" ht="20.100000000000001" customHeight="1" x14ac:dyDescent="0.25">
      <c r="A20" s="29" t="s">
        <v>11</v>
      </c>
      <c r="B20" s="8" t="s">
        <v>60</v>
      </c>
      <c r="C20" s="30">
        <v>5.1916181321638266</v>
      </c>
      <c r="D20" s="46">
        <v>4.4714324157431218</v>
      </c>
      <c r="E20" s="46">
        <v>4.9940230795197493</v>
      </c>
      <c r="F20" s="46">
        <v>4.1893341256698751</v>
      </c>
      <c r="G20" s="46">
        <v>4.0039409927554397</v>
      </c>
      <c r="H20" s="46">
        <v>6.5429603539602939</v>
      </c>
      <c r="I20" s="46">
        <v>5.2704924754967966</v>
      </c>
      <c r="J20" s="46">
        <v>5.2527319064145335</v>
      </c>
      <c r="K20" s="46">
        <v>5.7614275273506559</v>
      </c>
      <c r="L20" s="46">
        <v>5.4665113708733122</v>
      </c>
      <c r="M20" s="46">
        <v>4.3564801901975612</v>
      </c>
      <c r="N20" s="46">
        <v>4.8809535970548321</v>
      </c>
      <c r="O20" s="46">
        <v>5.5546800116033852</v>
      </c>
      <c r="P20" s="46">
        <v>6.0741920054917822</v>
      </c>
      <c r="Q20" s="31" t="s">
        <v>12</v>
      </c>
    </row>
    <row r="21" spans="1:17" ht="20.100000000000001" customHeight="1" x14ac:dyDescent="0.25">
      <c r="A21" s="24"/>
      <c r="B21" s="25" t="s">
        <v>13</v>
      </c>
      <c r="C21" s="28">
        <v>73.085375390476798</v>
      </c>
      <c r="D21" s="45">
        <v>73.035846475356934</v>
      </c>
      <c r="E21" s="45">
        <v>69.574997808519143</v>
      </c>
      <c r="F21" s="45">
        <v>72.906218124195334</v>
      </c>
      <c r="G21" s="45">
        <v>74.119423100325164</v>
      </c>
      <c r="H21" s="45">
        <v>72.19493747539903</v>
      </c>
      <c r="I21" s="45">
        <v>77.926450040208209</v>
      </c>
      <c r="J21" s="45">
        <v>77.694006186405574</v>
      </c>
      <c r="K21" s="45">
        <v>75.063308201915362</v>
      </c>
      <c r="L21" s="45">
        <v>75.47702866360703</v>
      </c>
      <c r="M21" s="45">
        <v>75.576223638695581</v>
      </c>
      <c r="N21" s="45">
        <v>75.405092943917694</v>
      </c>
      <c r="O21" s="45">
        <v>73.514450206139472</v>
      </c>
      <c r="P21" s="45">
        <v>70.700730689291149</v>
      </c>
      <c r="Q21" s="49" t="s">
        <v>14</v>
      </c>
    </row>
    <row r="22" spans="1:17" ht="20.100000000000001" customHeight="1" x14ac:dyDescent="0.25">
      <c r="A22" s="29" t="s">
        <v>15</v>
      </c>
      <c r="B22" s="8" t="s">
        <v>61</v>
      </c>
      <c r="C22" s="30">
        <v>3.2238966226390677</v>
      </c>
      <c r="D22" s="46">
        <v>4.1007315245425078</v>
      </c>
      <c r="E22" s="46">
        <v>5.5917087669679999</v>
      </c>
      <c r="F22" s="46">
        <v>5.5096768197429045</v>
      </c>
      <c r="G22" s="46">
        <v>6.1975765131697989</v>
      </c>
      <c r="H22" s="46">
        <v>7.1395681040293075</v>
      </c>
      <c r="I22" s="46">
        <v>5.9195857328006012</v>
      </c>
      <c r="J22" s="46">
        <v>6.5568450276942301</v>
      </c>
      <c r="K22" s="46">
        <v>7.0782259114611072</v>
      </c>
      <c r="L22" s="46">
        <v>7.9201231669928163</v>
      </c>
      <c r="M22" s="46">
        <v>8.7325683087042325</v>
      </c>
      <c r="N22" s="46">
        <v>9.4144607105963889</v>
      </c>
      <c r="O22" s="46">
        <v>8.2059225710587871</v>
      </c>
      <c r="P22" s="46">
        <v>8.7669456370057723</v>
      </c>
      <c r="Q22" s="31" t="s">
        <v>16</v>
      </c>
    </row>
    <row r="23" spans="1:17" ht="20.100000000000001" customHeight="1" x14ac:dyDescent="0.25">
      <c r="A23" s="29"/>
      <c r="B23" s="8" t="s">
        <v>62</v>
      </c>
      <c r="C23" s="30">
        <v>28.078517934617697</v>
      </c>
      <c r="D23" s="46">
        <v>27.410637407683897</v>
      </c>
      <c r="E23" s="46">
        <v>18.703168590986504</v>
      </c>
      <c r="F23" s="46">
        <v>27.139337412882558</v>
      </c>
      <c r="G23" s="46">
        <v>29.503968519282786</v>
      </c>
      <c r="H23" s="46">
        <v>25.361439681677243</v>
      </c>
      <c r="I23" s="46">
        <v>25.226395840844063</v>
      </c>
      <c r="J23" s="46">
        <v>26.145496698869628</v>
      </c>
      <c r="K23" s="46">
        <v>25.194825660434443</v>
      </c>
      <c r="L23" s="46">
        <v>24.857456566934687</v>
      </c>
      <c r="M23" s="46">
        <v>25.562514567993571</v>
      </c>
      <c r="N23" s="46">
        <v>25.222215686999792</v>
      </c>
      <c r="O23" s="46">
        <v>23.165834456351099</v>
      </c>
      <c r="P23" s="46">
        <v>19.637445059556079</v>
      </c>
      <c r="Q23" s="51" t="s">
        <v>56</v>
      </c>
    </row>
    <row r="24" spans="1:17" ht="20.100000000000001" customHeight="1" x14ac:dyDescent="0.25">
      <c r="A24" s="29" t="s">
        <v>18</v>
      </c>
      <c r="B24" s="16" t="s">
        <v>75</v>
      </c>
      <c r="C24" s="30">
        <v>25.96343754834</v>
      </c>
      <c r="D24" s="46">
        <v>25.25516793004914</v>
      </c>
      <c r="E24" s="46">
        <v>16.888357776545554</v>
      </c>
      <c r="F24" s="46">
        <v>25.160465449870379</v>
      </c>
      <c r="G24" s="46">
        <v>27.413239399828491</v>
      </c>
      <c r="H24" s="46">
        <v>23.536044816441848</v>
      </c>
      <c r="I24" s="46">
        <v>23.581347058356378</v>
      </c>
      <c r="J24" s="46">
        <v>24.694351447673707</v>
      </c>
      <c r="K24" s="46">
        <v>23.522052316690306</v>
      </c>
      <c r="L24" s="46">
        <v>23.155654718281244</v>
      </c>
      <c r="M24" s="46">
        <v>23.539165160147533</v>
      </c>
      <c r="N24" s="46">
        <v>23.382956654926058</v>
      </c>
      <c r="O24" s="46">
        <v>21.259345413709948</v>
      </c>
      <c r="P24" s="46">
        <v>17.848496398401302</v>
      </c>
      <c r="Q24" s="51" t="s">
        <v>46</v>
      </c>
    </row>
    <row r="25" spans="1:17" ht="20.100000000000001" customHeight="1" x14ac:dyDescent="0.25">
      <c r="A25" s="29" t="s">
        <v>18</v>
      </c>
      <c r="B25" s="16" t="s">
        <v>76</v>
      </c>
      <c r="C25" s="32">
        <v>0.86247286458860839</v>
      </c>
      <c r="D25" s="47">
        <v>0.95514268429726601</v>
      </c>
      <c r="E25" s="47">
        <v>0.72978121198019408</v>
      </c>
      <c r="F25" s="47">
        <v>0.74523118002656785</v>
      </c>
      <c r="G25" s="47">
        <v>0.79044881407040501</v>
      </c>
      <c r="H25" s="47">
        <v>0.73318693210317254</v>
      </c>
      <c r="I25" s="47">
        <v>0.68464950756125842</v>
      </c>
      <c r="J25" s="47">
        <v>0.74629240000470554</v>
      </c>
      <c r="K25" s="47">
        <v>1.0338295810354294</v>
      </c>
      <c r="L25" s="47">
        <v>0.86935672061875091</v>
      </c>
      <c r="M25" s="47">
        <v>1.0196388804249961</v>
      </c>
      <c r="N25" s="47">
        <v>1.0639260461596376</v>
      </c>
      <c r="O25" s="47">
        <v>1.1671627509774711</v>
      </c>
      <c r="P25" s="47">
        <v>1.0517226931031152</v>
      </c>
      <c r="Q25" s="51" t="s">
        <v>48</v>
      </c>
    </row>
    <row r="26" spans="1:17" ht="20.100000000000001" customHeight="1" x14ac:dyDescent="0.25">
      <c r="A26" s="29" t="s">
        <v>18</v>
      </c>
      <c r="B26" s="16" t="s">
        <v>77</v>
      </c>
      <c r="C26" s="32">
        <v>1.2526075216890895</v>
      </c>
      <c r="D26" s="47">
        <v>1.200326793337489</v>
      </c>
      <c r="E26" s="47">
        <v>1.0850296024607597</v>
      </c>
      <c r="F26" s="47">
        <v>1.2336407829856106</v>
      </c>
      <c r="G26" s="47">
        <v>1.3002803053838914</v>
      </c>
      <c r="H26" s="47">
        <v>1.0922079331322225</v>
      </c>
      <c r="I26" s="47">
        <v>0.96039927492642518</v>
      </c>
      <c r="J26" s="47">
        <v>0.70485285119121777</v>
      </c>
      <c r="K26" s="47">
        <v>0.63894376270870845</v>
      </c>
      <c r="L26" s="47">
        <v>0.83244512803468884</v>
      </c>
      <c r="M26" s="47">
        <v>1.0037105274210483</v>
      </c>
      <c r="N26" s="47">
        <v>0.77533298591409583</v>
      </c>
      <c r="O26" s="47">
        <v>0.73932629166367869</v>
      </c>
      <c r="P26" s="47">
        <v>0.73722596805166318</v>
      </c>
      <c r="Q26" s="51" t="s">
        <v>57</v>
      </c>
    </row>
    <row r="27" spans="1:17" ht="20.100000000000001" customHeight="1" x14ac:dyDescent="0.25">
      <c r="A27" s="29"/>
      <c r="B27" s="8" t="s">
        <v>51</v>
      </c>
      <c r="C27" s="30">
        <v>13.169387605463816</v>
      </c>
      <c r="D27" s="46">
        <v>14.410022168595383</v>
      </c>
      <c r="E27" s="46">
        <v>13.034992901385928</v>
      </c>
      <c r="F27" s="46">
        <v>12.22221189015151</v>
      </c>
      <c r="G27" s="46">
        <v>11.64389672725479</v>
      </c>
      <c r="H27" s="46">
        <v>10.651276404434482</v>
      </c>
      <c r="I27" s="46">
        <v>12.529755642313143</v>
      </c>
      <c r="J27" s="46">
        <v>13.961320456961099</v>
      </c>
      <c r="K27" s="46">
        <v>12.550426995347344</v>
      </c>
      <c r="L27" s="46">
        <v>12.87017257715353</v>
      </c>
      <c r="M27" s="46">
        <v>12.710455024281853</v>
      </c>
      <c r="N27" s="46">
        <v>12.56842206749271</v>
      </c>
      <c r="O27" s="46">
        <v>13.243059084907182</v>
      </c>
      <c r="P27" s="46">
        <v>12.508588810777979</v>
      </c>
      <c r="Q27" s="51" t="s">
        <v>83</v>
      </c>
    </row>
    <row r="28" spans="1:17" ht="20.100000000000001" customHeight="1" x14ac:dyDescent="0.25">
      <c r="A28" s="29" t="s">
        <v>17</v>
      </c>
      <c r="B28" s="16" t="s">
        <v>78</v>
      </c>
      <c r="C28" s="30">
        <v>5.8284048801553299</v>
      </c>
      <c r="D28" s="46">
        <v>6.1250737567452633</v>
      </c>
      <c r="E28" s="46">
        <v>5.6413057906135382</v>
      </c>
      <c r="F28" s="46">
        <v>5.8106322988052943</v>
      </c>
      <c r="G28" s="46">
        <v>5.159192831719964</v>
      </c>
      <c r="H28" s="46">
        <v>4.8513158101050173</v>
      </c>
      <c r="I28" s="46">
        <v>6.1935034723635933</v>
      </c>
      <c r="J28" s="46">
        <v>6.5759455018571487</v>
      </c>
      <c r="K28" s="46">
        <v>6.1032487372069184</v>
      </c>
      <c r="L28" s="46">
        <v>6.5400208373935342</v>
      </c>
      <c r="M28" s="46">
        <v>6.533406900030621</v>
      </c>
      <c r="N28" s="46">
        <v>6.5466013553447873</v>
      </c>
      <c r="O28" s="46">
        <v>6.3355765650413716</v>
      </c>
      <c r="P28" s="46">
        <v>6.1444392968048378</v>
      </c>
      <c r="Q28" s="51" t="s">
        <v>84</v>
      </c>
    </row>
    <row r="29" spans="1:17" ht="20.100000000000001" customHeight="1" x14ac:dyDescent="0.25">
      <c r="A29" s="29" t="s">
        <v>25</v>
      </c>
      <c r="B29" s="16" t="s">
        <v>79</v>
      </c>
      <c r="C29" s="30">
        <v>1.6837453158546563</v>
      </c>
      <c r="D29" s="46">
        <v>1.7459791156092812</v>
      </c>
      <c r="E29" s="46">
        <v>1.2619032440127147</v>
      </c>
      <c r="F29" s="46">
        <v>1.9741839458425496</v>
      </c>
      <c r="G29" s="46">
        <v>2.2846765988710751</v>
      </c>
      <c r="H29" s="46">
        <v>2.0836909681068749</v>
      </c>
      <c r="I29" s="46">
        <v>2.2236733890821725</v>
      </c>
      <c r="J29" s="46">
        <v>2.4891596637968449</v>
      </c>
      <c r="K29" s="46">
        <v>2.5657695240700669</v>
      </c>
      <c r="L29" s="46">
        <v>2.6901816702822221</v>
      </c>
      <c r="M29" s="46">
        <v>2.9431290922190723</v>
      </c>
      <c r="N29" s="46">
        <v>3.0535701607824222</v>
      </c>
      <c r="O29" s="46">
        <v>3.0154010728952803</v>
      </c>
      <c r="P29" s="46">
        <v>2.605307620015425</v>
      </c>
      <c r="Q29" s="51" t="s">
        <v>85</v>
      </c>
    </row>
    <row r="30" spans="1:17" s="15" customFormat="1" ht="20.100000000000001" customHeight="1" x14ac:dyDescent="0.25">
      <c r="A30" s="29" t="s">
        <v>17</v>
      </c>
      <c r="B30" s="16" t="s">
        <v>80</v>
      </c>
      <c r="C30" s="30">
        <v>5.6572374094538294</v>
      </c>
      <c r="D30" s="46">
        <v>6.5389692962408388</v>
      </c>
      <c r="E30" s="46">
        <v>6.1317838667596751</v>
      </c>
      <c r="F30" s="46">
        <v>4.4373956455036678</v>
      </c>
      <c r="G30" s="46">
        <v>4.2000272966637509</v>
      </c>
      <c r="H30" s="46">
        <v>3.7162696262225881</v>
      </c>
      <c r="I30" s="46">
        <v>4.112578780867377</v>
      </c>
      <c r="J30" s="46">
        <v>4.8962152913071035</v>
      </c>
      <c r="K30" s="46">
        <v>3.8814087340703596</v>
      </c>
      <c r="L30" s="46">
        <v>3.6399700694777715</v>
      </c>
      <c r="M30" s="46">
        <v>3.2339190320321594</v>
      </c>
      <c r="N30" s="46">
        <v>2.968250551365502</v>
      </c>
      <c r="O30" s="46">
        <v>3.8920814469705309</v>
      </c>
      <c r="P30" s="46">
        <v>3.758841893957718</v>
      </c>
      <c r="Q30" s="51" t="s">
        <v>86</v>
      </c>
    </row>
    <row r="31" spans="1:17" s="15" customFormat="1" ht="20.100000000000001" customHeight="1" x14ac:dyDescent="0.25">
      <c r="A31" s="29"/>
      <c r="B31" s="8" t="s">
        <v>63</v>
      </c>
      <c r="C31" s="30">
        <v>2.8403129150070994</v>
      </c>
      <c r="D31" s="46">
        <v>2.9694599912961053</v>
      </c>
      <c r="E31" s="46">
        <v>3.69940204520648</v>
      </c>
      <c r="F31" s="46">
        <v>3.8175993484468456</v>
      </c>
      <c r="G31" s="46">
        <v>3.5815403381356767</v>
      </c>
      <c r="H31" s="46">
        <v>2.7469357375822021</v>
      </c>
      <c r="I31" s="46">
        <v>3.1802029801841791</v>
      </c>
      <c r="J31" s="46">
        <v>3.2659755209168253</v>
      </c>
      <c r="K31" s="46">
        <v>4.2487258841947675</v>
      </c>
      <c r="L31" s="46">
        <v>3.7455390931762929</v>
      </c>
      <c r="M31" s="46">
        <v>4.0096474435787082</v>
      </c>
      <c r="N31" s="46">
        <v>3.9750167207278984</v>
      </c>
      <c r="O31" s="46">
        <v>4.2828062311961439</v>
      </c>
      <c r="P31" s="46">
        <v>4.6564358676056861</v>
      </c>
      <c r="Q31" s="31" t="s">
        <v>19</v>
      </c>
    </row>
    <row r="32" spans="1:17" s="15" customFormat="1" ht="20.100000000000001" customHeight="1" x14ac:dyDescent="0.25">
      <c r="A32" s="29" t="s">
        <v>20</v>
      </c>
      <c r="B32" s="16" t="s">
        <v>81</v>
      </c>
      <c r="C32" s="30">
        <v>2.7869334187508339</v>
      </c>
      <c r="D32" s="46">
        <v>2.9027803930954623</v>
      </c>
      <c r="E32" s="46">
        <v>3.5920432742864659</v>
      </c>
      <c r="F32" s="46">
        <v>3.6947934043321737</v>
      </c>
      <c r="G32" s="46">
        <v>3.4773705224665892</v>
      </c>
      <c r="H32" s="46">
        <v>2.585689392256441</v>
      </c>
      <c r="I32" s="46">
        <v>3.0123688133622699</v>
      </c>
      <c r="J32" s="46">
        <v>3.0985986864752988</v>
      </c>
      <c r="K32" s="46">
        <v>4.1465230731901155</v>
      </c>
      <c r="L32" s="46">
        <v>3.6107917798555529</v>
      </c>
      <c r="M32" s="46">
        <v>3.7729793249192989</v>
      </c>
      <c r="N32" s="46">
        <v>3.7310674914121629</v>
      </c>
      <c r="O32" s="46">
        <v>4.0513307740882114</v>
      </c>
      <c r="P32" s="46">
        <v>4.4254116849417668</v>
      </c>
      <c r="Q32" s="51" t="s">
        <v>87</v>
      </c>
    </row>
    <row r="33" spans="1:17" s="15" customFormat="1" ht="20.100000000000001" customHeight="1" x14ac:dyDescent="0.25">
      <c r="A33" s="29" t="s">
        <v>20</v>
      </c>
      <c r="B33" s="16" t="s">
        <v>82</v>
      </c>
      <c r="C33" s="30">
        <v>5.3379496256265639E-2</v>
      </c>
      <c r="D33" s="46">
        <v>6.6679598200643203E-2</v>
      </c>
      <c r="E33" s="46">
        <v>0.10735877092001396</v>
      </c>
      <c r="F33" s="46">
        <v>0.12280594411467176</v>
      </c>
      <c r="G33" s="46">
        <v>0.1041698156690872</v>
      </c>
      <c r="H33" s="46">
        <v>0.16124634532576099</v>
      </c>
      <c r="I33" s="46">
        <v>0.1678341668219091</v>
      </c>
      <c r="J33" s="46">
        <v>0.16737683444152598</v>
      </c>
      <c r="K33" s="46">
        <v>0.10220281100465183</v>
      </c>
      <c r="L33" s="46">
        <v>0.13474731332074028</v>
      </c>
      <c r="M33" s="46">
        <v>0.23666811865940907</v>
      </c>
      <c r="N33" s="46">
        <v>0.24394922931573554</v>
      </c>
      <c r="O33" s="46">
        <v>0.23147545710793288</v>
      </c>
      <c r="P33" s="46">
        <v>0.23102418266391847</v>
      </c>
      <c r="Q33" s="51" t="s">
        <v>88</v>
      </c>
    </row>
    <row r="34" spans="1:17" s="15" customFormat="1" ht="20.100000000000001" customHeight="1" x14ac:dyDescent="0.25">
      <c r="A34" s="29" t="s">
        <v>22</v>
      </c>
      <c r="B34" s="8" t="s">
        <v>64</v>
      </c>
      <c r="C34" s="30">
        <v>11.987391972061355</v>
      </c>
      <c r="D34" s="46">
        <v>10.590471693574179</v>
      </c>
      <c r="E34" s="46">
        <v>11.16946774558456</v>
      </c>
      <c r="F34" s="46">
        <v>9.0880795076027514</v>
      </c>
      <c r="G34" s="46">
        <v>8.3092299104560627</v>
      </c>
      <c r="H34" s="46">
        <v>7.5449587033313534</v>
      </c>
      <c r="I34" s="46">
        <v>7.8718953900932958</v>
      </c>
      <c r="J34" s="46">
        <v>8.0628398303127735</v>
      </c>
      <c r="K34" s="46">
        <v>7.3864701277976019</v>
      </c>
      <c r="L34" s="46">
        <v>7.5240501710496055</v>
      </c>
      <c r="M34" s="46">
        <v>7.3405655508656809</v>
      </c>
      <c r="N34" s="46">
        <v>7.3264957670135926</v>
      </c>
      <c r="O34" s="46">
        <v>7.2509098318168137</v>
      </c>
      <c r="P34" s="46">
        <v>7.4027940287544292</v>
      </c>
      <c r="Q34" s="31" t="s">
        <v>21</v>
      </c>
    </row>
    <row r="35" spans="1:17" s="15" customFormat="1" ht="20.100000000000001" customHeight="1" x14ac:dyDescent="0.25">
      <c r="A35" s="29" t="s">
        <v>50</v>
      </c>
      <c r="B35" s="8" t="s">
        <v>65</v>
      </c>
      <c r="C35" s="30">
        <v>1.0558469315986749</v>
      </c>
      <c r="D35" s="46">
        <v>1.1312913718706872</v>
      </c>
      <c r="E35" s="46">
        <v>1.123683168744777</v>
      </c>
      <c r="F35" s="46">
        <v>1.2890095787748284</v>
      </c>
      <c r="G35" s="46">
        <v>1.4061717209696725</v>
      </c>
      <c r="H35" s="46">
        <v>1.4656640669281915</v>
      </c>
      <c r="I35" s="46">
        <v>1.5192017433083347</v>
      </c>
      <c r="J35" s="46">
        <v>1.5944583729070969</v>
      </c>
      <c r="K35" s="46">
        <v>1.5059450077502083</v>
      </c>
      <c r="L35" s="46">
        <v>1.5360710595414302</v>
      </c>
      <c r="M35" s="46">
        <v>1.4993789376343569</v>
      </c>
      <c r="N35" s="46">
        <v>1.4973541331149167</v>
      </c>
      <c r="O35" s="46">
        <v>1.3712306384817869</v>
      </c>
      <c r="P35" s="46">
        <v>1.4100714222831758</v>
      </c>
      <c r="Q35" s="51" t="s">
        <v>49</v>
      </c>
    </row>
    <row r="36" spans="1:17" s="15" customFormat="1" ht="20.100000000000001" customHeight="1" x14ac:dyDescent="0.25">
      <c r="A36" s="29" t="s">
        <v>26</v>
      </c>
      <c r="B36" s="8" t="s">
        <v>66</v>
      </c>
      <c r="C36" s="30">
        <v>7.0812213050751218</v>
      </c>
      <c r="D36" s="46">
        <v>7.0046615342471146</v>
      </c>
      <c r="E36" s="46">
        <v>9.219813435707449</v>
      </c>
      <c r="F36" s="46">
        <v>7.5941047017901466</v>
      </c>
      <c r="G36" s="46">
        <v>7.3003167729279452</v>
      </c>
      <c r="H36" s="46">
        <v>9.1247034220350205</v>
      </c>
      <c r="I36" s="46">
        <v>11.013634312471696</v>
      </c>
      <c r="J36" s="46">
        <v>9.1358441926445</v>
      </c>
      <c r="K36" s="46">
        <v>8.8217408176972398</v>
      </c>
      <c r="L36" s="46">
        <v>8.6843672730672345</v>
      </c>
      <c r="M36" s="46">
        <v>7.9386120225099166</v>
      </c>
      <c r="N36" s="46">
        <v>7.6882169798053983</v>
      </c>
      <c r="O36" s="46">
        <v>7.771871399581495</v>
      </c>
      <c r="P36" s="46">
        <v>7.8000535311202839</v>
      </c>
      <c r="Q36" s="31" t="s">
        <v>23</v>
      </c>
    </row>
    <row r="37" spans="1:17" s="15" customFormat="1" ht="20.100000000000001" customHeight="1" x14ac:dyDescent="0.25">
      <c r="A37" s="29" t="s">
        <v>40</v>
      </c>
      <c r="B37" s="8" t="s">
        <v>32</v>
      </c>
      <c r="C37" s="30">
        <v>2.9350864818162767</v>
      </c>
      <c r="D37" s="46">
        <v>3.0316298001175213</v>
      </c>
      <c r="E37" s="46">
        <v>3.875449796544931</v>
      </c>
      <c r="F37" s="46">
        <v>3.3700731824869585</v>
      </c>
      <c r="G37" s="46">
        <v>3.1153875213729054</v>
      </c>
      <c r="H37" s="46">
        <v>3.8202732694093418</v>
      </c>
      <c r="I37" s="46">
        <v>5.0584242973663534</v>
      </c>
      <c r="J37" s="46">
        <v>4.098380482874826</v>
      </c>
      <c r="K37" s="46">
        <v>3.6991100968240196</v>
      </c>
      <c r="L37" s="46">
        <v>3.6296683671245034</v>
      </c>
      <c r="M37" s="46">
        <v>3.2877382206457724</v>
      </c>
      <c r="N37" s="46">
        <v>2.9964769138694844</v>
      </c>
      <c r="O37" s="46">
        <v>3.4376602766273261</v>
      </c>
      <c r="P37" s="46">
        <v>3.4701576263824565</v>
      </c>
      <c r="Q37" s="31" t="s">
        <v>24</v>
      </c>
    </row>
    <row r="38" spans="1:17" s="15" customFormat="1" ht="20.100000000000001" customHeight="1" x14ac:dyDescent="0.25">
      <c r="A38" s="29" t="s">
        <v>41</v>
      </c>
      <c r="B38" s="8" t="s">
        <v>67</v>
      </c>
      <c r="C38" s="30">
        <v>1.301333179149623</v>
      </c>
      <c r="D38" s="46">
        <v>1.4590412526975234</v>
      </c>
      <c r="E38" s="46">
        <v>1.9043492131746613</v>
      </c>
      <c r="F38" s="46">
        <v>1.7501228507936142</v>
      </c>
      <c r="G38" s="46">
        <v>1.9399456339909908</v>
      </c>
      <c r="H38" s="46">
        <v>2.7136572151956138</v>
      </c>
      <c r="I38" s="46">
        <v>3.8158428264346305</v>
      </c>
      <c r="J38" s="46">
        <v>3.210434973596056</v>
      </c>
      <c r="K38" s="46">
        <v>2.945462811643349</v>
      </c>
      <c r="L38" s="46">
        <v>2.8575892802345018</v>
      </c>
      <c r="M38" s="46">
        <v>2.7625363758973527</v>
      </c>
      <c r="N38" s="46">
        <v>2.6584534877589441</v>
      </c>
      <c r="O38" s="46">
        <v>2.9071711351103366</v>
      </c>
      <c r="P38" s="46">
        <v>3.0040152800773918</v>
      </c>
      <c r="Q38" s="51" t="s">
        <v>42</v>
      </c>
    </row>
    <row r="39" spans="1:17" ht="20.100000000000001" customHeight="1" x14ac:dyDescent="0.25">
      <c r="A39" s="33" t="s">
        <v>43</v>
      </c>
      <c r="B39" s="34" t="s">
        <v>68</v>
      </c>
      <c r="C39" s="35">
        <v>1.4123804430480735</v>
      </c>
      <c r="D39" s="48">
        <v>0.92789973073202048</v>
      </c>
      <c r="E39" s="48">
        <v>1.2529621442158556</v>
      </c>
      <c r="F39" s="48">
        <v>1.1260028315232096</v>
      </c>
      <c r="G39" s="48">
        <v>1.1213894427645392</v>
      </c>
      <c r="H39" s="48">
        <v>1.6264608707762755</v>
      </c>
      <c r="I39" s="48">
        <v>1.7915112743919084</v>
      </c>
      <c r="J39" s="48">
        <v>1.6624106296285353</v>
      </c>
      <c r="K39" s="48">
        <v>1.632374888765284</v>
      </c>
      <c r="L39" s="48">
        <v>1.8519911083324174</v>
      </c>
      <c r="M39" s="48">
        <v>1.7322071865841189</v>
      </c>
      <c r="N39" s="48">
        <v>2.057980476538567</v>
      </c>
      <c r="O39" s="48">
        <v>1.8779845810085123</v>
      </c>
      <c r="P39" s="48">
        <v>2.0442234257278957</v>
      </c>
      <c r="Q39" s="52" t="s">
        <v>44</v>
      </c>
    </row>
    <row r="40" spans="1:17" s="1" customFormat="1" ht="15.75" customHeight="1" x14ac:dyDescent="0.25">
      <c r="A40" s="55" t="s">
        <v>89</v>
      </c>
      <c r="B40" s="56"/>
      <c r="C40" s="57"/>
      <c r="D40" s="57"/>
      <c r="E40" s="57"/>
      <c r="F40" s="57"/>
      <c r="G40" s="57"/>
      <c r="H40" s="58"/>
      <c r="I40" s="58"/>
      <c r="J40" s="58"/>
      <c r="K40" s="59"/>
      <c r="L40" s="59"/>
      <c r="M40" s="59"/>
      <c r="N40" s="59"/>
      <c r="O40" s="59"/>
      <c r="P40" s="59"/>
      <c r="Q40" s="60" t="s">
        <v>90</v>
      </c>
    </row>
    <row r="41" spans="1:17" s="1" customFormat="1" ht="15.75" customHeight="1" x14ac:dyDescent="0.25">
      <c r="A41" s="54" t="s">
        <v>28</v>
      </c>
      <c r="B41" s="61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53" t="s">
        <v>91</v>
      </c>
    </row>
    <row r="42" spans="1:17" s="15" customFormat="1" ht="18" customHeight="1" x14ac:dyDescent="0.25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6"/>
    </row>
    <row r="43" spans="1:17" ht="20.100000000000001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pans="1:17" ht="20.100000000000001" customHeight="1" x14ac:dyDescent="0.25">
      <c r="A44" s="11"/>
      <c r="B44" s="11"/>
      <c r="C44" s="11"/>
      <c r="D44" s="11">
        <f>D21+D13+D10</f>
        <v>89.678858589279812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spans="1:17" ht="20.100000000000001" customHeight="1" x14ac:dyDescent="0.25">
      <c r="A45" s="11"/>
      <c r="B45" s="11"/>
      <c r="C45" s="11"/>
      <c r="D45" s="11">
        <f>D44+D8</f>
        <v>100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1:17" ht="20.100000000000001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spans="1:17" ht="20.100000000000001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1:17" ht="20.100000000000001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1:17" ht="20.100000000000001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1:17" ht="20.100000000000001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1:17" ht="20.100000000000001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ht="20.100000000000001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ht="20.100000000000001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ht="20.100000000000001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ht="20.100000000000001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88" spans="1:1" ht="20.100000000000001" customHeight="1" x14ac:dyDescent="0.25">
      <c r="A88" s="11"/>
    </row>
    <row r="89" spans="1:1" ht="20.100000000000001" customHeight="1" x14ac:dyDescent="0.25">
      <c r="A89" s="11"/>
    </row>
    <row r="90" spans="1:1" ht="20.100000000000001" customHeight="1" x14ac:dyDescent="0.25">
      <c r="A90" s="11"/>
    </row>
    <row r="91" spans="1:1" ht="20.100000000000001" customHeight="1" x14ac:dyDescent="0.25">
      <c r="A91" s="11"/>
    </row>
    <row r="92" spans="1:1" ht="20.100000000000001" customHeight="1" x14ac:dyDescent="0.25">
      <c r="A92" s="11"/>
    </row>
    <row r="93" spans="1:1" ht="20.100000000000001" customHeight="1" x14ac:dyDescent="0.25">
      <c r="A93" s="11"/>
    </row>
    <row r="94" spans="1:1" ht="20.100000000000001" customHeight="1" x14ac:dyDescent="0.25">
      <c r="A94" s="11"/>
    </row>
    <row r="95" spans="1:1" ht="20.100000000000001" customHeight="1" x14ac:dyDescent="0.25">
      <c r="A95" s="11"/>
    </row>
    <row r="96" spans="1:1" ht="20.100000000000001" customHeight="1" x14ac:dyDescent="0.25">
      <c r="A96" s="11"/>
    </row>
    <row r="97" spans="1:1" ht="20.100000000000001" customHeight="1" x14ac:dyDescent="0.25">
      <c r="A97" s="11"/>
    </row>
  </sheetData>
  <mergeCells count="5">
    <mergeCell ref="B5:B6"/>
    <mergeCell ref="Q5:Q6"/>
    <mergeCell ref="A5:A6"/>
    <mergeCell ref="A2:Q2"/>
    <mergeCell ref="A3:Q3"/>
  </mergeCells>
  <pageMargins left="0.7" right="0.7" top="0.75" bottom="0.75" header="0.3" footer="0.3"/>
  <pageSetup paperSize="9" scale="5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16.6</vt:lpstr>
      <vt:lpstr>'16.6'!Print_Area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2017-11-16T06:39:17Z</cp:lastPrinted>
  <dcterms:created xsi:type="dcterms:W3CDTF">2014-05-21T04:36:27Z</dcterms:created>
  <dcterms:modified xsi:type="dcterms:W3CDTF">2017-11-16T06:39:26Z</dcterms:modified>
</cp:coreProperties>
</file>