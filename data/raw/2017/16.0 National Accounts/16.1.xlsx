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'16.1'!$A$1:$Q$47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calcChain.xml><?xml version="1.0" encoding="utf-8"?>
<calcChain xmlns="http://schemas.openxmlformats.org/spreadsheetml/2006/main">
  <c r="C44" i="1" l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</calcChain>
</file>

<file path=xl/sharedStrings.xml><?xml version="1.0" encoding="utf-8"?>
<sst xmlns="http://schemas.openxmlformats.org/spreadsheetml/2006/main" count="108" uniqueCount="101">
  <si>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</si>
  <si>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</si>
  <si>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</si>
  <si>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</si>
  <si>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</si>
  <si>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</si>
  <si>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</si>
  <si>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</si>
  <si>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</si>
  <si>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</si>
  <si>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</si>
  <si>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</si>
  <si>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</si>
  <si>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</si>
  <si>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</si>
  <si>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</si>
  <si>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</si>
  <si>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</si>
  <si>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</si>
  <si>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</si>
  <si>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</si>
  <si>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</si>
  <si>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</si>
  <si>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</si>
  <si>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</si>
  <si>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</si>
  <si>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</si>
  <si>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</si>
  <si>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</si>
  <si>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Memorandum items:</t>
  </si>
  <si>
    <t>:cawtcmwTiawa WviawfiverukcDOkir iawkwTcSwnWdnwh</t>
  </si>
  <si>
    <t>(cneginemih cnIsEdib) IdWbWa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</si>
  <si>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</si>
  <si>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</si>
  <si>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</si>
  <si>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</si>
  <si>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</si>
  <si>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</si>
  <si>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</si>
  <si>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>2016 - 2003 cnukwtiawb IdWBitcqia ,(cnugwa ImiaWd)uDnwgcnim egumwkiretcnudcaefua Imuawq :16.1 ulwvWt</t>
  </si>
  <si>
    <t>Table  16.1 :  GROSS DOMESTIC PRODUCT (AT CONSTANT PRICES), BY KIND OF ACTIVITY,  2003 - 2016</t>
  </si>
  <si>
    <t xml:space="preserve">(In Million MVR , at 2014 constant prices) </t>
  </si>
  <si>
    <t>(cniaWyifur cnwailim ,cnugwa ImiaWd egurwhwawnwv 2014)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</si>
  <si>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</si>
  <si>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</si>
  <si>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</si>
  <si>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</si>
  <si>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</si>
  <si>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</si>
  <si>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</si>
  <si>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Resident Population (inclusive of expatriates)</t>
  </si>
  <si>
    <t>GDP at 2014 constant prices (Million US$)</t>
  </si>
  <si>
    <t xml:space="preserve"> (cnurwloD csea.Uy cnwailim) cnugwa ImiaWd eg2014 Ip.ID.Ij</t>
  </si>
  <si>
    <t xml:space="preserve"> cnwkirevuDnwd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</si>
  <si>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</si>
  <si>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</si>
  <si>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</si>
  <si>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</si>
  <si>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</si>
  <si>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</si>
  <si>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</si>
  <si>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</si>
  <si>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</si>
  <si>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</si>
  <si>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</si>
  <si>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</si>
  <si>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</si>
  <si>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</si>
  <si>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</si>
  <si>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</si>
  <si>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</si>
  <si>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</si>
  <si>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</si>
  <si>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</si>
  <si>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</si>
  <si>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</si>
  <si>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</si>
  <si>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</si>
  <si>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</si>
  <si>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</si>
  <si>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</si>
  <si>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</si>
  <si>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</si>
  <si>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</si>
  <si>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</si>
  <si>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</si>
  <si>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</si>
  <si>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</si>
  <si>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</si>
  <si>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</si>
  <si>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</si>
  <si>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</si>
  <si>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</si>
  <si>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</si>
  <si>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</si>
  <si>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</si>
  <si>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ރިސޯޓް</t>
  </si>
  <si>
    <t>Note:  Published on November 2017</t>
  </si>
  <si>
    <t>ނޯޓް: ނޮވެމްބަރު 2017 ގައި ޕަބްލިޝްކުރެވިފައި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</si>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</sst>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(* #,##0.0_);_(* \(#,##0.0\);_(* &quot;-&quot;??_);_(@_)"/>
    <numFmt numFmtId="169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sz val="11"/>
      <name val="Courier"/>
      <family val="3"/>
    </font>
    <font>
      <sz val="11"/>
      <color rgb="FFFF0000"/>
      <name val="Courier"/>
      <family val="3"/>
    </font>
    <font>
      <b/>
      <sz val="11"/>
      <name val="Arial"/>
      <family val="2"/>
    </font>
    <font>
      <i/>
      <sz val="10"/>
      <name val="A_Randhoo"/>
    </font>
    <font>
      <i/>
      <sz val="10"/>
      <name val="Courier"/>
      <family val="3"/>
    </font>
    <font>
      <i/>
      <sz val="10"/>
      <name val="Faruma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5" fillId="0" borderId="0"/>
    <xf numFmtId="40" fontId="15" fillId="0" borderId="0" applyFill="0" applyBorder="0" applyAlignment="0" applyProtection="0"/>
    <xf numFmtId="9" fontId="10" fillId="0" borderId="0" applyFill="0" applyBorder="0" applyAlignment="0" applyProtection="0"/>
    <xf numFmtId="43" fontId="16" fillId="0" borderId="0" applyFont="0" applyFill="0" applyBorder="0" applyAlignment="0" applyProtection="0"/>
  </cellStyleXfs>
  <cellXfs count="89">
    <xf numFmtId="0" fontId="0" fillId="0" borderId="0" xfId="0"/>
    <xf numFmtId="164" fontId="4" fillId="2" borderId="0" xfId="1" applyFont="1" applyFill="1" applyAlignment="1">
      <alignment vertical="center"/>
    </xf>
    <xf numFmtId="164" fontId="1" fillId="2" borderId="0" xfId="1" applyFont="1" applyFill="1" applyAlignment="1">
      <alignment vertical="center"/>
    </xf>
    <xf numFmtId="164" fontId="9" fillId="2" borderId="0" xfId="3" applyFont="1" applyFill="1"/>
    <xf numFmtId="164" fontId="14" fillId="2" borderId="0" xfId="1" applyFont="1" applyFill="1"/>
    <xf numFmtId="164" fontId="1" fillId="2" borderId="0" xfId="1" applyFont="1" applyFill="1"/>
    <xf numFmtId="0" fontId="1" fillId="2" borderId="0" xfId="1" applyNumberFormat="1" applyFont="1" applyFill="1" applyAlignment="1"/>
    <xf numFmtId="164" fontId="12" fillId="2" borderId="0" xfId="1" applyFont="1" applyFill="1"/>
    <xf numFmtId="164" fontId="1" fillId="2" borderId="0" xfId="1" applyFont="1" applyFill="1" applyBorder="1"/>
    <xf numFmtId="164" fontId="20" fillId="2" borderId="1" xfId="1" applyFont="1" applyFill="1" applyBorder="1" applyAlignment="1">
      <alignment horizontal="center"/>
    </xf>
    <xf numFmtId="164" fontId="7" fillId="2" borderId="0" xfId="1" applyFont="1" applyFill="1" applyBorder="1" applyAlignment="1">
      <alignment horizontal="left"/>
    </xf>
    <xf numFmtId="164" fontId="8" fillId="2" borderId="1" xfId="1" applyFont="1" applyFill="1" applyBorder="1" applyAlignment="1">
      <alignment horizontal="right" vertical="center"/>
    </xf>
    <xf numFmtId="164" fontId="1" fillId="2" borderId="0" xfId="1" applyFont="1" applyFill="1" applyBorder="1" applyAlignment="1">
      <alignment vertical="center"/>
    </xf>
    <xf numFmtId="164" fontId="14" fillId="2" borderId="0" xfId="1" applyFont="1" applyFill="1" applyBorder="1" applyAlignment="1">
      <alignment horizontal="center"/>
    </xf>
    <xf numFmtId="164" fontId="21" fillId="0" borderId="0" xfId="7" applyNumberFormat="1" applyFont="1" applyFill="1" applyBorder="1" applyAlignment="1">
      <alignment horizontal="right" vertical="center"/>
    </xf>
    <xf numFmtId="164" fontId="20" fillId="2" borderId="0" xfId="1" applyFont="1" applyFill="1" applyBorder="1" applyAlignment="1">
      <alignment horizontal="center"/>
    </xf>
    <xf numFmtId="164" fontId="20" fillId="2" borderId="0" xfId="1" applyFont="1" applyFill="1" applyBorder="1"/>
    <xf numFmtId="164" fontId="8" fillId="0" borderId="0" xfId="7" applyNumberFormat="1" applyFont="1" applyFill="1" applyBorder="1" applyAlignment="1">
      <alignment horizontal="right" vertical="center"/>
    </xf>
    <xf numFmtId="164" fontId="8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/>
    </xf>
    <xf numFmtId="164" fontId="21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4" fontId="1" fillId="0" borderId="0" xfId="1" applyFont="1" applyFill="1" applyAlignment="1">
      <alignment vertical="center"/>
    </xf>
    <xf numFmtId="164" fontId="14" fillId="2" borderId="0" xfId="1" applyFont="1" applyFill="1" applyBorder="1" applyAlignment="1"/>
    <xf numFmtId="0" fontId="14" fillId="2" borderId="0" xfId="2" applyFont="1" applyFill="1" applyBorder="1" applyAlignment="1">
      <alignment vertical="center"/>
    </xf>
    <xf numFmtId="164" fontId="21" fillId="2" borderId="0" xfId="1" applyFont="1" applyFill="1" applyBorder="1" applyAlignment="1">
      <alignment horizontal="right" vertical="center"/>
    </xf>
    <xf numFmtId="164" fontId="20" fillId="2" borderId="0" xfId="1" applyFont="1" applyFill="1" applyBorder="1" applyAlignment="1"/>
    <xf numFmtId="164" fontId="14" fillId="2" borderId="3" xfId="1" applyFont="1" applyFill="1" applyBorder="1" applyAlignment="1" applyProtection="1">
      <alignment vertical="center"/>
    </xf>
    <xf numFmtId="164" fontId="14" fillId="2" borderId="3" xfId="1" applyFont="1" applyFill="1" applyBorder="1" applyAlignment="1"/>
    <xf numFmtId="164" fontId="21" fillId="2" borderId="3" xfId="1" applyFont="1" applyFill="1" applyBorder="1" applyAlignment="1">
      <alignment horizontal="right" vertical="center"/>
    </xf>
    <xf numFmtId="164" fontId="1" fillId="2" borderId="0" xfId="1" applyFont="1" applyFill="1" applyAlignment="1"/>
    <xf numFmtId="164" fontId="21" fillId="2" borderId="0" xfId="1" applyFont="1" applyFill="1" applyAlignment="1">
      <alignment horizontal="right" vertical="center" readingOrder="2"/>
    </xf>
    <xf numFmtId="164" fontId="1" fillId="2" borderId="0" xfId="1" applyFont="1" applyFill="1" applyAlignment="1">
      <alignment horizontal="right"/>
    </xf>
    <xf numFmtId="164" fontId="1" fillId="2" borderId="0" xfId="1" applyFont="1" applyFill="1" applyAlignment="1">
      <alignment horizontal="center"/>
    </xf>
    <xf numFmtId="164" fontId="14" fillId="2" borderId="0" xfId="1" applyFont="1" applyFill="1" applyBorder="1" applyAlignment="1">
      <alignment horizontal="left"/>
    </xf>
    <xf numFmtId="164" fontId="23" fillId="2" borderId="0" xfId="1" applyFont="1" applyFill="1" applyAlignment="1">
      <alignment horizontal="center"/>
    </xf>
    <xf numFmtId="164" fontId="23" fillId="2" borderId="0" xfId="1" applyFont="1" applyFill="1"/>
    <xf numFmtId="164" fontId="23" fillId="2" borderId="0" xfId="1" applyFont="1" applyFill="1" applyAlignment="1">
      <alignment horizontal="right"/>
    </xf>
    <xf numFmtId="164" fontId="25" fillId="2" borderId="0" xfId="1" applyFont="1" applyFill="1" applyAlignment="1">
      <alignment vertical="center"/>
    </xf>
    <xf numFmtId="164" fontId="8" fillId="2" borderId="0" xfId="1" applyFont="1" applyFill="1" applyBorder="1" applyAlignment="1">
      <alignment horizontal="right" vertical="center"/>
    </xf>
    <xf numFmtId="43" fontId="1" fillId="2" borderId="0" xfId="11" applyFont="1" applyFill="1"/>
    <xf numFmtId="43" fontId="23" fillId="2" borderId="0" xfId="11" applyFont="1" applyFill="1"/>
    <xf numFmtId="43" fontId="24" fillId="2" borderId="0" xfId="11" applyFont="1" applyFill="1"/>
    <xf numFmtId="43" fontId="7" fillId="2" borderId="2" xfId="11" applyFont="1" applyFill="1" applyBorder="1" applyAlignment="1" applyProtection="1">
      <alignment horizontal="left" vertical="center"/>
    </xf>
    <xf numFmtId="43" fontId="6" fillId="2" borderId="2" xfId="11" applyFont="1" applyFill="1" applyBorder="1" applyAlignment="1" applyProtection="1">
      <alignment horizontal="left" vertical="center"/>
    </xf>
    <xf numFmtId="43" fontId="8" fillId="2" borderId="2" xfId="11" applyFont="1" applyFill="1" applyBorder="1" applyAlignment="1">
      <alignment vertical="center"/>
    </xf>
    <xf numFmtId="43" fontId="8" fillId="2" borderId="2" xfId="11" applyFont="1" applyFill="1" applyBorder="1" applyAlignment="1">
      <alignment horizontal="right" vertical="center"/>
    </xf>
    <xf numFmtId="43" fontId="20" fillId="2" borderId="0" xfId="11" applyFont="1" applyFill="1" applyBorder="1" applyAlignment="1">
      <alignment horizontal="right"/>
    </xf>
    <xf numFmtId="43" fontId="14" fillId="2" borderId="0" xfId="11" applyFont="1" applyFill="1" applyBorder="1" applyAlignment="1">
      <alignment horizontal="right"/>
    </xf>
    <xf numFmtId="43" fontId="20" fillId="2" borderId="0" xfId="11" applyFont="1" applyFill="1" applyBorder="1"/>
    <xf numFmtId="43" fontId="2" fillId="2" borderId="0" xfId="11" applyFont="1" applyFill="1"/>
    <xf numFmtId="0" fontId="7" fillId="2" borderId="0" xfId="11" applyNumberFormat="1" applyFont="1" applyFill="1" applyAlignment="1">
      <alignment horizontal="right" vertical="center"/>
    </xf>
    <xf numFmtId="0" fontId="7" fillId="2" borderId="0" xfId="11" applyNumberFormat="1" applyFont="1" applyFill="1" applyAlignment="1">
      <alignment vertical="center"/>
    </xf>
    <xf numFmtId="169" fontId="14" fillId="2" borderId="0" xfId="11" applyNumberFormat="1" applyFont="1" applyFill="1" applyBorder="1" applyAlignment="1">
      <alignment horizontal="right"/>
    </xf>
    <xf numFmtId="169" fontId="14" fillId="2" borderId="0" xfId="11" applyNumberFormat="1" applyFont="1" applyFill="1" applyBorder="1" applyAlignment="1"/>
    <xf numFmtId="169" fontId="14" fillId="2" borderId="3" xfId="11" applyNumberFormat="1" applyFont="1" applyFill="1" applyBorder="1" applyAlignment="1">
      <alignment horizontal="right"/>
    </xf>
    <xf numFmtId="169" fontId="14" fillId="2" borderId="3" xfId="11" applyNumberFormat="1" applyFont="1" applyFill="1" applyBorder="1" applyAlignment="1"/>
    <xf numFmtId="164" fontId="17" fillId="2" borderId="0" xfId="1" applyFont="1" applyFill="1" applyAlignment="1">
      <alignment horizontal="center"/>
    </xf>
    <xf numFmtId="164" fontId="26" fillId="2" borderId="0" xfId="1" applyFont="1" applyFill="1" applyAlignment="1">
      <alignment horizontal="right" vertical="center"/>
    </xf>
    <xf numFmtId="164" fontId="27" fillId="2" borderId="0" xfId="1" applyFont="1" applyFill="1" applyAlignment="1">
      <alignment vertical="center"/>
    </xf>
    <xf numFmtId="168" fontId="20" fillId="2" borderId="1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168" fontId="20" fillId="2" borderId="0" xfId="11" applyNumberFormat="1" applyFont="1" applyFill="1" applyBorder="1" applyAlignment="1">
      <alignment horizontal="right" vertical="center"/>
    </xf>
    <xf numFmtId="164" fontId="19" fillId="2" borderId="0" xfId="1" applyFont="1" applyFill="1" applyAlignment="1">
      <alignment horizontal="right" vertical="center"/>
    </xf>
    <xf numFmtId="164" fontId="28" fillId="2" borderId="0" xfId="1" applyFont="1" applyFill="1" applyAlignment="1">
      <alignment horizontal="right" vertical="center"/>
    </xf>
    <xf numFmtId="164" fontId="19" fillId="2" borderId="3" xfId="1" applyFont="1" applyFill="1" applyBorder="1" applyAlignment="1">
      <alignment horizontal="right" vertical="center"/>
    </xf>
    <xf numFmtId="164" fontId="19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7" fillId="2" borderId="0" xfId="1" applyFont="1" applyFill="1" applyAlignment="1">
      <alignment horizontal="center" vertical="center"/>
    </xf>
    <xf numFmtId="164" fontId="12" fillId="2" borderId="0" xfId="1" applyFont="1" applyFill="1" applyAlignment="1">
      <alignment vertical="center"/>
    </xf>
    <xf numFmtId="168" fontId="17" fillId="2" borderId="0" xfId="11" applyNumberFormat="1" applyFont="1" applyFill="1" applyBorder="1" applyAlignment="1">
      <alignment horizontal="right" vertical="center"/>
    </xf>
    <xf numFmtId="168" fontId="14" fillId="2" borderId="3" xfId="11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vertical="center"/>
    </xf>
    <xf numFmtId="43" fontId="10" fillId="2" borderId="0" xfId="11" applyFont="1" applyFill="1" applyAlignment="1">
      <alignment vertical="center"/>
    </xf>
    <xf numFmtId="43" fontId="22" fillId="2" borderId="0" xfId="11" applyFont="1" applyFill="1" applyAlignment="1">
      <alignment vertical="center"/>
    </xf>
    <xf numFmtId="43" fontId="22" fillId="2" borderId="0" xfId="11" applyFont="1" applyFill="1" applyAlignment="1">
      <alignment horizontal="right" vertical="center"/>
    </xf>
    <xf numFmtId="1" fontId="19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3" fillId="2" borderId="0" xfId="1" applyFont="1" applyFill="1" applyAlignment="1">
      <alignment horizontal="center" vertical="center"/>
    </xf>
    <xf numFmtId="164" fontId="5" fillId="2" borderId="0" xfId="1" applyFont="1" applyFill="1" applyAlignment="1" applyProtection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7" fillId="2" borderId="1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right" vertical="center"/>
    </xf>
    <xf numFmtId="0" fontId="8" fillId="2" borderId="3" xfId="1" applyNumberFormat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left" vertical="center"/>
    </xf>
  </cellXfs>
  <cellStyles count="12">
    <cellStyle name="1" xfId="4"/>
    <cellStyle name="Comma" xfId="11" builtinId="3"/>
    <cellStyle name="Comma 2" xfId="6"/>
    <cellStyle name="Comma 3" xfId="9"/>
    <cellStyle name="Normal" xfId="0" builtinId="0"/>
    <cellStyle name="Normal 2" xfId="5"/>
    <cellStyle name="Normal 3" xfId="8"/>
    <cellStyle name="Normal_Estimates96_99" xfId="2"/>
    <cellStyle name="Normal_XII-1 (Commerce)" xfId="1"/>
    <cellStyle name="Normal_XII-1 (Commerce) 2" xfId="7"/>
    <cellStyle name="Normal_XII-2 (Commerce)" xfId="3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50"/>
  <sheetViews>
    <sheetView showGridLines="0" tabSelected="1" zoomScale="82" zoomScaleNormal="82" workbookViewId="0">
      <selection activeCell="W28" sqref="W28"/>
    </sheetView>
  </sheetViews>
  <sheetFormatPr defaultColWidth="10.28515625" defaultRowHeight="20.100000000000001" customHeight="1" x14ac:dyDescent="0.15"/>
  <cols>
    <col min="1" max="1" width="5.85546875" style="34" customWidth="1"/>
    <col min="2" max="2" width="39.7109375" style="5" customWidth="1"/>
    <col min="3" max="7" width="10.42578125" style="41" customWidth="1"/>
    <col min="8" max="16" width="10.42578125" style="51" customWidth="1"/>
    <col min="17" max="17" width="44.28515625" style="33" customWidth="1"/>
    <col min="18" max="16384" width="10.28515625" style="5"/>
  </cols>
  <sheetData>
    <row r="1" spans="1:17" s="37" customFormat="1" ht="12.75" customHeight="1" x14ac:dyDescent="0.15">
      <c r="A1" s="36"/>
      <c r="C1" s="42"/>
      <c r="D1" s="42"/>
      <c r="E1" s="42"/>
      <c r="F1" s="42"/>
      <c r="G1" s="42"/>
      <c r="H1" s="43"/>
      <c r="I1" s="43"/>
      <c r="J1" s="43"/>
      <c r="K1" s="43"/>
      <c r="L1" s="43"/>
      <c r="M1" s="43"/>
      <c r="N1" s="43"/>
      <c r="O1" s="43"/>
      <c r="P1" s="43"/>
      <c r="Q1" s="38"/>
    </row>
    <row r="2" spans="1:17" s="1" customFormat="1" ht="20.100000000000001" customHeight="1" x14ac:dyDescent="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s="39" customFormat="1" ht="20.100000000000001" customHeight="1" x14ac:dyDescent="0.25">
      <c r="A3" s="81" t="s">
        <v>40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</row>
    <row r="4" spans="1:17" s="39" customFormat="1" ht="20.100000000000001" customHeight="1" x14ac:dyDescent="0.25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5" spans="1:17" s="39" customFormat="1" ht="20.100000000000001" customHeight="1" x14ac:dyDescent="0.25">
      <c r="A5" s="81" t="s">
        <v>1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</row>
    <row r="6" spans="1:17" ht="20.100000000000001" customHeight="1" x14ac:dyDescent="0.15">
      <c r="A6" s="83" t="s">
        <v>2</v>
      </c>
      <c r="B6" s="87" t="s">
        <v>3</v>
      </c>
      <c r="C6" s="44" t="s">
        <v>41</v>
      </c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7"/>
      <c r="P6" s="47" t="s">
        <v>42</v>
      </c>
      <c r="Q6" s="85" t="s">
        <v>4</v>
      </c>
    </row>
    <row r="7" spans="1:17" s="8" customFormat="1" ht="20.100000000000001" customHeight="1" x14ac:dyDescent="0.15">
      <c r="A7" s="84"/>
      <c r="B7" s="88"/>
      <c r="C7" s="52">
        <v>2003</v>
      </c>
      <c r="D7" s="52">
        <v>2004</v>
      </c>
      <c r="E7" s="53">
        <v>2005</v>
      </c>
      <c r="F7" s="53">
        <v>2006</v>
      </c>
      <c r="G7" s="53">
        <v>2007</v>
      </c>
      <c r="H7" s="53">
        <v>2008</v>
      </c>
      <c r="I7" s="53">
        <v>2009</v>
      </c>
      <c r="J7" s="53">
        <v>2010</v>
      </c>
      <c r="K7" s="52">
        <v>2011</v>
      </c>
      <c r="L7" s="52">
        <v>2012</v>
      </c>
      <c r="M7" s="52">
        <v>2013</v>
      </c>
      <c r="N7" s="52">
        <v>2014</v>
      </c>
      <c r="O7" s="52">
        <v>2015</v>
      </c>
      <c r="P7" s="52">
        <v>2016</v>
      </c>
      <c r="Q7" s="86"/>
    </row>
    <row r="8" spans="1:17" s="12" customFormat="1" ht="20.100000000000001" customHeight="1" x14ac:dyDescent="0.2">
      <c r="A8" s="9"/>
      <c r="B8" s="10" t="s">
        <v>37</v>
      </c>
      <c r="C8" s="61">
        <v>32549.843486576756</v>
      </c>
      <c r="D8" s="61">
        <v>34513.82099843047</v>
      </c>
      <c r="E8" s="61">
        <v>29982.483038952345</v>
      </c>
      <c r="F8" s="61">
        <v>37811.357063575881</v>
      </c>
      <c r="G8" s="61">
        <v>40728.07496956081</v>
      </c>
      <c r="H8" s="61">
        <v>44591.268440077329</v>
      </c>
      <c r="I8" s="61">
        <v>41367.83626223584</v>
      </c>
      <c r="J8" s="61">
        <v>44373.263009045702</v>
      </c>
      <c r="K8" s="61">
        <v>48174.602246722294</v>
      </c>
      <c r="L8" s="61">
        <v>49387.341903578039</v>
      </c>
      <c r="M8" s="61">
        <v>52983.270832843715</v>
      </c>
      <c r="N8" s="61">
        <v>56866.735960734506</v>
      </c>
      <c r="O8" s="61">
        <v>58143.91986324871</v>
      </c>
      <c r="P8" s="61">
        <v>61727.421711638759</v>
      </c>
      <c r="Q8" s="11" t="s">
        <v>100</v>
      </c>
    </row>
    <row r="9" spans="1:17" s="12" customFormat="1" ht="20.100000000000001" customHeight="1" x14ac:dyDescent="0.2">
      <c r="A9" s="13"/>
      <c r="B9" s="35" t="s">
        <v>76</v>
      </c>
      <c r="C9" s="62">
        <v>3315.3233813552333</v>
      </c>
      <c r="D9" s="62">
        <v>3635.8716879967906</v>
      </c>
      <c r="E9" s="62">
        <v>2657.0712013098555</v>
      </c>
      <c r="F9" s="62">
        <v>3793.0001842188303</v>
      </c>
      <c r="G9" s="62">
        <v>4113.716812013834</v>
      </c>
      <c r="H9" s="62">
        <v>4536.8631858341723</v>
      </c>
      <c r="I9" s="62">
        <v>3721.0967427648138</v>
      </c>
      <c r="J9" s="62">
        <v>4295.5795370749465</v>
      </c>
      <c r="K9" s="62">
        <v>5206.609423562968</v>
      </c>
      <c r="L9" s="62">
        <v>5320.9494796824893</v>
      </c>
      <c r="M9" s="62">
        <v>5747.2305298938318</v>
      </c>
      <c r="N9" s="62">
        <v>6183.5714430000007</v>
      </c>
      <c r="O9" s="62">
        <v>6066.3724966792943</v>
      </c>
      <c r="P9" s="62">
        <v>6517.0918196778039</v>
      </c>
      <c r="Q9" s="14" t="s">
        <v>38</v>
      </c>
    </row>
    <row r="10" spans="1:17" s="12" customFormat="1" ht="20.100000000000001" customHeight="1" x14ac:dyDescent="0.2">
      <c r="A10" s="15"/>
      <c r="B10" s="16" t="s">
        <v>77</v>
      </c>
      <c r="C10" s="63">
        <v>29234.520105221523</v>
      </c>
      <c r="D10" s="63">
        <v>30877.949310433676</v>
      </c>
      <c r="E10" s="63">
        <v>27325.411837642489</v>
      </c>
      <c r="F10" s="63">
        <v>34018.356879357052</v>
      </c>
      <c r="G10" s="63">
        <v>36614.358157546973</v>
      </c>
      <c r="H10" s="63">
        <v>40054.40525424316</v>
      </c>
      <c r="I10" s="63">
        <v>37646.739519471026</v>
      </c>
      <c r="J10" s="63">
        <v>40077.683471970755</v>
      </c>
      <c r="K10" s="63">
        <v>42967.992823159329</v>
      </c>
      <c r="L10" s="63">
        <v>44066.392423895551</v>
      </c>
      <c r="M10" s="63">
        <v>47236.040302949885</v>
      </c>
      <c r="N10" s="63">
        <v>50683.164517734505</v>
      </c>
      <c r="O10" s="63">
        <v>52077.547366569415</v>
      </c>
      <c r="P10" s="63">
        <v>55210.329891960951</v>
      </c>
      <c r="Q10" s="17" t="s">
        <v>32</v>
      </c>
    </row>
    <row r="11" spans="1:17" s="2" customFormat="1" ht="20.100000000000001" customHeight="1" x14ac:dyDescent="0.2">
      <c r="A11" s="15"/>
      <c r="B11" s="16" t="s">
        <v>5</v>
      </c>
      <c r="C11" s="63">
        <v>3433.0533247800981</v>
      </c>
      <c r="D11" s="63">
        <v>3443.6623696288266</v>
      </c>
      <c r="E11" s="63">
        <v>3836.9078866870746</v>
      </c>
      <c r="F11" s="63">
        <v>3913.9893965928504</v>
      </c>
      <c r="G11" s="63">
        <v>3193.2321279240268</v>
      </c>
      <c r="H11" s="63">
        <v>3010.6286224190908</v>
      </c>
      <c r="I11" s="63">
        <v>2939.6512697171897</v>
      </c>
      <c r="J11" s="63">
        <v>2835.6042346067934</v>
      </c>
      <c r="K11" s="63">
        <v>2837.6612698697854</v>
      </c>
      <c r="L11" s="63">
        <v>2832.3768663633282</v>
      </c>
      <c r="M11" s="63">
        <v>3027.2625565513799</v>
      </c>
      <c r="N11" s="63">
        <v>3018.0242318694563</v>
      </c>
      <c r="O11" s="63">
        <v>3003.7260502310605</v>
      </c>
      <c r="P11" s="63">
        <v>3046.6138528708634</v>
      </c>
      <c r="Q11" s="18" t="s">
        <v>6</v>
      </c>
    </row>
    <row r="12" spans="1:17" s="2" customFormat="1" ht="20.100000000000001" customHeight="1" x14ac:dyDescent="0.2">
      <c r="A12" s="19" t="s">
        <v>43</v>
      </c>
      <c r="B12" s="4" t="s">
        <v>66</v>
      </c>
      <c r="C12" s="62">
        <v>724.60021027118762</v>
      </c>
      <c r="D12" s="62">
        <v>727.56170501139877</v>
      </c>
      <c r="E12" s="62">
        <v>656.985441163578</v>
      </c>
      <c r="F12" s="62">
        <v>725.2069755875857</v>
      </c>
      <c r="G12" s="62">
        <v>740.23873982502937</v>
      </c>
      <c r="H12" s="62">
        <v>733.46310885732601</v>
      </c>
      <c r="I12" s="62">
        <v>713.78193601123519</v>
      </c>
      <c r="J12" s="62">
        <v>738.43554832850407</v>
      </c>
      <c r="K12" s="62">
        <v>756.90551532472546</v>
      </c>
      <c r="L12" s="62">
        <v>754.98759704562849</v>
      </c>
      <c r="M12" s="62">
        <v>778.18763221154234</v>
      </c>
      <c r="N12" s="62">
        <v>783.4078837049118</v>
      </c>
      <c r="O12" s="62">
        <v>794.04331156490389</v>
      </c>
      <c r="P12" s="62">
        <v>807.65528475231508</v>
      </c>
      <c r="Q12" s="20" t="s">
        <v>53</v>
      </c>
    </row>
    <row r="13" spans="1:17" s="12" customFormat="1" ht="20.100000000000001" customHeight="1" x14ac:dyDescent="0.2">
      <c r="A13" s="19" t="s">
        <v>43</v>
      </c>
      <c r="B13" s="4" t="s">
        <v>34</v>
      </c>
      <c r="C13" s="62">
        <v>2708.4531145089099</v>
      </c>
      <c r="D13" s="62">
        <v>2716.1006646174278</v>
      </c>
      <c r="E13" s="62">
        <v>3179.9224455234967</v>
      </c>
      <c r="F13" s="62">
        <v>3188.782421005265</v>
      </c>
      <c r="G13" s="62">
        <v>2452.9933880989975</v>
      </c>
      <c r="H13" s="62">
        <v>2277.1655135617648</v>
      </c>
      <c r="I13" s="62">
        <v>2225.8693337059544</v>
      </c>
      <c r="J13" s="62">
        <v>2097.1686862782894</v>
      </c>
      <c r="K13" s="62">
        <v>2080.75575454506</v>
      </c>
      <c r="L13" s="62">
        <v>2077.3892693176999</v>
      </c>
      <c r="M13" s="62">
        <v>2249.0749243398377</v>
      </c>
      <c r="N13" s="62">
        <v>2234.6163481645444</v>
      </c>
      <c r="O13" s="62">
        <v>2209.6827386661566</v>
      </c>
      <c r="P13" s="62">
        <v>2238.9585681185481</v>
      </c>
      <c r="Q13" s="20" t="s">
        <v>7</v>
      </c>
    </row>
    <row r="14" spans="1:17" s="2" customFormat="1" ht="20.100000000000001" customHeight="1" x14ac:dyDescent="0.2">
      <c r="A14" s="15"/>
      <c r="B14" s="16" t="s">
        <v>8</v>
      </c>
      <c r="C14" s="63">
        <v>2272.483859367946</v>
      </c>
      <c r="D14" s="63">
        <v>2816.8663650590961</v>
      </c>
      <c r="E14" s="63">
        <v>3218.7348482577377</v>
      </c>
      <c r="F14" s="63">
        <v>3620.9703745322258</v>
      </c>
      <c r="G14" s="63">
        <v>4133.1866835655701</v>
      </c>
      <c r="H14" s="63">
        <v>4551.2012456292969</v>
      </c>
      <c r="I14" s="63">
        <v>3403.2500836887493</v>
      </c>
      <c r="J14" s="63">
        <v>3652.0657339424247</v>
      </c>
      <c r="K14" s="63">
        <v>4209.0444664936094</v>
      </c>
      <c r="L14" s="63">
        <v>4380.9570721247674</v>
      </c>
      <c r="M14" s="63">
        <v>4119.0209084818307</v>
      </c>
      <c r="N14" s="63">
        <v>4784.7172636734676</v>
      </c>
      <c r="O14" s="63">
        <v>5572.8582956001055</v>
      </c>
      <c r="P14" s="63">
        <v>6413.8859294064432</v>
      </c>
      <c r="Q14" s="18" t="s">
        <v>9</v>
      </c>
    </row>
    <row r="15" spans="1:17" s="2" customFormat="1" ht="20.100000000000001" customHeight="1" x14ac:dyDescent="0.2">
      <c r="A15" s="19" t="s">
        <v>44</v>
      </c>
      <c r="B15" s="4" t="s">
        <v>65</v>
      </c>
      <c r="C15" s="62">
        <v>1043.7755752161613</v>
      </c>
      <c r="D15" s="62">
        <v>1049.6603261374808</v>
      </c>
      <c r="E15" s="62">
        <v>1096.3247472397134</v>
      </c>
      <c r="F15" s="62">
        <v>1254.1269195887355</v>
      </c>
      <c r="G15" s="62">
        <v>1068.8559666233248</v>
      </c>
      <c r="H15" s="62">
        <v>1116.0119284615175</v>
      </c>
      <c r="I15" s="62">
        <v>881.78950852299954</v>
      </c>
      <c r="J15" s="62">
        <v>939.87493895260843</v>
      </c>
      <c r="K15" s="62">
        <v>1049.0510827737198</v>
      </c>
      <c r="L15" s="62">
        <v>1062.6325532551039</v>
      </c>
      <c r="M15" s="62">
        <v>1140.9401659380089</v>
      </c>
      <c r="N15" s="62">
        <v>1128.7896858422073</v>
      </c>
      <c r="O15" s="62">
        <v>1140.1739418904988</v>
      </c>
      <c r="P15" s="62">
        <v>1237.588839728352</v>
      </c>
      <c r="Q15" s="20" t="s">
        <v>11</v>
      </c>
    </row>
    <row r="16" spans="1:17" s="60" customFormat="1" ht="20.100000000000001" customHeight="1" x14ac:dyDescent="0.2">
      <c r="A16" s="58" t="s">
        <v>44</v>
      </c>
      <c r="B16" s="7" t="s">
        <v>79</v>
      </c>
      <c r="C16" s="71">
        <v>339.53969492950978</v>
      </c>
      <c r="D16" s="71">
        <v>359.03087756223687</v>
      </c>
      <c r="E16" s="71">
        <v>470.3307089749174</v>
      </c>
      <c r="F16" s="71">
        <v>548.80604901713502</v>
      </c>
      <c r="G16" s="71">
        <v>363.83571277534156</v>
      </c>
      <c r="H16" s="71">
        <v>336.69528856589136</v>
      </c>
      <c r="I16" s="71">
        <v>164.64897718022868</v>
      </c>
      <c r="J16" s="71">
        <v>184.4185213508859</v>
      </c>
      <c r="K16" s="71">
        <v>213.30193539479933</v>
      </c>
      <c r="L16" s="71">
        <v>270.57522783259952</v>
      </c>
      <c r="M16" s="71">
        <v>347.29491790681737</v>
      </c>
      <c r="N16" s="71">
        <v>279.2129748440434</v>
      </c>
      <c r="O16" s="71">
        <v>250.59236153597749</v>
      </c>
      <c r="P16" s="71">
        <v>299.48236891936648</v>
      </c>
      <c r="Q16" s="59" t="s">
        <v>54</v>
      </c>
    </row>
    <row r="17" spans="1:17" s="60" customFormat="1" ht="20.100000000000001" customHeight="1" x14ac:dyDescent="0.2">
      <c r="A17" s="58" t="s">
        <v>44</v>
      </c>
      <c r="B17" s="7" t="s">
        <v>80</v>
      </c>
      <c r="C17" s="71">
        <v>704.23588028665165</v>
      </c>
      <c r="D17" s="71">
        <v>690.62944857524394</v>
      </c>
      <c r="E17" s="71">
        <v>625.99403826479579</v>
      </c>
      <c r="F17" s="71">
        <v>705.32087057160061</v>
      </c>
      <c r="G17" s="71">
        <v>705.02025384798321</v>
      </c>
      <c r="H17" s="71">
        <v>779.31663989562628</v>
      </c>
      <c r="I17" s="71">
        <v>717.14053134277083</v>
      </c>
      <c r="J17" s="71">
        <v>755.45641760172259</v>
      </c>
      <c r="K17" s="71">
        <v>835.7491473789205</v>
      </c>
      <c r="L17" s="71">
        <v>792.05732542250428</v>
      </c>
      <c r="M17" s="71">
        <v>793.64524803119161</v>
      </c>
      <c r="N17" s="71">
        <v>849.57671099816366</v>
      </c>
      <c r="O17" s="71">
        <v>889.58158035452129</v>
      </c>
      <c r="P17" s="71">
        <v>938.10647080898536</v>
      </c>
      <c r="Q17" s="65" t="s">
        <v>59</v>
      </c>
    </row>
    <row r="18" spans="1:17" s="2" customFormat="1" ht="20.100000000000001" customHeight="1" x14ac:dyDescent="0.2">
      <c r="A18" s="19"/>
      <c r="B18" s="4" t="s">
        <v>36</v>
      </c>
      <c r="C18" s="62">
        <v>266.10933693414489</v>
      </c>
      <c r="D18" s="62">
        <v>306.86611113080522</v>
      </c>
      <c r="E18" s="62">
        <v>379.52872171874787</v>
      </c>
      <c r="F18" s="62">
        <v>387.94503467733898</v>
      </c>
      <c r="G18" s="62">
        <v>388.98502515246184</v>
      </c>
      <c r="H18" s="62">
        <v>496.90487389075656</v>
      </c>
      <c r="I18" s="62">
        <v>557.19174910032791</v>
      </c>
      <c r="J18" s="62">
        <v>598.27158643547455</v>
      </c>
      <c r="K18" s="62">
        <v>617.82821211571843</v>
      </c>
      <c r="L18" s="62">
        <v>833.43629727076541</v>
      </c>
      <c r="M18" s="62">
        <v>818.70174149533284</v>
      </c>
      <c r="N18" s="62">
        <v>880.2880709737708</v>
      </c>
      <c r="O18" s="62">
        <v>912.89912532984431</v>
      </c>
      <c r="P18" s="62">
        <v>1052.972254541299</v>
      </c>
      <c r="Q18" s="64" t="s">
        <v>60</v>
      </c>
    </row>
    <row r="19" spans="1:17" s="60" customFormat="1" ht="20.100000000000001" customHeight="1" x14ac:dyDescent="0.2">
      <c r="A19" s="58" t="s">
        <v>10</v>
      </c>
      <c r="B19" s="7" t="s">
        <v>81</v>
      </c>
      <c r="C19" s="71">
        <v>163.41754554452407</v>
      </c>
      <c r="D19" s="71">
        <v>186.89767790547882</v>
      </c>
      <c r="E19" s="71">
        <v>234.88526326787988</v>
      </c>
      <c r="F19" s="71">
        <v>229.82498038460534</v>
      </c>
      <c r="G19" s="71">
        <v>215.86874879183978</v>
      </c>
      <c r="H19" s="71">
        <v>282.72815557824401</v>
      </c>
      <c r="I19" s="71">
        <v>312.04157289342646</v>
      </c>
      <c r="J19" s="71">
        <v>324.44999220686043</v>
      </c>
      <c r="K19" s="71">
        <v>315.75370830742656</v>
      </c>
      <c r="L19" s="71">
        <v>486.79933526688802</v>
      </c>
      <c r="M19" s="71">
        <v>452.39276075964676</v>
      </c>
      <c r="N19" s="71">
        <v>482.16053187351912</v>
      </c>
      <c r="O19" s="71">
        <v>504.1862001971744</v>
      </c>
      <c r="P19" s="71">
        <v>576.03323294482766</v>
      </c>
      <c r="Q19" s="65" t="s">
        <v>61</v>
      </c>
    </row>
    <row r="20" spans="1:17" s="60" customFormat="1" ht="20.100000000000001" customHeight="1" x14ac:dyDescent="0.2">
      <c r="A20" s="58" t="s">
        <v>12</v>
      </c>
      <c r="B20" s="7" t="s">
        <v>82</v>
      </c>
      <c r="C20" s="71">
        <v>102.6917913896208</v>
      </c>
      <c r="D20" s="71">
        <v>119.96843322532641</v>
      </c>
      <c r="E20" s="71">
        <v>144.643458450868</v>
      </c>
      <c r="F20" s="71">
        <v>158.12005429273364</v>
      </c>
      <c r="G20" s="71">
        <v>173.11627636062209</v>
      </c>
      <c r="H20" s="71">
        <v>214.17671831251258</v>
      </c>
      <c r="I20" s="71">
        <v>245.15017620690145</v>
      </c>
      <c r="J20" s="71">
        <v>273.82159422861406</v>
      </c>
      <c r="K20" s="71">
        <v>302.07450380829187</v>
      </c>
      <c r="L20" s="71">
        <v>346.63696200387744</v>
      </c>
      <c r="M20" s="71">
        <v>366.30898073568608</v>
      </c>
      <c r="N20" s="71">
        <v>398.12753910025168</v>
      </c>
      <c r="O20" s="71">
        <v>408.71292513266991</v>
      </c>
      <c r="P20" s="71">
        <v>476.93902159647138</v>
      </c>
      <c r="Q20" s="65" t="s">
        <v>62</v>
      </c>
    </row>
    <row r="21" spans="1:17" s="12" customFormat="1" ht="20.100000000000001" customHeight="1" x14ac:dyDescent="0.2">
      <c r="A21" s="19" t="s">
        <v>13</v>
      </c>
      <c r="B21" s="4" t="s">
        <v>67</v>
      </c>
      <c r="C21" s="62">
        <v>962.59894721763953</v>
      </c>
      <c r="D21" s="62">
        <v>1460.33992779081</v>
      </c>
      <c r="E21" s="62">
        <v>1742.8813792992764</v>
      </c>
      <c r="F21" s="62">
        <v>1978.8984202661516</v>
      </c>
      <c r="G21" s="62">
        <v>2675.3456917897834</v>
      </c>
      <c r="H21" s="62">
        <v>2938.2844432770225</v>
      </c>
      <c r="I21" s="62">
        <v>1964.2688260654218</v>
      </c>
      <c r="J21" s="62">
        <v>2113.9192085543418</v>
      </c>
      <c r="K21" s="62">
        <v>2542.1651716041715</v>
      </c>
      <c r="L21" s="62">
        <v>2484.8882215988983</v>
      </c>
      <c r="M21" s="62">
        <v>2159.3790010484886</v>
      </c>
      <c r="N21" s="62">
        <v>2775.6395068574893</v>
      </c>
      <c r="O21" s="62">
        <v>3519.7852283797624</v>
      </c>
      <c r="P21" s="62">
        <v>4123.324835136792</v>
      </c>
      <c r="Q21" s="20" t="s">
        <v>14</v>
      </c>
    </row>
    <row r="22" spans="1:17" s="2" customFormat="1" ht="20.100000000000001" customHeight="1" x14ac:dyDescent="0.2">
      <c r="A22" s="15"/>
      <c r="B22" s="16" t="s">
        <v>15</v>
      </c>
      <c r="C22" s="63">
        <v>23528.982921073479</v>
      </c>
      <c r="D22" s="63">
        <v>24617.420575745753</v>
      </c>
      <c r="E22" s="63">
        <v>20269.769102697675</v>
      </c>
      <c r="F22" s="63">
        <v>26483.397108231977</v>
      </c>
      <c r="G22" s="63">
        <v>29287.939346057377</v>
      </c>
      <c r="H22" s="63">
        <v>32492.575386194774</v>
      </c>
      <c r="I22" s="63">
        <v>31303.838166065088</v>
      </c>
      <c r="J22" s="63">
        <v>33590.013503421535</v>
      </c>
      <c r="K22" s="63">
        <v>35921.287086795935</v>
      </c>
      <c r="L22" s="63">
        <v>36853.058485407455</v>
      </c>
      <c r="M22" s="63">
        <v>40089.756837916677</v>
      </c>
      <c r="N22" s="63">
        <v>42880.423022191579</v>
      </c>
      <c r="O22" s="63">
        <v>43500.963020738251</v>
      </c>
      <c r="P22" s="63">
        <v>45749.830109683644</v>
      </c>
      <c r="Q22" s="18" t="s">
        <v>16</v>
      </c>
    </row>
    <row r="23" spans="1:17" s="2" customFormat="1" ht="20.100000000000001" customHeight="1" x14ac:dyDescent="0.2">
      <c r="A23" s="19" t="s">
        <v>17</v>
      </c>
      <c r="B23" s="4" t="s">
        <v>68</v>
      </c>
      <c r="C23" s="62">
        <v>4063.3696159694764</v>
      </c>
      <c r="D23" s="62">
        <v>3456.2043327629799</v>
      </c>
      <c r="E23" s="62">
        <v>3101.6950357723022</v>
      </c>
      <c r="F23" s="62">
        <v>3768.1318294477555</v>
      </c>
      <c r="G23" s="62">
        <v>3683.3265209197384</v>
      </c>
      <c r="H23" s="62">
        <v>4729.3457674105093</v>
      </c>
      <c r="I23" s="62">
        <v>3368.0016541772907</v>
      </c>
      <c r="J23" s="62">
        <v>3498.9181903596809</v>
      </c>
      <c r="K23" s="62">
        <v>4212.8478889029457</v>
      </c>
      <c r="L23" s="62">
        <v>4141.6445369647126</v>
      </c>
      <c r="M23" s="62">
        <v>4491.5933155422154</v>
      </c>
      <c r="N23" s="62">
        <v>5353.6975028520046</v>
      </c>
      <c r="O23" s="62">
        <v>5247.6185243304226</v>
      </c>
      <c r="P23" s="62">
        <v>5654.4281331676248</v>
      </c>
      <c r="Q23" s="20" t="s">
        <v>18</v>
      </c>
    </row>
    <row r="24" spans="1:17" s="2" customFormat="1" ht="20.100000000000001" customHeight="1" x14ac:dyDescent="0.2">
      <c r="A24" s="19"/>
      <c r="B24" s="4" t="s">
        <v>69</v>
      </c>
      <c r="C24" s="62">
        <v>9845.4053499174715</v>
      </c>
      <c r="D24" s="62">
        <v>10611.877113281193</v>
      </c>
      <c r="E24" s="62">
        <v>6840.9511605120906</v>
      </c>
      <c r="F24" s="62">
        <v>10080.979969263024</v>
      </c>
      <c r="G24" s="62">
        <v>10950.028682850911</v>
      </c>
      <c r="H24" s="62">
        <v>11038.957830665413</v>
      </c>
      <c r="I24" s="62">
        <v>10425.541641206732</v>
      </c>
      <c r="J24" s="62">
        <v>11683.825527255869</v>
      </c>
      <c r="K24" s="62">
        <v>12722.493185665557</v>
      </c>
      <c r="L24" s="62">
        <v>12697.306749870413</v>
      </c>
      <c r="M24" s="62">
        <v>13977.428488851525</v>
      </c>
      <c r="N24" s="62">
        <v>14343.053446269196</v>
      </c>
      <c r="O24" s="62">
        <v>13708.746529106998</v>
      </c>
      <c r="P24" s="62">
        <v>14022.482798716319</v>
      </c>
      <c r="Q24" s="64" t="s">
        <v>63</v>
      </c>
    </row>
    <row r="25" spans="1:17" s="60" customFormat="1" ht="20.100000000000001" customHeight="1" x14ac:dyDescent="0.2">
      <c r="A25" s="58" t="s">
        <v>20</v>
      </c>
      <c r="B25" s="7" t="s">
        <v>83</v>
      </c>
      <c r="C25" s="71">
        <v>9041.4134590221438</v>
      </c>
      <c r="D25" s="71">
        <v>9732.3123761676325</v>
      </c>
      <c r="E25" s="71">
        <v>6120.0126971190539</v>
      </c>
      <c r="F25" s="71">
        <v>9091.7031277522183</v>
      </c>
      <c r="G25" s="71">
        <v>9870.3367331794962</v>
      </c>
      <c r="H25" s="71">
        <v>10051.678072861963</v>
      </c>
      <c r="I25" s="71">
        <v>9546.3573807113589</v>
      </c>
      <c r="J25" s="71">
        <v>10818.726109226456</v>
      </c>
      <c r="K25" s="71">
        <v>11767.623916281407</v>
      </c>
      <c r="L25" s="71">
        <v>11808.290492850463</v>
      </c>
      <c r="M25" s="71">
        <v>12894.754775516736</v>
      </c>
      <c r="N25" s="71">
        <v>13297.126675760919</v>
      </c>
      <c r="O25" s="71">
        <v>12563.49890207353</v>
      </c>
      <c r="P25" s="71">
        <v>12844.144175579802</v>
      </c>
      <c r="Q25" s="65" t="s">
        <v>96</v>
      </c>
    </row>
    <row r="26" spans="1:17" s="60" customFormat="1" ht="20.100000000000001" customHeight="1" x14ac:dyDescent="0.2">
      <c r="A26" s="58" t="s">
        <v>20</v>
      </c>
      <c r="B26" s="7" t="s">
        <v>84</v>
      </c>
      <c r="C26" s="71">
        <v>310.17121462359177</v>
      </c>
      <c r="D26" s="71">
        <v>381.23632203374109</v>
      </c>
      <c r="E26" s="71">
        <v>282.3374195725624</v>
      </c>
      <c r="F26" s="71">
        <v>356.21791341247922</v>
      </c>
      <c r="G26" s="71">
        <v>419.04880511457549</v>
      </c>
      <c r="H26" s="71">
        <v>422.81607888043766</v>
      </c>
      <c r="I26" s="71">
        <v>378.07402645074785</v>
      </c>
      <c r="J26" s="71">
        <v>468.07652224764246</v>
      </c>
      <c r="K26" s="71">
        <v>565.72428145643335</v>
      </c>
      <c r="L26" s="71">
        <v>454.83990967508157</v>
      </c>
      <c r="M26" s="71">
        <v>550.07426151514494</v>
      </c>
      <c r="N26" s="71">
        <v>605.02012718933872</v>
      </c>
      <c r="O26" s="71">
        <v>688.31833300063897</v>
      </c>
      <c r="P26" s="71">
        <v>704.16734152903723</v>
      </c>
      <c r="Q26" s="65" t="s">
        <v>55</v>
      </c>
    </row>
    <row r="27" spans="1:17" s="60" customFormat="1" ht="20.100000000000001" customHeight="1" x14ac:dyDescent="0.2">
      <c r="A27" s="58" t="s">
        <v>20</v>
      </c>
      <c r="B27" s="7" t="s">
        <v>85</v>
      </c>
      <c r="C27" s="71">
        <v>493.82067627173564</v>
      </c>
      <c r="D27" s="71">
        <v>498.32841507981959</v>
      </c>
      <c r="E27" s="71">
        <v>438.60104382047365</v>
      </c>
      <c r="F27" s="71">
        <v>633.05892809832551</v>
      </c>
      <c r="G27" s="71">
        <v>660.64314455683916</v>
      </c>
      <c r="H27" s="71">
        <v>564.46367892301146</v>
      </c>
      <c r="I27" s="71">
        <v>501.11023404462469</v>
      </c>
      <c r="J27" s="71">
        <v>397.02289578177033</v>
      </c>
      <c r="K27" s="71">
        <v>389.14498792771786</v>
      </c>
      <c r="L27" s="71">
        <v>434.17634734486762</v>
      </c>
      <c r="M27" s="71">
        <v>532.59945181964429</v>
      </c>
      <c r="N27" s="71">
        <v>440.90664331893856</v>
      </c>
      <c r="O27" s="71">
        <v>456.92929403282852</v>
      </c>
      <c r="P27" s="71">
        <v>474.17128160748047</v>
      </c>
      <c r="Q27" s="65" t="s">
        <v>64</v>
      </c>
    </row>
    <row r="28" spans="1:17" s="2" customFormat="1" ht="20.100000000000001" customHeight="1" x14ac:dyDescent="0.2">
      <c r="A28" s="19"/>
      <c r="B28" s="4" t="s">
        <v>58</v>
      </c>
      <c r="C28" s="62">
        <v>2533.1382194924827</v>
      </c>
      <c r="D28" s="62">
        <v>3102.1090477423718</v>
      </c>
      <c r="E28" s="62">
        <v>2730.7711119610717</v>
      </c>
      <c r="F28" s="62">
        <v>3436.6190215556862</v>
      </c>
      <c r="G28" s="62">
        <v>3927.6517908597539</v>
      </c>
      <c r="H28" s="62">
        <v>4107.1998763171378</v>
      </c>
      <c r="I28" s="62">
        <v>4344.5582574114978</v>
      </c>
      <c r="J28" s="62">
        <v>5280.4082284002579</v>
      </c>
      <c r="K28" s="62">
        <v>5561.9089715905366</v>
      </c>
      <c r="L28" s="62">
        <v>6099.5971492203444</v>
      </c>
      <c r="M28" s="62">
        <v>6714.688649379932</v>
      </c>
      <c r="N28" s="62">
        <v>7147.2527111181944</v>
      </c>
      <c r="O28" s="62">
        <v>7786.5947515046546</v>
      </c>
      <c r="P28" s="62">
        <v>8223.9995823806057</v>
      </c>
      <c r="Q28" s="64" t="s">
        <v>78</v>
      </c>
    </row>
    <row r="29" spans="1:17" s="60" customFormat="1" ht="20.100000000000001" customHeight="1" x14ac:dyDescent="0.25">
      <c r="A29" s="69" t="s">
        <v>19</v>
      </c>
      <c r="B29" s="70" t="s">
        <v>86</v>
      </c>
      <c r="C29" s="71">
        <v>1309.9722395388289</v>
      </c>
      <c r="D29" s="71">
        <v>1568.968294138889</v>
      </c>
      <c r="E29" s="71">
        <v>1405.3806382082694</v>
      </c>
      <c r="F29" s="71">
        <v>1796.5734798116766</v>
      </c>
      <c r="G29" s="71">
        <v>1990.5147263860729</v>
      </c>
      <c r="H29" s="71">
        <v>2057.550895556858</v>
      </c>
      <c r="I29" s="71">
        <v>2135.8716189105253</v>
      </c>
      <c r="J29" s="71">
        <v>2477.026227434671</v>
      </c>
      <c r="K29" s="71">
        <v>2665.2343132250562</v>
      </c>
      <c r="L29" s="71">
        <v>3131.8058346485677</v>
      </c>
      <c r="M29" s="71">
        <v>3471.6783378770883</v>
      </c>
      <c r="N29" s="71">
        <v>3722.8391944775221</v>
      </c>
      <c r="O29" s="71">
        <v>3887.7427161502537</v>
      </c>
      <c r="P29" s="71">
        <v>3991.3863806769846</v>
      </c>
      <c r="Q29" s="65" t="s">
        <v>91</v>
      </c>
    </row>
    <row r="30" spans="1:17" s="60" customFormat="1" ht="20.100000000000001" customHeight="1" x14ac:dyDescent="0.25">
      <c r="A30" s="69" t="s">
        <v>27</v>
      </c>
      <c r="B30" s="70" t="s">
        <v>87</v>
      </c>
      <c r="C30" s="71">
        <v>740.70668664399</v>
      </c>
      <c r="D30" s="71">
        <v>827.30738721933869</v>
      </c>
      <c r="E30" s="71">
        <v>595.9244950974163</v>
      </c>
      <c r="F30" s="71">
        <v>852.52615231777042</v>
      </c>
      <c r="G30" s="71">
        <v>966.4539881687632</v>
      </c>
      <c r="H30" s="71">
        <v>970.559305357477</v>
      </c>
      <c r="I30" s="71">
        <v>962.76475801617539</v>
      </c>
      <c r="J30" s="71">
        <v>1169.4929563024</v>
      </c>
      <c r="K30" s="71">
        <v>1309.2810211830647</v>
      </c>
      <c r="L30" s="71">
        <v>1354.0645959514477</v>
      </c>
      <c r="M30" s="71">
        <v>1584.4854929520229</v>
      </c>
      <c r="N30" s="71">
        <v>1736.4660013041403</v>
      </c>
      <c r="O30" s="71">
        <v>1778.7992295030335</v>
      </c>
      <c r="P30" s="71">
        <v>1868.2062630414539</v>
      </c>
      <c r="Q30" s="65" t="s">
        <v>92</v>
      </c>
    </row>
    <row r="31" spans="1:17" s="60" customFormat="1" ht="20.100000000000001" customHeight="1" x14ac:dyDescent="0.25">
      <c r="A31" s="69" t="s">
        <v>19</v>
      </c>
      <c r="B31" s="70" t="s">
        <v>88</v>
      </c>
      <c r="C31" s="71">
        <v>482.45929330966408</v>
      </c>
      <c r="D31" s="71">
        <v>705.83336638414414</v>
      </c>
      <c r="E31" s="71">
        <v>729.46597865538615</v>
      </c>
      <c r="F31" s="71">
        <v>787.51938942623929</v>
      </c>
      <c r="G31" s="71">
        <v>970.68307630491779</v>
      </c>
      <c r="H31" s="71">
        <v>1079.0896754028029</v>
      </c>
      <c r="I31" s="71">
        <v>1245.9218804847967</v>
      </c>
      <c r="J31" s="71">
        <v>1633.889044663187</v>
      </c>
      <c r="K31" s="71">
        <v>1587.3936371824154</v>
      </c>
      <c r="L31" s="71">
        <v>1613.7267186203289</v>
      </c>
      <c r="M31" s="71">
        <v>1658.5248185508215</v>
      </c>
      <c r="N31" s="71">
        <v>1687.947515336532</v>
      </c>
      <c r="O31" s="71">
        <v>2120.0528058513678</v>
      </c>
      <c r="P31" s="71">
        <v>2364.4069386621659</v>
      </c>
      <c r="Q31" s="65" t="s">
        <v>93</v>
      </c>
    </row>
    <row r="32" spans="1:17" s="2" customFormat="1" ht="20.100000000000001" customHeight="1" x14ac:dyDescent="0.2">
      <c r="A32" s="19"/>
      <c r="B32" s="4" t="s">
        <v>70</v>
      </c>
      <c r="C32" s="62">
        <v>563.07317771531632</v>
      </c>
      <c r="D32" s="62">
        <v>722.44886841360585</v>
      </c>
      <c r="E32" s="62">
        <v>998.17940347883246</v>
      </c>
      <c r="F32" s="62">
        <v>1309.3868061083326</v>
      </c>
      <c r="G32" s="62">
        <v>1794.3367921116267</v>
      </c>
      <c r="H32" s="62">
        <v>2201.2838118903055</v>
      </c>
      <c r="I32" s="62">
        <v>2297.7721341418705</v>
      </c>
      <c r="J32" s="62">
        <v>2273.7246180268426</v>
      </c>
      <c r="K32" s="62">
        <v>2331.0127238450441</v>
      </c>
      <c r="L32" s="62">
        <v>2118.2727522415366</v>
      </c>
      <c r="M32" s="62">
        <v>2185.1275690446068</v>
      </c>
      <c r="N32" s="62">
        <v>2260.4626803108513</v>
      </c>
      <c r="O32" s="62">
        <v>2364.2983096780331</v>
      </c>
      <c r="P32" s="62">
        <v>2574.2555979618869</v>
      </c>
      <c r="Q32" s="20" t="s">
        <v>21</v>
      </c>
    </row>
    <row r="33" spans="1:17" s="60" customFormat="1" ht="20.100000000000001" customHeight="1" x14ac:dyDescent="0.2">
      <c r="A33" s="58" t="s">
        <v>22</v>
      </c>
      <c r="B33" s="7" t="s">
        <v>89</v>
      </c>
      <c r="C33" s="71">
        <v>536.53020277554128</v>
      </c>
      <c r="D33" s="71">
        <v>692.0762757457145</v>
      </c>
      <c r="E33" s="71">
        <v>954.05487104708197</v>
      </c>
      <c r="F33" s="71">
        <v>1239.4572373023175</v>
      </c>
      <c r="G33" s="71">
        <v>1711.9340855942012</v>
      </c>
      <c r="H33" s="71">
        <v>2094.3637447836304</v>
      </c>
      <c r="I33" s="71">
        <v>2175.5883096960665</v>
      </c>
      <c r="J33" s="71">
        <v>2142.7777354207897</v>
      </c>
      <c r="K33" s="71">
        <v>2198.9688275466788</v>
      </c>
      <c r="L33" s="71">
        <v>1969.9332390725167</v>
      </c>
      <c r="M33" s="71">
        <v>2040.1095363214747</v>
      </c>
      <c r="N33" s="71">
        <v>2121.7366905852446</v>
      </c>
      <c r="O33" s="71">
        <v>2207.3191954741596</v>
      </c>
      <c r="P33" s="71">
        <v>2418.0364476301916</v>
      </c>
      <c r="Q33" s="65" t="s">
        <v>94</v>
      </c>
    </row>
    <row r="34" spans="1:17" s="60" customFormat="1" ht="20.100000000000001" customHeight="1" x14ac:dyDescent="0.2">
      <c r="A34" s="58" t="s">
        <v>22</v>
      </c>
      <c r="B34" s="7" t="s">
        <v>90</v>
      </c>
      <c r="C34" s="71">
        <v>26.542974939775071</v>
      </c>
      <c r="D34" s="71">
        <v>30.372592667891322</v>
      </c>
      <c r="E34" s="71">
        <v>44.124532431750438</v>
      </c>
      <c r="F34" s="71">
        <v>69.929568806015226</v>
      </c>
      <c r="G34" s="71">
        <v>82.402706517425543</v>
      </c>
      <c r="H34" s="71">
        <v>106.92006710667515</v>
      </c>
      <c r="I34" s="71">
        <v>122.18382444580381</v>
      </c>
      <c r="J34" s="71">
        <v>130.94688260605304</v>
      </c>
      <c r="K34" s="71">
        <v>132.04389629836547</v>
      </c>
      <c r="L34" s="71">
        <v>148.33951316901977</v>
      </c>
      <c r="M34" s="71">
        <v>145.01803272313208</v>
      </c>
      <c r="N34" s="71">
        <v>138.72598972560689</v>
      </c>
      <c r="O34" s="71">
        <v>156.97911420387342</v>
      </c>
      <c r="P34" s="71">
        <v>156.21915033169554</v>
      </c>
      <c r="Q34" s="65" t="s">
        <v>95</v>
      </c>
    </row>
    <row r="35" spans="1:17" s="2" customFormat="1" ht="20.100000000000001" customHeight="1" x14ac:dyDescent="0.2">
      <c r="A35" s="19" t="s">
        <v>24</v>
      </c>
      <c r="B35" s="4" t="s">
        <v>71</v>
      </c>
      <c r="C35" s="62">
        <v>1910.9133747541023</v>
      </c>
      <c r="D35" s="62">
        <v>2072.6944520972916</v>
      </c>
      <c r="E35" s="62">
        <v>2089.9670652445766</v>
      </c>
      <c r="F35" s="62">
        <v>2425.4703356950408</v>
      </c>
      <c r="G35" s="62">
        <v>2701.263270341477</v>
      </c>
      <c r="H35" s="62">
        <v>2945.2660613630542</v>
      </c>
      <c r="I35" s="62">
        <v>2958.7788732984318</v>
      </c>
      <c r="J35" s="62">
        <v>3169.4133264198558</v>
      </c>
      <c r="K35" s="62">
        <v>3403.0620206381882</v>
      </c>
      <c r="L35" s="62">
        <v>3623.2080057591184</v>
      </c>
      <c r="M35" s="62">
        <v>3873.890685930975</v>
      </c>
      <c r="N35" s="62">
        <v>4166.3397722153431</v>
      </c>
      <c r="O35" s="62">
        <v>4315.2846635950737</v>
      </c>
      <c r="P35" s="62">
        <v>4473.5153359939068</v>
      </c>
      <c r="Q35" s="20" t="s">
        <v>23</v>
      </c>
    </row>
    <row r="36" spans="1:17" s="2" customFormat="1" ht="20.100000000000001" customHeight="1" x14ac:dyDescent="0.2">
      <c r="A36" s="19" t="s">
        <v>57</v>
      </c>
      <c r="B36" s="4" t="s">
        <v>72</v>
      </c>
      <c r="C36" s="62">
        <v>252.80805162906341</v>
      </c>
      <c r="D36" s="62">
        <v>321.18034540791206</v>
      </c>
      <c r="E36" s="62">
        <v>298.43907892952012</v>
      </c>
      <c r="F36" s="62">
        <v>451.27200348982899</v>
      </c>
      <c r="G36" s="62">
        <v>546.38143441469822</v>
      </c>
      <c r="H36" s="62">
        <v>617.38530653960015</v>
      </c>
      <c r="I36" s="62">
        <v>632.32186154794738</v>
      </c>
      <c r="J36" s="62">
        <v>690.19380210271299</v>
      </c>
      <c r="K36" s="62">
        <v>716.63255593273971</v>
      </c>
      <c r="L36" s="62">
        <v>721.57519829386149</v>
      </c>
      <c r="M36" s="62">
        <v>774.77191021815543</v>
      </c>
      <c r="N36" s="62">
        <v>851.49657848374363</v>
      </c>
      <c r="O36" s="62">
        <v>836.97522450696044</v>
      </c>
      <c r="P36" s="62">
        <v>902.43387924753074</v>
      </c>
      <c r="Q36" s="64" t="s">
        <v>56</v>
      </c>
    </row>
    <row r="37" spans="1:17" s="2" customFormat="1" ht="20.100000000000001" customHeight="1" x14ac:dyDescent="0.2">
      <c r="A37" s="19" t="s">
        <v>28</v>
      </c>
      <c r="B37" s="4" t="s">
        <v>73</v>
      </c>
      <c r="C37" s="62">
        <v>2252.4654990985209</v>
      </c>
      <c r="D37" s="62">
        <v>2128.177593049897</v>
      </c>
      <c r="E37" s="62">
        <v>2249.785143139618</v>
      </c>
      <c r="F37" s="62">
        <v>2507.5297841079</v>
      </c>
      <c r="G37" s="62">
        <v>2853.026216600224</v>
      </c>
      <c r="H37" s="62">
        <v>3454.5432139204786</v>
      </c>
      <c r="I37" s="62">
        <v>3446.6559777590269</v>
      </c>
      <c r="J37" s="62">
        <v>3303.5639351581199</v>
      </c>
      <c r="K37" s="62">
        <v>3337.5275662175409</v>
      </c>
      <c r="L37" s="62">
        <v>3628.8264797517922</v>
      </c>
      <c r="M37" s="62">
        <v>3914.1416139295261</v>
      </c>
      <c r="N37" s="62">
        <v>4372.0388571849608</v>
      </c>
      <c r="O37" s="62">
        <v>4494.291569713072</v>
      </c>
      <c r="P37" s="62">
        <v>4722.8644689211596</v>
      </c>
      <c r="Q37" s="20" t="s">
        <v>25</v>
      </c>
    </row>
    <row r="38" spans="1:17" s="2" customFormat="1" ht="20.100000000000001" customHeight="1" x14ac:dyDescent="0.2">
      <c r="A38" s="19" t="s">
        <v>45</v>
      </c>
      <c r="B38" s="4" t="s">
        <v>35</v>
      </c>
      <c r="C38" s="62">
        <v>933.12339657883024</v>
      </c>
      <c r="D38" s="62">
        <v>921.01236503026587</v>
      </c>
      <c r="E38" s="62">
        <v>945.52022375621277</v>
      </c>
      <c r="F38" s="62">
        <v>1113.3955115516383</v>
      </c>
      <c r="G38" s="62">
        <v>1220.5391682206255</v>
      </c>
      <c r="H38" s="62">
        <v>1455.1051067970427</v>
      </c>
      <c r="I38" s="62">
        <v>1627.8029990690482</v>
      </c>
      <c r="J38" s="62">
        <v>1509.7152880198867</v>
      </c>
      <c r="K38" s="62">
        <v>1422.7086959427854</v>
      </c>
      <c r="L38" s="62">
        <v>1537.2988770304057</v>
      </c>
      <c r="M38" s="62">
        <v>1633.9917836517945</v>
      </c>
      <c r="N38" s="62">
        <v>1703.9989293364947</v>
      </c>
      <c r="O38" s="62">
        <v>1941.591807996261</v>
      </c>
      <c r="P38" s="62">
        <v>2130.5014618858554</v>
      </c>
      <c r="Q38" s="20" t="s">
        <v>26</v>
      </c>
    </row>
    <row r="39" spans="1:17" s="2" customFormat="1" ht="20.100000000000001" customHeight="1" x14ac:dyDescent="0.2">
      <c r="A39" s="19" t="s">
        <v>46</v>
      </c>
      <c r="B39" s="4" t="s">
        <v>74</v>
      </c>
      <c r="C39" s="62">
        <v>383.93976748443998</v>
      </c>
      <c r="D39" s="62">
        <v>427.79093195334792</v>
      </c>
      <c r="E39" s="62">
        <v>468.39558077866735</v>
      </c>
      <c r="F39" s="62">
        <v>584.98310964900816</v>
      </c>
      <c r="G39" s="62">
        <v>730.91381960230501</v>
      </c>
      <c r="H39" s="62">
        <v>1039.9489329797921</v>
      </c>
      <c r="I39" s="62">
        <v>1345.8538394831703</v>
      </c>
      <c r="J39" s="62">
        <v>1214.6987004908899</v>
      </c>
      <c r="K39" s="62">
        <v>1161.6972644637467</v>
      </c>
      <c r="L39" s="62">
        <v>1235.1827939718105</v>
      </c>
      <c r="M39" s="62">
        <v>1383.4056279806448</v>
      </c>
      <c r="N39" s="62">
        <v>1511.7760046354965</v>
      </c>
      <c r="O39" s="62">
        <v>1697.464484039514</v>
      </c>
      <c r="P39" s="62">
        <v>1845.4218304351248</v>
      </c>
      <c r="Q39" s="64" t="s">
        <v>47</v>
      </c>
    </row>
    <row r="40" spans="1:17" s="23" customFormat="1" ht="20.100000000000001" customHeight="1" x14ac:dyDescent="0.2">
      <c r="A40" s="21" t="s">
        <v>48</v>
      </c>
      <c r="B40" s="22" t="s">
        <v>75</v>
      </c>
      <c r="C40" s="72">
        <v>790.74646843377116</v>
      </c>
      <c r="D40" s="72">
        <v>853.92552600689055</v>
      </c>
      <c r="E40" s="72">
        <v>546.06529912478265</v>
      </c>
      <c r="F40" s="72">
        <v>805.62873736376173</v>
      </c>
      <c r="G40" s="72">
        <v>880.4716501360158</v>
      </c>
      <c r="H40" s="72">
        <v>903.53947831144205</v>
      </c>
      <c r="I40" s="72">
        <v>856.55092797007057</v>
      </c>
      <c r="J40" s="72">
        <v>965.55188718741442</v>
      </c>
      <c r="K40" s="72">
        <v>1051.3962135968543</v>
      </c>
      <c r="L40" s="72">
        <v>1050.1459423034548</v>
      </c>
      <c r="M40" s="72">
        <v>1140.7171933873055</v>
      </c>
      <c r="N40" s="72">
        <v>1170.3065397852988</v>
      </c>
      <c r="O40" s="72">
        <v>1108.0971562672655</v>
      </c>
      <c r="P40" s="72">
        <v>1199.9270209736244</v>
      </c>
      <c r="Q40" s="66" t="s">
        <v>49</v>
      </c>
    </row>
    <row r="41" spans="1:17" ht="20.100000000000001" customHeight="1" x14ac:dyDescent="0.2">
      <c r="A41" s="24"/>
      <c r="B41" s="25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26"/>
    </row>
    <row r="42" spans="1:17" s="12" customFormat="1" ht="20.100000000000001" customHeight="1" x14ac:dyDescent="0.2">
      <c r="A42" s="27" t="s">
        <v>29</v>
      </c>
      <c r="B42" s="24"/>
      <c r="C42" s="50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0" t="s">
        <v>30</v>
      </c>
    </row>
    <row r="43" spans="1:17" s="12" customFormat="1" ht="20.100000000000001" customHeight="1" x14ac:dyDescent="0.2">
      <c r="A43" s="24" t="s">
        <v>50</v>
      </c>
      <c r="B43" s="24"/>
      <c r="C43" s="54">
        <v>318831</v>
      </c>
      <c r="D43" s="54">
        <v>327893</v>
      </c>
      <c r="E43" s="55">
        <v>338591</v>
      </c>
      <c r="F43" s="55">
        <v>354367</v>
      </c>
      <c r="G43" s="55">
        <v>374944</v>
      </c>
      <c r="H43" s="55">
        <v>390414</v>
      </c>
      <c r="I43" s="55">
        <v>384801</v>
      </c>
      <c r="J43" s="55">
        <v>393578</v>
      </c>
      <c r="K43" s="55">
        <v>406359</v>
      </c>
      <c r="L43" s="55">
        <v>417305.91520427831</v>
      </c>
      <c r="M43" s="55">
        <v>428670.82631033019</v>
      </c>
      <c r="N43" s="55">
        <v>437535</v>
      </c>
      <c r="O43" s="55">
        <v>454434</v>
      </c>
      <c r="P43" s="55">
        <v>471305</v>
      </c>
      <c r="Q43" s="26" t="s">
        <v>31</v>
      </c>
    </row>
    <row r="44" spans="1:17" s="12" customFormat="1" ht="20.100000000000001" customHeight="1" x14ac:dyDescent="0.2">
      <c r="A44" s="24" t="s">
        <v>51</v>
      </c>
      <c r="B44" s="24"/>
      <c r="C44" s="55">
        <f t="shared" ref="C44:O44" si="0">C8/15.42</f>
        <v>2110.8847916067934</v>
      </c>
      <c r="D44" s="55">
        <f t="shared" si="0"/>
        <v>2238.2503890032731</v>
      </c>
      <c r="E44" s="55">
        <f t="shared" si="0"/>
        <v>1944.3893021369875</v>
      </c>
      <c r="F44" s="55">
        <f t="shared" si="0"/>
        <v>2452.0983828518729</v>
      </c>
      <c r="G44" s="55">
        <f t="shared" si="0"/>
        <v>2641.2499980259927</v>
      </c>
      <c r="H44" s="55">
        <f t="shared" si="0"/>
        <v>2891.7813514965842</v>
      </c>
      <c r="I44" s="55">
        <f t="shared" si="0"/>
        <v>2682.7390572137379</v>
      </c>
      <c r="J44" s="55">
        <f t="shared" si="0"/>
        <v>2877.6435155023155</v>
      </c>
      <c r="K44" s="55">
        <f t="shared" si="0"/>
        <v>3124.1635698263485</v>
      </c>
      <c r="L44" s="55">
        <f t="shared" si="0"/>
        <v>3202.8107589869028</v>
      </c>
      <c r="M44" s="55">
        <f t="shared" si="0"/>
        <v>3436.0097816370762</v>
      </c>
      <c r="N44" s="55">
        <f t="shared" si="0"/>
        <v>3687.8557691786323</v>
      </c>
      <c r="O44" s="55">
        <f t="shared" si="0"/>
        <v>3770.6822220005647</v>
      </c>
      <c r="P44" s="55">
        <f>P8/15.42</f>
        <v>4003.0753379791672</v>
      </c>
      <c r="Q44" s="26" t="s">
        <v>52</v>
      </c>
    </row>
    <row r="45" spans="1:17" s="12" customFormat="1" ht="5.25" customHeight="1" x14ac:dyDescent="0.2">
      <c r="A45" s="28"/>
      <c r="B45" s="29"/>
      <c r="C45" s="56"/>
      <c r="D45" s="56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30"/>
    </row>
    <row r="46" spans="1:17" s="2" customFormat="1" ht="15.75" customHeight="1" x14ac:dyDescent="0.25">
      <c r="A46" s="70" t="s">
        <v>97</v>
      </c>
      <c r="B46" s="73"/>
      <c r="C46" s="74"/>
      <c r="D46" s="74"/>
      <c r="E46" s="74"/>
      <c r="F46" s="74"/>
      <c r="G46" s="74"/>
      <c r="H46" s="75"/>
      <c r="I46" s="75"/>
      <c r="J46" s="75"/>
      <c r="K46" s="76"/>
      <c r="L46" s="76"/>
      <c r="M46" s="76"/>
      <c r="N46" s="76"/>
      <c r="O46" s="76"/>
      <c r="P46" s="76"/>
      <c r="Q46" s="77" t="s">
        <v>98</v>
      </c>
    </row>
    <row r="47" spans="1:17" s="2" customFormat="1" ht="15.75" customHeight="1" x14ac:dyDescent="0.25">
      <c r="A47" s="68" t="s">
        <v>33</v>
      </c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67" t="s">
        <v>99</v>
      </c>
    </row>
    <row r="48" spans="1:17" s="2" customFormat="1" ht="20.100000000000001" customHeight="1" x14ac:dyDescent="0.15">
      <c r="B48" s="3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7" ht="20.100000000000001" customHeight="1" x14ac:dyDescent="0.15">
      <c r="A49" s="31"/>
      <c r="B49" s="6"/>
      <c r="H49" s="41"/>
      <c r="I49" s="41"/>
      <c r="J49" s="41"/>
      <c r="K49" s="41"/>
      <c r="L49" s="41"/>
      <c r="M49" s="41"/>
      <c r="N49" s="41"/>
      <c r="O49" s="41"/>
      <c r="P49" s="41"/>
      <c r="Q49" s="32"/>
    </row>
    <row r="50" spans="1:17" ht="20.100000000000001" customHeight="1" x14ac:dyDescent="0.15">
      <c r="A50" s="31"/>
      <c r="B50" s="31"/>
    </row>
  </sheetData>
  <mergeCells count="7">
    <mergeCell ref="A2:Q2"/>
    <mergeCell ref="A3:Q3"/>
    <mergeCell ref="A4:Q4"/>
    <mergeCell ref="A5:Q5"/>
    <mergeCell ref="A6:A7"/>
    <mergeCell ref="Q6:Q7"/>
    <mergeCell ref="B6:B7"/>
  </mergeCell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2017-11-16T06:31:47Z</cp:lastPrinted>
  <dcterms:created xsi:type="dcterms:W3CDTF">2014-05-21T04:36:27Z</dcterms:created>
  <dcterms:modified xsi:type="dcterms:W3CDTF">2017-11-16T06:31:55Z</dcterms:modified>
</cp:coreProperties>
</file>