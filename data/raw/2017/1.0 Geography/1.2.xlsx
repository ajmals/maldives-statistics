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5525" windowHeight="11550" tabRatio="787"/>
  </bookViews>
  <sheets>
    <sheet name="1.2" sheetId="2" r:id="rId1"/>
  </sheets>
  <externalReferences>
    <externalReference r:id="rId2"/>
  </externalReferences>
  <definedNames>
    <definedName name="_xlnm.Print_Area" localSheetId="0">'1.2'!$A$1:$O$40</definedName>
  </definedNames>
  <calcPr calcId="144525"/>
</workbook>
</file>

<file path=xl/calcChain.xml><?xml version="1.0" encoding="utf-8"?>
<calcChain xmlns="http://schemas.openxmlformats.org/spreadsheetml/2006/main">
  <c r="AJ17" i="2" l="1"/>
  <c r="B15" i="2" l="1"/>
  <c r="AK18" i="2" s="1"/>
  <c r="B16" i="2"/>
  <c r="AK19" i="2" s="1"/>
  <c r="B17" i="2"/>
  <c r="AK20" i="2" s="1"/>
  <c r="B18" i="2"/>
  <c r="AK21" i="2" s="1"/>
  <c r="B14" i="2"/>
  <c r="AK17" i="2" s="1"/>
  <c r="B9" i="2"/>
  <c r="AJ18" i="2" s="1"/>
  <c r="B10" i="2"/>
  <c r="AJ19" i="2" s="1"/>
  <c r="B11" i="2"/>
  <c r="AJ20" i="2" s="1"/>
  <c r="B12" i="2"/>
  <c r="AJ21" i="2" s="1"/>
  <c r="B8" i="2"/>
</calcChain>
</file>

<file path=xl/sharedStrings.xml><?xml version="1.0" encoding="utf-8"?>
<sst xmlns="http://schemas.openxmlformats.org/spreadsheetml/2006/main" count="63" uniqueCount="48">
  <si>
    <t>Locality</t>
  </si>
  <si>
    <t>Irwaunej</t>
  </si>
  <si>
    <t>cbef</t>
  </si>
  <si>
    <t>cCWm</t>
  </si>
  <si>
    <t>clIrcPEa</t>
  </si>
  <si>
    <t>Em</t>
  </si>
  <si>
    <t>cnUj</t>
  </si>
  <si>
    <t>iawluj</t>
  </si>
  <si>
    <t>cswgOa</t>
  </si>
  <si>
    <t>ސެޕްޓް</t>
  </si>
  <si>
    <t>OTckoa</t>
  </si>
  <si>
    <t>cmevon</t>
  </si>
  <si>
    <t>cmesiD</t>
  </si>
  <si>
    <t>cnwt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</si>
  <si>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</si>
  <si>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</si>
  <si>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</si>
  <si>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</si>
  <si>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</si>
  <si>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</si>
  <si>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</si>
  <si>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</si>
  <si>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</si>
  <si>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</si>
  <si>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</si>
  <si>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</si>
  <si>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Male'</t>
  </si>
  <si>
    <t>elWm</t>
  </si>
  <si>
    <t>S.Gan</t>
  </si>
  <si>
    <t>HDh.Hanimaadhoo</t>
  </si>
  <si>
    <t>UdWminwh .dh</t>
  </si>
  <si>
    <t>L.Kadhdhoo</t>
  </si>
  <si>
    <t>GDh.Kaadedhdhoo</t>
  </si>
  <si>
    <t>Source: Maldives Meteorological Service</t>
  </si>
  <si>
    <t xml:space="preserve"> csivrws clwkijoloroaiTIm cscviDclOm :ctWrwf ivcaed utWmUluAwm</t>
  </si>
  <si>
    <r>
      <t xml:space="preserve"> cjercvea eg</t>
    </r>
    <r>
      <rPr>
        <b/>
        <sz val="10"/>
        <rFont val="Faruma"/>
      </rPr>
      <t>އަހަރު</t>
    </r>
  </si>
  <si>
    <t>Yearly average</t>
  </si>
  <si>
    <r>
      <t>AVERAGE OF DAILY MAXIMUM TEMPERATURE (</t>
    </r>
    <r>
      <rPr>
        <b/>
        <vertAlign val="superscript"/>
        <sz val="11"/>
        <rFont val="Calibri"/>
        <family val="2"/>
      </rPr>
      <t>o</t>
    </r>
    <r>
      <rPr>
        <b/>
        <sz val="11"/>
        <rFont val="Calibri"/>
        <family val="2"/>
      </rPr>
      <t>C)</t>
    </r>
  </si>
  <si>
    <t>(cniacswaiscles IrcgiD) cjercvea egurwvcnim Wviawfcsog cSwCcawm cnimunUh</t>
  </si>
  <si>
    <t>Udcawk   .l</t>
  </si>
  <si>
    <t xml:space="preserve"> UdcaeDWk  .dg</t>
  </si>
  <si>
    <t>cnwg   .s</t>
  </si>
  <si>
    <r>
      <t>AVERAGE OF DAILY MINIMUM TEMPERATURE  (</t>
    </r>
    <r>
      <rPr>
        <b/>
        <vertAlign val="superscript"/>
        <sz val="11"/>
        <rFont val="Calibri"/>
        <family val="2"/>
      </rPr>
      <t>o</t>
    </r>
    <r>
      <rPr>
        <b/>
        <sz val="11"/>
        <rFont val="Calibri"/>
        <family val="2"/>
      </rPr>
      <t>C)</t>
    </r>
  </si>
  <si>
    <t xml:space="preserve">  (cnia cswaiscles IrcgiD) cjercvea egurwvcnim Wviawfcsog cSwSwd cnimunUh</t>
  </si>
  <si>
    <t>Maximum</t>
  </si>
  <si>
    <t>Minimum</t>
  </si>
  <si>
    <t>2016 ,urwvcnim Wviawfcsog cSwSwd idwa cSwCcawm emcnea cnimunUh uhwmcswmikea : 1.2 clwvWt</t>
  </si>
  <si>
    <t>Table 1.2 : AVERAGE OF DAILY MAXIMUM AND MINIMUM TEMPERATURE, BY MONTH,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</si>
</sst>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6" formatCode="0.0"/>
    <numFmt numFmtId="168" formatCode="General_)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_Randhoo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_Randhoo"/>
    </font>
    <font>
      <b/>
      <sz val="10"/>
      <name val="Faruma"/>
    </font>
    <font>
      <b/>
      <sz val="10"/>
      <name val="Arial"/>
      <family val="2"/>
    </font>
    <font>
      <sz val="11"/>
      <name val="Calibri"/>
      <family val="2"/>
      <scheme val="minor"/>
    </font>
    <font>
      <sz val="10"/>
      <name val="A_Randhoo"/>
    </font>
    <font>
      <i/>
      <sz val="10"/>
      <name val="Calibri"/>
      <family val="2"/>
      <scheme val="minor"/>
    </font>
    <font>
      <b/>
      <sz val="11"/>
      <name val="A_Faseyha"/>
    </font>
    <font>
      <b/>
      <vertAlign val="superscript"/>
      <sz val="11"/>
      <name val="Calibri"/>
      <family val="2"/>
    </font>
    <font>
      <b/>
      <sz val="11"/>
      <name val="Calibri"/>
      <family val="2"/>
    </font>
    <font>
      <sz val="11"/>
      <name val="A_Randhoo"/>
    </font>
    <font>
      <i/>
      <sz val="10"/>
      <name val="Arial"/>
      <family val="2"/>
    </font>
    <font>
      <b/>
      <sz val="12"/>
      <name val="Calibri"/>
      <family val="2"/>
      <scheme val="minor"/>
    </font>
    <font>
      <sz val="10"/>
      <color indexed="8"/>
      <name val="Arial"/>
      <family val="2"/>
    </font>
    <font>
      <sz val="10"/>
      <name val="Courier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8">
    <xf numFmtId="0" fontId="0" fillId="0" borderId="0" xfId="0"/>
    <xf numFmtId="0" fontId="1" fillId="2" borderId="0" xfId="0" applyFont="1" applyFill="1" applyBorder="1" applyAlignment="1" applyProtection="1">
      <alignment vertical="center"/>
      <protection hidden="1"/>
    </xf>
    <xf numFmtId="0" fontId="5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3" fillId="2" borderId="0" xfId="0" applyFont="1" applyFill="1" applyBorder="1" applyAlignment="1" applyProtection="1">
      <alignment horizontal="left" vertical="center"/>
      <protection hidden="1"/>
    </xf>
    <xf numFmtId="164" fontId="3" fillId="2" borderId="0" xfId="0" applyNumberFormat="1" applyFont="1" applyFill="1" applyBorder="1" applyAlignment="1" applyProtection="1">
      <alignment horizontal="right" vertical="center"/>
      <protection hidden="1"/>
    </xf>
    <xf numFmtId="0" fontId="7" fillId="2" borderId="0" xfId="0" applyFont="1" applyFill="1" applyBorder="1" applyAlignment="1" applyProtection="1">
      <alignment vertical="center"/>
      <protection hidden="1"/>
    </xf>
    <xf numFmtId="0" fontId="8" fillId="2" borderId="0" xfId="0" applyFont="1" applyFill="1" applyBorder="1" applyAlignment="1" applyProtection="1">
      <alignment horizontal="left" vertical="center"/>
      <protection hidden="1"/>
    </xf>
    <xf numFmtId="0" fontId="4" fillId="2" borderId="0" xfId="0" applyFont="1" applyFill="1" applyBorder="1" applyAlignment="1" applyProtection="1">
      <alignment horizontal="left" vertical="center"/>
      <protection hidden="1"/>
    </xf>
    <xf numFmtId="0" fontId="8" fillId="2" borderId="1" xfId="0" applyFont="1" applyFill="1" applyBorder="1" applyAlignment="1" applyProtection="1">
      <alignment horizontal="left" vertical="center"/>
      <protection hidden="1"/>
    </xf>
    <xf numFmtId="0" fontId="10" fillId="2" borderId="0" xfId="0" applyFont="1" applyFill="1" applyBorder="1" applyAlignment="1" applyProtection="1">
      <alignment horizontal="left" vertical="center"/>
      <protection hidden="1"/>
    </xf>
    <xf numFmtId="0" fontId="1" fillId="2" borderId="0" xfId="0" applyFont="1" applyFill="1" applyBorder="1" applyAlignment="1" applyProtection="1">
      <alignment horizontal="left" vertical="center"/>
      <protection hidden="1"/>
    </xf>
    <xf numFmtId="0" fontId="8" fillId="2" borderId="0" xfId="0" applyFont="1" applyFill="1" applyBorder="1" applyAlignment="1" applyProtection="1">
      <alignment vertical="top"/>
      <protection hidden="1"/>
    </xf>
    <xf numFmtId="0" fontId="4" fillId="2" borderId="1" xfId="0" applyFont="1" applyFill="1" applyBorder="1" applyAlignment="1" applyProtection="1">
      <alignment horizontal="center" vertical="top"/>
      <protection hidden="1"/>
    </xf>
    <xf numFmtId="0" fontId="5" fillId="2" borderId="0" xfId="0" applyFont="1" applyFill="1" applyBorder="1" applyAlignment="1" applyProtection="1">
      <alignment horizontal="right" vertical="center"/>
      <protection hidden="1"/>
    </xf>
    <xf numFmtId="164" fontId="3" fillId="2" borderId="1" xfId="0" applyNumberFormat="1" applyFont="1" applyFill="1" applyBorder="1" applyAlignment="1" applyProtection="1">
      <alignment horizontal="right" vertical="center" wrapText="1"/>
      <protection hidden="1"/>
    </xf>
    <xf numFmtId="164" fontId="3" fillId="2" borderId="1" xfId="0" applyNumberFormat="1" applyFont="1" applyFill="1" applyBorder="1" applyAlignment="1" applyProtection="1">
      <alignment horizontal="right" vertical="center"/>
      <protection hidden="1"/>
    </xf>
    <xf numFmtId="164" fontId="3" fillId="2" borderId="0" xfId="0" applyNumberFormat="1" applyFont="1" applyFill="1" applyBorder="1" applyAlignment="1" applyProtection="1">
      <alignment horizontal="right" vertical="center" wrapText="1"/>
      <protection hidden="1"/>
    </xf>
    <xf numFmtId="164" fontId="3" fillId="2" borderId="2" xfId="0" applyNumberFormat="1" applyFont="1" applyFill="1" applyBorder="1" applyAlignment="1" applyProtection="1">
      <alignment horizontal="right" vertical="center"/>
      <protection hidden="1"/>
    </xf>
    <xf numFmtId="0" fontId="3" fillId="2" borderId="0" xfId="0" applyFont="1" applyFill="1" applyBorder="1" applyAlignment="1" applyProtection="1">
      <alignment horizontal="right" vertical="center"/>
      <protection hidden="1"/>
    </xf>
    <xf numFmtId="0" fontId="14" fillId="2" borderId="0" xfId="0" applyFont="1" applyFill="1" applyAlignment="1">
      <alignment horizontal="right" vertical="center"/>
    </xf>
    <xf numFmtId="164" fontId="4" fillId="2" borderId="0" xfId="0" applyNumberFormat="1" applyFont="1" applyFill="1" applyBorder="1" applyAlignment="1" applyProtection="1">
      <alignment horizontal="right" vertical="center"/>
      <protection hidden="1"/>
    </xf>
    <xf numFmtId="0" fontId="8" fillId="2" borderId="0" xfId="0" applyFont="1" applyFill="1" applyBorder="1" applyAlignment="1" applyProtection="1">
      <alignment horizontal="right" vertical="center"/>
      <protection hidden="1"/>
    </xf>
    <xf numFmtId="0" fontId="2" fillId="2" borderId="0" xfId="0" applyFont="1" applyFill="1" applyAlignment="1">
      <alignment horizontal="right" vertical="center"/>
    </xf>
    <xf numFmtId="0" fontId="14" fillId="2" borderId="1" xfId="0" applyFont="1" applyFill="1" applyBorder="1" applyAlignment="1">
      <alignment horizontal="right" vertical="center"/>
    </xf>
    <xf numFmtId="0" fontId="15" fillId="2" borderId="0" xfId="0" applyFont="1" applyFill="1" applyBorder="1" applyAlignment="1" applyProtection="1">
      <alignment vertical="center"/>
      <protection hidden="1"/>
    </xf>
    <xf numFmtId="0" fontId="9" fillId="2" borderId="0" xfId="0" applyFont="1" applyFill="1" applyAlignment="1">
      <alignment horizontal="right" vertical="center"/>
    </xf>
    <xf numFmtId="0" fontId="15" fillId="2" borderId="0" xfId="0" applyFont="1" applyFill="1" applyBorder="1" applyAlignment="1" applyProtection="1">
      <alignment horizontal="left" vertical="center"/>
      <protection hidden="1"/>
    </xf>
    <xf numFmtId="0" fontId="7" fillId="2" borderId="0" xfId="0" applyFont="1" applyFill="1" applyBorder="1" applyAlignment="1" applyProtection="1">
      <alignment horizontal="left" vertical="center"/>
      <protection hidden="1"/>
    </xf>
    <xf numFmtId="164" fontId="7" fillId="2" borderId="0" xfId="0" applyNumberFormat="1" applyFont="1" applyFill="1" applyBorder="1" applyAlignment="1" applyProtection="1">
      <alignment vertical="center"/>
      <protection hidden="1"/>
    </xf>
    <xf numFmtId="166" fontId="1" fillId="2" borderId="0" xfId="0" applyNumberFormat="1" applyFont="1" applyFill="1" applyBorder="1" applyAlignment="1" applyProtection="1">
      <alignment horizontal="right" vertical="center"/>
      <protection hidden="1"/>
    </xf>
    <xf numFmtId="166" fontId="7" fillId="2" borderId="0" xfId="0" applyNumberFormat="1" applyFont="1" applyFill="1" applyBorder="1" applyAlignment="1" applyProtection="1">
      <alignment horizontal="right" vertical="center"/>
      <protection hidden="1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164" fontId="4" fillId="2" borderId="1" xfId="0" applyNumberFormat="1" applyFont="1" applyFill="1" applyBorder="1" applyAlignment="1" applyProtection="1">
      <alignment horizontal="right" vertical="center"/>
      <protection hidden="1"/>
    </xf>
    <xf numFmtId="166" fontId="8" fillId="2" borderId="0" xfId="0" applyNumberFormat="1" applyFont="1" applyFill="1" applyAlignment="1" applyProtection="1">
      <alignment horizontal="right" vertical="center"/>
      <protection locked="0"/>
    </xf>
    <xf numFmtId="166" fontId="8" fillId="2" borderId="1" xfId="0" applyNumberFormat="1" applyFont="1" applyFill="1" applyBorder="1" applyAlignment="1" applyProtection="1">
      <alignment horizontal="right" vertical="center"/>
      <protection locked="0"/>
    </xf>
    <xf numFmtId="0" fontId="0" fillId="2" borderId="0" xfId="0" applyFill="1"/>
    <xf numFmtId="166" fontId="8" fillId="2" borderId="0" xfId="0" applyNumberFormat="1" applyFont="1" applyFill="1" applyBorder="1" applyAlignment="1" applyProtection="1">
      <alignment horizontal="right" vertical="center"/>
      <protection locked="0"/>
    </xf>
    <xf numFmtId="166" fontId="0" fillId="2" borderId="1" xfId="0" applyNumberFormat="1" applyFont="1" applyFill="1" applyBorder="1" applyAlignment="1" applyProtection="1">
      <alignment horizontal="right" vertical="center"/>
      <protection locked="0"/>
    </xf>
    <xf numFmtId="0" fontId="5" fillId="2" borderId="2" xfId="0" applyFont="1" applyFill="1" applyBorder="1" applyAlignment="1" applyProtection="1">
      <alignment horizontal="right" vertical="center"/>
      <protection hidden="1"/>
    </xf>
    <xf numFmtId="0" fontId="11" fillId="2" borderId="0" xfId="0" applyFont="1" applyFill="1" applyBorder="1" applyAlignment="1" applyProtection="1">
      <alignment horizontal="center" vertical="center"/>
      <protection hidden="1"/>
    </xf>
    <xf numFmtId="0" fontId="16" fillId="2" borderId="0" xfId="0" applyFont="1" applyFill="1" applyBorder="1" applyAlignment="1" applyProtection="1">
      <alignment horizontal="center" vertical="top"/>
      <protection hidden="1"/>
    </xf>
    <xf numFmtId="0" fontId="3" fillId="2" borderId="2" xfId="0" applyFont="1" applyFill="1" applyBorder="1" applyAlignment="1" applyProtection="1">
      <alignment horizontal="left" vertical="center"/>
      <protection hidden="1"/>
    </xf>
    <xf numFmtId="0" fontId="3" fillId="2" borderId="1" xfId="0" applyFont="1" applyFill="1" applyBorder="1" applyAlignment="1" applyProtection="1">
      <alignment horizontal="left" vertical="center"/>
      <protection hidden="1"/>
    </xf>
    <xf numFmtId="0" fontId="5" fillId="2" borderId="2" xfId="0" applyFont="1" applyFill="1" applyBorder="1" applyAlignment="1" applyProtection="1">
      <alignment horizontal="right" vertical="center"/>
      <protection hidden="1"/>
    </xf>
    <xf numFmtId="0" fontId="5" fillId="2" borderId="1" xfId="0" applyFont="1" applyFill="1" applyBorder="1" applyAlignment="1" applyProtection="1">
      <alignment horizontal="right" vertical="center"/>
      <protection hidden="1"/>
    </xf>
    <xf numFmtId="0" fontId="2" fillId="2" borderId="0" xfId="0" applyFont="1" applyFill="1" applyBorder="1" applyAlignment="1">
      <alignment horizontal="right" vertical="center"/>
    </xf>
  </cellXfs>
  <cellStyles count="3">
    <cellStyle name="1" xfId="1"/>
    <cellStyle name="Normal" xfId="0" builtinId="0"/>
    <cellStyle name="Normal 5 2" xfId="2"/>
  </cellStyles>
  <dxfs count="0"/>
  <tableStyles count="0" defaultTableStyle="TableStyleMedium9" defaultPivotStyle="PivotStyleLight16"/>
  <colors>
    <mruColors>
      <color rgb="FFC37A37"/>
      <color rgb="FFCE8D52"/>
      <color rgb="FFE2C4A6"/>
      <color rgb="FFFFC285"/>
      <color rgb="FFE6CBB0"/>
      <color rgb="FFFFDF9F"/>
      <color rgb="FFF9B277"/>
      <color rgb="FFF79443"/>
      <color rgb="FFFF9933"/>
      <color rgb="FFFFE5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9"/>
    </mc:Choice>
    <mc:Fallback>
      <c:style val="9"/>
    </mc:Fallback>
  </mc:AlternateContent>
  <c:chart>
    <c:autoTitleDeleted val="0"/>
    <c:plotArea>
      <c:layout>
        <c:manualLayout>
          <c:layoutTarget val="inner"/>
          <c:xMode val="edge"/>
          <c:yMode val="edge"/>
          <c:x val="5.185411772161963E-2"/>
          <c:y val="0.18935069638067326"/>
          <c:w val="0.93375134410346861"/>
          <c:h val="0.698406470155157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'1.2'!$AJ$16</c:f>
              <c:strCache>
                <c:ptCount val="1"/>
                <c:pt idx="0">
                  <c:v>Maximum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solidFill>
                <a:schemeClr val="bg1">
                  <a:lumMod val="95000"/>
                </a:schemeClr>
              </a:solidFill>
            </a:ln>
          </c:spPr>
          <c:invertIfNegative val="0"/>
          <c:dLbls>
            <c:dLbl>
              <c:idx val="0"/>
              <c:layout>
                <c:manualLayout>
                  <c:x val="1.336948975908371E-3"/>
                  <c:y val="0.1064151664503599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706C-4895-9426-25438BD4E2FA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1.018995179951028E-3"/>
                  <c:y val="9.609367009062851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706C-4895-9426-25438BD4E2FA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1.4777507268946106E-3"/>
                  <c:y val="9.841129068315296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706C-4895-9426-25438BD4E2FA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7.9510704271367762E-4"/>
                  <c:y val="9.589247073422156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706C-4895-9426-25438BD4E2FA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2.9503085546485211E-3"/>
                  <c:y val="9.429145058917420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706C-4895-9426-25438BD4E2FA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50" b="1" i="0" u="none" strike="noStrike" baseline="0">
                    <a:solidFill>
                      <a:srgbClr val="FFFFFF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'1.2'!$AH$17:$AI$21</c:f>
              <c:strCache>
                <c:ptCount val="5"/>
                <c:pt idx="0">
                  <c:v>Male'</c:v>
                </c:pt>
                <c:pt idx="1">
                  <c:v>HDh.Hanimaadhoo</c:v>
                </c:pt>
                <c:pt idx="2">
                  <c:v>L.Kadhdhoo</c:v>
                </c:pt>
                <c:pt idx="3">
                  <c:v>GDh.Kaadedhdhoo</c:v>
                </c:pt>
                <c:pt idx="4">
                  <c:v>S.Gan</c:v>
                </c:pt>
              </c:strCache>
            </c:strRef>
          </c:cat>
          <c:val>
            <c:numRef>
              <c:f>'1.2'!$AJ$17:$AJ$21</c:f>
              <c:numCache>
                <c:formatCode>#,##0.0</c:formatCode>
                <c:ptCount val="5"/>
                <c:pt idx="0">
                  <c:v>31.156012235817574</c:v>
                </c:pt>
                <c:pt idx="1">
                  <c:v>31.925514151526386</c:v>
                </c:pt>
                <c:pt idx="2">
                  <c:v>31.615258002719074</c:v>
                </c:pt>
                <c:pt idx="3">
                  <c:v>31.074299530342358</c:v>
                </c:pt>
                <c:pt idx="4">
                  <c:v>31.326752564577927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706C-4895-9426-25438BD4E2FA}"/>
            </c:ext>
          </c:extLst>
        </c:ser>
        <c:ser>
          <c:idx val="1"/>
          <c:order val="1"/>
          <c:tx>
            <c:strRef>
              <c:f>'1.2'!$AK$16</c:f>
              <c:strCache>
                <c:ptCount val="1"/>
                <c:pt idx="0">
                  <c:v>Minimum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50" b="1">
                    <a:solidFill>
                      <a:schemeClr val="tx1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'1.2'!$AH$17:$AI$21</c:f>
              <c:strCache>
                <c:ptCount val="5"/>
                <c:pt idx="0">
                  <c:v>Male'</c:v>
                </c:pt>
                <c:pt idx="1">
                  <c:v>HDh.Hanimaadhoo</c:v>
                </c:pt>
                <c:pt idx="2">
                  <c:v>L.Kadhdhoo</c:v>
                </c:pt>
                <c:pt idx="3">
                  <c:v>GDh.Kaadedhdhoo</c:v>
                </c:pt>
                <c:pt idx="4">
                  <c:v>S.Gan</c:v>
                </c:pt>
              </c:strCache>
            </c:strRef>
          </c:cat>
          <c:val>
            <c:numRef>
              <c:f>'1.2'!$AK$17:$AK$21</c:f>
              <c:numCache>
                <c:formatCode>#,##0.0</c:formatCode>
                <c:ptCount val="5"/>
                <c:pt idx="0">
                  <c:v>26.577406686441723</c:v>
                </c:pt>
                <c:pt idx="1">
                  <c:v>25.770791620318874</c:v>
                </c:pt>
                <c:pt idx="2">
                  <c:v>26.149624891855151</c:v>
                </c:pt>
                <c:pt idx="3">
                  <c:v>25.564760536398467</c:v>
                </c:pt>
                <c:pt idx="4">
                  <c:v>25.922918057100485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706C-4895-9426-25438BD4E2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166464"/>
        <c:axId val="117168000"/>
      </c:barChart>
      <c:catAx>
        <c:axId val="117166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1680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7168000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Degrees Celsius</a:t>
                </a:r>
              </a:p>
            </c:rich>
          </c:tx>
          <c:layout>
            <c:manualLayout>
              <c:xMode val="edge"/>
              <c:yMode val="edge"/>
              <c:x val="8.9119005020423508E-3"/>
              <c:y val="0.11507467994991326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166464"/>
        <c:crosses val="autoZero"/>
        <c:crossBetween val="between"/>
      </c:valAx>
      <c:spPr>
        <a:solidFill>
          <a:schemeClr val="accent6">
            <a:lumMod val="20000"/>
            <a:lumOff val="80000"/>
          </a:schemeClr>
        </a:solidFill>
        <a:ln>
          <a:solidFill>
            <a:schemeClr val="bg1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5275694911293825"/>
          <c:y val="0.19809866701226778"/>
          <c:w val="0.23027309970753679"/>
          <c:h val="5.7115968000115494E-2"/>
        </c:manualLayout>
      </c:layout>
      <c:overlay val="0"/>
      <c:spPr>
        <a:ln>
          <a:noFill/>
        </a:ln>
      </c:spPr>
      <c:txPr>
        <a:bodyPr/>
        <a:lstStyle/>
        <a:p>
          <a:pPr>
            <a:defRPr sz="105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000000000000322" r="0.75000000000000322" t="1" header="0.5" footer="0.5"/>
    <c:pageSetup orientation="landscape" horizontalDpi="300" verticalDpi="30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799653</xdr:colOff>
      <xdr:row>20</xdr:row>
      <xdr:rowOff>76927</xdr:rowOff>
    </xdr:from>
    <xdr:to>
      <xdr:col>14</xdr:col>
      <xdr:colOff>266700</xdr:colOff>
      <xdr:row>39</xdr:row>
      <xdr:rowOff>40097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314324</xdr:colOff>
      <xdr:row>22</xdr:row>
      <xdr:rowOff>31975</xdr:rowOff>
    </xdr:from>
    <xdr:to>
      <xdr:col>13</xdr:col>
      <xdr:colOff>76199</xdr:colOff>
      <xdr:row>22</xdr:row>
      <xdr:rowOff>31975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2114549" y="5480275"/>
          <a:ext cx="6257925" cy="0"/>
        </a:xfrm>
        <a:prstGeom prst="line">
          <a:avLst/>
        </a:prstGeom>
        <a:ln w="38100">
          <a:solidFill>
            <a:schemeClr val="bg1">
              <a:lumMod val="50000"/>
            </a:schemeClr>
          </a:solidFill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0.14118</cdr:x>
      <cdr:y>0.03186</cdr:y>
    </cdr:from>
    <cdr:to>
      <cdr:x>0.90921</cdr:x>
      <cdr:y>0.10942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52041" y="99790"/>
          <a:ext cx="5179176" cy="24294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Consolas" pitchFamily="49" charset="0"/>
              <a:cs typeface="Consolas" pitchFamily="49" charset="0"/>
            </a:rPr>
            <a:t>Figure 1.2: Yearly Average of daily maximum and minimum temperature, </a:t>
          </a:r>
          <a:r>
            <a:rPr lang="en-US" sz="1200" b="1" i="0" strike="noStrike">
              <a:solidFill>
                <a:schemeClr val="tx1"/>
              </a:solidFill>
              <a:latin typeface="Consolas" pitchFamily="49" charset="0"/>
              <a:cs typeface="Consolas" pitchFamily="49" charset="0"/>
            </a:rPr>
            <a:t>2016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Indicators%20%2020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Geo"/>
      <sheetName val="2 Popu"/>
      <sheetName val="3 Emp"/>
      <sheetName val="4 Health"/>
      <sheetName val="5 Edu"/>
      <sheetName val="Law &amp; Ord"/>
      <sheetName val="Fisher"/>
      <sheetName val="Touri"/>
      <sheetName val="11Transp"/>
      <sheetName val="Elect"/>
      <sheetName val="Finance"/>
      <sheetName val="Money &amp; banking"/>
      <sheetName val="Foerign trade &amp; BOP"/>
      <sheetName val="Annual nationa accounts"/>
      <sheetName val="Prices "/>
      <sheetName val="Political parties &amp; Elections"/>
      <sheetName val="poverty"/>
      <sheetName val="Social Protection _Final"/>
    </sheetNames>
    <sheetDataSet>
      <sheetData sheetId="0">
        <row r="13">
          <cell r="F13">
            <v>1996</v>
          </cell>
          <cell r="G13">
            <v>1997</v>
          </cell>
          <cell r="H13">
            <v>1998</v>
          </cell>
          <cell r="I13">
            <v>1999</v>
          </cell>
          <cell r="J13">
            <v>2005</v>
          </cell>
          <cell r="K13">
            <v>2006</v>
          </cell>
          <cell r="L13">
            <v>2007</v>
          </cell>
          <cell r="M13">
            <v>2008</v>
          </cell>
          <cell r="N13">
            <v>2009</v>
          </cell>
          <cell r="O13">
            <v>2010</v>
          </cell>
          <cell r="P13">
            <v>2011</v>
          </cell>
          <cell r="Q13">
            <v>2012</v>
          </cell>
          <cell r="R13">
            <v>2013</v>
          </cell>
          <cell r="S13">
            <v>2014</v>
          </cell>
          <cell r="T13">
            <v>2015</v>
          </cell>
          <cell r="U13">
            <v>2016</v>
          </cell>
        </row>
        <row r="15">
          <cell r="A15" t="str">
            <v xml:space="preserve">    Annual Rainfall (millimeters)</v>
          </cell>
          <cell r="F15">
            <v>1950.5</v>
          </cell>
          <cell r="G15">
            <v>2056.3000000000002</v>
          </cell>
          <cell r="H15">
            <v>2136.8000000000002</v>
          </cell>
          <cell r="I15">
            <v>2049.1999999999998</v>
          </cell>
          <cell r="J15">
            <v>1659.2</v>
          </cell>
          <cell r="K15">
            <v>2711.2</v>
          </cell>
          <cell r="L15">
            <v>1792</v>
          </cell>
          <cell r="M15">
            <v>2001.8</v>
          </cell>
          <cell r="N15">
            <v>2202</v>
          </cell>
          <cell r="O15">
            <v>2017.8999999999999</v>
          </cell>
          <cell r="P15">
            <v>1333.3</v>
          </cell>
          <cell r="Q15">
            <v>1664.1</v>
          </cell>
          <cell r="R15">
            <v>2081.8000000000002</v>
          </cell>
          <cell r="S15">
            <v>1996</v>
          </cell>
          <cell r="T15">
            <v>2173.6</v>
          </cell>
          <cell r="U15">
            <v>2204.6999999999998</v>
          </cell>
        </row>
        <row r="16">
          <cell r="A16" t="str">
            <v xml:space="preserve">    Total duration of sunshine (hours)</v>
          </cell>
          <cell r="F16">
            <v>2857.6</v>
          </cell>
          <cell r="G16">
            <v>2819</v>
          </cell>
          <cell r="H16">
            <v>2826.4</v>
          </cell>
          <cell r="I16">
            <v>2740</v>
          </cell>
          <cell r="J16">
            <v>2963.1</v>
          </cell>
          <cell r="K16">
            <v>2629</v>
          </cell>
          <cell r="L16">
            <v>2874.5</v>
          </cell>
          <cell r="M16">
            <v>2821.7</v>
          </cell>
          <cell r="N16">
            <v>2896.6</v>
          </cell>
          <cell r="O16">
            <v>2764.6000000000004</v>
          </cell>
          <cell r="P16">
            <v>2934.6000000000004</v>
          </cell>
          <cell r="Q16">
            <v>2796.8</v>
          </cell>
          <cell r="R16">
            <v>2796.3</v>
          </cell>
          <cell r="S16">
            <v>2812</v>
          </cell>
          <cell r="T16">
            <v>2926.3</v>
          </cell>
          <cell r="U16">
            <v>2763.8999999999996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K44"/>
  <sheetViews>
    <sheetView tabSelected="1" zoomScaleNormal="100" workbookViewId="0">
      <selection activeCell="R45" sqref="R45"/>
    </sheetView>
  </sheetViews>
  <sheetFormatPr defaultColWidth="8.85546875" defaultRowHeight="15" x14ac:dyDescent="0.25"/>
  <cols>
    <col min="1" max="1" width="18.140625" style="37" customWidth="1"/>
    <col min="2" max="14" width="8.85546875" style="37"/>
    <col min="15" max="15" width="19.5703125" style="37" customWidth="1"/>
    <col min="16" max="16384" width="8.85546875" style="37"/>
  </cols>
  <sheetData>
    <row r="1" spans="1:37" s="1" customFormat="1" ht="18" x14ac:dyDescent="0.25">
      <c r="A1" s="41" t="s">
        <v>46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</row>
    <row r="2" spans="1:37" s="12" customFormat="1" ht="15.75" x14ac:dyDescent="0.25">
      <c r="A2" s="42" t="s">
        <v>47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</row>
    <row r="3" spans="1:37" s="12" customFormat="1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37" s="1" customFormat="1" ht="15.75" customHeight="1" x14ac:dyDescent="0.25">
      <c r="A4" s="43" t="s">
        <v>0</v>
      </c>
      <c r="B4" s="14" t="s">
        <v>35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3" t="s">
        <v>9</v>
      </c>
      <c r="L4" s="2" t="s">
        <v>10</v>
      </c>
      <c r="M4" s="2" t="s">
        <v>11</v>
      </c>
      <c r="N4" s="2" t="s">
        <v>12</v>
      </c>
      <c r="O4" s="45" t="s">
        <v>13</v>
      </c>
    </row>
    <row r="5" spans="1:37" s="6" customFormat="1" ht="24.75" customHeight="1" x14ac:dyDescent="0.25">
      <c r="A5" s="44"/>
      <c r="B5" s="15" t="s">
        <v>36</v>
      </c>
      <c r="C5" s="16" t="s">
        <v>14</v>
      </c>
      <c r="D5" s="16" t="s">
        <v>15</v>
      </c>
      <c r="E5" s="16" t="s">
        <v>16</v>
      </c>
      <c r="F5" s="16" t="s">
        <v>17</v>
      </c>
      <c r="G5" s="16" t="s">
        <v>18</v>
      </c>
      <c r="H5" s="16" t="s">
        <v>19</v>
      </c>
      <c r="I5" s="16" t="s">
        <v>20</v>
      </c>
      <c r="J5" s="16" t="s">
        <v>21</v>
      </c>
      <c r="K5" s="16" t="s">
        <v>22</v>
      </c>
      <c r="L5" s="16" t="s">
        <v>23</v>
      </c>
      <c r="M5" s="16" t="s">
        <v>24</v>
      </c>
      <c r="N5" s="16" t="s">
        <v>25</v>
      </c>
      <c r="O5" s="46"/>
    </row>
    <row r="6" spans="1:37" s="6" customFormat="1" ht="15.75" x14ac:dyDescent="0.25">
      <c r="A6" s="4"/>
      <c r="B6" s="17"/>
      <c r="C6" s="5"/>
      <c r="D6" s="5"/>
      <c r="E6" s="5"/>
      <c r="F6" s="5"/>
      <c r="G6" s="5"/>
      <c r="H6" s="5"/>
      <c r="I6" s="5"/>
      <c r="J6" s="18"/>
      <c r="K6" s="18"/>
      <c r="L6" s="18"/>
      <c r="M6" s="18"/>
      <c r="N6" s="18"/>
      <c r="O6" s="40"/>
    </row>
    <row r="7" spans="1:37" s="6" customFormat="1" ht="19.5" customHeight="1" x14ac:dyDescent="0.25">
      <c r="A7" s="8" t="s">
        <v>37</v>
      </c>
      <c r="B7" s="19"/>
      <c r="C7" s="19"/>
      <c r="D7" s="19"/>
      <c r="E7" s="19"/>
      <c r="F7" s="19"/>
      <c r="G7" s="19"/>
      <c r="H7" s="19"/>
      <c r="I7" s="19"/>
      <c r="J7" s="47" t="s">
        <v>38</v>
      </c>
      <c r="K7" s="47"/>
      <c r="L7" s="47"/>
      <c r="M7" s="47"/>
      <c r="N7" s="47"/>
      <c r="O7" s="47"/>
    </row>
    <row r="8" spans="1:37" s="1" customFormat="1" ht="22.9" customHeight="1" x14ac:dyDescent="0.25">
      <c r="A8" s="7" t="s">
        <v>26</v>
      </c>
      <c r="B8" s="21">
        <f>AVERAGE(C8:N8)</f>
        <v>31.156012235817574</v>
      </c>
      <c r="C8" s="35">
        <v>31.206451612903226</v>
      </c>
      <c r="D8" s="35">
        <v>31.648275862068964</v>
      </c>
      <c r="E8" s="35">
        <v>32.300000000000004</v>
      </c>
      <c r="F8" s="35">
        <v>32.650000000000006</v>
      </c>
      <c r="G8" s="35">
        <v>31.835483870967742</v>
      </c>
      <c r="H8" s="35">
        <v>31.65333333333334</v>
      </c>
      <c r="I8" s="35">
        <v>30.548387096774196</v>
      </c>
      <c r="J8" s="35">
        <v>30.63225806451613</v>
      </c>
      <c r="K8" s="35">
        <v>30.316666666666666</v>
      </c>
      <c r="L8" s="35">
        <v>30.267741935483873</v>
      </c>
      <c r="M8" s="35">
        <v>30.419999999999995</v>
      </c>
      <c r="N8" s="35">
        <v>30.393548387096775</v>
      </c>
      <c r="O8" s="20" t="s">
        <v>27</v>
      </c>
    </row>
    <row r="9" spans="1:37" s="1" customFormat="1" ht="22.9" customHeight="1" x14ac:dyDescent="0.25">
      <c r="A9" s="7" t="s">
        <v>29</v>
      </c>
      <c r="B9" s="21">
        <f>AVERAGE(C9:N9)</f>
        <v>31.925514151526386</v>
      </c>
      <c r="C9" s="35">
        <v>31.896774193548389</v>
      </c>
      <c r="D9" s="35">
        <v>32.068965517241381</v>
      </c>
      <c r="E9" s="35">
        <v>33.135483870967747</v>
      </c>
      <c r="F9" s="35">
        <v>33.859999999999992</v>
      </c>
      <c r="G9" s="35">
        <v>32.693548387096776</v>
      </c>
      <c r="H9" s="35">
        <v>31.966666666666661</v>
      </c>
      <c r="I9" s="35">
        <v>31.393548387096779</v>
      </c>
      <c r="J9" s="35">
        <v>31.000000000000004</v>
      </c>
      <c r="K9" s="35">
        <v>30.926666666666666</v>
      </c>
      <c r="L9" s="35">
        <v>31.548387096774199</v>
      </c>
      <c r="M9" s="35">
        <v>31.400000000000002</v>
      </c>
      <c r="N9" s="35">
        <v>31.216129032258067</v>
      </c>
      <c r="O9" s="20" t="s">
        <v>30</v>
      </c>
    </row>
    <row r="10" spans="1:37" s="1" customFormat="1" ht="22.9" customHeight="1" x14ac:dyDescent="0.25">
      <c r="A10" s="7" t="s">
        <v>31</v>
      </c>
      <c r="B10" s="21">
        <f>AVERAGE(C10:N10)</f>
        <v>31.615258002719074</v>
      </c>
      <c r="C10" s="35">
        <v>31.158064516129038</v>
      </c>
      <c r="D10" s="35">
        <v>31.389655172413789</v>
      </c>
      <c r="E10" s="35">
        <v>32.570967741935476</v>
      </c>
      <c r="F10" s="35">
        <v>33.18666666666666</v>
      </c>
      <c r="G10" s="35">
        <v>32.07096774193549</v>
      </c>
      <c r="H10" s="35">
        <v>32.330000000000005</v>
      </c>
      <c r="I10" s="35">
        <v>31.493548387096773</v>
      </c>
      <c r="J10" s="35">
        <v>31.141935483870967</v>
      </c>
      <c r="K10" s="35">
        <v>31.680000000000007</v>
      </c>
      <c r="L10" s="35">
        <v>30.964516129032262</v>
      </c>
      <c r="M10" s="35">
        <v>30.606451612903221</v>
      </c>
      <c r="N10" s="35">
        <v>30.790322580645164</v>
      </c>
      <c r="O10" s="20" t="s">
        <v>39</v>
      </c>
    </row>
    <row r="11" spans="1:37" s="1" customFormat="1" ht="22.9" customHeight="1" x14ac:dyDescent="0.25">
      <c r="A11" s="7" t="s">
        <v>32</v>
      </c>
      <c r="B11" s="21">
        <f>AVERAGE(C11:N11)</f>
        <v>31.074299530342358</v>
      </c>
      <c r="C11" s="35">
        <v>31.229032258064514</v>
      </c>
      <c r="D11" s="35">
        <v>31.441379310344825</v>
      </c>
      <c r="E11" s="35">
        <v>31.932258064516137</v>
      </c>
      <c r="F11" s="35">
        <v>32.156666666666673</v>
      </c>
      <c r="G11" s="35">
        <v>31.729032258064514</v>
      </c>
      <c r="H11" s="35">
        <v>31.68333333333333</v>
      </c>
      <c r="I11" s="35">
        <v>30.870967741935477</v>
      </c>
      <c r="J11" s="35">
        <v>30.37096774193548</v>
      </c>
      <c r="K11" s="35">
        <v>30.759999999999998</v>
      </c>
      <c r="L11" s="35">
        <v>30.548387096774196</v>
      </c>
      <c r="M11" s="35">
        <v>30.15666666666667</v>
      </c>
      <c r="N11" s="35">
        <v>30.012903225806451</v>
      </c>
      <c r="O11" s="20" t="s">
        <v>40</v>
      </c>
    </row>
    <row r="12" spans="1:37" s="1" customFormat="1" ht="22.9" customHeight="1" x14ac:dyDescent="0.25">
      <c r="A12" s="7" t="s">
        <v>28</v>
      </c>
      <c r="B12" s="21">
        <f>AVERAGE(C12:N12)</f>
        <v>31.326752564577927</v>
      </c>
      <c r="C12" s="38">
        <v>31.345161290322583</v>
      </c>
      <c r="D12" s="35">
        <v>31.879310344827584</v>
      </c>
      <c r="E12" s="35">
        <v>32.170967741935485</v>
      </c>
      <c r="F12" s="35">
        <v>32.126666666666672</v>
      </c>
      <c r="G12" s="35">
        <v>31.932258064516127</v>
      </c>
      <c r="H12" s="35">
        <v>31.503333333333337</v>
      </c>
      <c r="I12" s="35">
        <v>30.977419354838712</v>
      </c>
      <c r="J12" s="35">
        <v>31.503333333333337</v>
      </c>
      <c r="K12" s="35">
        <v>30.633333333333333</v>
      </c>
      <c r="L12" s="35">
        <v>30.883870967741931</v>
      </c>
      <c r="M12" s="35">
        <v>30.52666666666666</v>
      </c>
      <c r="N12" s="35">
        <v>30.438709677419357</v>
      </c>
      <c r="O12" s="20" t="s">
        <v>41</v>
      </c>
    </row>
    <row r="13" spans="1:37" s="1" customFormat="1" ht="19.5" customHeight="1" x14ac:dyDescent="0.25">
      <c r="A13" s="8" t="s">
        <v>42</v>
      </c>
      <c r="B13" s="21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3" t="s">
        <v>43</v>
      </c>
    </row>
    <row r="14" spans="1:37" s="1" customFormat="1" ht="22.9" customHeight="1" x14ac:dyDescent="0.25">
      <c r="A14" s="7" t="s">
        <v>26</v>
      </c>
      <c r="B14" s="21">
        <f>AVERAGE(C14:N14)</f>
        <v>26.577406686441723</v>
      </c>
      <c r="C14" s="35">
        <v>26.893548387096779</v>
      </c>
      <c r="D14" s="35">
        <v>27.07931034482759</v>
      </c>
      <c r="E14" s="35">
        <v>28.0741935483871</v>
      </c>
      <c r="F14" s="35">
        <v>28.156666666666663</v>
      </c>
      <c r="G14" s="35">
        <v>27.341935483870962</v>
      </c>
      <c r="H14" s="35">
        <v>26.916666666666671</v>
      </c>
      <c r="I14" s="35">
        <v>25.877419354838711</v>
      </c>
      <c r="J14" s="35">
        <v>25.883870967741938</v>
      </c>
      <c r="K14" s="35">
        <v>26.263333333333332</v>
      </c>
      <c r="L14" s="35">
        <v>25.209677419354843</v>
      </c>
      <c r="M14" s="35">
        <v>25.6</v>
      </c>
      <c r="N14" s="35">
        <v>25.632258064516122</v>
      </c>
      <c r="O14" s="20" t="s">
        <v>27</v>
      </c>
    </row>
    <row r="15" spans="1:37" s="1" customFormat="1" ht="22.9" customHeight="1" x14ac:dyDescent="0.25">
      <c r="A15" s="7" t="s">
        <v>29</v>
      </c>
      <c r="B15" s="21">
        <f>AVERAGE(C15:N15)</f>
        <v>25.770791620318874</v>
      </c>
      <c r="C15" s="35">
        <v>25.887096774193548</v>
      </c>
      <c r="D15" s="35">
        <v>25.41724137931034</v>
      </c>
      <c r="E15" s="35">
        <v>26.645161290322584</v>
      </c>
      <c r="F15" s="35">
        <v>27.889999999999997</v>
      </c>
      <c r="G15" s="35">
        <v>25.677419354838708</v>
      </c>
      <c r="H15" s="35">
        <v>26.339999999999996</v>
      </c>
      <c r="I15" s="35">
        <v>26.022580645161295</v>
      </c>
      <c r="J15" s="35">
        <v>25.332258064516129</v>
      </c>
      <c r="K15" s="35">
        <v>25.666666666666668</v>
      </c>
      <c r="L15" s="35">
        <v>25.4</v>
      </c>
      <c r="M15" s="35">
        <v>24.303333333333342</v>
      </c>
      <c r="N15" s="35">
        <v>24.667741935483871</v>
      </c>
      <c r="O15" s="20" t="s">
        <v>30</v>
      </c>
    </row>
    <row r="16" spans="1:37" s="1" customFormat="1" ht="22.9" customHeight="1" x14ac:dyDescent="0.2">
      <c r="A16" s="7" t="s">
        <v>31</v>
      </c>
      <c r="B16" s="21">
        <f>AVERAGE(C16:N16)</f>
        <v>26.149624891855151</v>
      </c>
      <c r="C16" s="35">
        <v>26.470967741935489</v>
      </c>
      <c r="D16" s="35">
        <v>26.006896551724132</v>
      </c>
      <c r="E16" s="35">
        <v>26.841935483870966</v>
      </c>
      <c r="F16" s="35">
        <v>27.083333333333336</v>
      </c>
      <c r="G16" s="35">
        <v>26.63225806451613</v>
      </c>
      <c r="H16" s="35">
        <v>27.319999999999997</v>
      </c>
      <c r="I16" s="35">
        <v>25.43548387096774</v>
      </c>
      <c r="J16" s="35">
        <v>25.932258064516127</v>
      </c>
      <c r="K16" s="35">
        <v>26.356666666666669</v>
      </c>
      <c r="L16" s="35">
        <v>25.041935483870965</v>
      </c>
      <c r="M16" s="35">
        <v>25.186666666666667</v>
      </c>
      <c r="N16" s="35">
        <v>25.487096774193546</v>
      </c>
      <c r="O16" s="20" t="s">
        <v>39</v>
      </c>
      <c r="AJ16" s="33" t="s">
        <v>44</v>
      </c>
      <c r="AK16" s="33" t="s">
        <v>45</v>
      </c>
    </row>
    <row r="17" spans="1:37" s="1" customFormat="1" ht="22.9" customHeight="1" x14ac:dyDescent="0.25">
      <c r="A17" s="7" t="s">
        <v>32</v>
      </c>
      <c r="B17" s="21">
        <f>AVERAGE(C17:N17)</f>
        <v>25.564760536398467</v>
      </c>
      <c r="C17" s="35">
        <v>26.141935483870967</v>
      </c>
      <c r="D17" s="35">
        <v>26.213793103448282</v>
      </c>
      <c r="E17" s="35">
        <v>25.945161290322581</v>
      </c>
      <c r="F17" s="35">
        <v>26.280000000000005</v>
      </c>
      <c r="G17" s="35">
        <v>26.532258064516125</v>
      </c>
      <c r="H17" s="35">
        <v>26.103333333333335</v>
      </c>
      <c r="I17" s="35">
        <v>24.835483870967739</v>
      </c>
      <c r="J17" s="35">
        <v>24.609677419354842</v>
      </c>
      <c r="K17" s="35">
        <v>25.926666666666662</v>
      </c>
      <c r="L17" s="35">
        <v>24.99354838709678</v>
      </c>
      <c r="M17" s="35">
        <v>24.553333333333331</v>
      </c>
      <c r="N17" s="35">
        <v>24.641935483870974</v>
      </c>
      <c r="O17" s="20" t="s">
        <v>40</v>
      </c>
      <c r="AH17" s="11" t="s">
        <v>26</v>
      </c>
      <c r="AJ17" s="21">
        <f>B8</f>
        <v>31.156012235817574</v>
      </c>
      <c r="AK17" s="21">
        <f>B14</f>
        <v>26.577406686441723</v>
      </c>
    </row>
    <row r="18" spans="1:37" s="1" customFormat="1" ht="22.9" customHeight="1" x14ac:dyDescent="0.25">
      <c r="A18" s="9" t="s">
        <v>28</v>
      </c>
      <c r="B18" s="34">
        <f>AVERAGE(C18:N18)</f>
        <v>25.922918057100485</v>
      </c>
      <c r="C18" s="36">
        <v>26.232258064516131</v>
      </c>
      <c r="D18" s="39">
        <v>26.682758620689651</v>
      </c>
      <c r="E18" s="36">
        <v>26.332258064516132</v>
      </c>
      <c r="F18" s="36">
        <v>26.696666666666662</v>
      </c>
      <c r="G18" s="36">
        <v>26.403225806451605</v>
      </c>
      <c r="H18" s="36">
        <v>26.223333333333326</v>
      </c>
      <c r="I18" s="36">
        <v>25.241935483870972</v>
      </c>
      <c r="J18" s="36">
        <v>26.223333333333326</v>
      </c>
      <c r="K18" s="36">
        <v>25.489999999999995</v>
      </c>
      <c r="L18" s="36">
        <v>25.751612903225801</v>
      </c>
      <c r="M18" s="36">
        <v>24.926666666666662</v>
      </c>
      <c r="N18" s="36">
        <v>24.870967741935484</v>
      </c>
      <c r="O18" s="24" t="s">
        <v>41</v>
      </c>
      <c r="AH18" s="11" t="s">
        <v>29</v>
      </c>
      <c r="AJ18" s="21">
        <f>B9</f>
        <v>31.925514151526386</v>
      </c>
      <c r="AK18" s="21">
        <f>B15</f>
        <v>25.770791620318874</v>
      </c>
    </row>
    <row r="19" spans="1:37" s="1" customFormat="1" ht="14.25" customHeight="1" x14ac:dyDescent="0.25">
      <c r="A19" s="10" t="s">
        <v>33</v>
      </c>
      <c r="B19" s="25"/>
      <c r="O19" s="26" t="s">
        <v>34</v>
      </c>
      <c r="AH19" s="11" t="s">
        <v>31</v>
      </c>
      <c r="AJ19" s="21">
        <f>B10</f>
        <v>31.615258002719074</v>
      </c>
      <c r="AK19" s="21">
        <f>B16</f>
        <v>26.149624891855151</v>
      </c>
    </row>
    <row r="20" spans="1:37" s="1" customFormat="1" ht="15.75" x14ac:dyDescent="0.25">
      <c r="A20" s="10"/>
      <c r="B20" s="25"/>
      <c r="O20" s="26"/>
      <c r="AH20" s="11" t="s">
        <v>32</v>
      </c>
      <c r="AJ20" s="21">
        <f>B11</f>
        <v>31.074299530342358</v>
      </c>
      <c r="AK20" s="21">
        <f>B17</f>
        <v>25.564760536398467</v>
      </c>
    </row>
    <row r="21" spans="1:37" x14ac:dyDescent="0.25">
      <c r="AH21" s="11" t="s">
        <v>28</v>
      </c>
      <c r="AI21" s="1"/>
      <c r="AJ21" s="21">
        <f>B12</f>
        <v>31.326752564577927</v>
      </c>
      <c r="AK21" s="21">
        <f>B18</f>
        <v>25.922918057100485</v>
      </c>
    </row>
    <row r="22" spans="1:37" x14ac:dyDescent="0.25">
      <c r="AH22" s="32"/>
      <c r="AI22" s="1"/>
      <c r="AJ22" s="1"/>
      <c r="AK22" s="1"/>
    </row>
    <row r="24" spans="1:37" s="1" customFormat="1" ht="15.75" x14ac:dyDescent="0.25">
      <c r="A24" s="10"/>
      <c r="B24" s="25"/>
      <c r="O24" s="26"/>
    </row>
    <row r="25" spans="1:37" s="1" customFormat="1" ht="12.75" x14ac:dyDescent="0.25"/>
    <row r="26" spans="1:37" s="1" customFormat="1" ht="12.75" x14ac:dyDescent="0.25">
      <c r="A26" s="27"/>
    </row>
    <row r="27" spans="1:37" s="1" customFormat="1" ht="12.75" x14ac:dyDescent="0.25">
      <c r="A27" s="27"/>
      <c r="B27" s="28"/>
    </row>
    <row r="28" spans="1:37" s="1" customFormat="1" ht="12.75" x14ac:dyDescent="0.25">
      <c r="A28" s="11"/>
      <c r="B28" s="29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</row>
    <row r="29" spans="1:37" s="1" customFormat="1" ht="12.75" x14ac:dyDescent="0.25">
      <c r="A29" s="11"/>
      <c r="B29" s="29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</row>
    <row r="30" spans="1:37" s="1" customFormat="1" ht="12.75" x14ac:dyDescent="0.25">
      <c r="A30" s="11"/>
      <c r="B30" s="28"/>
      <c r="C30" s="31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</row>
    <row r="31" spans="1:37" s="1" customFormat="1" ht="12.75" x14ac:dyDescent="0.25">
      <c r="A31" s="11"/>
      <c r="B31" s="29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</row>
    <row r="32" spans="1:37" s="1" customFormat="1" ht="12.75" x14ac:dyDescent="0.2">
      <c r="A32" s="11"/>
      <c r="B32" s="29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2"/>
    </row>
    <row r="33" spans="1:14" s="1" customFormat="1" ht="12.75" x14ac:dyDescent="0.25">
      <c r="A33" s="11"/>
      <c r="B33" s="29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</row>
    <row r="34" spans="1:14" s="1" customFormat="1" ht="12.75" x14ac:dyDescent="0.25">
      <c r="A34" s="11"/>
    </row>
    <row r="35" spans="1:14" s="1" customFormat="1" ht="12.75" x14ac:dyDescent="0.25">
      <c r="A35" s="11"/>
      <c r="B35" s="28"/>
    </row>
    <row r="36" spans="1:14" s="1" customFormat="1" ht="12.75" x14ac:dyDescent="0.25">
      <c r="A36" s="11"/>
      <c r="B36" s="29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</row>
    <row r="37" spans="1:14" s="1" customFormat="1" ht="12.75" x14ac:dyDescent="0.25">
      <c r="A37" s="11"/>
      <c r="B37" s="29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</row>
    <row r="38" spans="1:14" s="1" customFormat="1" ht="12.75" x14ac:dyDescent="0.25">
      <c r="A38" s="11"/>
      <c r="B38" s="29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</row>
    <row r="39" spans="1:14" s="1" customFormat="1" ht="12.75" x14ac:dyDescent="0.25">
      <c r="A39" s="11"/>
      <c r="B39" s="29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</row>
    <row r="40" spans="1:14" s="1" customFormat="1" ht="12.75" x14ac:dyDescent="0.25">
      <c r="A40" s="11"/>
      <c r="B40" s="29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</row>
    <row r="41" spans="1:14" s="1" customFormat="1" ht="12.75" x14ac:dyDescent="0.25"/>
    <row r="42" spans="1:14" s="1" customFormat="1" ht="12.75" x14ac:dyDescent="0.25"/>
    <row r="43" spans="1:14" s="1" customFormat="1" ht="12.75" x14ac:dyDescent="0.25"/>
    <row r="44" spans="1:14" s="1" customFormat="1" ht="12.75" x14ac:dyDescent="0.25"/>
  </sheetData>
  <protectedRanges>
    <protectedRange sqref="C13:N13 M7:N7 C7:I7 K7" name="Range1_1"/>
    <protectedRange sqref="C8:N12" name="Range1_1_1_1_1"/>
    <protectedRange sqref="C14:N17" name="Range1_1_2_1_1"/>
  </protectedRanges>
  <mergeCells count="5">
    <mergeCell ref="A1:O1"/>
    <mergeCell ref="A2:O2"/>
    <mergeCell ref="A4:A5"/>
    <mergeCell ref="O4:O5"/>
    <mergeCell ref="J7:O7"/>
  </mergeCells>
  <dataValidations count="1">
    <dataValidation type="decimal" errorStyle="warning" allowBlank="1" showErrorMessage="1" errorTitle="Check data type!" error="You may enter only decimals but descriptors as NA (not available) &amp; &quot;-&quot; (dash). Check for exceptionally high or low values. Click 'yes' if you are sure what you have typed is correct." sqref="WVU8:WWF18 C8:N18 JI8:JT18 TE8:TP18 ADA8:ADL18 AMW8:ANH18 AWS8:AXD18 BGO8:BGZ18 BQK8:BQV18 CAG8:CAR18 CKC8:CKN18 CTY8:CUJ18 DDU8:DEF18 DNQ8:DOB18 DXM8:DXX18 EHI8:EHT18 ERE8:ERP18 FBA8:FBL18 FKW8:FLH18 FUS8:FVD18 GEO8:GEZ18 GOK8:GOV18 GYG8:GYR18 HIC8:HIN18 HRY8:HSJ18 IBU8:ICF18 ILQ8:IMB18 IVM8:IVX18 JFI8:JFT18 JPE8:JPP18 JZA8:JZL18 KIW8:KJH18 KSS8:KTD18 LCO8:LCZ18 LMK8:LMV18 LWG8:LWR18 MGC8:MGN18 MPY8:MQJ18 MZU8:NAF18 NJQ8:NKB18 NTM8:NTX18 ODI8:ODT18 ONE8:ONP18 OXA8:OXL18 PGW8:PHH18 PQS8:PRD18 QAO8:QAZ18 QKK8:QKV18 QUG8:QUR18 REC8:REN18 RNY8:ROJ18 RXU8:RYF18 SHQ8:SIB18 SRM8:SRX18 TBI8:TBT18 TLE8:TLP18 TVA8:TVL18 UEW8:UFH18 UOS8:UPD18 UYO8:UYZ18 VIK8:VIV18 VSG8:VSR18 WCC8:WCN18 WLY8:WMJ18">
      <formula1>0</formula1>
      <formula2>1000</formula2>
    </dataValidation>
  </dataValidations>
  <pageMargins left="0.31" right="0.16" top="0.21" bottom="0.24" header="0.17" footer="0.3"/>
  <pageSetup paperSize="9" scale="85" orientation="landscape" r:id="rId1"/>
  <colBreaks count="1" manualBreakCount="1">
    <brk id="1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1.2</vt:lpstr>
      <vt:lpstr>'1.2'!Print_Area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2017-04-09T08:16:32Z</cp:lastPrinted>
  <dcterms:created xsi:type="dcterms:W3CDTF">2014-04-06T04:34:47Z</dcterms:created>
  <dcterms:modified xsi:type="dcterms:W3CDTF">2017-04-09T08:16:59Z</dcterms:modified>
</cp:coreProperties>
</file>