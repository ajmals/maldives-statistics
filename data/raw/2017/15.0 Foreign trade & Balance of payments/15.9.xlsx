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FINAL TABLES\WEB\15.FOREIGN TRADE AND BOP\"/>
    </mc:Choice>
  </mc:AlternateContent>
  <bookViews>
    <workbookView xWindow="0" yWindow="0" windowWidth="24285" windowHeight="8715" tabRatio="858"/>
  </bookViews>
  <sheets>
    <sheet name="15.9" sheetId="33" r:id="rId1"/>
  </sheets>
  <externalReferences>
    <externalReference r:id="rId2"/>
  </externalReferences>
  <definedNames>
    <definedName name="_tot3">#REF!</definedName>
    <definedName name="_tot4">#REF!</definedName>
    <definedName name="_tot5">#REF!</definedName>
    <definedName name="_tot6">#REF!</definedName>
    <definedName name="_tot7">#REF!</definedName>
    <definedName name="a">#REF!</definedName>
    <definedName name="bec">#REF!</definedName>
    <definedName name="ctry">'[1]CTRY monthly'!$B$100:$N$115</definedName>
    <definedName name="moomina">#REF!</definedName>
    <definedName name="_xlnm.Print_Area" localSheetId="0">'15.9'!$A$1:$H$68</definedName>
    <definedName name="Print_Area_MI">#REF!</definedName>
    <definedName name="tot">#REF!</definedName>
    <definedName name="total">#REF!</definedName>
    <definedName name="TOTE8">#REF!</definedName>
    <definedName name="tott3">#REF!</definedName>
  </definedNames>
  <calcPr calcId="162913"/>
  <customWorkbookViews>
    <customWorkbookView name="777 - Personal View" guid="{AA9F0C9E-78D8-4405-A52F-8AFEDA4EE48D}" mergeInterval="0" personalView="1" maximized="1" windowWidth="1276" windowHeight="852" activeSheetId="16"/>
    <customWorkbookView name="hawwa zahira - Personal View" guid="{809AAACF-1F9F-4AA0-A069-E0E3B47FA09A}" mergeInterval="0" personalView="1" maximized="1" windowWidth="1148" windowHeight="692" tabRatio="814" activeSheetId="3"/>
    <customWorkbookView name="iqbal - Personal View" guid="{55954F5B-8823-487D-89BD-5CAA49E9A156}" mergeInterval="0" personalView="1" maximized="1" windowWidth="1276" windowHeight="874" activeSheetId="12"/>
    <customWorkbookView name="moomina - Personal View" guid="{606E8A6D-F254-43BE-81C6-5E26D3168B9C}" mergeInterval="0" personalView="1" maximized="1" windowWidth="1020" windowHeight="570" activeSheetId="8"/>
  </customWorkbookViews>
</workbook>
</file>

<file path=xl/calcChain.xml><?xml version="1.0" encoding="utf-8"?>
<calcChain xmlns="http://schemas.openxmlformats.org/spreadsheetml/2006/main">
  <c r="AF21" i="33" l="1"/>
  <c r="AF20" i="33"/>
  <c r="AF5" i="33" l="1"/>
  <c r="AF19" i="33" l="1"/>
  <c r="AF18" i="33" l="1"/>
  <c r="AF17" i="33"/>
  <c r="AF6" i="33"/>
  <c r="AF7" i="33"/>
  <c r="AF8" i="33"/>
  <c r="AF9" i="33"/>
  <c r="AF10" i="33"/>
  <c r="AF11" i="33"/>
  <c r="AF12" i="33"/>
  <c r="AF13" i="33"/>
  <c r="AF14" i="33"/>
  <c r="AF15" i="33"/>
  <c r="AF16" i="33"/>
</calcChain>
</file>

<file path=xl/sharedStrings.xml><?xml version="1.0" encoding="utf-8"?>
<sst xmlns="http://schemas.openxmlformats.org/spreadsheetml/2006/main" count="14" uniqueCount="14">
  <si>
    <t>Source:  Maldives Customs Services</t>
  </si>
  <si>
    <t xml:space="preserve">Tobacco Leaves (Kgs) </t>
  </si>
  <si>
    <t xml:space="preserve">Number of cigars </t>
  </si>
  <si>
    <t>Number of cheroots / Cigarillo</t>
  </si>
  <si>
    <t xml:space="preserve">Number of cigarettes </t>
  </si>
  <si>
    <t>Chewing tobacco by weight (Kgs)</t>
  </si>
  <si>
    <t>Smoking tobacco by weight (Kgs)</t>
  </si>
  <si>
    <t>Pipe tobacco by weight (Kgs)</t>
  </si>
  <si>
    <t>މަޢުލޫމާތު ދެއްވީ: މޯލްޑިވްސް ކަސްޓަމްސް ސާރވިސް</t>
  </si>
  <si>
    <t>Year</t>
  </si>
  <si>
    <t>Note: 2014 revised</t>
  </si>
  <si>
    <t>ނޯޓް: 2014 ގެ މައުލޫމާތު އިސްލާޙުކުރެވިފައި</t>
  </si>
  <si>
    <t>Table 15.9: IMPORTS OF TOBACCO AND TOBACCO PRODUCTS, 2000 - 2016</t>
  </si>
  <si>
    <t>ތާވަލު 15.9: ރާއްޖެއަށް ދުންފަތުގެ ބާވަތްތައް އެތެރެކުރެވުނު މިންވަރު، 2000- 2016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</si>
</sst>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68" formatCode="_(* #,##0_);_(* \(#,##0\);_(* &quot;-&quot;??_);_(@_)"/>
    <numFmt numFmtId="170" formatCode="0.00_)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i/>
      <sz val="16"/>
      <name val="Helv"/>
    </font>
    <font>
      <sz val="10"/>
      <name val="Arial"/>
      <family val="2"/>
    </font>
    <font>
      <sz val="10"/>
      <name val="A_Reethi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0"/>
      <name val="Faruma"/>
    </font>
    <font>
      <b/>
      <sz val="12"/>
      <name val="Faruma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/>
    <xf numFmtId="0" fontId="3" fillId="0" borderId="0"/>
    <xf numFmtId="43" fontId="3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6" fillId="0" borderId="0"/>
    <xf numFmtId="0" fontId="7" fillId="0" borderId="0"/>
    <xf numFmtId="9" fontId="5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6" applyNumberFormat="0" applyFill="0" applyAlignment="0" applyProtection="0"/>
    <xf numFmtId="0" fontId="23" fillId="0" borderId="17" applyNumberFormat="0" applyFill="0" applyAlignment="0" applyProtection="0"/>
    <xf numFmtId="0" fontId="24" fillId="0" borderId="18" applyNumberFormat="0" applyFill="0" applyAlignment="0" applyProtection="0"/>
    <xf numFmtId="0" fontId="24" fillId="0" borderId="0" applyNumberFormat="0" applyFill="0" applyBorder="0" applyAlignment="0" applyProtection="0"/>
    <xf numFmtId="0" fontId="25" fillId="3" borderId="0" applyNumberFormat="0" applyBorder="0" applyAlignment="0" applyProtection="0"/>
    <xf numFmtId="0" fontId="26" fillId="4" borderId="0" applyNumberFormat="0" applyBorder="0" applyAlignment="0" applyProtection="0"/>
    <xf numFmtId="0" fontId="27" fillId="5" borderId="0" applyNumberFormat="0" applyBorder="0" applyAlignment="0" applyProtection="0"/>
    <xf numFmtId="0" fontId="28" fillId="6" borderId="19" applyNumberFormat="0" applyAlignment="0" applyProtection="0"/>
    <xf numFmtId="0" fontId="29" fillId="7" borderId="20" applyNumberFormat="0" applyAlignment="0" applyProtection="0"/>
    <xf numFmtId="0" fontId="30" fillId="7" borderId="19" applyNumberFormat="0" applyAlignment="0" applyProtection="0"/>
    <xf numFmtId="0" fontId="31" fillId="0" borderId="21" applyNumberFormat="0" applyFill="0" applyAlignment="0" applyProtection="0"/>
    <xf numFmtId="0" fontId="32" fillId="8" borderId="22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4" fillId="0" borderId="24" applyNumberFormat="0" applyFill="0" applyAlignment="0" applyProtection="0"/>
    <xf numFmtId="0" fontId="35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35" fillId="13" borderId="0" applyNumberFormat="0" applyBorder="0" applyAlignment="0" applyProtection="0"/>
    <xf numFmtId="0" fontId="35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35" fillId="17" borderId="0" applyNumberFormat="0" applyBorder="0" applyAlignment="0" applyProtection="0"/>
    <xf numFmtId="0" fontId="35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35" fillId="21" borderId="0" applyNumberFormat="0" applyBorder="0" applyAlignment="0" applyProtection="0"/>
    <xf numFmtId="0" fontId="35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35" fillId="25" borderId="0" applyNumberFormat="0" applyBorder="0" applyAlignment="0" applyProtection="0"/>
    <xf numFmtId="0" fontId="35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35" fillId="29" borderId="0" applyNumberFormat="0" applyBorder="0" applyAlignment="0" applyProtection="0"/>
    <xf numFmtId="0" fontId="35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35" fillId="33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9" borderId="23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9" borderId="23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6" fillId="34" borderId="0" applyNumberFormat="0" applyBorder="0" applyAlignment="0" applyProtection="0"/>
  </cellStyleXfs>
  <cellXfs count="72">
    <xf numFmtId="0" fontId="0" fillId="0" borderId="0" xfId="0"/>
    <xf numFmtId="0" fontId="0" fillId="2" borderId="2" xfId="0" applyFill="1" applyBorder="1"/>
    <xf numFmtId="0" fontId="16" fillId="2" borderId="3" xfId="0" applyFont="1" applyFill="1" applyBorder="1" applyAlignment="1">
      <alignment horizontal="center" vertical="center"/>
    </xf>
    <xf numFmtId="168" fontId="16" fillId="2" borderId="3" xfId="2" applyNumberFormat="1" applyFont="1" applyFill="1" applyBorder="1" applyAlignment="1">
      <alignment vertical="center"/>
    </xf>
    <xf numFmtId="43" fontId="16" fillId="2" borderId="3" xfId="2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6" fillId="2" borderId="2" xfId="0" applyFont="1" applyFill="1" applyBorder="1" applyAlignment="1">
      <alignment horizontal="center" vertical="center"/>
    </xf>
    <xf numFmtId="0" fontId="0" fillId="2" borderId="3" xfId="0" applyFill="1" applyBorder="1"/>
    <xf numFmtId="0" fontId="8" fillId="2" borderId="3" xfId="0" applyFont="1" applyFill="1" applyBorder="1"/>
    <xf numFmtId="0" fontId="16" fillId="2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15" fillId="2" borderId="7" xfId="0" applyFont="1" applyFill="1" applyBorder="1" applyAlignment="1">
      <alignment horizontal="center"/>
    </xf>
    <xf numFmtId="0" fontId="15" fillId="2" borderId="8" xfId="0" applyFont="1" applyFill="1" applyBorder="1" applyAlignment="1">
      <alignment horizontal="center" vertical="center" wrapText="1"/>
    </xf>
    <xf numFmtId="43" fontId="17" fillId="2" borderId="3" xfId="2" applyFont="1" applyFill="1" applyBorder="1" applyAlignment="1">
      <alignment vertical="center"/>
    </xf>
    <xf numFmtId="0" fontId="17" fillId="2" borderId="2" xfId="2" applyNumberFormat="1" applyFont="1" applyFill="1" applyBorder="1" applyAlignment="1">
      <alignment vertical="center"/>
    </xf>
    <xf numFmtId="43" fontId="17" fillId="2" borderId="2" xfId="2" applyFont="1" applyFill="1" applyBorder="1" applyAlignment="1">
      <alignment vertical="center"/>
    </xf>
    <xf numFmtId="0" fontId="0" fillId="2" borderId="4" xfId="0" applyFill="1" applyBorder="1" applyAlignment="1"/>
    <xf numFmtId="0" fontId="0" fillId="2" borderId="8" xfId="0" applyFill="1" applyBorder="1" applyAlignment="1"/>
    <xf numFmtId="0" fontId="0" fillId="2" borderId="3" xfId="0" applyFill="1" applyBorder="1" applyAlignment="1"/>
    <xf numFmtId="0" fontId="0" fillId="2" borderId="9" xfId="0" applyFill="1" applyBorder="1"/>
    <xf numFmtId="0" fontId="17" fillId="2" borderId="4" xfId="2" applyNumberFormat="1" applyFont="1" applyFill="1" applyBorder="1" applyAlignment="1">
      <alignment vertical="center"/>
    </xf>
    <xf numFmtId="43" fontId="17" fillId="2" borderId="8" xfId="2" applyFont="1" applyFill="1" applyBorder="1" applyAlignment="1">
      <alignment vertical="center"/>
    </xf>
    <xf numFmtId="168" fontId="16" fillId="2" borderId="8" xfId="2" applyNumberFormat="1" applyFont="1" applyFill="1" applyBorder="1" applyAlignment="1">
      <alignment vertical="center"/>
    </xf>
    <xf numFmtId="0" fontId="17" fillId="2" borderId="3" xfId="2" applyNumberFormat="1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16" fillId="2" borderId="0" xfId="0" applyFont="1" applyFill="1" applyBorder="1" applyAlignment="1">
      <alignment horizontal="center" vertical="center"/>
    </xf>
    <xf numFmtId="168" fontId="16" fillId="2" borderId="0" xfId="2" applyNumberFormat="1" applyFont="1" applyFill="1" applyBorder="1" applyAlignment="1">
      <alignment vertical="center"/>
    </xf>
    <xf numFmtId="0" fontId="17" fillId="2" borderId="0" xfId="2" applyNumberFormat="1" applyFont="1" applyFill="1" applyBorder="1" applyAlignment="1">
      <alignment vertical="center"/>
    </xf>
    <xf numFmtId="43" fontId="17" fillId="2" borderId="0" xfId="2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2" fontId="0" fillId="2" borderId="2" xfId="0" applyNumberFormat="1" applyFill="1" applyBorder="1"/>
    <xf numFmtId="4" fontId="19" fillId="2" borderId="3" xfId="0" applyNumberFormat="1" applyFont="1" applyFill="1" applyBorder="1" applyAlignment="1">
      <alignment horizontal="left" vertical="center"/>
    </xf>
    <xf numFmtId="0" fontId="12" fillId="2" borderId="3" xfId="0" applyFont="1" applyFill="1" applyBorder="1"/>
    <xf numFmtId="0" fontId="16" fillId="2" borderId="12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 wrapText="1"/>
    </xf>
    <xf numFmtId="0" fontId="17" fillId="2" borderId="11" xfId="2" applyNumberFormat="1" applyFont="1" applyFill="1" applyBorder="1" applyAlignment="1">
      <alignment vertical="center"/>
    </xf>
    <xf numFmtId="1" fontId="16" fillId="2" borderId="0" xfId="0" applyNumberFormat="1" applyFont="1" applyFill="1" applyBorder="1"/>
    <xf numFmtId="0" fontId="15" fillId="2" borderId="15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right" vertical="center" wrapText="1"/>
    </xf>
    <xf numFmtId="0" fontId="15" fillId="2" borderId="14" xfId="0" applyFont="1" applyFill="1" applyBorder="1" applyAlignment="1">
      <alignment horizontal="right" vertical="center" wrapText="1"/>
    </xf>
    <xf numFmtId="3" fontId="0" fillId="2" borderId="7" xfId="0" applyNumberFormat="1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17" fillId="2" borderId="8" xfId="2" applyNumberFormat="1" applyFont="1" applyFill="1" applyBorder="1" applyAlignment="1">
      <alignment vertical="center"/>
    </xf>
    <xf numFmtId="43" fontId="16" fillId="2" borderId="8" xfId="2" applyFont="1" applyFill="1" applyBorder="1" applyAlignment="1">
      <alignment vertical="center"/>
    </xf>
    <xf numFmtId="3" fontId="0" fillId="2" borderId="0" xfId="0" applyNumberFormat="1" applyFill="1" applyBorder="1" applyAlignment="1">
      <alignment vertical="center"/>
    </xf>
    <xf numFmtId="43" fontId="16" fillId="2" borderId="0" xfId="2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43" fontId="0" fillId="2" borderId="3" xfId="2" applyFont="1" applyFill="1" applyBorder="1"/>
    <xf numFmtId="3" fontId="16" fillId="2" borderId="3" xfId="0" applyNumberFormat="1" applyFont="1" applyFill="1" applyBorder="1" applyAlignment="1">
      <alignment horizontal="right" vertical="center"/>
    </xf>
    <xf numFmtId="3" fontId="16" fillId="2" borderId="3" xfId="2" applyNumberFormat="1" applyFont="1" applyFill="1" applyBorder="1" applyAlignment="1">
      <alignment horizontal="right" vertical="center"/>
    </xf>
    <xf numFmtId="3" fontId="16" fillId="2" borderId="2" xfId="2" applyNumberFormat="1" applyFont="1" applyFill="1" applyBorder="1" applyAlignment="1">
      <alignment horizontal="right" vertical="center"/>
    </xf>
    <xf numFmtId="3" fontId="16" fillId="2" borderId="4" xfId="2" applyNumberFormat="1" applyFont="1" applyFill="1" applyBorder="1" applyAlignment="1">
      <alignment horizontal="right" vertical="center"/>
    </xf>
    <xf numFmtId="3" fontId="16" fillId="2" borderId="0" xfId="2" applyNumberFormat="1" applyFont="1" applyFill="1" applyBorder="1" applyAlignment="1">
      <alignment horizontal="right" vertical="center"/>
    </xf>
    <xf numFmtId="3" fontId="16" fillId="2" borderId="8" xfId="2" applyNumberFormat="1" applyFont="1" applyFill="1" applyBorder="1" applyAlignment="1">
      <alignment horizontal="right" vertical="center"/>
    </xf>
    <xf numFmtId="3" fontId="16" fillId="2" borderId="6" xfId="2" applyNumberFormat="1" applyFont="1" applyFill="1" applyBorder="1" applyAlignment="1">
      <alignment horizontal="right" vertical="center" indent="2"/>
    </xf>
    <xf numFmtId="3" fontId="16" fillId="2" borderId="2" xfId="2" applyNumberFormat="1" applyFont="1" applyFill="1" applyBorder="1" applyAlignment="1">
      <alignment horizontal="right" vertical="center" indent="2"/>
    </xf>
    <xf numFmtId="3" fontId="16" fillId="2" borderId="4" xfId="2" applyNumberFormat="1" applyFont="1" applyFill="1" applyBorder="1" applyAlignment="1">
      <alignment horizontal="right" vertical="center" indent="2"/>
    </xf>
    <xf numFmtId="3" fontId="16" fillId="2" borderId="0" xfId="2" applyNumberFormat="1" applyFont="1" applyFill="1" applyBorder="1" applyAlignment="1">
      <alignment horizontal="right" vertical="center" indent="2"/>
    </xf>
    <xf numFmtId="3" fontId="16" fillId="2" borderId="8" xfId="2" applyNumberFormat="1" applyFont="1" applyFill="1" applyBorder="1" applyAlignment="1">
      <alignment horizontal="right" vertical="center" indent="2"/>
    </xf>
    <xf numFmtId="3" fontId="0" fillId="2" borderId="12" xfId="0" applyNumberFormat="1" applyFill="1" applyBorder="1" applyAlignment="1">
      <alignment vertical="center"/>
    </xf>
    <xf numFmtId="0" fontId="18" fillId="2" borderId="3" xfId="0" applyFont="1" applyFill="1" applyBorder="1"/>
    <xf numFmtId="0" fontId="15" fillId="2" borderId="4" xfId="0" applyFont="1" applyFill="1" applyBorder="1" applyAlignment="1" applyProtection="1">
      <alignment horizontal="center" vertical="center"/>
    </xf>
    <xf numFmtId="3" fontId="16" fillId="2" borderId="1" xfId="2" applyNumberFormat="1" applyFont="1" applyFill="1" applyBorder="1" applyAlignment="1">
      <alignment horizontal="right" vertical="center"/>
    </xf>
    <xf numFmtId="3" fontId="16" fillId="2" borderId="1" xfId="2" applyNumberFormat="1" applyFont="1" applyFill="1" applyBorder="1" applyAlignment="1">
      <alignment horizontal="right" vertical="center" indent="2"/>
    </xf>
    <xf numFmtId="0" fontId="15" fillId="2" borderId="4" xfId="0" applyFont="1" applyFill="1" applyBorder="1" applyAlignment="1" applyProtection="1">
      <alignment horizontal="center" vertical="center"/>
    </xf>
    <xf numFmtId="0" fontId="15" fillId="2" borderId="4" xfId="0" applyFont="1" applyFill="1" applyBorder="1" applyAlignment="1" applyProtection="1">
      <alignment horizontal="center" vertical="center"/>
    </xf>
    <xf numFmtId="0" fontId="20" fillId="2" borderId="6" xfId="0" applyFont="1" applyFill="1" applyBorder="1" applyAlignment="1">
      <alignment horizontal="center"/>
    </xf>
    <xf numFmtId="0" fontId="20" fillId="2" borderId="10" xfId="0" applyFont="1" applyFill="1" applyBorder="1" applyAlignment="1">
      <alignment horizontal="center"/>
    </xf>
    <xf numFmtId="0" fontId="20" fillId="2" borderId="7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</cellXfs>
  <cellStyles count="69">
    <cellStyle name="1" xfId="1"/>
    <cellStyle name="20% - Accent1" xfId="25" builtinId="30" customBuiltin="1"/>
    <cellStyle name="20% - Accent1 2" xfId="56"/>
    <cellStyle name="20% - Accent2" xfId="29" builtinId="34" customBuiltin="1"/>
    <cellStyle name="20% - Accent2 2" xfId="58"/>
    <cellStyle name="20% - Accent3" xfId="33" builtinId="38" customBuiltin="1"/>
    <cellStyle name="20% - Accent3 2" xfId="60"/>
    <cellStyle name="20% - Accent4" xfId="37" builtinId="42" customBuiltin="1"/>
    <cellStyle name="20% - Accent4 2" xfId="62"/>
    <cellStyle name="20% - Accent5" xfId="41" builtinId="46" customBuiltin="1"/>
    <cellStyle name="20% - Accent5 2" xfId="64"/>
    <cellStyle name="20% - Accent6" xfId="45" builtinId="50" customBuiltin="1"/>
    <cellStyle name="20% - Accent6 2" xfId="66"/>
    <cellStyle name="40% - Accent1" xfId="26" builtinId="31" customBuiltin="1"/>
    <cellStyle name="40% - Accent1 2" xfId="57"/>
    <cellStyle name="40% - Accent2" xfId="30" builtinId="35" customBuiltin="1"/>
    <cellStyle name="40% - Accent2 2" xfId="59"/>
    <cellStyle name="40% - Accent3" xfId="34" builtinId="39" customBuiltin="1"/>
    <cellStyle name="40% - Accent3 2" xfId="61"/>
    <cellStyle name="40% - Accent4" xfId="38" builtinId="43" customBuiltin="1"/>
    <cellStyle name="40% - Accent4 2" xfId="63"/>
    <cellStyle name="40% - Accent5" xfId="42" builtinId="47" customBuiltin="1"/>
    <cellStyle name="40% - Accent5 2" xfId="65"/>
    <cellStyle name="40% - Accent6" xfId="46" builtinId="51" customBuiltin="1"/>
    <cellStyle name="40% - Accent6 2" xfId="67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1 - 20%" xfId="68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Comma" xfId="2" builtinId="3"/>
    <cellStyle name="Comma 2" xfId="3"/>
    <cellStyle name="Comma 3" xfId="4"/>
    <cellStyle name="Comma 4" xfId="49"/>
    <cellStyle name="Comma 5" xfId="52"/>
    <cellStyle name="Explanatory Text" xfId="22" builtinId="53" customBuiltin="1"/>
    <cellStyle name="Good" xfId="13" builtinId="26" customBuiltin="1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- Style1" xfId="5"/>
    <cellStyle name="Normal 2" xfId="6"/>
    <cellStyle name="Normal 3" xfId="48"/>
    <cellStyle name="Normal 4" xfId="51"/>
    <cellStyle name="Normal 5" xfId="53"/>
    <cellStyle name="Normal 6" xfId="55"/>
    <cellStyle name="Note 2" xfId="50"/>
    <cellStyle name="Note 3" xfId="54"/>
    <cellStyle name="Output" xfId="17" builtinId="21" customBuiltin="1"/>
    <cellStyle name="Percent 2" xfId="7"/>
    <cellStyle name="Title" xfId="8" builtinId="15" customBuiltin="1"/>
    <cellStyle name="Total" xfId="23" builtinId="25" customBuiltin="1"/>
    <cellStyle name="Warning Text" xfId="21" builtinId="11" customBuiltin="1"/>
  </cellStyles>
  <dxfs count="0"/>
  <tableStyles count="0" defaultTableStyle="TableStyleMedium9" defaultPivotStyle="PivotStyleLight16"/>
  <colors>
    <mruColors>
      <color rgb="FFF9B277"/>
      <color rgb="FF2A1500"/>
      <color rgb="FFABEBE9"/>
      <color rgb="FF77DFDD"/>
      <color rgb="FF2EC0BD"/>
      <color rgb="FF1C706E"/>
      <color rgb="FF041010"/>
      <color rgb="FF84E2E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Figure 15.5: Annual Imports of Tobacco,  2000 - 2016</a:t>
            </a:r>
          </a:p>
        </c:rich>
      </c:tx>
      <c:layout>
        <c:manualLayout>
          <c:xMode val="edge"/>
          <c:yMode val="edge"/>
          <c:x val="0.25655850540806291"/>
          <c:y val="5.182267050056832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3929085598651652E-2"/>
          <c:y val="0.16747577777626343"/>
          <c:w val="0.8888898832262615"/>
          <c:h val="0.69660214814184929"/>
        </c:manualLayout>
      </c:layout>
      <c:lineChart>
        <c:grouping val="standard"/>
        <c:varyColors val="0"/>
        <c:ser>
          <c:idx val="1"/>
          <c:order val="0"/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pPr>
              <a:solidFill>
                <a:srgbClr val="FFC000"/>
              </a:solidFill>
              <a:ln>
                <a:solidFill>
                  <a:schemeClr val="accent6">
                    <a:lumMod val="50000"/>
                  </a:schemeClr>
                </a:solidFill>
              </a:ln>
            </c:spPr>
          </c:marker>
          <c:cat>
            <c:numRef>
              <c:f>'15.9'!$AE$5:$AE$21</c:f>
              <c:numCache>
                <c:formatCode>General</c:formatCode>
                <c:ptCount val="1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</c:numCache>
            </c:numRef>
          </c:cat>
          <c:val>
            <c:numRef>
              <c:f>'15.9'!$AF$5:$AF$21</c:f>
              <c:numCache>
                <c:formatCode>_(* #,##0.00_);_(* \(#,##0.00\);_(* "-"??_);_(@_)</c:formatCode>
                <c:ptCount val="17"/>
                <c:pt idx="0">
                  <c:v>30826.29</c:v>
                </c:pt>
                <c:pt idx="1">
                  <c:v>49562.439999999995</c:v>
                </c:pt>
                <c:pt idx="2">
                  <c:v>60191.810000000005</c:v>
                </c:pt>
                <c:pt idx="3">
                  <c:v>41804.229999999996</c:v>
                </c:pt>
                <c:pt idx="4">
                  <c:v>74333.78</c:v>
                </c:pt>
                <c:pt idx="5">
                  <c:v>62243.359999999993</c:v>
                </c:pt>
                <c:pt idx="6">
                  <c:v>61122.559999999998</c:v>
                </c:pt>
                <c:pt idx="7">
                  <c:v>46213.54</c:v>
                </c:pt>
                <c:pt idx="8">
                  <c:v>59972.350000000006</c:v>
                </c:pt>
                <c:pt idx="9">
                  <c:v>35592.26</c:v>
                </c:pt>
                <c:pt idx="10">
                  <c:v>58129.31</c:v>
                </c:pt>
                <c:pt idx="11">
                  <c:v>55852.49</c:v>
                </c:pt>
                <c:pt idx="12">
                  <c:v>40990.679999999993</c:v>
                </c:pt>
                <c:pt idx="13">
                  <c:v>53163.93</c:v>
                </c:pt>
                <c:pt idx="14">
                  <c:v>45140.44</c:v>
                </c:pt>
                <c:pt idx="15">
                  <c:v>50901.64</c:v>
                </c:pt>
                <c:pt idx="16">
                  <c:v>48264.5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7F-4FF4-AFAE-1F44FB72D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579136"/>
        <c:axId val="137773824"/>
      </c:lineChart>
      <c:catAx>
        <c:axId val="13757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37773824"/>
        <c:crosses val="autoZero"/>
        <c:auto val="1"/>
        <c:lblAlgn val="ctr"/>
        <c:lblOffset val="100"/>
        <c:noMultiLvlLbl val="0"/>
      </c:catAx>
      <c:valAx>
        <c:axId val="137773824"/>
        <c:scaling>
          <c:orientation val="minMax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_(* #,##0_);_(* \(#,##0\);_(* &quot;-&quot;_);_(@_)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37579136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Figure 15.6: Annual imports of Tobacco Products, 2006 - 2016</a:t>
            </a:r>
          </a:p>
        </c:rich>
      </c:tx>
      <c:layout>
        <c:manualLayout>
          <c:xMode val="edge"/>
          <c:yMode val="edge"/>
          <c:x val="0.21319079799018034"/>
          <c:y val="2.930037718795084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7981716875590926E-2"/>
          <c:y val="0.17902835656314536"/>
          <c:w val="0.90711085365577215"/>
          <c:h val="0.682865302890853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'15.9'!$C$4</c:f>
              <c:strCache>
                <c:ptCount val="1"/>
                <c:pt idx="0">
                  <c:v>Number of cigars </c:v>
                </c:pt>
              </c:strCache>
            </c:strRef>
          </c:tx>
          <c:spPr>
            <a:solidFill>
              <a:srgbClr val="F9B277"/>
            </a:solidFill>
          </c:spPr>
          <c:invertIfNegative val="0"/>
          <c:cat>
            <c:numRef>
              <c:f>'15.9'!$A$11:$A$21</c:f>
              <c:numCache>
                <c:formatCode>General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'15.9'!$C$11:$C$21</c:f>
              <c:numCache>
                <c:formatCode>#,##0</c:formatCode>
                <c:ptCount val="11"/>
                <c:pt idx="0">
                  <c:v>836168</c:v>
                </c:pt>
                <c:pt idx="1">
                  <c:v>316207</c:v>
                </c:pt>
                <c:pt idx="2">
                  <c:v>586111</c:v>
                </c:pt>
                <c:pt idx="3">
                  <c:v>366317</c:v>
                </c:pt>
                <c:pt idx="4">
                  <c:v>237074</c:v>
                </c:pt>
                <c:pt idx="5">
                  <c:v>331789</c:v>
                </c:pt>
                <c:pt idx="6">
                  <c:v>2629692</c:v>
                </c:pt>
                <c:pt idx="7">
                  <c:v>508117</c:v>
                </c:pt>
                <c:pt idx="8">
                  <c:v>170244</c:v>
                </c:pt>
                <c:pt idx="9">
                  <c:v>14806333</c:v>
                </c:pt>
                <c:pt idx="10">
                  <c:v>116097556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37-4EE7-8A45-9FB83CEAE307}"/>
            </c:ext>
          </c:extLst>
        </c:ser>
        <c:ser>
          <c:idx val="1"/>
          <c:order val="1"/>
          <c:tx>
            <c:strRef>
              <c:f>'15.9'!$D$4</c:f>
              <c:strCache>
                <c:ptCount val="1"/>
                <c:pt idx="0">
                  <c:v>Number of cheroots / Cigarillo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numRef>
              <c:f>'15.9'!$A$11:$A$21</c:f>
              <c:numCache>
                <c:formatCode>General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'15.9'!$D$11:$D$21</c:f>
              <c:numCache>
                <c:formatCode>#,##0</c:formatCode>
                <c:ptCount val="11"/>
                <c:pt idx="0">
                  <c:v>15916005</c:v>
                </c:pt>
                <c:pt idx="1">
                  <c:v>29513560</c:v>
                </c:pt>
                <c:pt idx="2">
                  <c:v>37161335</c:v>
                </c:pt>
                <c:pt idx="3">
                  <c:v>30780355</c:v>
                </c:pt>
                <c:pt idx="4">
                  <c:v>22606045</c:v>
                </c:pt>
                <c:pt idx="5">
                  <c:v>21002520</c:v>
                </c:pt>
                <c:pt idx="6">
                  <c:v>57698505</c:v>
                </c:pt>
                <c:pt idx="7">
                  <c:v>58995480</c:v>
                </c:pt>
                <c:pt idx="8">
                  <c:v>54664290</c:v>
                </c:pt>
                <c:pt idx="9">
                  <c:v>64802049</c:v>
                </c:pt>
                <c:pt idx="10">
                  <c:v>50405000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37-4EE7-8A45-9FB83CEAE307}"/>
            </c:ext>
          </c:extLst>
        </c:ser>
        <c:ser>
          <c:idx val="2"/>
          <c:order val="2"/>
          <c:tx>
            <c:strRef>
              <c:f>'15.9'!$E$4</c:f>
              <c:strCache>
                <c:ptCount val="1"/>
                <c:pt idx="0">
                  <c:v>Number of cigarettes 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numRef>
              <c:f>'15.9'!$A$11:$A$21</c:f>
              <c:numCache>
                <c:formatCode>General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'15.9'!$E$11:$E$21</c:f>
              <c:numCache>
                <c:formatCode>#,##0</c:formatCode>
                <c:ptCount val="11"/>
                <c:pt idx="0">
                  <c:v>255544900</c:v>
                </c:pt>
                <c:pt idx="1">
                  <c:v>286444050</c:v>
                </c:pt>
                <c:pt idx="2">
                  <c:v>334128160</c:v>
                </c:pt>
                <c:pt idx="3">
                  <c:v>348020191</c:v>
                </c:pt>
                <c:pt idx="4">
                  <c:v>346371400</c:v>
                </c:pt>
                <c:pt idx="5">
                  <c:v>454893880</c:v>
                </c:pt>
                <c:pt idx="6">
                  <c:v>402124770</c:v>
                </c:pt>
                <c:pt idx="7">
                  <c:v>439602400</c:v>
                </c:pt>
                <c:pt idx="8">
                  <c:v>486717110</c:v>
                </c:pt>
                <c:pt idx="9">
                  <c:v>460682600</c:v>
                </c:pt>
                <c:pt idx="10">
                  <c:v>497867750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37-4EE7-8A45-9FB83CEAE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-16"/>
        <c:axId val="137796992"/>
        <c:axId val="137798784"/>
      </c:barChart>
      <c:catAx>
        <c:axId val="13779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37798784"/>
        <c:crosses val="autoZero"/>
        <c:auto val="1"/>
        <c:lblAlgn val="ctr"/>
        <c:lblOffset val="100"/>
        <c:noMultiLvlLbl val="0"/>
      </c:catAx>
      <c:valAx>
        <c:axId val="13779878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3779699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8135687584506558E-3"/>
                <c:y val="0.12657176131129305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</c:dispUnitsLbl>
        </c:dispUnits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8.7788394606264669E-2"/>
          <c:y val="0.23386237712994618"/>
          <c:w val="0.63192795333080065"/>
          <c:h val="6.1943817216734857E-2"/>
        </c:manualLayout>
      </c:layout>
      <c:overlay val="1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655320</xdr:colOff>
      <xdr:row>24</xdr:row>
      <xdr:rowOff>76200</xdr:rowOff>
    </xdr:from>
    <xdr:to>
      <xdr:col>7</xdr:col>
      <xdr:colOff>579120</xdr:colOff>
      <xdr:row>43</xdr:row>
      <xdr:rowOff>30480</xdr:rowOff>
    </xdr:to>
    <xdr:graphicFrame macro="">
      <xdr:nvGraphicFramePr>
        <xdr:cNvPr id="174038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701040</xdr:colOff>
      <xdr:row>44</xdr:row>
      <xdr:rowOff>144780</xdr:rowOff>
    </xdr:from>
    <xdr:to>
      <xdr:col>7</xdr:col>
      <xdr:colOff>617220</xdr:colOff>
      <xdr:row>62</xdr:row>
      <xdr:rowOff>106680</xdr:rowOff>
    </xdr:to>
    <xdr:graphicFrame macro="">
      <xdr:nvGraphicFramePr>
        <xdr:cNvPr id="1740390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0.01179</cdr:x>
      <cdr:y>0.03502</cdr:y>
    </cdr:from>
    <cdr:to>
      <cdr:x>0.08385</cdr:x>
      <cdr:y>0.14891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6202" y="90487"/>
          <a:ext cx="459441" cy="2801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r"/>
          <a:r>
            <a:rPr lang="en-US" sz="1000" b="1"/>
            <a:t>in Kg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86"/>
  <sheetViews>
    <sheetView tabSelected="1" zoomScaleNormal="100" workbookViewId="0">
      <selection activeCell="I14" sqref="I14"/>
    </sheetView>
  </sheetViews>
  <sheetFormatPr defaultColWidth="9.140625" defaultRowHeight="12.75" x14ac:dyDescent="0.2"/>
  <cols>
    <col min="1" max="1" width="14.28515625" style="1" customWidth="1"/>
    <col min="2" max="2" width="12.28515625" style="1" bestFit="1" customWidth="1"/>
    <col min="3" max="3" width="13.42578125" style="1" customWidth="1"/>
    <col min="4" max="5" width="14.7109375" style="1" customWidth="1"/>
    <col min="6" max="8" width="14.28515625" style="1" customWidth="1"/>
    <col min="9" max="9" width="15.140625" style="1" customWidth="1"/>
    <col min="10" max="10" width="15" style="1" bestFit="1" customWidth="1"/>
    <col min="11" max="29" width="11.5703125" style="1" customWidth="1"/>
    <col min="30" max="30" width="15.5703125" style="1" bestFit="1" customWidth="1"/>
    <col min="31" max="31" width="11.28515625" style="1" customWidth="1"/>
    <col min="32" max="32" width="12.42578125" style="1" bestFit="1" customWidth="1"/>
    <col min="33" max="16384" width="9.140625" style="1"/>
  </cols>
  <sheetData>
    <row r="1" spans="1:32" ht="25.5" customHeight="1" x14ac:dyDescent="0.2">
      <c r="A1" s="69" t="s">
        <v>13</v>
      </c>
      <c r="B1" s="70"/>
      <c r="C1" s="70"/>
      <c r="D1" s="70"/>
      <c r="E1" s="70"/>
      <c r="F1" s="70"/>
      <c r="G1" s="70"/>
      <c r="H1" s="71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spans="1:32" ht="15.75" x14ac:dyDescent="0.25">
      <c r="A2" s="66" t="s">
        <v>12</v>
      </c>
      <c r="B2" s="67"/>
      <c r="C2" s="67"/>
      <c r="D2" s="67"/>
      <c r="E2" s="67"/>
      <c r="F2" s="67"/>
      <c r="G2" s="67"/>
      <c r="H2" s="68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2" x14ac:dyDescent="0.2">
      <c r="A3" s="65"/>
      <c r="B3" s="65"/>
      <c r="C3" s="65"/>
      <c r="D3" s="65"/>
      <c r="E3" s="65"/>
      <c r="F3" s="65"/>
      <c r="G3" s="65"/>
      <c r="H3" s="65"/>
      <c r="I3" s="61"/>
      <c r="J3" s="61"/>
      <c r="K3" s="61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1"/>
    </row>
    <row r="4" spans="1:32" ht="38.25" x14ac:dyDescent="0.2">
      <c r="A4" s="37" t="s">
        <v>9</v>
      </c>
      <c r="B4" s="38" t="s">
        <v>1</v>
      </c>
      <c r="C4" s="38" t="s">
        <v>2</v>
      </c>
      <c r="D4" s="38" t="s">
        <v>3</v>
      </c>
      <c r="E4" s="38" t="s">
        <v>4</v>
      </c>
      <c r="F4" s="38" t="s">
        <v>5</v>
      </c>
      <c r="G4" s="38" t="s">
        <v>6</v>
      </c>
      <c r="H4" s="39" t="s">
        <v>7</v>
      </c>
      <c r="I4" s="36"/>
      <c r="J4" s="34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2" s="5" customFormat="1" ht="25.5" customHeight="1" x14ac:dyDescent="0.2">
      <c r="A5" s="2">
        <v>2000</v>
      </c>
      <c r="B5" s="48">
        <v>24449.06</v>
      </c>
      <c r="C5" s="49">
        <v>304266</v>
      </c>
      <c r="D5" s="49">
        <v>2188139</v>
      </c>
      <c r="E5" s="49">
        <v>252638840</v>
      </c>
      <c r="F5" s="48">
        <v>3246.65</v>
      </c>
      <c r="G5" s="49">
        <v>3127.08</v>
      </c>
      <c r="H5" s="54">
        <v>3.5</v>
      </c>
      <c r="I5" s="36"/>
      <c r="J5" s="3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3"/>
      <c r="AE5" s="2">
        <v>2000</v>
      </c>
      <c r="AF5" s="4">
        <f>SUM(F5:H5)+B5</f>
        <v>30826.29</v>
      </c>
    </row>
    <row r="6" spans="1:32" s="5" customFormat="1" ht="25.5" customHeight="1" x14ac:dyDescent="0.2">
      <c r="A6" s="6">
        <v>2001</v>
      </c>
      <c r="B6" s="50">
        <v>44168.7</v>
      </c>
      <c r="C6" s="50">
        <v>187156</v>
      </c>
      <c r="D6" s="50">
        <v>5703050</v>
      </c>
      <c r="E6" s="50">
        <v>223540520</v>
      </c>
      <c r="F6" s="50">
        <v>2405.2800000000002</v>
      </c>
      <c r="G6" s="50">
        <v>2988.0599999999995</v>
      </c>
      <c r="H6" s="55">
        <v>0.4</v>
      </c>
      <c r="I6" s="24"/>
      <c r="J6" s="14"/>
      <c r="K6" s="15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3"/>
      <c r="AE6" s="6">
        <v>2001</v>
      </c>
      <c r="AF6" s="4">
        <f>SUM(F6:H6)+B6</f>
        <v>49562.439999999995</v>
      </c>
    </row>
    <row r="7" spans="1:32" s="5" customFormat="1" ht="25.5" customHeight="1" x14ac:dyDescent="0.2">
      <c r="A7" s="6">
        <v>2002</v>
      </c>
      <c r="B7" s="50">
        <v>45533.880000000005</v>
      </c>
      <c r="C7" s="50">
        <v>315080</v>
      </c>
      <c r="D7" s="50">
        <v>4750600</v>
      </c>
      <c r="E7" s="50">
        <v>229788400</v>
      </c>
      <c r="F7" s="50">
        <v>8398.1299999999992</v>
      </c>
      <c r="G7" s="50">
        <v>6247.8</v>
      </c>
      <c r="H7" s="55">
        <v>12</v>
      </c>
      <c r="J7" s="14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3"/>
      <c r="AE7" s="6">
        <v>2002</v>
      </c>
      <c r="AF7" s="4">
        <f t="shared" ref="AF7:AF16" si="0">SUM(F7:H7)+B7</f>
        <v>60191.810000000005</v>
      </c>
    </row>
    <row r="8" spans="1:32" s="5" customFormat="1" ht="25.5" customHeight="1" x14ac:dyDescent="0.2">
      <c r="A8" s="6">
        <v>2003</v>
      </c>
      <c r="B8" s="50">
        <v>30598.25</v>
      </c>
      <c r="C8" s="50">
        <v>289183</v>
      </c>
      <c r="D8" s="50">
        <v>6108585</v>
      </c>
      <c r="E8" s="50">
        <v>226903220</v>
      </c>
      <c r="F8" s="50">
        <v>4718.08</v>
      </c>
      <c r="G8" s="50">
        <v>6470.4</v>
      </c>
      <c r="H8" s="55">
        <v>17.5</v>
      </c>
      <c r="J8" s="14"/>
      <c r="K8" s="15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3"/>
      <c r="AE8" s="6">
        <v>2003</v>
      </c>
      <c r="AF8" s="4">
        <f t="shared" si="0"/>
        <v>41804.229999999996</v>
      </c>
    </row>
    <row r="9" spans="1:32" s="5" customFormat="1" ht="25.5" customHeight="1" x14ac:dyDescent="0.2">
      <c r="A9" s="6">
        <v>2004</v>
      </c>
      <c r="B9" s="50">
        <v>63056.020000000004</v>
      </c>
      <c r="C9" s="50">
        <v>226473</v>
      </c>
      <c r="D9" s="50">
        <v>8219973</v>
      </c>
      <c r="E9" s="50">
        <v>256676880</v>
      </c>
      <c r="F9" s="50">
        <v>7900.91</v>
      </c>
      <c r="G9" s="50">
        <v>3321.25</v>
      </c>
      <c r="H9" s="55">
        <v>55.6</v>
      </c>
      <c r="J9" s="14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3"/>
      <c r="AE9" s="6">
        <v>2004</v>
      </c>
      <c r="AF9" s="4">
        <f t="shared" si="0"/>
        <v>74333.78</v>
      </c>
    </row>
    <row r="10" spans="1:32" s="5" customFormat="1" ht="25.5" customHeight="1" x14ac:dyDescent="0.2">
      <c r="A10" s="6">
        <v>2005</v>
      </c>
      <c r="B10" s="50">
        <v>45505.149999999994</v>
      </c>
      <c r="C10" s="50">
        <v>200968</v>
      </c>
      <c r="D10" s="50">
        <v>43685700</v>
      </c>
      <c r="E10" s="50">
        <v>263461671</v>
      </c>
      <c r="F10" s="50">
        <v>11976.92</v>
      </c>
      <c r="G10" s="50">
        <v>4698.6899999999996</v>
      </c>
      <c r="H10" s="55">
        <v>62.6</v>
      </c>
      <c r="J10" s="14"/>
      <c r="K10" s="15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3"/>
      <c r="AE10" s="6">
        <v>2005</v>
      </c>
      <c r="AF10" s="4">
        <f t="shared" si="0"/>
        <v>62243.359999999993</v>
      </c>
    </row>
    <row r="11" spans="1:32" s="5" customFormat="1" ht="25.5" customHeight="1" x14ac:dyDescent="0.2">
      <c r="A11" s="6">
        <v>2006</v>
      </c>
      <c r="B11" s="50">
        <v>36034.29</v>
      </c>
      <c r="C11" s="50">
        <v>836168</v>
      </c>
      <c r="D11" s="50">
        <v>15916005</v>
      </c>
      <c r="E11" s="50">
        <v>255544900</v>
      </c>
      <c r="F11" s="50">
        <v>22019.040000000001</v>
      </c>
      <c r="G11" s="50">
        <v>3067.6800000000003</v>
      </c>
      <c r="H11" s="55">
        <v>1.55</v>
      </c>
      <c r="J11" s="14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3"/>
      <c r="AE11" s="6">
        <v>2006</v>
      </c>
      <c r="AF11" s="4">
        <f t="shared" si="0"/>
        <v>61122.559999999998</v>
      </c>
    </row>
    <row r="12" spans="1:32" s="5" customFormat="1" ht="25.5" customHeight="1" x14ac:dyDescent="0.2">
      <c r="A12" s="6">
        <v>2007</v>
      </c>
      <c r="B12" s="50">
        <v>24493.13</v>
      </c>
      <c r="C12" s="50">
        <v>316207</v>
      </c>
      <c r="D12" s="50">
        <v>29513560</v>
      </c>
      <c r="E12" s="50">
        <v>286444050</v>
      </c>
      <c r="F12" s="50">
        <v>17949.77</v>
      </c>
      <c r="G12" s="50">
        <v>3742.45</v>
      </c>
      <c r="H12" s="55">
        <v>28.19</v>
      </c>
      <c r="J12" s="14"/>
      <c r="K12" s="15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3"/>
      <c r="AE12" s="6">
        <v>2007</v>
      </c>
      <c r="AF12" s="4">
        <f t="shared" si="0"/>
        <v>46213.54</v>
      </c>
    </row>
    <row r="13" spans="1:32" s="5" customFormat="1" ht="25.5" customHeight="1" x14ac:dyDescent="0.2">
      <c r="A13" s="6">
        <v>2008</v>
      </c>
      <c r="B13" s="50">
        <v>29810.81</v>
      </c>
      <c r="C13" s="50">
        <v>586111</v>
      </c>
      <c r="D13" s="50">
        <v>37161335</v>
      </c>
      <c r="E13" s="50">
        <v>334128160</v>
      </c>
      <c r="F13" s="50">
        <v>25511.08</v>
      </c>
      <c r="G13" s="50">
        <v>4375.5</v>
      </c>
      <c r="H13" s="55">
        <v>274.96000000000004</v>
      </c>
      <c r="J13" s="14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3"/>
      <c r="AE13" s="6">
        <v>2008</v>
      </c>
      <c r="AF13" s="4">
        <f t="shared" si="0"/>
        <v>59972.350000000006</v>
      </c>
    </row>
    <row r="14" spans="1:32" s="5" customFormat="1" ht="25.5" customHeight="1" x14ac:dyDescent="0.2">
      <c r="A14" s="6">
        <v>2009</v>
      </c>
      <c r="B14" s="50">
        <v>10654.61</v>
      </c>
      <c r="C14" s="50">
        <v>366317</v>
      </c>
      <c r="D14" s="50">
        <v>30780355</v>
      </c>
      <c r="E14" s="50">
        <v>348020191</v>
      </c>
      <c r="F14" s="50">
        <v>24325.16</v>
      </c>
      <c r="G14" s="50">
        <v>540.5</v>
      </c>
      <c r="H14" s="55">
        <v>71.989999999999995</v>
      </c>
      <c r="J14" s="14"/>
      <c r="K14" s="15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3"/>
      <c r="AE14" s="6">
        <v>2009</v>
      </c>
      <c r="AF14" s="4">
        <f t="shared" si="0"/>
        <v>35592.26</v>
      </c>
    </row>
    <row r="15" spans="1:32" s="10" customFormat="1" ht="25.5" customHeight="1" x14ac:dyDescent="0.2">
      <c r="A15" s="9">
        <v>2010</v>
      </c>
      <c r="B15" s="51">
        <v>32827.75</v>
      </c>
      <c r="C15" s="51">
        <v>237074</v>
      </c>
      <c r="D15" s="51">
        <v>22606045</v>
      </c>
      <c r="E15" s="51">
        <v>346371400</v>
      </c>
      <c r="F15" s="51">
        <v>20447.78</v>
      </c>
      <c r="G15" s="51">
        <v>4786.88</v>
      </c>
      <c r="H15" s="56">
        <v>66.900000000000006</v>
      </c>
      <c r="J15" s="20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2"/>
      <c r="AE15" s="9">
        <v>2010</v>
      </c>
      <c r="AF15" s="4">
        <f t="shared" si="0"/>
        <v>58129.31</v>
      </c>
    </row>
    <row r="16" spans="1:32" s="29" customFormat="1" ht="25.5" customHeight="1" x14ac:dyDescent="0.2">
      <c r="A16" s="25">
        <v>2011</v>
      </c>
      <c r="B16" s="52">
        <v>21879.4</v>
      </c>
      <c r="C16" s="52">
        <v>331789</v>
      </c>
      <c r="D16" s="52">
        <v>21002520</v>
      </c>
      <c r="E16" s="52">
        <v>454893880</v>
      </c>
      <c r="F16" s="52">
        <v>30280.85</v>
      </c>
      <c r="G16" s="52">
        <v>3674.39</v>
      </c>
      <c r="H16" s="57">
        <v>17.850000000000001</v>
      </c>
      <c r="J16" s="27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6"/>
      <c r="AE16" s="25">
        <v>2011</v>
      </c>
      <c r="AF16" s="4">
        <f t="shared" si="0"/>
        <v>55852.49</v>
      </c>
    </row>
    <row r="17" spans="1:32" s="41" customFormat="1" ht="25.5" customHeight="1" x14ac:dyDescent="0.2">
      <c r="A17" s="33">
        <v>2012</v>
      </c>
      <c r="B17" s="53">
        <v>9066.2000000000007</v>
      </c>
      <c r="C17" s="53">
        <v>2629692</v>
      </c>
      <c r="D17" s="53">
        <v>57698505</v>
      </c>
      <c r="E17" s="53">
        <v>402124770</v>
      </c>
      <c r="F17" s="53">
        <v>24137.85</v>
      </c>
      <c r="G17" s="53">
        <v>7736.28</v>
      </c>
      <c r="H17" s="58">
        <v>50.35</v>
      </c>
      <c r="J17" s="42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2"/>
      <c r="AE17" s="33">
        <v>2012</v>
      </c>
      <c r="AF17" s="43">
        <f>SUM(F17:H17)+B17</f>
        <v>40990.679999999993</v>
      </c>
    </row>
    <row r="18" spans="1:32" s="29" customFormat="1" ht="25.5" customHeight="1" x14ac:dyDescent="0.2">
      <c r="A18" s="25">
        <v>2013</v>
      </c>
      <c r="B18" s="52">
        <v>28182.17</v>
      </c>
      <c r="C18" s="52">
        <v>508117</v>
      </c>
      <c r="D18" s="52">
        <v>58995480</v>
      </c>
      <c r="E18" s="52">
        <v>439602400</v>
      </c>
      <c r="F18" s="52">
        <v>20289.060000000001</v>
      </c>
      <c r="G18" s="52">
        <v>4677.95</v>
      </c>
      <c r="H18" s="57">
        <v>14.75</v>
      </c>
      <c r="I18" s="44"/>
      <c r="J18" s="27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6"/>
      <c r="AE18" s="25">
        <v>2013</v>
      </c>
      <c r="AF18" s="45">
        <f>SUM(F18:H18)+B18</f>
        <v>53163.93</v>
      </c>
    </row>
    <row r="19" spans="1:32" s="41" customFormat="1" ht="25.5" customHeight="1" x14ac:dyDescent="0.2">
      <c r="A19" s="25">
        <v>2014</v>
      </c>
      <c r="B19" s="52">
        <v>21538.25</v>
      </c>
      <c r="C19" s="52">
        <v>170244</v>
      </c>
      <c r="D19" s="52">
        <v>54664290</v>
      </c>
      <c r="E19" s="52">
        <v>486717110</v>
      </c>
      <c r="F19" s="52">
        <v>22424.03</v>
      </c>
      <c r="G19" s="52">
        <v>1010.16</v>
      </c>
      <c r="H19" s="57">
        <v>168</v>
      </c>
      <c r="I19" s="59"/>
      <c r="J19" s="42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2"/>
      <c r="AE19" s="33">
        <v>2014</v>
      </c>
      <c r="AF19" s="43">
        <f>SUM(F19:H19)+B19</f>
        <v>45140.44</v>
      </c>
    </row>
    <row r="20" spans="1:32" s="29" customFormat="1" ht="25.5" customHeight="1" x14ac:dyDescent="0.2">
      <c r="A20" s="25">
        <v>2015</v>
      </c>
      <c r="B20" s="52">
        <v>22172</v>
      </c>
      <c r="C20" s="52">
        <v>14806333</v>
      </c>
      <c r="D20" s="52">
        <v>64802049</v>
      </c>
      <c r="E20" s="52">
        <v>460682600</v>
      </c>
      <c r="F20" s="52">
        <v>24803.23</v>
      </c>
      <c r="G20" s="52">
        <v>3736.2</v>
      </c>
      <c r="H20" s="57">
        <v>190.21</v>
      </c>
      <c r="I20" s="44"/>
      <c r="J20" s="27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6"/>
      <c r="AE20" s="25">
        <v>2015</v>
      </c>
      <c r="AF20" s="45">
        <f>SUM(F20:H20)+B20</f>
        <v>50901.64</v>
      </c>
    </row>
    <row r="21" spans="1:32" s="24" customFormat="1" ht="25.5" customHeight="1" x14ac:dyDescent="0.2">
      <c r="A21" s="46">
        <v>2016</v>
      </c>
      <c r="B21" s="62">
        <v>18719.5</v>
      </c>
      <c r="C21" s="62">
        <v>116097556</v>
      </c>
      <c r="D21" s="62">
        <v>50405000</v>
      </c>
      <c r="E21" s="62">
        <v>497867750</v>
      </c>
      <c r="F21" s="62">
        <v>26476.07</v>
      </c>
      <c r="G21" s="62">
        <v>2346.1299999999997</v>
      </c>
      <c r="H21" s="63">
        <v>722.8</v>
      </c>
      <c r="I21" s="40"/>
      <c r="J21" s="2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3"/>
      <c r="AE21" s="33">
        <v>2016</v>
      </c>
      <c r="AF21" s="45">
        <f>SUM(F21:H21)+B21</f>
        <v>48264.5</v>
      </c>
    </row>
    <row r="22" spans="1:32" ht="18.75" customHeight="1" x14ac:dyDescent="0.5">
      <c r="A22" s="60" t="s">
        <v>10</v>
      </c>
      <c r="B22" s="7"/>
      <c r="C22" s="7"/>
      <c r="D22" s="7"/>
      <c r="E22" s="7"/>
      <c r="F22" s="7"/>
      <c r="G22" s="7"/>
      <c r="H22" s="32" t="s">
        <v>11</v>
      </c>
    </row>
    <row r="23" spans="1:32" ht="18.75" x14ac:dyDescent="0.5">
      <c r="A23" s="31" t="s">
        <v>0</v>
      </c>
      <c r="B23" s="7"/>
      <c r="C23" s="7"/>
      <c r="D23" s="7"/>
      <c r="E23" s="47"/>
      <c r="F23" s="47"/>
      <c r="G23" s="7"/>
      <c r="H23" s="32" t="s">
        <v>8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5" spans="1:32" x14ac:dyDescent="0.2">
      <c r="A25" s="7"/>
    </row>
    <row r="42" spans="9:10" x14ac:dyDescent="0.2">
      <c r="I42" s="16"/>
      <c r="J42" s="16"/>
    </row>
    <row r="43" spans="9:10" x14ac:dyDescent="0.2">
      <c r="I43" s="17"/>
      <c r="J43" s="17"/>
    </row>
    <row r="44" spans="9:10" x14ac:dyDescent="0.2">
      <c r="I44" s="17"/>
      <c r="J44" s="17"/>
    </row>
    <row r="45" spans="9:10" x14ac:dyDescent="0.2">
      <c r="I45" s="17"/>
      <c r="J45" s="17"/>
    </row>
    <row r="46" spans="9:10" x14ac:dyDescent="0.2">
      <c r="I46" s="17"/>
      <c r="J46" s="17"/>
    </row>
    <row r="47" spans="9:10" x14ac:dyDescent="0.2">
      <c r="I47" s="18"/>
      <c r="J47" s="18"/>
    </row>
    <row r="48" spans="9:10" x14ac:dyDescent="0.2">
      <c r="I48" s="16"/>
      <c r="J48" s="16"/>
    </row>
    <row r="49" spans="9:10" x14ac:dyDescent="0.2">
      <c r="I49" s="17"/>
      <c r="J49" s="17"/>
    </row>
    <row r="50" spans="9:10" x14ac:dyDescent="0.2">
      <c r="I50" s="17"/>
      <c r="J50" s="17"/>
    </row>
    <row r="51" spans="9:10" x14ac:dyDescent="0.2">
      <c r="I51" s="17"/>
      <c r="J51" s="17"/>
    </row>
    <row r="52" spans="9:10" x14ac:dyDescent="0.2">
      <c r="I52" s="17"/>
      <c r="J52" s="17"/>
    </row>
    <row r="53" spans="9:10" x14ac:dyDescent="0.2">
      <c r="I53" s="18"/>
      <c r="J53" s="18"/>
    </row>
    <row r="54" spans="9:10" x14ac:dyDescent="0.2">
      <c r="I54" s="16"/>
      <c r="J54" s="16"/>
    </row>
    <row r="55" spans="9:10" x14ac:dyDescent="0.2">
      <c r="I55" s="17"/>
      <c r="J55" s="17"/>
    </row>
    <row r="56" spans="9:10" x14ac:dyDescent="0.2">
      <c r="I56" s="17"/>
      <c r="J56" s="17"/>
    </row>
    <row r="57" spans="9:10" x14ac:dyDescent="0.2">
      <c r="I57" s="17"/>
      <c r="J57" s="17"/>
    </row>
    <row r="58" spans="9:10" x14ac:dyDescent="0.2">
      <c r="I58" s="17"/>
      <c r="J58" s="17"/>
    </row>
    <row r="59" spans="9:10" x14ac:dyDescent="0.2">
      <c r="I59" s="18"/>
      <c r="J59" s="18"/>
    </row>
    <row r="85" spans="2:2" x14ac:dyDescent="0.2">
      <c r="B85" s="30"/>
    </row>
    <row r="86" spans="2:2" x14ac:dyDescent="0.2">
      <c r="B86" s="30"/>
    </row>
  </sheetData>
  <mergeCells count="3">
    <mergeCell ref="A3:H3"/>
    <mergeCell ref="A2:H2"/>
    <mergeCell ref="A1:H1"/>
  </mergeCells>
  <pageMargins left="0.35" right="0.7" top="0.33" bottom="0.23" header="0.3" footer="0.17"/>
  <pageSetup paperSize="9" scale="80" orientation="portrait" r:id="rId1"/>
  <rowBreaks count="1" manualBreakCount="1">
    <brk id="44" max="7" man="1"/>
  </rowBreaks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15.9</vt:lpstr>
      <vt:lpstr>'15.9'!Print_Area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2018-03-21T04:56:33Z</cp:lastPrinted>
  <dcterms:created xsi:type="dcterms:W3CDTF">2007-02-07T09:08:05Z</dcterms:created>
  <dcterms:modified xsi:type="dcterms:W3CDTF">2018-03-21T04:56:43Z</dcterms:modified>
</cp:coreProperties>
</file>