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7\FINAL TABLES\WEB\15.FOREIGN TRADE AND BOP\"/>
    </mc:Choice>
  </mc:AlternateContent>
  <bookViews>
    <workbookView xWindow="0" yWindow="0" windowWidth="24285" windowHeight="8715" tabRatio="858"/>
  </bookViews>
  <sheets>
    <sheet name="15.2" sheetId="3" r:id="rId1"/>
  </sheets>
  <externalReferences>
    <externalReference r:id="rId2"/>
  </externalReferences>
  <definedNames>
    <definedName name="_tot3">#REF!</definedName>
    <definedName name="_tot4">#REF!</definedName>
    <definedName name="_tot5">#REF!</definedName>
    <definedName name="_tot6">#REF!</definedName>
    <definedName name="_tot7">#REF!</definedName>
    <definedName name="a">#REF!</definedName>
    <definedName name="bec">#REF!</definedName>
    <definedName name="ctry">'[1]CTRY monthly'!$B$100:$N$115</definedName>
    <definedName name="moomina">#REF!</definedName>
    <definedName name="_xlnm.Print_Area" localSheetId="0">'15.2'!$A$1:$AB$29</definedName>
    <definedName name="Print_Area_MI">#REF!</definedName>
    <definedName name="tot">#REF!</definedName>
    <definedName name="total">#REF!</definedName>
    <definedName name="TOTE8">#REF!</definedName>
    <definedName name="tott3">#REF!</definedName>
    <definedName name="Z_55954F5B_8823_487D_89BD_5CAA49E9A156_.wvu.PrintArea" localSheetId="0" hidden="1">'15.2'!$A$2:$N$30</definedName>
    <definedName name="Z_809AAACF_1F9F_4AA0_A069_E0E3B47FA09A_.wvu.Cols" localSheetId="0" hidden="1">'15.2'!#REF!</definedName>
    <definedName name="Z_809AAACF_1F9F_4AA0_A069_E0E3B47FA09A_.wvu.PrintArea" localSheetId="0" hidden="1">'15.2'!$A$2:$N$30</definedName>
  </definedNames>
  <calcPr calcId="162913"/>
  <customWorkbookViews>
    <customWorkbookView name="777 - Personal View" guid="{AA9F0C9E-78D8-4405-A52F-8AFEDA4EE48D}" mergeInterval="0" personalView="1" maximized="1" windowWidth="1276" windowHeight="852" activeSheetId="16"/>
    <customWorkbookView name="hawwa zahira - Personal View" guid="{809AAACF-1F9F-4AA0-A069-E0E3B47FA09A}" mergeInterval="0" personalView="1" maximized="1" windowWidth="1148" windowHeight="692" tabRatio="814" activeSheetId="3"/>
    <customWorkbookView name="iqbal - Personal View" guid="{55954F5B-8823-487D-89BD-5CAA49E9A156}" mergeInterval="0" personalView="1" maximized="1" windowWidth="1276" windowHeight="874" activeSheetId="12"/>
    <customWorkbookView name="moomina - Personal View" guid="{606E8A6D-F254-43BE-81C6-5E26D3168B9C}" mergeInterval="0" personalView="1" maximized="1" windowWidth="1020" windowHeight="570" activeSheetId="8"/>
  </customWorkbookViews>
</workbook>
</file>

<file path=xl/calcChain.xml><?xml version="1.0" encoding="utf-8"?>
<calcChain xmlns="http://schemas.openxmlformats.org/spreadsheetml/2006/main">
  <c r="X8" i="3" l="1"/>
  <c r="X9" i="3"/>
  <c r="X10" i="3"/>
  <c r="X11" i="3"/>
  <c r="X12" i="3"/>
  <c r="X13" i="3"/>
  <c r="X14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7" i="3"/>
  <c r="X6" i="3"/>
  <c r="Y6" i="3"/>
  <c r="W6" i="3"/>
  <c r="Y14" i="3" l="1"/>
  <c r="Y7" i="3"/>
  <c r="Y8" i="3"/>
  <c r="Y9" i="3"/>
  <c r="Y10" i="3"/>
  <c r="Y11" i="3"/>
  <c r="Y12" i="3"/>
  <c r="Y13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M6" i="3"/>
  <c r="R22" i="3" s="1"/>
  <c r="R24" i="3" l="1"/>
  <c r="R7" i="3"/>
  <c r="R16" i="3"/>
  <c r="R6" i="3"/>
  <c r="R14" i="3"/>
  <c r="R23" i="3"/>
  <c r="R8" i="3"/>
  <c r="R17" i="3"/>
  <c r="R25" i="3"/>
  <c r="R9" i="3"/>
  <c r="R18" i="3"/>
  <c r="R26" i="3"/>
  <c r="R10" i="3"/>
  <c r="R19" i="3"/>
  <c r="R27" i="3"/>
  <c r="R11" i="3"/>
  <c r="R20" i="3"/>
  <c r="R28" i="3"/>
  <c r="R12" i="3"/>
  <c r="R21" i="3"/>
  <c r="R13" i="3"/>
  <c r="N6" i="3" l="1"/>
  <c r="S12" i="3" l="1"/>
  <c r="S6" i="3"/>
  <c r="S16" i="3"/>
  <c r="S27" i="3"/>
  <c r="S11" i="3"/>
  <c r="S24" i="3"/>
  <c r="S8" i="3"/>
  <c r="S19" i="3"/>
  <c r="S7" i="3"/>
  <c r="S23" i="3"/>
  <c r="S28" i="3"/>
  <c r="S20" i="3"/>
  <c r="S26" i="3"/>
  <c r="S18" i="3"/>
  <c r="S10" i="3"/>
  <c r="S22" i="3"/>
  <c r="S14" i="3"/>
  <c r="S25" i="3"/>
  <c r="S21" i="3"/>
  <c r="S17" i="3"/>
  <c r="S13" i="3"/>
  <c r="S9" i="3"/>
  <c r="W17" i="3" l="1"/>
  <c r="W10" i="3"/>
  <c r="W9" i="3"/>
  <c r="W8" i="3"/>
  <c r="W11" i="3"/>
  <c r="W12" i="3"/>
  <c r="W13" i="3"/>
  <c r="W14" i="3"/>
  <c r="W16" i="3"/>
  <c r="W18" i="3"/>
  <c r="W19" i="3"/>
  <c r="W20" i="3"/>
  <c r="W21" i="3"/>
  <c r="W22" i="3"/>
  <c r="W23" i="3"/>
  <c r="W24" i="3"/>
  <c r="W25" i="3"/>
  <c r="W26" i="3"/>
  <c r="W27" i="3"/>
  <c r="W28" i="3"/>
  <c r="W7" i="3"/>
  <c r="L6" i="3"/>
  <c r="Q6" i="3" l="1"/>
  <c r="Q10" i="3"/>
  <c r="Q20" i="3"/>
  <c r="Q7" i="3"/>
  <c r="Q11" i="3"/>
  <c r="Q23" i="3"/>
  <c r="Q16" i="3"/>
  <c r="Q26" i="3"/>
  <c r="Q9" i="3"/>
  <c r="Q18" i="3"/>
  <c r="Q27" i="3"/>
  <c r="Q14" i="3"/>
  <c r="Q22" i="3"/>
  <c r="Q28" i="3"/>
  <c r="Q13" i="3"/>
  <c r="Q19" i="3"/>
  <c r="Q24" i="3"/>
  <c r="Q12" i="3"/>
  <c r="Q17" i="3"/>
  <c r="Q21" i="3"/>
  <c r="Q25" i="3"/>
  <c r="Q8" i="3"/>
  <c r="K6" i="3"/>
  <c r="P16" i="3" s="1"/>
  <c r="I16" i="3"/>
  <c r="V16" i="3" s="1"/>
  <c r="I17" i="3"/>
  <c r="I18" i="3"/>
  <c r="V18" i="3" s="1"/>
  <c r="I19" i="3"/>
  <c r="V19" i="3" s="1"/>
  <c r="I20" i="3"/>
  <c r="V20" i="3" s="1"/>
  <c r="I21" i="3"/>
  <c r="V21" i="3" s="1"/>
  <c r="I22" i="3"/>
  <c r="V22" i="3" s="1"/>
  <c r="I23" i="3"/>
  <c r="V23" i="3" s="1"/>
  <c r="I24" i="3"/>
  <c r="V24" i="3" s="1"/>
  <c r="I25" i="3"/>
  <c r="V25" i="3" s="1"/>
  <c r="I27" i="3"/>
  <c r="V27" i="3" s="1"/>
  <c r="I28" i="3"/>
  <c r="I7" i="3"/>
  <c r="V7" i="3" s="1"/>
  <c r="I8" i="3"/>
  <c r="V8" i="3" s="1"/>
  <c r="I9" i="3"/>
  <c r="V9" i="3" s="1"/>
  <c r="I10" i="3"/>
  <c r="V10" i="3" s="1"/>
  <c r="I11" i="3"/>
  <c r="V11" i="3" s="1"/>
  <c r="I12" i="3"/>
  <c r="V12" i="3" s="1"/>
  <c r="I13" i="3"/>
  <c r="V13" i="3" s="1"/>
  <c r="I14" i="3"/>
  <c r="V14" i="3" s="1"/>
  <c r="J6" i="3"/>
  <c r="I6" i="3" s="1"/>
  <c r="E6" i="3"/>
  <c r="F6" i="3"/>
  <c r="G6" i="3"/>
  <c r="H7" i="3"/>
  <c r="T7" i="3" s="1"/>
  <c r="H8" i="3"/>
  <c r="T8" i="3" s="1"/>
  <c r="H9" i="3"/>
  <c r="T9" i="3" s="1"/>
  <c r="H10" i="3"/>
  <c r="T10" i="3" s="1"/>
  <c r="H11" i="3"/>
  <c r="T11" i="3" s="1"/>
  <c r="H12" i="3"/>
  <c r="H13" i="3"/>
  <c r="T13" i="3" s="1"/>
  <c r="H14" i="3"/>
  <c r="H16" i="3"/>
  <c r="T16" i="3" s="1"/>
  <c r="H17" i="3"/>
  <c r="T17" i="3" s="1"/>
  <c r="H18" i="3"/>
  <c r="T18" i="3" s="1"/>
  <c r="H19" i="3"/>
  <c r="T19" i="3" s="1"/>
  <c r="H20" i="3"/>
  <c r="T20" i="3" s="1"/>
  <c r="H21" i="3"/>
  <c r="T21" i="3" s="1"/>
  <c r="H22" i="3"/>
  <c r="H23" i="3"/>
  <c r="T23" i="3" s="1"/>
  <c r="H24" i="3"/>
  <c r="T24" i="3" s="1"/>
  <c r="H25" i="3"/>
  <c r="T25" i="3" s="1"/>
  <c r="H26" i="3"/>
  <c r="U26" i="3" s="1"/>
  <c r="H27" i="3"/>
  <c r="T27" i="3" s="1"/>
  <c r="H28" i="3"/>
  <c r="T28" i="3" s="1"/>
  <c r="U8" i="3"/>
  <c r="P22" i="3"/>
  <c r="T14" i="3"/>
  <c r="U21" i="3"/>
  <c r="P18" i="3" l="1"/>
  <c r="U14" i="3"/>
  <c r="P27" i="3"/>
  <c r="P23" i="3"/>
  <c r="P12" i="3"/>
  <c r="P11" i="3"/>
  <c r="P9" i="3"/>
  <c r="P25" i="3"/>
  <c r="P17" i="3"/>
  <c r="P14" i="3"/>
  <c r="P24" i="3"/>
  <c r="P13" i="3"/>
  <c r="U27" i="3"/>
  <c r="U23" i="3"/>
  <c r="P6" i="3"/>
  <c r="P7" i="3"/>
  <c r="U9" i="3"/>
  <c r="P26" i="3"/>
  <c r="P19" i="3"/>
  <c r="U10" i="3"/>
  <c r="U28" i="3"/>
  <c r="V28" i="3"/>
  <c r="U16" i="3"/>
  <c r="U18" i="3"/>
  <c r="U20" i="3"/>
  <c r="U24" i="3"/>
  <c r="T26" i="3"/>
  <c r="P20" i="3"/>
  <c r="P10" i="3"/>
  <c r="U11" i="3"/>
  <c r="P28" i="3"/>
  <c r="P8" i="3"/>
  <c r="P21" i="3"/>
  <c r="U13" i="3"/>
  <c r="O14" i="3"/>
  <c r="O10" i="3"/>
  <c r="O28" i="3"/>
  <c r="O24" i="3"/>
  <c r="O20" i="3"/>
  <c r="O16" i="3"/>
  <c r="O7" i="3"/>
  <c r="O13" i="3"/>
  <c r="O9" i="3"/>
  <c r="O27" i="3"/>
  <c r="O23" i="3"/>
  <c r="O19" i="3"/>
  <c r="O11" i="3"/>
  <c r="O21" i="3"/>
  <c r="O12" i="3"/>
  <c r="O8" i="3"/>
  <c r="O26" i="3"/>
  <c r="O22" i="3"/>
  <c r="O18" i="3"/>
  <c r="O6" i="3"/>
  <c r="O25" i="3"/>
  <c r="O17" i="3"/>
  <c r="U25" i="3"/>
  <c r="U19" i="3"/>
  <c r="T22" i="3"/>
  <c r="U22" i="3"/>
  <c r="V17" i="3"/>
  <c r="U17" i="3"/>
  <c r="T12" i="3"/>
  <c r="U12" i="3"/>
  <c r="H6" i="3"/>
  <c r="U7" i="3"/>
  <c r="V6" i="3"/>
  <c r="T6" i="3" l="1"/>
  <c r="U6" i="3"/>
</calcChain>
</file>

<file path=xl/sharedStrings.xml><?xml version="1.0" encoding="utf-8"?>
<sst xmlns="http://schemas.openxmlformats.org/spreadsheetml/2006/main" count="99" uniqueCount="99">
  <si>
    <t>% Change Over Previous Year</t>
  </si>
  <si>
    <t>Source:  Maldives Customs Services</t>
  </si>
  <si>
    <t>Harmonized System</t>
  </si>
  <si>
    <t>TOTAL</t>
  </si>
  <si>
    <t>Section I</t>
  </si>
  <si>
    <t>Live animals; animal product</t>
  </si>
  <si>
    <t>Section II</t>
  </si>
  <si>
    <t>Vegetable products</t>
  </si>
  <si>
    <t>Section III</t>
  </si>
  <si>
    <t>Section IV</t>
  </si>
  <si>
    <t>Section V</t>
  </si>
  <si>
    <t>Mineral products</t>
  </si>
  <si>
    <t>Section VI</t>
  </si>
  <si>
    <t>Products of the chemical &amp; allied industries</t>
  </si>
  <si>
    <t>Section VII</t>
  </si>
  <si>
    <t>Plastic &amp; articles thereof; rubber &amp; article there of</t>
  </si>
  <si>
    <t>Section VIII</t>
  </si>
  <si>
    <t>Section IX</t>
  </si>
  <si>
    <t>Section X</t>
  </si>
  <si>
    <t>Section XI</t>
  </si>
  <si>
    <t>Textiles and textile articles</t>
  </si>
  <si>
    <t>Section XII</t>
  </si>
  <si>
    <t>Section XIII</t>
  </si>
  <si>
    <t>Section XIV</t>
  </si>
  <si>
    <t>Section XV</t>
  </si>
  <si>
    <t>Base metal and articles of base metal</t>
  </si>
  <si>
    <t>Section XVI</t>
  </si>
  <si>
    <t>Section XVII</t>
  </si>
  <si>
    <t>Section XVIII</t>
  </si>
  <si>
    <t>Section XIX</t>
  </si>
  <si>
    <t>Arms &amp; ammunition; parts &amp; accessories thereof</t>
  </si>
  <si>
    <t>Section XX</t>
  </si>
  <si>
    <t>Miscellaneous manufactured articles</t>
  </si>
  <si>
    <t>Section  XXI</t>
  </si>
  <si>
    <t>Work of art, collectors pieces &amp; antiques</t>
  </si>
  <si>
    <t>% urwvcnim ivurutia eruvcSwrwhwa Iruk</t>
  </si>
  <si>
    <t>Vehicles, Aircraft, Vessels And Associated Transport Equipment</t>
  </si>
  <si>
    <t>(cnuhWh Wyifur) ugwa .cfea.iawa.Is</t>
  </si>
  <si>
    <t>wlcmuj</t>
  </si>
  <si>
    <t>cmwTcsis cDcziawnomWh</t>
  </si>
  <si>
    <t>cnudcaefua egutwvWbedim ;inUd iaWrWvwnwjErid</t>
  </si>
  <si>
    <r>
      <t>I</t>
    </r>
    <r>
      <rPr>
        <sz val="9"/>
        <rFont val="A_Randhoo"/>
      </rPr>
      <t xml:space="preserve"> cnwxckes</t>
    </r>
  </si>
  <si>
    <t>cawtctwvWb egIrWkurwt iaWscaeg Whwgcswg</t>
  </si>
  <si>
    <r>
      <t>II</t>
    </r>
    <r>
      <rPr>
        <sz val="9"/>
        <rFont val="A_Randhoo"/>
      </rPr>
      <t xml:space="preserve"> cnwxckes</t>
    </r>
  </si>
  <si>
    <t>...cawtctwvWbim iaWkwtctwvWb egIburws ,oyet egIrWkurwt iaWrWvwnwj</t>
  </si>
  <si>
    <r>
      <t>III</t>
    </r>
    <r>
      <rPr>
        <sz val="9"/>
        <rFont val="A_Randhoo"/>
      </rPr>
      <t xml:space="preserve"> cnwxckes</t>
    </r>
  </si>
  <si>
    <t>....Wrugnwb iaWtwvWb egukwtcniaubinif ,cawtwvWb egWnWk IrWycawt</t>
  </si>
  <si>
    <r>
      <t>IV</t>
    </r>
    <r>
      <rPr>
        <sz val="9"/>
        <rFont val="A_Randhoo"/>
      </rPr>
      <t xml:space="preserve"> cnwxckes</t>
    </r>
  </si>
  <si>
    <t>cawtcnudcaefua egunwdcAwm</t>
  </si>
  <si>
    <r>
      <t>V</t>
    </r>
    <r>
      <rPr>
        <sz val="9"/>
        <rFont val="A_Randhoo"/>
      </rPr>
      <t xml:space="preserve"> cnwxckes</t>
    </r>
  </si>
  <si>
    <t>WviawfiLug iaWmwkea csevcnUnea idwa iaWncnutwkcawswmclwkimek</t>
  </si>
  <si>
    <r>
      <t>VI</t>
    </r>
    <r>
      <rPr>
        <sz val="9"/>
        <rFont val="A_Randhoo"/>
      </rPr>
      <t xml:space="preserve"> cnwxckes</t>
    </r>
  </si>
  <si>
    <t>cawtctwvWb egurwbwr iaWkiTcsWlcp</t>
  </si>
  <si>
    <r>
      <t>VII</t>
    </r>
    <r>
      <rPr>
        <sz val="9"/>
        <rFont val="A_Randhoo"/>
      </rPr>
      <t xml:space="preserve"> cnwxckes</t>
    </r>
  </si>
  <si>
    <t>.....iawfcSokurWycawt cSwmudehitekwt ,iaWmwhOr egurWvwnwj egutwvWbikea</t>
  </si>
  <si>
    <r>
      <t>VIII</t>
    </r>
    <r>
      <rPr>
        <sz val="9"/>
        <rFont val="A_Randhoo"/>
      </rPr>
      <t xml:space="preserve"> cnwxckes</t>
    </r>
  </si>
  <si>
    <t>,ilediDukwl ,itekwtwncnuhiawfWdwh cniDukwliaWaiDukwl</t>
  </si>
  <si>
    <r>
      <t>IX</t>
    </r>
    <r>
      <rPr>
        <sz val="9"/>
        <rFont val="A_Randhoo"/>
      </rPr>
      <t xml:space="preserve"> cnwxckes</t>
    </r>
  </si>
  <si>
    <t xml:space="preserve">itekwtcncnuhiawfWdwh cnudwmiLufiaWdwmiLuf </t>
  </si>
  <si>
    <t>cawtctwvWb Wdcawfua csWdurwk</t>
  </si>
  <si>
    <r>
      <t>X</t>
    </r>
    <r>
      <rPr>
        <sz val="9"/>
        <rFont val="A_Randhoo"/>
      </rPr>
      <t xml:space="preserve"> cnwxckes</t>
    </r>
  </si>
  <si>
    <t>cawtctwvWb wncnuh iawfWdwhcnitof iaWCcaof</t>
  </si>
  <si>
    <r>
      <t>XI</t>
    </r>
    <r>
      <rPr>
        <sz val="9"/>
        <rFont val="A_Randhoo"/>
      </rPr>
      <t xml:space="preserve"> cnwxckes</t>
    </r>
  </si>
  <si>
    <t>.......wDuk ,cawturwtcawv egIfot iaWlwhikWt ,cawtctwvWb egunWviawf</t>
  </si>
  <si>
    <r>
      <t>XII</t>
    </r>
    <r>
      <rPr>
        <sz val="9"/>
        <rFont val="A_Randhoo"/>
      </rPr>
      <t xml:space="preserve"> cnwxckes</t>
    </r>
  </si>
  <si>
    <t>Wlifitcnemis ,itcnemis ,wvua  ,wlih iaWlwg</t>
  </si>
  <si>
    <r>
      <t>XIII</t>
    </r>
    <r>
      <rPr>
        <sz val="9"/>
        <rFont val="A_Randhoo"/>
      </rPr>
      <t xml:space="preserve"> cnwxckes</t>
    </r>
  </si>
  <si>
    <t>....cnwdcAwm Itwmugwa ,urihWvwj wncnuhugwa cSwrwvcnimikea ,ctum</t>
  </si>
  <si>
    <r>
      <t>XIV</t>
    </r>
    <r>
      <rPr>
        <sz val="9"/>
        <rFont val="A_Randhoo"/>
      </rPr>
      <t xml:space="preserve"> cnwxckes</t>
    </r>
  </si>
  <si>
    <t>......wncnuhiawfWdwh cnukwtctwvWbea iaWkwtWdcaWm ,cnwduawmulcswa</t>
  </si>
  <si>
    <r>
      <t>XV</t>
    </r>
    <r>
      <rPr>
        <sz val="9"/>
        <rFont val="A_Randhoo"/>
      </rPr>
      <t xml:space="preserve"> cnwxckes</t>
    </r>
  </si>
  <si>
    <t>WrukcnunEb iawgutwkcawswmegcnixem iaWnixem ikeaikea</t>
  </si>
  <si>
    <r>
      <t>XVI</t>
    </r>
    <r>
      <rPr>
        <sz val="9"/>
        <rFont val="A_Randhoo"/>
      </rPr>
      <t xml:space="preserve"> cnwxckes    </t>
    </r>
  </si>
  <si>
    <t>.....iaWkwtctwvWb eguTObWdcnitwm ,iaWdnwLua Wvcaud iawgumwgcaea</t>
  </si>
  <si>
    <r>
      <t>XVII</t>
    </r>
    <r>
      <rPr>
        <sz val="9"/>
        <rFont val="A_Randhoo"/>
      </rPr>
      <t xml:space="preserve"> cnwxckes</t>
    </r>
  </si>
  <si>
    <t>.....iawgumudeh umclif iaWycawgumugenOTof ,cawtctwvWb egImurud iaWniawa</t>
  </si>
  <si>
    <r>
      <t>XVIII</t>
    </r>
    <r>
      <rPr>
        <sz val="9"/>
        <rFont val="A_Randhoo"/>
      </rPr>
      <t xml:space="preserve"> cnwxckes</t>
    </r>
  </si>
  <si>
    <t>unWmWs itekwtim idwa ,cnwzwv iaWrWyitwh</t>
  </si>
  <si>
    <r>
      <t>XIX</t>
    </r>
    <r>
      <rPr>
        <sz val="9"/>
        <rFont val="A_Randhoo"/>
      </rPr>
      <t xml:space="preserve"> cnwxckes</t>
    </r>
  </si>
  <si>
    <t>itekwtcnehea WviawfcSokurWycawt</t>
  </si>
  <si>
    <r>
      <t>XX</t>
    </r>
    <r>
      <rPr>
        <sz val="9"/>
        <rFont val="A_Randhoo"/>
      </rPr>
      <t xml:space="preserve"> cnwxckes</t>
    </r>
  </si>
  <si>
    <t>.egumurukcaeaiteCcaea ,iaWCcaekwt EverukwgwhWf iawgugnor egumwkirevuDWf</t>
  </si>
  <si>
    <r>
      <t>XXI</t>
    </r>
    <r>
      <rPr>
        <sz val="9"/>
        <rFont val="A_Randhoo"/>
      </rPr>
      <t xml:space="preserve"> cnwxckes</t>
    </r>
  </si>
  <si>
    <t>cswsivrws cscmwTcswk cscviDclOm :ctWrwf ivcaedutWmUluAwm</t>
  </si>
  <si>
    <t>Raw Hides &amp; Skins, Leather, Furskins &amp; Articles There Of;Saddlery And Harness;Travel Goods,Handbags And Similar Containers;Articles Of Animal Gut(Other Than Silk-Worm Gut)</t>
  </si>
  <si>
    <t>Wood; Articles Of Wood; Wood Charcoal; Cork &amp; Articles Of Cork;Manufactures Of Straw,Of Esparto Or Of Other Plaiting Materials;Basketware And Wikerwork</t>
  </si>
  <si>
    <t>Machinery &amp; Mechanical Appliances; Electrical Equipment;Parts Thereof;Sound Recorders And Reproducers,Television Image And Sound Recorders And Reproducers,And Parts And Accessories Of Such Articles</t>
  </si>
  <si>
    <t>Optical, Photographic, Cinematographic,Measuring,Checking,Precision ,Medical Or Surgical Instruments And Apparatus;Clocks And Watches;Musical Instruments; Parts And Accessories Thereof</t>
  </si>
  <si>
    <t>Prepared Foodstuffs; Baverages, Spirits And And Vinegar;Tobacco And 
Manufactured Tobacco Substitues</t>
  </si>
  <si>
    <t>Animal And Vegetable Fats And Oils And Their Cleavage Products;
Prepared Edible Fats;Animal Or Vegetable Waxes</t>
  </si>
  <si>
    <t>Pulp Of Wood Or Of Other Fibrous Cellulosic Material;Recovered
(Waste And Scrap)Paper Or Paperboard;Paper And Paperboard And Articles Thereof</t>
  </si>
  <si>
    <t>Footware, Headgear, Umbrellas, Sunumbrellas,Walking-Sticks,Seat-Sticks,
Whips,Riding-Crops And Parts Thereof;Prepared Feathers And Articles Made Therewith;Artificial Flowers;Articles Of Human Hair</t>
  </si>
  <si>
    <t>Articles Of Stone, Plaster, Cement, Asbestos ,Mica Or Similar Materials;
Ceramic Products;Glass And Glassware</t>
  </si>
  <si>
    <t>Natural Or Cultures Pearls, Precious And Semi-Precious Stones, Precious 
Metals,Metals Clad With Precious Metal And Articles Therfof;Imitation 
Jewellery;Coin</t>
  </si>
  <si>
    <t>cniawtcaws ctogWviawfiheb</t>
  </si>
  <si>
    <t>Percentage  Share</t>
  </si>
  <si>
    <t>2016 - 2014 ,WsWluh egukwtctwvWbegulwdum uDnwgiawm unuverukeretea cSwaejcaWr ,cnutog egukwtiawb egcmwTcsis cDcziawnomWh : 15:2 clwvWt</t>
  </si>
  <si>
    <t>Table 15:2  : SUMMARY OF IMPORTS CLASSIFIED BY HARMONIZED SYSTEM, 2014 - 2016</t>
  </si>
  <si>
    <t xml:space="preserve">C.I.F. Value (in MVR. '000)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</si>
</sst>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3" formatCode="_(* #,##0.00_);_(* \(#,##0.00\);_(* &quot;-&quot;??_);_(@_)"/>
    <numFmt numFmtId="164" formatCode="_-* #,##0.00\ _ރ_._-;_-* #,##0.00\ _ރ_.\-;_-* &quot;-&quot;??\ _ރ_._-;_-@_-"/>
    <numFmt numFmtId="165" formatCode="General_)"/>
    <numFmt numFmtId="166" formatCode="0.0"/>
    <numFmt numFmtId="167" formatCode="#,##0.0"/>
    <numFmt numFmtId="168" formatCode="_(* #,##0_);_(* \(#,##0\);_(* &quot;-&quot;??_);_(@_)"/>
    <numFmt numFmtId="170" formatCode="0.00_)"/>
    <numFmt numFmtId="171" formatCode="0.0%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name val="A_Randhoo"/>
    </font>
    <font>
      <sz val="8"/>
      <name val="Arial"/>
      <family val="2"/>
    </font>
    <font>
      <sz val="10"/>
      <name val="Arial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9"/>
      <name val="A_Randhoo"/>
    </font>
    <font>
      <b/>
      <sz val="12"/>
      <name val="A_Randhoo"/>
    </font>
    <font>
      <b/>
      <i/>
      <sz val="16"/>
      <name val="Helv"/>
    </font>
    <font>
      <b/>
      <sz val="9"/>
      <name val="Calibri"/>
      <family val="2"/>
    </font>
    <font>
      <sz val="9"/>
      <name val="Calibri"/>
      <family val="2"/>
    </font>
    <font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i/>
      <sz val="9"/>
      <name val="Calibri"/>
      <family val="2"/>
      <scheme val="minor"/>
    </font>
    <font>
      <i/>
      <sz val="10"/>
      <name val="Calibri"/>
      <family val="2"/>
      <scheme val="minor"/>
    </font>
    <font>
      <sz val="9"/>
      <color indexed="8"/>
      <name val="Calibri"/>
      <family val="2"/>
      <scheme val="minor"/>
    </font>
    <font>
      <i/>
      <sz val="9"/>
      <color indexed="1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name val="A_Haleem Gadhooni"/>
      <family val="2"/>
    </font>
    <font>
      <sz val="11"/>
      <color indexed="8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47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 style="dotted">
        <color indexed="64"/>
      </bottom>
      <diagonal/>
    </border>
    <border>
      <left/>
      <right style="hair">
        <color indexed="64"/>
      </right>
      <top/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</borders>
  <cellStyleXfs count="70">
    <xf numFmtId="0" fontId="0" fillId="0" borderId="0"/>
    <xf numFmtId="0" fontId="3" fillId="0" borderId="0"/>
    <xf numFmtId="43" fontId="3" fillId="0" borderId="0" applyFont="0" applyFill="0" applyBorder="0" applyAlignment="0" applyProtection="0"/>
    <xf numFmtId="164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170" fontId="15" fillId="0" borderId="0"/>
    <xf numFmtId="0" fontId="18" fillId="0" borderId="0"/>
    <xf numFmtId="9" fontId="3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0" applyNumberFormat="0" applyFill="0" applyAlignment="0" applyProtection="0"/>
    <xf numFmtId="0" fontId="34" fillId="0" borderId="11" applyNumberFormat="0" applyFill="0" applyAlignment="0" applyProtection="0"/>
    <xf numFmtId="0" fontId="35" fillId="0" borderId="12" applyNumberFormat="0" applyFill="0" applyAlignment="0" applyProtection="0"/>
    <xf numFmtId="0" fontId="35" fillId="0" borderId="0" applyNumberFormat="0" applyFill="0" applyBorder="0" applyAlignment="0" applyProtection="0"/>
    <xf numFmtId="0" fontId="36" fillId="3" borderId="0" applyNumberFormat="0" applyBorder="0" applyAlignment="0" applyProtection="0"/>
    <xf numFmtId="0" fontId="37" fillId="4" borderId="0" applyNumberFormat="0" applyBorder="0" applyAlignment="0" applyProtection="0"/>
    <xf numFmtId="0" fontId="38" fillId="5" borderId="0" applyNumberFormat="0" applyBorder="0" applyAlignment="0" applyProtection="0"/>
    <xf numFmtId="0" fontId="39" fillId="6" borderId="13" applyNumberFormat="0" applyAlignment="0" applyProtection="0"/>
    <xf numFmtId="0" fontId="40" fillId="7" borderId="14" applyNumberFormat="0" applyAlignment="0" applyProtection="0"/>
    <xf numFmtId="0" fontId="41" fillId="7" borderId="13" applyNumberFormat="0" applyAlignment="0" applyProtection="0"/>
    <xf numFmtId="0" fontId="42" fillId="0" borderId="15" applyNumberFormat="0" applyFill="0" applyAlignment="0" applyProtection="0"/>
    <xf numFmtId="0" fontId="43" fillId="8" borderId="16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3" fillId="0" borderId="18" applyNumberFormat="0" applyFill="0" applyAlignment="0" applyProtection="0"/>
    <xf numFmtId="0" fontId="46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46" fillId="33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9" borderId="17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9" borderId="17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48" fillId="34" borderId="0" applyNumberFormat="0" applyBorder="0" applyAlignment="0" applyProtection="0"/>
  </cellStyleXfs>
  <cellXfs count="97">
    <xf numFmtId="0" fontId="0" fillId="0" borderId="0" xfId="0"/>
    <xf numFmtId="3" fontId="24" fillId="2" borderId="0" xfId="0" applyNumberFormat="1" applyFont="1" applyFill="1" applyBorder="1" applyAlignment="1" applyProtection="1">
      <alignment horizontal="right" vertical="center"/>
    </xf>
    <xf numFmtId="3" fontId="25" fillId="2" borderId="0" xfId="0" applyNumberFormat="1" applyFont="1" applyFill="1" applyBorder="1" applyAlignment="1" applyProtection="1">
      <alignment horizontal="right" vertical="center"/>
    </xf>
    <xf numFmtId="3" fontId="25" fillId="2" borderId="1" xfId="0" applyNumberFormat="1" applyFont="1" applyFill="1" applyBorder="1" applyAlignment="1" applyProtection="1">
      <alignment horizontal="right" vertical="center"/>
    </xf>
    <xf numFmtId="0" fontId="26" fillId="2" borderId="0" xfId="0" applyFont="1" applyFill="1" applyBorder="1" applyAlignment="1">
      <alignment vertical="center"/>
    </xf>
    <xf numFmtId="168" fontId="25" fillId="2" borderId="0" xfId="2" applyNumberFormat="1" applyFont="1" applyFill="1" applyBorder="1" applyAlignment="1">
      <alignment horizontal="right" vertical="center"/>
    </xf>
    <xf numFmtId="0" fontId="11" fillId="2" borderId="0" xfId="0" applyFont="1" applyFill="1" applyBorder="1" applyAlignment="1" applyProtection="1">
      <alignment vertical="center"/>
    </xf>
    <xf numFmtId="0" fontId="12" fillId="2" borderId="0" xfId="0" applyFont="1" applyFill="1"/>
    <xf numFmtId="43" fontId="11" fillId="2" borderId="0" xfId="4" applyFont="1" applyFill="1" applyBorder="1" applyAlignment="1" applyProtection="1">
      <alignment vertical="center"/>
    </xf>
    <xf numFmtId="0" fontId="17" fillId="2" borderId="0" xfId="0" applyFont="1" applyFill="1"/>
    <xf numFmtId="0" fontId="6" fillId="2" borderId="1" xfId="0" applyFont="1" applyFill="1" applyBorder="1" applyAlignment="1" applyProtection="1">
      <alignment horizontal="right" vertical="center"/>
    </xf>
    <xf numFmtId="171" fontId="17" fillId="2" borderId="0" xfId="7" applyNumberFormat="1" applyFont="1" applyFill="1"/>
    <xf numFmtId="43" fontId="17" fillId="2" borderId="0" xfId="0" applyNumberFormat="1" applyFont="1" applyFill="1"/>
    <xf numFmtId="0" fontId="8" fillId="2" borderId="0" xfId="0" applyFont="1" applyFill="1" applyBorder="1" applyAlignment="1">
      <alignment horizontal="right" vertical="center"/>
    </xf>
    <xf numFmtId="171" fontId="17" fillId="2" borderId="0" xfId="7" applyNumberFormat="1" applyFont="1" applyFill="1" applyAlignment="1">
      <alignment vertical="center"/>
    </xf>
    <xf numFmtId="0" fontId="17" fillId="2" borderId="0" xfId="0" applyFont="1" applyFill="1" applyAlignment="1">
      <alignment vertical="center"/>
    </xf>
    <xf numFmtId="0" fontId="8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right" vertical="center"/>
    </xf>
    <xf numFmtId="0" fontId="28" fillId="2" borderId="0" xfId="0" applyFont="1" applyFill="1" applyAlignment="1" applyProtection="1">
      <alignment horizontal="left" vertical="center"/>
    </xf>
    <xf numFmtId="0" fontId="2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8" fillId="2" borderId="0" xfId="0" applyFont="1" applyFill="1" applyAlignment="1">
      <alignment horizontal="right" vertical="center"/>
    </xf>
    <xf numFmtId="0" fontId="12" fillId="2" borderId="0" xfId="0" applyFont="1" applyFill="1" applyAlignment="1">
      <alignment vertical="center"/>
    </xf>
    <xf numFmtId="0" fontId="12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top"/>
    </xf>
    <xf numFmtId="43" fontId="12" fillId="2" borderId="0" xfId="4" applyFont="1" applyFill="1"/>
    <xf numFmtId="0" fontId="16" fillId="2" borderId="0" xfId="0" applyFont="1" applyFill="1"/>
    <xf numFmtId="167" fontId="24" fillId="2" borderId="0" xfId="0" applyNumberFormat="1" applyFont="1" applyFill="1" applyBorder="1" applyAlignment="1" applyProtection="1">
      <alignment horizontal="right" vertical="center"/>
    </xf>
    <xf numFmtId="0" fontId="24" fillId="2" borderId="1" xfId="0" applyFont="1" applyFill="1" applyBorder="1" applyAlignment="1" applyProtection="1">
      <alignment horizontal="right" vertical="center"/>
    </xf>
    <xf numFmtId="168" fontId="25" fillId="2" borderId="0" xfId="2" applyNumberFormat="1" applyFont="1" applyFill="1" applyBorder="1" applyAlignment="1" applyProtection="1">
      <alignment horizontal="right" vertical="center"/>
    </xf>
    <xf numFmtId="0" fontId="26" fillId="2" borderId="1" xfId="0" applyFont="1" applyFill="1" applyBorder="1" applyAlignment="1">
      <alignment horizontal="center" vertical="center"/>
    </xf>
    <xf numFmtId="167" fontId="25" fillId="2" borderId="0" xfId="0" applyNumberFormat="1" applyFont="1" applyFill="1" applyBorder="1" applyAlignment="1" applyProtection="1">
      <alignment horizontal="right" vertical="center"/>
    </xf>
    <xf numFmtId="167" fontId="24" fillId="2" borderId="2" xfId="0" applyNumberFormat="1" applyFont="1" applyFill="1" applyBorder="1" applyAlignment="1" applyProtection="1">
      <alignment horizontal="right" vertical="center"/>
    </xf>
    <xf numFmtId="167" fontId="25" fillId="2" borderId="1" xfId="0" applyNumberFormat="1" applyFont="1" applyFill="1" applyBorder="1" applyAlignment="1" applyProtection="1">
      <alignment horizontal="right" vertical="center"/>
    </xf>
    <xf numFmtId="0" fontId="25" fillId="2" borderId="0" xfId="0" applyFont="1" applyFill="1" applyBorder="1" applyAlignment="1">
      <alignment horizontal="right" vertical="center"/>
    </xf>
    <xf numFmtId="0" fontId="25" fillId="2" borderId="0" xfId="0" applyFont="1" applyFill="1" applyBorder="1" applyAlignment="1">
      <alignment horizontal="left" vertical="top"/>
    </xf>
    <xf numFmtId="3" fontId="4" fillId="2" borderId="0" xfId="0" applyNumberFormat="1" applyFont="1" applyFill="1" applyBorder="1" applyAlignment="1" applyProtection="1">
      <alignment horizontal="right"/>
    </xf>
    <xf numFmtId="168" fontId="24" fillId="2" borderId="0" xfId="2" applyNumberFormat="1" applyFont="1" applyFill="1" applyBorder="1" applyAlignment="1" applyProtection="1">
      <alignment horizontal="right" vertical="center"/>
    </xf>
    <xf numFmtId="168" fontId="24" fillId="2" borderId="2" xfId="2" applyNumberFormat="1" applyFont="1" applyFill="1" applyBorder="1" applyAlignment="1" applyProtection="1">
      <alignment horizontal="right" vertical="center"/>
    </xf>
    <xf numFmtId="0" fontId="29" fillId="2" borderId="0" xfId="0" applyFont="1" applyFill="1" applyBorder="1" applyAlignment="1" applyProtection="1">
      <alignment horizontal="left" vertical="center"/>
    </xf>
    <xf numFmtId="3" fontId="5" fillId="2" borderId="0" xfId="0" applyNumberFormat="1" applyFont="1" applyFill="1" applyBorder="1" applyAlignment="1" applyProtection="1">
      <alignment horizontal="right" vertical="center"/>
    </xf>
    <xf numFmtId="43" fontId="25" fillId="2" borderId="0" xfId="4" applyFont="1" applyFill="1" applyBorder="1" applyAlignment="1" applyProtection="1">
      <alignment horizontal="right" vertical="center"/>
    </xf>
    <xf numFmtId="0" fontId="29" fillId="2" borderId="1" xfId="0" applyFont="1" applyFill="1" applyBorder="1" applyAlignment="1" applyProtection="1">
      <alignment horizontal="left" vertical="center"/>
    </xf>
    <xf numFmtId="3" fontId="5" fillId="2" borderId="1" xfId="0" applyNumberFormat="1" applyFont="1" applyFill="1" applyBorder="1" applyAlignment="1" applyProtection="1">
      <alignment horizontal="right" vertical="center"/>
    </xf>
    <xf numFmtId="168" fontId="25" fillId="2" borderId="1" xfId="2" applyNumberFormat="1" applyFont="1" applyFill="1" applyBorder="1" applyAlignment="1" applyProtection="1">
      <alignment horizontal="right" vertical="center"/>
    </xf>
    <xf numFmtId="0" fontId="12" fillId="2" borderId="0" xfId="0" applyFont="1" applyFill="1" applyBorder="1" applyAlignment="1">
      <alignment horizontal="right" vertical="center"/>
    </xf>
    <xf numFmtId="167" fontId="24" fillId="2" borderId="3" xfId="0" applyNumberFormat="1" applyFont="1" applyFill="1" applyBorder="1" applyAlignment="1" applyProtection="1">
      <alignment horizontal="right" vertical="center"/>
    </xf>
    <xf numFmtId="167" fontId="25" fillId="2" borderId="4" xfId="0" applyNumberFormat="1" applyFont="1" applyFill="1" applyBorder="1" applyAlignment="1" applyProtection="1">
      <alignment horizontal="right" vertical="center"/>
    </xf>
    <xf numFmtId="167" fontId="25" fillId="2" borderId="5" xfId="0" applyNumberFormat="1" applyFont="1" applyFill="1" applyBorder="1" applyAlignment="1" applyProtection="1">
      <alignment horizontal="right" vertical="center"/>
    </xf>
    <xf numFmtId="0" fontId="24" fillId="2" borderId="5" xfId="0" applyFont="1" applyFill="1" applyBorder="1" applyAlignment="1" applyProtection="1">
      <alignment horizontal="right" vertical="center"/>
    </xf>
    <xf numFmtId="37" fontId="25" fillId="2" borderId="0" xfId="4" applyNumberFormat="1" applyFont="1" applyFill="1" applyBorder="1" applyAlignment="1" applyProtection="1">
      <alignment horizontal="right" vertical="center"/>
    </xf>
    <xf numFmtId="0" fontId="27" fillId="2" borderId="0" xfId="0" applyFont="1" applyFill="1" applyBorder="1" applyAlignment="1" applyProtection="1">
      <alignment horizontal="left" vertical="top"/>
    </xf>
    <xf numFmtId="0" fontId="26" fillId="2" borderId="0" xfId="0" applyFont="1" applyFill="1" applyBorder="1" applyAlignment="1">
      <alignment vertical="center" wrapText="1"/>
    </xf>
    <xf numFmtId="0" fontId="30" fillId="2" borderId="0" xfId="0" applyFont="1" applyFill="1" applyBorder="1" applyAlignment="1">
      <alignment vertical="center" wrapText="1"/>
    </xf>
    <xf numFmtId="0" fontId="30" fillId="2" borderId="0" xfId="0" applyFont="1" applyFill="1" applyBorder="1" applyAlignment="1">
      <alignment vertical="center"/>
    </xf>
    <xf numFmtId="0" fontId="26" fillId="2" borderId="1" xfId="0" applyFont="1" applyFill="1" applyBorder="1" applyAlignment="1">
      <alignment vertical="center"/>
    </xf>
    <xf numFmtId="0" fontId="31" fillId="2" borderId="0" xfId="0" applyFont="1" applyFill="1" applyAlignment="1">
      <alignment vertical="top"/>
    </xf>
    <xf numFmtId="0" fontId="17" fillId="2" borderId="0" xfId="0" applyFont="1" applyFill="1" applyAlignment="1">
      <alignment vertical="top"/>
    </xf>
    <xf numFmtId="3" fontId="24" fillId="2" borderId="2" xfId="0" applyNumberFormat="1" applyFont="1" applyFill="1" applyBorder="1" applyAlignment="1" applyProtection="1">
      <alignment horizontal="right" vertical="center"/>
    </xf>
    <xf numFmtId="167" fontId="24" fillId="2" borderId="4" xfId="0" applyNumberFormat="1" applyFont="1" applyFill="1" applyBorder="1" applyAlignment="1" applyProtection="1">
      <alignment horizontal="right" vertical="center"/>
    </xf>
    <xf numFmtId="0" fontId="13" fillId="2" borderId="0" xfId="0" applyFont="1" applyFill="1" applyBorder="1" applyAlignment="1">
      <alignment horizontal="right" vertical="center"/>
    </xf>
    <xf numFmtId="0" fontId="26" fillId="2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right" vertical="center"/>
    </xf>
    <xf numFmtId="0" fontId="13" fillId="2" borderId="2" xfId="0" applyFont="1" applyFill="1" applyBorder="1" applyAlignment="1" applyProtection="1">
      <alignment vertical="center"/>
    </xf>
    <xf numFmtId="0" fontId="13" fillId="2" borderId="6" xfId="0" applyFont="1" applyFill="1" applyBorder="1" applyAlignment="1" applyProtection="1">
      <alignment vertical="center"/>
    </xf>
    <xf numFmtId="0" fontId="24" fillId="2" borderId="19" xfId="0" applyFont="1" applyFill="1" applyBorder="1" applyAlignment="1" applyProtection="1">
      <alignment horizontal="right" vertical="center"/>
    </xf>
    <xf numFmtId="0" fontId="12" fillId="2" borderId="0" xfId="0" applyFont="1" applyFill="1" applyBorder="1"/>
    <xf numFmtId="43" fontId="12" fillId="2" borderId="0" xfId="4" applyFont="1" applyFill="1" applyBorder="1"/>
    <xf numFmtId="0" fontId="13" fillId="2" borderId="21" xfId="0" applyFont="1" applyFill="1" applyBorder="1" applyAlignment="1" applyProtection="1">
      <alignment vertical="center" wrapText="1"/>
    </xf>
    <xf numFmtId="0" fontId="16" fillId="2" borderId="22" xfId="0" applyFont="1" applyFill="1" applyBorder="1" applyAlignment="1" applyProtection="1">
      <alignment vertical="center" wrapText="1"/>
    </xf>
    <xf numFmtId="0" fontId="24" fillId="2" borderId="23" xfId="0" applyFont="1" applyFill="1" applyBorder="1" applyAlignment="1" applyProtection="1">
      <alignment horizontal="right" vertical="center"/>
    </xf>
    <xf numFmtId="167" fontId="24" fillId="2" borderId="21" xfId="0" applyNumberFormat="1" applyFont="1" applyFill="1" applyBorder="1" applyAlignment="1" applyProtection="1">
      <alignment horizontal="right" vertical="center"/>
    </xf>
    <xf numFmtId="167" fontId="25" fillId="2" borderId="24" xfId="0" applyNumberFormat="1" applyFont="1" applyFill="1" applyBorder="1" applyAlignment="1" applyProtection="1">
      <alignment horizontal="right" vertical="center"/>
    </xf>
    <xf numFmtId="167" fontId="25" fillId="2" borderId="23" xfId="0" applyNumberFormat="1" applyFont="1" applyFill="1" applyBorder="1" applyAlignment="1" applyProtection="1">
      <alignment horizontal="right" vertical="center"/>
    </xf>
    <xf numFmtId="3" fontId="24" fillId="2" borderId="3" xfId="0" applyNumberFormat="1" applyFont="1" applyFill="1" applyBorder="1" applyAlignment="1" applyProtection="1">
      <alignment horizontal="right" vertical="center"/>
    </xf>
    <xf numFmtId="3" fontId="24" fillId="2" borderId="7" xfId="0" applyNumberFormat="1" applyFont="1" applyFill="1" applyBorder="1" applyAlignment="1" applyProtection="1">
      <alignment horizontal="right" vertical="center"/>
    </xf>
    <xf numFmtId="167" fontId="25" fillId="2" borderId="20" xfId="0" applyNumberFormat="1" applyFont="1" applyFill="1" applyBorder="1" applyAlignment="1" applyProtection="1">
      <alignment horizontal="right" vertical="center"/>
    </xf>
    <xf numFmtId="167" fontId="25" fillId="2" borderId="19" xfId="0" applyNumberFormat="1" applyFont="1" applyFill="1" applyBorder="1" applyAlignment="1" applyProtection="1">
      <alignment horizontal="right" vertical="center"/>
    </xf>
    <xf numFmtId="0" fontId="13" fillId="2" borderId="0" xfId="0" applyFont="1" applyFill="1" applyBorder="1" applyAlignment="1">
      <alignment horizontal="right" vertical="center"/>
    </xf>
    <xf numFmtId="0" fontId="47" fillId="2" borderId="0" xfId="0" applyFont="1" applyFill="1" applyBorder="1" applyAlignment="1">
      <alignment horizontal="center" vertical="center"/>
    </xf>
    <xf numFmtId="0" fontId="13" fillId="2" borderId="3" xfId="0" applyFont="1" applyFill="1" applyBorder="1" applyAlignment="1" applyProtection="1">
      <alignment horizontal="center" vertical="center" wrapText="1"/>
    </xf>
    <xf numFmtId="0" fontId="13" fillId="2" borderId="2" xfId="0" applyFont="1" applyFill="1" applyBorder="1" applyAlignment="1" applyProtection="1">
      <alignment horizontal="center" vertical="center" wrapText="1"/>
    </xf>
    <xf numFmtId="0" fontId="13" fillId="2" borderId="7" xfId="0" applyFont="1" applyFill="1" applyBorder="1" applyAlignment="1" applyProtection="1">
      <alignment horizontal="center" vertical="center" wrapText="1"/>
    </xf>
    <xf numFmtId="0" fontId="16" fillId="2" borderId="8" xfId="0" applyFont="1" applyFill="1" applyBorder="1" applyAlignment="1" applyProtection="1">
      <alignment horizontal="center" vertical="center" wrapText="1"/>
    </xf>
    <xf numFmtId="0" fontId="16" fillId="2" borderId="6" xfId="0" applyFont="1" applyFill="1" applyBorder="1" applyAlignment="1" applyProtection="1">
      <alignment horizontal="center" vertical="center" wrapText="1"/>
    </xf>
    <xf numFmtId="0" fontId="16" fillId="2" borderId="9" xfId="0" applyFont="1" applyFill="1" applyBorder="1" applyAlignment="1" applyProtection="1">
      <alignment horizontal="center" vertical="center" wrapText="1"/>
    </xf>
    <xf numFmtId="0" fontId="26" fillId="2" borderId="0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7" fillId="2" borderId="0" xfId="0" applyFont="1" applyFill="1" applyBorder="1" applyAlignment="1">
      <alignment horizontal="right" vertical="center"/>
    </xf>
    <xf numFmtId="0" fontId="20" fillId="2" borderId="1" xfId="0" applyFont="1" applyFill="1" applyBorder="1" applyAlignment="1" applyProtection="1">
      <alignment horizontal="center" vertical="top"/>
    </xf>
    <xf numFmtId="0" fontId="13" fillId="2" borderId="2" xfId="0" applyFont="1" applyFill="1" applyBorder="1" applyAlignment="1">
      <alignment horizontal="right" vertical="center"/>
    </xf>
    <xf numFmtId="0" fontId="13" fillId="2" borderId="1" xfId="0" applyFont="1" applyFill="1" applyBorder="1" applyAlignment="1">
      <alignment horizontal="right" vertical="center"/>
    </xf>
    <xf numFmtId="0" fontId="27" fillId="2" borderId="2" xfId="0" applyFont="1" applyFill="1" applyBorder="1" applyAlignment="1" applyProtection="1">
      <alignment horizontal="left" vertical="center"/>
    </xf>
    <xf numFmtId="0" fontId="27" fillId="2" borderId="0" xfId="0" applyFont="1" applyFill="1" applyBorder="1" applyAlignment="1" applyProtection="1">
      <alignment horizontal="left" vertical="center"/>
    </xf>
    <xf numFmtId="0" fontId="27" fillId="2" borderId="1" xfId="0" applyFont="1" applyFill="1" applyBorder="1" applyAlignment="1" applyProtection="1">
      <alignment horizontal="left" vertical="center"/>
    </xf>
    <xf numFmtId="0" fontId="16" fillId="2" borderId="6" xfId="0" applyFont="1" applyFill="1" applyBorder="1" applyAlignment="1">
      <alignment horizontal="center" vertical="center"/>
    </xf>
    <xf numFmtId="0" fontId="16" fillId="2" borderId="9" xfId="0" applyFont="1" applyFill="1" applyBorder="1" applyAlignment="1">
      <alignment horizontal="center" vertical="center"/>
    </xf>
  </cellXfs>
  <cellStyles count="70">
    <cellStyle name="1" xfId="1"/>
    <cellStyle name="20% - Accent1" xfId="26" builtinId="30" customBuiltin="1"/>
    <cellStyle name="20% - Accent1 2" xfId="57"/>
    <cellStyle name="20% - Accent2" xfId="30" builtinId="34" customBuiltin="1"/>
    <cellStyle name="20% - Accent2 2" xfId="59"/>
    <cellStyle name="20% - Accent3" xfId="34" builtinId="38" customBuiltin="1"/>
    <cellStyle name="20% - Accent3 2" xfId="61"/>
    <cellStyle name="20% - Accent4" xfId="38" builtinId="42" customBuiltin="1"/>
    <cellStyle name="20% - Accent4 2" xfId="63"/>
    <cellStyle name="20% - Accent5" xfId="42" builtinId="46" customBuiltin="1"/>
    <cellStyle name="20% - Accent5 2" xfId="65"/>
    <cellStyle name="20% - Accent6" xfId="46" builtinId="50" customBuiltin="1"/>
    <cellStyle name="20% - Accent6 2" xfId="67"/>
    <cellStyle name="40% - Accent1" xfId="27" builtinId="31" customBuiltin="1"/>
    <cellStyle name="40% - Accent1 2" xfId="58"/>
    <cellStyle name="40% - Accent2" xfId="31" builtinId="35" customBuiltin="1"/>
    <cellStyle name="40% - Accent2 2" xfId="60"/>
    <cellStyle name="40% - Accent3" xfId="35" builtinId="39" customBuiltin="1"/>
    <cellStyle name="40% - Accent3 2" xfId="62"/>
    <cellStyle name="40% - Accent4" xfId="39" builtinId="43" customBuiltin="1"/>
    <cellStyle name="40% - Accent4 2" xfId="64"/>
    <cellStyle name="40% - Accent5" xfId="43" builtinId="47" customBuiltin="1"/>
    <cellStyle name="40% - Accent5 2" xfId="66"/>
    <cellStyle name="40% - Accent6" xfId="47" builtinId="51" customBuiltin="1"/>
    <cellStyle name="40% - Accent6 2" xfId="68"/>
    <cellStyle name="60% - Accent1" xfId="28" builtinId="32" customBuiltin="1"/>
    <cellStyle name="60% - Accent2" xfId="32" builtinId="36" customBuiltin="1"/>
    <cellStyle name="60% - Accent3" xfId="36" builtinId="40" customBuiltin="1"/>
    <cellStyle name="60% - Accent4" xfId="40" builtinId="44" customBuiltin="1"/>
    <cellStyle name="60% - Accent5" xfId="44" builtinId="48" customBuiltin="1"/>
    <cellStyle name="60% - Accent6" xfId="48" builtinId="52" customBuiltin="1"/>
    <cellStyle name="Accent1" xfId="25" builtinId="29" customBuiltin="1"/>
    <cellStyle name="Accent1 - 20%" xfId="69"/>
    <cellStyle name="Accent2" xfId="29" builtinId="33" customBuiltin="1"/>
    <cellStyle name="Accent3" xfId="33" builtinId="37" customBuiltin="1"/>
    <cellStyle name="Accent4" xfId="37" builtinId="41" customBuiltin="1"/>
    <cellStyle name="Accent5" xfId="41" builtinId="45" customBuiltin="1"/>
    <cellStyle name="Accent6" xfId="45" builtinId="49" customBuiltin="1"/>
    <cellStyle name="Bad" xfId="15" builtinId="27" customBuiltin="1"/>
    <cellStyle name="Calculation" xfId="19" builtinId="22" customBuiltin="1"/>
    <cellStyle name="Check Cell" xfId="21" builtinId="23" customBuiltin="1"/>
    <cellStyle name="Comma" xfId="2" builtinId="3"/>
    <cellStyle name="Comma 2" xfId="3"/>
    <cellStyle name="Comma 3" xfId="4"/>
    <cellStyle name="Comma 4" xfId="50"/>
    <cellStyle name="Comma 5" xfId="53"/>
    <cellStyle name="Explanatory Text" xfId="23" builtinId="53" customBuiltin="1"/>
    <cellStyle name="Good" xfId="14" builtinId="26" customBuiltin="1"/>
    <cellStyle name="Heading 1" xfId="10" builtinId="16" customBuiltin="1"/>
    <cellStyle name="Heading 2" xfId="11" builtinId="17" customBuiltin="1"/>
    <cellStyle name="Heading 3" xfId="12" builtinId="18" customBuiltin="1"/>
    <cellStyle name="Heading 4" xfId="13" builtinId="19" customBuiltin="1"/>
    <cellStyle name="Input" xfId="17" builtinId="20" customBuiltin="1"/>
    <cellStyle name="Linked Cell" xfId="20" builtinId="24" customBuiltin="1"/>
    <cellStyle name="Neutral" xfId="16" builtinId="28" customBuiltin="1"/>
    <cellStyle name="Normal" xfId="0" builtinId="0"/>
    <cellStyle name="Normal - Style1" xfId="5"/>
    <cellStyle name="Normal 2" xfId="6"/>
    <cellStyle name="Normal 3" xfId="49"/>
    <cellStyle name="Normal 4" xfId="52"/>
    <cellStyle name="Normal 5" xfId="54"/>
    <cellStyle name="Normal 6" xfId="56"/>
    <cellStyle name="Note 2" xfId="51"/>
    <cellStyle name="Note 3" xfId="55"/>
    <cellStyle name="Output" xfId="18" builtinId="21" customBuiltin="1"/>
    <cellStyle name="Percent" xfId="7" builtinId="5"/>
    <cellStyle name="Percent 2" xfId="8"/>
    <cellStyle name="Title" xfId="9" builtinId="15" customBuiltin="1"/>
    <cellStyle name="Total" xfId="24" builtinId="25" customBuiltin="1"/>
    <cellStyle name="Warning Text" xfId="22" builtinId="11" customBuiltin="1"/>
  </cellStyles>
  <dxfs count="0"/>
  <tableStyles count="0" defaultTableStyle="TableStyleMedium9" defaultPivotStyle="PivotStyleLight16"/>
  <colors>
    <mruColors>
      <color rgb="FFF9B277"/>
      <color rgb="FF2A1500"/>
      <color rgb="FFABEBE9"/>
      <color rgb="FF77DFDD"/>
      <color rgb="FF2EC0BD"/>
      <color rgb="FF1C706E"/>
      <color rgb="FF041010"/>
      <color rgb="FF84E2E0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na\c\Dev%20Outlook\worki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TRY monthly"/>
      <sheetName val="ext monthly"/>
      <sheetName val="Import"/>
      <sheetName val="mOnthly imp"/>
      <sheetName val="NATIONAL CALLS"/>
    </sheetNames>
    <sheetDataSet>
      <sheetData sheetId="0" refreshError="1">
        <row r="100">
          <cell r="B100" t="str">
            <v>AU</v>
          </cell>
          <cell r="C100">
            <v>6700795.71</v>
          </cell>
          <cell r="D100">
            <v>5275014.01</v>
          </cell>
          <cell r="E100">
            <v>6077435.3799999999</v>
          </cell>
          <cell r="F100">
            <v>5005831.58</v>
          </cell>
          <cell r="G100">
            <v>5479537.8399999999</v>
          </cell>
        </row>
        <row r="101">
          <cell r="B101" t="str">
            <v>CN</v>
          </cell>
          <cell r="C101">
            <v>2908001.12</v>
          </cell>
          <cell r="D101">
            <v>15711768.279999999</v>
          </cell>
          <cell r="E101">
            <v>1121143.2</v>
          </cell>
          <cell r="F101">
            <v>626416.43999999994</v>
          </cell>
          <cell r="G101">
            <v>777865.95</v>
          </cell>
        </row>
        <row r="102">
          <cell r="B102" t="str">
            <v>EU</v>
          </cell>
          <cell r="C102">
            <v>38720700.050000101</v>
          </cell>
          <cell r="D102">
            <v>31907375.350000001</v>
          </cell>
          <cell r="E102">
            <v>42944361.799999997</v>
          </cell>
          <cell r="F102">
            <v>23848010.579999998</v>
          </cell>
          <cell r="G102">
            <v>35095860.829999998</v>
          </cell>
        </row>
        <row r="103">
          <cell r="B103" t="str">
            <v>HK</v>
          </cell>
          <cell r="C103">
            <v>9502221.4000000004</v>
          </cell>
          <cell r="D103">
            <v>3333004.83</v>
          </cell>
          <cell r="E103">
            <v>4361142.53</v>
          </cell>
          <cell r="F103">
            <v>1409733.32</v>
          </cell>
          <cell r="G103">
            <v>8014935.0300000003</v>
          </cell>
        </row>
        <row r="104">
          <cell r="B104" t="str">
            <v>ID</v>
          </cell>
          <cell r="C104">
            <v>7946077.1500000004</v>
          </cell>
          <cell r="D104">
            <v>5631474.8399999999</v>
          </cell>
          <cell r="E104">
            <v>8958264.8000000007</v>
          </cell>
          <cell r="F104">
            <v>17153200.850000001</v>
          </cell>
          <cell r="G104">
            <v>10811501.18</v>
          </cell>
        </row>
        <row r="105">
          <cell r="B105" t="str">
            <v>IN</v>
          </cell>
          <cell r="C105">
            <v>32942324.510000002</v>
          </cell>
          <cell r="D105">
            <v>37965330.589999899</v>
          </cell>
          <cell r="E105">
            <v>42908855.030000001</v>
          </cell>
          <cell r="F105">
            <v>30957830.27</v>
          </cell>
          <cell r="G105">
            <v>26418991.16</v>
          </cell>
        </row>
        <row r="106">
          <cell r="B106" t="str">
            <v>JA</v>
          </cell>
          <cell r="C106">
            <v>8862453.8000000007</v>
          </cell>
          <cell r="D106">
            <v>7744271.6200000001</v>
          </cell>
          <cell r="E106">
            <v>20316563.219999999</v>
          </cell>
          <cell r="F106">
            <v>26963926.699999999</v>
          </cell>
          <cell r="G106">
            <v>9377332.6700000092</v>
          </cell>
        </row>
        <row r="107">
          <cell r="B107" t="str">
            <v>MA</v>
          </cell>
          <cell r="C107">
            <v>28203628.43</v>
          </cell>
          <cell r="D107">
            <v>37066061.68</v>
          </cell>
          <cell r="E107">
            <v>33995178.200000003</v>
          </cell>
          <cell r="F107">
            <v>74560501.710000098</v>
          </cell>
          <cell r="G107">
            <v>19808373.460000001</v>
          </cell>
        </row>
        <row r="108">
          <cell r="B108" t="str">
            <v>NW</v>
          </cell>
          <cell r="C108">
            <v>732452.34</v>
          </cell>
          <cell r="D108">
            <v>153170.29</v>
          </cell>
          <cell r="E108">
            <v>218683.84</v>
          </cell>
          <cell r="F108">
            <v>331450.82</v>
          </cell>
          <cell r="G108">
            <v>133288.07999999999</v>
          </cell>
        </row>
        <row r="109">
          <cell r="B109" t="str">
            <v>NZ</v>
          </cell>
          <cell r="C109">
            <v>5922.29</v>
          </cell>
          <cell r="D109">
            <v>887198.9</v>
          </cell>
          <cell r="E109">
            <v>2038686.32</v>
          </cell>
          <cell r="F109">
            <v>12337282.560000001</v>
          </cell>
          <cell r="G109">
            <v>5591747.2199999997</v>
          </cell>
        </row>
        <row r="110">
          <cell r="B110" t="str">
            <v>OC</v>
          </cell>
          <cell r="C110">
            <v>11896489.140000001</v>
          </cell>
          <cell r="D110">
            <v>10445010.869999999</v>
          </cell>
          <cell r="E110">
            <v>18618942.84</v>
          </cell>
          <cell r="F110">
            <v>13066912.029999999</v>
          </cell>
          <cell r="G110">
            <v>10570553.970000001</v>
          </cell>
        </row>
        <row r="111">
          <cell r="B111" t="str">
            <v>SI</v>
          </cell>
          <cell r="C111">
            <v>109722703.73999999</v>
          </cell>
          <cell r="D111">
            <v>94510408.769999996</v>
          </cell>
          <cell r="E111">
            <v>132314517.25</v>
          </cell>
          <cell r="F111">
            <v>97605368.640000105</v>
          </cell>
          <cell r="G111">
            <v>92523386.769999996</v>
          </cell>
        </row>
        <row r="112">
          <cell r="B112" t="str">
            <v>SL</v>
          </cell>
          <cell r="C112">
            <v>53661084.200000003</v>
          </cell>
          <cell r="D112">
            <v>32474432.68</v>
          </cell>
          <cell r="E112">
            <v>53027602.509999998</v>
          </cell>
          <cell r="F112">
            <v>37529154.869999997</v>
          </cell>
          <cell r="G112">
            <v>59066954.340000004</v>
          </cell>
        </row>
        <row r="113">
          <cell r="B113" t="str">
            <v>TH</v>
          </cell>
          <cell r="C113">
            <v>11280404.949999999</v>
          </cell>
          <cell r="D113">
            <v>9639860.7899999991</v>
          </cell>
          <cell r="E113">
            <v>30835744.469999999</v>
          </cell>
          <cell r="F113">
            <v>8527904.3900000006</v>
          </cell>
          <cell r="G113">
            <v>10075283.800000001</v>
          </cell>
        </row>
        <row r="114">
          <cell r="B114" t="str">
            <v>UA</v>
          </cell>
          <cell r="C114">
            <v>25924170.59</v>
          </cell>
          <cell r="D114">
            <v>30497447.039999999</v>
          </cell>
          <cell r="E114">
            <v>64394124.799999997</v>
          </cell>
          <cell r="F114">
            <v>28289890.5</v>
          </cell>
          <cell r="G114">
            <v>29577940.41</v>
          </cell>
        </row>
        <row r="115">
          <cell r="B115" t="str">
            <v>US</v>
          </cell>
          <cell r="C115">
            <v>24778140.66</v>
          </cell>
          <cell r="D115">
            <v>20823064.620000001</v>
          </cell>
          <cell r="E115">
            <v>6118069.8700000001</v>
          </cell>
          <cell r="F115">
            <v>3783808.72</v>
          </cell>
          <cell r="G115">
            <v>9151612.0899999999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D46"/>
  <sheetViews>
    <sheetView tabSelected="1" zoomScaleNormal="100" zoomScaleSheetLayoutView="36" workbookViewId="0">
      <selection activeCell="M20" sqref="M20"/>
    </sheetView>
  </sheetViews>
  <sheetFormatPr defaultColWidth="9.140625" defaultRowHeight="12.75" x14ac:dyDescent="0.2"/>
  <cols>
    <col min="1" max="1" width="10.42578125" style="24" customWidth="1"/>
    <col min="2" max="2" width="62.5703125" style="57" customWidth="1"/>
    <col min="3" max="3" width="9" style="7" hidden="1" customWidth="1"/>
    <col min="4" max="7" width="10.42578125" style="7" hidden="1" customWidth="1"/>
    <col min="8" max="8" width="11.85546875" style="7" hidden="1" customWidth="1"/>
    <col min="9" max="9" width="12.85546875" style="7" hidden="1" customWidth="1"/>
    <col min="10" max="10" width="13.7109375" style="7" hidden="1" customWidth="1"/>
    <col min="11" max="11" width="13.140625" style="7" hidden="1" customWidth="1"/>
    <col min="12" max="14" width="13" style="7" customWidth="1"/>
    <col min="15" max="15" width="6.7109375" style="7" hidden="1" customWidth="1"/>
    <col min="16" max="16" width="3.7109375" style="7" hidden="1" customWidth="1"/>
    <col min="17" max="19" width="8.42578125" style="7" customWidth="1"/>
    <col min="20" max="22" width="8.28515625" style="7" hidden="1" customWidth="1"/>
    <col min="23" max="25" width="8.28515625" style="7" customWidth="1"/>
    <col min="26" max="26" width="43.140625" style="7" customWidth="1"/>
    <col min="27" max="27" width="10.7109375" style="25" customWidth="1"/>
    <col min="28" max="28" width="3.42578125" style="25" customWidth="1"/>
    <col min="29" max="29" width="11.5703125" style="7" bestFit="1" customWidth="1"/>
    <col min="30" max="16384" width="9.140625" style="7"/>
  </cols>
  <sheetData>
    <row r="1" spans="1:30" ht="20.25" customHeight="1" x14ac:dyDescent="0.2">
      <c r="A1" s="87" t="s">
        <v>96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6"/>
    </row>
    <row r="2" spans="1:30" ht="20.25" customHeight="1" x14ac:dyDescent="0.2">
      <c r="A2" s="89" t="s">
        <v>97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"/>
      <c r="AC2" s="6"/>
    </row>
    <row r="3" spans="1:30" s="26" customFormat="1" ht="30.75" customHeight="1" x14ac:dyDescent="0.2">
      <c r="A3" s="92" t="s">
        <v>2</v>
      </c>
      <c r="B3" s="92"/>
      <c r="C3" s="63"/>
      <c r="D3" s="63"/>
      <c r="E3" s="63"/>
      <c r="F3" s="63"/>
      <c r="G3" s="63"/>
      <c r="H3" s="63"/>
      <c r="I3" s="63"/>
      <c r="J3" s="63"/>
      <c r="K3" s="63"/>
      <c r="L3" s="81" t="s">
        <v>37</v>
      </c>
      <c r="M3" s="81"/>
      <c r="N3" s="82"/>
      <c r="P3" s="68"/>
      <c r="Q3" s="80" t="s">
        <v>94</v>
      </c>
      <c r="R3" s="81"/>
      <c r="S3" s="82"/>
      <c r="U3" s="80" t="s">
        <v>35</v>
      </c>
      <c r="V3" s="81"/>
      <c r="W3" s="81"/>
      <c r="X3" s="81"/>
      <c r="Y3" s="81"/>
      <c r="Z3" s="90" t="s">
        <v>39</v>
      </c>
      <c r="AA3" s="90"/>
      <c r="AB3" s="90"/>
    </row>
    <row r="4" spans="1:30" s="9" customFormat="1" ht="17.25" customHeight="1" x14ac:dyDescent="0.2">
      <c r="A4" s="93"/>
      <c r="B4" s="93"/>
      <c r="C4" s="64"/>
      <c r="D4" s="64"/>
      <c r="E4" s="64"/>
      <c r="F4" s="64"/>
      <c r="G4" s="64"/>
      <c r="H4" s="64"/>
      <c r="I4" s="64"/>
      <c r="J4" s="64"/>
      <c r="K4" s="64"/>
      <c r="L4" s="95" t="s">
        <v>98</v>
      </c>
      <c r="M4" s="95"/>
      <c r="N4" s="96"/>
      <c r="P4" s="69"/>
      <c r="Q4" s="83" t="s">
        <v>95</v>
      </c>
      <c r="R4" s="84"/>
      <c r="S4" s="85"/>
      <c r="U4" s="83" t="s">
        <v>0</v>
      </c>
      <c r="V4" s="84"/>
      <c r="W4" s="84"/>
      <c r="X4" s="84"/>
      <c r="Y4" s="84"/>
      <c r="Z4" s="78"/>
      <c r="AA4" s="78"/>
      <c r="AB4" s="78"/>
    </row>
    <row r="5" spans="1:30" s="9" customFormat="1" ht="21.75" customHeight="1" x14ac:dyDescent="0.2">
      <c r="A5" s="94"/>
      <c r="B5" s="94"/>
      <c r="C5" s="10">
        <v>2006</v>
      </c>
      <c r="D5" s="28">
        <v>2007</v>
      </c>
      <c r="E5" s="28">
        <v>2008</v>
      </c>
      <c r="F5" s="28">
        <v>2009</v>
      </c>
      <c r="G5" s="28">
        <v>2010</v>
      </c>
      <c r="H5" s="28">
        <v>2011</v>
      </c>
      <c r="I5" s="28">
        <v>2012</v>
      </c>
      <c r="J5" s="28">
        <v>2012</v>
      </c>
      <c r="K5" s="28">
        <v>2013</v>
      </c>
      <c r="L5" s="28">
        <v>2014</v>
      </c>
      <c r="M5" s="28">
        <v>2015</v>
      </c>
      <c r="N5" s="65">
        <v>2016</v>
      </c>
      <c r="O5" s="49">
        <v>2012</v>
      </c>
      <c r="P5" s="70">
        <v>2013</v>
      </c>
      <c r="Q5" s="49">
        <v>2014</v>
      </c>
      <c r="R5" s="28">
        <v>2015</v>
      </c>
      <c r="S5" s="65">
        <v>2016</v>
      </c>
      <c r="T5" s="28">
        <v>2011</v>
      </c>
      <c r="U5" s="49">
        <v>2012</v>
      </c>
      <c r="V5" s="28">
        <v>2013</v>
      </c>
      <c r="W5" s="28">
        <v>2014</v>
      </c>
      <c r="X5" s="28">
        <v>2015</v>
      </c>
      <c r="Y5" s="28">
        <v>2016</v>
      </c>
      <c r="Z5" s="91"/>
      <c r="AA5" s="91"/>
      <c r="AB5" s="91"/>
      <c r="AC5" s="11"/>
    </row>
    <row r="6" spans="1:30" s="9" customFormat="1" ht="19.5" customHeight="1" x14ac:dyDescent="0.2">
      <c r="A6" s="35"/>
      <c r="B6" s="51" t="s">
        <v>3</v>
      </c>
      <c r="C6" s="36">
        <v>11859521.142800001</v>
      </c>
      <c r="D6" s="1">
        <v>14032513.492559999</v>
      </c>
      <c r="E6" s="1">
        <f>SUM(E7:E28)</f>
        <v>17760114.296340004</v>
      </c>
      <c r="F6" s="1">
        <f>SUM(F7:F28)</f>
        <v>12368528.392270001</v>
      </c>
      <c r="G6" s="1">
        <f>SUM(G7:G28)</f>
        <v>14017488.443950009</v>
      </c>
      <c r="H6" s="37">
        <f>SUM(H7:H29)</f>
        <v>20486216.653189994</v>
      </c>
      <c r="I6" s="38">
        <f>J6/1000</f>
        <v>23884653.941069994</v>
      </c>
      <c r="J6" s="38">
        <f>SUM(J7:J29)</f>
        <v>23884653941.069996</v>
      </c>
      <c r="K6" s="38">
        <f>SUM(K7:K29)</f>
        <v>26634885.396760013</v>
      </c>
      <c r="L6" s="38">
        <f>SUM(L7:L29)</f>
        <v>30649233.308270004</v>
      </c>
      <c r="M6" s="38">
        <f>SUM(M7:M29)</f>
        <v>29147779.394449998</v>
      </c>
      <c r="N6" s="38">
        <f>SUM(N7:N29)</f>
        <v>32705613.741919994</v>
      </c>
      <c r="O6" s="46">
        <f>(I6/I$6)*100</f>
        <v>100</v>
      </c>
      <c r="P6" s="71">
        <f>(K6/K$6)*100</f>
        <v>100</v>
      </c>
      <c r="Q6" s="74">
        <f>(L6/L$6)*100</f>
        <v>100</v>
      </c>
      <c r="R6" s="58">
        <f>(M6/M$6)*100</f>
        <v>100</v>
      </c>
      <c r="S6" s="75">
        <f>(N6/N$6)*100</f>
        <v>100</v>
      </c>
      <c r="T6" s="27">
        <f>((H6-G6)/G6)*100</f>
        <v>46.14755514231873</v>
      </c>
      <c r="U6" s="59">
        <f>((I6-H6)/H6)*100</f>
        <v>16.588896551334749</v>
      </c>
      <c r="V6" s="27">
        <f>((K6-I6)/I6)*100</f>
        <v>11.514638070434664</v>
      </c>
      <c r="W6" s="27">
        <f>((L6-K6)/K6)*100</f>
        <v>15.071767164420816</v>
      </c>
      <c r="X6" s="27">
        <f>((M6-L6)/L6)*100</f>
        <v>-4.8988302536588169</v>
      </c>
      <c r="Y6" s="27">
        <f>((N6-M6)/M6)*100</f>
        <v>12.206193478146883</v>
      </c>
      <c r="Z6" s="60" t="s">
        <v>38</v>
      </c>
      <c r="AA6" s="60"/>
      <c r="AB6" s="60"/>
      <c r="AC6" s="11"/>
      <c r="AD6" s="12"/>
    </row>
    <row r="7" spans="1:30" s="15" customFormat="1" ht="23.25" customHeight="1" x14ac:dyDescent="0.2">
      <c r="A7" s="39" t="s">
        <v>4</v>
      </c>
      <c r="B7" s="4" t="s">
        <v>5</v>
      </c>
      <c r="C7" s="40">
        <v>488410.57429000002</v>
      </c>
      <c r="D7" s="2">
        <v>616467.36812999996</v>
      </c>
      <c r="E7" s="2">
        <v>730030.7589700002</v>
      </c>
      <c r="F7" s="2">
        <v>687050.91066000005</v>
      </c>
      <c r="G7" s="2">
        <v>853376.49552000035</v>
      </c>
      <c r="H7" s="29">
        <f>1215930311.08/1000</f>
        <v>1215930.3110799999</v>
      </c>
      <c r="I7" s="29">
        <f t="shared" ref="I7:I28" si="0">J7/1000</f>
        <v>1426033.5267400006</v>
      </c>
      <c r="J7" s="29">
        <v>1426033526.7400005</v>
      </c>
      <c r="K7" s="29">
        <v>1784856.2001800002</v>
      </c>
      <c r="L7" s="29">
        <v>1913126.0952300001</v>
      </c>
      <c r="M7" s="29">
        <v>1876753.2120099999</v>
      </c>
      <c r="N7" s="29">
        <v>1956398.2647099921</v>
      </c>
      <c r="O7" s="47">
        <f t="shared" ref="O7:O28" si="1">(I7/I$6)*100</f>
        <v>5.9705011019142971</v>
      </c>
      <c r="P7" s="72">
        <f t="shared" ref="P7:Q14" si="2">(K7/K$6)*100</f>
        <v>6.7011972215848843</v>
      </c>
      <c r="Q7" s="47">
        <f t="shared" si="2"/>
        <v>6.2420031065305182</v>
      </c>
      <c r="R7" s="31">
        <f t="shared" ref="R7:S28" si="3">(M7/M$6)*100</f>
        <v>6.4387519426860713</v>
      </c>
      <c r="S7" s="76">
        <f t="shared" si="3"/>
        <v>5.9818423838425154</v>
      </c>
      <c r="T7" s="31">
        <f>((H7-G7)/G7)*100</f>
        <v>42.48462635932799</v>
      </c>
      <c r="U7" s="47">
        <f>((I7-H7)/H7)*100</f>
        <v>17.279215243296729</v>
      </c>
      <c r="V7" s="31">
        <f>((K7-I7)/I7)*100</f>
        <v>25.162288733862383</v>
      </c>
      <c r="W7" s="31">
        <f t="shared" ref="W7:W14" si="4">((L7-K7)/K7)*100</f>
        <v>7.1865674689683177</v>
      </c>
      <c r="X7" s="31">
        <f>((M7-L7)/L7)*100</f>
        <v>-1.9012276979906737</v>
      </c>
      <c r="Y7" s="31">
        <f t="shared" ref="Y7:Y28" si="5">((N7-M7)/M7)*100</f>
        <v>4.2437680239637086</v>
      </c>
      <c r="Z7" s="13" t="s">
        <v>40</v>
      </c>
      <c r="AA7" s="62" t="s">
        <v>41</v>
      </c>
      <c r="AB7" s="61">
        <v>1</v>
      </c>
      <c r="AC7" s="14"/>
    </row>
    <row r="8" spans="1:30" s="15" customFormat="1" ht="23.25" customHeight="1" x14ac:dyDescent="0.2">
      <c r="A8" s="39" t="s">
        <v>6</v>
      </c>
      <c r="B8" s="4" t="s">
        <v>7</v>
      </c>
      <c r="C8" s="40">
        <v>628105.65017000004</v>
      </c>
      <c r="D8" s="2">
        <v>803793.14155000029</v>
      </c>
      <c r="E8" s="2">
        <v>1041091.7561199999</v>
      </c>
      <c r="F8" s="2">
        <v>967947.7217900001</v>
      </c>
      <c r="G8" s="2">
        <v>1055868.5432199992</v>
      </c>
      <c r="H8" s="29">
        <f>1360293738.97/1000</f>
        <v>1360293.7389700001</v>
      </c>
      <c r="I8" s="29">
        <f t="shared" si="0"/>
        <v>1563288.3200900005</v>
      </c>
      <c r="J8" s="29">
        <v>1563288320.0900006</v>
      </c>
      <c r="K8" s="29">
        <v>1828228.9638200011</v>
      </c>
      <c r="L8" s="29">
        <v>1946313.1851300001</v>
      </c>
      <c r="M8" s="29">
        <v>2066082.1885499998</v>
      </c>
      <c r="N8" s="29">
        <v>2201236.4511900051</v>
      </c>
      <c r="O8" s="47">
        <f t="shared" si="1"/>
        <v>6.5451579241929254</v>
      </c>
      <c r="P8" s="72">
        <f t="shared" si="2"/>
        <v>6.8640391598696153</v>
      </c>
      <c r="Q8" s="47">
        <f t="shared" si="2"/>
        <v>6.3502834330437601</v>
      </c>
      <c r="R8" s="31">
        <f t="shared" si="3"/>
        <v>7.0883004862572845</v>
      </c>
      <c r="S8" s="76">
        <f t="shared" si="3"/>
        <v>6.730454497995245</v>
      </c>
      <c r="T8" s="31">
        <f t="shared" ref="T8:T14" si="6">((H8-G8)/G8)*100</f>
        <v>28.831732672101335</v>
      </c>
      <c r="U8" s="47">
        <f t="shared" ref="U8:U14" si="7">((I8-H8)/H8)*100</f>
        <v>14.922849036540137</v>
      </c>
      <c r="V8" s="31">
        <f t="shared" ref="V8:V14" si="8">((K8-I8)/I8)*100</f>
        <v>16.947650687670183</v>
      </c>
      <c r="W8" s="31">
        <f t="shared" si="4"/>
        <v>6.4589405182197428</v>
      </c>
      <c r="X8" s="31">
        <f t="shared" ref="X8:X28" si="9">((M8-L8)/L8)*100</f>
        <v>6.153634694305377</v>
      </c>
      <c r="Y8" s="31">
        <f t="shared" si="5"/>
        <v>6.5415724209334583</v>
      </c>
      <c r="Z8" s="13" t="s">
        <v>42</v>
      </c>
      <c r="AA8" s="62" t="s">
        <v>43</v>
      </c>
      <c r="AB8" s="61">
        <v>2</v>
      </c>
      <c r="AC8" s="14"/>
    </row>
    <row r="9" spans="1:30" s="15" customFormat="1" ht="28.5" customHeight="1" x14ac:dyDescent="0.2">
      <c r="A9" s="39" t="s">
        <v>8</v>
      </c>
      <c r="B9" s="52" t="s">
        <v>89</v>
      </c>
      <c r="C9" s="40">
        <v>61707.18879</v>
      </c>
      <c r="D9" s="2">
        <v>64394.99126000001</v>
      </c>
      <c r="E9" s="2">
        <v>88621.043649999992</v>
      </c>
      <c r="F9" s="2">
        <v>68673.84126999999</v>
      </c>
      <c r="G9" s="2">
        <v>78482.229500000016</v>
      </c>
      <c r="H9" s="29">
        <f>117459039.42/1000</f>
        <v>117459.03942</v>
      </c>
      <c r="I9" s="29">
        <f t="shared" si="0"/>
        <v>181457.55082</v>
      </c>
      <c r="J9" s="29">
        <v>181457550.81999999</v>
      </c>
      <c r="K9" s="29">
        <v>155750.13008999996</v>
      </c>
      <c r="L9" s="29">
        <v>201444.61388999998</v>
      </c>
      <c r="M9" s="29">
        <v>158538.83133000002</v>
      </c>
      <c r="N9" s="29">
        <v>182751.59895999977</v>
      </c>
      <c r="O9" s="47">
        <f t="shared" si="1"/>
        <v>0.75972442919920746</v>
      </c>
      <c r="P9" s="72">
        <f t="shared" si="2"/>
        <v>0.58475990329940031</v>
      </c>
      <c r="Q9" s="47">
        <f t="shared" si="2"/>
        <v>0.65725824807384237</v>
      </c>
      <c r="R9" s="31">
        <f t="shared" si="3"/>
        <v>0.54391392628759661</v>
      </c>
      <c r="S9" s="76">
        <f t="shared" si="3"/>
        <v>0.55877746371645154</v>
      </c>
      <c r="T9" s="31">
        <f t="shared" si="6"/>
        <v>49.663229712402575</v>
      </c>
      <c r="U9" s="47">
        <f t="shared" si="7"/>
        <v>54.485812003927251</v>
      </c>
      <c r="V9" s="31">
        <f t="shared" si="8"/>
        <v>-14.167181588106503</v>
      </c>
      <c r="W9" s="31">
        <f t="shared" si="4"/>
        <v>29.338327854747558</v>
      </c>
      <c r="X9" s="31">
        <f t="shared" si="9"/>
        <v>-21.299046785847011</v>
      </c>
      <c r="Y9" s="31">
        <f t="shared" si="5"/>
        <v>15.272452450214333</v>
      </c>
      <c r="Z9" s="13" t="s">
        <v>44</v>
      </c>
      <c r="AA9" s="62" t="s">
        <v>45</v>
      </c>
      <c r="AB9" s="61">
        <v>3</v>
      </c>
      <c r="AC9" s="14"/>
    </row>
    <row r="10" spans="1:30" s="15" customFormat="1" ht="30" customHeight="1" x14ac:dyDescent="0.2">
      <c r="A10" s="39" t="s">
        <v>9</v>
      </c>
      <c r="B10" s="52" t="s">
        <v>88</v>
      </c>
      <c r="C10" s="40">
        <v>733577.75388000009</v>
      </c>
      <c r="D10" s="2">
        <v>862643.73466000007</v>
      </c>
      <c r="E10" s="2">
        <v>987477.95707999996</v>
      </c>
      <c r="F10" s="2">
        <v>1045165.6926099999</v>
      </c>
      <c r="G10" s="2">
        <v>1167430.0894099995</v>
      </c>
      <c r="H10" s="29">
        <f>1633091909.22/1000</f>
        <v>1633091.90922</v>
      </c>
      <c r="I10" s="29">
        <f t="shared" si="0"/>
        <v>1929803.3987199992</v>
      </c>
      <c r="J10" s="29">
        <v>1929803398.7199993</v>
      </c>
      <c r="K10" s="29">
        <v>2270255.4095000001</v>
      </c>
      <c r="L10" s="29">
        <v>2441450.34913</v>
      </c>
      <c r="M10" s="29">
        <v>2380707.0856900001</v>
      </c>
      <c r="N10" s="29">
        <v>2570338.2835499914</v>
      </c>
      <c r="O10" s="47">
        <f t="shared" si="1"/>
        <v>8.0796791256903067</v>
      </c>
      <c r="P10" s="72">
        <f t="shared" si="2"/>
        <v>8.5236162111520262</v>
      </c>
      <c r="Q10" s="47">
        <f t="shared" si="2"/>
        <v>7.9657795174642416</v>
      </c>
      <c r="R10" s="31">
        <f t="shared" si="3"/>
        <v>8.1677134078464597</v>
      </c>
      <c r="S10" s="76">
        <f t="shared" si="3"/>
        <v>7.8590125347670625</v>
      </c>
      <c r="T10" s="31">
        <f t="shared" si="6"/>
        <v>39.887769214971883</v>
      </c>
      <c r="U10" s="47">
        <f t="shared" si="7"/>
        <v>18.168695088429835</v>
      </c>
      <c r="V10" s="31">
        <f t="shared" si="8"/>
        <v>17.641797656995315</v>
      </c>
      <c r="W10" s="31">
        <f t="shared" si="4"/>
        <v>7.5407788442492381</v>
      </c>
      <c r="X10" s="31">
        <f t="shared" si="9"/>
        <v>-2.4879991297650386</v>
      </c>
      <c r="Y10" s="31">
        <f t="shared" si="5"/>
        <v>7.9653309304546616</v>
      </c>
      <c r="Z10" s="13" t="s">
        <v>46</v>
      </c>
      <c r="AA10" s="62" t="s">
        <v>47</v>
      </c>
      <c r="AB10" s="61">
        <v>4</v>
      </c>
      <c r="AC10" s="14"/>
    </row>
    <row r="11" spans="1:30" s="15" customFormat="1" ht="23.25" customHeight="1" x14ac:dyDescent="0.2">
      <c r="A11" s="39" t="s">
        <v>10</v>
      </c>
      <c r="B11" s="4" t="s">
        <v>11</v>
      </c>
      <c r="C11" s="40">
        <v>2719908.4831900001</v>
      </c>
      <c r="D11" s="2">
        <v>3233063.8851100006</v>
      </c>
      <c r="E11" s="2">
        <v>4727590.7078299997</v>
      </c>
      <c r="F11" s="2">
        <v>2949524.8134900001</v>
      </c>
      <c r="G11" s="2">
        <v>3667796.1004800024</v>
      </c>
      <c r="H11" s="29">
        <f>5654910267.84/1000</f>
        <v>5654910.2678399999</v>
      </c>
      <c r="I11" s="29">
        <f t="shared" si="0"/>
        <v>8180981.4141199999</v>
      </c>
      <c r="J11" s="29">
        <v>8180981414.1199999</v>
      </c>
      <c r="K11" s="29">
        <v>8389026.1906900015</v>
      </c>
      <c r="L11" s="29">
        <v>9647042.2125499994</v>
      </c>
      <c r="M11" s="29">
        <v>5717767.5733999992</v>
      </c>
      <c r="N11" s="29">
        <v>5263630.4115100019</v>
      </c>
      <c r="O11" s="47">
        <f t="shared" si="1"/>
        <v>34.252040805383785</v>
      </c>
      <c r="P11" s="72">
        <f t="shared" si="2"/>
        <v>31.496385532450908</v>
      </c>
      <c r="Q11" s="47">
        <f t="shared" si="2"/>
        <v>31.475639587848885</v>
      </c>
      <c r="R11" s="31">
        <f t="shared" si="3"/>
        <v>19.616477454501094</v>
      </c>
      <c r="S11" s="76">
        <f t="shared" si="3"/>
        <v>16.093966170594783</v>
      </c>
      <c r="T11" s="31">
        <f t="shared" si="6"/>
        <v>54.177334642455868</v>
      </c>
      <c r="U11" s="47">
        <f t="shared" si="7"/>
        <v>44.670401945120183</v>
      </c>
      <c r="V11" s="31">
        <f t="shared" si="8"/>
        <v>2.5430295711334319</v>
      </c>
      <c r="W11" s="31">
        <f t="shared" si="4"/>
        <v>14.995972038520069</v>
      </c>
      <c r="X11" s="31">
        <f t="shared" si="9"/>
        <v>-40.730356025998731</v>
      </c>
      <c r="Y11" s="31">
        <f t="shared" si="5"/>
        <v>-7.9425607295182568</v>
      </c>
      <c r="Z11" s="13" t="s">
        <v>48</v>
      </c>
      <c r="AA11" s="62" t="s">
        <v>49</v>
      </c>
      <c r="AB11" s="61">
        <v>5</v>
      </c>
      <c r="AC11" s="14"/>
    </row>
    <row r="12" spans="1:30" s="15" customFormat="1" ht="23.25" customHeight="1" x14ac:dyDescent="0.2">
      <c r="A12" s="39" t="s">
        <v>12</v>
      </c>
      <c r="B12" s="4" t="s">
        <v>13</v>
      </c>
      <c r="C12" s="40">
        <v>556806.70006000006</v>
      </c>
      <c r="D12" s="2">
        <v>650335.52648000023</v>
      </c>
      <c r="E12" s="2">
        <v>750365.71693</v>
      </c>
      <c r="F12" s="2">
        <v>675305.19595000008</v>
      </c>
      <c r="G12" s="2">
        <v>728686.61544999958</v>
      </c>
      <c r="H12" s="29">
        <f>941528631.82/1000</f>
        <v>941528.63182000001</v>
      </c>
      <c r="I12" s="29">
        <f t="shared" si="0"/>
        <v>1195700.2810999996</v>
      </c>
      <c r="J12" s="29">
        <v>1195700281.0999997</v>
      </c>
      <c r="K12" s="29">
        <v>1189263.5340300002</v>
      </c>
      <c r="L12" s="29">
        <v>1487217.2647800001</v>
      </c>
      <c r="M12" s="29">
        <v>1536770.7530100001</v>
      </c>
      <c r="N12" s="29">
        <v>1853999.7230299974</v>
      </c>
      <c r="O12" s="47">
        <f t="shared" si="1"/>
        <v>5.006144464349874</v>
      </c>
      <c r="P12" s="72">
        <f t="shared" si="2"/>
        <v>4.4650597001429846</v>
      </c>
      <c r="Q12" s="47">
        <f t="shared" si="2"/>
        <v>4.8523799920917039</v>
      </c>
      <c r="R12" s="31">
        <f t="shared" si="3"/>
        <v>5.2723424732060904</v>
      </c>
      <c r="S12" s="76">
        <f t="shared" si="3"/>
        <v>5.668750746156026</v>
      </c>
      <c r="T12" s="31">
        <f t="shared" si="6"/>
        <v>29.208992158935164</v>
      </c>
      <c r="U12" s="47">
        <f t="shared" si="7"/>
        <v>26.995636743269181</v>
      </c>
      <c r="V12" s="31">
        <f t="shared" si="8"/>
        <v>-0.53832445904234261</v>
      </c>
      <c r="W12" s="31">
        <f t="shared" si="4"/>
        <v>25.053633801445031</v>
      </c>
      <c r="X12" s="31">
        <f t="shared" si="9"/>
        <v>3.3319602591710318</v>
      </c>
      <c r="Y12" s="31">
        <f t="shared" si="5"/>
        <v>20.642569452773355</v>
      </c>
      <c r="Z12" s="13" t="s">
        <v>50</v>
      </c>
      <c r="AA12" s="62" t="s">
        <v>51</v>
      </c>
      <c r="AB12" s="61">
        <v>6</v>
      </c>
      <c r="AC12" s="14"/>
    </row>
    <row r="13" spans="1:30" s="15" customFormat="1" ht="23.25" customHeight="1" x14ac:dyDescent="0.2">
      <c r="A13" s="39" t="s">
        <v>14</v>
      </c>
      <c r="B13" s="4" t="s">
        <v>15</v>
      </c>
      <c r="C13" s="40">
        <v>362897.57654000004</v>
      </c>
      <c r="D13" s="2">
        <v>489590.76723000058</v>
      </c>
      <c r="E13" s="2">
        <v>514730.98797000002</v>
      </c>
      <c r="F13" s="2">
        <v>369313.53869000002</v>
      </c>
      <c r="G13" s="2">
        <v>413954.03542000032</v>
      </c>
      <c r="H13" s="29">
        <f>621284040.66/1000</f>
        <v>621284.04065999994</v>
      </c>
      <c r="I13" s="29">
        <f t="shared" si="0"/>
        <v>685736.38051000074</v>
      </c>
      <c r="J13" s="29">
        <v>685736380.51000071</v>
      </c>
      <c r="K13" s="29">
        <v>662339.02911999868</v>
      </c>
      <c r="L13" s="29">
        <v>903678.81544999999</v>
      </c>
      <c r="M13" s="29">
        <v>995929.29975000001</v>
      </c>
      <c r="N13" s="29">
        <v>1160778.628180004</v>
      </c>
      <c r="O13" s="47">
        <f t="shared" si="1"/>
        <v>2.8710333513807687</v>
      </c>
      <c r="P13" s="72">
        <f t="shared" si="2"/>
        <v>2.486735044110866</v>
      </c>
      <c r="Q13" s="47">
        <f t="shared" si="2"/>
        <v>2.9484548809453015</v>
      </c>
      <c r="R13" s="31">
        <f t="shared" si="3"/>
        <v>3.41682735508707</v>
      </c>
      <c r="S13" s="76">
        <f t="shared" si="3"/>
        <v>3.549172436694533</v>
      </c>
      <c r="T13" s="31">
        <f t="shared" si="6"/>
        <v>50.085272155794136</v>
      </c>
      <c r="U13" s="47">
        <f t="shared" si="7"/>
        <v>10.374053674633595</v>
      </c>
      <c r="V13" s="31">
        <f t="shared" si="8"/>
        <v>-3.4120038042317105</v>
      </c>
      <c r="W13" s="31">
        <f t="shared" si="4"/>
        <v>36.43750039170299</v>
      </c>
      <c r="X13" s="31">
        <f t="shared" si="9"/>
        <v>10.20832653403107</v>
      </c>
      <c r="Y13" s="31">
        <f t="shared" si="5"/>
        <v>16.552312345001269</v>
      </c>
      <c r="Z13" s="13" t="s">
        <v>52</v>
      </c>
      <c r="AA13" s="62" t="s">
        <v>53</v>
      </c>
      <c r="AB13" s="61">
        <v>7</v>
      </c>
      <c r="AC13" s="14"/>
    </row>
    <row r="14" spans="1:30" s="15" customFormat="1" ht="42" customHeight="1" x14ac:dyDescent="0.2">
      <c r="A14" s="39" t="s">
        <v>16</v>
      </c>
      <c r="B14" s="52" t="s">
        <v>84</v>
      </c>
      <c r="C14" s="40">
        <v>10379.505710000001</v>
      </c>
      <c r="D14" s="2">
        <v>13837.777139999986</v>
      </c>
      <c r="E14" s="2">
        <v>16648.624850000004</v>
      </c>
      <c r="F14" s="2">
        <v>17854.540419999998</v>
      </c>
      <c r="G14" s="2">
        <v>17254.390320000013</v>
      </c>
      <c r="H14" s="29">
        <f>39035676.78/1000</f>
        <v>39035.676780000002</v>
      </c>
      <c r="I14" s="29">
        <f t="shared" si="0"/>
        <v>36257.370850000007</v>
      </c>
      <c r="J14" s="29">
        <v>36257370.850000009</v>
      </c>
      <c r="K14" s="29">
        <v>47826.017059999947</v>
      </c>
      <c r="L14" s="29">
        <v>57626.670429999998</v>
      </c>
      <c r="M14" s="29">
        <v>53386.486340000003</v>
      </c>
      <c r="N14" s="29">
        <v>53811.012350000012</v>
      </c>
      <c r="O14" s="47">
        <f t="shared" si="1"/>
        <v>0.15180195174465122</v>
      </c>
      <c r="P14" s="72">
        <f t="shared" si="2"/>
        <v>0.17956156502110468</v>
      </c>
      <c r="Q14" s="47">
        <f t="shared" si="2"/>
        <v>0.18801994115282075</v>
      </c>
      <c r="R14" s="31">
        <f t="shared" si="3"/>
        <v>0.18315798818679571</v>
      </c>
      <c r="S14" s="76">
        <f t="shared" si="3"/>
        <v>0.16453142501658194</v>
      </c>
      <c r="T14" s="31">
        <f t="shared" si="6"/>
        <v>126.23619876474415</v>
      </c>
      <c r="U14" s="47">
        <f t="shared" si="7"/>
        <v>-7.1173504834005215</v>
      </c>
      <c r="V14" s="31">
        <f t="shared" si="8"/>
        <v>31.907019011004596</v>
      </c>
      <c r="W14" s="31">
        <f t="shared" si="4"/>
        <v>20.492305177127083</v>
      </c>
      <c r="X14" s="31">
        <f t="shared" si="9"/>
        <v>-7.3580237385927267</v>
      </c>
      <c r="Y14" s="31">
        <f>((N14-M14)/M14)*100</f>
        <v>0.79519376363589434</v>
      </c>
      <c r="Z14" s="13" t="s">
        <v>54</v>
      </c>
      <c r="AA14" s="62" t="s">
        <v>55</v>
      </c>
      <c r="AB14" s="61">
        <v>8</v>
      </c>
      <c r="AC14" s="14"/>
    </row>
    <row r="15" spans="1:30" s="15" customFormat="1" ht="14.25" customHeight="1" x14ac:dyDescent="0.2">
      <c r="A15" s="39"/>
      <c r="B15" s="4"/>
      <c r="C15" s="40"/>
      <c r="D15" s="2"/>
      <c r="E15" s="2"/>
      <c r="F15" s="2"/>
      <c r="G15" s="34"/>
      <c r="H15" s="29"/>
      <c r="I15" s="29"/>
      <c r="J15" s="45"/>
      <c r="K15" s="45"/>
      <c r="L15" s="45"/>
      <c r="M15" s="45"/>
      <c r="N15" s="45"/>
      <c r="O15" s="47"/>
      <c r="P15" s="72"/>
      <c r="Q15" s="47"/>
      <c r="R15" s="31"/>
      <c r="S15" s="76"/>
      <c r="T15" s="31"/>
      <c r="U15" s="47"/>
      <c r="V15" s="31"/>
      <c r="W15" s="31"/>
      <c r="X15" s="31"/>
      <c r="Y15" s="31"/>
      <c r="Z15" s="13" t="s">
        <v>56</v>
      </c>
      <c r="AA15" s="88" t="s">
        <v>57</v>
      </c>
      <c r="AB15" s="86">
        <v>9</v>
      </c>
      <c r="AC15" s="14"/>
    </row>
    <row r="16" spans="1:30" s="15" customFormat="1" ht="29.25" customHeight="1" x14ac:dyDescent="0.2">
      <c r="A16" s="39" t="s">
        <v>17</v>
      </c>
      <c r="B16" s="52" t="s">
        <v>85</v>
      </c>
      <c r="C16" s="40">
        <v>613232.06172</v>
      </c>
      <c r="D16" s="2">
        <v>782339.20312999946</v>
      </c>
      <c r="E16" s="2">
        <v>889458.4437599997</v>
      </c>
      <c r="F16" s="2">
        <v>422033.10316</v>
      </c>
      <c r="G16" s="2">
        <v>508638.5184499998</v>
      </c>
      <c r="H16" s="5">
        <f>639319272.78/1000</f>
        <v>639319.27278</v>
      </c>
      <c r="I16" s="29">
        <f t="shared" si="0"/>
        <v>743527.53359999973</v>
      </c>
      <c r="J16" s="29">
        <v>743527533.59999979</v>
      </c>
      <c r="K16" s="29">
        <v>821659.25729000103</v>
      </c>
      <c r="L16" s="29">
        <v>1014268.92854</v>
      </c>
      <c r="M16" s="29">
        <v>1393444.51767</v>
      </c>
      <c r="N16" s="29">
        <v>1312707.0845699981</v>
      </c>
      <c r="O16" s="47">
        <f t="shared" si="1"/>
        <v>3.1129926999758362</v>
      </c>
      <c r="P16" s="72">
        <f>(K16/K$6)*100</f>
        <v>3.084898789877847</v>
      </c>
      <c r="Q16" s="47">
        <f>(L16/L$6)*100</f>
        <v>3.3092799364293475</v>
      </c>
      <c r="R16" s="31">
        <f t="shared" si="3"/>
        <v>4.7806198160513205</v>
      </c>
      <c r="S16" s="76">
        <f t="shared" si="3"/>
        <v>4.0137057048633</v>
      </c>
      <c r="T16" s="31">
        <f>((H16-G16)/G16)*100</f>
        <v>25.692264661400465</v>
      </c>
      <c r="U16" s="47">
        <f>((I16-H16)/H16)*100</f>
        <v>16.299877894633635</v>
      </c>
      <c r="V16" s="31">
        <f>((K16-I16)/I16)*100</f>
        <v>10.508248875694537</v>
      </c>
      <c r="W16" s="31">
        <f t="shared" ref="W16:W28" si="10">((L16-K16)/K16)*100</f>
        <v>23.441550684314656</v>
      </c>
      <c r="X16" s="31">
        <f t="shared" si="9"/>
        <v>37.384127469605936</v>
      </c>
      <c r="Y16" s="31">
        <f t="shared" si="5"/>
        <v>-5.794090261663535</v>
      </c>
      <c r="Z16" s="13" t="s">
        <v>58</v>
      </c>
      <c r="AA16" s="88"/>
      <c r="AB16" s="86"/>
      <c r="AC16" s="14"/>
    </row>
    <row r="17" spans="1:29" s="15" customFormat="1" ht="39.75" customHeight="1" x14ac:dyDescent="0.2">
      <c r="A17" s="39" t="s">
        <v>18</v>
      </c>
      <c r="B17" s="52" t="s">
        <v>90</v>
      </c>
      <c r="C17" s="40">
        <v>202246.9694</v>
      </c>
      <c r="D17" s="2">
        <v>240034.82047000009</v>
      </c>
      <c r="E17" s="2">
        <v>295453.85318999994</v>
      </c>
      <c r="F17" s="2">
        <v>262386.53399000003</v>
      </c>
      <c r="G17" s="2">
        <v>248768.58688000028</v>
      </c>
      <c r="H17" s="29">
        <f>310398244.43/1000</f>
        <v>310398.24443000002</v>
      </c>
      <c r="I17" s="29">
        <f t="shared" si="0"/>
        <v>324099.27925000008</v>
      </c>
      <c r="J17" s="5">
        <v>324099279.25000006</v>
      </c>
      <c r="K17" s="5">
        <v>362537.66139999998</v>
      </c>
      <c r="L17" s="5">
        <v>367690.94305</v>
      </c>
      <c r="M17" s="5">
        <v>370744.87017000001</v>
      </c>
      <c r="N17" s="5">
        <v>431307.89348999894</v>
      </c>
      <c r="O17" s="47">
        <f t="shared" si="1"/>
        <v>1.3569352105734589</v>
      </c>
      <c r="P17" s="72">
        <f t="shared" ref="P17:Q28" si="11">(K17/K$6)*100</f>
        <v>1.3611384317955455</v>
      </c>
      <c r="Q17" s="47">
        <f t="shared" si="11"/>
        <v>1.1996741952784409</v>
      </c>
      <c r="R17" s="31">
        <f t="shared" si="3"/>
        <v>1.271948937010938</v>
      </c>
      <c r="S17" s="76">
        <f t="shared" si="3"/>
        <v>1.3187579872172699</v>
      </c>
      <c r="T17" s="31">
        <f t="shared" ref="T17:T28" si="12">((H17-G17)/G17)*100</f>
        <v>24.773890595651586</v>
      </c>
      <c r="U17" s="47">
        <f t="shared" ref="U17:U28" si="13">((I17-H17)/H17)*100</f>
        <v>4.414018141487869</v>
      </c>
      <c r="V17" s="31">
        <f t="shared" ref="V17:V28" si="14">((K17-I17)/I17)*100</f>
        <v>11.860064063996186</v>
      </c>
      <c r="W17" s="31">
        <f t="shared" si="10"/>
        <v>1.4214472587757523</v>
      </c>
      <c r="X17" s="31">
        <f t="shared" si="9"/>
        <v>0.83056903568732265</v>
      </c>
      <c r="Y17" s="31">
        <f t="shared" si="5"/>
        <v>16.335498665761332</v>
      </c>
      <c r="Z17" s="13" t="s">
        <v>59</v>
      </c>
      <c r="AA17" s="62" t="s">
        <v>60</v>
      </c>
      <c r="AB17" s="61">
        <v>10</v>
      </c>
      <c r="AC17" s="14"/>
    </row>
    <row r="18" spans="1:29" s="15" customFormat="1" ht="23.25" customHeight="1" x14ac:dyDescent="0.2">
      <c r="A18" s="39" t="s">
        <v>19</v>
      </c>
      <c r="B18" s="4" t="s">
        <v>20</v>
      </c>
      <c r="C18" s="40">
        <v>283420.53197999997</v>
      </c>
      <c r="D18" s="2">
        <v>327710.92355999985</v>
      </c>
      <c r="E18" s="2">
        <v>391014.57498999999</v>
      </c>
      <c r="F18" s="2">
        <v>340073.82703999995</v>
      </c>
      <c r="G18" s="2">
        <v>366317.24988000013</v>
      </c>
      <c r="H18" s="29">
        <f>468473403.32/1000</f>
        <v>468473.40331999998</v>
      </c>
      <c r="I18" s="29">
        <f t="shared" si="0"/>
        <v>598692.4461300004</v>
      </c>
      <c r="J18" s="29">
        <v>598692446.13000035</v>
      </c>
      <c r="K18" s="29">
        <v>690583.77870000002</v>
      </c>
      <c r="L18" s="29">
        <v>721937.74872999999</v>
      </c>
      <c r="M18" s="29">
        <v>726293.07285999996</v>
      </c>
      <c r="N18" s="29">
        <v>803431.40316000255</v>
      </c>
      <c r="O18" s="47">
        <f t="shared" si="1"/>
        <v>2.5065987876866007</v>
      </c>
      <c r="P18" s="72">
        <f t="shared" si="11"/>
        <v>2.592779238254225</v>
      </c>
      <c r="Q18" s="47">
        <f t="shared" si="11"/>
        <v>2.3554838761177148</v>
      </c>
      <c r="R18" s="31">
        <f t="shared" si="3"/>
        <v>2.4917612523110177</v>
      </c>
      <c r="S18" s="76">
        <f t="shared" si="3"/>
        <v>2.4565550412839823</v>
      </c>
      <c r="T18" s="31">
        <f t="shared" si="12"/>
        <v>27.887344500829435</v>
      </c>
      <c r="U18" s="47">
        <f t="shared" si="13"/>
        <v>27.796464406977599</v>
      </c>
      <c r="V18" s="31">
        <f>((K18-I18)/I18)*100</f>
        <v>15.348670784806643</v>
      </c>
      <c r="W18" s="31">
        <f t="shared" si="10"/>
        <v>4.5402123532386947</v>
      </c>
      <c r="X18" s="31">
        <f t="shared" si="9"/>
        <v>0.60328250429647878</v>
      </c>
      <c r="Y18" s="31">
        <f t="shared" si="5"/>
        <v>10.62082693371244</v>
      </c>
      <c r="Z18" s="13" t="s">
        <v>61</v>
      </c>
      <c r="AA18" s="62" t="s">
        <v>62</v>
      </c>
      <c r="AB18" s="61">
        <v>11</v>
      </c>
      <c r="AC18" s="14"/>
    </row>
    <row r="19" spans="1:29" s="15" customFormat="1" ht="42.75" customHeight="1" x14ac:dyDescent="0.2">
      <c r="A19" s="39" t="s">
        <v>21</v>
      </c>
      <c r="B19" s="52" t="s">
        <v>91</v>
      </c>
      <c r="C19" s="40">
        <v>46325.351979999999</v>
      </c>
      <c r="D19" s="2">
        <v>57186.875089999994</v>
      </c>
      <c r="E19" s="2">
        <v>67317.166539999991</v>
      </c>
      <c r="F19" s="2">
        <v>66264.275150000001</v>
      </c>
      <c r="G19" s="2">
        <v>74447.578859999951</v>
      </c>
      <c r="H19" s="29">
        <f>100270064.55/1000</f>
        <v>100270.06455</v>
      </c>
      <c r="I19" s="29">
        <f t="shared" si="0"/>
        <v>133708.15258000002</v>
      </c>
      <c r="J19" s="29">
        <v>133708152.58000003</v>
      </c>
      <c r="K19" s="29">
        <v>156574.00139999998</v>
      </c>
      <c r="L19" s="29">
        <v>168301.21888999999</v>
      </c>
      <c r="M19" s="29">
        <v>177903.88394999999</v>
      </c>
      <c r="N19" s="29">
        <v>174245.40174999984</v>
      </c>
      <c r="O19" s="47">
        <f t="shared" si="1"/>
        <v>0.55980778666458708</v>
      </c>
      <c r="P19" s="72">
        <f t="shared" si="11"/>
        <v>0.587853107184934</v>
      </c>
      <c r="Q19" s="47">
        <f t="shared" si="11"/>
        <v>0.54912048597505281</v>
      </c>
      <c r="R19" s="31">
        <f t="shared" si="3"/>
        <v>0.61035141491387335</v>
      </c>
      <c r="S19" s="76">
        <f t="shared" si="3"/>
        <v>0.53276909317455523</v>
      </c>
      <c r="T19" s="31">
        <f t="shared" si="12"/>
        <v>34.685460676377005</v>
      </c>
      <c r="U19" s="47">
        <f t="shared" si="13"/>
        <v>33.348026831403921</v>
      </c>
      <c r="V19" s="31">
        <f t="shared" si="14"/>
        <v>17.101312357388903</v>
      </c>
      <c r="W19" s="31">
        <f t="shared" si="10"/>
        <v>7.4898880945377764</v>
      </c>
      <c r="X19" s="31">
        <f t="shared" si="9"/>
        <v>5.7056420169340578</v>
      </c>
      <c r="Y19" s="31">
        <f t="shared" si="5"/>
        <v>-2.0564375092723455</v>
      </c>
      <c r="Z19" s="13" t="s">
        <v>63</v>
      </c>
      <c r="AA19" s="62" t="s">
        <v>64</v>
      </c>
      <c r="AB19" s="61">
        <v>12</v>
      </c>
      <c r="AC19" s="14"/>
    </row>
    <row r="20" spans="1:29" s="15" customFormat="1" ht="34.5" customHeight="1" x14ac:dyDescent="0.2">
      <c r="A20" s="39" t="s">
        <v>22</v>
      </c>
      <c r="B20" s="53" t="s">
        <v>92</v>
      </c>
      <c r="C20" s="40">
        <v>303521.01077000005</v>
      </c>
      <c r="D20" s="2">
        <v>366587.52336999966</v>
      </c>
      <c r="E20" s="2">
        <v>449836.24373000016</v>
      </c>
      <c r="F20" s="2">
        <v>282031.76985000004</v>
      </c>
      <c r="G20" s="2">
        <v>288583.5726499997</v>
      </c>
      <c r="H20" s="29">
        <f>463613280.6/1000</f>
        <v>463613.2806</v>
      </c>
      <c r="I20" s="29">
        <f t="shared" si="0"/>
        <v>514231.29230999993</v>
      </c>
      <c r="J20" s="29">
        <v>514231292.30999994</v>
      </c>
      <c r="K20" s="29">
        <v>498897.52130000014</v>
      </c>
      <c r="L20" s="29">
        <v>542021.17069000006</v>
      </c>
      <c r="M20" s="29">
        <v>777898.15535999998</v>
      </c>
      <c r="N20" s="29">
        <v>932485.53123999713</v>
      </c>
      <c r="O20" s="47">
        <f t="shared" si="1"/>
        <v>2.1529777805395458</v>
      </c>
      <c r="P20" s="72">
        <f t="shared" si="11"/>
        <v>1.8730980586861778</v>
      </c>
      <c r="Q20" s="47">
        <f t="shared" si="11"/>
        <v>1.7684656749431573</v>
      </c>
      <c r="R20" s="31">
        <f t="shared" si="3"/>
        <v>2.668807612521312</v>
      </c>
      <c r="S20" s="76">
        <f t="shared" si="3"/>
        <v>2.851148242005916</v>
      </c>
      <c r="T20" s="31">
        <f t="shared" si="12"/>
        <v>60.651306774928614</v>
      </c>
      <c r="U20" s="47">
        <f t="shared" si="13"/>
        <v>10.918153950311995</v>
      </c>
      <c r="V20" s="31">
        <f t="shared" si="14"/>
        <v>-2.981882129560478</v>
      </c>
      <c r="W20" s="31">
        <f t="shared" si="10"/>
        <v>8.6437890646621476</v>
      </c>
      <c r="X20" s="31">
        <f t="shared" si="9"/>
        <v>43.518039040749166</v>
      </c>
      <c r="Y20" s="31">
        <f t="shared" si="5"/>
        <v>19.872444074437528</v>
      </c>
      <c r="Z20" s="13" t="s">
        <v>65</v>
      </c>
      <c r="AA20" s="62" t="s">
        <v>66</v>
      </c>
      <c r="AB20" s="61">
        <v>13</v>
      </c>
      <c r="AC20" s="14"/>
    </row>
    <row r="21" spans="1:29" s="15" customFormat="1" ht="39.75" customHeight="1" x14ac:dyDescent="0.2">
      <c r="A21" s="39" t="s">
        <v>23</v>
      </c>
      <c r="B21" s="53" t="s">
        <v>93</v>
      </c>
      <c r="C21" s="40">
        <v>15853.322910000001</v>
      </c>
      <c r="D21" s="2">
        <v>22865.872909999987</v>
      </c>
      <c r="E21" s="2">
        <v>22391.475160000013</v>
      </c>
      <c r="F21" s="2">
        <v>15783.68291</v>
      </c>
      <c r="G21" s="2">
        <v>13187.02295</v>
      </c>
      <c r="H21" s="29">
        <f>16351047.4/1000</f>
        <v>16351.047399999999</v>
      </c>
      <c r="I21" s="29">
        <f t="shared" si="0"/>
        <v>18491.381529999995</v>
      </c>
      <c r="J21" s="29">
        <v>18491381.529999994</v>
      </c>
      <c r="K21" s="29">
        <v>27457.815149999991</v>
      </c>
      <c r="L21" s="29">
        <v>23261.95406</v>
      </c>
      <c r="M21" s="29">
        <v>18708.022800000002</v>
      </c>
      <c r="N21" s="29">
        <v>16050.887490000005</v>
      </c>
      <c r="O21" s="47">
        <f t="shared" si="1"/>
        <v>7.7419507838059176E-2</v>
      </c>
      <c r="P21" s="72">
        <f t="shared" si="11"/>
        <v>0.10308966883461824</v>
      </c>
      <c r="Q21" s="47">
        <f t="shared" si="11"/>
        <v>7.5897344073932477E-2</v>
      </c>
      <c r="R21" s="31">
        <f t="shared" si="3"/>
        <v>6.4183355262947342E-2</v>
      </c>
      <c r="S21" s="76">
        <f t="shared" si="3"/>
        <v>4.9076857620399851E-2</v>
      </c>
      <c r="T21" s="31">
        <f t="shared" si="12"/>
        <v>23.993470414033055</v>
      </c>
      <c r="U21" s="47">
        <f t="shared" si="13"/>
        <v>13.089890070283788</v>
      </c>
      <c r="V21" s="31">
        <f t="shared" si="14"/>
        <v>48.489798371490302</v>
      </c>
      <c r="W21" s="31">
        <f t="shared" si="10"/>
        <v>-15.281117842327644</v>
      </c>
      <c r="X21" s="31">
        <f t="shared" si="9"/>
        <v>-19.576735678584679</v>
      </c>
      <c r="Y21" s="31">
        <f t="shared" si="5"/>
        <v>-14.203186185982183</v>
      </c>
      <c r="Z21" s="13" t="s">
        <v>67</v>
      </c>
      <c r="AA21" s="62" t="s">
        <v>68</v>
      </c>
      <c r="AB21" s="61">
        <v>14</v>
      </c>
      <c r="AC21" s="14"/>
    </row>
    <row r="22" spans="1:29" s="15" customFormat="1" ht="23.25" customHeight="1" x14ac:dyDescent="0.2">
      <c r="A22" s="39" t="s">
        <v>24</v>
      </c>
      <c r="B22" s="4" t="s">
        <v>25</v>
      </c>
      <c r="C22" s="40">
        <v>802195.43715999997</v>
      </c>
      <c r="D22" s="2">
        <v>1097848.2104400001</v>
      </c>
      <c r="E22" s="2">
        <v>1188720.81486</v>
      </c>
      <c r="F22" s="2">
        <v>595236.31006000005</v>
      </c>
      <c r="G22" s="2">
        <v>665213.87684999953</v>
      </c>
      <c r="H22" s="29">
        <f>1044689839.38/1000</f>
        <v>1044689.83938</v>
      </c>
      <c r="I22" s="29">
        <f t="shared" si="0"/>
        <v>1147188.6421799997</v>
      </c>
      <c r="J22" s="29">
        <v>1147188642.1799998</v>
      </c>
      <c r="K22" s="29">
        <v>1016470.82361</v>
      </c>
      <c r="L22" s="29">
        <v>1254563.8052399999</v>
      </c>
      <c r="M22" s="29">
        <v>1767102.4527499999</v>
      </c>
      <c r="N22" s="29">
        <v>2550159.9829199752</v>
      </c>
      <c r="O22" s="47">
        <f t="shared" si="1"/>
        <v>4.8030364811247814</v>
      </c>
      <c r="P22" s="72">
        <f t="shared" si="11"/>
        <v>3.8163138623215103</v>
      </c>
      <c r="Q22" s="47">
        <f t="shared" si="11"/>
        <v>4.09329588320072</v>
      </c>
      <c r="R22" s="31">
        <f t="shared" si="3"/>
        <v>6.0625628760126826</v>
      </c>
      <c r="S22" s="76">
        <f t="shared" si="3"/>
        <v>7.7973157851226649</v>
      </c>
      <c r="T22" s="31">
        <f t="shared" si="12"/>
        <v>57.045707513941309</v>
      </c>
      <c r="U22" s="47">
        <f t="shared" si="13"/>
        <v>9.811409945446627</v>
      </c>
      <c r="V22" s="31">
        <f t="shared" si="14"/>
        <v>-11.394622799053957</v>
      </c>
      <c r="W22" s="31">
        <f t="shared" si="10"/>
        <v>23.423493926211457</v>
      </c>
      <c r="X22" s="31">
        <f t="shared" si="9"/>
        <v>40.853932288597363</v>
      </c>
      <c r="Y22" s="31">
        <f t="shared" si="5"/>
        <v>44.313080373544025</v>
      </c>
      <c r="Z22" s="13" t="s">
        <v>69</v>
      </c>
      <c r="AA22" s="62" t="s">
        <v>70</v>
      </c>
      <c r="AB22" s="61">
        <v>15</v>
      </c>
      <c r="AC22" s="14"/>
    </row>
    <row r="23" spans="1:29" s="15" customFormat="1" ht="40.5" customHeight="1" x14ac:dyDescent="0.2">
      <c r="A23" s="39" t="s">
        <v>26</v>
      </c>
      <c r="B23" s="53" t="s">
        <v>86</v>
      </c>
      <c r="C23" s="40">
        <v>2618358.9112900002</v>
      </c>
      <c r="D23" s="2">
        <v>2997189.7533099963</v>
      </c>
      <c r="E23" s="2">
        <v>3301787.3995800018</v>
      </c>
      <c r="F23" s="2">
        <v>2332076.5080699995</v>
      </c>
      <c r="G23" s="2">
        <v>2574294.0271100062</v>
      </c>
      <c r="H23" s="29">
        <f>3657878180.9/1000</f>
        <v>3657878.1809</v>
      </c>
      <c r="I23" s="29">
        <f t="shared" si="0"/>
        <v>3363330.1862499961</v>
      </c>
      <c r="J23" s="29">
        <v>3363330186.2499962</v>
      </c>
      <c r="K23" s="29">
        <v>4075169.4017800018</v>
      </c>
      <c r="L23" s="29">
        <v>4819881.6607600003</v>
      </c>
      <c r="M23" s="29">
        <v>5230103.2882599998</v>
      </c>
      <c r="N23" s="29">
        <v>6760823.6399200298</v>
      </c>
      <c r="O23" s="47">
        <f t="shared" si="1"/>
        <v>14.081552927449801</v>
      </c>
      <c r="P23" s="72">
        <f t="shared" si="11"/>
        <v>15.300119903184278</v>
      </c>
      <c r="Q23" s="47">
        <f t="shared" si="11"/>
        <v>15.725945286401224</v>
      </c>
      <c r="R23" s="31">
        <f t="shared" si="3"/>
        <v>17.943402197067059</v>
      </c>
      <c r="S23" s="76">
        <f t="shared" si="3"/>
        <v>20.671752847293099</v>
      </c>
      <c r="T23" s="31">
        <f t="shared" si="12"/>
        <v>42.092478263116817</v>
      </c>
      <c r="U23" s="47">
        <f t="shared" si="13"/>
        <v>-8.0524276666187973</v>
      </c>
      <c r="V23" s="31">
        <f t="shared" si="14"/>
        <v>21.16471402183927</v>
      </c>
      <c r="W23" s="31">
        <f t="shared" si="10"/>
        <v>18.274387775259456</v>
      </c>
      <c r="X23" s="31">
        <f t="shared" si="9"/>
        <v>8.5110311076665646</v>
      </c>
      <c r="Y23" s="31">
        <f t="shared" si="5"/>
        <v>29.267497548203959</v>
      </c>
      <c r="Z23" s="13" t="s">
        <v>71</v>
      </c>
      <c r="AA23" s="62" t="s">
        <v>72</v>
      </c>
      <c r="AB23" s="61">
        <v>16</v>
      </c>
      <c r="AC23" s="14"/>
    </row>
    <row r="24" spans="1:29" s="15" customFormat="1" ht="23.25" customHeight="1" x14ac:dyDescent="0.2">
      <c r="A24" s="39" t="s">
        <v>27</v>
      </c>
      <c r="B24" s="54" t="s">
        <v>36</v>
      </c>
      <c r="C24" s="40">
        <v>669208.76351999992</v>
      </c>
      <c r="D24" s="2">
        <v>653466.64925000002</v>
      </c>
      <c r="E24" s="2">
        <v>1493075.43704</v>
      </c>
      <c r="F24" s="2">
        <v>646049.06429000013</v>
      </c>
      <c r="G24" s="2">
        <v>626197.07844999991</v>
      </c>
      <c r="H24" s="29">
        <f>1208470837.9/1000</f>
        <v>1208470.8379000002</v>
      </c>
      <c r="I24" s="29">
        <f t="shared" si="0"/>
        <v>757847.88985000015</v>
      </c>
      <c r="J24" s="29">
        <v>757847889.85000014</v>
      </c>
      <c r="K24" s="29">
        <v>1327174.2853500007</v>
      </c>
      <c r="L24" s="29">
        <v>1768063.2818</v>
      </c>
      <c r="M24" s="29">
        <v>2331155.3314</v>
      </c>
      <c r="N24" s="29">
        <v>2353259.2868899982</v>
      </c>
      <c r="O24" s="47">
        <f t="shared" si="1"/>
        <v>3.1729490061686438</v>
      </c>
      <c r="P24" s="72">
        <f t="shared" si="11"/>
        <v>4.9828421094368371</v>
      </c>
      <c r="Q24" s="47">
        <f t="shared" si="11"/>
        <v>5.7687031320386346</v>
      </c>
      <c r="R24" s="31">
        <f t="shared" si="3"/>
        <v>7.9977115918610027</v>
      </c>
      <c r="S24" s="76">
        <f t="shared" si="3"/>
        <v>7.1952763383667646</v>
      </c>
      <c r="T24" s="31">
        <f t="shared" si="12"/>
        <v>92.985703620859866</v>
      </c>
      <c r="U24" s="47">
        <f t="shared" si="13"/>
        <v>-37.288690295006411</v>
      </c>
      <c r="V24" s="31">
        <f t="shared" si="14"/>
        <v>75.124098532844968</v>
      </c>
      <c r="W24" s="31">
        <f t="shared" si="10"/>
        <v>33.220128005548915</v>
      </c>
      <c r="X24" s="31">
        <f t="shared" si="9"/>
        <v>31.84795789813229</v>
      </c>
      <c r="Y24" s="31">
        <f t="shared" si="5"/>
        <v>0.94819745352290419</v>
      </c>
      <c r="Z24" s="13" t="s">
        <v>73</v>
      </c>
      <c r="AA24" s="62" t="s">
        <v>74</v>
      </c>
      <c r="AB24" s="61">
        <v>17</v>
      </c>
      <c r="AC24" s="14"/>
    </row>
    <row r="25" spans="1:29" s="15" customFormat="1" ht="46.5" customHeight="1" x14ac:dyDescent="0.2">
      <c r="A25" s="39" t="s">
        <v>28</v>
      </c>
      <c r="B25" s="53" t="s">
        <v>87</v>
      </c>
      <c r="C25" s="40">
        <v>208601.45719999998</v>
      </c>
      <c r="D25" s="2">
        <v>191189.81965999995</v>
      </c>
      <c r="E25" s="2">
        <v>195635.67476999998</v>
      </c>
      <c r="F25" s="2">
        <v>149691.00709999999</v>
      </c>
      <c r="G25" s="2">
        <v>176952.22383000006</v>
      </c>
      <c r="H25" s="29">
        <f>307262956.2/1000</f>
        <v>307262.95620000002</v>
      </c>
      <c r="I25" s="29">
        <f t="shared" si="0"/>
        <v>260574.19230000008</v>
      </c>
      <c r="J25" s="29">
        <v>260574192.30000007</v>
      </c>
      <c r="K25" s="29">
        <v>237050.51011999999</v>
      </c>
      <c r="L25" s="29">
        <v>270098.93417000002</v>
      </c>
      <c r="M25" s="29">
        <v>387889.24713999999</v>
      </c>
      <c r="N25" s="29">
        <v>456113.20961000083</v>
      </c>
      <c r="O25" s="47">
        <f t="shared" si="1"/>
        <v>1.0909690923004713</v>
      </c>
      <c r="P25" s="72">
        <f t="shared" si="11"/>
        <v>0.89000011296776937</v>
      </c>
      <c r="Q25" s="47">
        <f t="shared" si="11"/>
        <v>0.88125837097895665</v>
      </c>
      <c r="R25" s="31">
        <f t="shared" si="3"/>
        <v>1.3307677469723735</v>
      </c>
      <c r="S25" s="76">
        <f t="shared" si="3"/>
        <v>1.3946022025735101</v>
      </c>
      <c r="T25" s="31">
        <f t="shared" si="12"/>
        <v>73.641760216130933</v>
      </c>
      <c r="U25" s="47">
        <f>((I25-H25)/H25)*100</f>
        <v>-15.195051325877964</v>
      </c>
      <c r="V25" s="31">
        <f t="shared" si="14"/>
        <v>-9.0276331559793093</v>
      </c>
      <c r="W25" s="31">
        <f t="shared" si="10"/>
        <v>13.941511466594278</v>
      </c>
      <c r="X25" s="31">
        <f t="shared" si="9"/>
        <v>43.610062117410223</v>
      </c>
      <c r="Y25" s="31">
        <f t="shared" si="5"/>
        <v>17.588516044987689</v>
      </c>
      <c r="Z25" s="13" t="s">
        <v>75</v>
      </c>
      <c r="AA25" s="62" t="s">
        <v>76</v>
      </c>
      <c r="AB25" s="61">
        <v>18</v>
      </c>
      <c r="AC25" s="14"/>
    </row>
    <row r="26" spans="1:29" s="15" customFormat="1" ht="23.25" customHeight="1" x14ac:dyDescent="0.2">
      <c r="A26" s="39" t="s">
        <v>29</v>
      </c>
      <c r="B26" s="4" t="s">
        <v>30</v>
      </c>
      <c r="C26" s="40">
        <v>16237.63385</v>
      </c>
      <c r="D26" s="41">
        <v>0</v>
      </c>
      <c r="E26" s="41">
        <v>0</v>
      </c>
      <c r="F26" s="41">
        <v>0</v>
      </c>
      <c r="G26" s="2">
        <v>25.84657</v>
      </c>
      <c r="H26" s="29">
        <f>10249.42/1000</f>
        <v>10.249420000000001</v>
      </c>
      <c r="I26" s="50">
        <v>0</v>
      </c>
      <c r="J26" s="29">
        <v>0</v>
      </c>
      <c r="K26" s="29">
        <v>36.522300000000001</v>
      </c>
      <c r="L26" s="29">
        <v>259.80257999999998</v>
      </c>
      <c r="M26" s="29">
        <v>6846.5144800000007</v>
      </c>
      <c r="N26" s="29">
        <v>3126.7044499999997</v>
      </c>
      <c r="O26" s="47">
        <f t="shared" si="1"/>
        <v>0</v>
      </c>
      <c r="P26" s="72">
        <f t="shared" si="11"/>
        <v>1.3712204672914694E-4</v>
      </c>
      <c r="Q26" s="47">
        <f t="shared" si="11"/>
        <v>8.4766420545305489E-4</v>
      </c>
      <c r="R26" s="31">
        <f t="shared" si="3"/>
        <v>2.3488974536782857E-2</v>
      </c>
      <c r="S26" s="76">
        <f t="shared" si="3"/>
        <v>9.5601460797306095E-3</v>
      </c>
      <c r="T26" s="31">
        <f t="shared" si="12"/>
        <v>-60.345144442763591</v>
      </c>
      <c r="U26" s="47">
        <f>((I26-H26)/H26)*100</f>
        <v>-100</v>
      </c>
      <c r="V26" s="31">
        <v>0</v>
      </c>
      <c r="W26" s="31">
        <f t="shared" si="10"/>
        <v>611.3532827888713</v>
      </c>
      <c r="X26" s="31">
        <f t="shared" si="9"/>
        <v>2535.2757851750362</v>
      </c>
      <c r="Y26" s="31">
        <f t="shared" si="5"/>
        <v>-54.331441799565148</v>
      </c>
      <c r="Z26" s="13" t="s">
        <v>77</v>
      </c>
      <c r="AA26" s="62" t="s">
        <v>78</v>
      </c>
      <c r="AB26" s="61">
        <v>19</v>
      </c>
      <c r="AC26" s="14"/>
    </row>
    <row r="27" spans="1:29" s="15" customFormat="1" ht="23.25" customHeight="1" x14ac:dyDescent="0.2">
      <c r="A27" s="39" t="s">
        <v>31</v>
      </c>
      <c r="B27" s="4" t="s">
        <v>32</v>
      </c>
      <c r="C27" s="40">
        <v>517055.01438000007</v>
      </c>
      <c r="D27" s="2">
        <v>560991.44111000001</v>
      </c>
      <c r="E27" s="2">
        <v>608218.49570000032</v>
      </c>
      <c r="F27" s="2">
        <v>475615.02479</v>
      </c>
      <c r="G27" s="2">
        <v>491946.73692999996</v>
      </c>
      <c r="H27" s="29">
        <f>685911964.21/1000</f>
        <v>685911.96421000001</v>
      </c>
      <c r="I27" s="29">
        <f t="shared" si="0"/>
        <v>823552.83035000018</v>
      </c>
      <c r="J27" s="29">
        <v>823552830.35000014</v>
      </c>
      <c r="K27" s="29">
        <v>1093226.6955299987</v>
      </c>
      <c r="L27" s="29">
        <v>1099490.85782</v>
      </c>
      <c r="M27" s="29">
        <v>1172917.77248</v>
      </c>
      <c r="N27" s="29">
        <v>1667661.1835900054</v>
      </c>
      <c r="O27" s="47">
        <f t="shared" si="1"/>
        <v>3.4480417107232588</v>
      </c>
      <c r="P27" s="72">
        <f t="shared" si="11"/>
        <v>4.1044918318401464</v>
      </c>
      <c r="Q27" s="47">
        <f t="shared" si="11"/>
        <v>3.5873356007353281</v>
      </c>
      <c r="R27" s="31">
        <f t="shared" si="3"/>
        <v>4.02403818351711</v>
      </c>
      <c r="S27" s="76">
        <f t="shared" si="3"/>
        <v>5.0990059283079665</v>
      </c>
      <c r="T27" s="31">
        <f t="shared" si="12"/>
        <v>39.428095100384766</v>
      </c>
      <c r="U27" s="47">
        <f t="shared" si="13"/>
        <v>20.066841420170913</v>
      </c>
      <c r="V27" s="31">
        <f t="shared" si="14"/>
        <v>32.74518103051026</v>
      </c>
      <c r="W27" s="31">
        <f t="shared" si="10"/>
        <v>0.57299755994015567</v>
      </c>
      <c r="X27" s="31">
        <f t="shared" si="9"/>
        <v>6.6782651386102652</v>
      </c>
      <c r="Y27" s="31">
        <f t="shared" si="5"/>
        <v>42.180570771293468</v>
      </c>
      <c r="Z27" s="13" t="s">
        <v>79</v>
      </c>
      <c r="AA27" s="62" t="s">
        <v>80</v>
      </c>
      <c r="AB27" s="61">
        <v>20</v>
      </c>
      <c r="AC27" s="14"/>
    </row>
    <row r="28" spans="1:29" s="15" customFormat="1" ht="26.25" customHeight="1" x14ac:dyDescent="0.2">
      <c r="A28" s="42" t="s">
        <v>33</v>
      </c>
      <c r="B28" s="55" t="s">
        <v>34</v>
      </c>
      <c r="C28" s="43">
        <v>1471.2440100000001</v>
      </c>
      <c r="D28" s="3">
        <v>975.20869999999991</v>
      </c>
      <c r="E28" s="3">
        <v>647.16362000000004</v>
      </c>
      <c r="F28" s="3">
        <v>451.03098</v>
      </c>
      <c r="G28" s="3">
        <v>67.625219999999999</v>
      </c>
      <c r="H28" s="44">
        <f>33696.31/1000</f>
        <v>33.696309999999997</v>
      </c>
      <c r="I28" s="44">
        <f t="shared" si="0"/>
        <v>151.87178999999998</v>
      </c>
      <c r="J28" s="44">
        <v>151871.78999999998</v>
      </c>
      <c r="K28" s="44">
        <v>501.64834000000002</v>
      </c>
      <c r="L28" s="44">
        <v>1493.7953500000001</v>
      </c>
      <c r="M28" s="44">
        <v>836.83505000000002</v>
      </c>
      <c r="N28" s="44">
        <v>1297.1593599999999</v>
      </c>
      <c r="O28" s="48">
        <f t="shared" si="1"/>
        <v>6.3585509915575669E-4</v>
      </c>
      <c r="P28" s="73">
        <f t="shared" si="11"/>
        <v>1.8834259375526457E-3</v>
      </c>
      <c r="Q28" s="48">
        <f t="shared" si="11"/>
        <v>4.8738424709532067E-3</v>
      </c>
      <c r="R28" s="33">
        <f t="shared" si="3"/>
        <v>2.871007903124658E-3</v>
      </c>
      <c r="S28" s="77">
        <f t="shared" si="3"/>
        <v>3.9661673076551466E-3</v>
      </c>
      <c r="T28" s="33">
        <f t="shared" si="12"/>
        <v>-50.17197725937158</v>
      </c>
      <c r="U28" s="48">
        <f t="shared" si="13"/>
        <v>350.70748102685423</v>
      </c>
      <c r="V28" s="33">
        <f t="shared" si="14"/>
        <v>230.3104151205435</v>
      </c>
      <c r="W28" s="33">
        <f t="shared" si="10"/>
        <v>197.77739322330859</v>
      </c>
      <c r="X28" s="33">
        <f t="shared" si="9"/>
        <v>-43.979270654444065</v>
      </c>
      <c r="Y28" s="33">
        <f t="shared" si="5"/>
        <v>55.007771244763212</v>
      </c>
      <c r="Z28" s="16" t="s">
        <v>81</v>
      </c>
      <c r="AA28" s="17" t="s">
        <v>82</v>
      </c>
      <c r="AB28" s="30">
        <v>21</v>
      </c>
      <c r="AC28" s="14"/>
    </row>
    <row r="29" spans="1:29" s="22" customFormat="1" ht="19.5" customHeight="1" x14ac:dyDescent="0.2">
      <c r="A29" s="18" t="s">
        <v>1</v>
      </c>
      <c r="B29" s="19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32"/>
      <c r="S29" s="32"/>
      <c r="T29" s="15"/>
      <c r="U29" s="15"/>
      <c r="V29" s="15"/>
      <c r="W29" s="15"/>
      <c r="X29" s="15"/>
      <c r="Y29" s="15"/>
      <c r="Z29" s="20"/>
      <c r="AB29" s="21" t="s">
        <v>83</v>
      </c>
    </row>
    <row r="30" spans="1:29" s="22" customFormat="1" ht="23.25" customHeight="1" x14ac:dyDescent="0.2">
      <c r="A30" s="23"/>
      <c r="B30" s="15"/>
      <c r="AA30" s="20"/>
      <c r="AB30" s="21"/>
    </row>
    <row r="33" spans="2:29" x14ac:dyDescent="0.2">
      <c r="B33" s="56"/>
    </row>
    <row r="34" spans="2:29" x14ac:dyDescent="0.2">
      <c r="W34" s="66"/>
      <c r="X34" s="66"/>
      <c r="Y34" s="66"/>
      <c r="Z34" s="66"/>
      <c r="AA34" s="67"/>
      <c r="AB34" s="67"/>
      <c r="AC34" s="66"/>
    </row>
    <row r="35" spans="2:29" x14ac:dyDescent="0.2">
      <c r="W35" s="66"/>
      <c r="X35" s="66"/>
      <c r="Y35" s="66"/>
      <c r="Z35" s="66"/>
      <c r="AA35" s="67"/>
      <c r="AB35" s="67"/>
      <c r="AC35" s="66"/>
    </row>
    <row r="36" spans="2:29" x14ac:dyDescent="0.2">
      <c r="W36" s="66"/>
      <c r="X36" s="66"/>
      <c r="Y36" s="66"/>
      <c r="Z36" s="66"/>
      <c r="AA36" s="67"/>
      <c r="AB36" s="67"/>
      <c r="AC36" s="66"/>
    </row>
    <row r="37" spans="2:29" x14ac:dyDescent="0.2">
      <c r="W37" s="66"/>
      <c r="X37" s="66"/>
      <c r="Y37" s="79"/>
      <c r="Z37" s="79"/>
      <c r="AA37" s="79"/>
      <c r="AB37" s="67"/>
      <c r="AC37" s="66"/>
    </row>
    <row r="38" spans="2:29" x14ac:dyDescent="0.2">
      <c r="W38" s="66"/>
      <c r="X38" s="66"/>
      <c r="Y38" s="66"/>
      <c r="Z38" s="66"/>
      <c r="AA38" s="67"/>
      <c r="AB38" s="67"/>
      <c r="AC38" s="66"/>
    </row>
    <row r="39" spans="2:29" x14ac:dyDescent="0.2">
      <c r="W39" s="66"/>
      <c r="X39" s="66"/>
      <c r="Y39" s="66"/>
      <c r="Z39" s="66"/>
      <c r="AA39" s="67"/>
      <c r="AB39" s="67"/>
      <c r="AC39" s="66"/>
    </row>
    <row r="40" spans="2:29" x14ac:dyDescent="0.2">
      <c r="W40" s="66"/>
      <c r="X40" s="66"/>
      <c r="Y40" s="66"/>
      <c r="Z40" s="66"/>
      <c r="AA40" s="67"/>
      <c r="AB40" s="67"/>
      <c r="AC40" s="66"/>
    </row>
    <row r="41" spans="2:29" x14ac:dyDescent="0.2">
      <c r="W41" s="66"/>
      <c r="X41" s="66"/>
      <c r="Y41" s="66"/>
      <c r="Z41" s="66"/>
      <c r="AA41" s="67"/>
      <c r="AB41" s="67"/>
      <c r="AC41" s="66"/>
    </row>
    <row r="42" spans="2:29" x14ac:dyDescent="0.2">
      <c r="W42" s="66"/>
      <c r="X42" s="66"/>
      <c r="Y42" s="66"/>
      <c r="Z42" s="66"/>
      <c r="AA42" s="67"/>
      <c r="AB42" s="67"/>
      <c r="AC42" s="66"/>
    </row>
    <row r="43" spans="2:29" x14ac:dyDescent="0.2">
      <c r="W43" s="66"/>
      <c r="X43" s="66"/>
      <c r="Y43" s="66"/>
      <c r="Z43" s="66"/>
      <c r="AA43" s="67"/>
      <c r="AB43" s="67"/>
      <c r="AC43" s="66"/>
    </row>
    <row r="44" spans="2:29" x14ac:dyDescent="0.2">
      <c r="W44" s="66"/>
      <c r="X44" s="66"/>
      <c r="Y44" s="66"/>
      <c r="Z44" s="66"/>
      <c r="AA44" s="67"/>
      <c r="AB44" s="67"/>
      <c r="AC44" s="66"/>
    </row>
    <row r="45" spans="2:29" x14ac:dyDescent="0.2">
      <c r="W45" s="66"/>
      <c r="X45" s="66"/>
      <c r="Y45" s="66"/>
      <c r="Z45" s="66"/>
      <c r="AA45" s="67"/>
      <c r="AB45" s="67"/>
      <c r="AC45" s="66"/>
    </row>
    <row r="46" spans="2:29" x14ac:dyDescent="0.2">
      <c r="W46" s="66"/>
      <c r="X46" s="66"/>
      <c r="Y46" s="66"/>
      <c r="Z46" s="66"/>
      <c r="AA46" s="67"/>
      <c r="AB46" s="67"/>
      <c r="AC46" s="66"/>
    </row>
  </sheetData>
  <customSheetViews>
    <customSheetView guid="{AA9F0C9E-78D8-4405-A52F-8AFEDA4EE48D}" showPageBreaks="1" showGridLines="0" fitToPage="1" showRuler="0">
      <selection activeCell="B42" sqref="B42"/>
      <pageMargins left="0.25" right="0.25" top="0.01" bottom="0.01" header="0.28999999999999998" footer="0.23"/>
      <printOptions horizontalCentered="1" verticalCentered="1"/>
      <pageSetup paperSize="9" scale="62" orientation="landscape" r:id="rId1"/>
      <headerFooter alignWithMargins="0">
        <oddFooter>&amp;L&amp;7Statistical Yearbook of Maldives, 2006. Ministry of Planning and National Development&amp;R&amp;"A_Randhoo,Regular"&amp;7cTcnwmcpoleviD clwnwxEn cDcnea gcninElcp cfoa IrcTcsinim . 2006 ,ctof Irwhwa egubWsihcsWfwt egEjcaWrihevid</oddFooter>
      </headerFooter>
    </customSheetView>
    <customSheetView guid="{809AAACF-1F9F-4AA0-A069-E0E3B47FA09A}" showGridLines="0" fitToPage="1" hiddenColumns="1" showRuler="0" topLeftCell="A3">
      <selection activeCell="B16" sqref="B16"/>
      <pageMargins left="0.25" right="0.25" top="0.01" bottom="0.01" header="0.28999999999999998" footer="0.23"/>
      <printOptions horizontalCentered="1" verticalCentered="1"/>
      <pageSetup paperSize="9" scale="65" orientation="landscape" r:id="rId2"/>
      <headerFooter alignWithMargins="0">
        <oddFooter>&amp;L&amp;7Statistical Yearbook of Maldives, 2006. Ministry of Planning and National Development&amp;R&amp;"A_Randhoo,Regular"&amp;7cTcnwmcpoleviD clwnwxEn cDcnea gcninElcp cfoa IrcTcsinim . 2006 ,ctof Irwhwa egubWsihcsWfwt egEjcaWrihevid</oddFooter>
      </headerFooter>
    </customSheetView>
    <customSheetView guid="{55954F5B-8823-487D-89BD-5CAA49E9A156}" showPageBreaks="1" showGridLines="0" printArea="1" showRuler="0" topLeftCell="B1">
      <selection activeCell="D24" sqref="D24"/>
      <pageMargins left="0.25" right="0.25" top="0.01" bottom="0.01" header="0.5" footer="0.5"/>
      <printOptions horizontalCentered="1" verticalCentered="1"/>
      <pageSetup paperSize="9" scale="91" orientation="landscape" r:id="rId3"/>
      <headerFooter alignWithMargins="0">
        <oddFooter>&amp;L&amp;7Statistical Yearbook of Maldives, 2006. Ministry of Planning and National Development&amp;R&amp;"A_Randhoo,Regular"&amp;7cTcnwmcpoleviD clwnwxEn cDcnea gcninElcp cfoa IrcTcsinim . 2006 ,ctof Irwhwa egubWsihcsWfwt egEjcaWrihevid</oddFooter>
      </headerFooter>
    </customSheetView>
    <customSheetView guid="{606E8A6D-F254-43BE-81C6-5E26D3168B9C}" showPageBreaks="1" showGridLines="0" fitToPage="1" showRuler="0">
      <selection activeCell="B22" sqref="B22"/>
      <pageMargins left="0.25" right="0.25" top="0.01" bottom="0.01" header="0.28999999999999998" footer="0.23"/>
      <printOptions horizontalCentered="1" verticalCentered="1"/>
      <pageSetup paperSize="9" scale="62" orientation="landscape" r:id="rId4"/>
      <headerFooter alignWithMargins="0">
        <oddFooter>&amp;L&amp;7Statistical Yearbook of Maldives, 2006. Ministry of Planning and National Development&amp;R&amp;"A_Randhoo,Regular"&amp;7cTcnwmcpoleviD clwnwxEn cDcnea gcninElcp cfoa IrcTcsinim . 2006 ,ctof Irwhwa egubWsihcsWfwt egEjcaWrihevid</oddFooter>
      </headerFooter>
    </customSheetView>
  </customSheetViews>
  <mergeCells count="13">
    <mergeCell ref="Y37:AA37"/>
    <mergeCell ref="Q3:S3"/>
    <mergeCell ref="Q4:S4"/>
    <mergeCell ref="AB15:AB16"/>
    <mergeCell ref="A1:AB1"/>
    <mergeCell ref="AA15:AA16"/>
    <mergeCell ref="A2:AA2"/>
    <mergeCell ref="Z3:AB5"/>
    <mergeCell ref="A3:B5"/>
    <mergeCell ref="U3:Y3"/>
    <mergeCell ref="U4:Y4"/>
    <mergeCell ref="L4:N4"/>
    <mergeCell ref="L3:N3"/>
  </mergeCells>
  <phoneticPr fontId="9" type="noConversion"/>
  <printOptions horizontalCentered="1" verticalCentered="1"/>
  <pageMargins left="0.17" right="0.25" top="0.01" bottom="0.01" header="0.28999999999999998" footer="0.23"/>
  <pageSetup paperSize="9" scale="58" orientation="landscape" r:id="rId5"/>
  <headerFooter alignWithMargins="0"/>
  <ignoredErrors>
    <ignoredError sqref="W8:W28 W7" formula="1"/>
  </ignoredErrors>
  <webPublishItems count="1">
    <webPublishItem id="10774" divId="15-_Foreign_Trade_and_Balance_of_payments 2007_10774" sourceType="printArea" destinationFile="\\Server\DP Unit\Publication\Statistical  Year Book\Statistical Year Book 2008\yrbook08 cd\15- Foreign &amp; BOP\15.2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15.2</vt:lpstr>
      <vt:lpstr>'15.2'!Print_Area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Fathimath Shifaza</cp:lastModifiedBy>
  <cp:lastPrinted>2018-03-21T04:49:50Z</cp:lastPrinted>
  <dcterms:created xsi:type="dcterms:W3CDTF">2007-02-07T09:08:05Z</dcterms:created>
  <dcterms:modified xsi:type="dcterms:W3CDTF">2018-03-21T04:49:55Z</dcterms:modified>
</cp:coreProperties>
</file>