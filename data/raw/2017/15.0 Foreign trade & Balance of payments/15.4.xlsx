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15.FOREIGN TRADE AND BOP\"/>
    </mc:Choice>
  </mc:AlternateContent>
  <bookViews>
    <workbookView xWindow="0" yWindow="0" windowWidth="24285" windowHeight="8715" tabRatio="858"/>
  </bookViews>
  <sheets>
    <sheet name="15.4" sheetId="51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'15.4'!$A$1:$G$41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777 - Personal View" guid="{AA9F0C9E-78D8-4405-A52F-8AFEDA4EE48D}" mergeInterval="0" personalView="1" maximized="1" windowWidth="1276" windowHeight="852" activeSheetId="16"/>
    <customWorkbookView name="hawwa zahira - Personal View" guid="{809AAACF-1F9F-4AA0-A069-E0E3B47FA09A}" mergeInterval="0" personalView="1" maximized="1" windowWidth="1148" windowHeight="692" tabRatio="814" activeSheetId="3"/>
    <customWorkbookView name="iqbal - Personal View" guid="{55954F5B-8823-487D-89BD-5CAA49E9A156}" mergeInterval="0" personalView="1" maximized="1" windowWidth="1276" windowHeight="874" activeSheetId="12"/>
    <customWorkbookView name="moomina - Personal View" guid="{606E8A6D-F254-43BE-81C6-5E26D3168B9C}" mergeInterval="0" personalView="1" maximized="1" windowWidth="1020" windowHeight="570" activeSheetId="8"/>
  </customWorkbookViews>
</workbook>
</file>

<file path=xl/calcChain.xml><?xml version="1.0" encoding="utf-8"?>
<calcChain xmlns="http://schemas.openxmlformats.org/spreadsheetml/2006/main">
  <c r="AR50" i="51" l="1"/>
  <c r="AS50" i="51"/>
  <c r="AR51" i="51"/>
  <c r="AS51" i="51"/>
  <c r="AR52" i="51"/>
  <c r="AS52" i="51"/>
  <c r="AR53" i="51"/>
  <c r="AS53" i="51"/>
  <c r="AR54" i="51"/>
  <c r="AS54" i="51"/>
  <c r="AR55" i="51"/>
  <c r="AS55" i="51"/>
  <c r="AR56" i="51"/>
  <c r="AS56" i="51"/>
  <c r="AR57" i="51"/>
  <c r="AS57" i="51"/>
  <c r="AR58" i="51"/>
  <c r="AS58" i="51"/>
  <c r="AS49" i="51"/>
  <c r="AR49" i="51"/>
  <c r="F7" i="51"/>
  <c r="E7" i="51"/>
  <c r="AI20" i="51"/>
  <c r="AI10" i="51"/>
  <c r="AI11" i="51"/>
  <c r="AI12" i="51"/>
  <c r="AI13" i="51"/>
  <c r="AI14" i="51"/>
  <c r="AI15" i="51"/>
  <c r="AI16" i="51"/>
  <c r="AI17" i="51"/>
  <c r="AI18" i="51"/>
  <c r="AI9" i="51"/>
  <c r="B6" i="51" l="1"/>
  <c r="F10" i="51"/>
  <c r="F15" i="51" l="1"/>
  <c r="F16" i="51"/>
  <c r="F11" i="51"/>
  <c r="F12" i="51"/>
  <c r="F13" i="51"/>
  <c r="F14" i="51"/>
  <c r="E16" i="51" l="1"/>
  <c r="E15" i="51"/>
  <c r="E11" i="51"/>
  <c r="F5" i="51"/>
  <c r="E5" i="51"/>
  <c r="E10" i="51" l="1"/>
  <c r="E13" i="51"/>
  <c r="E9" i="51"/>
  <c r="E14" i="51"/>
  <c r="F9" i="51"/>
  <c r="E12" i="51"/>
  <c r="E8" i="51"/>
  <c r="F8" i="51"/>
</calcChain>
</file>

<file path=xl/sharedStrings.xml><?xml version="1.0" encoding="utf-8"?>
<sst xmlns="http://schemas.openxmlformats.org/spreadsheetml/2006/main" count="63" uniqueCount="36">
  <si>
    <t>Total</t>
  </si>
  <si>
    <t>Source:  Maldives Customs Services</t>
  </si>
  <si>
    <t xml:space="preserve">cswsivrWs ccscmwTcswk cscviDclOm :ctWrwfivcaed utWmUluAwm     </t>
  </si>
  <si>
    <t>wlcmuj</t>
  </si>
  <si>
    <t>(cniaWyifur '000) ugwa</t>
  </si>
  <si>
    <t>Items</t>
  </si>
  <si>
    <t>wlcaimwa</t>
  </si>
  <si>
    <t>urWkurws</t>
  </si>
  <si>
    <t>Private</t>
  </si>
  <si>
    <t>Government</t>
  </si>
  <si>
    <t xml:space="preserve">wlcmuj  </t>
  </si>
  <si>
    <t>Fresh or Chilled Tuna</t>
  </si>
  <si>
    <t xml:space="preserve">cswmwncnuh iawfcaokinif wtwvun WzWt    </t>
  </si>
  <si>
    <t>Fresh or Chilled Reef Fish</t>
  </si>
  <si>
    <t xml:space="preserve">cswmurwfwncnuh iawfcaokinif wtwvun WzWt    </t>
  </si>
  <si>
    <t>Frozen Fish</t>
  </si>
  <si>
    <t xml:space="preserve">cswmirukinif  </t>
  </si>
  <si>
    <t>Dried Fish</t>
  </si>
  <si>
    <t>Salted Dried Fish</t>
  </si>
  <si>
    <t xml:space="preserve">cswmikihiLeaunol   </t>
  </si>
  <si>
    <t>Live Reef Fish</t>
  </si>
  <si>
    <t>Sea Cucumber</t>
  </si>
  <si>
    <t xml:space="preserve">Wdnwlifiauh  </t>
  </si>
  <si>
    <t>Canned Fish</t>
  </si>
  <si>
    <t xml:space="preserve">cswmirukudcnwb iawguLwd  </t>
  </si>
  <si>
    <t xml:space="preserve">cswmurwfErid  </t>
  </si>
  <si>
    <t>Fish Meal</t>
  </si>
  <si>
    <t>Other Marine Products</t>
  </si>
  <si>
    <t xml:space="preserve">cawtctwvWbeguDnwkcnehinehea        </t>
  </si>
  <si>
    <t xml:space="preserve">        Value (in MVR. '000)</t>
  </si>
  <si>
    <t>ބާވަތް</t>
  </si>
  <si>
    <t>cswmikih</t>
  </si>
  <si>
    <t>% share</t>
  </si>
  <si>
    <t>Table  15.4 :  SUMMARY OF MARINE PRODUCT EXPORTS BY COMMODITY, 2016</t>
  </si>
  <si>
    <t>2016 ,WsWluh egukwtctwvWb eguDnwk unuverukurEb cnEjcaWr : 15.4 ulwvWt</t>
  </si>
  <si>
    <t>WnWk uhwm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</si>
</sst>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_);_(* \(#,##0\);_(* &quot;-&quot;??_);_(@_)"/>
    <numFmt numFmtId="169" formatCode="_(* #,##0.0_);_(* \(#,##0.0\);_(* &quot;-&quot;??_);_(@_)"/>
    <numFmt numFmtId="170" formatCode="0.00_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_Randhoo"/>
    </font>
    <font>
      <sz val="9"/>
      <name val="A_Randhoo"/>
    </font>
    <font>
      <sz val="10"/>
      <name val="Arial"/>
      <family val="2"/>
    </font>
    <font>
      <b/>
      <sz val="10"/>
      <name val="Calibri"/>
      <family val="2"/>
    </font>
    <font>
      <b/>
      <sz val="9"/>
      <name val="A_Randhoo"/>
    </font>
    <font>
      <b/>
      <sz val="10"/>
      <name val="A_Randhoo"/>
    </font>
    <font>
      <b/>
      <i/>
      <sz val="16"/>
      <name val="Helv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9"/>
      <name val="Faruma"/>
    </font>
    <font>
      <b/>
      <sz val="11"/>
      <name val="Calibri"/>
      <family val="2"/>
    </font>
    <font>
      <i/>
      <sz val="9"/>
      <name val="A_Randhoo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_Randhoo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A_Randhoo"/>
    </font>
    <font>
      <b/>
      <sz val="11"/>
      <color theme="1"/>
      <name val="Calibri"/>
      <family val="2"/>
    </font>
    <font>
      <i/>
      <sz val="10"/>
      <name val="A_Randhoo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3" fillId="0" borderId="0"/>
    <xf numFmtId="164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1" fillId="0" borderId="0"/>
    <xf numFmtId="0" fontId="12" fillId="0" borderId="0"/>
    <xf numFmtId="9" fontId="7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8" applyNumberFormat="0" applyFill="0" applyAlignment="0" applyProtection="0"/>
    <xf numFmtId="0" fontId="29" fillId="0" borderId="9" applyNumberFormat="0" applyFill="0" applyAlignment="0" applyProtection="0"/>
    <xf numFmtId="0" fontId="30" fillId="0" borderId="10" applyNumberFormat="0" applyFill="0" applyAlignment="0" applyProtection="0"/>
    <xf numFmtId="0" fontId="30" fillId="0" borderId="0" applyNumberFormat="0" applyFill="0" applyBorder="0" applyAlignment="0" applyProtection="0"/>
    <xf numFmtId="0" fontId="31" fillId="3" borderId="0" applyNumberFormat="0" applyBorder="0" applyAlignment="0" applyProtection="0"/>
    <xf numFmtId="0" fontId="32" fillId="4" borderId="0" applyNumberFormat="0" applyBorder="0" applyAlignment="0" applyProtection="0"/>
    <xf numFmtId="0" fontId="33" fillId="5" borderId="0" applyNumberFormat="0" applyBorder="0" applyAlignment="0" applyProtection="0"/>
    <xf numFmtId="0" fontId="34" fillId="6" borderId="11" applyNumberFormat="0" applyAlignment="0" applyProtection="0"/>
    <xf numFmtId="0" fontId="35" fillId="7" borderId="12" applyNumberFormat="0" applyAlignment="0" applyProtection="0"/>
    <xf numFmtId="0" fontId="36" fillId="7" borderId="11" applyNumberFormat="0" applyAlignment="0" applyProtection="0"/>
    <xf numFmtId="0" fontId="37" fillId="0" borderId="13" applyNumberFormat="0" applyFill="0" applyAlignment="0" applyProtection="0"/>
    <xf numFmtId="0" fontId="38" fillId="8" borderId="14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41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1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1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5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5" fillId="34" borderId="0" applyNumberFormat="0" applyBorder="0" applyAlignment="0" applyProtection="0"/>
  </cellStyleXfs>
  <cellXfs count="66">
    <xf numFmtId="0" fontId="0" fillId="0" borderId="0" xfId="0"/>
    <xf numFmtId="0" fontId="8" fillId="2" borderId="0" xfId="0" applyFont="1" applyFill="1" applyBorder="1" applyAlignment="1">
      <alignment vertical="center"/>
    </xf>
    <xf numFmtId="0" fontId="25" fillId="2" borderId="0" xfId="0" applyFont="1" applyFill="1" applyBorder="1" applyAlignment="1" applyProtection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25" fillId="2" borderId="0" xfId="0" applyFont="1" applyFill="1" applyAlignment="1" applyProtection="1">
      <alignment horizontal="left" vertical="center"/>
    </xf>
    <xf numFmtId="0" fontId="8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8" fillId="2" borderId="1" xfId="0" applyFont="1" applyFill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right" vertical="center"/>
    </xf>
    <xf numFmtId="0" fontId="22" fillId="2" borderId="0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0" fillId="2" borderId="0" xfId="0" applyFill="1"/>
    <xf numFmtId="0" fontId="8" fillId="2" borderId="3" xfId="0" applyFont="1" applyFill="1" applyBorder="1" applyAlignment="1" applyProtection="1">
      <alignment horizontal="right" vertical="center"/>
    </xf>
    <xf numFmtId="0" fontId="20" fillId="2" borderId="0" xfId="0" applyNumberFormat="1" applyFont="1" applyFill="1" applyBorder="1" applyAlignment="1" applyProtection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26" fillId="2" borderId="0" xfId="0" applyNumberFormat="1" applyFont="1" applyFill="1" applyBorder="1" applyAlignment="1">
      <alignment horizontal="left" vertical="center" wrapText="1" indent="2"/>
    </xf>
    <xf numFmtId="0" fontId="6" fillId="2" borderId="0" xfId="0" applyFont="1" applyFill="1" applyBorder="1" applyAlignment="1">
      <alignment horizontal="right" vertical="center" wrapText="1" indent="2"/>
    </xf>
    <xf numFmtId="0" fontId="18" fillId="2" borderId="0" xfId="0" applyFont="1" applyFill="1" applyBorder="1" applyAlignment="1">
      <alignment horizontal="right" vertical="center" wrapText="1" indent="2"/>
    </xf>
    <xf numFmtId="0" fontId="8" fillId="2" borderId="6" xfId="0" applyFont="1" applyFill="1" applyBorder="1" applyAlignment="1" applyProtection="1">
      <alignment horizontal="left" vertical="center"/>
    </xf>
    <xf numFmtId="168" fontId="20" fillId="2" borderId="0" xfId="3" applyNumberFormat="1" applyFont="1" applyFill="1" applyBorder="1" applyAlignment="1">
      <alignment horizontal="right" vertical="center"/>
    </xf>
    <xf numFmtId="168" fontId="20" fillId="2" borderId="2" xfId="3" applyNumberFormat="1" applyFont="1" applyFill="1" applyBorder="1" applyAlignment="1">
      <alignment horizontal="right" vertical="center"/>
    </xf>
    <xf numFmtId="0" fontId="21" fillId="2" borderId="0" xfId="0" applyNumberFormat="1" applyFont="1" applyFill="1" applyBorder="1" applyAlignment="1">
      <alignment horizontal="left" vertical="center" wrapText="1" indent="2"/>
    </xf>
    <xf numFmtId="0" fontId="21" fillId="2" borderId="1" xfId="0" applyNumberFormat="1" applyFont="1" applyFill="1" applyBorder="1" applyAlignment="1">
      <alignment horizontal="left" vertical="center" wrapText="1" indent="2"/>
    </xf>
    <xf numFmtId="168" fontId="20" fillId="2" borderId="1" xfId="3" applyNumberFormat="1" applyFont="1" applyFill="1" applyBorder="1" applyAlignment="1">
      <alignment horizontal="right" vertical="center"/>
    </xf>
    <xf numFmtId="3" fontId="42" fillId="2" borderId="0" xfId="0" applyNumberFormat="1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0" fillId="2" borderId="0" xfId="0" applyFill="1" applyBorder="1"/>
    <xf numFmtId="0" fontId="23" fillId="2" borderId="0" xfId="0" applyFont="1" applyFill="1" applyBorder="1" applyAlignment="1">
      <alignment vertical="center"/>
    </xf>
    <xf numFmtId="169" fontId="23" fillId="2" borderId="0" xfId="0" applyNumberFormat="1" applyFont="1" applyFill="1" applyBorder="1" applyAlignment="1">
      <alignment vertical="center"/>
    </xf>
    <xf numFmtId="169" fontId="0" fillId="2" borderId="0" xfId="0" applyNumberFormat="1" applyFill="1" applyBorder="1"/>
    <xf numFmtId="168" fontId="21" fillId="2" borderId="0" xfId="3" applyNumberFormat="1" applyFont="1" applyFill="1" applyBorder="1" applyAlignment="1">
      <alignment horizontal="right" vertical="center"/>
    </xf>
    <xf numFmtId="168" fontId="21" fillId="2" borderId="1" xfId="3" applyNumberFormat="1" applyFont="1" applyFill="1" applyBorder="1" applyAlignment="1">
      <alignment horizontal="right" vertical="center"/>
    </xf>
    <xf numFmtId="0" fontId="8" fillId="2" borderId="17" xfId="0" applyFont="1" applyFill="1" applyBorder="1" applyAlignment="1" applyProtection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8" fillId="2" borderId="5" xfId="0" applyFont="1" applyFill="1" applyBorder="1" applyAlignment="1" applyProtection="1">
      <alignment horizontal="right" vertical="center"/>
    </xf>
    <xf numFmtId="168" fontId="20" fillId="2" borderId="4" xfId="3" applyNumberFormat="1" applyFont="1" applyFill="1" applyBorder="1" applyAlignment="1">
      <alignment horizontal="right" vertical="center"/>
    </xf>
    <xf numFmtId="168" fontId="21" fillId="2" borderId="4" xfId="3" applyNumberFormat="1" applyFont="1" applyFill="1" applyBorder="1" applyAlignment="1">
      <alignment horizontal="right" vertical="center"/>
    </xf>
    <xf numFmtId="168" fontId="21" fillId="2" borderId="5" xfId="3" applyNumberFormat="1" applyFont="1" applyFill="1" applyBorder="1" applyAlignment="1">
      <alignment horizontal="right" vertical="center"/>
    </xf>
    <xf numFmtId="37" fontId="21" fillId="2" borderId="0" xfId="3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3" fontId="24" fillId="2" borderId="0" xfId="0" applyNumberFormat="1" applyFont="1" applyFill="1" applyBorder="1" applyAlignment="1">
      <alignment vertical="center"/>
    </xf>
    <xf numFmtId="0" fontId="43" fillId="2" borderId="0" xfId="0" applyFont="1" applyFill="1" applyBorder="1" applyAlignment="1" applyProtection="1">
      <alignment vertical="center"/>
    </xf>
    <xf numFmtId="0" fontId="20" fillId="2" borderId="0" xfId="0" applyFont="1" applyFill="1" applyBorder="1" applyAlignment="1" applyProtection="1">
      <alignment vertical="center"/>
    </xf>
    <xf numFmtId="0" fontId="16" fillId="2" borderId="0" xfId="0" applyFont="1" applyFill="1" applyBorder="1" applyAlignment="1">
      <alignment vertical="center"/>
    </xf>
    <xf numFmtId="43" fontId="0" fillId="2" borderId="0" xfId="0" applyNumberFormat="1" applyFill="1" applyBorder="1"/>
    <xf numFmtId="1" fontId="0" fillId="2" borderId="0" xfId="0" applyNumberFormat="1" applyFill="1"/>
    <xf numFmtId="0" fontId="3" fillId="2" borderId="0" xfId="0" applyFont="1" applyFill="1"/>
    <xf numFmtId="168" fontId="0" fillId="2" borderId="0" xfId="0" applyNumberFormat="1" applyFill="1"/>
    <xf numFmtId="0" fontId="9" fillId="2" borderId="0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right" vertical="center" wrapText="1" indent="2"/>
    </xf>
    <xf numFmtId="0" fontId="44" fillId="2" borderId="0" xfId="0" applyFont="1" applyFill="1" applyBorder="1" applyAlignment="1">
      <alignment horizontal="right" vertical="center" wrapText="1" indent="2"/>
    </xf>
    <xf numFmtId="0" fontId="5" fillId="2" borderId="1" xfId="0" applyFont="1" applyFill="1" applyBorder="1" applyAlignment="1">
      <alignment horizontal="right" vertical="center" wrapText="1" indent="2" readingOrder="1"/>
    </xf>
    <xf numFmtId="0" fontId="6" fillId="2" borderId="0" xfId="0" applyFont="1" applyFill="1" applyBorder="1" applyAlignment="1">
      <alignment horizontal="right" vertical="center" wrapText="1" indent="2" readingOrder="1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0" fontId="20" fillId="2" borderId="1" xfId="0" applyFont="1" applyFill="1" applyBorder="1" applyAlignment="1" applyProtection="1">
      <alignment horizontal="left" vertical="center"/>
    </xf>
    <xf numFmtId="3" fontId="24" fillId="2" borderId="0" xfId="0" applyNumberFormat="1" applyFont="1" applyFill="1" applyAlignment="1">
      <alignment horizontal="center" vertical="center"/>
    </xf>
    <xf numFmtId="0" fontId="43" fillId="2" borderId="1" xfId="0" applyFont="1" applyFill="1" applyBorder="1" applyAlignment="1" applyProtection="1">
      <alignment horizontal="center" vertical="center"/>
    </xf>
    <xf numFmtId="0" fontId="16" fillId="2" borderId="0" xfId="0" applyFont="1" applyFill="1" applyBorder="1" applyAlignment="1">
      <alignment horizontal="right" vertical="center"/>
    </xf>
    <xf numFmtId="3" fontId="24" fillId="2" borderId="0" xfId="0" applyNumberFormat="1" applyFont="1" applyFill="1" applyBorder="1" applyAlignment="1">
      <alignment horizontal="center" vertical="center"/>
    </xf>
    <xf numFmtId="0" fontId="43" fillId="2" borderId="0" xfId="0" applyFont="1" applyFill="1" applyBorder="1" applyAlignment="1" applyProtection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/>
    </xf>
  </cellXfs>
  <cellStyles count="68">
    <cellStyle name="1" xfId="1"/>
    <cellStyle name="20% - Accent1" xfId="24" builtinId="30" customBuiltin="1"/>
    <cellStyle name="20% - Accent1 2" xfId="55"/>
    <cellStyle name="20% - Accent2" xfId="28" builtinId="34" customBuiltin="1"/>
    <cellStyle name="20% - Accent2 2" xfId="57"/>
    <cellStyle name="20% - Accent3" xfId="32" builtinId="38" customBuiltin="1"/>
    <cellStyle name="20% - Accent3 2" xfId="59"/>
    <cellStyle name="20% - Accent4" xfId="36" builtinId="42" customBuiltin="1"/>
    <cellStyle name="20% - Accent4 2" xfId="61"/>
    <cellStyle name="20% - Accent5" xfId="40" builtinId="46" customBuiltin="1"/>
    <cellStyle name="20% - Accent5 2" xfId="63"/>
    <cellStyle name="20% - Accent6" xfId="44" builtinId="50" customBuiltin="1"/>
    <cellStyle name="20% - Accent6 2" xfId="65"/>
    <cellStyle name="40% - Accent1" xfId="25" builtinId="31" customBuiltin="1"/>
    <cellStyle name="40% - Accent1 2" xfId="56"/>
    <cellStyle name="40% - Accent2" xfId="29" builtinId="35" customBuiltin="1"/>
    <cellStyle name="40% - Accent2 2" xfId="58"/>
    <cellStyle name="40% - Accent3" xfId="33" builtinId="39" customBuiltin="1"/>
    <cellStyle name="40% - Accent3 2" xfId="60"/>
    <cellStyle name="40% - Accent4" xfId="37" builtinId="43" customBuiltin="1"/>
    <cellStyle name="40% - Accent4 2" xfId="62"/>
    <cellStyle name="40% - Accent5" xfId="41" builtinId="47" customBuiltin="1"/>
    <cellStyle name="40% - Accent5 2" xfId="64"/>
    <cellStyle name="40% - Accent6" xfId="45" builtinId="51" customBuiltin="1"/>
    <cellStyle name="40% - Accent6 2" xfId="66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67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omma 3" xfId="3"/>
    <cellStyle name="Comma 4" xfId="48"/>
    <cellStyle name="Comma 5" xfId="51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4"/>
    <cellStyle name="Normal 2" xfId="5"/>
    <cellStyle name="Normal 3" xfId="47"/>
    <cellStyle name="Normal 4" xfId="50"/>
    <cellStyle name="Normal 5" xfId="52"/>
    <cellStyle name="Normal 6" xfId="54"/>
    <cellStyle name="Note 2" xfId="49"/>
    <cellStyle name="Note 3" xfId="53"/>
    <cellStyle name="Output" xfId="16" builtinId="21" customBuiltin="1"/>
    <cellStyle name="Percent 2" xfId="6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Figure 15.3:  Percentage distribution of marine product exports by product, 2016</a:t>
            </a:r>
          </a:p>
        </c:rich>
      </c:tx>
      <c:layout>
        <c:manualLayout>
          <c:xMode val="edge"/>
          <c:yMode val="edge"/>
          <c:x val="0.11927513765592751"/>
          <c:y val="1.94931773879142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211998079535363"/>
          <c:y val="0.10647442911597904"/>
          <c:w val="0.40757393864244318"/>
          <c:h val="0.850685775994622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70E7-4835-8E88-741651B410DB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0E7-4835-8E88-741651B410D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70E7-4835-8E88-741651B410DB}"/>
              </c:ext>
            </c:extLst>
          </c:dPt>
          <c:dPt>
            <c:idx val="3"/>
            <c:bubble3D val="0"/>
            <c:spPr>
              <a:solidFill>
                <a:srgbClr val="F9B277"/>
              </a:solidFill>
            </c:spPr>
            <c:extLst>
              <c:ext xmlns:c16="http://schemas.microsoft.com/office/drawing/2014/chart" uri="{C3380CC4-5D6E-409C-BE32-E72D297353CC}">
                <c16:uniqueId val="{00000007-70E7-4835-8E88-741651B410DB}"/>
              </c:ext>
            </c:extLst>
          </c:dPt>
          <c:dPt>
            <c:idx val="4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70E7-4835-8E88-741651B410DB}"/>
              </c:ext>
            </c:extLst>
          </c:dPt>
          <c:dPt>
            <c:idx val="5"/>
            <c:bubble3D val="0"/>
            <c:spPr>
              <a:solidFill>
                <a:schemeClr val="accent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70E7-4835-8E88-741651B410DB}"/>
              </c:ext>
            </c:extLst>
          </c:dPt>
          <c:dPt>
            <c:idx val="6"/>
            <c:bubble3D val="0"/>
            <c:spPr>
              <a:solidFill>
                <a:srgbClr val="2A1500"/>
              </a:solidFill>
            </c:spPr>
            <c:extLst>
              <c:ext xmlns:c16="http://schemas.microsoft.com/office/drawing/2014/chart" uri="{C3380CC4-5D6E-409C-BE32-E72D297353CC}">
                <c16:uniqueId val="{0000000D-4A49-4315-A143-094C567D34F7}"/>
              </c:ext>
            </c:extLst>
          </c:dPt>
          <c:dPt>
            <c:idx val="7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4A49-4315-A143-094C567D34F7}"/>
              </c:ext>
            </c:extLst>
          </c:dPt>
          <c:dLbls>
            <c:dLbl>
              <c:idx val="0"/>
              <c:layout>
                <c:manualLayout>
                  <c:x val="-0.13000457364437776"/>
                  <c:y val="0.186704141546339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0E7-4835-8E88-741651B410DB}"/>
                </c:ext>
              </c:extLst>
            </c:dLbl>
            <c:dLbl>
              <c:idx val="1"/>
              <c:layout>
                <c:manualLayout>
                  <c:x val="-9.0777782617068141E-3"/>
                  <c:y val="2.1562073133228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0E7-4835-8E88-741651B410DB}"/>
                </c:ext>
              </c:extLst>
            </c:dLbl>
            <c:dLbl>
              <c:idx val="2"/>
              <c:layout>
                <c:manualLayout>
                  <c:x val="-9.1426972934085388E-2"/>
                  <c:y val="-0.250681198910081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0E7-4835-8E88-741651B410DB}"/>
                </c:ext>
              </c:extLst>
            </c:dLbl>
            <c:dLbl>
              <c:idx val="3"/>
              <c:layout>
                <c:manualLayout>
                  <c:x val="2.3255438106891523E-2"/>
                  <c:y val="3.42194282935328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0E7-4835-8E88-741651B410DB}"/>
                </c:ext>
              </c:extLst>
            </c:dLbl>
            <c:dLbl>
              <c:idx val="4"/>
              <c:layout>
                <c:manualLayout>
                  <c:x val="-5.9764048984940615E-2"/>
                  <c:y val="4.983558254128302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0E7-4835-8E88-741651B410DB}"/>
                </c:ext>
              </c:extLst>
            </c:dLbl>
            <c:dLbl>
              <c:idx val="5"/>
              <c:layout>
                <c:manualLayout>
                  <c:x val="-7.2610995287718208E-2"/>
                  <c:y val="-3.48813891451579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0E7-4835-8E88-741651B410DB}"/>
                </c:ext>
              </c:extLst>
            </c:dLbl>
            <c:dLbl>
              <c:idx val="6"/>
              <c:layout>
                <c:manualLayout>
                  <c:x val="-6.7388396605228676E-2"/>
                  <c:y val="-0.124401152853168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4A49-4315-A143-094C567D34F7}"/>
                </c:ext>
              </c:extLst>
            </c:dLbl>
            <c:dLbl>
              <c:idx val="7"/>
              <c:layout>
                <c:manualLayout>
                  <c:x val="0.18371659248828595"/>
                  <c:y val="9.55921245539130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4A49-4315-A143-094C567D34F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'15.4'!$AH$9:$AH$18</c15:sqref>
                  </c15:fullRef>
                </c:ext>
              </c:extLst>
              <c:f>('15.4'!$AH$9:$AH$13,'15.4'!$AH$16:$AH$18)</c:f>
              <c:strCache>
                <c:ptCount val="8"/>
                <c:pt idx="0">
                  <c:v>Fresh or Chilled Tuna</c:v>
                </c:pt>
                <c:pt idx="1">
                  <c:v>Fresh or Chilled Reef Fish</c:v>
                </c:pt>
                <c:pt idx="2">
                  <c:v>Frozen Fish</c:v>
                </c:pt>
                <c:pt idx="3">
                  <c:v>Dried Fish</c:v>
                </c:pt>
                <c:pt idx="4">
                  <c:v>Salted Dried Fish</c:v>
                </c:pt>
                <c:pt idx="5">
                  <c:v>Fish Meal</c:v>
                </c:pt>
                <c:pt idx="6">
                  <c:v>Live Reef Fish</c:v>
                </c:pt>
                <c:pt idx="7">
                  <c:v>Other Marine Products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'15.4'!$AI$9:$AI$18</c15:sqref>
                  </c15:fullRef>
                </c:ext>
              </c:extLst>
              <c:f>('15.4'!$AI$9:$AI$13,'15.4'!$AI$16:$AI$18)</c:f>
              <c:numCache>
                <c:formatCode>General</c:formatCode>
                <c:ptCount val="8"/>
                <c:pt idx="0">
                  <c:v>21.67134588058741</c:v>
                </c:pt>
                <c:pt idx="1">
                  <c:v>2.0966783896996111</c:v>
                </c:pt>
                <c:pt idx="2">
                  <c:v>34.31885339826151</c:v>
                </c:pt>
                <c:pt idx="3">
                  <c:v>3.618555855486961</c:v>
                </c:pt>
                <c:pt idx="4">
                  <c:v>1.2471273719128892</c:v>
                </c:pt>
                <c:pt idx="5">
                  <c:v>0.53474211828899032</c:v>
                </c:pt>
                <c:pt idx="6">
                  <c:v>0.78335606558430015</c:v>
                </c:pt>
                <c:pt idx="7">
                  <c:v>35.19496485400736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'15.4'!$AI$14</c15:sqref>
                  <c15:spPr xmlns:c15="http://schemas.microsoft.com/office/drawing/2012/chart">
                    <a:solidFill>
                      <a:schemeClr val="bg1">
                        <a:lumMod val="85000"/>
                      </a:schemeClr>
                    </a:solidFill>
                  </c15:spPr>
                  <c15:bubble3D val="0"/>
                  <c15:dLbl>
                    <c:idx val="4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174B-4629-8130-B19611CF3843}"/>
                      </c:ext>
                    </c:extLst>
                  </c15:dLbl>
                </c15:categoryFilterException>
                <c15:categoryFilterException>
                  <c15:sqref>'15.4'!$AI$15</c15:sqref>
                  <c15:dLbl>
                    <c:idx val="4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174B-4629-8130-B19611CF384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70E7-4835-8E88-741651B410D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u="none" strike="noStrike" baseline="0">
                <a:effectLst/>
              </a:rPr>
              <a:t>Figure 15.4:  </a:t>
            </a:r>
            <a:r>
              <a:rPr lang="en-US" sz="1200"/>
              <a:t>Percentage share of marine product exports by sector, 2016</a:t>
            </a:r>
          </a:p>
        </c:rich>
      </c:tx>
      <c:layout>
        <c:manualLayout>
          <c:xMode val="edge"/>
          <c:yMode val="edge"/>
          <c:x val="0.22758735157177595"/>
          <c:y val="3.5933187952190325E-2"/>
        </c:manualLayout>
      </c:layout>
      <c:overlay val="0"/>
      <c:spPr>
        <a:solidFill>
          <a:schemeClr val="bg1"/>
        </a:solidFill>
      </c:spPr>
    </c:title>
    <c:autoTitleDeleted val="0"/>
    <c:plotArea>
      <c:layout>
        <c:manualLayout>
          <c:layoutTarget val="inner"/>
          <c:xMode val="edge"/>
          <c:yMode val="edge"/>
          <c:x val="0.20528617267528079"/>
          <c:y val="0.1297085073807164"/>
          <c:w val="0.75628373464304988"/>
          <c:h val="0.695572308398911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'15.4'!$E$5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'15.4'!$A$7:$A$16</c:f>
              <c:strCache>
                <c:ptCount val="10"/>
                <c:pt idx="0">
                  <c:v>Fresh or Chilled Tuna</c:v>
                </c:pt>
                <c:pt idx="1">
                  <c:v>Fresh or Chilled Reef Fish</c:v>
                </c:pt>
                <c:pt idx="2">
                  <c:v>Frozen Fish</c:v>
                </c:pt>
                <c:pt idx="3">
                  <c:v>Dried Fish</c:v>
                </c:pt>
                <c:pt idx="4">
                  <c:v>Salted Dried Fish</c:v>
                </c:pt>
                <c:pt idx="5">
                  <c:v>Sea Cucumber</c:v>
                </c:pt>
                <c:pt idx="6">
                  <c:v>Canned Fish</c:v>
                </c:pt>
                <c:pt idx="7">
                  <c:v>Fish Meal</c:v>
                </c:pt>
                <c:pt idx="8">
                  <c:v>Live Reef Fish</c:v>
                </c:pt>
                <c:pt idx="9">
                  <c:v>Other Marine Products</c:v>
                </c:pt>
              </c:strCache>
            </c:strRef>
          </c:cat>
          <c:val>
            <c:numRef>
              <c:f>'15.4'!$E$7:$E$16</c:f>
              <c:numCache>
                <c:formatCode>_(* #,##0_);_(* \(#,##0\);_(* "-"??_);_(@_)</c:formatCode>
                <c:ptCount val="10"/>
                <c:pt idx="0">
                  <c:v>98.73487947036044</c:v>
                </c:pt>
                <c:pt idx="1">
                  <c:v>99.95177232919589</c:v>
                </c:pt>
                <c:pt idx="2">
                  <c:v>12.011113706330985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97.397070583780049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F-4758-99C7-5F39B9189A45}"/>
            </c:ext>
          </c:extLst>
        </c:ser>
        <c:ser>
          <c:idx val="1"/>
          <c:order val="1"/>
          <c:tx>
            <c:strRef>
              <c:f>'15.4'!$F$5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cat>
            <c:strRef>
              <c:f>'15.4'!$A$7:$A$16</c:f>
              <c:strCache>
                <c:ptCount val="10"/>
                <c:pt idx="0">
                  <c:v>Fresh or Chilled Tuna</c:v>
                </c:pt>
                <c:pt idx="1">
                  <c:v>Fresh or Chilled Reef Fish</c:v>
                </c:pt>
                <c:pt idx="2">
                  <c:v>Frozen Fish</c:v>
                </c:pt>
                <c:pt idx="3">
                  <c:v>Dried Fish</c:v>
                </c:pt>
                <c:pt idx="4">
                  <c:v>Salted Dried Fish</c:v>
                </c:pt>
                <c:pt idx="5">
                  <c:v>Sea Cucumber</c:v>
                </c:pt>
                <c:pt idx="6">
                  <c:v>Canned Fish</c:v>
                </c:pt>
                <c:pt idx="7">
                  <c:v>Fish Meal</c:v>
                </c:pt>
                <c:pt idx="8">
                  <c:v>Live Reef Fish</c:v>
                </c:pt>
                <c:pt idx="9">
                  <c:v>Other Marine Products</c:v>
                </c:pt>
              </c:strCache>
            </c:strRef>
          </c:cat>
          <c:val>
            <c:numRef>
              <c:f>'15.4'!$F$7:$F$16</c:f>
              <c:numCache>
                <c:formatCode>_(* #,##0_);_(* \(#,##0\);_(* "-"??_);_(@_)</c:formatCode>
                <c:ptCount val="10"/>
                <c:pt idx="0">
                  <c:v>1.2651205296395724</c:v>
                </c:pt>
                <c:pt idx="1">
                  <c:v>4.8227670804120028E-2</c:v>
                </c:pt>
                <c:pt idx="2">
                  <c:v>87.988886293668997</c:v>
                </c:pt>
                <c:pt idx="3" formatCode="#,##0_);\(#,##0\)">
                  <c:v>0</c:v>
                </c:pt>
                <c:pt idx="4" formatCode="#,##0_);\(#,##0\)">
                  <c:v>0</c:v>
                </c:pt>
                <c:pt idx="5" formatCode="#,##0_);\(#,##0\)">
                  <c:v>0</c:v>
                </c:pt>
                <c:pt idx="6" formatCode="#,##0_);\(#,##0\)">
                  <c:v>0</c:v>
                </c:pt>
                <c:pt idx="7" formatCode="#,##0_);\(#,##0\)">
                  <c:v>0</c:v>
                </c:pt>
                <c:pt idx="8" formatCode="#,##0_);\(#,##0\)">
                  <c:v>0</c:v>
                </c:pt>
                <c:pt idx="9">
                  <c:v>2.6029294162199457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F-4758-99C7-5F39B918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733056"/>
        <c:axId val="136734592"/>
      </c:barChart>
      <c:catAx>
        <c:axId val="13673305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136734592"/>
        <c:crosses val="autoZero"/>
        <c:auto val="1"/>
        <c:lblAlgn val="ctr"/>
        <c:lblOffset val="100"/>
        <c:noMultiLvlLbl val="0"/>
      </c:catAx>
      <c:valAx>
        <c:axId val="136734592"/>
        <c:scaling>
          <c:orientation val="minMax"/>
          <c:max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0.50505741409747018"/>
              <c:y val="0.90827288201217071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36733056"/>
        <c:crosses val="autoZero"/>
        <c:crossBetween val="between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2.7616563461570012E-2"/>
          <c:y val="0.91692261291638877"/>
          <c:w val="0.33283068187905085"/>
          <c:h val="5.2941252466193085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574963</xdr:colOff>
      <xdr:row>17</xdr:row>
      <xdr:rowOff>105641</xdr:rowOff>
    </xdr:from>
    <xdr:to>
      <xdr:col>6</xdr:col>
      <xdr:colOff>1308389</xdr:colOff>
      <xdr:row>27</xdr:row>
      <xdr:rowOff>267566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29</xdr:row>
      <xdr:rowOff>1</xdr:rowOff>
    </xdr:from>
    <xdr:to>
      <xdr:col>6</xdr:col>
      <xdr:colOff>1308380</xdr:colOff>
      <xdr:row>40</xdr:row>
      <xdr:rowOff>148442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85"/>
  <sheetViews>
    <sheetView showGridLines="0" tabSelected="1" zoomScale="91" zoomScaleNormal="91" workbookViewId="0">
      <selection activeCell="P27" sqref="P27"/>
    </sheetView>
  </sheetViews>
  <sheetFormatPr defaultColWidth="9.140625" defaultRowHeight="12.75" x14ac:dyDescent="0.2"/>
  <cols>
    <col min="1" max="1" width="28.28515625" style="13" customWidth="1"/>
    <col min="2" max="2" width="20.5703125" style="13" bestFit="1" customWidth="1"/>
    <col min="3" max="3" width="12" style="13" bestFit="1" customWidth="1"/>
    <col min="4" max="4" width="13.85546875" style="13" customWidth="1"/>
    <col min="5" max="6" width="11.85546875" style="13" customWidth="1"/>
    <col min="7" max="7" width="30.85546875" style="13" customWidth="1"/>
    <col min="8" max="8" width="13.5703125" style="28" customWidth="1"/>
    <col min="9" max="35" width="14" style="28" customWidth="1"/>
    <col min="36" max="36" width="35.85546875" style="28" customWidth="1"/>
    <col min="37" max="40" width="9.140625" style="13"/>
    <col min="41" max="41" width="22.140625" style="13" customWidth="1"/>
    <col min="42" max="42" width="9.140625" style="13"/>
    <col min="43" max="43" width="25.7109375" style="13" customWidth="1"/>
    <col min="44" max="16384" width="9.140625" style="13"/>
  </cols>
  <sheetData>
    <row r="1" spans="1:36" ht="18" x14ac:dyDescent="0.2">
      <c r="A1" s="59" t="s">
        <v>34</v>
      </c>
      <c r="B1" s="59"/>
      <c r="C1" s="59"/>
      <c r="D1" s="59"/>
      <c r="E1" s="59"/>
      <c r="F1" s="59"/>
      <c r="G1" s="59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36" ht="15" customHeight="1" x14ac:dyDescent="0.2">
      <c r="A2" s="60" t="s">
        <v>33</v>
      </c>
      <c r="B2" s="60"/>
      <c r="C2" s="60"/>
      <c r="D2" s="60"/>
      <c r="E2" s="60"/>
      <c r="F2" s="60"/>
      <c r="G2" s="60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1:36" ht="18" customHeight="1" x14ac:dyDescent="0.2">
      <c r="A3" s="57" t="s">
        <v>5</v>
      </c>
      <c r="B3" s="20" t="s">
        <v>29</v>
      </c>
      <c r="C3" s="5"/>
      <c r="D3" s="6" t="s">
        <v>4</v>
      </c>
      <c r="E3" s="34" t="s">
        <v>32</v>
      </c>
      <c r="F3" s="14" t="s">
        <v>32</v>
      </c>
      <c r="G3" s="64" t="s">
        <v>30</v>
      </c>
    </row>
    <row r="4" spans="1:36" ht="15" x14ac:dyDescent="0.2">
      <c r="A4" s="56"/>
      <c r="B4" s="50" t="s">
        <v>3</v>
      </c>
      <c r="C4" s="50" t="s">
        <v>6</v>
      </c>
      <c r="D4" s="50" t="s">
        <v>7</v>
      </c>
      <c r="E4" s="35" t="s">
        <v>6</v>
      </c>
      <c r="F4" s="50" t="s">
        <v>7</v>
      </c>
      <c r="G4" s="61"/>
    </row>
    <row r="5" spans="1:36" x14ac:dyDescent="0.2">
      <c r="A5" s="58"/>
      <c r="B5" s="8" t="s">
        <v>0</v>
      </c>
      <c r="C5" s="8" t="s">
        <v>8</v>
      </c>
      <c r="D5" s="8" t="s">
        <v>9</v>
      </c>
      <c r="E5" s="36" t="str">
        <f>C5</f>
        <v>Private</v>
      </c>
      <c r="F5" s="8" t="str">
        <f>D5</f>
        <v>Government</v>
      </c>
      <c r="G5" s="65"/>
    </row>
    <row r="6" spans="1:36" ht="15" x14ac:dyDescent="0.2">
      <c r="A6" s="15" t="s">
        <v>0</v>
      </c>
      <c r="B6" s="21">
        <f>SUM(B7:B16)</f>
        <v>2114278.1638699984</v>
      </c>
      <c r="C6" s="22"/>
      <c r="D6" s="22"/>
      <c r="E6" s="37"/>
      <c r="F6" s="21"/>
      <c r="G6" s="16" t="s">
        <v>10</v>
      </c>
    </row>
    <row r="7" spans="1:36" ht="23.25" customHeight="1" x14ac:dyDescent="0.2">
      <c r="A7" s="23" t="s">
        <v>11</v>
      </c>
      <c r="B7" s="21">
        <v>458192.53376999998</v>
      </c>
      <c r="C7" s="32">
        <v>452395.84596000001</v>
      </c>
      <c r="D7" s="32">
        <v>5796.6878100000004</v>
      </c>
      <c r="E7" s="38">
        <f>C7/B7*100</f>
        <v>98.73487947036044</v>
      </c>
      <c r="F7" s="32">
        <f>D7/B7*100</f>
        <v>1.2651205296395724</v>
      </c>
      <c r="G7" s="52" t="s">
        <v>12</v>
      </c>
      <c r="H7" s="46"/>
      <c r="AG7" s="46"/>
    </row>
    <row r="8" spans="1:36" ht="23.25" customHeight="1" x14ac:dyDescent="0.2">
      <c r="A8" s="23" t="s">
        <v>13</v>
      </c>
      <c r="B8" s="21">
        <v>44329.613359999981</v>
      </c>
      <c r="C8" s="32">
        <v>44308.234219999984</v>
      </c>
      <c r="D8" s="32">
        <v>21.379140000000003</v>
      </c>
      <c r="E8" s="38">
        <f t="shared" ref="E8:E16" si="0">C8/B8*100</f>
        <v>99.95177232919589</v>
      </c>
      <c r="F8" s="32">
        <f t="shared" ref="F8:F9" si="1">D8/B8*100</f>
        <v>4.8227670804120028E-2</v>
      </c>
      <c r="G8" s="52" t="s">
        <v>14</v>
      </c>
      <c r="H8" s="46"/>
      <c r="AG8" s="46"/>
    </row>
    <row r="9" spans="1:36" ht="23.25" customHeight="1" x14ac:dyDescent="0.2">
      <c r="A9" s="23" t="s">
        <v>15</v>
      </c>
      <c r="B9" s="21">
        <v>725596.02349000005</v>
      </c>
      <c r="C9" s="32">
        <v>87152.163429999986</v>
      </c>
      <c r="D9" s="32">
        <v>638443.86005999998</v>
      </c>
      <c r="E9" s="38">
        <f t="shared" si="0"/>
        <v>12.011113706330985</v>
      </c>
      <c r="F9" s="32">
        <f t="shared" si="1"/>
        <v>87.988886293668997</v>
      </c>
      <c r="G9" s="52" t="s">
        <v>16</v>
      </c>
      <c r="H9" s="46"/>
      <c r="AG9" s="46"/>
      <c r="AH9" s="23" t="s">
        <v>11</v>
      </c>
      <c r="AI9" s="28">
        <f>B7/$B$6*100</f>
        <v>21.67134588058741</v>
      </c>
    </row>
    <row r="10" spans="1:36" ht="23.25" customHeight="1" x14ac:dyDescent="0.2">
      <c r="A10" s="23" t="s">
        <v>17</v>
      </c>
      <c r="B10" s="21">
        <v>76506.336300000024</v>
      </c>
      <c r="C10" s="32">
        <v>76506.336300000024</v>
      </c>
      <c r="D10" s="40">
        <v>0</v>
      </c>
      <c r="E10" s="38">
        <f t="shared" si="0"/>
        <v>100</v>
      </c>
      <c r="F10" s="40">
        <f>D10/B10*100</f>
        <v>0</v>
      </c>
      <c r="G10" s="52" t="s">
        <v>31</v>
      </c>
      <c r="H10" s="46"/>
      <c r="AG10" s="46"/>
      <c r="AH10" s="23" t="s">
        <v>13</v>
      </c>
      <c r="AI10" s="28">
        <f t="shared" ref="AI10:AI18" si="2">B8/$B$6*100</f>
        <v>2.0966783896996111</v>
      </c>
    </row>
    <row r="11" spans="1:36" ht="23.25" customHeight="1" x14ac:dyDescent="0.2">
      <c r="A11" s="23" t="s">
        <v>18</v>
      </c>
      <c r="B11" s="21">
        <v>26367.741700000002</v>
      </c>
      <c r="C11" s="32">
        <v>26367.741700000002</v>
      </c>
      <c r="D11" s="40">
        <v>0</v>
      </c>
      <c r="E11" s="38">
        <f t="shared" si="0"/>
        <v>100</v>
      </c>
      <c r="F11" s="40">
        <f t="shared" ref="F11:F16" si="3">D11/B11*100</f>
        <v>0</v>
      </c>
      <c r="G11" s="52" t="s">
        <v>19</v>
      </c>
      <c r="H11" s="46"/>
      <c r="AG11" s="46"/>
      <c r="AH11" s="23" t="s">
        <v>15</v>
      </c>
      <c r="AI11" s="28">
        <f t="shared" si="2"/>
        <v>34.31885339826151</v>
      </c>
    </row>
    <row r="12" spans="1:36" ht="23.25" customHeight="1" x14ac:dyDescent="0.2">
      <c r="A12" s="23" t="s">
        <v>21</v>
      </c>
      <c r="B12" s="21">
        <v>5532.4481799999985</v>
      </c>
      <c r="C12" s="32">
        <v>5532.4481799999985</v>
      </c>
      <c r="D12" s="40">
        <v>0</v>
      </c>
      <c r="E12" s="38">
        <f t="shared" si="0"/>
        <v>100</v>
      </c>
      <c r="F12" s="40">
        <f t="shared" si="3"/>
        <v>0</v>
      </c>
      <c r="G12" s="53" t="s">
        <v>22</v>
      </c>
      <c r="H12" s="46"/>
      <c r="AG12" s="46"/>
      <c r="AH12" s="23" t="s">
        <v>17</v>
      </c>
      <c r="AI12" s="28">
        <f t="shared" si="2"/>
        <v>3.618555855486961</v>
      </c>
    </row>
    <row r="13" spans="1:36" ht="23.25" customHeight="1" x14ac:dyDescent="0.2">
      <c r="A13" s="23" t="s">
        <v>23</v>
      </c>
      <c r="B13" s="21">
        <v>5765.7483000000011</v>
      </c>
      <c r="C13" s="32">
        <v>5765.7483000000011</v>
      </c>
      <c r="D13" s="40">
        <v>0</v>
      </c>
      <c r="E13" s="38">
        <f t="shared" si="0"/>
        <v>100</v>
      </c>
      <c r="F13" s="40">
        <f t="shared" si="3"/>
        <v>0</v>
      </c>
      <c r="G13" s="52" t="s">
        <v>24</v>
      </c>
      <c r="H13" s="46"/>
      <c r="AG13" s="46"/>
      <c r="AH13" s="23" t="s">
        <v>18</v>
      </c>
      <c r="AI13" s="28">
        <f t="shared" si="2"/>
        <v>1.2471273719128892</v>
      </c>
    </row>
    <row r="14" spans="1:36" ht="23.25" customHeight="1" x14ac:dyDescent="0.2">
      <c r="A14" s="23" t="s">
        <v>26</v>
      </c>
      <c r="B14" s="21">
        <v>11305.93584</v>
      </c>
      <c r="C14" s="32">
        <v>11305.93584</v>
      </c>
      <c r="D14" s="40">
        <v>0</v>
      </c>
      <c r="E14" s="38">
        <f t="shared" si="0"/>
        <v>100</v>
      </c>
      <c r="F14" s="40">
        <f t="shared" si="3"/>
        <v>0</v>
      </c>
      <c r="G14" s="52" t="s">
        <v>35</v>
      </c>
      <c r="H14" s="46"/>
      <c r="AG14" s="46"/>
      <c r="AH14" s="23" t="s">
        <v>21</v>
      </c>
      <c r="AI14" s="28">
        <f t="shared" si="2"/>
        <v>0.26167078081501555</v>
      </c>
    </row>
    <row r="15" spans="1:36" ht="23.25" customHeight="1" x14ac:dyDescent="0.2">
      <c r="A15" s="23" t="s">
        <v>20</v>
      </c>
      <c r="B15" s="21">
        <v>16562.326240000002</v>
      </c>
      <c r="C15" s="32">
        <v>16562.326240000002</v>
      </c>
      <c r="D15" s="40">
        <v>0</v>
      </c>
      <c r="E15" s="38">
        <f t="shared" si="0"/>
        <v>100</v>
      </c>
      <c r="F15" s="40">
        <f t="shared" si="3"/>
        <v>0</v>
      </c>
      <c r="G15" s="52" t="s">
        <v>25</v>
      </c>
      <c r="H15" s="46"/>
      <c r="AG15" s="46"/>
      <c r="AH15" s="23" t="s">
        <v>23</v>
      </c>
      <c r="AI15" s="28">
        <f t="shared" si="2"/>
        <v>0.27270528535593969</v>
      </c>
    </row>
    <row r="16" spans="1:36" ht="23.25" customHeight="1" x14ac:dyDescent="0.2">
      <c r="A16" s="24" t="s">
        <v>27</v>
      </c>
      <c r="B16" s="25">
        <v>744119.45668999804</v>
      </c>
      <c r="C16" s="33">
        <v>724750.55245999806</v>
      </c>
      <c r="D16" s="33">
        <v>19368.904229999996</v>
      </c>
      <c r="E16" s="39">
        <f t="shared" si="0"/>
        <v>97.397070583780049</v>
      </c>
      <c r="F16" s="33">
        <f t="shared" si="3"/>
        <v>2.6029294162199457</v>
      </c>
      <c r="G16" s="54" t="s">
        <v>28</v>
      </c>
      <c r="H16" s="46"/>
      <c r="AG16" s="46"/>
      <c r="AH16" s="23" t="s">
        <v>26</v>
      </c>
      <c r="AI16" s="28">
        <f t="shared" si="2"/>
        <v>0.53474211828899032</v>
      </c>
    </row>
    <row r="17" spans="1:36" ht="25.5" x14ac:dyDescent="0.2">
      <c r="A17" s="2" t="s">
        <v>1</v>
      </c>
      <c r="B17" s="11"/>
      <c r="C17" s="11"/>
      <c r="D17" s="10"/>
      <c r="E17" s="12"/>
      <c r="F17" s="12"/>
      <c r="G17" s="51" t="s">
        <v>2</v>
      </c>
      <c r="H17" s="10"/>
      <c r="AG17" s="10"/>
      <c r="AH17" s="23" t="s">
        <v>20</v>
      </c>
      <c r="AI17" s="28">
        <f t="shared" si="2"/>
        <v>0.78335606558430015</v>
      </c>
      <c r="AJ17" s="3"/>
    </row>
    <row r="18" spans="1:36" ht="26.25" customHeight="1" x14ac:dyDescent="0.2">
      <c r="A18" s="4"/>
      <c r="B18" s="11"/>
      <c r="C18" s="11"/>
      <c r="D18" s="10"/>
      <c r="E18" s="12"/>
      <c r="F18" s="12"/>
      <c r="G18" s="12"/>
      <c r="H18" s="29"/>
      <c r="AG18" s="10"/>
      <c r="AH18" s="24" t="s">
        <v>27</v>
      </c>
      <c r="AI18" s="28">
        <f t="shared" si="2"/>
        <v>35.19496485400736</v>
      </c>
      <c r="AJ18" s="3"/>
    </row>
    <row r="19" spans="1:36" ht="26.25" customHeight="1" x14ac:dyDescent="0.2">
      <c r="B19" s="11"/>
      <c r="C19" s="11"/>
      <c r="D19" s="10"/>
      <c r="E19" s="12"/>
      <c r="F19" s="12"/>
    </row>
    <row r="20" spans="1:36" ht="26.25" customHeight="1" x14ac:dyDescent="0.2">
      <c r="AI20" s="28">
        <f>SUM(AI9:AI19)</f>
        <v>100</v>
      </c>
    </row>
    <row r="21" spans="1:36" ht="26.25" customHeight="1" x14ac:dyDescent="0.2"/>
    <row r="22" spans="1:36" ht="26.25" customHeight="1" x14ac:dyDescent="0.2"/>
    <row r="23" spans="1:36" ht="26.25" customHeight="1" x14ac:dyDescent="0.2">
      <c r="B23" s="11"/>
      <c r="C23" s="11"/>
      <c r="D23" s="10"/>
      <c r="E23" s="12"/>
      <c r="F23" s="12"/>
    </row>
    <row r="24" spans="1:36" ht="26.25" customHeight="1" x14ac:dyDescent="0.2"/>
    <row r="25" spans="1:36" ht="26.25" customHeight="1" x14ac:dyDescent="0.2"/>
    <row r="26" spans="1:36" ht="26.25" customHeight="1" x14ac:dyDescent="0.2"/>
    <row r="27" spans="1:36" ht="26.25" customHeight="1" x14ac:dyDescent="0.2"/>
    <row r="28" spans="1:36" ht="26.25" customHeight="1" x14ac:dyDescent="0.2"/>
    <row r="29" spans="1:36" ht="26.25" customHeight="1" x14ac:dyDescent="0.2"/>
    <row r="30" spans="1:36" ht="26.25" customHeight="1" x14ac:dyDescent="0.2"/>
    <row r="31" spans="1:36" ht="26.25" customHeight="1" x14ac:dyDescent="0.2">
      <c r="A31" s="17"/>
      <c r="B31" s="11"/>
      <c r="C31" s="11"/>
      <c r="D31" s="10"/>
      <c r="E31" s="12"/>
      <c r="F31" s="12"/>
      <c r="G31" s="12"/>
      <c r="H31" s="30"/>
    </row>
    <row r="32" spans="1:36" ht="26.25" customHeight="1" x14ac:dyDescent="0.2">
      <c r="B32" s="11"/>
      <c r="C32" s="11"/>
      <c r="D32" s="10"/>
      <c r="E32" s="12"/>
      <c r="F32" s="12"/>
    </row>
    <row r="33" spans="1:45" ht="26.25" customHeight="1" x14ac:dyDescent="0.2"/>
    <row r="34" spans="1:45" ht="26.25" customHeight="1" x14ac:dyDescent="0.2"/>
    <row r="35" spans="1:45" ht="26.25" customHeight="1" x14ac:dyDescent="0.2"/>
    <row r="36" spans="1:45" ht="26.25" customHeight="1" x14ac:dyDescent="0.2">
      <c r="B36" s="11"/>
      <c r="C36" s="11"/>
      <c r="D36" s="10"/>
      <c r="E36" s="12"/>
      <c r="F36" s="12"/>
    </row>
    <row r="37" spans="1:45" ht="26.25" customHeight="1" x14ac:dyDescent="0.2"/>
    <row r="38" spans="1:45" ht="26.25" customHeight="1" x14ac:dyDescent="0.2"/>
    <row r="39" spans="1:45" ht="26.25" customHeight="1" x14ac:dyDescent="0.2"/>
    <row r="40" spans="1:45" ht="26.25" customHeight="1" x14ac:dyDescent="0.2"/>
    <row r="41" spans="1:45" ht="26.25" customHeight="1" x14ac:dyDescent="0.2"/>
    <row r="42" spans="1:45" ht="26.25" customHeight="1" x14ac:dyDescent="0.2">
      <c r="A42" s="17"/>
      <c r="H42" s="31"/>
    </row>
    <row r="43" spans="1:45" ht="26.25" customHeight="1" x14ac:dyDescent="0.2"/>
    <row r="44" spans="1:45" ht="26.25" customHeight="1" x14ac:dyDescent="0.2"/>
    <row r="45" spans="1:45" ht="26.25" customHeight="1" x14ac:dyDescent="0.2"/>
    <row r="46" spans="1:45" ht="26.25" customHeight="1" x14ac:dyDescent="0.2"/>
    <row r="47" spans="1:45" ht="26.25" customHeight="1" x14ac:dyDescent="0.2"/>
    <row r="48" spans="1:45" ht="26.25" customHeight="1" x14ac:dyDescent="0.2">
      <c r="A48" s="28"/>
      <c r="B48" s="28"/>
      <c r="C48" s="28"/>
      <c r="D48" s="28"/>
      <c r="E48" s="28"/>
      <c r="F48" s="28"/>
      <c r="G48" s="28"/>
      <c r="AR48" s="8" t="s">
        <v>8</v>
      </c>
      <c r="AS48" s="8" t="s">
        <v>9</v>
      </c>
    </row>
    <row r="49" spans="1:45" ht="26.25" customHeight="1" x14ac:dyDescent="0.2">
      <c r="A49" s="42"/>
      <c r="B49" s="42"/>
      <c r="C49" s="42"/>
      <c r="D49" s="42"/>
      <c r="E49" s="42"/>
      <c r="F49" s="42"/>
      <c r="G49" s="42"/>
      <c r="AQ49" s="23" t="s">
        <v>11</v>
      </c>
      <c r="AR49" s="47">
        <f>C7/B7*100</f>
        <v>98.73487947036044</v>
      </c>
      <c r="AS49" s="47">
        <f>D7/B7*100</f>
        <v>1.2651205296395724</v>
      </c>
    </row>
    <row r="50" spans="1:45" ht="26.25" customHeight="1" x14ac:dyDescent="0.2">
      <c r="A50" s="43"/>
      <c r="B50" s="43"/>
      <c r="C50" s="43"/>
      <c r="D50" s="43"/>
      <c r="E50" s="43"/>
      <c r="F50" s="43"/>
      <c r="G50" s="43"/>
      <c r="AQ50" s="23" t="s">
        <v>13</v>
      </c>
      <c r="AR50" s="47">
        <f t="shared" ref="AR50:AR58" si="4">C8/B8*100</f>
        <v>99.95177232919589</v>
      </c>
      <c r="AS50" s="47">
        <f t="shared" ref="AS50:AS58" si="5">D8/B8*100</f>
        <v>4.8227670804120028E-2</v>
      </c>
    </row>
    <row r="51" spans="1:45" ht="26.25" customHeight="1" x14ac:dyDescent="0.2">
      <c r="A51" s="44"/>
      <c r="B51" s="41"/>
      <c r="C51" s="1"/>
      <c r="D51" s="7"/>
      <c r="E51" s="9"/>
      <c r="F51" s="9"/>
      <c r="G51" s="45"/>
      <c r="AQ51" s="23" t="s">
        <v>15</v>
      </c>
      <c r="AR51" s="47">
        <f t="shared" si="4"/>
        <v>12.011113706330985</v>
      </c>
      <c r="AS51" s="47">
        <f t="shared" si="5"/>
        <v>87.988886293668997</v>
      </c>
    </row>
    <row r="52" spans="1:45" ht="26.25" customHeight="1" x14ac:dyDescent="0.2">
      <c r="A52" s="44"/>
      <c r="B52" s="50"/>
      <c r="C52" s="50"/>
      <c r="D52" s="50"/>
      <c r="E52" s="50"/>
      <c r="F52" s="50"/>
      <c r="G52" s="45"/>
      <c r="AQ52" s="23" t="s">
        <v>17</v>
      </c>
      <c r="AR52" s="47">
        <f t="shared" si="4"/>
        <v>100</v>
      </c>
      <c r="AS52" s="47">
        <f t="shared" si="5"/>
        <v>0</v>
      </c>
    </row>
    <row r="53" spans="1:45" ht="26.25" customHeight="1" x14ac:dyDescent="0.2">
      <c r="A53" s="44"/>
      <c r="B53" s="9"/>
      <c r="C53" s="9"/>
      <c r="D53" s="9"/>
      <c r="E53" s="9"/>
      <c r="F53" s="9"/>
      <c r="G53" s="45"/>
      <c r="AQ53" s="23" t="s">
        <v>18</v>
      </c>
      <c r="AR53" s="47">
        <f t="shared" si="4"/>
        <v>100</v>
      </c>
      <c r="AS53" s="47">
        <f t="shared" si="5"/>
        <v>0</v>
      </c>
    </row>
    <row r="54" spans="1:45" ht="15" x14ac:dyDescent="0.2">
      <c r="A54" s="15"/>
      <c r="B54" s="21"/>
      <c r="C54" s="21"/>
      <c r="D54" s="21"/>
      <c r="E54" s="21"/>
      <c r="F54" s="21"/>
      <c r="G54" s="16"/>
      <c r="AQ54" s="23" t="s">
        <v>21</v>
      </c>
      <c r="AR54" s="47">
        <f t="shared" si="4"/>
        <v>100</v>
      </c>
      <c r="AS54" s="47">
        <f t="shared" si="5"/>
        <v>0</v>
      </c>
    </row>
    <row r="55" spans="1:45" ht="18" x14ac:dyDescent="0.2">
      <c r="A55" s="62"/>
      <c r="B55" s="62"/>
      <c r="C55" s="62"/>
      <c r="D55" s="62"/>
      <c r="E55" s="62"/>
      <c r="F55" s="62"/>
      <c r="G55" s="62"/>
      <c r="AQ55" s="23" t="s">
        <v>23</v>
      </c>
      <c r="AR55" s="47">
        <f t="shared" si="4"/>
        <v>100</v>
      </c>
      <c r="AS55" s="47">
        <f t="shared" si="5"/>
        <v>0</v>
      </c>
    </row>
    <row r="56" spans="1:45" ht="15" x14ac:dyDescent="0.2">
      <c r="A56" s="63"/>
      <c r="B56" s="63"/>
      <c r="C56" s="63"/>
      <c r="D56" s="63"/>
      <c r="E56" s="63"/>
      <c r="F56" s="63"/>
      <c r="G56" s="63"/>
      <c r="AQ56" s="23" t="s">
        <v>26</v>
      </c>
      <c r="AR56" s="47">
        <f t="shared" si="4"/>
        <v>100</v>
      </c>
      <c r="AS56" s="47">
        <f t="shared" si="5"/>
        <v>0</v>
      </c>
    </row>
    <row r="57" spans="1:45" ht="15.75" x14ac:dyDescent="0.2">
      <c r="A57" s="56"/>
      <c r="B57" s="41"/>
      <c r="C57" s="1"/>
      <c r="D57" s="7"/>
      <c r="E57" s="9"/>
      <c r="F57" s="9"/>
      <c r="G57" s="61"/>
      <c r="AQ57" s="23" t="s">
        <v>20</v>
      </c>
      <c r="AR57" s="47">
        <f t="shared" si="4"/>
        <v>100</v>
      </c>
      <c r="AS57" s="47">
        <f t="shared" si="5"/>
        <v>0</v>
      </c>
    </row>
    <row r="58" spans="1:45" ht="15" x14ac:dyDescent="0.2">
      <c r="A58" s="56"/>
      <c r="B58" s="50"/>
      <c r="C58" s="50"/>
      <c r="D58" s="50"/>
      <c r="E58" s="50"/>
      <c r="F58" s="50"/>
      <c r="G58" s="61"/>
      <c r="AQ58" s="24" t="s">
        <v>27</v>
      </c>
      <c r="AR58" s="47">
        <f t="shared" si="4"/>
        <v>97.397070583780049</v>
      </c>
      <c r="AS58" s="47">
        <f t="shared" si="5"/>
        <v>2.6029294162199457</v>
      </c>
    </row>
    <row r="59" spans="1:45" x14ac:dyDescent="0.2">
      <c r="A59" s="56"/>
      <c r="B59" s="9"/>
      <c r="C59" s="9"/>
      <c r="D59" s="9"/>
      <c r="E59" s="9"/>
      <c r="F59" s="9"/>
      <c r="G59" s="61"/>
      <c r="AO59" s="48" t="s">
        <v>0</v>
      </c>
      <c r="AR59" s="49">
        <v>73.661122675043188</v>
      </c>
      <c r="AS59" s="49">
        <v>26.338877324956783</v>
      </c>
    </row>
    <row r="60" spans="1:45" ht="15" x14ac:dyDescent="0.2">
      <c r="A60" s="15"/>
      <c r="B60" s="21"/>
      <c r="C60" s="21"/>
      <c r="D60" s="21"/>
      <c r="E60" s="21"/>
      <c r="F60" s="21"/>
      <c r="G60" s="16"/>
    </row>
    <row r="61" spans="1:45" ht="15" x14ac:dyDescent="0.2">
      <c r="A61" s="23"/>
      <c r="B61" s="21"/>
      <c r="C61" s="32"/>
      <c r="D61" s="32"/>
      <c r="E61" s="32"/>
      <c r="F61" s="32"/>
      <c r="G61" s="18"/>
    </row>
    <row r="62" spans="1:45" ht="15" x14ac:dyDescent="0.2">
      <c r="A62" s="23"/>
      <c r="B62" s="21"/>
      <c r="C62" s="32"/>
      <c r="D62" s="32"/>
      <c r="E62" s="32"/>
      <c r="F62" s="32"/>
      <c r="G62" s="18"/>
    </row>
    <row r="63" spans="1:45" ht="15" x14ac:dyDescent="0.2">
      <c r="A63" s="23"/>
      <c r="B63" s="21"/>
      <c r="C63" s="32"/>
      <c r="D63" s="32"/>
      <c r="E63" s="32"/>
      <c r="F63" s="32"/>
      <c r="G63" s="18"/>
    </row>
    <row r="64" spans="1:45" ht="15" x14ac:dyDescent="0.2">
      <c r="A64" s="23"/>
      <c r="B64" s="21"/>
      <c r="C64" s="32"/>
      <c r="D64" s="40"/>
      <c r="E64" s="32"/>
      <c r="F64" s="32"/>
      <c r="G64" s="18"/>
    </row>
    <row r="65" spans="1:7" ht="15" x14ac:dyDescent="0.2">
      <c r="A65" s="23"/>
      <c r="B65" s="21"/>
      <c r="C65" s="32"/>
      <c r="D65" s="40"/>
      <c r="E65" s="32"/>
      <c r="F65" s="40"/>
      <c r="G65" s="18"/>
    </row>
    <row r="66" spans="1:7" ht="15" x14ac:dyDescent="0.2">
      <c r="A66" s="23"/>
      <c r="B66" s="21"/>
      <c r="C66" s="32"/>
      <c r="D66" s="40"/>
      <c r="E66" s="32"/>
      <c r="F66" s="40"/>
      <c r="G66" s="19"/>
    </row>
    <row r="67" spans="1:7" ht="15" x14ac:dyDescent="0.2">
      <c r="A67" s="23"/>
      <c r="B67" s="21"/>
      <c r="C67" s="32"/>
      <c r="D67" s="32"/>
      <c r="E67" s="32"/>
      <c r="F67" s="32"/>
      <c r="G67" s="18"/>
    </row>
    <row r="68" spans="1:7" ht="15" x14ac:dyDescent="0.2">
      <c r="A68" s="23"/>
      <c r="B68" s="21"/>
      <c r="C68" s="32"/>
      <c r="D68" s="32"/>
      <c r="E68" s="32"/>
      <c r="F68" s="32"/>
      <c r="G68" s="18"/>
    </row>
    <row r="69" spans="1:7" ht="15" x14ac:dyDescent="0.2">
      <c r="A69" s="23"/>
      <c r="B69" s="21"/>
      <c r="C69" s="32"/>
      <c r="D69" s="40"/>
      <c r="E69" s="32"/>
      <c r="F69" s="40"/>
      <c r="G69" s="18"/>
    </row>
    <row r="70" spans="1:7" ht="15" x14ac:dyDescent="0.2">
      <c r="A70" s="23"/>
      <c r="B70" s="21"/>
      <c r="C70" s="32"/>
      <c r="D70" s="32"/>
      <c r="E70" s="32"/>
      <c r="F70" s="32"/>
      <c r="G70" s="55"/>
    </row>
    <row r="71" spans="1:7" x14ac:dyDescent="0.2">
      <c r="A71" s="28"/>
      <c r="B71" s="28"/>
      <c r="C71" s="28"/>
      <c r="D71" s="28"/>
      <c r="E71" s="28"/>
      <c r="F71" s="28"/>
      <c r="G71" s="28"/>
    </row>
    <row r="72" spans="1:7" x14ac:dyDescent="0.2">
      <c r="A72" s="28"/>
      <c r="B72" s="28"/>
      <c r="C72" s="28"/>
      <c r="D72" s="28"/>
      <c r="E72" s="28"/>
      <c r="F72" s="28"/>
      <c r="G72" s="28"/>
    </row>
    <row r="73" spans="1:7" x14ac:dyDescent="0.2">
      <c r="A73" s="28"/>
      <c r="B73" s="28"/>
      <c r="C73" s="28"/>
      <c r="D73" s="28"/>
      <c r="E73" s="28"/>
      <c r="F73" s="28"/>
      <c r="G73" s="28"/>
    </row>
    <row r="74" spans="1:7" x14ac:dyDescent="0.2">
      <c r="A74" s="28"/>
      <c r="B74" s="28"/>
      <c r="C74" s="28"/>
      <c r="D74" s="28"/>
      <c r="E74" s="28"/>
      <c r="F74" s="28"/>
      <c r="G74" s="28"/>
    </row>
    <row r="75" spans="1:7" x14ac:dyDescent="0.2">
      <c r="A75" s="28"/>
      <c r="B75" s="28"/>
      <c r="C75" s="28"/>
      <c r="D75" s="28"/>
      <c r="E75" s="28"/>
      <c r="F75" s="28"/>
      <c r="G75" s="28"/>
    </row>
    <row r="76" spans="1:7" x14ac:dyDescent="0.2">
      <c r="A76" s="28"/>
      <c r="B76" s="28"/>
      <c r="C76" s="28"/>
      <c r="D76" s="28"/>
      <c r="E76" s="28"/>
      <c r="F76" s="28"/>
      <c r="G76" s="28"/>
    </row>
    <row r="77" spans="1:7" x14ac:dyDescent="0.2">
      <c r="A77" s="28"/>
      <c r="B77" s="28"/>
      <c r="C77" s="28"/>
      <c r="D77" s="28"/>
      <c r="E77" s="28"/>
      <c r="F77" s="28"/>
      <c r="G77" s="28"/>
    </row>
    <row r="78" spans="1:7" x14ac:dyDescent="0.2">
      <c r="A78" s="28"/>
      <c r="B78" s="28"/>
      <c r="C78" s="28"/>
      <c r="D78" s="28"/>
      <c r="E78" s="28"/>
      <c r="F78" s="28"/>
      <c r="G78" s="28"/>
    </row>
    <row r="79" spans="1:7" x14ac:dyDescent="0.2">
      <c r="A79" s="28"/>
      <c r="B79" s="28"/>
      <c r="C79" s="28"/>
      <c r="D79" s="28"/>
      <c r="E79" s="28"/>
      <c r="F79" s="28"/>
      <c r="G79" s="28"/>
    </row>
    <row r="80" spans="1:7" x14ac:dyDescent="0.2">
      <c r="A80" s="28"/>
      <c r="B80" s="28"/>
      <c r="C80" s="28"/>
      <c r="D80" s="28"/>
      <c r="E80" s="28"/>
      <c r="F80" s="28"/>
      <c r="G80" s="28"/>
    </row>
    <row r="81" spans="1:7" x14ac:dyDescent="0.2">
      <c r="A81" s="28"/>
      <c r="B81" s="28"/>
      <c r="C81" s="28"/>
      <c r="D81" s="28"/>
      <c r="E81" s="28"/>
      <c r="F81" s="28"/>
      <c r="G81" s="28"/>
    </row>
    <row r="82" spans="1:7" x14ac:dyDescent="0.2">
      <c r="A82" s="28"/>
      <c r="B82" s="28"/>
      <c r="C82" s="28"/>
      <c r="D82" s="28"/>
      <c r="E82" s="28"/>
      <c r="F82" s="28"/>
      <c r="G82" s="28"/>
    </row>
    <row r="83" spans="1:7" x14ac:dyDescent="0.2">
      <c r="A83" s="28"/>
      <c r="B83" s="28"/>
      <c r="C83" s="28"/>
      <c r="D83" s="28"/>
      <c r="E83" s="28"/>
      <c r="F83" s="28"/>
      <c r="G83" s="28"/>
    </row>
    <row r="84" spans="1:7" x14ac:dyDescent="0.2">
      <c r="A84" s="28"/>
      <c r="B84" s="28"/>
      <c r="C84" s="28"/>
      <c r="D84" s="28"/>
      <c r="E84" s="28"/>
      <c r="F84" s="28"/>
      <c r="G84" s="28"/>
    </row>
    <row r="85" spans="1:7" x14ac:dyDescent="0.2">
      <c r="A85" s="28"/>
      <c r="B85" s="28"/>
      <c r="C85" s="28"/>
      <c r="D85" s="28"/>
      <c r="E85" s="28"/>
      <c r="F85" s="28"/>
      <c r="G85" s="28"/>
    </row>
  </sheetData>
  <mergeCells count="8">
    <mergeCell ref="A1:G1"/>
    <mergeCell ref="A2:G2"/>
    <mergeCell ref="A57:A59"/>
    <mergeCell ref="G57:G59"/>
    <mergeCell ref="A55:G55"/>
    <mergeCell ref="A56:G56"/>
    <mergeCell ref="A3:A5"/>
    <mergeCell ref="G3:G5"/>
  </mergeCells>
  <pageMargins left="0.17" right="0.16" top="0.75" bottom="0.75" header="0.3" footer="0.3"/>
  <pageSetup paperSize="9" scale="79" orientation="landscape" r:id="rId1"/>
  <rowBreaks count="1" manualBreakCount="1">
    <brk id="1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15.4</vt:lpstr>
      <vt:lpstr>'15.4'!Print_Area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2018-03-21T04:51:03Z</cp:lastPrinted>
  <dcterms:created xsi:type="dcterms:W3CDTF">2007-02-07T09:08:05Z</dcterms:created>
  <dcterms:modified xsi:type="dcterms:W3CDTF">2018-03-21T04:51:13Z</dcterms:modified>
</cp:coreProperties>
</file>