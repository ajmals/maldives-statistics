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7" sheetId="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'14.7'!$A$1:$Z$55</definedName>
  </definedNames>
  <calcPr calcId="144525"/>
</workbook>
</file>

<file path=xl/calcChain.xml><?xml version="1.0" encoding="utf-8"?>
<calcChain xmlns="http://schemas.openxmlformats.org/spreadsheetml/2006/main">
  <c r="U50" i="5" l="1"/>
  <c r="T50" i="5"/>
  <c r="S50" i="5"/>
  <c r="U49" i="5"/>
  <c r="T49" i="5"/>
  <c r="S49" i="5"/>
  <c r="U48" i="5"/>
  <c r="T48" i="5"/>
  <c r="S48" i="5"/>
  <c r="R50" i="5"/>
  <c r="R49" i="5"/>
  <c r="R48" i="5"/>
  <c r="U46" i="5"/>
  <c r="T46" i="5"/>
  <c r="S46" i="5"/>
  <c r="U45" i="5"/>
  <c r="T45" i="5"/>
  <c r="S45" i="5"/>
  <c r="U44" i="5"/>
  <c r="T44" i="5"/>
  <c r="S44" i="5"/>
  <c r="U43" i="5"/>
  <c r="T43" i="5"/>
  <c r="S43" i="5"/>
  <c r="R46" i="5"/>
  <c r="R45" i="5"/>
  <c r="R44" i="5"/>
  <c r="R43" i="5"/>
</calcChain>
</file>

<file path=xl/sharedStrings.xml><?xml version="1.0" encoding="utf-8"?>
<sst xmlns="http://schemas.openxmlformats.org/spreadsheetml/2006/main" count="134" uniqueCount="95">
  <si>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</si>
  <si>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</si>
  <si>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</si>
  <si>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</si>
  <si>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</si>
  <si>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</si>
  <si>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</si>
  <si>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</si>
  <si>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</si>
  <si>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</si>
  <si>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</si>
  <si>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</si>
  <si>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</si>
  <si>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</si>
  <si>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</si>
  <si>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</si>
  <si>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</si>
  <si>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</si>
  <si>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</si>
  <si>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</si>
  <si>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</si>
  <si>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</si>
  <si>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</si>
  <si>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</si>
  <si>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</si>
  <si>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</si>
  <si>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</si>
  <si>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Shares and other equity (Capital Accounts)</t>
  </si>
  <si>
    <t>Shares and other equity (Capital accounts)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</si>
  <si>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</si>
  <si>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Total Assets</t>
  </si>
  <si>
    <t>cTesea wlcmuj</t>
  </si>
  <si>
    <t>Foreign assets</t>
  </si>
  <si>
    <t>Other assets</t>
  </si>
  <si>
    <t>Non-financial assets</t>
  </si>
  <si>
    <t>Total Liabilities</t>
  </si>
  <si>
    <t>ITilibiawl wlcmuj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</si>
  <si>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</si>
  <si>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</si>
  <si>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</si>
  <si>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</si>
  <si>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ITilibiawl egurEb</t>
  </si>
  <si>
    <t>Other liabilities</t>
  </si>
  <si>
    <t>ITilibiawl  cnehinehea</t>
  </si>
  <si>
    <t>/1</t>
  </si>
  <si>
    <t>ITirOtoa IrwTinwm cscviDclOm :ctWrwf ivcaedutWmUluAwm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</si>
  <si>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</si>
  <si>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</si>
  <si>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</si>
  <si>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</si>
  <si>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</si>
  <si>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</si>
  <si>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</si>
  <si>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</si>
  <si>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</si>
  <si>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</si>
  <si>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</si>
  <si>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</si>
  <si>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</si>
  <si>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</si>
  <si>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</si>
  <si>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</si>
  <si>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</si>
  <si>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</si>
  <si>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</si>
  <si>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</si>
  <si>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  Private sector</t>
    </r>
    <r>
      <rPr>
        <vertAlign val="superscript"/>
        <sz val="10"/>
        <rFont val="Calibri"/>
        <family val="2"/>
        <scheme val="minor"/>
      </rPr>
      <t>2/</t>
    </r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</si>
  <si>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</si>
  <si>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</si>
  <si>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</si>
  <si>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</si>
  <si>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</si>
  <si>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</si>
  <si>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</si>
  <si>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</si>
  <si>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</si>
  <si>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</si>
  <si>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</si>
  <si>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</si>
  <si>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</si>
  <si>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 xml:space="preserve">       Local currency</t>
  </si>
  <si>
    <t>2_/ Data includes accrued interest receivables and accounts receivables  from private sector.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</si>
  <si>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</si>
  <si>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>/2</t>
  </si>
  <si>
    <t xml:space="preserve">New format based on IMF Monetary and Financial Statistics Manual 2000 (MFSM 2000). </t>
  </si>
  <si>
    <t>ނޯޓް:</t>
  </si>
  <si>
    <t>NOTE:</t>
  </si>
  <si>
    <t>of which: Private sector</t>
  </si>
  <si>
    <t xml:space="preserve">       Foreign Currency</t>
  </si>
  <si>
    <t>Table  14.7 :ASSETS AND LIABILITIES OF OTHER DEPOSITORY CORPORATIONS,  2015 - 2016</t>
  </si>
  <si>
    <t xml:space="preserve">ތާވަލު 14.7 : ވިޔަފާރި ބޭންކުތަކުގެ އެސެޓްތަކާއި ލައިބިލިޓީތައް 2015 - 2016            </t>
  </si>
  <si>
    <t>Public nonfinancial corporations domestic</t>
  </si>
  <si>
    <t>2015 ޑިސެންބަރު އިސްލާޙުކުރެވިފައި</t>
  </si>
  <si>
    <t>1_/ :  2015 December revised</t>
  </si>
  <si>
    <t>ޕަބްލިކް ނޮންފައިނޭންޝަލް ކޯޕޮރޭޝަންސް ޑޮމެސްޓިކް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</si>
</sst>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b/>
      <sz val="12"/>
      <name val="A_Randhoo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b/>
      <i/>
      <sz val="9"/>
      <name val="A_Reethi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17" fontId="4" fillId="0" borderId="0" applyFont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28" applyNumberFormat="0" applyAlignment="0" applyProtection="0">
      <alignment horizontal="left" vertical="center"/>
    </xf>
    <xf numFmtId="0" fontId="44" fillId="0" borderId="25">
      <alignment horizontal="left" vertical="center"/>
    </xf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32" applyNumberFormat="0" applyBorder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70">
    <xf numFmtId="0" fontId="0" fillId="0" borderId="0" xfId="0"/>
    <xf numFmtId="164" fontId="6" fillId="21" borderId="0" xfId="3" applyNumberFormat="1" applyFont="1" applyFill="1" applyBorder="1" applyAlignment="1">
      <alignment horizontal="right"/>
    </xf>
    <xf numFmtId="164" fontId="6" fillId="21" borderId="4" xfId="3" applyNumberFormat="1" applyFont="1" applyFill="1" applyBorder="1" applyAlignment="1">
      <alignment horizontal="right"/>
    </xf>
    <xf numFmtId="0" fontId="24" fillId="21" borderId="1" xfId="0" applyFont="1" applyFill="1" applyBorder="1" applyAlignment="1">
      <alignment horizontal="right"/>
    </xf>
    <xf numFmtId="0" fontId="9" fillId="21" borderId="0" xfId="0" applyFont="1" applyFill="1" applyBorder="1" applyAlignment="1"/>
    <xf numFmtId="0" fontId="20" fillId="21" borderId="0" xfId="0" applyFont="1" applyFill="1" applyBorder="1" applyAlignment="1" applyProtection="1">
      <alignment horizontal="left"/>
    </xf>
    <xf numFmtId="164" fontId="32" fillId="21" borderId="0" xfId="3" applyNumberFormat="1" applyFont="1" applyFill="1" applyAlignment="1">
      <alignment horizontal="right" vertical="center"/>
    </xf>
    <xf numFmtId="164" fontId="22" fillId="21" borderId="0" xfId="3" applyNumberFormat="1" applyFont="1" applyFill="1" applyAlignment="1">
      <alignment horizontal="left" vertical="center" indent="2"/>
    </xf>
    <xf numFmtId="166" fontId="9" fillId="21" borderId="0" xfId="0" applyNumberFormat="1" applyFont="1" applyFill="1" applyBorder="1" applyAlignment="1">
      <alignment vertical="center"/>
    </xf>
    <xf numFmtId="0" fontId="9" fillId="21" borderId="0" xfId="0" applyFont="1" applyFill="1" applyBorder="1"/>
    <xf numFmtId="0" fontId="17" fillId="21" borderId="0" xfId="0" applyFont="1" applyFill="1" applyBorder="1" applyAlignment="1">
      <alignment horizontal="right"/>
    </xf>
    <xf numFmtId="0" fontId="17" fillId="21" borderId="5" xfId="0" applyFont="1" applyFill="1" applyBorder="1" applyAlignment="1"/>
    <xf numFmtId="164" fontId="6" fillId="21" borderId="12" xfId="3" applyNumberFormat="1" applyFont="1" applyFill="1" applyBorder="1" applyAlignment="1">
      <alignment horizontal="right"/>
    </xf>
    <xf numFmtId="164" fontId="6" fillId="21" borderId="5" xfId="3" applyNumberFormat="1" applyFont="1" applyFill="1" applyBorder="1" applyAlignment="1">
      <alignment horizontal="right"/>
    </xf>
    <xf numFmtId="164" fontId="24" fillId="21" borderId="1" xfId="3" applyNumberFormat="1" applyFont="1" applyFill="1" applyBorder="1" applyAlignment="1" applyProtection="1">
      <alignment horizontal="right" vertical="center"/>
    </xf>
    <xf numFmtId="0" fontId="9" fillId="21" borderId="5" xfId="0" applyFont="1" applyFill="1" applyBorder="1" applyAlignment="1"/>
    <xf numFmtId="166" fontId="15" fillId="21" borderId="5" xfId="0" applyNumberFormat="1" applyFont="1" applyFill="1" applyBorder="1"/>
    <xf numFmtId="0" fontId="17" fillId="21" borderId="5" xfId="0" applyFont="1" applyFill="1" applyBorder="1"/>
    <xf numFmtId="0" fontId="9" fillId="21" borderId="5" xfId="0" applyFont="1" applyFill="1" applyBorder="1"/>
    <xf numFmtId="0" fontId="16" fillId="21" borderId="12" xfId="0" applyFont="1" applyFill="1" applyBorder="1"/>
    <xf numFmtId="165" fontId="15" fillId="21" borderId="5" xfId="0" applyNumberFormat="1" applyFont="1" applyFill="1" applyBorder="1" applyAlignment="1">
      <alignment vertical="center"/>
    </xf>
    <xf numFmtId="0" fontId="0" fillId="21" borderId="5" xfId="0" applyFill="1" applyBorder="1"/>
    <xf numFmtId="165" fontId="16" fillId="21" borderId="5" xfId="0" applyNumberFormat="1" applyFont="1" applyFill="1" applyBorder="1" applyAlignment="1">
      <alignment vertical="center"/>
    </xf>
    <xf numFmtId="0" fontId="17" fillId="21" borderId="12" xfId="0" applyFont="1" applyFill="1" applyBorder="1"/>
    <xf numFmtId="164" fontId="11" fillId="21" borderId="15" xfId="3" applyNumberFormat="1" applyFont="1" applyFill="1" applyBorder="1" applyAlignment="1">
      <alignment vertical="center" wrapText="1"/>
    </xf>
    <xf numFmtId="164" fontId="11" fillId="21" borderId="16" xfId="3" applyNumberFormat="1" applyFont="1" applyFill="1" applyBorder="1" applyAlignment="1">
      <alignment vertical="center" wrapText="1"/>
    </xf>
    <xf numFmtId="0" fontId="4" fillId="21" borderId="5" xfId="0" applyFont="1" applyFill="1" applyBorder="1"/>
    <xf numFmtId="0" fontId="1" fillId="21" borderId="5" xfId="0" applyFont="1" applyFill="1" applyBorder="1"/>
    <xf numFmtId="0" fontId="8" fillId="21" borderId="21" xfId="0" applyFont="1" applyFill="1" applyBorder="1"/>
    <xf numFmtId="0" fontId="7" fillId="21" borderId="21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Continuous"/>
    </xf>
    <xf numFmtId="0" fontId="10" fillId="21" borderId="21" xfId="0" applyFont="1" applyFill="1" applyBorder="1" applyAlignment="1">
      <alignment horizontal="centerContinuous"/>
    </xf>
    <xf numFmtId="0" fontId="11" fillId="21" borderId="21" xfId="0" applyFont="1" applyFill="1" applyBorder="1"/>
    <xf numFmtId="0" fontId="4" fillId="21" borderId="21" xfId="0" applyFont="1" applyFill="1" applyBorder="1"/>
    <xf numFmtId="165" fontId="7" fillId="21" borderId="5" xfId="0" applyNumberFormat="1" applyFont="1" applyFill="1" applyBorder="1" applyAlignment="1">
      <alignment vertical="center"/>
    </xf>
    <xf numFmtId="0" fontId="6" fillId="21" borderId="5" xfId="0" applyFont="1" applyFill="1" applyBorder="1" applyAlignment="1">
      <alignment horizontal="centerContinuous"/>
    </xf>
    <xf numFmtId="0" fontId="10" fillId="21" borderId="5" xfId="0" applyFont="1" applyFill="1" applyBorder="1" applyAlignment="1">
      <alignment horizontal="centerContinuous"/>
    </xf>
    <xf numFmtId="164" fontId="13" fillId="21" borderId="5" xfId="3" applyNumberFormat="1" applyFont="1" applyFill="1" applyBorder="1" applyAlignment="1">
      <alignment horizontal="right" vertical="center"/>
    </xf>
    <xf numFmtId="0" fontId="21" fillId="21" borderId="6" xfId="0" applyFont="1" applyFill="1" applyBorder="1" applyAlignment="1">
      <alignment horizontal="right"/>
    </xf>
    <xf numFmtId="43" fontId="7" fillId="21" borderId="23" xfId="1" applyFont="1" applyFill="1" applyBorder="1" applyAlignment="1">
      <alignment horizontal="right"/>
    </xf>
    <xf numFmtId="43" fontId="6" fillId="21" borderId="23" xfId="1" applyFont="1" applyFill="1" applyBorder="1" applyAlignment="1">
      <alignment horizontal="right"/>
    </xf>
    <xf numFmtId="43" fontId="10" fillId="21" borderId="23" xfId="1" applyFont="1" applyFill="1" applyBorder="1" applyAlignment="1">
      <alignment horizontal="right"/>
    </xf>
    <xf numFmtId="0" fontId="11" fillId="21" borderId="23" xfId="0" applyFont="1" applyFill="1" applyBorder="1"/>
    <xf numFmtId="0" fontId="9" fillId="21" borderId="23" xfId="0" applyFont="1" applyFill="1" applyBorder="1"/>
    <xf numFmtId="165" fontId="15" fillId="21" borderId="12" xfId="0" applyNumberFormat="1" applyFont="1" applyFill="1" applyBorder="1" applyAlignment="1">
      <alignment vertical="center"/>
    </xf>
    <xf numFmtId="166" fontId="15" fillId="21" borderId="12" xfId="1" applyNumberFormat="1" applyFont="1" applyFill="1" applyBorder="1" applyAlignment="1">
      <alignment vertical="center"/>
    </xf>
    <xf numFmtId="166" fontId="6" fillId="21" borderId="12" xfId="1" applyNumberFormat="1" applyFont="1" applyFill="1" applyBorder="1" applyAlignment="1"/>
    <xf numFmtId="166" fontId="10" fillId="21" borderId="12" xfId="1" applyNumberFormat="1" applyFont="1" applyFill="1" applyBorder="1" applyAlignment="1"/>
    <xf numFmtId="164" fontId="13" fillId="21" borderId="12" xfId="3" applyNumberFormat="1" applyFont="1" applyFill="1" applyBorder="1" applyAlignment="1">
      <alignment horizontal="right"/>
    </xf>
    <xf numFmtId="0" fontId="9" fillId="21" borderId="12" xfId="0" applyFont="1" applyFill="1" applyBorder="1"/>
    <xf numFmtId="166" fontId="17" fillId="21" borderId="5" xfId="0" applyNumberFormat="1" applyFont="1" applyFill="1" applyBorder="1" applyAlignment="1"/>
    <xf numFmtId="166" fontId="11" fillId="21" borderId="5" xfId="0" applyNumberFormat="1" applyFont="1" applyFill="1" applyBorder="1" applyAlignment="1"/>
    <xf numFmtId="166" fontId="10" fillId="21" borderId="5" xfId="3" applyNumberFormat="1" applyFont="1" applyFill="1" applyBorder="1" applyAlignment="1">
      <alignment horizontal="right" vertical="center"/>
    </xf>
    <xf numFmtId="0" fontId="17" fillId="21" borderId="5" xfId="0" applyFont="1" applyFill="1" applyBorder="1" applyAlignment="1">
      <alignment horizontal="right"/>
    </xf>
    <xf numFmtId="0" fontId="11" fillId="21" borderId="5" xfId="0" applyFont="1" applyFill="1" applyBorder="1"/>
    <xf numFmtId="0" fontId="13" fillId="21" borderId="5" xfId="4" applyFont="1" applyFill="1" applyBorder="1" applyAlignment="1">
      <alignment horizontal="right"/>
    </xf>
    <xf numFmtId="0" fontId="25" fillId="21" borderId="5" xfId="0" applyFont="1" applyFill="1" applyBorder="1" applyAlignment="1">
      <alignment horizontal="right"/>
    </xf>
    <xf numFmtId="0" fontId="27" fillId="21" borderId="5" xfId="0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/>
    </xf>
    <xf numFmtId="0" fontId="10" fillId="21" borderId="5" xfId="4" applyFont="1" applyFill="1" applyBorder="1" applyAlignment="1">
      <alignment horizontal="right"/>
    </xf>
    <xf numFmtId="166" fontId="17" fillId="21" borderId="5" xfId="0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/>
    </xf>
    <xf numFmtId="166" fontId="11" fillId="21" borderId="5" xfId="0" applyNumberFormat="1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 indent="1"/>
    </xf>
    <xf numFmtId="0" fontId="17" fillId="21" borderId="5" xfId="0" applyFont="1" applyFill="1" applyBorder="1" applyAlignment="1">
      <alignment horizontal="right" vertical="center"/>
    </xf>
    <xf numFmtId="0" fontId="11" fillId="21" borderId="5" xfId="0" applyFont="1" applyFill="1" applyBorder="1" applyAlignment="1">
      <alignment horizontal="right" vertical="center"/>
    </xf>
    <xf numFmtId="0" fontId="10" fillId="21" borderId="5" xfId="0" applyFont="1" applyFill="1" applyBorder="1" applyAlignment="1">
      <alignment horizontal="right"/>
    </xf>
    <xf numFmtId="166" fontId="6" fillId="21" borderId="5" xfId="1" applyNumberFormat="1" applyFont="1" applyFill="1" applyBorder="1" applyAlignment="1"/>
    <xf numFmtId="166" fontId="11" fillId="21" borderId="5" xfId="1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 vertical="center"/>
    </xf>
    <xf numFmtId="164" fontId="27" fillId="21" borderId="5" xfId="3" applyNumberFormat="1" applyFont="1" applyFill="1" applyBorder="1" applyAlignment="1">
      <alignment horizontal="right" vertical="center"/>
    </xf>
    <xf numFmtId="164" fontId="18" fillId="21" borderId="5" xfId="3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 vertical="center"/>
    </xf>
    <xf numFmtId="164" fontId="13" fillId="21" borderId="5" xfId="3" applyNumberFormat="1" applyFont="1" applyFill="1" applyBorder="1" applyAlignment="1">
      <alignment horizontal="right"/>
    </xf>
    <xf numFmtId="0" fontId="25" fillId="21" borderId="5" xfId="0" applyFont="1" applyFill="1" applyBorder="1" applyAlignment="1">
      <alignment horizontal="right" vertical="center"/>
    </xf>
    <xf numFmtId="0" fontId="27" fillId="21" borderId="5" xfId="0" applyFont="1" applyFill="1" applyBorder="1" applyAlignment="1">
      <alignment horizontal="right" vertical="center"/>
    </xf>
    <xf numFmtId="0" fontId="16" fillId="21" borderId="5" xfId="0" applyFont="1" applyFill="1" applyBorder="1"/>
    <xf numFmtId="0" fontId="17" fillId="21" borderId="5" xfId="4" applyFont="1" applyFill="1" applyBorder="1" applyAlignment="1">
      <alignment horizontal="right"/>
    </xf>
    <xf numFmtId="166" fontId="17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horizontal="right" vertical="center"/>
    </xf>
    <xf numFmtId="167" fontId="19" fillId="21" borderId="5" xfId="1" applyNumberFormat="1" applyFont="1" applyFill="1" applyBorder="1" applyAlignment="1" applyProtection="1">
      <alignment vertical="center"/>
    </xf>
    <xf numFmtId="165" fontId="16" fillId="21" borderId="5" xfId="0" applyNumberFormat="1" applyFont="1" applyFill="1" applyBorder="1"/>
    <xf numFmtId="165" fontId="16" fillId="21" borderId="5" xfId="2" applyNumberFormat="1" applyFont="1" applyFill="1" applyBorder="1"/>
    <xf numFmtId="0" fontId="16" fillId="21" borderId="6" xfId="0" applyFont="1" applyFill="1" applyBorder="1"/>
    <xf numFmtId="165" fontId="16" fillId="21" borderId="6" xfId="0" applyNumberFormat="1" applyFont="1" applyFill="1" applyBorder="1"/>
    <xf numFmtId="165" fontId="16" fillId="21" borderId="6" xfId="2" applyNumberFormat="1" applyFont="1" applyFill="1" applyBorder="1"/>
    <xf numFmtId="0" fontId="17" fillId="21" borderId="6" xfId="0" applyFont="1" applyFill="1" applyBorder="1"/>
    <xf numFmtId="0" fontId="23" fillId="21" borderId="6" xfId="0" applyFont="1" applyFill="1" applyBorder="1" applyAlignment="1">
      <alignment horizontal="right"/>
    </xf>
    <xf numFmtId="166" fontId="11" fillId="21" borderId="6" xfId="3" applyNumberFormat="1" applyFont="1" applyFill="1" applyBorder="1" applyAlignment="1">
      <alignment horizontal="right" vertical="center"/>
    </xf>
    <xf numFmtId="0" fontId="19" fillId="21" borderId="12" xfId="0" applyFont="1" applyFill="1" applyBorder="1"/>
    <xf numFmtId="165" fontId="16" fillId="21" borderId="12" xfId="0" applyNumberFormat="1" applyFont="1" applyFill="1" applyBorder="1"/>
    <xf numFmtId="0" fontId="23" fillId="21" borderId="12" xfId="0" applyFont="1" applyFill="1" applyBorder="1" applyAlignment="1">
      <alignment horizontal="right"/>
    </xf>
    <xf numFmtId="164" fontId="31" fillId="21" borderId="12" xfId="3" applyNumberFormat="1" applyFont="1" applyFill="1" applyBorder="1" applyAlignment="1">
      <alignment horizontal="right" vertical="center"/>
    </xf>
    <xf numFmtId="166" fontId="16" fillId="21" borderId="5" xfId="0" applyNumberFormat="1" applyFont="1" applyFill="1" applyBorder="1"/>
    <xf numFmtId="0" fontId="18" fillId="21" borderId="5" xfId="4" applyFont="1" applyFill="1" applyBorder="1" applyAlignment="1">
      <alignment horizontal="right"/>
    </xf>
    <xf numFmtId="166" fontId="16" fillId="21" borderId="6" xfId="0" applyNumberFormat="1" applyFont="1" applyFill="1" applyBorder="1" applyAlignment="1">
      <alignment vertical="center"/>
    </xf>
    <xf numFmtId="0" fontId="17" fillId="21" borderId="6" xfId="0" applyFont="1" applyFill="1" applyBorder="1" applyAlignment="1">
      <alignment horizontal="right"/>
    </xf>
    <xf numFmtId="0" fontId="18" fillId="21" borderId="6" xfId="4" applyFont="1" applyFill="1" applyBorder="1" applyAlignment="1">
      <alignment horizontal="right"/>
    </xf>
    <xf numFmtId="0" fontId="11" fillId="21" borderId="6" xfId="0" applyFont="1" applyFill="1" applyBorder="1" applyAlignment="1">
      <alignment horizontal="right"/>
    </xf>
    <xf numFmtId="0" fontId="9" fillId="21" borderId="11" xfId="0" applyFont="1" applyFill="1" applyBorder="1"/>
    <xf numFmtId="0" fontId="18" fillId="21" borderId="0" xfId="4" applyFont="1" applyFill="1" applyBorder="1" applyAlignment="1">
      <alignment horizontal="right"/>
    </xf>
    <xf numFmtId="0" fontId="9" fillId="21" borderId="17" xfId="0" applyFont="1" applyFill="1" applyBorder="1"/>
    <xf numFmtId="0" fontId="0" fillId="21" borderId="11" xfId="0" applyFill="1" applyBorder="1"/>
    <xf numFmtId="0" fontId="11" fillId="21" borderId="0" xfId="0" applyFont="1" applyFill="1" applyBorder="1" applyAlignment="1">
      <alignment vertical="top" wrapText="1"/>
    </xf>
    <xf numFmtId="164" fontId="11" fillId="21" borderId="12" xfId="3" applyNumberFormat="1" applyFont="1" applyFill="1" applyBorder="1" applyAlignment="1">
      <alignment vertical="center"/>
    </xf>
    <xf numFmtId="164" fontId="11" fillId="21" borderId="8" xfId="3" applyNumberFormat="1" applyFont="1" applyFill="1" applyBorder="1" applyAlignment="1">
      <alignment vertical="center" wrapText="1"/>
    </xf>
    <xf numFmtId="164" fontId="11" fillId="21" borderId="9" xfId="3" applyNumberFormat="1" applyFont="1" applyFill="1" applyBorder="1" applyAlignment="1">
      <alignment vertical="center" wrapText="1"/>
    </xf>
    <xf numFmtId="166" fontId="9" fillId="21" borderId="14" xfId="0" applyNumberFormat="1" applyFont="1" applyFill="1" applyBorder="1" applyAlignment="1"/>
    <xf numFmtId="0" fontId="23" fillId="21" borderId="5" xfId="0" applyFont="1" applyFill="1" applyBorder="1"/>
    <xf numFmtId="0" fontId="9" fillId="21" borderId="17" xfId="0" applyFont="1" applyFill="1" applyBorder="1" applyAlignment="1"/>
    <xf numFmtId="0" fontId="9" fillId="21" borderId="16" xfId="0" applyFont="1" applyFill="1" applyBorder="1" applyAlignment="1"/>
    <xf numFmtId="0" fontId="9" fillId="21" borderId="24" xfId="0" applyFont="1" applyFill="1" applyBorder="1" applyAlignment="1"/>
    <xf numFmtId="166" fontId="15" fillId="21" borderId="0" xfId="0" applyNumberFormat="1" applyFont="1" applyFill="1" applyBorder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166" fontId="15" fillId="21" borderId="7" xfId="0" applyNumberFormat="1" applyFont="1" applyFill="1" applyBorder="1" applyAlignment="1">
      <alignment vertical="center"/>
    </xf>
    <xf numFmtId="166" fontId="16" fillId="21" borderId="7" xfId="0" applyNumberFormat="1" applyFont="1" applyFill="1" applyBorder="1" applyAlignment="1">
      <alignment vertical="center"/>
    </xf>
    <xf numFmtId="166" fontId="16" fillId="21" borderId="7" xfId="1" applyNumberFormat="1" applyFont="1" applyFill="1" applyBorder="1" applyAlignment="1">
      <alignment vertical="center"/>
    </xf>
    <xf numFmtId="166" fontId="15" fillId="21" borderId="7" xfId="1" applyNumberFormat="1" applyFont="1" applyFill="1" applyBorder="1" applyAlignment="1">
      <alignment vertical="center"/>
    </xf>
    <xf numFmtId="166" fontId="15" fillId="21" borderId="7" xfId="0" applyNumberFormat="1" applyFont="1" applyFill="1" applyBorder="1"/>
    <xf numFmtId="166" fontId="15" fillId="21" borderId="7" xfId="0" applyNumberFormat="1" applyFont="1" applyFill="1" applyBorder="1" applyAlignment="1"/>
    <xf numFmtId="166" fontId="17" fillId="21" borderId="9" xfId="0" applyNumberFormat="1" applyFont="1" applyFill="1" applyBorder="1" applyAlignment="1"/>
    <xf numFmtId="0" fontId="17" fillId="21" borderId="9" xfId="0" applyFont="1" applyFill="1" applyBorder="1" applyAlignment="1">
      <alignment horizontal="right"/>
    </xf>
    <xf numFmtId="0" fontId="25" fillId="21" borderId="9" xfId="0" applyFont="1" applyFill="1" applyBorder="1" applyAlignment="1">
      <alignment horizontal="right"/>
    </xf>
    <xf numFmtId="166" fontId="17" fillId="21" borderId="9" xfId="0" applyNumberFormat="1" applyFont="1" applyFill="1" applyBorder="1" applyAlignment="1">
      <alignment horizontal="right"/>
    </xf>
    <xf numFmtId="0" fontId="17" fillId="21" borderId="9" xfId="0" applyFont="1" applyFill="1" applyBorder="1" applyAlignment="1">
      <alignment horizontal="right" vertical="center"/>
    </xf>
    <xf numFmtId="166" fontId="6" fillId="21" borderId="9" xfId="1" applyNumberFormat="1" applyFont="1" applyFill="1" applyBorder="1" applyAlignment="1"/>
    <xf numFmtId="0" fontId="25" fillId="21" borderId="9" xfId="0" applyFont="1" applyFill="1" applyBorder="1" applyAlignment="1">
      <alignment horizontal="right" vertical="center"/>
    </xf>
    <xf numFmtId="0" fontId="17" fillId="21" borderId="9" xfId="0" applyFont="1" applyFill="1" applyBorder="1"/>
    <xf numFmtId="166" fontId="17" fillId="21" borderId="9" xfId="0" applyNumberFormat="1" applyFont="1" applyFill="1" applyBorder="1" applyAlignment="1">
      <alignment vertical="center"/>
    </xf>
    <xf numFmtId="0" fontId="17" fillId="21" borderId="9" xfId="0" applyFont="1" applyFill="1" applyBorder="1" applyAlignment="1"/>
    <xf numFmtId="166" fontId="15" fillId="21" borderId="10" xfId="1" applyNumberFormat="1" applyFont="1" applyFill="1" applyBorder="1" applyAlignment="1">
      <alignment vertical="center"/>
    </xf>
    <xf numFmtId="166" fontId="15" fillId="21" borderId="0" xfId="0" applyNumberFormat="1" applyFont="1" applyFill="1" applyBorder="1"/>
    <xf numFmtId="166" fontId="15" fillId="21" borderId="0" xfId="0" applyNumberFormat="1" applyFont="1" applyFill="1" applyBorder="1" applyAlignment="1"/>
    <xf numFmtId="166" fontId="16" fillId="21" borderId="7" xfId="0" applyNumberFormat="1" applyFont="1" applyFill="1" applyBorder="1"/>
    <xf numFmtId="166" fontId="16" fillId="21" borderId="37" xfId="0" applyNumberFormat="1" applyFont="1" applyFill="1" applyBorder="1" applyAlignment="1">
      <alignment vertical="center"/>
    </xf>
    <xf numFmtId="0" fontId="17" fillId="21" borderId="13" xfId="0" applyFont="1" applyFill="1" applyBorder="1" applyAlignment="1">
      <alignment horizontal="right"/>
    </xf>
    <xf numFmtId="165" fontId="16" fillId="21" borderId="10" xfId="0" applyNumberFormat="1" applyFont="1" applyFill="1" applyBorder="1"/>
    <xf numFmtId="166" fontId="15" fillId="21" borderId="38" xfId="1" applyNumberFormat="1" applyFont="1" applyFill="1" applyBorder="1" applyAlignment="1">
      <alignment vertical="center"/>
    </xf>
    <xf numFmtId="166" fontId="6" fillId="21" borderId="24" xfId="1" applyNumberFormat="1" applyFont="1" applyFill="1" applyBorder="1" applyAlignment="1"/>
    <xf numFmtId="43" fontId="7" fillId="21" borderId="11" xfId="1" applyFont="1" applyFill="1" applyBorder="1" applyAlignment="1">
      <alignment horizontal="right"/>
    </xf>
    <xf numFmtId="43" fontId="9" fillId="21" borderId="14" xfId="1" applyFont="1" applyFill="1" applyBorder="1" applyAlignment="1"/>
    <xf numFmtId="166" fontId="15" fillId="21" borderId="2" xfId="1" applyNumberFormat="1" applyFont="1" applyFill="1" applyBorder="1" applyAlignment="1">
      <alignment vertical="center"/>
    </xf>
    <xf numFmtId="166" fontId="16" fillId="21" borderId="0" xfId="0" applyNumberFormat="1" applyFont="1" applyFill="1" applyBorder="1"/>
    <xf numFmtId="164" fontId="56" fillId="21" borderId="0" xfId="3" applyNumberFormat="1" applyFont="1" applyFill="1" applyAlignment="1">
      <alignment horizontal="left" vertical="center" indent="2"/>
    </xf>
    <xf numFmtId="0" fontId="57" fillId="21" borderId="0" xfId="0" applyFont="1" applyFill="1" applyBorder="1"/>
    <xf numFmtId="0" fontId="58" fillId="21" borderId="0" xfId="0" applyFont="1" applyFill="1" applyBorder="1" applyAlignment="1">
      <alignment vertical="top" wrapText="1"/>
    </xf>
    <xf numFmtId="0" fontId="59" fillId="21" borderId="24" xfId="0" applyFont="1" applyFill="1" applyBorder="1"/>
    <xf numFmtId="0" fontId="1" fillId="21" borderId="12" xfId="0" applyFont="1" applyFill="1" applyBorder="1"/>
    <xf numFmtId="164" fontId="58" fillId="21" borderId="0" xfId="3" applyNumberFormat="1" applyFont="1" applyFill="1" applyBorder="1" applyAlignment="1">
      <alignment vertical="center" readingOrder="2"/>
    </xf>
    <xf numFmtId="0" fontId="7" fillId="21" borderId="22" xfId="0" applyFont="1" applyFill="1" applyBorder="1" applyAlignment="1">
      <alignment horizontal="center" vertical="center"/>
    </xf>
    <xf numFmtId="165" fontId="16" fillId="21" borderId="5" xfId="0" applyNumberFormat="1" applyFont="1" applyFill="1" applyBorder="1" applyAlignment="1">
      <alignment horizontal="left" vertical="center" indent="1"/>
    </xf>
    <xf numFmtId="0" fontId="5" fillId="21" borderId="3" xfId="0" applyFont="1" applyFill="1" applyBorder="1" applyAlignment="1">
      <alignment horizontal="center" vertical="center"/>
    </xf>
    <xf numFmtId="164" fontId="58" fillId="21" borderId="0" xfId="3" applyNumberFormat="1" applyFont="1" applyFill="1" applyBorder="1" applyAlignment="1">
      <alignment horizontal="right" vertical="center" readingOrder="2"/>
    </xf>
    <xf numFmtId="164" fontId="3" fillId="21" borderId="7" xfId="3" applyNumberFormat="1" applyFont="1" applyFill="1" applyBorder="1" applyAlignment="1">
      <alignment horizontal="center" vertical="center" readingOrder="2"/>
    </xf>
    <xf numFmtId="164" fontId="3" fillId="21" borderId="8" xfId="3" applyNumberFormat="1" applyFont="1" applyFill="1" applyBorder="1" applyAlignment="1">
      <alignment horizontal="center" vertical="center" readingOrder="2"/>
    </xf>
    <xf numFmtId="0" fontId="7" fillId="21" borderId="22" xfId="0" applyFont="1" applyFill="1" applyBorder="1" applyAlignment="1">
      <alignment horizontal="center" vertical="center"/>
    </xf>
    <xf numFmtId="164" fontId="3" fillId="21" borderId="9" xfId="3" applyNumberFormat="1" applyFont="1" applyFill="1" applyBorder="1" applyAlignment="1">
      <alignment horizontal="center" vertical="center" readingOrder="2"/>
    </xf>
    <xf numFmtId="164" fontId="60" fillId="21" borderId="7" xfId="3" applyNumberFormat="1" applyFont="1" applyFill="1" applyBorder="1" applyAlignment="1" applyProtection="1">
      <alignment horizontal="center" vertical="center"/>
    </xf>
    <xf numFmtId="164" fontId="60" fillId="21" borderId="8" xfId="3" applyNumberFormat="1" applyFont="1" applyFill="1" applyBorder="1" applyAlignment="1" applyProtection="1">
      <alignment horizontal="center" vertical="center"/>
    </xf>
    <xf numFmtId="164" fontId="60" fillId="21" borderId="9" xfId="3" applyNumberFormat="1" applyFont="1" applyFill="1" applyBorder="1" applyAlignment="1" applyProtection="1">
      <alignment horizontal="center" vertical="center"/>
    </xf>
    <xf numFmtId="0" fontId="26" fillId="21" borderId="7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6" fillId="21" borderId="9" xfId="0" applyFont="1" applyFill="1" applyBorder="1" applyAlignment="1">
      <alignment horizontal="center"/>
    </xf>
    <xf numFmtId="0" fontId="44" fillId="21" borderId="18" xfId="0" applyFont="1" applyFill="1" applyBorder="1" applyAlignment="1">
      <alignment horizontal="center"/>
    </xf>
    <xf numFmtId="0" fontId="44" fillId="21" borderId="19" xfId="0" applyFont="1" applyFill="1" applyBorder="1" applyAlignment="1">
      <alignment horizontal="center"/>
    </xf>
    <xf numFmtId="0" fontId="44" fillId="21" borderId="20" xfId="0" applyFont="1" applyFill="1" applyBorder="1" applyAlignment="1">
      <alignment horizont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127"/>
  <sheetViews>
    <sheetView tabSelected="1" zoomScale="89" zoomScaleNormal="89" workbookViewId="0">
      <selection activeCell="V28" sqref="V28"/>
    </sheetView>
  </sheetViews>
  <sheetFormatPr defaultColWidth="9.140625" defaultRowHeight="18.75" x14ac:dyDescent="0.5"/>
  <cols>
    <col min="1" max="1" width="46.7109375" style="21" customWidth="1"/>
    <col min="2" max="2" width="2.7109375" style="21" customWidth="1"/>
    <col min="3" max="6" width="13.140625" style="21" hidden="1" customWidth="1"/>
    <col min="7" max="7" width="1.85546875" style="21" hidden="1" customWidth="1"/>
    <col min="8" max="11" width="13.140625" style="21" hidden="1" customWidth="1"/>
    <col min="12" max="12" width="1.85546875" style="21" customWidth="1"/>
    <col min="13" max="16" width="13.140625" style="21" customWidth="1"/>
    <col min="17" max="17" width="1.42578125" style="21" customWidth="1"/>
    <col min="18" max="21" width="13.140625" style="21" customWidth="1"/>
    <col min="22" max="22" width="35.42578125" style="21" customWidth="1"/>
    <col min="23" max="23" width="4.28515625" style="21" customWidth="1"/>
    <col min="24" max="24" width="3.7109375" style="109" customWidth="1"/>
    <col min="25" max="25" width="3.5703125" style="109" customWidth="1"/>
    <col min="26" max="26" width="2.7109375" style="21" customWidth="1"/>
    <col min="27" max="16384" width="9.140625" style="21"/>
  </cols>
  <sheetData>
    <row r="1" spans="1:26" ht="21.75" x14ac:dyDescent="0.25">
      <c r="A1" s="157" t="s">
        <v>90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60"/>
    </row>
    <row r="2" spans="1:26" s="27" customFormat="1" ht="15.75" x14ac:dyDescent="0.25">
      <c r="A2" s="161" t="s">
        <v>89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3"/>
    </row>
    <row r="3" spans="1:26" ht="19.5" x14ac:dyDescent="0.5">
      <c r="A3" s="164" t="s">
        <v>0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6"/>
    </row>
    <row r="4" spans="1:26" ht="15.75" x14ac:dyDescent="0.25">
      <c r="A4" s="167" t="s">
        <v>1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9"/>
    </row>
    <row r="5" spans="1:26" ht="18" x14ac:dyDescent="0.45">
      <c r="A5" s="28"/>
      <c r="B5" s="29"/>
      <c r="C5" s="155">
        <v>2013</v>
      </c>
      <c r="D5" s="155"/>
      <c r="E5" s="155"/>
      <c r="F5" s="155"/>
      <c r="G5" s="153"/>
      <c r="H5" s="155">
        <v>2014</v>
      </c>
      <c r="I5" s="155"/>
      <c r="J5" s="155"/>
      <c r="K5" s="155"/>
      <c r="L5" s="153"/>
      <c r="M5" s="159">
        <v>2015</v>
      </c>
      <c r="N5" s="159"/>
      <c r="O5" s="159"/>
      <c r="P5" s="159"/>
      <c r="Q5" s="29"/>
      <c r="R5" s="159">
        <v>2016</v>
      </c>
      <c r="S5" s="159"/>
      <c r="T5" s="159"/>
      <c r="U5" s="159"/>
      <c r="V5" s="30"/>
      <c r="W5" s="30"/>
      <c r="X5" s="31"/>
      <c r="Y5" s="32"/>
      <c r="Z5" s="33"/>
    </row>
    <row r="6" spans="1:26" ht="18" x14ac:dyDescent="0.45">
      <c r="A6" s="34" t="s">
        <v>2</v>
      </c>
      <c r="B6" s="13"/>
      <c r="C6" s="2" t="s">
        <v>3</v>
      </c>
      <c r="D6" s="2" t="s">
        <v>4</v>
      </c>
      <c r="E6" s="2" t="s">
        <v>5</v>
      </c>
      <c r="F6" s="2" t="s">
        <v>7</v>
      </c>
      <c r="G6" s="12"/>
      <c r="H6" s="12" t="s">
        <v>3</v>
      </c>
      <c r="I6" s="12" t="s">
        <v>4</v>
      </c>
      <c r="J6" s="12" t="s">
        <v>5</v>
      </c>
      <c r="K6" s="12" t="s">
        <v>7</v>
      </c>
      <c r="L6" s="12"/>
      <c r="M6" s="12" t="s">
        <v>3</v>
      </c>
      <c r="N6" s="12" t="s">
        <v>4</v>
      </c>
      <c r="O6" s="12" t="s">
        <v>5</v>
      </c>
      <c r="P6" s="1" t="s">
        <v>6</v>
      </c>
      <c r="Q6" s="12"/>
      <c r="R6" s="12" t="s">
        <v>3</v>
      </c>
      <c r="S6" s="12" t="s">
        <v>4</v>
      </c>
      <c r="T6" s="12" t="s">
        <v>5</v>
      </c>
      <c r="U6" s="12" t="s">
        <v>7</v>
      </c>
      <c r="V6" s="35"/>
      <c r="W6" s="35"/>
      <c r="X6" s="36"/>
      <c r="Y6" s="37" t="s">
        <v>8</v>
      </c>
      <c r="Z6" s="26"/>
    </row>
    <row r="7" spans="1:26" ht="15.75" customHeight="1" x14ac:dyDescent="0.45">
      <c r="A7" s="38"/>
      <c r="B7" s="39"/>
      <c r="C7" s="3" t="s">
        <v>9</v>
      </c>
      <c r="D7" s="3" t="s">
        <v>10</v>
      </c>
      <c r="E7" s="3" t="s">
        <v>11</v>
      </c>
      <c r="F7" s="3" t="s">
        <v>26</v>
      </c>
      <c r="G7" s="39"/>
      <c r="H7" s="39" t="s">
        <v>9</v>
      </c>
      <c r="I7" s="39" t="s">
        <v>10</v>
      </c>
      <c r="J7" s="39" t="s">
        <v>11</v>
      </c>
      <c r="K7" s="39" t="s">
        <v>26</v>
      </c>
      <c r="L7" s="39"/>
      <c r="M7" s="143" t="s">
        <v>9</v>
      </c>
      <c r="N7" s="143" t="s">
        <v>10</v>
      </c>
      <c r="O7" s="143" t="s">
        <v>11</v>
      </c>
      <c r="P7" s="14" t="s">
        <v>29</v>
      </c>
      <c r="Q7" s="143"/>
      <c r="R7" s="143" t="s">
        <v>9</v>
      </c>
      <c r="S7" s="143" t="s">
        <v>10</v>
      </c>
      <c r="T7" s="143" t="s">
        <v>11</v>
      </c>
      <c r="U7" s="143" t="s">
        <v>26</v>
      </c>
      <c r="V7" s="40"/>
      <c r="W7" s="40"/>
      <c r="X7" s="41"/>
      <c r="Y7" s="42"/>
      <c r="Z7" s="43"/>
    </row>
    <row r="8" spans="1:26" s="18" customFormat="1" ht="17.25" x14ac:dyDescent="0.45">
      <c r="A8" s="44" t="s">
        <v>30</v>
      </c>
      <c r="B8" s="45"/>
      <c r="C8" s="134">
        <v>33570.961000000003</v>
      </c>
      <c r="D8" s="134">
        <v>33805.148999999998</v>
      </c>
      <c r="E8" s="134">
        <v>33532.502000000008</v>
      </c>
      <c r="F8" s="134">
        <v>34984.956000000006</v>
      </c>
      <c r="G8" s="134"/>
      <c r="H8" s="134">
        <v>41178.503999999994</v>
      </c>
      <c r="I8" s="134">
        <v>39459.148000000001</v>
      </c>
      <c r="J8" s="134">
        <v>39845.623651673399</v>
      </c>
      <c r="K8" s="134">
        <v>41193.489329610995</v>
      </c>
      <c r="L8" s="141"/>
      <c r="M8" s="145">
        <v>42098.28</v>
      </c>
      <c r="N8" s="145">
        <v>42878.508000000002</v>
      </c>
      <c r="O8" s="145">
        <v>43358.797999999988</v>
      </c>
      <c r="P8" s="145">
        <v>44142.386999999995</v>
      </c>
      <c r="Q8" s="145"/>
      <c r="R8" s="145">
        <v>47187.440999999999</v>
      </c>
      <c r="S8" s="145">
        <v>46849.615000000005</v>
      </c>
      <c r="T8" s="145">
        <v>47600.88700000001</v>
      </c>
      <c r="U8" s="145">
        <v>46363.026000000005</v>
      </c>
      <c r="V8" s="142"/>
      <c r="W8" s="46"/>
      <c r="X8" s="47"/>
      <c r="Y8" s="48" t="s">
        <v>31</v>
      </c>
      <c r="Z8" s="49"/>
    </row>
    <row r="9" spans="1:26" s="18" customFormat="1" ht="17.25" x14ac:dyDescent="0.45">
      <c r="A9" s="20" t="s">
        <v>32</v>
      </c>
      <c r="B9" s="118"/>
      <c r="C9" s="113">
        <v>4400.8339999999998</v>
      </c>
      <c r="D9" s="113">
        <v>3514.067</v>
      </c>
      <c r="E9" s="113">
        <v>3617.0369999999998</v>
      </c>
      <c r="F9" s="113">
        <v>4727.7890000000007</v>
      </c>
      <c r="G9" s="113"/>
      <c r="H9" s="113">
        <v>7340.5570000000007</v>
      </c>
      <c r="I9" s="113">
        <v>5903.7850000000008</v>
      </c>
      <c r="J9" s="113">
        <v>4556.3306516733992</v>
      </c>
      <c r="K9" s="113">
        <v>4607.9793296110001</v>
      </c>
      <c r="L9" s="113"/>
      <c r="M9" s="113">
        <v>5209.4740000000011</v>
      </c>
      <c r="N9" s="113">
        <v>5203.68</v>
      </c>
      <c r="O9" s="113">
        <v>4747.0309999999999</v>
      </c>
      <c r="P9" s="113">
        <v>5112.7849999999999</v>
      </c>
      <c r="Q9" s="113"/>
      <c r="R9" s="113">
        <v>5610.7910000000011</v>
      </c>
      <c r="S9" s="113">
        <v>5005.8369999999995</v>
      </c>
      <c r="T9" s="113">
        <v>5388.3660000000009</v>
      </c>
      <c r="U9" s="113">
        <v>4440.1440000000002</v>
      </c>
      <c r="V9" s="124"/>
      <c r="W9" s="50"/>
      <c r="X9" s="51"/>
      <c r="Y9" s="52" t="s">
        <v>46</v>
      </c>
    </row>
    <row r="10" spans="1:26" s="18" customFormat="1" ht="17.25" x14ac:dyDescent="0.45">
      <c r="A10" s="20" t="s">
        <v>47</v>
      </c>
      <c r="B10" s="118"/>
      <c r="C10" s="113">
        <v>369.072</v>
      </c>
      <c r="D10" s="113">
        <v>408.654</v>
      </c>
      <c r="E10" s="113">
        <v>402.33</v>
      </c>
      <c r="F10" s="113">
        <v>450.54199999999997</v>
      </c>
      <c r="G10" s="113"/>
      <c r="H10" s="113">
        <v>406.68799999999999</v>
      </c>
      <c r="I10" s="113">
        <v>490.03899999999999</v>
      </c>
      <c r="J10" s="113">
        <v>411.94799999999998</v>
      </c>
      <c r="K10" s="113">
        <v>416.71899999999999</v>
      </c>
      <c r="L10" s="113"/>
      <c r="M10" s="113">
        <v>467.10300000000001</v>
      </c>
      <c r="N10" s="113">
        <v>489.99700000000001</v>
      </c>
      <c r="O10" s="113">
        <v>555.53800000000001</v>
      </c>
      <c r="P10" s="113">
        <v>464.55</v>
      </c>
      <c r="Q10" s="113"/>
      <c r="R10" s="113">
        <v>568.15200000000004</v>
      </c>
      <c r="S10" s="113">
        <v>636.24300000000005</v>
      </c>
      <c r="T10" s="113">
        <v>548.23699999999997</v>
      </c>
      <c r="U10" s="113">
        <v>548.50199999999995</v>
      </c>
      <c r="V10" s="125"/>
      <c r="W10" s="53"/>
      <c r="X10" s="54"/>
      <c r="Y10" s="55" t="s">
        <v>48</v>
      </c>
    </row>
    <row r="11" spans="1:26" s="18" customFormat="1" ht="18" x14ac:dyDescent="0.45">
      <c r="A11" s="20" t="s">
        <v>49</v>
      </c>
      <c r="B11" s="118"/>
      <c r="C11" s="113">
        <v>6271.2470000000003</v>
      </c>
      <c r="D11" s="113">
        <v>6819.81</v>
      </c>
      <c r="E11" s="113">
        <v>6197.8610000000008</v>
      </c>
      <c r="F11" s="113">
        <v>6457.799</v>
      </c>
      <c r="G11" s="113"/>
      <c r="H11" s="113">
        <v>8029.8739999999998</v>
      </c>
      <c r="I11" s="113">
        <v>9025.7970000000005</v>
      </c>
      <c r="J11" s="113">
        <v>10021.425999999999</v>
      </c>
      <c r="K11" s="113">
        <v>11617.158000000001</v>
      </c>
      <c r="L11" s="113"/>
      <c r="M11" s="113">
        <v>11577.026</v>
      </c>
      <c r="N11" s="113">
        <v>12459.741</v>
      </c>
      <c r="O11" s="113">
        <v>10554.111000000001</v>
      </c>
      <c r="P11" s="113">
        <v>10345.530000000001</v>
      </c>
      <c r="Q11" s="113"/>
      <c r="R11" s="113">
        <v>11656.470000000001</v>
      </c>
      <c r="S11" s="113">
        <v>10860.045</v>
      </c>
      <c r="T11" s="113">
        <v>10148.405999999999</v>
      </c>
      <c r="U11" s="113">
        <v>9132.8630000000012</v>
      </c>
      <c r="V11" s="126"/>
      <c r="W11" s="56"/>
      <c r="X11" s="57"/>
      <c r="Y11" s="52" t="s">
        <v>50</v>
      </c>
    </row>
    <row r="12" spans="1:26" s="18" customFormat="1" ht="17.25" x14ac:dyDescent="0.45">
      <c r="A12" s="20" t="s">
        <v>39</v>
      </c>
      <c r="B12" s="118"/>
      <c r="C12" s="113">
        <v>3786.13</v>
      </c>
      <c r="D12" s="113">
        <v>3970.0610000000001</v>
      </c>
      <c r="E12" s="113">
        <v>3825.38</v>
      </c>
      <c r="F12" s="113">
        <v>3937.22</v>
      </c>
      <c r="G12" s="113"/>
      <c r="H12" s="113">
        <v>5036.8469999999998</v>
      </c>
      <c r="I12" s="113">
        <v>5788.2250000000004</v>
      </c>
      <c r="J12" s="113">
        <v>5550.8680000000004</v>
      </c>
      <c r="K12" s="113">
        <v>5839.0839999999998</v>
      </c>
      <c r="L12" s="113"/>
      <c r="M12" s="113">
        <v>6317.7650000000003</v>
      </c>
      <c r="N12" s="113">
        <v>6752.973</v>
      </c>
      <c r="O12" s="113">
        <v>8155.7859999999991</v>
      </c>
      <c r="P12" s="113">
        <v>8324.098</v>
      </c>
      <c r="Q12" s="113"/>
      <c r="R12" s="113">
        <v>8942.1830000000009</v>
      </c>
      <c r="S12" s="113">
        <v>9568.4909999999982</v>
      </c>
      <c r="T12" s="113">
        <v>9994.2340000000004</v>
      </c>
      <c r="U12" s="113">
        <v>10611.955000000002</v>
      </c>
      <c r="V12" s="125"/>
      <c r="W12" s="53"/>
      <c r="X12" s="58"/>
      <c r="Y12" s="59" t="s">
        <v>51</v>
      </c>
    </row>
    <row r="13" spans="1:26" s="18" customFormat="1" ht="17.25" x14ac:dyDescent="0.45">
      <c r="A13" s="22" t="s">
        <v>52</v>
      </c>
      <c r="B13" s="119"/>
      <c r="C13" s="114">
        <v>0</v>
      </c>
      <c r="D13" s="114">
        <v>0</v>
      </c>
      <c r="E13" s="114">
        <v>0</v>
      </c>
      <c r="F13" s="114">
        <v>0</v>
      </c>
      <c r="G13" s="114"/>
      <c r="H13" s="114">
        <v>0</v>
      </c>
      <c r="I13" s="114">
        <v>0</v>
      </c>
      <c r="J13" s="114">
        <v>0</v>
      </c>
      <c r="K13" s="114">
        <v>0</v>
      </c>
      <c r="L13" s="114"/>
      <c r="M13" s="114">
        <v>0</v>
      </c>
      <c r="N13" s="114">
        <v>0</v>
      </c>
      <c r="O13" s="114">
        <v>0</v>
      </c>
      <c r="P13" s="114">
        <v>0</v>
      </c>
      <c r="Q13" s="114"/>
      <c r="R13" s="114">
        <v>0</v>
      </c>
      <c r="S13" s="114">
        <v>0</v>
      </c>
      <c r="T13" s="114">
        <v>0</v>
      </c>
      <c r="U13" s="114">
        <v>0</v>
      </c>
      <c r="V13" s="127"/>
      <c r="W13" s="60"/>
      <c r="X13" s="58" t="s">
        <v>53</v>
      </c>
      <c r="Y13" s="61"/>
    </row>
    <row r="14" spans="1:26" s="18" customFormat="1" ht="17.25" x14ac:dyDescent="0.45">
      <c r="A14" s="22" t="s">
        <v>54</v>
      </c>
      <c r="B14" s="119"/>
      <c r="C14" s="114">
        <v>3786.13</v>
      </c>
      <c r="D14" s="114">
        <v>3970.0610000000001</v>
      </c>
      <c r="E14" s="114">
        <v>3825.38</v>
      </c>
      <c r="F14" s="114">
        <v>3937.22</v>
      </c>
      <c r="G14" s="114"/>
      <c r="H14" s="114">
        <v>5036.8469999999998</v>
      </c>
      <c r="I14" s="114">
        <v>5788.2250000000004</v>
      </c>
      <c r="J14" s="114">
        <v>5550.8680000000004</v>
      </c>
      <c r="K14" s="114">
        <v>5839.0839999999998</v>
      </c>
      <c r="L14" s="114"/>
      <c r="M14" s="114">
        <v>6317.7650000000003</v>
      </c>
      <c r="N14" s="114">
        <v>6752.973</v>
      </c>
      <c r="O14" s="114">
        <v>7502.28</v>
      </c>
      <c r="P14" s="114">
        <v>7668.826</v>
      </c>
      <c r="Q14" s="114"/>
      <c r="R14" s="114">
        <v>8284.4480000000003</v>
      </c>
      <c r="S14" s="114">
        <v>8908.1849999999995</v>
      </c>
      <c r="T14" s="114">
        <v>9397.8539999999994</v>
      </c>
      <c r="U14" s="114">
        <v>10016.342000000001</v>
      </c>
      <c r="V14" s="127"/>
      <c r="W14" s="60"/>
      <c r="X14" s="62" t="s">
        <v>55</v>
      </c>
      <c r="Y14" s="61"/>
    </row>
    <row r="15" spans="1:26" s="18" customFormat="1" ht="17.25" x14ac:dyDescent="0.45">
      <c r="A15" s="22" t="s">
        <v>56</v>
      </c>
      <c r="B15" s="120"/>
      <c r="C15" s="116">
        <v>0</v>
      </c>
      <c r="D15" s="116">
        <v>0</v>
      </c>
      <c r="E15" s="116">
        <v>0</v>
      </c>
      <c r="F15" s="116">
        <v>0</v>
      </c>
      <c r="G15" s="116"/>
      <c r="H15" s="116">
        <v>0</v>
      </c>
      <c r="I15" s="116">
        <v>0</v>
      </c>
      <c r="J15" s="116">
        <v>0</v>
      </c>
      <c r="K15" s="116">
        <v>0</v>
      </c>
      <c r="L15" s="116"/>
      <c r="M15" s="116">
        <v>0</v>
      </c>
      <c r="N15" s="116">
        <v>0</v>
      </c>
      <c r="O15" s="116">
        <v>115.65</v>
      </c>
      <c r="P15" s="116">
        <v>115.65</v>
      </c>
      <c r="Q15" s="116"/>
      <c r="R15" s="116">
        <v>115.65</v>
      </c>
      <c r="S15" s="116">
        <v>115.65</v>
      </c>
      <c r="T15" s="116">
        <v>57.825000000000003</v>
      </c>
      <c r="U15" s="116">
        <v>57.825000000000003</v>
      </c>
      <c r="V15" s="125"/>
      <c r="W15" s="53"/>
      <c r="X15" s="58" t="s">
        <v>57</v>
      </c>
      <c r="Y15" s="63"/>
    </row>
    <row r="16" spans="1:26" s="18" customFormat="1" ht="17.25" x14ac:dyDescent="0.45">
      <c r="A16" s="154" t="s">
        <v>91</v>
      </c>
      <c r="B16" s="120"/>
      <c r="C16" s="116">
        <v>0</v>
      </c>
      <c r="D16" s="116">
        <v>0</v>
      </c>
      <c r="E16" s="116">
        <v>0</v>
      </c>
      <c r="F16" s="116">
        <v>0</v>
      </c>
      <c r="G16" s="116"/>
      <c r="H16" s="116">
        <v>0</v>
      </c>
      <c r="I16" s="116">
        <v>0</v>
      </c>
      <c r="J16" s="116">
        <v>0</v>
      </c>
      <c r="K16" s="116">
        <v>0</v>
      </c>
      <c r="L16" s="116"/>
      <c r="M16" s="116">
        <v>0</v>
      </c>
      <c r="N16" s="116">
        <v>0</v>
      </c>
      <c r="O16" s="116">
        <v>537.85599999999999</v>
      </c>
      <c r="P16" s="116">
        <v>539.62199999999996</v>
      </c>
      <c r="Q16" s="116"/>
      <c r="R16" s="116">
        <v>542.08500000000004</v>
      </c>
      <c r="S16" s="116">
        <v>544.65599999999995</v>
      </c>
      <c r="T16" s="116">
        <v>538.55499999999995</v>
      </c>
      <c r="U16" s="116">
        <v>537.78800000000001</v>
      </c>
      <c r="V16" s="125"/>
      <c r="W16" s="53"/>
      <c r="X16" s="58" t="s">
        <v>94</v>
      </c>
      <c r="Y16" s="63"/>
    </row>
    <row r="17" spans="1:25" s="18" customFormat="1" ht="20.25" customHeight="1" x14ac:dyDescent="0.45">
      <c r="A17" s="20" t="s">
        <v>58</v>
      </c>
      <c r="B17" s="118"/>
      <c r="C17" s="113">
        <v>17471.637999999999</v>
      </c>
      <c r="D17" s="113">
        <v>17224.924999999999</v>
      </c>
      <c r="E17" s="113">
        <v>17733.737000000001</v>
      </c>
      <c r="F17" s="113">
        <v>17741.629000000001</v>
      </c>
      <c r="G17" s="113"/>
      <c r="H17" s="113">
        <v>18003.641000000003</v>
      </c>
      <c r="I17" s="113">
        <v>16404.082999999999</v>
      </c>
      <c r="J17" s="113">
        <v>17383.326000000001</v>
      </c>
      <c r="K17" s="113">
        <v>16825.192000000003</v>
      </c>
      <c r="L17" s="113"/>
      <c r="M17" s="113">
        <v>16473.251</v>
      </c>
      <c r="N17" s="113">
        <v>16308.922</v>
      </c>
      <c r="O17" s="113">
        <v>17342.249</v>
      </c>
      <c r="P17" s="113">
        <v>18041.715</v>
      </c>
      <c r="Q17" s="113"/>
      <c r="R17" s="113">
        <v>18371.100999999995</v>
      </c>
      <c r="S17" s="113">
        <v>18929.456999999999</v>
      </c>
      <c r="T17" s="113">
        <v>19491.861000000001</v>
      </c>
      <c r="U17" s="113">
        <v>19930.607000000004</v>
      </c>
      <c r="V17" s="128"/>
      <c r="W17" s="64"/>
      <c r="X17" s="65"/>
      <c r="Y17" s="66" t="s">
        <v>59</v>
      </c>
    </row>
    <row r="18" spans="1:25" s="18" customFormat="1" ht="17.25" x14ac:dyDescent="0.45">
      <c r="A18" s="22" t="s">
        <v>60</v>
      </c>
      <c r="B18" s="119"/>
      <c r="C18" s="114">
        <v>415.38200000000001</v>
      </c>
      <c r="D18" s="114">
        <v>435.43400000000003</v>
      </c>
      <c r="E18" s="114">
        <v>830.94500000000005</v>
      </c>
      <c r="F18" s="114">
        <v>902.19500000000005</v>
      </c>
      <c r="G18" s="114"/>
      <c r="H18" s="114">
        <v>981.12800000000004</v>
      </c>
      <c r="I18" s="114">
        <v>0</v>
      </c>
      <c r="J18" s="114">
        <v>0</v>
      </c>
      <c r="K18" s="114">
        <v>0</v>
      </c>
      <c r="L18" s="114"/>
      <c r="M18" s="114">
        <v>0</v>
      </c>
      <c r="N18" s="114">
        <v>0</v>
      </c>
      <c r="O18" s="114">
        <v>0</v>
      </c>
      <c r="P18" s="114">
        <v>0</v>
      </c>
      <c r="Q18" s="114"/>
      <c r="R18" s="114">
        <v>0</v>
      </c>
      <c r="S18" s="114">
        <v>0</v>
      </c>
      <c r="T18" s="114">
        <v>0</v>
      </c>
      <c r="U18" s="114">
        <v>0</v>
      </c>
      <c r="V18" s="124"/>
      <c r="W18" s="50"/>
      <c r="X18" s="58" t="s">
        <v>61</v>
      </c>
      <c r="Y18" s="61"/>
    </row>
    <row r="19" spans="1:25" s="18" customFormat="1" ht="17.25" x14ac:dyDescent="0.45">
      <c r="A19" s="22" t="s">
        <v>62</v>
      </c>
      <c r="B19" s="119"/>
      <c r="C19" s="114">
        <v>582.65800000000002</v>
      </c>
      <c r="D19" s="114">
        <v>593.57899999999995</v>
      </c>
      <c r="E19" s="114">
        <v>572.88700000000006</v>
      </c>
      <c r="F19" s="114">
        <v>537.79700000000003</v>
      </c>
      <c r="G19" s="114"/>
      <c r="H19" s="114">
        <v>503.98</v>
      </c>
      <c r="I19" s="114">
        <v>170.40300000000002</v>
      </c>
      <c r="J19" s="114">
        <v>134.886</v>
      </c>
      <c r="K19" s="114">
        <v>126.074</v>
      </c>
      <c r="L19" s="114"/>
      <c r="M19" s="114">
        <v>97.420999999999992</v>
      </c>
      <c r="N19" s="114">
        <v>78.694999999999993</v>
      </c>
      <c r="O19" s="114">
        <v>69.846000000000004</v>
      </c>
      <c r="P19" s="114">
        <v>73.626000000000005</v>
      </c>
      <c r="Q19" s="114"/>
      <c r="R19" s="114">
        <v>55.822000000000003</v>
      </c>
      <c r="S19" s="114">
        <v>48.820999999999998</v>
      </c>
      <c r="T19" s="114">
        <v>41.593000000000004</v>
      </c>
      <c r="U19" s="114">
        <v>34.911999999999999</v>
      </c>
      <c r="V19" s="124"/>
      <c r="W19" s="50"/>
      <c r="X19" s="62" t="s">
        <v>63</v>
      </c>
      <c r="Y19" s="61"/>
    </row>
    <row r="20" spans="1:25" s="18" customFormat="1" ht="17.25" x14ac:dyDescent="0.45">
      <c r="A20" s="22" t="s">
        <v>64</v>
      </c>
      <c r="B20" s="120"/>
      <c r="C20" s="116">
        <v>114.43</v>
      </c>
      <c r="D20" s="116">
        <v>60.908999999999999</v>
      </c>
      <c r="E20" s="116">
        <v>77.697000000000003</v>
      </c>
      <c r="F20" s="116">
        <v>102.80199999999999</v>
      </c>
      <c r="G20" s="116"/>
      <c r="H20" s="116">
        <v>279.93099999999998</v>
      </c>
      <c r="I20" s="116">
        <v>298.37799999999999</v>
      </c>
      <c r="J20" s="116">
        <v>261.73200000000003</v>
      </c>
      <c r="K20" s="116">
        <v>281.92</v>
      </c>
      <c r="L20" s="116"/>
      <c r="M20" s="116">
        <v>322.57799999999997</v>
      </c>
      <c r="N20" s="116">
        <v>304.71300000000002</v>
      </c>
      <c r="O20" s="116">
        <v>297.93800000000005</v>
      </c>
      <c r="P20" s="116">
        <v>297.47899999999998</v>
      </c>
      <c r="Q20" s="116"/>
      <c r="R20" s="116">
        <v>283.27199999999999</v>
      </c>
      <c r="S20" s="116">
        <v>338.90299999999996</v>
      </c>
      <c r="T20" s="116">
        <v>357.98700000000002</v>
      </c>
      <c r="U20" s="116">
        <v>423.32099999999997</v>
      </c>
      <c r="V20" s="129"/>
      <c r="W20" s="67"/>
      <c r="X20" s="68" t="s">
        <v>38</v>
      </c>
      <c r="Y20" s="69"/>
    </row>
    <row r="21" spans="1:25" s="18" customFormat="1" ht="18" x14ac:dyDescent="0.4">
      <c r="A21" s="22" t="s">
        <v>65</v>
      </c>
      <c r="B21" s="119"/>
      <c r="C21" s="114">
        <v>1413.3000000000002</v>
      </c>
      <c r="D21" s="114">
        <v>1400.4390000000001</v>
      </c>
      <c r="E21" s="114">
        <v>1397.0219999999999</v>
      </c>
      <c r="F21" s="114">
        <v>1568.433</v>
      </c>
      <c r="G21" s="114"/>
      <c r="H21" s="114">
        <v>1735.1799999999998</v>
      </c>
      <c r="I21" s="114">
        <v>1326.875</v>
      </c>
      <c r="J21" s="114">
        <v>1506.0800000000002</v>
      </c>
      <c r="K21" s="114">
        <v>1326.8990000000001</v>
      </c>
      <c r="L21" s="114"/>
      <c r="M21" s="114">
        <v>1328.692</v>
      </c>
      <c r="N21" s="114">
        <v>1201.345</v>
      </c>
      <c r="O21" s="114">
        <v>1024.174</v>
      </c>
      <c r="P21" s="114">
        <v>860.3359999999999</v>
      </c>
      <c r="Q21" s="114"/>
      <c r="R21" s="114">
        <v>888.64699999999993</v>
      </c>
      <c r="S21" s="114">
        <v>864.45799999999997</v>
      </c>
      <c r="T21" s="114">
        <v>799.548</v>
      </c>
      <c r="U21" s="114">
        <v>887.73899999999992</v>
      </c>
      <c r="V21" s="127"/>
      <c r="W21" s="60"/>
      <c r="X21" s="70" t="s">
        <v>37</v>
      </c>
      <c r="Y21" s="71"/>
    </row>
    <row r="22" spans="1:25" s="18" customFormat="1" ht="18" x14ac:dyDescent="0.4">
      <c r="A22" s="22" t="s">
        <v>66</v>
      </c>
      <c r="B22" s="119"/>
      <c r="C22" s="114">
        <v>14945.867999999999</v>
      </c>
      <c r="D22" s="114">
        <v>14734.564</v>
      </c>
      <c r="E22" s="114">
        <v>14855.186</v>
      </c>
      <c r="F22" s="114">
        <v>14630.402</v>
      </c>
      <c r="G22" s="114"/>
      <c r="H22" s="114">
        <v>14503.422000000002</v>
      </c>
      <c r="I22" s="114">
        <v>14608.427</v>
      </c>
      <c r="J22" s="114">
        <v>15480.628000000001</v>
      </c>
      <c r="K22" s="114">
        <v>15090.299000000001</v>
      </c>
      <c r="L22" s="114"/>
      <c r="M22" s="114">
        <v>14724.56</v>
      </c>
      <c r="N22" s="114">
        <v>14724.169</v>
      </c>
      <c r="O22" s="114">
        <v>15950.290999999999</v>
      </c>
      <c r="P22" s="114">
        <v>16810.274000000001</v>
      </c>
      <c r="Q22" s="114"/>
      <c r="R22" s="114">
        <v>17143.359999999997</v>
      </c>
      <c r="S22" s="114">
        <v>17677.274999999998</v>
      </c>
      <c r="T22" s="114">
        <v>18292.733</v>
      </c>
      <c r="U22" s="114">
        <v>18584.635000000002</v>
      </c>
      <c r="V22" s="124"/>
      <c r="W22" s="50"/>
      <c r="X22" s="72" t="s">
        <v>67</v>
      </c>
      <c r="Y22" s="71"/>
    </row>
    <row r="23" spans="1:25" s="18" customFormat="1" ht="17.25" x14ac:dyDescent="0.45">
      <c r="A23" s="20" t="s">
        <v>27</v>
      </c>
      <c r="B23" s="118"/>
      <c r="C23" s="113">
        <v>14.344999999999999</v>
      </c>
      <c r="D23" s="113">
        <v>14.324999999999999</v>
      </c>
      <c r="E23" s="113">
        <v>14.344999999999999</v>
      </c>
      <c r="F23" s="113">
        <v>12.425000000000001</v>
      </c>
      <c r="G23" s="113"/>
      <c r="H23" s="113">
        <v>6</v>
      </c>
      <c r="I23" s="113">
        <v>12.425000000000001</v>
      </c>
      <c r="J23" s="113">
        <v>12.425000000000001</v>
      </c>
      <c r="K23" s="113">
        <v>13.425000000000001</v>
      </c>
      <c r="L23" s="113"/>
      <c r="M23" s="113">
        <v>12.425000000000001</v>
      </c>
      <c r="N23" s="113">
        <v>13.425000000000001</v>
      </c>
      <c r="O23" s="113">
        <v>13.425000000000001</v>
      </c>
      <c r="P23" s="113">
        <v>14.625</v>
      </c>
      <c r="Q23" s="113"/>
      <c r="R23" s="113">
        <v>14.625</v>
      </c>
      <c r="S23" s="113">
        <v>14.625</v>
      </c>
      <c r="T23" s="113">
        <v>14.625</v>
      </c>
      <c r="U23" s="113">
        <v>14.625</v>
      </c>
      <c r="V23" s="124"/>
      <c r="W23" s="50"/>
      <c r="X23" s="62"/>
      <c r="Y23" s="73" t="s">
        <v>18</v>
      </c>
    </row>
    <row r="24" spans="1:25" s="18" customFormat="1" ht="17.25" x14ac:dyDescent="0.45">
      <c r="A24" s="20" t="s">
        <v>33</v>
      </c>
      <c r="B24" s="118"/>
      <c r="C24" s="113">
        <v>753.33000000000175</v>
      </c>
      <c r="D24" s="113">
        <v>775.71399999999994</v>
      </c>
      <c r="E24" s="113">
        <v>652.65600000000268</v>
      </c>
      <c r="F24" s="113">
        <v>566.04100000000471</v>
      </c>
      <c r="G24" s="113"/>
      <c r="H24" s="113">
        <v>1249.6869999999908</v>
      </c>
      <c r="I24" s="113">
        <v>705.72699999999168</v>
      </c>
      <c r="J24" s="113">
        <v>772.13499999999476</v>
      </c>
      <c r="K24" s="113">
        <v>661.26299999998446</v>
      </c>
      <c r="L24" s="113"/>
      <c r="M24" s="113">
        <v>916.07499999998981</v>
      </c>
      <c r="N24" s="113">
        <v>917.80399999999645</v>
      </c>
      <c r="O24" s="113">
        <v>1251.080999999991</v>
      </c>
      <c r="P24" s="113">
        <v>1104.7869999999966</v>
      </c>
      <c r="Q24" s="113"/>
      <c r="R24" s="113">
        <v>1264.9309999999969</v>
      </c>
      <c r="S24" s="113">
        <v>1064.0840000000098</v>
      </c>
      <c r="T24" s="113">
        <v>1232.8110000000015</v>
      </c>
      <c r="U24" s="113">
        <v>885.09799999999086</v>
      </c>
      <c r="V24" s="125"/>
      <c r="W24" s="53"/>
      <c r="X24" s="58"/>
      <c r="Y24" s="74" t="s">
        <v>68</v>
      </c>
    </row>
    <row r="25" spans="1:25" s="18" customFormat="1" ht="18" x14ac:dyDescent="0.45">
      <c r="A25" s="20" t="s">
        <v>34</v>
      </c>
      <c r="B25" s="118"/>
      <c r="C25" s="113">
        <v>504.36500000000001</v>
      </c>
      <c r="D25" s="113">
        <v>1077.5930000000001</v>
      </c>
      <c r="E25" s="113">
        <v>1089.1559999999999</v>
      </c>
      <c r="F25" s="113">
        <v>1091.511</v>
      </c>
      <c r="G25" s="113"/>
      <c r="H25" s="113">
        <v>1105.21</v>
      </c>
      <c r="I25" s="113">
        <v>1129.067</v>
      </c>
      <c r="J25" s="113">
        <v>1137.165</v>
      </c>
      <c r="K25" s="113">
        <v>1212.6689999999999</v>
      </c>
      <c r="L25" s="113"/>
      <c r="M25" s="113">
        <v>1125.1610000000001</v>
      </c>
      <c r="N25" s="113">
        <v>731.96600000000001</v>
      </c>
      <c r="O25" s="113">
        <v>739.577</v>
      </c>
      <c r="P25" s="113">
        <v>734.29700000000003</v>
      </c>
      <c r="Q25" s="113"/>
      <c r="R25" s="113">
        <v>759.1880000000001</v>
      </c>
      <c r="S25" s="113">
        <v>770.83299999999997</v>
      </c>
      <c r="T25" s="113">
        <v>782.34699999999998</v>
      </c>
      <c r="U25" s="113">
        <v>799.23199999999997</v>
      </c>
      <c r="V25" s="130"/>
      <c r="W25" s="75"/>
      <c r="X25" s="76"/>
      <c r="Y25" s="66" t="s">
        <v>69</v>
      </c>
    </row>
    <row r="26" spans="1:25" s="18" customFormat="1" ht="17.25" x14ac:dyDescent="0.45">
      <c r="A26" s="77"/>
      <c r="B26" s="118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24"/>
      <c r="W26" s="50"/>
      <c r="X26" s="62"/>
      <c r="Y26" s="70"/>
    </row>
    <row r="27" spans="1:25" s="18" customFormat="1" ht="17.25" x14ac:dyDescent="0.45">
      <c r="A27" s="20" t="s">
        <v>35</v>
      </c>
      <c r="B27" s="121"/>
      <c r="C27" s="115">
        <v>33570.961000000003</v>
      </c>
      <c r="D27" s="115">
        <v>33805.148999999998</v>
      </c>
      <c r="E27" s="115">
        <v>33532.502000000008</v>
      </c>
      <c r="F27" s="115">
        <v>34984.956000000006</v>
      </c>
      <c r="G27" s="115"/>
      <c r="H27" s="115">
        <v>41178.503999999994</v>
      </c>
      <c r="I27" s="115">
        <v>39459.148000000001</v>
      </c>
      <c r="J27" s="115">
        <v>39845.623651673399</v>
      </c>
      <c r="K27" s="115">
        <v>41193.489329610995</v>
      </c>
      <c r="L27" s="115"/>
      <c r="M27" s="115">
        <v>42098.28</v>
      </c>
      <c r="N27" s="115">
        <v>42878.508000000002</v>
      </c>
      <c r="O27" s="115">
        <v>43358.797999999988</v>
      </c>
      <c r="P27" s="115">
        <v>44142.386999999995</v>
      </c>
      <c r="Q27" s="115"/>
      <c r="R27" s="115">
        <v>47187.440999999999</v>
      </c>
      <c r="S27" s="115">
        <v>46849.615000000005</v>
      </c>
      <c r="T27" s="115">
        <v>47600.88700000001</v>
      </c>
      <c r="U27" s="115">
        <v>46363.026000000005</v>
      </c>
      <c r="V27" s="124"/>
      <c r="W27" s="50"/>
      <c r="X27" s="62"/>
      <c r="Y27" s="74" t="s">
        <v>36</v>
      </c>
    </row>
    <row r="28" spans="1:25" s="18" customFormat="1" ht="17.25" x14ac:dyDescent="0.45">
      <c r="A28" s="20" t="s">
        <v>40</v>
      </c>
      <c r="B28" s="121"/>
      <c r="C28" s="115">
        <v>946.06799999999998</v>
      </c>
      <c r="D28" s="115">
        <v>959.00100000000009</v>
      </c>
      <c r="E28" s="115">
        <v>868.89</v>
      </c>
      <c r="F28" s="115">
        <v>1222.3770000000002</v>
      </c>
      <c r="G28" s="115"/>
      <c r="H28" s="115">
        <v>920.721</v>
      </c>
      <c r="I28" s="115">
        <v>598.73899999999992</v>
      </c>
      <c r="J28" s="115">
        <v>968.91300000000001</v>
      </c>
      <c r="K28" s="115">
        <v>1176.9109999999998</v>
      </c>
      <c r="L28" s="115"/>
      <c r="M28" s="115">
        <v>939.05799999999988</v>
      </c>
      <c r="N28" s="115">
        <v>1016.8270000000001</v>
      </c>
      <c r="O28" s="115">
        <v>864.13800000000003</v>
      </c>
      <c r="P28" s="115">
        <v>1042.646</v>
      </c>
      <c r="Q28" s="115"/>
      <c r="R28" s="115">
        <v>1159.2969999999998</v>
      </c>
      <c r="S28" s="115">
        <v>1689.04</v>
      </c>
      <c r="T28" s="115">
        <v>1675.8130000000001</v>
      </c>
      <c r="U28" s="115">
        <v>1898.1010000000001</v>
      </c>
      <c r="V28" s="124"/>
      <c r="W28" s="50"/>
      <c r="X28" s="62"/>
      <c r="Y28" s="37" t="s">
        <v>41</v>
      </c>
    </row>
    <row r="29" spans="1:25" s="18" customFormat="1" ht="17.25" x14ac:dyDescent="0.45">
      <c r="A29" s="20" t="s">
        <v>70</v>
      </c>
      <c r="B29" s="121"/>
      <c r="C29" s="115">
        <v>20410.764999999999</v>
      </c>
      <c r="D29" s="115">
        <v>20285.861999999997</v>
      </c>
      <c r="E29" s="115">
        <v>20161.315000000002</v>
      </c>
      <c r="F29" s="115">
        <v>20873.284</v>
      </c>
      <c r="G29" s="115"/>
      <c r="H29" s="115">
        <v>25645.079999999994</v>
      </c>
      <c r="I29" s="115">
        <v>24197.758000000002</v>
      </c>
      <c r="J29" s="115">
        <v>23391.682999999997</v>
      </c>
      <c r="K29" s="115">
        <v>24477.472999999998</v>
      </c>
      <c r="L29" s="115"/>
      <c r="M29" s="115">
        <v>25674.16</v>
      </c>
      <c r="N29" s="115">
        <v>26519.450999999997</v>
      </c>
      <c r="O29" s="115">
        <v>27200.411999999997</v>
      </c>
      <c r="P29" s="115">
        <v>27734.698</v>
      </c>
      <c r="Q29" s="115"/>
      <c r="R29" s="115">
        <v>29917.481</v>
      </c>
      <c r="S29" s="115">
        <v>29061.190000000002</v>
      </c>
      <c r="T29" s="115">
        <v>29177.445000000003</v>
      </c>
      <c r="U29" s="115">
        <v>27830.654999999999</v>
      </c>
      <c r="V29" s="124"/>
      <c r="W29" s="50"/>
      <c r="X29" s="62"/>
      <c r="Y29" s="73" t="s">
        <v>71</v>
      </c>
    </row>
    <row r="30" spans="1:25" s="18" customFormat="1" ht="17.25" x14ac:dyDescent="0.4">
      <c r="A30" s="22" t="s">
        <v>72</v>
      </c>
      <c r="B30" s="120"/>
      <c r="C30" s="116">
        <v>16311.912</v>
      </c>
      <c r="D30" s="116">
        <v>16190.972999999998</v>
      </c>
      <c r="E30" s="116">
        <v>15810.918000000001</v>
      </c>
      <c r="F30" s="116">
        <v>16684.201000000001</v>
      </c>
      <c r="G30" s="116"/>
      <c r="H30" s="116">
        <v>20635.572999999997</v>
      </c>
      <c r="I30" s="116">
        <v>19540.894</v>
      </c>
      <c r="J30" s="116">
        <v>18630.580999999998</v>
      </c>
      <c r="K30" s="116">
        <v>19410.036</v>
      </c>
      <c r="L30" s="116"/>
      <c r="M30" s="116">
        <v>20674.548999999999</v>
      </c>
      <c r="N30" s="116">
        <v>21465.87</v>
      </c>
      <c r="O30" s="116">
        <v>22164.684999999998</v>
      </c>
      <c r="P30" s="116">
        <v>22870.678</v>
      </c>
      <c r="Q30" s="116"/>
      <c r="R30" s="116">
        <v>24036.154999999999</v>
      </c>
      <c r="S30" s="116">
        <v>23030.773000000001</v>
      </c>
      <c r="T30" s="116">
        <v>23093.137000000002</v>
      </c>
      <c r="U30" s="116">
        <v>22009.790999999997</v>
      </c>
      <c r="V30" s="124"/>
      <c r="W30" s="50"/>
      <c r="X30" s="70" t="s">
        <v>13</v>
      </c>
      <c r="Y30" s="73"/>
    </row>
    <row r="31" spans="1:25" s="18" customFormat="1" ht="17.25" x14ac:dyDescent="0.45">
      <c r="A31" s="22" t="s">
        <v>73</v>
      </c>
      <c r="B31" s="120"/>
      <c r="C31" s="116">
        <v>7082.4269999999997</v>
      </c>
      <c r="D31" s="116">
        <v>7738.4879999999994</v>
      </c>
      <c r="E31" s="116">
        <v>7629.8229999999994</v>
      </c>
      <c r="F31" s="116">
        <v>7612.3960000000006</v>
      </c>
      <c r="G31" s="116"/>
      <c r="H31" s="116">
        <v>8116.3639999999996</v>
      </c>
      <c r="I31" s="116">
        <v>9105.3629999999994</v>
      </c>
      <c r="J31" s="116">
        <v>8471.15</v>
      </c>
      <c r="K31" s="116">
        <v>8512.9419999999991</v>
      </c>
      <c r="L31" s="116"/>
      <c r="M31" s="116">
        <v>9217.6850000000013</v>
      </c>
      <c r="N31" s="116">
        <v>10008.632</v>
      </c>
      <c r="O31" s="116">
        <v>10001.504000000001</v>
      </c>
      <c r="P31" s="116">
        <v>10580.657999999999</v>
      </c>
      <c r="Q31" s="116"/>
      <c r="R31" s="116">
        <v>11176.134</v>
      </c>
      <c r="S31" s="116">
        <v>11116.458000000001</v>
      </c>
      <c r="T31" s="116">
        <v>11330.956</v>
      </c>
      <c r="U31" s="116">
        <v>10772.440999999999</v>
      </c>
      <c r="V31" s="124"/>
      <c r="W31" s="78" t="s">
        <v>14</v>
      </c>
      <c r="X31" s="62"/>
      <c r="Y31" s="73"/>
    </row>
    <row r="32" spans="1:25" s="18" customFormat="1" ht="17.25" x14ac:dyDescent="0.45">
      <c r="A32" s="22" t="s">
        <v>74</v>
      </c>
      <c r="B32" s="120"/>
      <c r="C32" s="116">
        <v>9229.4850000000006</v>
      </c>
      <c r="D32" s="116">
        <v>8452.4849999999988</v>
      </c>
      <c r="E32" s="116">
        <v>8181.0950000000012</v>
      </c>
      <c r="F32" s="116">
        <v>9071.8050000000003</v>
      </c>
      <c r="G32" s="116"/>
      <c r="H32" s="116">
        <v>12519.208999999999</v>
      </c>
      <c r="I32" s="116">
        <v>10435.530999999999</v>
      </c>
      <c r="J32" s="116">
        <v>10159.430999999999</v>
      </c>
      <c r="K32" s="116">
        <v>10897.094000000001</v>
      </c>
      <c r="L32" s="116"/>
      <c r="M32" s="116">
        <v>11456.864</v>
      </c>
      <c r="N32" s="116">
        <v>11457.237999999999</v>
      </c>
      <c r="O32" s="116">
        <v>12163.180999999999</v>
      </c>
      <c r="P32" s="116">
        <v>12290.019999999999</v>
      </c>
      <c r="Q32" s="116"/>
      <c r="R32" s="116">
        <v>12860.021000000001</v>
      </c>
      <c r="S32" s="116">
        <v>11914.315000000001</v>
      </c>
      <c r="T32" s="116">
        <v>11762.181</v>
      </c>
      <c r="U32" s="116">
        <v>11237.35</v>
      </c>
      <c r="V32" s="124"/>
      <c r="W32" s="78" t="s">
        <v>15</v>
      </c>
      <c r="X32" s="62"/>
      <c r="Y32" s="73"/>
    </row>
    <row r="33" spans="1:26" s="18" customFormat="1" ht="17.25" x14ac:dyDescent="0.45">
      <c r="A33" s="22" t="s">
        <v>75</v>
      </c>
      <c r="B33" s="120"/>
      <c r="C33" s="116">
        <v>4098.8530000000001</v>
      </c>
      <c r="D33" s="116">
        <v>4094.8890000000001</v>
      </c>
      <c r="E33" s="116">
        <v>4350.3969999999999</v>
      </c>
      <c r="F33" s="116">
        <v>4189.0830000000005</v>
      </c>
      <c r="G33" s="116"/>
      <c r="H33" s="116">
        <v>5009.5069999999996</v>
      </c>
      <c r="I33" s="116">
        <v>4656.8639999999996</v>
      </c>
      <c r="J33" s="116">
        <v>4761.1020000000008</v>
      </c>
      <c r="K33" s="116">
        <v>5067.4369999999999</v>
      </c>
      <c r="L33" s="116"/>
      <c r="M33" s="116">
        <v>4999.6109999999999</v>
      </c>
      <c r="N33" s="116">
        <v>5053.5809999999992</v>
      </c>
      <c r="O33" s="116">
        <v>5035.7269999999999</v>
      </c>
      <c r="P33" s="116">
        <v>4864.0200000000004</v>
      </c>
      <c r="Q33" s="116"/>
      <c r="R33" s="116">
        <v>5881.3259999999991</v>
      </c>
      <c r="S33" s="116">
        <v>6030.4169999999995</v>
      </c>
      <c r="T33" s="116">
        <v>6084.3080000000009</v>
      </c>
      <c r="U33" s="116">
        <v>5820.8639999999996</v>
      </c>
      <c r="V33" s="124"/>
      <c r="W33" s="50"/>
      <c r="X33" s="62" t="s">
        <v>76</v>
      </c>
      <c r="Y33" s="73"/>
    </row>
    <row r="34" spans="1:26" s="18" customFormat="1" ht="17.25" x14ac:dyDescent="0.45">
      <c r="A34" s="22" t="s">
        <v>73</v>
      </c>
      <c r="B34" s="120"/>
      <c r="C34" s="116">
        <v>1646.1219999999998</v>
      </c>
      <c r="D34" s="116">
        <v>1459.2279999999998</v>
      </c>
      <c r="E34" s="116">
        <v>1473.806</v>
      </c>
      <c r="F34" s="116">
        <v>1384.1349999999998</v>
      </c>
      <c r="G34" s="116"/>
      <c r="H34" s="116">
        <v>1724.1279999999999</v>
      </c>
      <c r="I34" s="116">
        <v>1280.5999999999999</v>
      </c>
      <c r="J34" s="116">
        <v>1430.684</v>
      </c>
      <c r="K34" s="116">
        <v>1360.652</v>
      </c>
      <c r="L34" s="116"/>
      <c r="M34" s="116">
        <v>1573.165</v>
      </c>
      <c r="N34" s="116">
        <v>1572.329</v>
      </c>
      <c r="O34" s="116">
        <v>1650.6080000000002</v>
      </c>
      <c r="P34" s="116">
        <v>1710.2339999999999</v>
      </c>
      <c r="Q34" s="116"/>
      <c r="R34" s="116">
        <v>1851.2109999999998</v>
      </c>
      <c r="S34" s="116">
        <v>2021.384</v>
      </c>
      <c r="T34" s="116">
        <v>1971.104</v>
      </c>
      <c r="U34" s="116">
        <v>2281.6149999999998</v>
      </c>
      <c r="V34" s="124"/>
      <c r="W34" s="78" t="s">
        <v>14</v>
      </c>
      <c r="X34" s="62"/>
      <c r="Y34" s="73"/>
    </row>
    <row r="35" spans="1:26" s="18" customFormat="1" ht="17.25" x14ac:dyDescent="0.45">
      <c r="A35" s="22" t="s">
        <v>74</v>
      </c>
      <c r="B35" s="120"/>
      <c r="C35" s="116">
        <v>2452.7310000000002</v>
      </c>
      <c r="D35" s="116">
        <v>2635.6610000000001</v>
      </c>
      <c r="E35" s="116">
        <v>2876.5909999999999</v>
      </c>
      <c r="F35" s="116">
        <v>2804.9480000000003</v>
      </c>
      <c r="G35" s="116"/>
      <c r="H35" s="116">
        <v>3285.3789999999999</v>
      </c>
      <c r="I35" s="116">
        <v>3376.2640000000001</v>
      </c>
      <c r="J35" s="116">
        <v>3330.4180000000006</v>
      </c>
      <c r="K35" s="116">
        <v>3706.7849999999999</v>
      </c>
      <c r="L35" s="116"/>
      <c r="M35" s="116">
        <v>3426.4459999999999</v>
      </c>
      <c r="N35" s="116">
        <v>3481.2519999999995</v>
      </c>
      <c r="O35" s="116">
        <v>3385.1189999999997</v>
      </c>
      <c r="P35" s="116">
        <v>3153.7860000000001</v>
      </c>
      <c r="Q35" s="116"/>
      <c r="R35" s="116">
        <v>4030.1149999999998</v>
      </c>
      <c r="S35" s="116">
        <v>4009.0329999999999</v>
      </c>
      <c r="T35" s="116">
        <v>4113.2040000000006</v>
      </c>
      <c r="U35" s="116">
        <v>3539.2490000000003</v>
      </c>
      <c r="V35" s="124"/>
      <c r="W35" s="78" t="s">
        <v>15</v>
      </c>
      <c r="X35" s="62"/>
      <c r="Y35" s="73"/>
    </row>
    <row r="36" spans="1:26" s="18" customFormat="1" ht="17.25" x14ac:dyDescent="0.45">
      <c r="A36" s="20" t="s">
        <v>77</v>
      </c>
      <c r="B36" s="122"/>
      <c r="C36" s="135">
        <v>1983.068</v>
      </c>
      <c r="D36" s="135">
        <v>1765.614</v>
      </c>
      <c r="E36" s="135">
        <v>1650.7840000000001</v>
      </c>
      <c r="F36" s="135">
        <v>1794.5300000000002</v>
      </c>
      <c r="G36" s="135"/>
      <c r="H36" s="135">
        <v>2382.2600000000002</v>
      </c>
      <c r="I36" s="135">
        <v>2485.3879999999999</v>
      </c>
      <c r="J36" s="135">
        <v>2160.953</v>
      </c>
      <c r="K36" s="135">
        <v>2024.0080000000003</v>
      </c>
      <c r="L36" s="135"/>
      <c r="M36" s="135">
        <v>2459.4779999999996</v>
      </c>
      <c r="N36" s="135">
        <v>2324.2719999999999</v>
      </c>
      <c r="O36" s="135">
        <v>1851.1750000000002</v>
      </c>
      <c r="P36" s="135">
        <v>1933.4349999999999</v>
      </c>
      <c r="Q36" s="135"/>
      <c r="R36" s="135">
        <v>2101.8789999999999</v>
      </c>
      <c r="S36" s="135">
        <v>1812.6979999999999</v>
      </c>
      <c r="T36" s="135">
        <v>1857.7820000000002</v>
      </c>
      <c r="U36" s="135">
        <v>1961.2100000000005</v>
      </c>
      <c r="V36" s="131"/>
      <c r="W36" s="17"/>
      <c r="X36" s="58"/>
      <c r="Y36" s="52" t="s">
        <v>12</v>
      </c>
    </row>
    <row r="37" spans="1:26" s="18" customFormat="1" ht="17.25" x14ac:dyDescent="0.45">
      <c r="A37" s="20" t="s">
        <v>78</v>
      </c>
      <c r="B37" s="122"/>
      <c r="C37" s="135">
        <v>0</v>
      </c>
      <c r="D37" s="135">
        <v>0</v>
      </c>
      <c r="E37" s="135">
        <v>0</v>
      </c>
      <c r="F37" s="135">
        <v>0</v>
      </c>
      <c r="G37" s="135"/>
      <c r="H37" s="135">
        <v>0</v>
      </c>
      <c r="I37" s="135">
        <v>0</v>
      </c>
      <c r="J37" s="135">
        <v>0</v>
      </c>
      <c r="K37" s="135">
        <v>0</v>
      </c>
      <c r="L37" s="135"/>
      <c r="M37" s="135">
        <v>0</v>
      </c>
      <c r="N37" s="135">
        <v>0</v>
      </c>
      <c r="O37" s="135">
        <v>0</v>
      </c>
      <c r="P37" s="135">
        <v>0</v>
      </c>
      <c r="Q37" s="135"/>
      <c r="R37" s="135">
        <v>0</v>
      </c>
      <c r="S37" s="135">
        <v>0</v>
      </c>
      <c r="T37" s="135">
        <v>0</v>
      </c>
      <c r="U37" s="135">
        <v>0</v>
      </c>
      <c r="V37" s="131"/>
      <c r="W37" s="17"/>
      <c r="X37" s="58"/>
      <c r="Y37" s="66" t="s">
        <v>79</v>
      </c>
    </row>
    <row r="38" spans="1:26" s="18" customFormat="1" ht="17.25" x14ac:dyDescent="0.45">
      <c r="A38" s="20" t="s">
        <v>39</v>
      </c>
      <c r="B38" s="118"/>
      <c r="C38" s="113">
        <v>0</v>
      </c>
      <c r="D38" s="113">
        <v>0</v>
      </c>
      <c r="E38" s="113">
        <v>0</v>
      </c>
      <c r="F38" s="113">
        <v>0</v>
      </c>
      <c r="G38" s="113"/>
      <c r="H38" s="113">
        <v>0</v>
      </c>
      <c r="I38" s="113">
        <v>0</v>
      </c>
      <c r="J38" s="113">
        <v>0</v>
      </c>
      <c r="K38" s="113">
        <v>0</v>
      </c>
      <c r="L38" s="113"/>
      <c r="M38" s="113">
        <v>0</v>
      </c>
      <c r="N38" s="113">
        <v>0</v>
      </c>
      <c r="O38" s="113">
        <v>0</v>
      </c>
      <c r="P38" s="113">
        <v>0</v>
      </c>
      <c r="Q38" s="113"/>
      <c r="R38" s="113">
        <v>0</v>
      </c>
      <c r="S38" s="113">
        <v>0</v>
      </c>
      <c r="T38" s="113">
        <v>0</v>
      </c>
      <c r="U38" s="113">
        <v>0</v>
      </c>
      <c r="V38" s="132"/>
      <c r="W38" s="79"/>
      <c r="X38" s="80"/>
      <c r="Y38" s="59" t="s">
        <v>51</v>
      </c>
    </row>
    <row r="39" spans="1:26" s="18" customFormat="1" ht="17.25" x14ac:dyDescent="0.45">
      <c r="A39" s="20" t="s">
        <v>16</v>
      </c>
      <c r="B39" s="118"/>
      <c r="C39" s="113">
        <v>0</v>
      </c>
      <c r="D39" s="113">
        <v>0</v>
      </c>
      <c r="E39" s="113">
        <v>0</v>
      </c>
      <c r="F39" s="113">
        <v>0</v>
      </c>
      <c r="G39" s="113"/>
      <c r="H39" s="113">
        <v>0</v>
      </c>
      <c r="I39" s="113">
        <v>0</v>
      </c>
      <c r="J39" s="113">
        <v>0</v>
      </c>
      <c r="K39" s="113">
        <v>0</v>
      </c>
      <c r="L39" s="113"/>
      <c r="M39" s="113">
        <v>0</v>
      </c>
      <c r="N39" s="113">
        <v>0</v>
      </c>
      <c r="O39" s="113">
        <v>0</v>
      </c>
      <c r="P39" s="113">
        <v>0</v>
      </c>
      <c r="Q39" s="113"/>
      <c r="R39" s="113">
        <v>0</v>
      </c>
      <c r="S39" s="113">
        <v>0</v>
      </c>
      <c r="T39" s="113">
        <v>0</v>
      </c>
      <c r="U39" s="113">
        <v>0</v>
      </c>
      <c r="V39" s="132"/>
      <c r="W39" s="79"/>
      <c r="X39" s="80"/>
      <c r="Y39" s="59" t="s">
        <v>17</v>
      </c>
    </row>
    <row r="40" spans="1:26" s="15" customFormat="1" ht="17.25" x14ac:dyDescent="0.45">
      <c r="A40" s="20" t="s">
        <v>42</v>
      </c>
      <c r="B40" s="123"/>
      <c r="C40" s="136">
        <v>3925.9740000000056</v>
      </c>
      <c r="D40" s="136">
        <v>4236.7119999999995</v>
      </c>
      <c r="E40" s="136">
        <v>3877.1580000000067</v>
      </c>
      <c r="F40" s="136">
        <v>3924.5840000000062</v>
      </c>
      <c r="G40" s="136"/>
      <c r="H40" s="136">
        <v>4675.2869999999966</v>
      </c>
      <c r="I40" s="136">
        <v>4374.5789999999979</v>
      </c>
      <c r="J40" s="136">
        <v>4993.0740000000005</v>
      </c>
      <c r="K40" s="136">
        <v>4965.541999999994</v>
      </c>
      <c r="L40" s="136"/>
      <c r="M40" s="136">
        <v>4098.1840000000011</v>
      </c>
      <c r="N40" s="136">
        <v>3982.1790000000037</v>
      </c>
      <c r="O40" s="136">
        <v>3960.6549999999916</v>
      </c>
      <c r="P40" s="136">
        <v>4017.1099999999933</v>
      </c>
      <c r="Q40" s="136"/>
      <c r="R40" s="136">
        <v>4204.9259999999995</v>
      </c>
      <c r="S40" s="136">
        <v>4275.3580000000002</v>
      </c>
      <c r="T40" s="136">
        <v>4323.8290000000052</v>
      </c>
      <c r="U40" s="136">
        <v>3657.6600000000108</v>
      </c>
      <c r="V40" s="133"/>
      <c r="W40" s="11"/>
      <c r="X40" s="58"/>
      <c r="Y40" s="37" t="s">
        <v>43</v>
      </c>
    </row>
    <row r="41" spans="1:26" s="15" customFormat="1" ht="17.25" x14ac:dyDescent="0.45">
      <c r="A41" s="20" t="s">
        <v>28</v>
      </c>
      <c r="B41" s="123"/>
      <c r="C41" s="136">
        <v>6305.0860000000002</v>
      </c>
      <c r="D41" s="136">
        <v>6557.96</v>
      </c>
      <c r="E41" s="136">
        <v>6974.3550000000005</v>
      </c>
      <c r="F41" s="136">
        <v>7170.1810000000005</v>
      </c>
      <c r="G41" s="136"/>
      <c r="H41" s="136">
        <v>7555.1559999999999</v>
      </c>
      <c r="I41" s="136">
        <v>7802.6839999999993</v>
      </c>
      <c r="J41" s="136">
        <v>8331.0006516733993</v>
      </c>
      <c r="K41" s="136">
        <v>8549.5553296109993</v>
      </c>
      <c r="L41" s="136"/>
      <c r="M41" s="136">
        <v>8927.4</v>
      </c>
      <c r="N41" s="136">
        <v>9035.7790000000005</v>
      </c>
      <c r="O41" s="136">
        <v>9482.4179999999997</v>
      </c>
      <c r="P41" s="136">
        <v>9414.4979999999978</v>
      </c>
      <c r="Q41" s="136"/>
      <c r="R41" s="136">
        <v>9803.8580000000002</v>
      </c>
      <c r="S41" s="136">
        <v>10011.329</v>
      </c>
      <c r="T41" s="136">
        <v>10566.018000000002</v>
      </c>
      <c r="U41" s="136">
        <v>11015.4</v>
      </c>
      <c r="V41" s="133"/>
      <c r="W41" s="11"/>
      <c r="X41" s="58"/>
      <c r="Y41" s="73" t="s">
        <v>18</v>
      </c>
    </row>
    <row r="42" spans="1:26" ht="18" x14ac:dyDescent="0.45">
      <c r="A42" s="81" t="s">
        <v>19</v>
      </c>
      <c r="B42" s="7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7"/>
      <c r="W42" s="17"/>
      <c r="X42" s="58"/>
      <c r="Y42" s="52" t="s">
        <v>20</v>
      </c>
      <c r="Z42" s="18"/>
    </row>
    <row r="43" spans="1:26" ht="18" x14ac:dyDescent="0.45">
      <c r="A43" s="20" t="s">
        <v>32</v>
      </c>
      <c r="B43" s="82"/>
      <c r="C43" s="83">
        <v>110.42768014933704</v>
      </c>
      <c r="D43" s="83">
        <v>122.51591427031813</v>
      </c>
      <c r="E43" s="83">
        <v>73.761678471643094</v>
      </c>
      <c r="F43" s="83">
        <v>76.092741846873707</v>
      </c>
      <c r="G43" s="82"/>
      <c r="H43" s="83">
        <v>66.799224874194323</v>
      </c>
      <c r="I43" s="83">
        <v>68.004337993555623</v>
      </c>
      <c r="J43" s="83">
        <v>25.96859395337674</v>
      </c>
      <c r="K43" s="83">
        <v>-2.5341585757951646</v>
      </c>
      <c r="L43" s="82"/>
      <c r="M43" s="83">
        <v>-29.031625256775463</v>
      </c>
      <c r="N43" s="83">
        <v>-11.858578860849445</v>
      </c>
      <c r="O43" s="83">
        <v>4.185393091622136</v>
      </c>
      <c r="P43" s="83">
        <v>11.278407154505899</v>
      </c>
      <c r="Q43" s="83"/>
      <c r="R43" s="83">
        <f>(R9/M9-1)*100</f>
        <v>7.7035992501354178</v>
      </c>
      <c r="S43" s="83">
        <f t="shared" ref="S43:U43" si="0">(S9/N9-1)*100</f>
        <v>-3.801982443194063</v>
      </c>
      <c r="T43" s="83">
        <f t="shared" si="0"/>
        <v>13.510234081049832</v>
      </c>
      <c r="U43" s="83">
        <f t="shared" si="0"/>
        <v>-13.156058782053215</v>
      </c>
      <c r="V43" s="17"/>
      <c r="W43" s="17"/>
      <c r="X43" s="58"/>
      <c r="Y43" s="52" t="s">
        <v>46</v>
      </c>
      <c r="Z43" s="18"/>
    </row>
    <row r="44" spans="1:26" ht="18" x14ac:dyDescent="0.45">
      <c r="A44" s="20" t="s">
        <v>40</v>
      </c>
      <c r="B44" s="82"/>
      <c r="C44" s="83">
        <v>-72.15304481330341</v>
      </c>
      <c r="D44" s="83">
        <v>-66.067535794466423</v>
      </c>
      <c r="E44" s="83">
        <v>-70.82788455243336</v>
      </c>
      <c r="F44" s="83">
        <v>-26.696934334233234</v>
      </c>
      <c r="G44" s="82"/>
      <c r="H44" s="83">
        <v>-2.6791943073859348</v>
      </c>
      <c r="I44" s="83">
        <v>-37.566384185209415</v>
      </c>
      <c r="J44" s="83">
        <v>11.51158374477783</v>
      </c>
      <c r="K44" s="83">
        <v>-3.7194744338285401</v>
      </c>
      <c r="L44" s="82"/>
      <c r="M44" s="83">
        <v>1.9915913724135592</v>
      </c>
      <c r="N44" s="83">
        <v>70.057403977359115</v>
      </c>
      <c r="O44" s="83">
        <v>-10.813664384728039</v>
      </c>
      <c r="P44" s="83">
        <v>-3.6048605204641593</v>
      </c>
      <c r="Q44" s="83"/>
      <c r="R44" s="83">
        <f>(R28/M28-1)*100</f>
        <v>23.453183935390577</v>
      </c>
      <c r="S44" s="83">
        <f t="shared" ref="S44:U44" si="1">(S28/N28-1)*100</f>
        <v>66.108885778996807</v>
      </c>
      <c r="T44" s="83">
        <f t="shared" si="1"/>
        <v>93.928863213977394</v>
      </c>
      <c r="U44" s="83">
        <f t="shared" si="1"/>
        <v>82.04654312201842</v>
      </c>
      <c r="V44" s="17"/>
      <c r="W44" s="17"/>
      <c r="X44" s="58"/>
      <c r="Y44" s="37" t="s">
        <v>41</v>
      </c>
      <c r="Z44" s="18"/>
    </row>
    <row r="45" spans="1:26" ht="18" x14ac:dyDescent="0.45">
      <c r="A45" s="20" t="s">
        <v>58</v>
      </c>
      <c r="B45" s="82"/>
      <c r="C45" s="83">
        <v>-2.19359698504622</v>
      </c>
      <c r="D45" s="83">
        <v>-1.6750982896530098</v>
      </c>
      <c r="E45" s="83">
        <v>4.5737204359917349</v>
      </c>
      <c r="F45" s="83">
        <v>6.4686615405572967</v>
      </c>
      <c r="G45" s="82"/>
      <c r="H45" s="83">
        <v>3.0449520531503849</v>
      </c>
      <c r="I45" s="83">
        <v>-4.7654314895420491</v>
      </c>
      <c r="J45" s="83">
        <v>-1.9759569006803201</v>
      </c>
      <c r="K45" s="83">
        <v>-5.1654614128161409</v>
      </c>
      <c r="L45" s="82"/>
      <c r="M45" s="83">
        <v>-8.5004472150938977</v>
      </c>
      <c r="N45" s="83">
        <v>-0.58010557493520798</v>
      </c>
      <c r="O45" s="83">
        <v>-0.23630115433606047</v>
      </c>
      <c r="P45" s="83">
        <v>8.2553887052225114</v>
      </c>
      <c r="Q45" s="83"/>
      <c r="R45" s="83">
        <f>(R17/M17-1)*100</f>
        <v>11.520798171532709</v>
      </c>
      <c r="S45" s="83">
        <f t="shared" ref="S45:U45" si="2">(S17/N17-1)*100</f>
        <v>16.068106770024393</v>
      </c>
      <c r="T45" s="83">
        <f t="shared" si="2"/>
        <v>12.395232014025414</v>
      </c>
      <c r="U45" s="83">
        <f t="shared" si="2"/>
        <v>10.469581190036559</v>
      </c>
      <c r="V45" s="17"/>
      <c r="W45" s="17"/>
      <c r="X45" s="58"/>
      <c r="Y45" s="66" t="s">
        <v>59</v>
      </c>
      <c r="Z45" s="18"/>
    </row>
    <row r="46" spans="1:26" x14ac:dyDescent="0.5">
      <c r="A46" s="84" t="s">
        <v>87</v>
      </c>
      <c r="B46" s="85"/>
      <c r="C46" s="86">
        <v>-4.4350495639658867</v>
      </c>
      <c r="D46" s="86">
        <v>-1.0166997527661925</v>
      </c>
      <c r="E46" s="86">
        <v>0.40784473187487347</v>
      </c>
      <c r="F46" s="86">
        <v>0.90922716070687137</v>
      </c>
      <c r="G46" s="85"/>
      <c r="H46" s="86">
        <v>-2.9603232144161606</v>
      </c>
      <c r="I46" s="86">
        <v>-0.85606197780946358</v>
      </c>
      <c r="J46" s="86">
        <v>4.2102603090934165</v>
      </c>
      <c r="K46" s="86">
        <v>3.1434337894474806</v>
      </c>
      <c r="L46" s="85"/>
      <c r="M46" s="86">
        <v>1.5247298189351222</v>
      </c>
      <c r="N46" s="86">
        <v>0.79229611785034404</v>
      </c>
      <c r="O46" s="86">
        <v>3.0338756283013746</v>
      </c>
      <c r="P46" s="86">
        <v>12.616197995811751</v>
      </c>
      <c r="Q46" s="86"/>
      <c r="R46" s="86">
        <f>(R22/M22-1)*100</f>
        <v>16.426976425781127</v>
      </c>
      <c r="S46" s="86">
        <f t="shared" ref="S46:U46" si="3">(S22/N22-1)*100</f>
        <v>20.056181099252512</v>
      </c>
      <c r="T46" s="86">
        <f t="shared" si="3"/>
        <v>14.685888802906488</v>
      </c>
      <c r="U46" s="86">
        <f t="shared" si="3"/>
        <v>10.555217600855293</v>
      </c>
      <c r="V46" s="87"/>
      <c r="W46" s="87"/>
      <c r="X46" s="88"/>
      <c r="Y46" s="89" t="s">
        <v>21</v>
      </c>
      <c r="Z46" s="18"/>
    </row>
    <row r="47" spans="1:26" x14ac:dyDescent="0.5">
      <c r="A47" s="90" t="s">
        <v>22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140"/>
      <c r="N47" s="140"/>
      <c r="O47" s="140"/>
      <c r="P47" s="140"/>
      <c r="Q47" s="140"/>
      <c r="R47" s="140"/>
      <c r="S47" s="140"/>
      <c r="T47" s="140"/>
      <c r="U47" s="140"/>
      <c r="V47" s="23"/>
      <c r="W47" s="23"/>
      <c r="X47" s="92"/>
      <c r="Y47" s="93" t="s">
        <v>23</v>
      </c>
      <c r="Z47" s="18"/>
    </row>
    <row r="48" spans="1:26" ht="18" x14ac:dyDescent="0.45">
      <c r="A48" s="20" t="s">
        <v>70</v>
      </c>
      <c r="B48" s="16"/>
      <c r="C48" s="16">
        <v>20410.764999999999</v>
      </c>
      <c r="D48" s="16">
        <v>20285.861999999997</v>
      </c>
      <c r="E48" s="16">
        <v>20161.315000000002</v>
      </c>
      <c r="F48" s="16">
        <v>20873.284</v>
      </c>
      <c r="G48" s="16"/>
      <c r="H48" s="16">
        <v>25645.079999999994</v>
      </c>
      <c r="I48" s="16">
        <v>24197.758000000002</v>
      </c>
      <c r="J48" s="16">
        <v>23391.682999999997</v>
      </c>
      <c r="K48" s="16">
        <v>24477.472999999998</v>
      </c>
      <c r="L48" s="122"/>
      <c r="M48" s="135">
        <v>25674.16</v>
      </c>
      <c r="N48" s="135">
        <v>26519.450999999997</v>
      </c>
      <c r="O48" s="135">
        <v>27200.411999999997</v>
      </c>
      <c r="P48" s="135">
        <v>28095.438999999998</v>
      </c>
      <c r="Q48" s="135"/>
      <c r="R48" s="135">
        <f>R29</f>
        <v>29917.481</v>
      </c>
      <c r="S48" s="135">
        <f t="shared" ref="S48:U48" si="4">S29</f>
        <v>29061.190000000002</v>
      </c>
      <c r="T48" s="135">
        <f t="shared" si="4"/>
        <v>29177.445000000003</v>
      </c>
      <c r="U48" s="135">
        <f t="shared" si="4"/>
        <v>27830.654999999999</v>
      </c>
      <c r="V48" s="131"/>
      <c r="W48" s="17"/>
      <c r="X48" s="58"/>
      <c r="Y48" s="66" t="s">
        <v>71</v>
      </c>
      <c r="Z48" s="18"/>
    </row>
    <row r="49" spans="1:33" ht="18" x14ac:dyDescent="0.45">
      <c r="A49" s="77" t="s">
        <v>80</v>
      </c>
      <c r="B49" s="94"/>
      <c r="C49" s="94">
        <v>8728.5489999999991</v>
      </c>
      <c r="D49" s="94">
        <v>9197.7159999999985</v>
      </c>
      <c r="E49" s="94">
        <v>9103.628999999999</v>
      </c>
      <c r="F49" s="94">
        <v>8996.5310000000009</v>
      </c>
      <c r="G49" s="94"/>
      <c r="H49" s="94">
        <v>9840.4920000000002</v>
      </c>
      <c r="I49" s="94">
        <v>10385.963</v>
      </c>
      <c r="J49" s="94">
        <v>9901.8339999999989</v>
      </c>
      <c r="K49" s="94">
        <v>9873.5939999999991</v>
      </c>
      <c r="L49" s="137"/>
      <c r="M49" s="146">
        <v>10790.850000000002</v>
      </c>
      <c r="N49" s="146">
        <v>11580.960999999999</v>
      </c>
      <c r="O49" s="146">
        <v>11652.112000000001</v>
      </c>
      <c r="P49" s="146">
        <v>12273.964</v>
      </c>
      <c r="Q49" s="146"/>
      <c r="R49" s="146">
        <f>R31+R34</f>
        <v>13027.344999999999</v>
      </c>
      <c r="S49" s="146">
        <f t="shared" ref="S49:U49" si="5">S31+S34</f>
        <v>13137.842000000001</v>
      </c>
      <c r="T49" s="146">
        <f t="shared" si="5"/>
        <v>13302.06</v>
      </c>
      <c r="U49" s="146">
        <f t="shared" si="5"/>
        <v>13054.055999999999</v>
      </c>
      <c r="V49" s="131"/>
      <c r="W49" s="17"/>
      <c r="X49" s="95" t="s">
        <v>14</v>
      </c>
      <c r="Y49" s="58"/>
      <c r="Z49" s="18"/>
    </row>
    <row r="50" spans="1:33" ht="18" x14ac:dyDescent="0.45">
      <c r="A50" s="84" t="s">
        <v>88</v>
      </c>
      <c r="B50" s="96"/>
      <c r="C50" s="96">
        <v>11682.216</v>
      </c>
      <c r="D50" s="96">
        <v>11088.145999999999</v>
      </c>
      <c r="E50" s="96">
        <v>11057.686000000002</v>
      </c>
      <c r="F50" s="96">
        <v>11876.753000000001</v>
      </c>
      <c r="G50" s="96"/>
      <c r="H50" s="96">
        <v>15804.588</v>
      </c>
      <c r="I50" s="96">
        <v>13811.794999999998</v>
      </c>
      <c r="J50" s="96">
        <v>13489.848999999998</v>
      </c>
      <c r="K50" s="96">
        <v>14603.879000000001</v>
      </c>
      <c r="L50" s="138"/>
      <c r="M50" s="117">
        <v>14883.31</v>
      </c>
      <c r="N50" s="117">
        <v>14938.489999999998</v>
      </c>
      <c r="O50" s="117">
        <v>15548.3</v>
      </c>
      <c r="P50" s="117">
        <v>15821.474999999999</v>
      </c>
      <c r="Q50" s="117"/>
      <c r="R50" s="117">
        <f>R32+R35</f>
        <v>16890.135999999999</v>
      </c>
      <c r="S50" s="117">
        <f t="shared" ref="S50:U50" si="6">S32+S35</f>
        <v>15923.348</v>
      </c>
      <c r="T50" s="117">
        <f t="shared" si="6"/>
        <v>15875.385000000002</v>
      </c>
      <c r="U50" s="117">
        <f t="shared" si="6"/>
        <v>14776.599</v>
      </c>
      <c r="V50" s="139"/>
      <c r="W50" s="97"/>
      <c r="X50" s="98" t="s">
        <v>15</v>
      </c>
      <c r="Y50" s="99"/>
      <c r="Z50" s="100"/>
    </row>
    <row r="51" spans="1:33" s="103" customFormat="1" ht="17.25" x14ac:dyDescent="0.4">
      <c r="A51" s="5" t="s">
        <v>86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0"/>
      <c r="W51" s="10"/>
      <c r="X51" s="101"/>
      <c r="Y51" s="6" t="s">
        <v>85</v>
      </c>
      <c r="Z51" s="102"/>
    </row>
    <row r="52" spans="1:33" s="151" customFormat="1" ht="15" customHeight="1" x14ac:dyDescent="0.4">
      <c r="A52" s="147" t="s">
        <v>93</v>
      </c>
      <c r="B52" s="148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56" t="s">
        <v>92</v>
      </c>
      <c r="W52" s="156"/>
      <c r="X52" s="156"/>
      <c r="Y52" s="156"/>
      <c r="Z52" s="150" t="s">
        <v>44</v>
      </c>
    </row>
    <row r="53" spans="1:33" ht="13.5" customHeight="1" x14ac:dyDescent="0.4">
      <c r="A53" s="7" t="s">
        <v>81</v>
      </c>
      <c r="B53" s="9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5" t="s">
        <v>82</v>
      </c>
      <c r="Z53" s="17" t="s">
        <v>83</v>
      </c>
    </row>
    <row r="54" spans="1:33" ht="16.5" customHeight="1" x14ac:dyDescent="0.25">
      <c r="A54" s="7" t="s">
        <v>84</v>
      </c>
      <c r="B54" s="49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152" t="s">
        <v>24</v>
      </c>
      <c r="Z54" s="106"/>
      <c r="AA54" s="106"/>
      <c r="AB54" s="106"/>
      <c r="AC54" s="106"/>
      <c r="AD54" s="106"/>
      <c r="AE54" s="106"/>
      <c r="AF54" s="106"/>
      <c r="AG54" s="107"/>
    </row>
    <row r="55" spans="1:33" ht="18" x14ac:dyDescent="0.45">
      <c r="A55" s="7" t="s">
        <v>25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54"/>
      <c r="Y55" s="72" t="s">
        <v>45</v>
      </c>
      <c r="Z55" s="18"/>
    </row>
    <row r="56" spans="1:33" ht="18" x14ac:dyDescent="0.4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54"/>
      <c r="Y56" s="54"/>
      <c r="Z56" s="18"/>
    </row>
    <row r="57" spans="1:33" ht="18" x14ac:dyDescent="0.45">
      <c r="B57" s="1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8"/>
      <c r="W57" s="18"/>
      <c r="X57" s="54"/>
      <c r="Y57" s="54"/>
      <c r="Z57" s="18"/>
    </row>
    <row r="58" spans="1:33" ht="18" x14ac:dyDescent="0.45">
      <c r="B58" s="1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8"/>
      <c r="W58" s="18"/>
      <c r="X58" s="54"/>
      <c r="Y58" s="54"/>
      <c r="Z58" s="18"/>
    </row>
    <row r="59" spans="1:33" ht="18" x14ac:dyDescent="0.45">
      <c r="B59" s="18"/>
      <c r="C59" s="108"/>
      <c r="D59" s="108"/>
      <c r="E59" s="108"/>
      <c r="F59" s="108"/>
      <c r="H59" s="108"/>
      <c r="I59" s="108"/>
      <c r="J59" s="108"/>
      <c r="K59" s="108"/>
      <c r="M59" s="108"/>
      <c r="N59" s="108"/>
      <c r="O59" s="108"/>
      <c r="P59" s="108"/>
      <c r="Q59" s="108"/>
      <c r="R59" s="108"/>
      <c r="S59" s="108"/>
      <c r="T59" s="108"/>
      <c r="U59" s="108"/>
      <c r="V59" s="18"/>
      <c r="W59" s="18"/>
      <c r="X59" s="54"/>
      <c r="Y59" s="54"/>
      <c r="Z59" s="18"/>
    </row>
    <row r="60" spans="1:33" ht="18" x14ac:dyDescent="0.45">
      <c r="A60" s="18"/>
      <c r="B60" s="18"/>
      <c r="C60" s="108"/>
      <c r="D60" s="108"/>
      <c r="E60" s="108"/>
      <c r="F60" s="108"/>
      <c r="H60" s="108"/>
      <c r="I60" s="108"/>
      <c r="J60" s="108"/>
      <c r="K60" s="108"/>
      <c r="M60" s="108"/>
      <c r="N60" s="108"/>
      <c r="O60" s="108"/>
      <c r="P60" s="108"/>
      <c r="Q60" s="108"/>
      <c r="R60" s="108"/>
      <c r="S60" s="108"/>
      <c r="T60" s="108"/>
      <c r="U60" s="108"/>
      <c r="V60" s="18"/>
      <c r="W60" s="18"/>
      <c r="X60" s="54"/>
      <c r="Y60" s="54"/>
      <c r="Z60" s="18"/>
    </row>
    <row r="61" spans="1:33" x14ac:dyDescent="0.5">
      <c r="C61" s="108"/>
      <c r="D61" s="108"/>
      <c r="E61" s="108"/>
      <c r="F61" s="108"/>
      <c r="H61" s="108"/>
      <c r="I61" s="108"/>
      <c r="J61" s="108"/>
      <c r="K61" s="108"/>
      <c r="M61" s="108"/>
      <c r="N61" s="108"/>
      <c r="O61" s="108"/>
      <c r="P61" s="108"/>
      <c r="Q61" s="108"/>
      <c r="R61" s="108"/>
      <c r="S61" s="108"/>
      <c r="T61" s="108"/>
      <c r="U61" s="108"/>
    </row>
    <row r="62" spans="1:33" x14ac:dyDescent="0.5">
      <c r="C62" s="108"/>
      <c r="D62" s="108"/>
      <c r="E62" s="108"/>
      <c r="F62" s="108"/>
      <c r="H62" s="108"/>
      <c r="I62" s="108"/>
      <c r="J62" s="108"/>
      <c r="K62" s="108"/>
      <c r="M62" s="108"/>
      <c r="N62" s="108"/>
      <c r="O62" s="108"/>
      <c r="P62" s="108"/>
      <c r="Q62" s="108"/>
      <c r="R62" s="108"/>
      <c r="S62" s="108"/>
      <c r="T62" s="108"/>
      <c r="U62" s="108"/>
    </row>
    <row r="63" spans="1:33" x14ac:dyDescent="0.5">
      <c r="C63" s="108"/>
      <c r="D63" s="108"/>
      <c r="E63" s="108"/>
      <c r="F63" s="108"/>
      <c r="H63" s="108"/>
      <c r="I63" s="108"/>
      <c r="J63" s="108"/>
      <c r="K63" s="108"/>
      <c r="M63" s="108"/>
      <c r="N63" s="108"/>
      <c r="O63" s="108"/>
      <c r="P63" s="108"/>
      <c r="Q63" s="108"/>
      <c r="R63" s="108"/>
      <c r="S63" s="108"/>
      <c r="T63" s="108"/>
      <c r="U63" s="108"/>
    </row>
    <row r="64" spans="1:33" x14ac:dyDescent="0.5">
      <c r="C64" s="108"/>
      <c r="D64" s="108"/>
      <c r="E64" s="108"/>
      <c r="F64" s="108"/>
      <c r="H64" s="108"/>
      <c r="I64" s="108"/>
      <c r="J64" s="108"/>
      <c r="K64" s="108"/>
      <c r="M64" s="108"/>
      <c r="N64" s="108"/>
      <c r="O64" s="108"/>
      <c r="P64" s="108"/>
      <c r="Q64" s="108"/>
      <c r="R64" s="108"/>
      <c r="S64" s="108"/>
      <c r="T64" s="108"/>
      <c r="U64" s="108"/>
    </row>
    <row r="65" spans="3:21" x14ac:dyDescent="0.5">
      <c r="C65" s="108"/>
      <c r="D65" s="108"/>
      <c r="E65" s="108"/>
      <c r="F65" s="108"/>
      <c r="H65" s="108"/>
      <c r="I65" s="108"/>
      <c r="J65" s="108"/>
      <c r="K65" s="108"/>
      <c r="M65" s="108"/>
      <c r="N65" s="108"/>
      <c r="O65" s="108"/>
      <c r="P65" s="108"/>
      <c r="Q65" s="108"/>
      <c r="R65" s="108"/>
      <c r="S65" s="108"/>
      <c r="T65" s="108"/>
      <c r="U65" s="108"/>
    </row>
    <row r="66" spans="3:21" x14ac:dyDescent="0.5">
      <c r="C66" s="108"/>
      <c r="D66" s="108"/>
      <c r="E66" s="108"/>
      <c r="F66" s="108"/>
      <c r="H66" s="108"/>
      <c r="I66" s="108"/>
      <c r="J66" s="108"/>
      <c r="K66" s="108"/>
      <c r="M66" s="108"/>
      <c r="N66" s="108"/>
      <c r="O66" s="108"/>
      <c r="P66" s="108"/>
      <c r="Q66" s="108"/>
      <c r="R66" s="108"/>
      <c r="S66" s="108"/>
      <c r="T66" s="108"/>
      <c r="U66" s="108"/>
    </row>
    <row r="67" spans="3:21" x14ac:dyDescent="0.5">
      <c r="C67" s="108"/>
      <c r="D67" s="108"/>
      <c r="E67" s="108"/>
      <c r="F67" s="108"/>
      <c r="H67" s="108"/>
      <c r="I67" s="108"/>
      <c r="J67" s="108"/>
      <c r="K67" s="108"/>
      <c r="M67" s="108"/>
      <c r="N67" s="108"/>
      <c r="O67" s="108"/>
      <c r="P67" s="108"/>
      <c r="Q67" s="108"/>
      <c r="R67" s="108"/>
      <c r="S67" s="108"/>
      <c r="T67" s="108"/>
      <c r="U67" s="108"/>
    </row>
    <row r="68" spans="3:21" x14ac:dyDescent="0.5">
      <c r="C68" s="108"/>
      <c r="D68" s="108"/>
      <c r="E68" s="108"/>
      <c r="F68" s="108"/>
      <c r="H68" s="108"/>
      <c r="I68" s="108"/>
      <c r="J68" s="108"/>
      <c r="K68" s="108"/>
      <c r="M68" s="108"/>
      <c r="N68" s="108"/>
      <c r="O68" s="108"/>
      <c r="P68" s="108"/>
      <c r="Q68" s="108"/>
      <c r="R68" s="108"/>
      <c r="S68" s="108"/>
      <c r="T68" s="108"/>
      <c r="U68" s="108"/>
    </row>
    <row r="69" spans="3:21" x14ac:dyDescent="0.5">
      <c r="C69" s="108"/>
      <c r="D69" s="108"/>
      <c r="E69" s="108"/>
      <c r="F69" s="108"/>
      <c r="H69" s="108"/>
      <c r="I69" s="108"/>
      <c r="J69" s="108"/>
      <c r="K69" s="108"/>
      <c r="M69" s="108"/>
      <c r="N69" s="108"/>
      <c r="O69" s="108"/>
      <c r="P69" s="108"/>
      <c r="Q69" s="108"/>
      <c r="R69" s="108"/>
      <c r="S69" s="108"/>
      <c r="T69" s="108"/>
      <c r="U69" s="108"/>
    </row>
    <row r="70" spans="3:21" x14ac:dyDescent="0.5">
      <c r="C70" s="108"/>
      <c r="D70" s="108"/>
      <c r="E70" s="108"/>
      <c r="F70" s="108"/>
      <c r="H70" s="108"/>
      <c r="I70" s="108"/>
      <c r="J70" s="108"/>
      <c r="K70" s="108"/>
      <c r="M70" s="108"/>
      <c r="N70" s="108"/>
      <c r="O70" s="108"/>
      <c r="P70" s="108"/>
      <c r="Q70" s="108"/>
      <c r="R70" s="108"/>
      <c r="S70" s="108"/>
      <c r="T70" s="108"/>
      <c r="U70" s="108"/>
    </row>
    <row r="71" spans="3:21" x14ac:dyDescent="0.5">
      <c r="C71" s="108"/>
      <c r="D71" s="108"/>
      <c r="E71" s="108"/>
      <c r="F71" s="108"/>
      <c r="H71" s="108"/>
      <c r="I71" s="108"/>
      <c r="J71" s="108"/>
      <c r="K71" s="108"/>
      <c r="M71" s="108"/>
      <c r="N71" s="108"/>
      <c r="O71" s="108"/>
      <c r="P71" s="108"/>
      <c r="Q71" s="108"/>
      <c r="R71" s="108"/>
      <c r="S71" s="108"/>
      <c r="T71" s="108"/>
      <c r="U71" s="108"/>
    </row>
    <row r="72" spans="3:21" x14ac:dyDescent="0.5">
      <c r="C72" s="108"/>
      <c r="D72" s="108"/>
      <c r="E72" s="108"/>
      <c r="F72" s="108"/>
      <c r="H72" s="108"/>
      <c r="I72" s="108"/>
      <c r="J72" s="108"/>
      <c r="K72" s="108"/>
      <c r="M72" s="108"/>
      <c r="N72" s="108"/>
      <c r="O72" s="108"/>
      <c r="P72" s="108"/>
      <c r="Q72" s="108"/>
      <c r="R72" s="108"/>
      <c r="S72" s="108"/>
      <c r="T72" s="108"/>
      <c r="U72" s="108"/>
    </row>
    <row r="73" spans="3:21" x14ac:dyDescent="0.5">
      <c r="C73" s="108"/>
      <c r="D73" s="108"/>
      <c r="E73" s="108"/>
      <c r="F73" s="108"/>
      <c r="H73" s="108"/>
      <c r="I73" s="108"/>
      <c r="J73" s="108"/>
      <c r="K73" s="108"/>
      <c r="M73" s="108"/>
      <c r="N73" s="108"/>
      <c r="O73" s="108"/>
      <c r="P73" s="108"/>
      <c r="Q73" s="108"/>
      <c r="R73" s="108"/>
      <c r="S73" s="108"/>
      <c r="T73" s="108"/>
      <c r="U73" s="108"/>
    </row>
    <row r="74" spans="3:21" x14ac:dyDescent="0.5">
      <c r="C74" s="108"/>
      <c r="D74" s="108"/>
      <c r="E74" s="108"/>
      <c r="F74" s="108"/>
      <c r="H74" s="108"/>
      <c r="I74" s="108"/>
      <c r="J74" s="108"/>
      <c r="K74" s="108"/>
      <c r="M74" s="108"/>
      <c r="N74" s="108"/>
      <c r="O74" s="108"/>
      <c r="P74" s="108"/>
      <c r="Q74" s="108"/>
      <c r="R74" s="108"/>
      <c r="S74" s="108"/>
      <c r="T74" s="108"/>
      <c r="U74" s="108"/>
    </row>
    <row r="75" spans="3:21" x14ac:dyDescent="0.5">
      <c r="C75" s="108"/>
      <c r="D75" s="108"/>
      <c r="E75" s="108"/>
      <c r="F75" s="108"/>
      <c r="H75" s="108"/>
      <c r="I75" s="108"/>
      <c r="J75" s="108"/>
      <c r="K75" s="108"/>
      <c r="M75" s="108"/>
      <c r="N75" s="108"/>
      <c r="O75" s="108"/>
      <c r="P75" s="108"/>
      <c r="Q75" s="108"/>
      <c r="R75" s="108"/>
      <c r="S75" s="108"/>
      <c r="T75" s="108"/>
      <c r="U75" s="108"/>
    </row>
    <row r="76" spans="3:21" x14ac:dyDescent="0.5">
      <c r="C76" s="108"/>
      <c r="D76" s="108"/>
      <c r="E76" s="108"/>
      <c r="F76" s="108"/>
      <c r="H76" s="108"/>
      <c r="I76" s="108"/>
      <c r="J76" s="108"/>
      <c r="K76" s="108"/>
      <c r="M76" s="108"/>
      <c r="N76" s="108"/>
      <c r="O76" s="108"/>
      <c r="P76" s="108"/>
      <c r="Q76" s="108"/>
      <c r="R76" s="108"/>
      <c r="S76" s="108"/>
      <c r="T76" s="108"/>
      <c r="U76" s="108"/>
    </row>
    <row r="77" spans="3:21" x14ac:dyDescent="0.5">
      <c r="C77" s="108"/>
      <c r="D77" s="108"/>
      <c r="E77" s="108"/>
      <c r="F77" s="108"/>
      <c r="H77" s="108"/>
      <c r="I77" s="108"/>
      <c r="J77" s="108"/>
      <c r="K77" s="108"/>
      <c r="M77" s="108"/>
      <c r="N77" s="108"/>
      <c r="O77" s="108"/>
      <c r="P77" s="108"/>
      <c r="Q77" s="108"/>
      <c r="R77" s="108"/>
      <c r="S77" s="108"/>
      <c r="T77" s="108"/>
      <c r="U77" s="108"/>
    </row>
    <row r="78" spans="3:21" x14ac:dyDescent="0.5">
      <c r="C78" s="108"/>
      <c r="D78" s="108"/>
      <c r="E78" s="108"/>
      <c r="F78" s="108"/>
      <c r="H78" s="108"/>
      <c r="I78" s="108"/>
      <c r="J78" s="108"/>
      <c r="K78" s="108"/>
      <c r="M78" s="108"/>
      <c r="N78" s="108"/>
      <c r="O78" s="108"/>
      <c r="P78" s="108"/>
      <c r="Q78" s="108"/>
      <c r="R78" s="108"/>
      <c r="S78" s="108"/>
      <c r="T78" s="108"/>
      <c r="U78" s="108"/>
    </row>
    <row r="79" spans="3:21" x14ac:dyDescent="0.5">
      <c r="C79" s="108"/>
      <c r="D79" s="108"/>
      <c r="E79" s="108"/>
      <c r="F79" s="108"/>
      <c r="H79" s="108"/>
      <c r="I79" s="108"/>
      <c r="J79" s="108"/>
      <c r="K79" s="108"/>
      <c r="M79" s="108"/>
      <c r="N79" s="108"/>
      <c r="O79" s="108"/>
      <c r="P79" s="108"/>
      <c r="Q79" s="108"/>
      <c r="R79" s="108"/>
      <c r="S79" s="108"/>
      <c r="T79" s="108"/>
      <c r="U79" s="108"/>
    </row>
    <row r="80" spans="3:21" x14ac:dyDescent="0.5">
      <c r="C80" s="108"/>
      <c r="D80" s="108"/>
      <c r="E80" s="108"/>
      <c r="F80" s="108"/>
      <c r="H80" s="108"/>
      <c r="I80" s="108"/>
      <c r="J80" s="108"/>
      <c r="K80" s="108"/>
      <c r="M80" s="108"/>
      <c r="N80" s="108"/>
      <c r="O80" s="108"/>
      <c r="P80" s="108"/>
      <c r="Q80" s="108"/>
      <c r="R80" s="108"/>
      <c r="S80" s="108"/>
      <c r="T80" s="108"/>
      <c r="U80" s="108"/>
    </row>
    <row r="81" spans="3:21" x14ac:dyDescent="0.5">
      <c r="C81" s="108"/>
      <c r="D81" s="108"/>
      <c r="E81" s="108"/>
      <c r="F81" s="108"/>
      <c r="H81" s="108"/>
      <c r="I81" s="108"/>
      <c r="J81" s="108"/>
      <c r="K81" s="108"/>
      <c r="M81" s="108"/>
      <c r="N81" s="108"/>
      <c r="O81" s="108"/>
      <c r="P81" s="108"/>
      <c r="Q81" s="108"/>
      <c r="R81" s="108"/>
      <c r="S81" s="108"/>
      <c r="T81" s="108"/>
      <c r="U81" s="108"/>
    </row>
    <row r="82" spans="3:21" x14ac:dyDescent="0.5">
      <c r="C82" s="108"/>
      <c r="D82" s="108"/>
      <c r="E82" s="108"/>
      <c r="F82" s="108"/>
      <c r="H82" s="108"/>
      <c r="I82" s="108"/>
      <c r="J82" s="108"/>
      <c r="K82" s="108"/>
      <c r="M82" s="108"/>
      <c r="N82" s="108"/>
      <c r="O82" s="108"/>
      <c r="P82" s="108"/>
      <c r="Q82" s="108"/>
      <c r="R82" s="108"/>
      <c r="S82" s="108"/>
      <c r="T82" s="108"/>
      <c r="U82" s="108"/>
    </row>
    <row r="83" spans="3:21" x14ac:dyDescent="0.5">
      <c r="C83" s="108"/>
      <c r="D83" s="108"/>
      <c r="E83" s="108"/>
      <c r="F83" s="108"/>
      <c r="H83" s="108"/>
      <c r="I83" s="108"/>
      <c r="J83" s="108"/>
      <c r="K83" s="108"/>
      <c r="M83" s="108"/>
      <c r="N83" s="108"/>
      <c r="O83" s="108"/>
      <c r="P83" s="108"/>
      <c r="Q83" s="108"/>
      <c r="R83" s="108"/>
      <c r="S83" s="108"/>
      <c r="T83" s="108"/>
      <c r="U83" s="108"/>
    </row>
    <row r="84" spans="3:21" x14ac:dyDescent="0.5">
      <c r="C84" s="108"/>
      <c r="D84" s="108"/>
      <c r="E84" s="108"/>
      <c r="F84" s="108"/>
      <c r="H84" s="108"/>
      <c r="I84" s="108"/>
      <c r="J84" s="108"/>
      <c r="K84" s="108"/>
      <c r="M84" s="108"/>
      <c r="N84" s="108"/>
      <c r="O84" s="108"/>
      <c r="P84" s="108"/>
      <c r="Q84" s="108"/>
      <c r="R84" s="108"/>
      <c r="S84" s="108"/>
      <c r="T84" s="108"/>
      <c r="U84" s="108"/>
    </row>
    <row r="85" spans="3:21" x14ac:dyDescent="0.5">
      <c r="C85" s="108"/>
      <c r="D85" s="108"/>
      <c r="E85" s="108"/>
      <c r="F85" s="108"/>
      <c r="H85" s="108"/>
      <c r="I85" s="108"/>
      <c r="J85" s="108"/>
      <c r="K85" s="108"/>
      <c r="M85" s="108"/>
      <c r="N85" s="108"/>
      <c r="O85" s="108"/>
      <c r="P85" s="108"/>
      <c r="Q85" s="108"/>
      <c r="R85" s="108"/>
      <c r="S85" s="108"/>
      <c r="T85" s="108"/>
      <c r="U85" s="108"/>
    </row>
    <row r="86" spans="3:21" x14ac:dyDescent="0.5">
      <c r="C86" s="108"/>
      <c r="D86" s="108"/>
      <c r="E86" s="108"/>
      <c r="F86" s="108"/>
      <c r="H86" s="108"/>
      <c r="I86" s="108"/>
      <c r="J86" s="108"/>
      <c r="K86" s="108"/>
      <c r="M86" s="108"/>
      <c r="N86" s="108"/>
      <c r="O86" s="108"/>
      <c r="P86" s="108"/>
      <c r="Q86" s="108"/>
      <c r="R86" s="108"/>
      <c r="S86" s="108"/>
      <c r="T86" s="108"/>
      <c r="U86" s="108"/>
    </row>
    <row r="87" spans="3:21" x14ac:dyDescent="0.5">
      <c r="C87" s="108"/>
      <c r="D87" s="108"/>
      <c r="E87" s="108"/>
      <c r="F87" s="108"/>
      <c r="H87" s="108"/>
      <c r="I87" s="108"/>
      <c r="J87" s="108"/>
      <c r="K87" s="108"/>
      <c r="M87" s="108"/>
      <c r="N87" s="108"/>
      <c r="O87" s="108"/>
      <c r="P87" s="108"/>
      <c r="Q87" s="108"/>
      <c r="R87" s="108"/>
      <c r="S87" s="108"/>
      <c r="T87" s="108"/>
      <c r="U87" s="108"/>
    </row>
    <row r="88" spans="3:21" x14ac:dyDescent="0.5">
      <c r="C88" s="108"/>
      <c r="D88" s="108"/>
      <c r="E88" s="108"/>
      <c r="F88" s="108"/>
      <c r="H88" s="108"/>
      <c r="I88" s="108"/>
      <c r="J88" s="108"/>
      <c r="K88" s="108"/>
      <c r="M88" s="108"/>
      <c r="N88" s="108"/>
      <c r="O88" s="108"/>
      <c r="P88" s="108"/>
      <c r="Q88" s="108"/>
      <c r="R88" s="108"/>
      <c r="S88" s="108"/>
      <c r="T88" s="108"/>
      <c r="U88" s="108"/>
    </row>
    <row r="89" spans="3:21" x14ac:dyDescent="0.5">
      <c r="C89" s="108"/>
      <c r="D89" s="108"/>
      <c r="E89" s="108"/>
      <c r="F89" s="108"/>
      <c r="H89" s="108"/>
      <c r="I89" s="108"/>
      <c r="J89" s="108"/>
      <c r="K89" s="108"/>
      <c r="M89" s="108"/>
      <c r="N89" s="108"/>
      <c r="O89" s="108"/>
      <c r="P89" s="108"/>
      <c r="Q89" s="108"/>
      <c r="R89" s="108"/>
      <c r="S89" s="108"/>
      <c r="T89" s="108"/>
      <c r="U89" s="108"/>
    </row>
    <row r="90" spans="3:21" x14ac:dyDescent="0.5">
      <c r="C90" s="108"/>
      <c r="D90" s="108"/>
      <c r="E90" s="108"/>
      <c r="F90" s="108"/>
      <c r="H90" s="108"/>
      <c r="I90" s="108"/>
      <c r="J90" s="108"/>
      <c r="K90" s="108"/>
      <c r="M90" s="108"/>
      <c r="N90" s="108"/>
      <c r="O90" s="108"/>
      <c r="P90" s="108"/>
      <c r="Q90" s="108"/>
      <c r="R90" s="108"/>
      <c r="S90" s="108"/>
      <c r="T90" s="108"/>
      <c r="U90" s="108"/>
    </row>
    <row r="91" spans="3:21" x14ac:dyDescent="0.5"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</row>
    <row r="92" spans="3:21" x14ac:dyDescent="0.5"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</row>
    <row r="93" spans="3:21" x14ac:dyDescent="0.5"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</row>
    <row r="94" spans="3:21" x14ac:dyDescent="0.5"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</row>
    <row r="95" spans="3:21" x14ac:dyDescent="0.5"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</row>
    <row r="96" spans="3:21" x14ac:dyDescent="0.5"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</row>
    <row r="97" spans="3:21" x14ac:dyDescent="0.5"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</row>
    <row r="98" spans="3:21" x14ac:dyDescent="0.5"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</row>
    <row r="99" spans="3:21" x14ac:dyDescent="0.5"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</row>
    <row r="100" spans="3:21" x14ac:dyDescent="0.5"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</row>
    <row r="101" spans="3:21" x14ac:dyDescent="0.5"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</row>
    <row r="102" spans="3:21" x14ac:dyDescent="0.5"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</row>
    <row r="103" spans="3:21" x14ac:dyDescent="0.5"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</row>
    <row r="104" spans="3:21" x14ac:dyDescent="0.5"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</row>
    <row r="105" spans="3:21" x14ac:dyDescent="0.5"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</row>
    <row r="106" spans="3:21" x14ac:dyDescent="0.5"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</row>
    <row r="107" spans="3:21" x14ac:dyDescent="0.5"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</row>
    <row r="108" spans="3:21" x14ac:dyDescent="0.5"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</row>
    <row r="109" spans="3:21" x14ac:dyDescent="0.5"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</row>
    <row r="110" spans="3:21" x14ac:dyDescent="0.5"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</row>
    <row r="111" spans="3:21" x14ac:dyDescent="0.5"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</row>
    <row r="112" spans="3:21" x14ac:dyDescent="0.5"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</row>
    <row r="113" spans="3:21" x14ac:dyDescent="0.5"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</row>
    <row r="114" spans="3:21" x14ac:dyDescent="0.5"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</row>
    <row r="115" spans="3:21" x14ac:dyDescent="0.5"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</row>
    <row r="116" spans="3:21" x14ac:dyDescent="0.5"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</row>
    <row r="117" spans="3:21" x14ac:dyDescent="0.5"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</row>
    <row r="118" spans="3:21" x14ac:dyDescent="0.5"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</row>
    <row r="119" spans="3:21" x14ac:dyDescent="0.5"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</row>
    <row r="120" spans="3:21" x14ac:dyDescent="0.5"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</row>
    <row r="121" spans="3:21" x14ac:dyDescent="0.5"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</row>
    <row r="122" spans="3:21" x14ac:dyDescent="0.5"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</row>
    <row r="123" spans="3:21" x14ac:dyDescent="0.5"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</row>
    <row r="124" spans="3:21" x14ac:dyDescent="0.5">
      <c r="C124" s="4"/>
      <c r="D124" s="4"/>
      <c r="E124" s="4"/>
      <c r="F124" s="110"/>
      <c r="G124" s="4"/>
      <c r="H124" s="4"/>
      <c r="I124" s="4"/>
      <c r="J124" s="4"/>
      <c r="K124" s="110"/>
      <c r="L124" s="4"/>
      <c r="M124" s="4"/>
      <c r="N124" s="4"/>
      <c r="O124" s="4"/>
      <c r="P124" s="110"/>
      <c r="Q124" s="4"/>
      <c r="R124" s="4"/>
      <c r="S124" s="4"/>
      <c r="T124" s="4"/>
      <c r="U124" s="110"/>
    </row>
    <row r="125" spans="3:21" x14ac:dyDescent="0.5">
      <c r="C125" s="4"/>
      <c r="D125" s="4"/>
      <c r="E125" s="4"/>
      <c r="F125" s="110"/>
      <c r="G125" s="4"/>
      <c r="H125" s="4"/>
      <c r="I125" s="4"/>
      <c r="J125" s="4"/>
      <c r="K125" s="110"/>
      <c r="L125" s="4"/>
      <c r="M125" s="4"/>
      <c r="N125" s="4"/>
      <c r="O125" s="4"/>
      <c r="P125" s="110"/>
      <c r="Q125" s="4"/>
      <c r="R125" s="4"/>
      <c r="S125" s="4"/>
      <c r="T125" s="4"/>
      <c r="U125" s="110"/>
    </row>
    <row r="126" spans="3:21" x14ac:dyDescent="0.5">
      <c r="C126" s="4"/>
      <c r="D126" s="4"/>
      <c r="E126" s="4"/>
      <c r="F126" s="110"/>
      <c r="G126" s="4"/>
      <c r="H126" s="4"/>
      <c r="I126" s="4"/>
      <c r="J126" s="4"/>
      <c r="K126" s="110"/>
      <c r="L126" s="4"/>
      <c r="M126" s="4"/>
      <c r="N126" s="4"/>
      <c r="O126" s="4"/>
      <c r="P126" s="110"/>
      <c r="Q126" s="4"/>
      <c r="R126" s="4"/>
      <c r="S126" s="4"/>
      <c r="T126" s="4"/>
      <c r="U126" s="110"/>
    </row>
    <row r="127" spans="3:21" x14ac:dyDescent="0.5">
      <c r="C127" s="111"/>
      <c r="D127" s="111"/>
      <c r="E127" s="111"/>
      <c r="F127" s="112"/>
      <c r="G127" s="111"/>
      <c r="H127" s="111"/>
      <c r="I127" s="111"/>
      <c r="J127" s="111"/>
      <c r="K127" s="112"/>
      <c r="L127" s="111"/>
      <c r="M127" s="111"/>
      <c r="N127" s="111"/>
      <c r="O127" s="111"/>
      <c r="P127" s="112"/>
      <c r="Q127" s="111"/>
      <c r="R127" s="111"/>
      <c r="S127" s="111"/>
      <c r="T127" s="111"/>
      <c r="U127" s="112"/>
    </row>
  </sheetData>
  <mergeCells count="9">
    <mergeCell ref="V52:Y52"/>
    <mergeCell ref="M5:P5"/>
    <mergeCell ref="R5:U5"/>
    <mergeCell ref="A1:Z1"/>
    <mergeCell ref="A2:Z2"/>
    <mergeCell ref="A3:Z3"/>
    <mergeCell ref="A4:Z4"/>
    <mergeCell ref="C5:F5"/>
    <mergeCell ref="H5:K5"/>
  </mergeCells>
  <pageMargins left="0.52" right="0.3" top="0.42" bottom="0.56999999999999995" header="0.3" footer="0.3"/>
  <pageSetup paperSize="9" scale="66" fitToHeight="0" orientation="landscape" horizontalDpi="4294967295" verticalDpi="4294967295" r:id="rId1"/>
  <rowBreaks count="1" manualBreakCount="1">
    <brk id="56" max="16383" man="1"/>
  </rowBreaks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14.7</vt:lpstr>
      <vt:lpstr>'14.7'!Print_Area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2017-06-04T06:28:23Z</cp:lastPrinted>
  <dcterms:created xsi:type="dcterms:W3CDTF">2013-04-01T04:26:10Z</dcterms:created>
  <dcterms:modified xsi:type="dcterms:W3CDTF">2017-06-04T06:28:48Z</dcterms:modified>
</cp:coreProperties>
</file>