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105" windowWidth="14520" windowHeight="11580" tabRatio="765"/>
  </bookViews>
  <sheets>
    <sheet name="14.9" sheetId="6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'14.9'!$A$1:$R$41</definedName>
  </definedNames>
  <calcPr calcId="144525"/>
</workbook>
</file>

<file path=xl/calcChain.xml><?xml version="1.0" encoding="utf-8"?>
<calcChain xmlns="http://schemas.openxmlformats.org/spreadsheetml/2006/main">
  <c r="K31" i="6" l="1"/>
  <c r="J31" i="6"/>
  <c r="I31" i="6"/>
  <c r="H31" i="6"/>
  <c r="F31" i="6"/>
  <c r="E31" i="6"/>
  <c r="D31" i="6"/>
  <c r="C31" i="6"/>
  <c r="K30" i="6"/>
  <c r="J30" i="6"/>
  <c r="I30" i="6"/>
  <c r="H30" i="6"/>
  <c r="F30" i="6"/>
  <c r="E30" i="6"/>
  <c r="D30" i="6"/>
  <c r="C30" i="6"/>
  <c r="K29" i="6"/>
  <c r="J29" i="6"/>
  <c r="I29" i="6"/>
  <c r="H29" i="6"/>
  <c r="F29" i="6"/>
  <c r="E29" i="6"/>
  <c r="D29" i="6"/>
  <c r="C29" i="6"/>
  <c r="K28" i="6"/>
  <c r="J28" i="6"/>
  <c r="I28" i="6"/>
  <c r="H28" i="6"/>
  <c r="F28" i="6"/>
  <c r="E28" i="6"/>
  <c r="D28" i="6"/>
  <c r="C28" i="6"/>
  <c r="K27" i="6"/>
  <c r="J27" i="6"/>
  <c r="I27" i="6"/>
  <c r="H27" i="6"/>
  <c r="F27" i="6"/>
  <c r="E27" i="6"/>
  <c r="D27" i="6"/>
  <c r="C27" i="6"/>
  <c r="P37" i="6" l="1"/>
  <c r="O37" i="6"/>
  <c r="N37" i="6"/>
  <c r="P36" i="6"/>
  <c r="O36" i="6"/>
  <c r="N36" i="6"/>
  <c r="P35" i="6"/>
  <c r="O35" i="6"/>
  <c r="N35" i="6"/>
  <c r="P34" i="6"/>
  <c r="O34" i="6"/>
  <c r="N34" i="6"/>
  <c r="P33" i="6"/>
  <c r="O33" i="6"/>
  <c r="N33" i="6"/>
  <c r="M36" i="6"/>
  <c r="M37" i="6"/>
  <c r="M35" i="6"/>
  <c r="M34" i="6"/>
  <c r="M33" i="6"/>
  <c r="P31" i="6"/>
  <c r="O31" i="6"/>
  <c r="N31" i="6"/>
  <c r="P30" i="6"/>
  <c r="O30" i="6"/>
  <c r="N30" i="6"/>
  <c r="P29" i="6"/>
  <c r="O29" i="6"/>
  <c r="N29" i="6"/>
  <c r="P28" i="6"/>
  <c r="O28" i="6"/>
  <c r="N28" i="6"/>
  <c r="P27" i="6"/>
  <c r="O27" i="6"/>
  <c r="N27" i="6"/>
  <c r="M31" i="6"/>
  <c r="M30" i="6"/>
  <c r="M29" i="6"/>
  <c r="M28" i="6"/>
  <c r="M27" i="6"/>
  <c r="K37" i="6" l="1"/>
  <c r="J37" i="6"/>
  <c r="I37" i="6"/>
  <c r="K36" i="6"/>
  <c r="J36" i="6"/>
  <c r="I36" i="6"/>
  <c r="K35" i="6"/>
  <c r="J35" i="6"/>
  <c r="I35" i="6"/>
  <c r="K34" i="6"/>
  <c r="J34" i="6"/>
  <c r="I34" i="6"/>
  <c r="H37" i="6"/>
  <c r="H36" i="6"/>
  <c r="H35" i="6"/>
  <c r="H34" i="6"/>
  <c r="I33" i="6"/>
  <c r="J33" i="6"/>
  <c r="K33" i="6"/>
  <c r="H33" i="6"/>
</calcChain>
</file>

<file path=xl/sharedStrings.xml><?xml version="1.0" encoding="utf-8"?>
<sst xmlns="http://schemas.openxmlformats.org/spreadsheetml/2006/main" count="102" uniqueCount="68">
  <si>
    <t>(cniaWyifur cnwailim ;cSwlwyin egutwdcaum WviawfiLeawDnwk)</t>
  </si>
  <si>
    <t>(In millions of Rufiyaa; end of period)</t>
  </si>
  <si>
    <t>cCWm</t>
  </si>
  <si>
    <t>cnUj</t>
  </si>
  <si>
    <t>cTcpes</t>
  </si>
  <si>
    <r>
      <rPr>
        <b/>
        <vertAlign val="superscript"/>
        <sz val="9"/>
        <rFont val="A_Randhoo"/>
      </rPr>
      <t xml:space="preserve"> 1_/</t>
    </r>
    <r>
      <rPr>
        <b/>
        <sz val="9"/>
        <rFont val="A_Randhoo"/>
      </rPr>
      <t>cmesiD</t>
    </r>
  </si>
  <si>
    <t>cmesiD</t>
  </si>
  <si>
    <t>Mar</t>
  </si>
  <si>
    <t>Jun</t>
  </si>
  <si>
    <t>Sep</t>
  </si>
  <si>
    <t xml:space="preserve"> Dec</t>
  </si>
  <si>
    <t>Annual percentage change</t>
  </si>
  <si>
    <t>އަހަރުން އަހަރަށް އިތުރުވި މިންވަރު އިންސައްތަ</t>
  </si>
  <si>
    <t>Source: Maldives Monetary Authority.</t>
  </si>
  <si>
    <r>
      <t xml:space="preserve"> Dec</t>
    </r>
    <r>
      <rPr>
        <b/>
        <vertAlign val="superscript"/>
        <sz val="10"/>
        <rFont val="Calibri"/>
        <family val="2"/>
        <scheme val="minor"/>
      </rPr>
      <t>1_/</t>
    </r>
    <r>
      <rPr>
        <b/>
        <sz val="10"/>
        <rFont val="Calibri"/>
        <family val="2"/>
        <scheme val="minor"/>
      </rPr>
      <t xml:space="preserve"> </t>
    </r>
    <r>
      <rPr>
        <b/>
        <vertAlign val="subscript"/>
        <sz val="11"/>
        <rFont val="Arial"/>
        <family val="2"/>
      </rPr>
      <t/>
    </r>
  </si>
  <si>
    <t>/1</t>
  </si>
  <si>
    <t>ITirOtoa IrwTinwm cscviDclOm :ctWrwf ivcaedutWmUluAwm</t>
  </si>
  <si>
    <t>/2</t>
  </si>
  <si>
    <t xml:space="preserve"> </t>
  </si>
  <si>
    <t>Economic groups</t>
  </si>
  <si>
    <t>cawtiawb IdWBitcqia</t>
  </si>
  <si>
    <r>
      <t>Total</t>
    </r>
    <r>
      <rPr>
        <sz val="9"/>
        <rFont val="Calibri"/>
        <family val="2"/>
        <scheme val="minor"/>
      </rPr>
      <t xml:space="preserve"> </t>
    </r>
    <r>
      <rPr>
        <vertAlign val="superscript"/>
        <sz val="9"/>
        <rFont val="Calibri"/>
        <family val="2"/>
        <scheme val="minor"/>
      </rPr>
      <t xml:space="preserve">2/ </t>
    </r>
  </si>
  <si>
    <r>
      <rPr>
        <vertAlign val="superscript"/>
        <sz val="9"/>
        <rFont val="A_Faseyha"/>
      </rPr>
      <t>2/</t>
    </r>
    <r>
      <rPr>
        <b/>
        <sz val="9"/>
        <rFont val="A_Faseyha"/>
      </rPr>
      <t xml:space="preserve"> wlcmuj</t>
    </r>
  </si>
  <si>
    <t>Agriculture</t>
  </si>
  <si>
    <t>cnwkirevuDnwd</t>
  </si>
  <si>
    <t>Fishing</t>
  </si>
  <si>
    <t>cnwkirevcswm</t>
  </si>
  <si>
    <t>Manufacturing</t>
  </si>
  <si>
    <t>cnudcaefua itekwt</t>
  </si>
  <si>
    <t>Construction</t>
  </si>
  <si>
    <t>cnurukctWrWmiA</t>
  </si>
  <si>
    <t>Real estates</t>
  </si>
  <si>
    <t>ރިއަލްއެސްޓޭޓް ވިޔަފާރިތަކަށް</t>
  </si>
  <si>
    <t>Tourism</t>
  </si>
  <si>
    <t>cnwkirevurutwf</t>
  </si>
  <si>
    <t xml:space="preserve">     New resort development</t>
  </si>
  <si>
    <t>އަލަށް ހަދާ ރިސޯޓްތައް ތަރައްޤީކުރުމަށް</t>
  </si>
  <si>
    <t xml:space="preserve">     Renovation of resorts</t>
  </si>
  <si>
    <t>ރިސޯޓް މަރާމާތު ކުރުން</t>
  </si>
  <si>
    <t xml:space="preserve">     Yacht safari buildings</t>
  </si>
  <si>
    <t>ޔޮޓް ސަފާރީ ބަނުމަށް</t>
  </si>
  <si>
    <t xml:space="preserve">     Working capital</t>
  </si>
  <si>
    <t>ވަރކިންގ ކެޕިޓަލް ގޮތުގައި</t>
  </si>
  <si>
    <t>Commerce</t>
  </si>
  <si>
    <t>cawtctWkwrwH irWfwyiv</t>
  </si>
  <si>
    <t xml:space="preserve">   Wholesale and retail</t>
  </si>
  <si>
    <t>ހޯލްސޭލް އެންޑް ރީޓެއިލް ވިޔަފާރިތައް</t>
  </si>
  <si>
    <t xml:space="preserve">   Restuarants and cafes</t>
  </si>
  <si>
    <t>ރެސްޓޯރެންޓް އަދި ސައިހޮޓާތައް</t>
  </si>
  <si>
    <t>Transport and Communication</t>
  </si>
  <si>
    <t>ދަތުރުފަތުރާއި މުވާސަލާތުގެ ޚިދުމަތްތައް</t>
  </si>
  <si>
    <t>Electricity, gas, water and sanitary services</t>
  </si>
  <si>
    <t>ކަރަންޓާއި ގޭސް އަދި ފެނާއި ސާފުކުރުމުގެ ޙިދްމަތް</t>
  </si>
  <si>
    <t>Other loans and advances not adequately described</t>
  </si>
  <si>
    <r>
      <rPr>
        <sz val="9"/>
        <rFont val="A_Faseyha"/>
      </rPr>
      <t xml:space="preserve">cawtctWkwrwH WvuniawfiverukcnWywb </t>
    </r>
    <r>
      <rPr>
        <sz val="9"/>
        <rFont val="Faruma"/>
      </rPr>
      <t>މަތީގައި</t>
    </r>
  </si>
  <si>
    <t>(In percent of total; end of period)</t>
  </si>
  <si>
    <t>(ކަނޑައެޅިފައިވާ މުއްދަތުގެ ނިޔަލަށް، މުޅި ޖުމްލައިގެ ސައްތައިން)</t>
  </si>
  <si>
    <t>ދަތުރުފަތުރާއި މުވާސަލާތު ޚިދުމަތްތައް</t>
  </si>
  <si>
    <t>2_/ Excluding accrued interest receivable and accounts receivables</t>
  </si>
  <si>
    <t xml:space="preserve"> އިންޓަރެސްޓްގެ ގޮތުގައާއި އެހެނިހެން ގޮތްގޮތުން ލިބެންވާ ފައިސާ މިޖުމްލައިގައި ހިމެނިފައި ނުވާނެއެވެ.</t>
  </si>
  <si>
    <t>ނޯޓް:</t>
  </si>
  <si>
    <t>NOTE:</t>
  </si>
  <si>
    <t>Guest house</t>
  </si>
  <si>
    <t>ގެސްޓް ހައުސް</t>
  </si>
  <si>
    <t>ތާވަލު 14.9: ބޭންކުތަކުން އަމިއްލަ ފަރާތްތަކަށް ލޯނު އަދި އެޑްވާސް ގެގޮތުގައި (އިޤްތިސާދީ އެކި ބައިތަކަށް) ދޫކުރެވުނު ފައިސާ 2015- 2016</t>
  </si>
  <si>
    <t>Table  14.9 : OTHER DEPOSITORY CORPORATIONS PRIVATE SECTOR LOANS &amp; ADVANCES BY ECONOMIC GROUP, 2015 - 2016</t>
  </si>
  <si>
    <t>2015 ޑިސެންބަރު އިސްލާޙުކުރެވިފައި</t>
  </si>
  <si>
    <t>1_/ :  2015 December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</si>
</sst>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rial"/>
      <family val="2"/>
    </font>
    <font>
      <sz val="9"/>
      <name val="Courier"/>
      <family val="3"/>
    </font>
    <font>
      <b/>
      <sz val="9"/>
      <name val="Faruma"/>
    </font>
    <font>
      <sz val="9"/>
      <name val="Faruma"/>
    </font>
    <font>
      <b/>
      <vertAlign val="superscript"/>
      <sz val="9"/>
      <name val="A_Randhoo"/>
    </font>
    <font>
      <b/>
      <sz val="9"/>
      <name val="A_Faseyha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vertAlign val="superscript"/>
      <sz val="9"/>
      <name val="A_Faseyha"/>
    </font>
    <font>
      <vertAlign val="superscript"/>
      <sz val="9"/>
      <name val="Calibri"/>
      <family val="2"/>
      <scheme val="minor"/>
    </font>
    <font>
      <i/>
      <sz val="9"/>
      <name val="Calibri"/>
      <family val="2"/>
      <scheme val="minor"/>
    </font>
    <font>
      <b/>
      <i/>
      <sz val="9"/>
      <name val="A_Reethi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b/>
      <sz val="11"/>
      <name val="Faruma"/>
    </font>
    <font>
      <i/>
      <sz val="10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A_Randhoo"/>
    </font>
    <font>
      <sz val="10"/>
      <color theme="1"/>
      <name val="Arial"/>
      <family val="2"/>
    </font>
    <font>
      <b/>
      <sz val="11"/>
      <name val="Arial"/>
      <family val="2"/>
    </font>
    <font>
      <b/>
      <sz val="11"/>
      <name val="A_Randhoo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3" fillId="0" borderId="0"/>
    <xf numFmtId="0" fontId="3" fillId="0" borderId="0"/>
    <xf numFmtId="17" fontId="3" fillId="0" borderId="0" applyFont="0"/>
    <xf numFmtId="17" fontId="3" fillId="0" borderId="0" applyFont="0"/>
    <xf numFmtId="0" fontId="3" fillId="0" borderId="0"/>
    <xf numFmtId="0" fontId="3" fillId="0" borderId="0"/>
    <xf numFmtId="0" fontId="3" fillId="0" borderId="0"/>
    <xf numFmtId="0" fontId="3" fillId="0" borderId="0"/>
    <xf numFmtId="17" fontId="3" fillId="0" borderId="0" applyFont="0"/>
    <xf numFmtId="0" fontId="3" fillId="0" borderId="0"/>
    <xf numFmtId="0" fontId="28" fillId="2" borderId="0" applyNumberFormat="0" applyBorder="0" applyAlignment="0" applyProtection="0"/>
    <xf numFmtId="0" fontId="28" fillId="3" borderId="0" applyNumberFormat="0" applyBorder="0" applyAlignment="0" applyProtection="0"/>
    <xf numFmtId="0" fontId="29" fillId="4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2" borderId="0" applyNumberFormat="0" applyBorder="0" applyAlignment="0" applyProtection="0"/>
    <xf numFmtId="0" fontId="28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8" fillId="2" borderId="0" applyNumberFormat="0" applyBorder="0" applyAlignment="0" applyProtection="0"/>
    <xf numFmtId="0" fontId="28" fillId="2" borderId="0" applyNumberFormat="0" applyBorder="0" applyAlignment="0" applyProtection="0"/>
    <xf numFmtId="0" fontId="29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8" fillId="2" borderId="0" applyNumberFormat="0" applyBorder="0" applyAlignment="0" applyProtection="0"/>
    <xf numFmtId="0" fontId="28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2" borderId="0" applyNumberFormat="0" applyBorder="0" applyAlignment="0" applyProtection="0"/>
    <xf numFmtId="0" fontId="28" fillId="2" borderId="0" applyNumberFormat="0" applyBorder="0" applyAlignment="0" applyProtection="0"/>
    <xf numFmtId="0" fontId="29" fillId="4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17" fontId="3" fillId="0" borderId="0" applyFont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3" fillId="0" borderId="0" applyFill="0" applyBorder="0" applyAlignment="0"/>
    <xf numFmtId="0" fontId="32" fillId="0" borderId="0" applyFill="0" applyBorder="0" applyAlignment="0"/>
    <xf numFmtId="0" fontId="3" fillId="0" borderId="0" applyFill="0" applyBorder="0" applyAlignment="0"/>
    <xf numFmtId="171" fontId="2" fillId="0" borderId="0" applyFill="0" applyBorder="0" applyAlignment="0"/>
    <xf numFmtId="172" fontId="3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32" fillId="0" borderId="0" applyFill="0" applyBorder="0" applyAlignment="0"/>
    <xf numFmtId="0" fontId="33" fillId="14" borderId="12" applyNumberFormat="0" applyAlignment="0" applyProtection="0"/>
    <xf numFmtId="0" fontId="33" fillId="14" borderId="12" applyNumberFormat="0" applyAlignment="0" applyProtection="0"/>
    <xf numFmtId="0" fontId="33" fillId="14" borderId="12" applyNumberFormat="0" applyAlignment="0" applyProtection="0"/>
    <xf numFmtId="0" fontId="33" fillId="14" borderId="12" applyNumberFormat="0" applyAlignment="0" applyProtection="0"/>
    <xf numFmtId="0" fontId="33" fillId="14" borderId="12" applyNumberFormat="0" applyAlignment="0" applyProtection="0"/>
    <xf numFmtId="0" fontId="33" fillId="14" borderId="12" applyNumberFormat="0" applyAlignment="0" applyProtection="0"/>
    <xf numFmtId="0" fontId="33" fillId="14" borderId="12" applyNumberFormat="0" applyAlignment="0" applyProtection="0"/>
    <xf numFmtId="0" fontId="33" fillId="14" borderId="12" applyNumberFormat="0" applyAlignment="0" applyProtection="0"/>
    <xf numFmtId="17" fontId="3" fillId="0" borderId="0" applyFont="0"/>
    <xf numFmtId="0" fontId="34" fillId="7" borderId="13" applyNumberFormat="0" applyAlignment="0" applyProtection="0"/>
    <xf numFmtId="0" fontId="34" fillId="7" borderId="13" applyNumberFormat="0" applyAlignment="0" applyProtection="0"/>
    <xf numFmtId="0" fontId="34" fillId="7" borderId="13" applyNumberFormat="0" applyAlignment="0" applyProtection="0"/>
    <xf numFmtId="0" fontId="34" fillId="7" borderId="13" applyNumberFormat="0" applyAlignment="0" applyProtection="0"/>
    <xf numFmtId="0" fontId="34" fillId="7" borderId="13" applyNumberFormat="0" applyAlignment="0" applyProtection="0"/>
    <xf numFmtId="0" fontId="34" fillId="7" borderId="13" applyNumberFormat="0" applyAlignment="0" applyProtection="0"/>
    <xf numFmtId="0" fontId="34" fillId="7" borderId="13" applyNumberFormat="0" applyAlignment="0" applyProtection="0"/>
    <xf numFmtId="0" fontId="34" fillId="7" borderId="13" applyNumberFormat="0" applyAlignment="0" applyProtection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0" fontId="32" fillId="0" borderId="0" applyFont="0" applyFill="0" applyBorder="0" applyAlignment="0" applyProtection="0"/>
    <xf numFmtId="14" fontId="35" fillId="0" borderId="0" applyFill="0" applyBorder="0" applyAlignment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170" fontId="3" fillId="0" borderId="0" applyFill="0" applyBorder="0" applyAlignment="0"/>
    <xf numFmtId="0" fontId="32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32" fillId="0" borderId="0" applyFill="0" applyBorder="0" applyAlignment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38" fontId="26" fillId="19" borderId="0" applyNumberFormat="0" applyBorder="0" applyAlignment="0" applyProtection="0"/>
    <xf numFmtId="0" fontId="38" fillId="0" borderId="14" applyNumberFormat="0" applyAlignment="0" applyProtection="0">
      <alignment horizontal="left" vertical="center"/>
    </xf>
    <xf numFmtId="0" fontId="38" fillId="0" borderId="11">
      <alignment horizontal="left" vertical="center"/>
    </xf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0" fontId="26" fillId="20" borderId="18" applyNumberFormat="0" applyBorder="0" applyAlignment="0" applyProtection="0"/>
    <xf numFmtId="0" fontId="42" fillId="11" borderId="12" applyNumberFormat="0" applyAlignment="0" applyProtection="0"/>
    <xf numFmtId="0" fontId="42" fillId="11" borderId="12" applyNumberFormat="0" applyAlignment="0" applyProtection="0"/>
    <xf numFmtId="0" fontId="42" fillId="11" borderId="12" applyNumberFormat="0" applyAlignment="0" applyProtection="0"/>
    <xf numFmtId="0" fontId="42" fillId="11" borderId="12" applyNumberFormat="0" applyAlignment="0" applyProtection="0"/>
    <xf numFmtId="0" fontId="42" fillId="11" borderId="12" applyNumberFormat="0" applyAlignment="0" applyProtection="0"/>
    <xf numFmtId="0" fontId="42" fillId="11" borderId="12" applyNumberFormat="0" applyAlignment="0" applyProtection="0"/>
    <xf numFmtId="0" fontId="42" fillId="11" borderId="12" applyNumberFormat="0" applyAlignment="0" applyProtection="0"/>
    <xf numFmtId="0" fontId="42" fillId="11" borderId="12" applyNumberFormat="0" applyAlignment="0" applyProtection="0"/>
    <xf numFmtId="170" fontId="3" fillId="0" borderId="0" applyFill="0" applyBorder="0" applyAlignment="0"/>
    <xf numFmtId="0" fontId="32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32" fillId="0" borderId="0" applyFill="0" applyBorder="0" applyAlignment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176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42" fontId="44" fillId="0" borderId="0" applyFont="0" applyFill="0" applyBorder="0" applyAlignment="0" applyProtection="0"/>
    <xf numFmtId="44" fontId="44" fillId="0" borderId="0" applyFont="0" applyFill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178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0" applyNumberFormat="0" applyFont="0" applyAlignment="0" applyProtection="0"/>
    <xf numFmtId="0" fontId="3" fillId="10" borderId="20" applyNumberFormat="0" applyFont="0" applyAlignment="0" applyProtection="0"/>
    <xf numFmtId="0" fontId="3" fillId="10" borderId="20" applyNumberFormat="0" applyFont="0" applyAlignment="0" applyProtection="0"/>
    <xf numFmtId="0" fontId="3" fillId="10" borderId="20" applyNumberFormat="0" applyFont="0" applyAlignment="0" applyProtection="0"/>
    <xf numFmtId="0" fontId="3" fillId="10" borderId="20" applyNumberFormat="0" applyFont="0" applyAlignment="0" applyProtection="0"/>
    <xf numFmtId="0" fontId="3" fillId="10" borderId="20" applyNumberFormat="0" applyFont="0" applyAlignment="0" applyProtection="0"/>
    <xf numFmtId="0" fontId="3" fillId="10" borderId="20" applyNumberFormat="0" applyFont="0" applyAlignment="0" applyProtection="0"/>
    <xf numFmtId="0" fontId="3" fillId="10" borderId="20" applyNumberFormat="0" applyFont="0" applyAlignment="0" applyProtection="0"/>
    <xf numFmtId="0" fontId="46" fillId="14" borderId="21" applyNumberFormat="0" applyAlignment="0" applyProtection="0"/>
    <xf numFmtId="0" fontId="46" fillId="14" borderId="21" applyNumberFormat="0" applyAlignment="0" applyProtection="0"/>
    <xf numFmtId="0" fontId="46" fillId="14" borderId="21" applyNumberFormat="0" applyAlignment="0" applyProtection="0"/>
    <xf numFmtId="0" fontId="46" fillId="14" borderId="21" applyNumberFormat="0" applyAlignment="0" applyProtection="0"/>
    <xf numFmtId="0" fontId="46" fillId="14" borderId="21" applyNumberFormat="0" applyAlignment="0" applyProtection="0"/>
    <xf numFmtId="0" fontId="46" fillId="14" borderId="21" applyNumberFormat="0" applyAlignment="0" applyProtection="0"/>
    <xf numFmtId="0" fontId="46" fillId="14" borderId="21" applyNumberFormat="0" applyAlignment="0" applyProtection="0"/>
    <xf numFmtId="0" fontId="46" fillId="14" borderId="21" applyNumberFormat="0" applyAlignment="0" applyProtection="0"/>
    <xf numFmtId="0" fontId="3" fillId="0" borderId="0"/>
    <xf numFmtId="172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0" fontId="3" fillId="0" borderId="0" applyFill="0" applyBorder="0" applyAlignment="0"/>
    <xf numFmtId="0" fontId="32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32" fillId="0" borderId="0" applyFill="0" applyBorder="0" applyAlignment="0"/>
    <xf numFmtId="0" fontId="47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9" fontId="35" fillId="0" borderId="0" applyFill="0" applyBorder="0" applyAlignment="0"/>
    <xf numFmtId="180" fontId="3" fillId="0" borderId="0" applyFill="0" applyBorder="0" applyAlignment="0"/>
    <xf numFmtId="181" fontId="3" fillId="0" borderId="0" applyFill="0" applyBorder="0" applyAlignment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48" fillId="0" borderId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</cellStyleXfs>
  <cellXfs count="68">
    <xf numFmtId="0" fontId="0" fillId="0" borderId="0" xfId="0"/>
    <xf numFmtId="164" fontId="5" fillId="21" borderId="0" xfId="2" applyNumberFormat="1" applyFont="1" applyFill="1" applyBorder="1" applyAlignment="1">
      <alignment horizontal="right"/>
    </xf>
    <xf numFmtId="164" fontId="12" fillId="21" borderId="0" xfId="2" applyNumberFormat="1" applyFont="1" applyFill="1" applyBorder="1" applyAlignment="1">
      <alignment horizontal="right" vertical="center"/>
    </xf>
    <xf numFmtId="164" fontId="17" fillId="21" borderId="0" xfId="2" applyNumberFormat="1" applyFont="1" applyFill="1" applyAlignment="1">
      <alignment horizontal="right" vertical="center"/>
    </xf>
    <xf numFmtId="165" fontId="19" fillId="21" borderId="0" xfId="0" applyNumberFormat="1" applyFont="1" applyFill="1" applyAlignment="1">
      <alignment vertical="center"/>
    </xf>
    <xf numFmtId="164" fontId="16" fillId="21" borderId="0" xfId="2" applyNumberFormat="1" applyFont="1" applyFill="1" applyBorder="1" applyAlignment="1">
      <alignment horizontal="right" vertical="center"/>
    </xf>
    <xf numFmtId="164" fontId="9" fillId="21" borderId="0" xfId="2" applyNumberFormat="1" applyFont="1" applyFill="1" applyBorder="1" applyAlignment="1">
      <alignment horizontal="right" vertical="center"/>
    </xf>
    <xf numFmtId="164" fontId="10" fillId="21" borderId="1" xfId="2" applyNumberFormat="1" applyFont="1" applyFill="1" applyBorder="1" applyAlignment="1">
      <alignment horizontal="right" vertical="center"/>
    </xf>
    <xf numFmtId="167" fontId="18" fillId="21" borderId="0" xfId="1" applyNumberFormat="1" applyFont="1" applyFill="1" applyBorder="1" applyAlignment="1" applyProtection="1">
      <alignment vertical="center"/>
    </xf>
    <xf numFmtId="166" fontId="9" fillId="21" borderId="0" xfId="2" applyNumberFormat="1" applyFont="1" applyFill="1" applyBorder="1" applyAlignment="1">
      <alignment horizontal="right" vertical="center"/>
    </xf>
    <xf numFmtId="0" fontId="18" fillId="21" borderId="0" xfId="0" applyFont="1" applyFill="1" applyBorder="1" applyAlignment="1" applyProtection="1">
      <alignment horizontal="left"/>
    </xf>
    <xf numFmtId="164" fontId="7" fillId="21" borderId="0" xfId="2" applyNumberFormat="1" applyFont="1" applyFill="1" applyAlignment="1">
      <alignment vertical="center"/>
    </xf>
    <xf numFmtId="164" fontId="10" fillId="21" borderId="0" xfId="2" applyNumberFormat="1" applyFont="1" applyFill="1" applyAlignment="1">
      <alignment vertical="center"/>
    </xf>
    <xf numFmtId="164" fontId="25" fillId="21" borderId="0" xfId="2" applyNumberFormat="1" applyFont="1" applyFill="1" applyAlignment="1">
      <alignment horizontal="right" vertical="center"/>
    </xf>
    <xf numFmtId="164" fontId="4" fillId="21" borderId="0" xfId="2" applyNumberFormat="1" applyFont="1" applyFill="1" applyBorder="1" applyAlignment="1" applyProtection="1">
      <alignment vertical="center"/>
    </xf>
    <xf numFmtId="164" fontId="5" fillId="21" borderId="0" xfId="2" applyNumberFormat="1" applyFont="1" applyFill="1" applyBorder="1" applyAlignment="1">
      <alignment horizontal="right" vertical="center"/>
    </xf>
    <xf numFmtId="0" fontId="16" fillId="21" borderId="0" xfId="0" applyFont="1" applyFill="1"/>
    <xf numFmtId="164" fontId="8" fillId="21" borderId="0" xfId="2" applyNumberFormat="1" applyFont="1" applyFill="1" applyBorder="1" applyAlignment="1">
      <alignment vertical="center"/>
    </xf>
    <xf numFmtId="164" fontId="9" fillId="21" borderId="2" xfId="2" applyNumberFormat="1" applyFont="1" applyFill="1" applyBorder="1" applyAlignment="1" applyProtection="1">
      <alignment horizontal="center" vertical="center"/>
    </xf>
    <xf numFmtId="164" fontId="6" fillId="21" borderId="1" xfId="2" applyNumberFormat="1" applyFont="1" applyFill="1" applyBorder="1" applyAlignment="1" applyProtection="1">
      <alignment horizontal="left" vertical="center"/>
    </xf>
    <xf numFmtId="164" fontId="9" fillId="21" borderId="1" xfId="2" applyNumberFormat="1" applyFont="1" applyFill="1" applyBorder="1" applyAlignment="1" applyProtection="1">
      <alignment horizontal="right" vertical="center"/>
    </xf>
    <xf numFmtId="166" fontId="15" fillId="21" borderId="0" xfId="2" applyNumberFormat="1" applyFont="1" applyFill="1" applyBorder="1" applyAlignment="1">
      <alignment vertical="center"/>
    </xf>
    <xf numFmtId="166" fontId="15" fillId="21" borderId="0" xfId="2" applyNumberFormat="1" applyFont="1" applyFill="1" applyAlignment="1">
      <alignment vertical="center"/>
    </xf>
    <xf numFmtId="166" fontId="14" fillId="21" borderId="0" xfId="2" applyNumberFormat="1" applyFont="1" applyFill="1" applyAlignment="1">
      <alignment vertical="center"/>
    </xf>
    <xf numFmtId="164" fontId="10" fillId="21" borderId="1" xfId="2" applyNumberFormat="1" applyFont="1" applyFill="1" applyBorder="1" applyAlignment="1">
      <alignment vertical="center"/>
    </xf>
    <xf numFmtId="166" fontId="15" fillId="21" borderId="1" xfId="2" applyNumberFormat="1" applyFont="1" applyFill="1" applyBorder="1" applyAlignment="1">
      <alignment vertical="center"/>
    </xf>
    <xf numFmtId="164" fontId="10" fillId="21" borderId="0" xfId="2" applyNumberFormat="1" applyFont="1" applyFill="1" applyBorder="1" applyAlignment="1">
      <alignment vertical="center"/>
    </xf>
    <xf numFmtId="164" fontId="3" fillId="21" borderId="0" xfId="2" applyNumberFormat="1" applyFont="1" applyFill="1" applyAlignment="1">
      <alignment vertical="center"/>
    </xf>
    <xf numFmtId="164" fontId="3" fillId="21" borderId="0" xfId="2" applyNumberFormat="1" applyFont="1" applyFill="1" applyBorder="1" applyAlignment="1">
      <alignment vertical="center"/>
    </xf>
    <xf numFmtId="164" fontId="5" fillId="21" borderId="6" xfId="2" applyNumberFormat="1" applyFont="1" applyFill="1" applyBorder="1" applyAlignment="1">
      <alignment horizontal="right"/>
    </xf>
    <xf numFmtId="164" fontId="20" fillId="21" borderId="1" xfId="2" applyNumberFormat="1" applyFont="1" applyFill="1" applyBorder="1" applyAlignment="1" applyProtection="1">
      <alignment horizontal="right" vertical="center"/>
    </xf>
    <xf numFmtId="43" fontId="6" fillId="21" borderId="9" xfId="1" applyFont="1" applyFill="1" applyBorder="1" applyAlignment="1">
      <alignment horizontal="right"/>
    </xf>
    <xf numFmtId="0" fontId="7" fillId="21" borderId="7" xfId="0" applyFont="1" applyFill="1" applyBorder="1"/>
    <xf numFmtId="164" fontId="4" fillId="21" borderId="0" xfId="2" applyNumberFormat="1" applyFont="1" applyFill="1" applyAlignment="1">
      <alignment vertical="center"/>
    </xf>
    <xf numFmtId="164" fontId="14" fillId="21" borderId="2" xfId="2" applyNumberFormat="1" applyFont="1" applyFill="1" applyBorder="1" applyAlignment="1" applyProtection="1">
      <alignment horizontal="center" vertical="center"/>
    </xf>
    <xf numFmtId="164" fontId="17" fillId="21" borderId="2" xfId="2" applyNumberFormat="1" applyFont="1" applyFill="1" applyBorder="1" applyAlignment="1">
      <alignment vertical="center"/>
    </xf>
    <xf numFmtId="164" fontId="14" fillId="21" borderId="0" xfId="2" applyNumberFormat="1" applyFont="1" applyFill="1" applyBorder="1" applyAlignment="1" applyProtection="1">
      <alignment horizontal="left" vertical="center"/>
    </xf>
    <xf numFmtId="164" fontId="14" fillId="21" borderId="1" xfId="2" applyNumberFormat="1" applyFont="1" applyFill="1" applyBorder="1" applyAlignment="1" applyProtection="1">
      <alignment horizontal="right" vertical="center"/>
    </xf>
    <xf numFmtId="164" fontId="17" fillId="21" borderId="1" xfId="2" applyNumberFormat="1" applyFont="1" applyFill="1" applyBorder="1" applyAlignment="1">
      <alignment horizontal="right" vertical="center"/>
    </xf>
    <xf numFmtId="164" fontId="20" fillId="21" borderId="0" xfId="2" applyNumberFormat="1" applyFont="1" applyFill="1" applyBorder="1" applyAlignment="1" applyProtection="1">
      <alignment horizontal="left" vertical="center"/>
    </xf>
    <xf numFmtId="164" fontId="9" fillId="21" borderId="0" xfId="2" applyNumberFormat="1" applyFont="1" applyFill="1" applyAlignment="1">
      <alignment vertical="center"/>
    </xf>
    <xf numFmtId="164" fontId="12" fillId="21" borderId="0" xfId="2" applyNumberFormat="1" applyFont="1" applyFill="1" applyAlignment="1">
      <alignment horizontal="right" vertical="center"/>
    </xf>
    <xf numFmtId="166" fontId="15" fillId="21" borderId="0" xfId="2" applyNumberFormat="1" applyFont="1" applyFill="1" applyAlignment="1">
      <alignment horizontal="right" vertical="center"/>
    </xf>
    <xf numFmtId="166" fontId="15" fillId="21" borderId="0" xfId="2" applyNumberFormat="1" applyFont="1" applyFill="1" applyAlignment="1" applyProtection="1">
      <alignment horizontal="right" vertical="center"/>
      <protection locked="0"/>
    </xf>
    <xf numFmtId="164" fontId="17" fillId="21" borderId="0" xfId="2" applyNumberFormat="1" applyFont="1" applyFill="1" applyAlignment="1">
      <alignment vertical="center"/>
    </xf>
    <xf numFmtId="165" fontId="19" fillId="21" borderId="1" xfId="0" applyNumberFormat="1" applyFont="1" applyFill="1" applyBorder="1" applyAlignment="1">
      <alignment vertical="center"/>
    </xf>
    <xf numFmtId="166" fontId="15" fillId="21" borderId="0" xfId="2" applyNumberFormat="1" applyFont="1" applyFill="1" applyBorder="1" applyAlignment="1" applyProtection="1">
      <alignment horizontal="right" vertical="center"/>
      <protection locked="0"/>
    </xf>
    <xf numFmtId="164" fontId="9" fillId="21" borderId="0" xfId="2" applyNumberFormat="1" applyFont="1" applyFill="1" applyBorder="1" applyAlignment="1" applyProtection="1">
      <alignment horizontal="right"/>
    </xf>
    <xf numFmtId="165" fontId="15" fillId="21" borderId="0" xfId="2" applyNumberFormat="1" applyFont="1" applyFill="1" applyBorder="1" applyAlignment="1" applyProtection="1">
      <alignment horizontal="right" vertical="center"/>
      <protection locked="0"/>
    </xf>
    <xf numFmtId="165" fontId="15" fillId="21" borderId="0" xfId="2" applyNumberFormat="1" applyFont="1" applyFill="1" applyAlignment="1">
      <alignment vertical="center"/>
    </xf>
    <xf numFmtId="165" fontId="15" fillId="21" borderId="1" xfId="2" applyNumberFormat="1" applyFont="1" applyFill="1" applyBorder="1" applyAlignment="1" applyProtection="1">
      <alignment horizontal="right" vertical="center"/>
      <protection locked="0"/>
    </xf>
    <xf numFmtId="0" fontId="24" fillId="21" borderId="0" xfId="0" applyFont="1" applyFill="1" applyBorder="1" applyAlignment="1" applyProtection="1">
      <alignment horizontal="left" indent="2"/>
    </xf>
    <xf numFmtId="164" fontId="24" fillId="21" borderId="0" xfId="2" applyNumberFormat="1" applyFont="1" applyFill="1" applyAlignment="1" applyProtection="1">
      <alignment horizontal="left" vertical="center" indent="2"/>
    </xf>
    <xf numFmtId="165" fontId="19" fillId="21" borderId="0" xfId="0" applyNumberFormat="1" applyFont="1" applyFill="1" applyAlignment="1">
      <alignment horizontal="left" vertical="center" indent="2"/>
    </xf>
    <xf numFmtId="164" fontId="51" fillId="21" borderId="0" xfId="2" applyNumberFormat="1" applyFont="1" applyFill="1" applyAlignment="1">
      <alignment horizontal="left" vertical="center" indent="2"/>
    </xf>
    <xf numFmtId="0" fontId="53" fillId="21" borderId="10" xfId="0" applyFont="1" applyFill="1" applyBorder="1"/>
    <xf numFmtId="164" fontId="52" fillId="21" borderId="0" xfId="2" applyNumberFormat="1" applyFont="1" applyFill="1" applyBorder="1" applyAlignment="1">
      <alignment vertical="center" readingOrder="2"/>
    </xf>
    <xf numFmtId="166" fontId="27" fillId="21" borderId="0" xfId="2" applyNumberFormat="1" applyFont="1" applyFill="1" applyBorder="1" applyAlignment="1">
      <alignment vertical="center"/>
    </xf>
    <xf numFmtId="164" fontId="54" fillId="21" borderId="0" xfId="2" applyNumberFormat="1" applyFont="1" applyFill="1" applyAlignment="1">
      <alignment vertical="center"/>
    </xf>
    <xf numFmtId="164" fontId="10" fillId="21" borderId="0" xfId="2" applyNumberFormat="1" applyFont="1" applyFill="1" applyAlignment="1">
      <alignment horizontal="right" vertical="center"/>
    </xf>
    <xf numFmtId="0" fontId="6" fillId="21" borderId="8" xfId="0" applyFont="1" applyFill="1" applyBorder="1" applyAlignment="1">
      <alignment horizontal="center" vertical="center"/>
    </xf>
    <xf numFmtId="0" fontId="4" fillId="21" borderId="3" xfId="0" applyFont="1" applyFill="1" applyBorder="1" applyAlignment="1">
      <alignment horizontal="center" vertical="center"/>
    </xf>
    <xf numFmtId="0" fontId="6" fillId="21" borderId="8" xfId="0" applyFont="1" applyFill="1" applyBorder="1" applyAlignment="1">
      <alignment horizontal="center" vertical="center"/>
    </xf>
    <xf numFmtId="164" fontId="50" fillId="21" borderId="4" xfId="2" applyNumberFormat="1" applyFont="1" applyFill="1" applyBorder="1" applyAlignment="1">
      <alignment horizontal="center" vertical="center" readingOrder="2"/>
    </xf>
    <xf numFmtId="164" fontId="50" fillId="21" borderId="5" xfId="2" applyNumberFormat="1" applyFont="1" applyFill="1" applyBorder="1" applyAlignment="1">
      <alignment horizontal="center" vertical="center" readingOrder="2"/>
    </xf>
    <xf numFmtId="164" fontId="55" fillId="21" borderId="0" xfId="2" applyNumberFormat="1" applyFont="1" applyFill="1" applyBorder="1" applyAlignment="1" applyProtection="1">
      <alignment horizontal="center" vertical="center"/>
    </xf>
    <xf numFmtId="164" fontId="56" fillId="21" borderId="0" xfId="2" applyNumberFormat="1" applyFont="1" applyFill="1" applyBorder="1" applyAlignment="1">
      <alignment horizontal="center" vertical="center"/>
    </xf>
    <xf numFmtId="0" fontId="55" fillId="21" borderId="1" xfId="0" applyFont="1" applyFill="1" applyBorder="1" applyAlignment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U72"/>
  <sheetViews>
    <sheetView tabSelected="1" workbookViewId="0">
      <selection activeCell="W31" sqref="W31"/>
    </sheetView>
  </sheetViews>
  <sheetFormatPr defaultColWidth="11.140625" defaultRowHeight="17.25" x14ac:dyDescent="0.25"/>
  <cols>
    <col min="1" max="1" width="42" style="27" customWidth="1"/>
    <col min="2" max="2" width="2" style="27" customWidth="1"/>
    <col min="3" max="6" width="11.28515625" style="27" hidden="1" customWidth="1"/>
    <col min="7" max="7" width="2" style="27" customWidth="1"/>
    <col min="8" max="11" width="11.28515625" style="27" bestFit="1" customWidth="1"/>
    <col min="12" max="12" width="2" style="27" customWidth="1"/>
    <col min="13" max="16" width="11.28515625" style="27" bestFit="1" customWidth="1"/>
    <col min="17" max="17" width="37.140625" style="12" customWidth="1"/>
    <col min="18" max="18" width="3.5703125" style="44" customWidth="1"/>
    <col min="19" max="19" width="2.140625" style="27" customWidth="1"/>
    <col min="20" max="20" width="4.140625" style="27" customWidth="1"/>
    <col min="21" max="16384" width="11.140625" style="27"/>
  </cols>
  <sheetData>
    <row r="1" spans="1:20" ht="21" x14ac:dyDescent="0.25">
      <c r="A1" s="63" t="s">
        <v>64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spans="1:20" s="33" customFormat="1" ht="15" x14ac:dyDescent="0.25">
      <c r="A2" s="65" t="s">
        <v>65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</row>
    <row r="3" spans="1:20" ht="18" x14ac:dyDescent="0.25">
      <c r="A3" s="66" t="s">
        <v>0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</row>
    <row r="4" spans="1:20" s="33" customFormat="1" ht="15" x14ac:dyDescent="0.25">
      <c r="A4" s="67" t="s">
        <v>1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</row>
    <row r="5" spans="1:20" s="33" customFormat="1" x14ac:dyDescent="0.25">
      <c r="A5" s="17"/>
      <c r="B5" s="34"/>
      <c r="C5" s="61">
        <v>2014</v>
      </c>
      <c r="D5" s="61"/>
      <c r="E5" s="61"/>
      <c r="F5" s="61"/>
      <c r="G5" s="60"/>
      <c r="H5" s="62">
        <v>2015</v>
      </c>
      <c r="I5" s="62"/>
      <c r="J5" s="62"/>
      <c r="K5" s="62"/>
      <c r="L5" s="60"/>
      <c r="M5" s="62">
        <v>2016</v>
      </c>
      <c r="N5" s="62"/>
      <c r="O5" s="62"/>
      <c r="P5" s="62"/>
      <c r="Q5" s="18" t="s">
        <v>18</v>
      </c>
      <c r="R5" s="35" t="s">
        <v>18</v>
      </c>
    </row>
    <row r="6" spans="1:20" s="33" customFormat="1" x14ac:dyDescent="0.4">
      <c r="A6" s="36" t="s">
        <v>19</v>
      </c>
      <c r="B6" s="15"/>
      <c r="C6" s="29" t="s">
        <v>2</v>
      </c>
      <c r="D6" s="29" t="s">
        <v>3</v>
      </c>
      <c r="E6" s="29" t="s">
        <v>4</v>
      </c>
      <c r="F6" s="29" t="s">
        <v>6</v>
      </c>
      <c r="G6" s="29"/>
      <c r="H6" s="29" t="s">
        <v>2</v>
      </c>
      <c r="I6" s="29" t="s">
        <v>3</v>
      </c>
      <c r="J6" s="29" t="s">
        <v>4</v>
      </c>
      <c r="K6" s="1" t="s">
        <v>5</v>
      </c>
      <c r="L6" s="29"/>
      <c r="M6" s="29" t="s">
        <v>2</v>
      </c>
      <c r="N6" s="29" t="s">
        <v>3</v>
      </c>
      <c r="O6" s="29" t="s">
        <v>4</v>
      </c>
      <c r="P6" s="29" t="s">
        <v>6</v>
      </c>
      <c r="Q6" s="6"/>
      <c r="R6" s="2" t="s">
        <v>20</v>
      </c>
    </row>
    <row r="7" spans="1:20" s="28" customFormat="1" x14ac:dyDescent="0.2">
      <c r="A7" s="19"/>
      <c r="B7" s="37"/>
      <c r="C7" s="31" t="s">
        <v>7</v>
      </c>
      <c r="D7" s="31" t="s">
        <v>8</v>
      </c>
      <c r="E7" s="31" t="s">
        <v>9</v>
      </c>
      <c r="F7" s="31" t="s">
        <v>10</v>
      </c>
      <c r="G7" s="31"/>
      <c r="H7" s="31" t="s">
        <v>7</v>
      </c>
      <c r="I7" s="31" t="s">
        <v>8</v>
      </c>
      <c r="J7" s="31" t="s">
        <v>9</v>
      </c>
      <c r="K7" s="30" t="s">
        <v>14</v>
      </c>
      <c r="L7" s="31"/>
      <c r="M7" s="31" t="s">
        <v>7</v>
      </c>
      <c r="N7" s="31" t="s">
        <v>8</v>
      </c>
      <c r="O7" s="31" t="s">
        <v>9</v>
      </c>
      <c r="P7" s="31" t="s">
        <v>10</v>
      </c>
      <c r="Q7" s="20"/>
      <c r="R7" s="38"/>
    </row>
    <row r="8" spans="1:20" s="33" customFormat="1" x14ac:dyDescent="0.25">
      <c r="A8" s="39" t="s">
        <v>21</v>
      </c>
      <c r="B8" s="23"/>
      <c r="C8" s="23">
        <v>14400.897999999999</v>
      </c>
      <c r="D8" s="23">
        <v>14512.059000000001</v>
      </c>
      <c r="E8" s="23">
        <v>15322.853999999998</v>
      </c>
      <c r="F8" s="23">
        <v>14927.801000000001</v>
      </c>
      <c r="G8" s="23"/>
      <c r="H8" s="23">
        <v>14561.164999999999</v>
      </c>
      <c r="I8" s="23">
        <v>14571.035000000002</v>
      </c>
      <c r="J8" s="23">
        <v>15857.469000000001</v>
      </c>
      <c r="K8" s="23">
        <v>16759.404000000002</v>
      </c>
      <c r="L8" s="23"/>
      <c r="M8" s="23">
        <v>17066.547999999999</v>
      </c>
      <c r="N8" s="23">
        <v>17602.536</v>
      </c>
      <c r="O8" s="23">
        <v>18215.199999999997</v>
      </c>
      <c r="P8" s="23">
        <v>18513.334999999999</v>
      </c>
      <c r="Q8" s="40"/>
      <c r="R8" s="41" t="s">
        <v>22</v>
      </c>
    </row>
    <row r="9" spans="1:20" x14ac:dyDescent="0.25">
      <c r="A9" s="4" t="s">
        <v>23</v>
      </c>
      <c r="B9" s="42"/>
      <c r="C9" s="42">
        <v>11.313000000000001</v>
      </c>
      <c r="D9" s="42">
        <v>10.76</v>
      </c>
      <c r="E9" s="42">
        <v>9.6669999999999998</v>
      </c>
      <c r="F9" s="42">
        <v>7.85</v>
      </c>
      <c r="G9" s="42"/>
      <c r="H9" s="42">
        <v>5.9960000000000004</v>
      </c>
      <c r="I9" s="42">
        <v>6.2030000000000003</v>
      </c>
      <c r="J9" s="42">
        <v>5.2220000000000004</v>
      </c>
      <c r="K9" s="42">
        <v>4.1970000000000001</v>
      </c>
      <c r="L9" s="42"/>
      <c r="M9" s="42">
        <v>3.94</v>
      </c>
      <c r="N9" s="42">
        <v>3.1829999999999998</v>
      </c>
      <c r="O9" s="42">
        <v>2.754</v>
      </c>
      <c r="P9" s="42">
        <v>1.859</v>
      </c>
      <c r="R9" s="3" t="s">
        <v>24</v>
      </c>
    </row>
    <row r="10" spans="1:20" x14ac:dyDescent="0.25">
      <c r="A10" s="4" t="s">
        <v>25</v>
      </c>
      <c r="B10" s="42"/>
      <c r="C10" s="42">
        <v>539.71</v>
      </c>
      <c r="D10" s="42">
        <v>527.52</v>
      </c>
      <c r="E10" s="42">
        <v>546.65200000000004</v>
      </c>
      <c r="F10" s="42">
        <v>399.83100000000002</v>
      </c>
      <c r="G10" s="42"/>
      <c r="H10" s="42">
        <v>396.495</v>
      </c>
      <c r="I10" s="42">
        <v>435.536</v>
      </c>
      <c r="J10" s="42">
        <v>435.34300000000002</v>
      </c>
      <c r="K10" s="42">
        <v>450.85899999999998</v>
      </c>
      <c r="L10" s="42"/>
      <c r="M10" s="42">
        <v>492.53199999999998</v>
      </c>
      <c r="N10" s="42">
        <v>508.65</v>
      </c>
      <c r="O10" s="42">
        <v>511.803</v>
      </c>
      <c r="P10" s="42">
        <v>520.00400000000002</v>
      </c>
      <c r="R10" s="3" t="s">
        <v>26</v>
      </c>
    </row>
    <row r="11" spans="1:20" x14ac:dyDescent="0.25">
      <c r="A11" s="4" t="s">
        <v>27</v>
      </c>
      <c r="B11" s="42"/>
      <c r="C11" s="42">
        <v>303.154</v>
      </c>
      <c r="D11" s="42">
        <v>308.77699999999999</v>
      </c>
      <c r="E11" s="42">
        <v>334.00200000000001</v>
      </c>
      <c r="F11" s="42">
        <v>199.191</v>
      </c>
      <c r="G11" s="42"/>
      <c r="H11" s="42">
        <v>162.14099999999999</v>
      </c>
      <c r="I11" s="42">
        <v>198.24299999999999</v>
      </c>
      <c r="J11" s="42">
        <v>210.55799999999999</v>
      </c>
      <c r="K11" s="42">
        <v>170.82</v>
      </c>
      <c r="L11" s="42"/>
      <c r="M11" s="42">
        <v>168.958</v>
      </c>
      <c r="N11" s="42">
        <v>209.047</v>
      </c>
      <c r="O11" s="42">
        <v>198.56700000000001</v>
      </c>
      <c r="P11" s="42">
        <v>171.88800000000001</v>
      </c>
      <c r="R11" s="3" t="s">
        <v>28</v>
      </c>
    </row>
    <row r="12" spans="1:20" x14ac:dyDescent="0.25">
      <c r="A12" s="4" t="s">
        <v>29</v>
      </c>
      <c r="B12" s="42"/>
      <c r="C12" s="42">
        <v>1396.241</v>
      </c>
      <c r="D12" s="42">
        <v>1516.9290000000001</v>
      </c>
      <c r="E12" s="42">
        <v>1353.298</v>
      </c>
      <c r="F12" s="42">
        <v>1735.5219999999999</v>
      </c>
      <c r="G12" s="42"/>
      <c r="H12" s="42">
        <v>1870.5229999999999</v>
      </c>
      <c r="I12" s="42">
        <v>2232.1010000000001</v>
      </c>
      <c r="J12" s="42">
        <v>2419.4969999999998</v>
      </c>
      <c r="K12" s="42">
        <v>2441.692</v>
      </c>
      <c r="L12" s="42"/>
      <c r="M12" s="42">
        <v>2626.1129999999998</v>
      </c>
      <c r="N12" s="42">
        <v>2903.681</v>
      </c>
      <c r="O12" s="42">
        <v>3118.87</v>
      </c>
      <c r="P12" s="42">
        <v>3345.201</v>
      </c>
      <c r="R12" s="3" t="s">
        <v>30</v>
      </c>
    </row>
    <row r="13" spans="1:20" x14ac:dyDescent="0.25">
      <c r="A13" s="4" t="s">
        <v>31</v>
      </c>
      <c r="B13" s="42"/>
      <c r="C13" s="42">
        <v>703.29899999999998</v>
      </c>
      <c r="D13" s="42">
        <v>727.846</v>
      </c>
      <c r="E13" s="42">
        <v>628.17999999999995</v>
      </c>
      <c r="F13" s="42">
        <v>619.45399999999995</v>
      </c>
      <c r="G13" s="42"/>
      <c r="H13" s="42">
        <v>634.46799999999996</v>
      </c>
      <c r="I13" s="42">
        <v>540.15200000000004</v>
      </c>
      <c r="J13" s="42">
        <v>596.17700000000002</v>
      </c>
      <c r="K13" s="42">
        <v>669.92200000000003</v>
      </c>
      <c r="L13" s="42"/>
      <c r="M13" s="42">
        <v>679.99199999999996</v>
      </c>
      <c r="N13" s="42">
        <v>702.00599999999997</v>
      </c>
      <c r="O13" s="42">
        <v>716.58600000000001</v>
      </c>
      <c r="P13" s="42">
        <v>633.03</v>
      </c>
      <c r="R13" s="59" t="s">
        <v>32</v>
      </c>
    </row>
    <row r="14" spans="1:20" x14ac:dyDescent="0.25">
      <c r="A14" s="4" t="s">
        <v>33</v>
      </c>
      <c r="B14" s="22"/>
      <c r="C14" s="22">
        <v>7392.9769999999999</v>
      </c>
      <c r="D14" s="22">
        <v>7316.076</v>
      </c>
      <c r="E14" s="22">
        <v>7916.98</v>
      </c>
      <c r="F14" s="22">
        <v>6475.9759999999997</v>
      </c>
      <c r="G14" s="22"/>
      <c r="H14" s="22">
        <v>6769.2820000000002</v>
      </c>
      <c r="I14" s="22">
        <v>5704.3559999999998</v>
      </c>
      <c r="J14" s="22">
        <v>6341.5559999999996</v>
      </c>
      <c r="K14" s="22">
        <v>6628.0360000000001</v>
      </c>
      <c r="L14" s="22"/>
      <c r="M14" s="22">
        <v>6839.6419999999998</v>
      </c>
      <c r="N14" s="22">
        <v>7037.5420000000004</v>
      </c>
      <c r="O14" s="22">
        <v>7180.2820000000002</v>
      </c>
      <c r="P14" s="22">
        <v>7257</v>
      </c>
      <c r="R14" s="3" t="s">
        <v>34</v>
      </c>
      <c r="T14" s="5"/>
    </row>
    <row r="15" spans="1:20" x14ac:dyDescent="0.25">
      <c r="A15" s="4" t="s">
        <v>35</v>
      </c>
      <c r="B15" s="22"/>
      <c r="C15" s="22">
        <v>5754.74</v>
      </c>
      <c r="D15" s="22">
        <v>5538.8490000000002</v>
      </c>
      <c r="E15" s="22">
        <v>6163.9790000000003</v>
      </c>
      <c r="F15" s="22">
        <v>3008.6959999999999</v>
      </c>
      <c r="G15" s="22"/>
      <c r="H15" s="22">
        <v>3216.1849999999999</v>
      </c>
      <c r="I15" s="22">
        <v>2589.7530000000002</v>
      </c>
      <c r="J15" s="22">
        <v>2412.2710000000002</v>
      </c>
      <c r="K15" s="22">
        <v>2501.9949999999999</v>
      </c>
      <c r="L15" s="22"/>
      <c r="M15" s="22">
        <v>2365.8290000000002</v>
      </c>
      <c r="N15" s="22">
        <v>2755.636</v>
      </c>
      <c r="O15" s="22">
        <v>2821.58</v>
      </c>
      <c r="P15" s="22">
        <v>2792.4110000000001</v>
      </c>
      <c r="Q15" s="59" t="s">
        <v>36</v>
      </c>
      <c r="T15" s="5"/>
    </row>
    <row r="16" spans="1:20" x14ac:dyDescent="0.25">
      <c r="A16" s="4" t="s">
        <v>37</v>
      </c>
      <c r="B16" s="22"/>
      <c r="C16" s="22">
        <v>359.95499999999998</v>
      </c>
      <c r="D16" s="22">
        <v>345.63099999999997</v>
      </c>
      <c r="E16" s="22">
        <v>228.72200000000001</v>
      </c>
      <c r="F16" s="22">
        <v>1713.1220000000001</v>
      </c>
      <c r="G16" s="22"/>
      <c r="H16" s="22">
        <v>1578.6210000000001</v>
      </c>
      <c r="I16" s="22">
        <v>1218.3489999999999</v>
      </c>
      <c r="J16" s="22">
        <v>1184.19</v>
      </c>
      <c r="K16" s="22">
        <v>1040.6220000000001</v>
      </c>
      <c r="L16" s="22"/>
      <c r="M16" s="22">
        <v>1034.953</v>
      </c>
      <c r="N16" s="22">
        <v>1124.6869999999999</v>
      </c>
      <c r="O16" s="22">
        <v>1202.8389999999999</v>
      </c>
      <c r="P16" s="22">
        <v>1333.329</v>
      </c>
      <c r="Q16" s="59" t="s">
        <v>38</v>
      </c>
      <c r="T16" s="5"/>
    </row>
    <row r="17" spans="1:18" x14ac:dyDescent="0.25">
      <c r="A17" s="4" t="s">
        <v>39</v>
      </c>
      <c r="B17" s="22"/>
      <c r="C17" s="22">
        <v>79.459000000000003</v>
      </c>
      <c r="D17" s="22">
        <v>80.525000000000006</v>
      </c>
      <c r="E17" s="22">
        <v>59.835999999999999</v>
      </c>
      <c r="F17" s="22">
        <v>25.989000000000001</v>
      </c>
      <c r="G17" s="22"/>
      <c r="H17" s="22">
        <v>26.155000000000001</v>
      </c>
      <c r="I17" s="22">
        <v>43.899000000000001</v>
      </c>
      <c r="J17" s="22">
        <v>43.23</v>
      </c>
      <c r="K17" s="22">
        <v>58.23</v>
      </c>
      <c r="L17" s="22"/>
      <c r="M17" s="22">
        <v>55.375999999999998</v>
      </c>
      <c r="N17" s="22">
        <v>60.523000000000003</v>
      </c>
      <c r="O17" s="22">
        <v>62.585000000000001</v>
      </c>
      <c r="P17" s="22">
        <v>58.401000000000003</v>
      </c>
      <c r="Q17" s="59" t="s">
        <v>40</v>
      </c>
    </row>
    <row r="18" spans="1:18" x14ac:dyDescent="0.25">
      <c r="A18" s="4" t="s">
        <v>41</v>
      </c>
      <c r="B18" s="22"/>
      <c r="C18" s="22">
        <v>1198.8230000000001</v>
      </c>
      <c r="D18" s="22">
        <v>1351.0709999999999</v>
      </c>
      <c r="E18" s="22">
        <v>1464.443</v>
      </c>
      <c r="F18" s="22">
        <v>1728.1690000000001</v>
      </c>
      <c r="G18" s="22"/>
      <c r="H18" s="22">
        <v>1948.3209999999999</v>
      </c>
      <c r="I18" s="22">
        <v>1832.4490000000001</v>
      </c>
      <c r="J18" s="22">
        <v>2673.893</v>
      </c>
      <c r="K18" s="22">
        <v>2986.0819999999999</v>
      </c>
      <c r="L18" s="22"/>
      <c r="M18" s="22">
        <v>3342.75</v>
      </c>
      <c r="N18" s="22">
        <v>3050.962</v>
      </c>
      <c r="O18" s="22">
        <v>3044.1529999999998</v>
      </c>
      <c r="P18" s="22">
        <v>2893.8150000000001</v>
      </c>
      <c r="Q18" s="59" t="s">
        <v>42</v>
      </c>
    </row>
    <row r="19" spans="1:18" x14ac:dyDescent="0.25">
      <c r="A19" s="53" t="s">
        <v>62</v>
      </c>
      <c r="B19" s="22"/>
      <c r="C19" s="22">
        <v>0</v>
      </c>
      <c r="D19" s="22">
        <v>0</v>
      </c>
      <c r="E19" s="22">
        <v>0</v>
      </c>
      <c r="F19" s="22">
        <v>0</v>
      </c>
      <c r="G19" s="22"/>
      <c r="H19" s="22">
        <v>0</v>
      </c>
      <c r="I19" s="22">
        <v>19.905999999999999</v>
      </c>
      <c r="J19" s="22">
        <v>27.972000000000001</v>
      </c>
      <c r="K19" s="22">
        <v>41.106999999999999</v>
      </c>
      <c r="L19" s="22"/>
      <c r="M19" s="22">
        <v>40.734000000000002</v>
      </c>
      <c r="N19" s="22">
        <v>45.734000000000002</v>
      </c>
      <c r="O19" s="22">
        <v>49.125</v>
      </c>
      <c r="P19" s="22">
        <v>179.04400000000001</v>
      </c>
      <c r="Q19" s="59" t="s">
        <v>63</v>
      </c>
    </row>
    <row r="20" spans="1:18" x14ac:dyDescent="0.25">
      <c r="A20" s="4" t="s">
        <v>43</v>
      </c>
      <c r="B20" s="22"/>
      <c r="C20" s="22">
        <v>2221.5349999999999</v>
      </c>
      <c r="D20" s="22">
        <v>2183.2869999999998</v>
      </c>
      <c r="E20" s="22">
        <v>2389.9369999999999</v>
      </c>
      <c r="F20" s="22">
        <v>2515.5010000000002</v>
      </c>
      <c r="G20" s="22"/>
      <c r="H20" s="22">
        <v>2424.125</v>
      </c>
      <c r="I20" s="22">
        <v>2577.0039999999999</v>
      </c>
      <c r="J20" s="22">
        <v>2697.165</v>
      </c>
      <c r="K20" s="22">
        <v>2964.2629999999999</v>
      </c>
      <c r="L20" s="22"/>
      <c r="M20" s="22">
        <v>2832.1790000000001</v>
      </c>
      <c r="N20" s="22">
        <v>3180.355</v>
      </c>
      <c r="O20" s="22">
        <v>3376.1930000000002</v>
      </c>
      <c r="P20" s="22">
        <v>3178.0709999999999</v>
      </c>
      <c r="R20" s="3" t="s">
        <v>44</v>
      </c>
    </row>
    <row r="21" spans="1:18" x14ac:dyDescent="0.25">
      <c r="A21" s="4" t="s">
        <v>45</v>
      </c>
      <c r="B21" s="22"/>
      <c r="C21" s="22">
        <v>2196.9639999999999</v>
      </c>
      <c r="D21" s="22">
        <v>2157.1010000000001</v>
      </c>
      <c r="E21" s="22">
        <v>2357.3330000000001</v>
      </c>
      <c r="F21" s="22">
        <v>2496.123</v>
      </c>
      <c r="G21" s="22"/>
      <c r="H21" s="22">
        <v>2400.4650000000001</v>
      </c>
      <c r="I21" s="22">
        <v>2555.6880000000001</v>
      </c>
      <c r="J21" s="22">
        <v>2660.3589999999999</v>
      </c>
      <c r="K21" s="22">
        <v>2908.9319999999998</v>
      </c>
      <c r="L21" s="22"/>
      <c r="M21" s="22">
        <v>2777.42</v>
      </c>
      <c r="N21" s="22">
        <v>3122.4850000000001</v>
      </c>
      <c r="O21" s="22">
        <v>3304.87</v>
      </c>
      <c r="P21" s="22">
        <v>3110.6129999999998</v>
      </c>
      <c r="Q21" s="59" t="s">
        <v>46</v>
      </c>
    </row>
    <row r="22" spans="1:18" x14ac:dyDescent="0.25">
      <c r="A22" s="4" t="s">
        <v>47</v>
      </c>
      <c r="B22" s="22"/>
      <c r="C22" s="22">
        <v>24.571000000000002</v>
      </c>
      <c r="D22" s="22">
        <v>26.186</v>
      </c>
      <c r="E22" s="22">
        <v>32.603999999999999</v>
      </c>
      <c r="F22" s="22">
        <v>19.378</v>
      </c>
      <c r="G22" s="22"/>
      <c r="H22" s="22">
        <v>23.66</v>
      </c>
      <c r="I22" s="22">
        <v>21.315999999999999</v>
      </c>
      <c r="J22" s="22">
        <v>36.805999999999997</v>
      </c>
      <c r="K22" s="22">
        <v>55.331000000000003</v>
      </c>
      <c r="L22" s="22"/>
      <c r="M22" s="22">
        <v>54.759</v>
      </c>
      <c r="N22" s="22">
        <v>57.87</v>
      </c>
      <c r="O22" s="22">
        <v>71.322999999999993</v>
      </c>
      <c r="P22" s="22">
        <v>67.457999999999998</v>
      </c>
      <c r="Q22" s="12" t="s">
        <v>48</v>
      </c>
    </row>
    <row r="23" spans="1:18" x14ac:dyDescent="0.25">
      <c r="A23" s="4" t="s">
        <v>49</v>
      </c>
      <c r="B23" s="22"/>
      <c r="C23" s="22">
        <v>595.08900000000006</v>
      </c>
      <c r="D23" s="22">
        <v>519.35699999999997</v>
      </c>
      <c r="E23" s="22">
        <v>583.33000000000004</v>
      </c>
      <c r="F23" s="22">
        <v>613.14300000000003</v>
      </c>
      <c r="G23" s="22"/>
      <c r="H23" s="22">
        <v>563.529</v>
      </c>
      <c r="I23" s="22">
        <v>631.05899999999997</v>
      </c>
      <c r="J23" s="22">
        <v>563.803</v>
      </c>
      <c r="K23" s="22">
        <v>894.28700000000003</v>
      </c>
      <c r="L23" s="22"/>
      <c r="M23" s="22">
        <v>889.09699999999998</v>
      </c>
      <c r="N23" s="22">
        <v>991.72</v>
      </c>
      <c r="O23" s="22">
        <v>989.64099999999996</v>
      </c>
      <c r="P23" s="22">
        <v>1069.778</v>
      </c>
      <c r="R23" s="59" t="s">
        <v>50</v>
      </c>
    </row>
    <row r="24" spans="1:18" x14ac:dyDescent="0.25">
      <c r="A24" s="4" t="s">
        <v>51</v>
      </c>
      <c r="B24" s="22"/>
      <c r="C24" s="22">
        <v>17.791</v>
      </c>
      <c r="D24" s="22">
        <v>10.627000000000001</v>
      </c>
      <c r="E24" s="22">
        <v>7.9530000000000003</v>
      </c>
      <c r="F24" s="22">
        <v>54.003</v>
      </c>
      <c r="G24" s="22"/>
      <c r="H24" s="22">
        <v>46.017000000000003</v>
      </c>
      <c r="I24" s="22">
        <v>42.026000000000003</v>
      </c>
      <c r="J24" s="22">
        <v>29.045999999999999</v>
      </c>
      <c r="K24" s="22">
        <v>21.972000000000001</v>
      </c>
      <c r="L24" s="22"/>
      <c r="M24" s="22">
        <v>18.649000000000001</v>
      </c>
      <c r="N24" s="22">
        <v>18.823</v>
      </c>
      <c r="O24" s="22">
        <v>16.07</v>
      </c>
      <c r="P24" s="22">
        <v>13.896000000000001</v>
      </c>
      <c r="R24" s="59" t="s">
        <v>52</v>
      </c>
    </row>
    <row r="25" spans="1:18" x14ac:dyDescent="0.25">
      <c r="A25" s="45" t="s">
        <v>53</v>
      </c>
      <c r="B25" s="25"/>
      <c r="C25" s="25">
        <v>1219.789</v>
      </c>
      <c r="D25" s="25">
        <v>1390.88</v>
      </c>
      <c r="E25" s="25">
        <v>1552.855</v>
      </c>
      <c r="F25" s="25">
        <v>2307.33</v>
      </c>
      <c r="G25" s="25"/>
      <c r="H25" s="25">
        <v>1688.5889999999999</v>
      </c>
      <c r="I25" s="25">
        <v>2204.355</v>
      </c>
      <c r="J25" s="25">
        <v>2559.1019999999999</v>
      </c>
      <c r="K25" s="25">
        <v>2513.3559999999998</v>
      </c>
      <c r="L25" s="25"/>
      <c r="M25" s="25">
        <v>2515.4459999999999</v>
      </c>
      <c r="N25" s="25">
        <v>2047.529</v>
      </c>
      <c r="O25" s="25">
        <v>2104.4340000000002</v>
      </c>
      <c r="P25" s="25">
        <v>2322.6080000000002</v>
      </c>
      <c r="Q25" s="24"/>
      <c r="R25" s="7" t="s">
        <v>54</v>
      </c>
    </row>
    <row r="26" spans="1:18" x14ac:dyDescent="0.45">
      <c r="A26" s="8" t="s">
        <v>55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R26" s="47" t="s">
        <v>56</v>
      </c>
    </row>
    <row r="27" spans="1:18" x14ac:dyDescent="0.25">
      <c r="A27" s="4" t="s">
        <v>25</v>
      </c>
      <c r="B27" s="48"/>
      <c r="C27" s="48">
        <f t="shared" ref="C27:K27" si="0">C10/C8*100</f>
        <v>3.7477523971074587</v>
      </c>
      <c r="D27" s="48">
        <f t="shared" si="0"/>
        <v>3.6350458608251244</v>
      </c>
      <c r="E27" s="48">
        <f t="shared" si="0"/>
        <v>3.5675599336781523</v>
      </c>
      <c r="F27" s="48">
        <f t="shared" si="0"/>
        <v>2.678432007500636</v>
      </c>
      <c r="G27" s="48"/>
      <c r="H27" s="48">
        <f t="shared" si="0"/>
        <v>2.7229620706859654</v>
      </c>
      <c r="I27" s="48">
        <f t="shared" si="0"/>
        <v>2.9890532827626859</v>
      </c>
      <c r="J27" s="48">
        <f t="shared" si="0"/>
        <v>2.7453498411379522</v>
      </c>
      <c r="K27" s="48">
        <f t="shared" si="0"/>
        <v>2.6901851641024939</v>
      </c>
      <c r="L27" s="48"/>
      <c r="M27" s="48">
        <f>M10/M8*100</f>
        <v>2.8859497538693821</v>
      </c>
      <c r="N27" s="48">
        <f t="shared" ref="N27:P27" si="1">N10/N8*100</f>
        <v>2.8896404472628259</v>
      </c>
      <c r="O27" s="48">
        <f t="shared" si="1"/>
        <v>2.8097577847072777</v>
      </c>
      <c r="P27" s="48">
        <f t="shared" si="1"/>
        <v>2.808807813395048</v>
      </c>
      <c r="R27" s="3" t="s">
        <v>26</v>
      </c>
    </row>
    <row r="28" spans="1:18" x14ac:dyDescent="0.25">
      <c r="A28" s="4" t="s">
        <v>29</v>
      </c>
      <c r="B28" s="48"/>
      <c r="C28" s="48">
        <f t="shared" ref="C28:K28" si="2">+C12/C8*100</f>
        <v>9.6955134325651091</v>
      </c>
      <c r="D28" s="48">
        <f t="shared" si="2"/>
        <v>10.452886113541847</v>
      </c>
      <c r="E28" s="48">
        <f t="shared" si="2"/>
        <v>8.8318925443001675</v>
      </c>
      <c r="F28" s="48">
        <f t="shared" si="2"/>
        <v>11.62610621618013</v>
      </c>
      <c r="G28" s="49"/>
      <c r="H28" s="48">
        <f t="shared" si="2"/>
        <v>12.845970772256205</v>
      </c>
      <c r="I28" s="48">
        <f t="shared" si="2"/>
        <v>15.318753952619012</v>
      </c>
      <c r="J28" s="48">
        <f t="shared" si="2"/>
        <v>15.257775373863256</v>
      </c>
      <c r="K28" s="48">
        <f t="shared" si="2"/>
        <v>14.569086108312682</v>
      </c>
      <c r="L28" s="49"/>
      <c r="M28" s="48">
        <f>+M12/M8*100</f>
        <v>15.387487850501461</v>
      </c>
      <c r="N28" s="48">
        <f t="shared" ref="N28:P28" si="3">+N12/N8*100</f>
        <v>16.495810603653929</v>
      </c>
      <c r="O28" s="48">
        <f t="shared" si="3"/>
        <v>17.122348368395627</v>
      </c>
      <c r="P28" s="48">
        <f t="shared" si="3"/>
        <v>18.069143133854599</v>
      </c>
      <c r="R28" s="3" t="s">
        <v>30</v>
      </c>
    </row>
    <row r="29" spans="1:18" x14ac:dyDescent="0.25">
      <c r="A29" s="4" t="s">
        <v>33</v>
      </c>
      <c r="B29" s="48"/>
      <c r="C29" s="48">
        <f t="shared" ref="C29:K29" si="4">+C14/C8*100</f>
        <v>51.336916628393595</v>
      </c>
      <c r="D29" s="48">
        <f t="shared" si="4"/>
        <v>50.41376967940937</v>
      </c>
      <c r="E29" s="48">
        <f t="shared" si="4"/>
        <v>51.667789825576882</v>
      </c>
      <c r="F29" s="48">
        <f t="shared" si="4"/>
        <v>43.381982383071687</v>
      </c>
      <c r="G29" s="49"/>
      <c r="H29" s="48">
        <f t="shared" si="4"/>
        <v>46.488601701855593</v>
      </c>
      <c r="I29" s="48">
        <f t="shared" si="4"/>
        <v>39.148598572441827</v>
      </c>
      <c r="J29" s="48">
        <f t="shared" si="4"/>
        <v>39.990972077574291</v>
      </c>
      <c r="K29" s="48">
        <f t="shared" si="4"/>
        <v>39.548160543179215</v>
      </c>
      <c r="L29" s="49"/>
      <c r="M29" s="48">
        <f>+M14/M8*100</f>
        <v>40.076305999315153</v>
      </c>
      <c r="N29" s="48">
        <f t="shared" ref="N29:P29" si="5">+N14/N8*100</f>
        <v>39.980273296984024</v>
      </c>
      <c r="O29" s="48">
        <f t="shared" si="5"/>
        <v>39.419177390311397</v>
      </c>
      <c r="P29" s="48">
        <f t="shared" si="5"/>
        <v>39.198772128306437</v>
      </c>
      <c r="R29" s="3" t="s">
        <v>34</v>
      </c>
    </row>
    <row r="30" spans="1:18" x14ac:dyDescent="0.25">
      <c r="A30" s="4" t="s">
        <v>43</v>
      </c>
      <c r="B30" s="48"/>
      <c r="C30" s="48">
        <f t="shared" ref="C30:K30" si="6">+C20/C8*100</f>
        <v>15.42636438366552</v>
      </c>
      <c r="D30" s="48">
        <f t="shared" si="6"/>
        <v>15.04463977165473</v>
      </c>
      <c r="E30" s="48">
        <f t="shared" si="6"/>
        <v>15.597205324804374</v>
      </c>
      <c r="F30" s="48">
        <f t="shared" si="6"/>
        <v>16.851115579582014</v>
      </c>
      <c r="G30" s="49"/>
      <c r="H30" s="48">
        <f t="shared" si="6"/>
        <v>16.647878105907051</v>
      </c>
      <c r="I30" s="48">
        <f t="shared" si="6"/>
        <v>17.685799258597619</v>
      </c>
      <c r="J30" s="48">
        <f t="shared" si="6"/>
        <v>17.008798819029693</v>
      </c>
      <c r="K30" s="48">
        <f t="shared" si="6"/>
        <v>17.687162383578791</v>
      </c>
      <c r="L30" s="49"/>
      <c r="M30" s="48">
        <f>+M20/M8*100</f>
        <v>16.594914214637903</v>
      </c>
      <c r="N30" s="48">
        <f t="shared" ref="N30:P30" si="7">+N20/N8*100</f>
        <v>18.067595487377499</v>
      </c>
      <c r="O30" s="48">
        <f t="shared" si="7"/>
        <v>18.535031182748479</v>
      </c>
      <c r="P30" s="48">
        <f t="shared" si="7"/>
        <v>17.166388443789302</v>
      </c>
      <c r="R30" s="3" t="s">
        <v>44</v>
      </c>
    </row>
    <row r="31" spans="1:18" x14ac:dyDescent="0.25">
      <c r="A31" s="45" t="s">
        <v>49</v>
      </c>
      <c r="B31" s="50"/>
      <c r="C31" s="50">
        <f t="shared" ref="C31:K31" si="8">+C23/C8*100</f>
        <v>4.1323048048809188</v>
      </c>
      <c r="D31" s="50">
        <f t="shared" si="8"/>
        <v>3.5787960895142441</v>
      </c>
      <c r="E31" s="50">
        <f t="shared" si="8"/>
        <v>3.8069278738804146</v>
      </c>
      <c r="F31" s="50">
        <f t="shared" si="8"/>
        <v>4.1073899631968569</v>
      </c>
      <c r="G31" s="50"/>
      <c r="H31" s="50">
        <f t="shared" si="8"/>
        <v>3.8700818238101142</v>
      </c>
      <c r="I31" s="50">
        <f t="shared" si="8"/>
        <v>4.330914035962441</v>
      </c>
      <c r="J31" s="50">
        <f t="shared" si="8"/>
        <v>3.5554412876354982</v>
      </c>
      <c r="K31" s="50">
        <f t="shared" si="8"/>
        <v>5.3360310426313484</v>
      </c>
      <c r="L31" s="50"/>
      <c r="M31" s="50">
        <f>+M23/M8*100</f>
        <v>5.2095889572982186</v>
      </c>
      <c r="N31" s="50">
        <f t="shared" ref="N31:P31" si="9">+N23/N8*100</f>
        <v>5.6339609247213023</v>
      </c>
      <c r="O31" s="50">
        <f t="shared" si="9"/>
        <v>5.4330504194299269</v>
      </c>
      <c r="P31" s="50">
        <f t="shared" si="9"/>
        <v>5.778418637160728</v>
      </c>
      <c r="Q31" s="24"/>
      <c r="R31" s="7" t="s">
        <v>57</v>
      </c>
    </row>
    <row r="32" spans="1:18" x14ac:dyDescent="0.25">
      <c r="A32" s="8" t="s">
        <v>11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R32" s="9" t="s">
        <v>12</v>
      </c>
    </row>
    <row r="33" spans="1:21" x14ac:dyDescent="0.25">
      <c r="A33" s="4" t="s">
        <v>25</v>
      </c>
      <c r="B33" s="46"/>
      <c r="C33" s="48">
        <v>-0.485669611906836</v>
      </c>
      <c r="D33" s="48">
        <v>-5.3067496225876587</v>
      </c>
      <c r="E33" s="48">
        <v>-3.6860456716580892</v>
      </c>
      <c r="F33" s="48">
        <v>-26.8514452982071</v>
      </c>
      <c r="G33" s="22"/>
      <c r="H33" s="48">
        <f>+(H10/C10-1)*100</f>
        <v>-26.535546867762317</v>
      </c>
      <c r="I33" s="48">
        <f t="shared" ref="I33:K33" si="10">+(I10/D10-1)*100</f>
        <v>-17.437063997573542</v>
      </c>
      <c r="J33" s="48">
        <f t="shared" si="10"/>
        <v>-20.361948735209968</v>
      </c>
      <c r="K33" s="48">
        <f t="shared" si="10"/>
        <v>12.762392110666742</v>
      </c>
      <c r="L33" s="22"/>
      <c r="M33" s="48">
        <f>(M10/H10-1)*100</f>
        <v>24.221490813251112</v>
      </c>
      <c r="N33" s="48">
        <f t="shared" ref="N33:P33" si="11">(N10/I10-1)*100</f>
        <v>16.787131258954481</v>
      </c>
      <c r="O33" s="48">
        <f t="shared" si="11"/>
        <v>17.563162839416279</v>
      </c>
      <c r="P33" s="48">
        <f t="shared" si="11"/>
        <v>15.336280300493076</v>
      </c>
      <c r="R33" s="3" t="s">
        <v>26</v>
      </c>
    </row>
    <row r="34" spans="1:21" x14ac:dyDescent="0.25">
      <c r="A34" s="4" t="s">
        <v>29</v>
      </c>
      <c r="B34" s="43"/>
      <c r="C34" s="48">
        <v>15.296055755343696</v>
      </c>
      <c r="D34" s="48">
        <v>35.3216828132527</v>
      </c>
      <c r="E34" s="48">
        <v>8.8728310678611866</v>
      </c>
      <c r="F34" s="48">
        <v>31.301642489545635</v>
      </c>
      <c r="G34" s="22"/>
      <c r="H34" s="48">
        <f>+(H12/C12-1)*100</f>
        <v>33.968491112923907</v>
      </c>
      <c r="I34" s="48">
        <f t="shared" ref="I34:K34" si="12">+(I12/D12-1)*100</f>
        <v>47.146043091008202</v>
      </c>
      <c r="J34" s="48">
        <f t="shared" si="12"/>
        <v>78.785234294294384</v>
      </c>
      <c r="K34" s="48">
        <f t="shared" si="12"/>
        <v>40.68919898451302</v>
      </c>
      <c r="L34" s="22"/>
      <c r="M34" s="48">
        <f>(M12/H12-1)*100</f>
        <v>40.394584830018118</v>
      </c>
      <c r="N34" s="48">
        <f t="shared" ref="N34:P34" si="13">(N12/I12-1)*100</f>
        <v>30.0873481979534</v>
      </c>
      <c r="O34" s="48">
        <f t="shared" si="13"/>
        <v>28.905718833294692</v>
      </c>
      <c r="P34" s="48">
        <f t="shared" si="13"/>
        <v>37.003397643928878</v>
      </c>
      <c r="R34" s="3" t="s">
        <v>30</v>
      </c>
    </row>
    <row r="35" spans="1:21" x14ac:dyDescent="0.25">
      <c r="A35" s="4" t="s">
        <v>33</v>
      </c>
      <c r="B35" s="43"/>
      <c r="C35" s="48">
        <v>-13.467649874484987</v>
      </c>
      <c r="D35" s="48">
        <v>-10.56322213549482</v>
      </c>
      <c r="E35" s="48">
        <v>-0.40439665945666281</v>
      </c>
      <c r="F35" s="48">
        <v>-12.840806696585705</v>
      </c>
      <c r="G35" s="22"/>
      <c r="H35" s="48">
        <f>+(H14/C14-1)*100</f>
        <v>-8.4363173319760065</v>
      </c>
      <c r="I35" s="48">
        <f t="shared" ref="I35:K35" si="14">+(I14/D14-1)*100</f>
        <v>-22.029842226898687</v>
      </c>
      <c r="J35" s="48">
        <f t="shared" si="14"/>
        <v>-19.899305038032178</v>
      </c>
      <c r="K35" s="48">
        <f t="shared" si="14"/>
        <v>2.3480630564412186</v>
      </c>
      <c r="L35" s="22"/>
      <c r="M35" s="48">
        <f>(M14/H14-1)*100</f>
        <v>1.0394012245316331</v>
      </c>
      <c r="N35" s="48">
        <f t="shared" ref="N35:P35" si="15">(N14/I14-1)*100</f>
        <v>23.371367425174739</v>
      </c>
      <c r="O35" s="48">
        <f t="shared" si="15"/>
        <v>13.225870748440926</v>
      </c>
      <c r="P35" s="48">
        <f t="shared" si="15"/>
        <v>9.4894475527893984</v>
      </c>
      <c r="R35" s="3" t="s">
        <v>34</v>
      </c>
    </row>
    <row r="36" spans="1:21" x14ac:dyDescent="0.25">
      <c r="A36" s="4" t="s">
        <v>43</v>
      </c>
      <c r="B36" s="22"/>
      <c r="C36" s="48">
        <v>8.8559791689737608</v>
      </c>
      <c r="D36" s="48">
        <v>7.4616735140073054</v>
      </c>
      <c r="E36" s="48">
        <v>14.547537282851209</v>
      </c>
      <c r="F36" s="48">
        <v>-1.4142160733733977</v>
      </c>
      <c r="G36" s="22"/>
      <c r="H36" s="48">
        <f>+(H20/C20-1)*100</f>
        <v>9.1193701652235948</v>
      </c>
      <c r="I36" s="48">
        <f t="shared" ref="I36:K36" si="16">+(I20/D20-1)*100</f>
        <v>18.033222384413961</v>
      </c>
      <c r="J36" s="48">
        <f t="shared" si="16"/>
        <v>12.855066890884581</v>
      </c>
      <c r="K36" s="48">
        <f t="shared" si="16"/>
        <v>17.839865696733948</v>
      </c>
      <c r="L36" s="22"/>
      <c r="M36" s="48">
        <f>(M20/H20-1)*100</f>
        <v>16.833042850513081</v>
      </c>
      <c r="N36" s="48">
        <f t="shared" ref="N36:P36" si="17">(N20/I20-1)*100</f>
        <v>23.41288566102342</v>
      </c>
      <c r="O36" s="48">
        <f t="shared" si="17"/>
        <v>25.17561958575023</v>
      </c>
      <c r="P36" s="48">
        <f t="shared" si="17"/>
        <v>7.2128552695897685</v>
      </c>
      <c r="R36" s="3" t="s">
        <v>44</v>
      </c>
    </row>
    <row r="37" spans="1:21" x14ac:dyDescent="0.25">
      <c r="A37" s="45" t="s">
        <v>49</v>
      </c>
      <c r="B37" s="25"/>
      <c r="C37" s="50">
        <v>-1.0757031717534282</v>
      </c>
      <c r="D37" s="50">
        <v>-5.8644727684009084</v>
      </c>
      <c r="E37" s="50">
        <v>7.1478428260741689</v>
      </c>
      <c r="F37" s="50">
        <v>23.758737728719371</v>
      </c>
      <c r="G37" s="25"/>
      <c r="H37" s="50">
        <f>+(H23/C23-1)*100</f>
        <v>-5.3034083977354758</v>
      </c>
      <c r="I37" s="50">
        <f t="shared" ref="I37:K37" si="18">+(I23/D23-1)*100</f>
        <v>21.507749005019662</v>
      </c>
      <c r="J37" s="50">
        <f t="shared" si="18"/>
        <v>-3.3475048428848186</v>
      </c>
      <c r="K37" s="50">
        <f t="shared" si="18"/>
        <v>45.852925010968072</v>
      </c>
      <c r="L37" s="25"/>
      <c r="M37" s="50">
        <f>(M23/H23-1)*100</f>
        <v>57.773069354017267</v>
      </c>
      <c r="N37" s="50">
        <f t="shared" ref="N37:P37" si="19">(N23/I23-1)*100</f>
        <v>57.151708477337301</v>
      </c>
      <c r="O37" s="50">
        <f t="shared" si="19"/>
        <v>75.529573272933973</v>
      </c>
      <c r="P37" s="50">
        <f t="shared" si="19"/>
        <v>19.623566036406647</v>
      </c>
      <c r="Q37" s="24"/>
      <c r="R37" s="7" t="s">
        <v>50</v>
      </c>
    </row>
    <row r="38" spans="1:21" x14ac:dyDescent="0.2">
      <c r="A38" s="10" t="s">
        <v>61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6"/>
      <c r="R38" s="13" t="s">
        <v>60</v>
      </c>
      <c r="S38" s="32"/>
    </row>
    <row r="39" spans="1:21" s="58" customFormat="1" ht="14.25" customHeight="1" x14ac:dyDescent="0.4">
      <c r="A39" s="54" t="s">
        <v>67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6" t="s">
        <v>66</v>
      </c>
      <c r="R39" s="55" t="s">
        <v>15</v>
      </c>
    </row>
    <row r="40" spans="1:21" ht="14.25" customHeight="1" x14ac:dyDescent="0.4">
      <c r="A40" s="51" t="s">
        <v>58</v>
      </c>
      <c r="B40" s="12"/>
      <c r="F40" s="12"/>
      <c r="G40" s="12"/>
      <c r="K40" s="12"/>
      <c r="L40" s="12"/>
      <c r="P40" s="12"/>
      <c r="Q40" s="12" t="s">
        <v>59</v>
      </c>
      <c r="R40" s="16" t="s">
        <v>17</v>
      </c>
    </row>
    <row r="41" spans="1:21" ht="14.25" x14ac:dyDescent="0.25">
      <c r="A41" s="52" t="s">
        <v>13</v>
      </c>
      <c r="Q41" s="3" t="s">
        <v>16</v>
      </c>
    </row>
    <row r="42" spans="1:21" x14ac:dyDescent="0.25">
      <c r="A42" s="11"/>
    </row>
    <row r="44" spans="1:21" ht="12.75" x14ac:dyDescent="0.25"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  <row r="45" spans="1:21" ht="17.25" customHeight="1" x14ac:dyDescent="0.25"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spans="1:21" ht="17.25" customHeight="1" x14ac:dyDescent="0.25"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 spans="1:21" ht="17.25" customHeight="1" x14ac:dyDescent="0.25"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</row>
    <row r="48" spans="1:21" ht="17.25" customHeight="1" x14ac:dyDescent="0.25"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</row>
    <row r="49" spans="2:21" ht="17.25" customHeight="1" x14ac:dyDescent="0.25"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</row>
    <row r="50" spans="2:21" ht="17.25" customHeight="1" x14ac:dyDescent="0.25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spans="2:21" ht="17.25" customHeight="1" x14ac:dyDescent="0.25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</row>
    <row r="52" spans="2:21" ht="17.25" customHeight="1" x14ac:dyDescent="0.25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spans="2:21" ht="17.25" customHeight="1" x14ac:dyDescent="0.25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</row>
    <row r="54" spans="2:21" ht="17.25" customHeight="1" x14ac:dyDescent="0.25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</row>
    <row r="55" spans="2:21" ht="17.25" customHeight="1" x14ac:dyDescent="0.25"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</row>
    <row r="56" spans="2:21" ht="17.25" customHeight="1" x14ac:dyDescent="0.25"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</row>
    <row r="57" spans="2:21" ht="17.25" customHeight="1" x14ac:dyDescent="0.25"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</row>
    <row r="58" spans="2:21" ht="17.25" customHeight="1" x14ac:dyDescent="0.25"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</row>
    <row r="59" spans="2:21" ht="17.25" customHeight="1" x14ac:dyDescent="0.25"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</row>
    <row r="60" spans="2:21" ht="17.25" customHeight="1" x14ac:dyDescent="0.25"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</row>
    <row r="61" spans="2:21" ht="17.25" customHeight="1" x14ac:dyDescent="0.25"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</row>
    <row r="62" spans="2:21" ht="17.25" customHeight="1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</row>
    <row r="63" spans="2:21" ht="17.25" customHeight="1" x14ac:dyDescent="0.25"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</row>
    <row r="64" spans="2:21" ht="17.25" customHeight="1" x14ac:dyDescent="0.25"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</row>
    <row r="65" spans="2:21" ht="17.25" customHeight="1" x14ac:dyDescent="0.25"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</row>
    <row r="66" spans="2:21" ht="17.2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</row>
    <row r="67" spans="2:21" ht="17.2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</row>
    <row r="68" spans="2:21" ht="17.2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spans="2:2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</row>
    <row r="70" spans="2:2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</row>
    <row r="71" spans="2:2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</row>
    <row r="72" spans="2:21" x14ac:dyDescent="0.25"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</row>
  </sheetData>
  <mergeCells count="7">
    <mergeCell ref="A1:R1"/>
    <mergeCell ref="A2:R2"/>
    <mergeCell ref="A3:R3"/>
    <mergeCell ref="A4:R4"/>
    <mergeCell ref="C5:F5"/>
    <mergeCell ref="H5:K5"/>
    <mergeCell ref="M5:P5"/>
  </mergeCells>
  <printOptions horizontalCentered="1"/>
  <pageMargins left="0.53" right="0.21" top="0.46" bottom="0.43" header="0.3" footer="0.3"/>
  <pageSetup paperSize="9" scale="78" fitToHeight="0" orientation="landscape" horizontalDpi="4294967295" verticalDpi="4294967295" r:id="rId1"/>
  <colBreaks count="1" manualBreakCount="1">
    <brk id="20" max="41" man="1"/>
  </colBreaks>
  <ignoredErrors>
    <ignoredError sqref="H27:P37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14.9</vt:lpstr>
      <vt:lpstr>'14.9'!Print_Area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2017-06-04T06:31:09Z</cp:lastPrinted>
  <dcterms:created xsi:type="dcterms:W3CDTF">2013-04-01T04:26:10Z</dcterms:created>
  <dcterms:modified xsi:type="dcterms:W3CDTF">2017-06-04T06:31:12Z</dcterms:modified>
</cp:coreProperties>
</file>