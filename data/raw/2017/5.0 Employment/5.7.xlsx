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4000" windowHeight="9735" tabRatio="834"/>
  </bookViews>
  <sheets>
    <sheet name="5.7" sheetId="26" r:id="rId1"/>
  </sheets>
  <externalReferences>
    <externalReference r:id="rId2"/>
  </externalReferences>
  <definedNames>
    <definedName name="_xlnm.Print_Area" localSheetId="0">'5.7'!$A$1:$M$59</definedName>
  </definedNames>
  <calcPr calcId="144525"/>
</workbook>
</file>

<file path=xl/calcChain.xml><?xml version="1.0" encoding="utf-8"?>
<calcChain xmlns="http://schemas.openxmlformats.org/spreadsheetml/2006/main">
  <c r="C37" i="26" l="1"/>
  <c r="D37" i="26"/>
  <c r="F37" i="26"/>
  <c r="J37" i="26"/>
  <c r="C38" i="26"/>
  <c r="D38" i="26"/>
  <c r="F38" i="26"/>
  <c r="J38" i="26"/>
  <c r="B37" i="26" l="1"/>
  <c r="B38" i="26"/>
  <c r="C9" i="26" l="1"/>
  <c r="D9" i="26"/>
  <c r="C10" i="26"/>
  <c r="D10" i="26"/>
  <c r="C11" i="26"/>
  <c r="D11" i="26"/>
  <c r="C12" i="26"/>
  <c r="D12" i="26"/>
  <c r="C13" i="26"/>
  <c r="D13" i="26"/>
  <c r="C14" i="26"/>
  <c r="D14" i="26"/>
  <c r="C15" i="26"/>
  <c r="D15" i="26"/>
  <c r="C16" i="26"/>
  <c r="D16" i="26"/>
  <c r="C17" i="26"/>
  <c r="D17" i="26"/>
  <c r="C18" i="26"/>
  <c r="D18" i="26"/>
  <c r="C19" i="26"/>
  <c r="D19" i="26"/>
  <c r="C20" i="26"/>
  <c r="D20" i="26"/>
  <c r="C21" i="26"/>
  <c r="D21" i="26"/>
  <c r="C22" i="26"/>
  <c r="D22" i="26"/>
  <c r="C23" i="26"/>
  <c r="D23" i="26"/>
  <c r="C24" i="26"/>
  <c r="D24" i="26"/>
  <c r="C25" i="26"/>
  <c r="D25" i="26"/>
  <c r="C26" i="26"/>
  <c r="D26" i="26"/>
  <c r="C27" i="26"/>
  <c r="D27" i="26"/>
  <c r="C28" i="26"/>
  <c r="D28" i="26"/>
  <c r="C29" i="26"/>
  <c r="D29" i="26"/>
  <c r="C30" i="26"/>
  <c r="D30" i="26"/>
  <c r="C31" i="26"/>
  <c r="D31" i="26"/>
  <c r="C32" i="26"/>
  <c r="D32" i="26"/>
  <c r="C33" i="26"/>
  <c r="D33" i="26"/>
  <c r="C34" i="26"/>
  <c r="D34" i="26"/>
  <c r="C35" i="26"/>
  <c r="D35" i="26"/>
  <c r="C36" i="26"/>
  <c r="D36" i="26"/>
  <c r="C39" i="26"/>
  <c r="D39" i="26"/>
  <c r="J39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J10" i="26"/>
  <c r="J9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9" i="26"/>
  <c r="L8" i="26"/>
  <c r="K8" i="26"/>
  <c r="H8" i="26"/>
  <c r="G8" i="26"/>
  <c r="B33" i="26" l="1"/>
  <c r="B25" i="26"/>
  <c r="B17" i="26"/>
  <c r="B21" i="26"/>
  <c r="B39" i="26"/>
  <c r="B29" i="26"/>
  <c r="B13" i="26"/>
  <c r="B9" i="26"/>
  <c r="B35" i="26"/>
  <c r="B31" i="26"/>
  <c r="B27" i="26"/>
  <c r="B23" i="26"/>
  <c r="B19" i="26"/>
  <c r="B15" i="26"/>
  <c r="B11" i="26"/>
  <c r="B34" i="26"/>
  <c r="B30" i="26"/>
  <c r="B26" i="26"/>
  <c r="B22" i="26"/>
  <c r="B18" i="26"/>
  <c r="B14" i="26"/>
  <c r="B10" i="26"/>
  <c r="D8" i="26"/>
  <c r="J8" i="26"/>
  <c r="AK48" i="26" s="1"/>
  <c r="B36" i="26"/>
  <c r="B32" i="26"/>
  <c r="B28" i="26"/>
  <c r="B24" i="26"/>
  <c r="B20" i="26"/>
  <c r="B16" i="26"/>
  <c r="B12" i="26"/>
  <c r="C8" i="26"/>
  <c r="F8" i="26"/>
  <c r="B8" i="26" l="1"/>
  <c r="AK47" i="26"/>
  <c r="AK45" i="26" l="1"/>
  <c r="AJ47" i="26" s="1"/>
  <c r="AJ48" i="26"/>
</calcChain>
</file>

<file path=xl/sharedStrings.xml><?xml version="1.0" encoding="utf-8"?>
<sst xmlns="http://schemas.openxmlformats.org/spreadsheetml/2006/main" count="62" uniqueCount="48">
  <si>
    <t>Total</t>
  </si>
  <si>
    <t>ފިރިހެން</t>
  </si>
  <si>
    <t>އަންހެން</t>
  </si>
  <si>
    <t>Occupation</t>
  </si>
  <si>
    <t>Male</t>
  </si>
  <si>
    <t>Female</t>
  </si>
  <si>
    <t>Foreigners</t>
  </si>
  <si>
    <t>Both Sexes</t>
  </si>
  <si>
    <t>Source: Civil Service Commision</t>
  </si>
  <si>
    <t>ދެޖިންސް</t>
  </si>
  <si>
    <t>Locals</t>
  </si>
  <si>
    <t>މަޢުލޫމާތު ދެއްވި ފަރާތް: ސިވިލް ސަރވިސް ކޮމިޝަން</t>
  </si>
  <si>
    <t xml:space="preserve">Local </t>
  </si>
  <si>
    <t>ނޯޓް: އަތޮޅުތަކުގެ ޖުމްލައިގެ ތެރޭގައި ރާއްޖޭން ބޭރުގައި މަސައްކަތްކުރާ 1 މުވައްޒަފު ހިމެނިފައި</t>
  </si>
  <si>
    <t>Table 5.7: CIVIL SERVANTS CLASSIFIED BY OCCUPATION, NATIONALITY AND SEX, 2016</t>
  </si>
  <si>
    <t>ތާވަލު 7: އަދާކުރާ ވަޒީފާގެ ގޮތުން ދިވެހިންނާއި އަދި ބިދޭސީ ސިވިލް ސަރވަންޓުން ބެހިފައިވާ ގޮތް އަދި ޖިންސް، 2016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</si>
  <si>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</si>
  <si>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</si>
  <si>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</si>
  <si>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</si>
  <si>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</si>
  <si>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</si>
  <si>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</si>
  <si>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</si>
  <si>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CLIMATOLOGY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</si>
  <si>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</si>
  <si>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</si>
  <si>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</si>
  <si>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</si>
  <si>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</si>
  <si>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</si>
  <si>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</si>
  <si>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</si>
  <si>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</si>
  <si>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</si>
  <si>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</si>
  <si>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</si>
  <si>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</si>
  <si>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</si>
  <si>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</si>
  <si>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</si>
  <si>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</si>
  <si>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</si>
  <si>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</si>
  <si>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</si>
  <si>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</si>
  <si>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Vaaiz</t>
  </si>
  <si>
    <t>Note:  Atoll total includes 1 person who is working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</si>
</sst>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\ _ރ_._-;_-* #,##0\ _ރ_.\-;_-* &quot;-&quot;??\ _ރ_._-;_-@_-"/>
    <numFmt numFmtId="165" formatCode="0.0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52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3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6" fillId="2" borderId="2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2" fillId="2" borderId="0" xfId="0" applyFont="1" applyFill="1"/>
    <xf numFmtId="0" fontId="12" fillId="2" borderId="0" xfId="0" applyFont="1" applyFill="1" applyBorder="1" applyAlignment="1">
      <alignment horizontal="right" vertical="center" readingOrder="2"/>
    </xf>
    <xf numFmtId="0" fontId="8" fillId="2" borderId="3" xfId="6" applyFont="1" applyFill="1" applyBorder="1"/>
    <xf numFmtId="3" fontId="0" fillId="2" borderId="0" xfId="0" applyNumberFormat="1" applyFill="1"/>
    <xf numFmtId="0" fontId="14" fillId="2" borderId="0" xfId="0" applyFont="1" applyFill="1"/>
    <xf numFmtId="0" fontId="0" fillId="2" borderId="2" xfId="0" applyFill="1" applyBorder="1"/>
    <xf numFmtId="164" fontId="7" fillId="2" borderId="2" xfId="1" applyNumberFormat="1" applyFont="1" applyFill="1" applyBorder="1" applyAlignment="1">
      <alignment horizontal="right" vertical="center"/>
    </xf>
    <xf numFmtId="3" fontId="7" fillId="2" borderId="2" xfId="1" applyNumberFormat="1" applyFont="1" applyFill="1" applyBorder="1" applyAlignment="1">
      <alignment horizontal="right" vertical="center"/>
    </xf>
    <xf numFmtId="164" fontId="7" fillId="2" borderId="1" xfId="1" applyNumberFormat="1" applyFont="1" applyFill="1" applyBorder="1" applyAlignment="1">
      <alignment horizontal="center" vertical="center"/>
    </xf>
    <xf numFmtId="165" fontId="0" fillId="2" borderId="0" xfId="0" applyNumberFormat="1" applyFill="1"/>
    <xf numFmtId="0" fontId="2" fillId="2" borderId="0" xfId="0" applyFont="1" applyFill="1" applyBorder="1"/>
    <xf numFmtId="0" fontId="0" fillId="2" borderId="0" xfId="0" applyFill="1"/>
    <xf numFmtId="0" fontId="15" fillId="2" borderId="0" xfId="0" applyFont="1" applyFill="1" applyBorder="1" applyAlignment="1">
      <alignment horizontal="left" vertical="center"/>
    </xf>
    <xf numFmtId="3" fontId="11" fillId="2" borderId="0" xfId="1" applyNumberFormat="1" applyFont="1" applyFill="1" applyBorder="1" applyAlignment="1">
      <alignment horizontal="right" vertical="center"/>
    </xf>
    <xf numFmtId="3" fontId="0" fillId="2" borderId="2" xfId="0" applyNumberFormat="1" applyFill="1" applyBorder="1"/>
    <xf numFmtId="0" fontId="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4" fontId="7" fillId="2" borderId="4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520">
    <cellStyle name="Comma" xfId="1" builtinId="3"/>
    <cellStyle name="Comma 3" xfId="3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Normal" xfId="0" builtinId="0"/>
    <cellStyle name="Normal 2" xfId="4"/>
    <cellStyle name="Normal 4" xfId="7"/>
    <cellStyle name="Normal_II-16(Populaion)" xfId="2"/>
    <cellStyle name="Normal_po" xfId="6"/>
    <cellStyle name="Percent 3" xfId="5"/>
  </cellStyles>
  <dxfs count="0"/>
  <tableStyles count="0" defaultTableStyle="TableStyleMedium9" defaultPivotStyle="PivotStyleLight16"/>
  <colors>
    <mruColors>
      <color rgb="FFFDEADA"/>
      <color rgb="FFFCD3B2"/>
      <color rgb="FFFABF8E"/>
      <color rgb="FFF79747"/>
      <color rgb="FF953735"/>
      <color rgb="FFFBC497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349369000107862"/>
          <c:y val="0.19922828762220413"/>
          <c:w val="0.45804702537182851"/>
          <c:h val="0.76341170895304755"/>
        </c:manualLayout>
      </c:layout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'5.7'!$AH$47:$AH$48</c:f>
              <c:strCache>
                <c:ptCount val="2"/>
                <c:pt idx="0">
                  <c:v>Local </c:v>
                </c:pt>
                <c:pt idx="1">
                  <c:v>Foreigners</c:v>
                </c:pt>
              </c:strCache>
            </c:strRef>
          </c:cat>
          <c:val>
            <c:numRef>
              <c:f>'5.7'!$AI$47:$AI$48</c:f>
              <c:numCache>
                <c:formatCode>General</c:formatCode>
                <c:ptCount val="2"/>
              </c:numCache>
            </c:numRef>
          </c:val>
        </c:ser>
        <c:ser>
          <c:idx val="1"/>
          <c:order val="1"/>
          <c:spPr>
            <a:solidFill>
              <a:srgbClr val="953735"/>
            </a:solidFill>
          </c:spPr>
          <c:explosion val="3"/>
          <c:dPt>
            <c:idx val="0"/>
            <c:bubble3D val="0"/>
            <c:explosion val="13"/>
          </c:dPt>
          <c:dPt>
            <c:idx val="1"/>
            <c:bubble3D val="0"/>
            <c:explosion val="0"/>
            <c:spPr>
              <a:solidFill>
                <a:srgbClr val="F79747"/>
              </a:solidFill>
            </c:spPr>
          </c:dPt>
          <c:dLbls>
            <c:dLbl>
              <c:idx val="0"/>
              <c:layout>
                <c:manualLayout>
                  <c:x val="9.8981077147015942E-2"/>
                  <c:y val="4.698522273756876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'5.7'!$AH$47:$AH$48</c:f>
              <c:strCache>
                <c:ptCount val="2"/>
                <c:pt idx="0">
                  <c:v>Local </c:v>
                </c:pt>
                <c:pt idx="1">
                  <c:v>Foreigners</c:v>
                </c:pt>
              </c:strCache>
            </c:strRef>
          </c:cat>
          <c:val>
            <c:numRef>
              <c:f>'5.7'!$AJ$47:$AJ$48</c:f>
              <c:numCache>
                <c:formatCode>0.0</c:formatCode>
                <c:ptCount val="2"/>
                <c:pt idx="0">
                  <c:v>88.482102771315454</c:v>
                </c:pt>
                <c:pt idx="1">
                  <c:v>11.517897228684545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61"/>
        <c:holeSize val="10"/>
      </c:doughnutChart>
    </c:plotArea>
    <c:plotVisOnly val="1"/>
    <c:dispBlanksAs val="gap"/>
    <c:showDLblsOverMax val="0"/>
  </c:chart>
  <c:spPr>
    <a:solidFill>
      <a:srgbClr val="FDEADA"/>
    </a:solidFill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1076325</xdr:colOff>
      <xdr:row>42</xdr:row>
      <xdr:rowOff>74294</xdr:rowOff>
    </xdr:from>
    <xdr:to>
      <xdr:col>9</xdr:col>
      <xdr:colOff>533400</xdr:colOff>
      <xdr:row>58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1781175</xdr:colOff>
      <xdr:row>44</xdr:row>
      <xdr:rowOff>95250</xdr:rowOff>
    </xdr:from>
    <xdr:to>
      <xdr:col>7</xdr:col>
      <xdr:colOff>443497</xdr:colOff>
      <xdr:row>44</xdr:row>
      <xdr:rowOff>95250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781175" y="8934450"/>
          <a:ext cx="5044072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0.02397</cdr:x>
      <cdr:y>0.02358</cdr:y>
    </cdr:from>
    <cdr:to>
      <cdr:x>0.9647</cdr:x>
      <cdr:y>0.17476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50" y="72141"/>
          <a:ext cx="5232890" cy="462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Consolas" pitchFamily="49" charset="0"/>
              <a:cs typeface="Consolas" pitchFamily="49" charset="0"/>
            </a:rPr>
            <a:t>Figure 5.8: Percentage of Local and Foreign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civil </a:t>
          </a:r>
          <a:r>
            <a:rPr lang="en-US" sz="1100" b="1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servants, 2016</a:t>
          </a:r>
          <a:endParaRPr lang="en-US" sz="1100" b="1">
            <a:solidFill>
              <a:schemeClr val="tx1"/>
            </a:solidFill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5.%20EMPLOYMENT%20_%20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9"/>
    </sheetNames>
    <sheetDataSet>
      <sheetData sheetId="0">
        <row r="114">
          <cell r="BB114" t="str">
            <v>Male</v>
          </cell>
          <cell r="BD114">
            <v>74.512743628185902</v>
          </cell>
        </row>
        <row r="115">
          <cell r="BB115" t="str">
            <v>Female</v>
          </cell>
          <cell r="BD115">
            <v>25.487256371814095</v>
          </cell>
        </row>
        <row r="119">
          <cell r="BB119" t="str">
            <v>Both sexes</v>
          </cell>
          <cell r="BC119" t="str">
            <v>Male</v>
          </cell>
          <cell r="BD119" t="str">
            <v>Female</v>
          </cell>
        </row>
        <row r="120">
          <cell r="BA120">
            <v>2011</v>
          </cell>
          <cell r="BB120">
            <v>544</v>
          </cell>
          <cell r="BC120">
            <v>390</v>
          </cell>
          <cell r="BD120">
            <v>154</v>
          </cell>
        </row>
        <row r="121">
          <cell r="BA121">
            <v>2012</v>
          </cell>
          <cell r="BB121">
            <v>446</v>
          </cell>
          <cell r="BC121">
            <v>301</v>
          </cell>
          <cell r="BD121">
            <v>145</v>
          </cell>
        </row>
        <row r="122">
          <cell r="BA122">
            <v>2013</v>
          </cell>
          <cell r="BB122">
            <v>473</v>
          </cell>
          <cell r="BC122">
            <v>342</v>
          </cell>
          <cell r="BD122">
            <v>131</v>
          </cell>
        </row>
        <row r="123">
          <cell r="BA123">
            <v>2014</v>
          </cell>
          <cell r="BB123">
            <v>526</v>
          </cell>
          <cell r="BC123">
            <v>367</v>
          </cell>
          <cell r="BD123">
            <v>159</v>
          </cell>
        </row>
        <row r="124">
          <cell r="BA124">
            <v>2015</v>
          </cell>
          <cell r="BB124">
            <v>0</v>
          </cell>
          <cell r="BC124">
            <v>0</v>
          </cell>
          <cell r="BD12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AK59"/>
  <sheetViews>
    <sheetView tabSelected="1" zoomScaleNormal="100" zoomScaleSheetLayoutView="100" workbookViewId="0">
      <selection activeCell="A40" sqref="A40"/>
    </sheetView>
  </sheetViews>
  <sheetFormatPr defaultRowHeight="15" x14ac:dyDescent="0.25"/>
  <cols>
    <col min="1" max="1" width="48" style="17" bestFit="1" customWidth="1"/>
    <col min="2" max="2" width="10.28515625" style="17" customWidth="1"/>
    <col min="3" max="4" width="8.85546875" style="17"/>
    <col min="5" max="5" width="2" style="17" customWidth="1"/>
    <col min="6" max="8" width="8.85546875" style="17"/>
    <col min="9" max="9" width="1.7109375" style="17" customWidth="1"/>
    <col min="10" max="16384" width="9.140625" style="17"/>
  </cols>
  <sheetData>
    <row r="2" spans="1:31" ht="21" x14ac:dyDescent="0.55000000000000004">
      <c r="A2" s="25" t="s">
        <v>15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31" x14ac:dyDescent="0.25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5" spans="1:31" x14ac:dyDescent="0.25">
      <c r="A5" s="27" t="s">
        <v>3</v>
      </c>
      <c r="B5" s="26" t="s">
        <v>0</v>
      </c>
      <c r="C5" s="26"/>
      <c r="D5" s="26"/>
      <c r="E5" s="14"/>
      <c r="F5" s="26" t="s">
        <v>10</v>
      </c>
      <c r="G5" s="26"/>
      <c r="H5" s="26"/>
      <c r="I5" s="14"/>
      <c r="J5" s="26" t="s">
        <v>6</v>
      </c>
      <c r="K5" s="26"/>
      <c r="L5" s="26"/>
    </row>
    <row r="6" spans="1:31" ht="18.75" x14ac:dyDescent="0.25">
      <c r="A6" s="28"/>
      <c r="B6" s="7" t="s">
        <v>9</v>
      </c>
      <c r="C6" s="7" t="s">
        <v>1</v>
      </c>
      <c r="D6" s="7" t="s">
        <v>2</v>
      </c>
      <c r="E6" s="7"/>
      <c r="F6" s="7" t="s">
        <v>9</v>
      </c>
      <c r="G6" s="7" t="s">
        <v>1</v>
      </c>
      <c r="H6" s="7" t="s">
        <v>2</v>
      </c>
      <c r="I6" s="7"/>
      <c r="J6" s="7" t="s">
        <v>9</v>
      </c>
      <c r="K6" s="7" t="s">
        <v>1</v>
      </c>
      <c r="L6" s="7" t="s">
        <v>2</v>
      </c>
    </row>
    <row r="7" spans="1:31" x14ac:dyDescent="0.25">
      <c r="A7" s="29"/>
      <c r="B7" s="12" t="s">
        <v>7</v>
      </c>
      <c r="C7" s="12" t="s">
        <v>4</v>
      </c>
      <c r="D7" s="12" t="s">
        <v>5</v>
      </c>
      <c r="E7" s="12"/>
      <c r="F7" s="12" t="s">
        <v>7</v>
      </c>
      <c r="G7" s="12" t="s">
        <v>4</v>
      </c>
      <c r="H7" s="12" t="s">
        <v>5</v>
      </c>
      <c r="I7" s="12"/>
      <c r="J7" s="12" t="s">
        <v>7</v>
      </c>
      <c r="K7" s="12" t="s">
        <v>4</v>
      </c>
      <c r="L7" s="12" t="s">
        <v>5</v>
      </c>
    </row>
    <row r="8" spans="1:31" ht="16.149999999999999" customHeight="1" x14ac:dyDescent="0.25">
      <c r="A8" s="23" t="s">
        <v>0</v>
      </c>
      <c r="B8" s="5">
        <f>F8+J8</f>
        <v>24501</v>
      </c>
      <c r="C8" s="5">
        <f t="shared" ref="C8:D8" si="0">G8+K8</f>
        <v>10881</v>
      </c>
      <c r="D8" s="5">
        <f t="shared" si="0"/>
        <v>13620</v>
      </c>
      <c r="E8" s="5"/>
      <c r="F8" s="5">
        <f>G8+H8</f>
        <v>21679</v>
      </c>
      <c r="G8" s="5">
        <f>SUM(G9:G39)</f>
        <v>8954</v>
      </c>
      <c r="H8" s="5">
        <f>SUM(H9:H39)</f>
        <v>12725</v>
      </c>
      <c r="I8" s="5"/>
      <c r="J8" s="5">
        <f>K8+L8</f>
        <v>2822</v>
      </c>
      <c r="K8" s="5">
        <f>SUM(K9:K39)</f>
        <v>1927</v>
      </c>
      <c r="L8" s="5">
        <f>SUM(L9:L39)</f>
        <v>895</v>
      </c>
    </row>
    <row r="9" spans="1:31" ht="16.149999999999999" customHeight="1" x14ac:dyDescent="0.25">
      <c r="A9" s="17" t="s">
        <v>16</v>
      </c>
      <c r="B9" s="5">
        <f t="shared" ref="B9:B39" si="1">F9+J9</f>
        <v>658</v>
      </c>
      <c r="C9" s="4">
        <f t="shared" ref="C9:C39" si="2">G9+K9</f>
        <v>263</v>
      </c>
      <c r="D9" s="4">
        <f t="shared" ref="D9:D39" si="3">H9+L9</f>
        <v>395</v>
      </c>
      <c r="E9" s="5"/>
      <c r="F9" s="5">
        <f t="shared" ref="F9:F39" si="4">G9+H9</f>
        <v>658</v>
      </c>
      <c r="G9" s="4">
        <v>263</v>
      </c>
      <c r="H9" s="4">
        <v>395</v>
      </c>
      <c r="I9" s="9"/>
      <c r="J9" s="5">
        <f t="shared" ref="J9:J39" si="5">K9+L9</f>
        <v>0</v>
      </c>
      <c r="K9" s="4">
        <v>0</v>
      </c>
      <c r="L9" s="4">
        <v>0</v>
      </c>
    </row>
    <row r="10" spans="1:31" ht="16.149999999999999" customHeight="1" x14ac:dyDescent="0.25">
      <c r="A10" s="17" t="s">
        <v>17</v>
      </c>
      <c r="B10" s="5">
        <f t="shared" si="1"/>
        <v>7113</v>
      </c>
      <c r="C10" s="4">
        <f t="shared" si="2"/>
        <v>3019</v>
      </c>
      <c r="D10" s="4">
        <f t="shared" si="3"/>
        <v>4094</v>
      </c>
      <c r="E10" s="5"/>
      <c r="F10" s="5">
        <f t="shared" si="4"/>
        <v>7077</v>
      </c>
      <c r="G10" s="4">
        <v>2983</v>
      </c>
      <c r="H10" s="4">
        <v>4094</v>
      </c>
      <c r="I10" s="9"/>
      <c r="J10" s="5">
        <f t="shared" si="5"/>
        <v>36</v>
      </c>
      <c r="K10" s="4">
        <v>36</v>
      </c>
      <c r="L10" s="4">
        <v>0</v>
      </c>
    </row>
    <row r="11" spans="1:31" ht="16.149999999999999" customHeight="1" x14ac:dyDescent="0.25">
      <c r="A11" s="17" t="s">
        <v>18</v>
      </c>
      <c r="B11" s="5">
        <f t="shared" si="1"/>
        <v>32</v>
      </c>
      <c r="C11" s="4">
        <f t="shared" si="2"/>
        <v>8</v>
      </c>
      <c r="D11" s="4">
        <f t="shared" si="3"/>
        <v>24</v>
      </c>
      <c r="E11" s="5"/>
      <c r="F11" s="5">
        <f t="shared" si="4"/>
        <v>32</v>
      </c>
      <c r="G11" s="4">
        <v>8</v>
      </c>
      <c r="H11" s="4">
        <v>24</v>
      </c>
      <c r="I11" s="9"/>
      <c r="J11" s="5">
        <f t="shared" si="5"/>
        <v>0</v>
      </c>
      <c r="K11" s="4">
        <v>0</v>
      </c>
      <c r="L11" s="4">
        <v>0</v>
      </c>
    </row>
    <row r="12" spans="1:31" ht="16.149999999999999" customHeight="1" x14ac:dyDescent="0.25">
      <c r="A12" s="17" t="s">
        <v>19</v>
      </c>
      <c r="B12" s="5">
        <f t="shared" si="1"/>
        <v>28</v>
      </c>
      <c r="C12" s="4">
        <f t="shared" si="2"/>
        <v>27</v>
      </c>
      <c r="D12" s="4">
        <f t="shared" si="3"/>
        <v>1</v>
      </c>
      <c r="E12" s="5"/>
      <c r="F12" s="5">
        <f t="shared" si="4"/>
        <v>28</v>
      </c>
      <c r="G12" s="4">
        <v>27</v>
      </c>
      <c r="H12" s="4">
        <v>1</v>
      </c>
      <c r="I12" s="9"/>
      <c r="J12" s="5">
        <f t="shared" si="5"/>
        <v>0</v>
      </c>
      <c r="K12" s="4">
        <v>0</v>
      </c>
      <c r="L12" s="4">
        <v>0</v>
      </c>
    </row>
    <row r="13" spans="1:31" ht="16.149999999999999" customHeight="1" x14ac:dyDescent="0.25">
      <c r="A13" s="17" t="s">
        <v>20</v>
      </c>
      <c r="B13" s="5">
        <f t="shared" si="1"/>
        <v>490</v>
      </c>
      <c r="C13" s="4">
        <f t="shared" si="2"/>
        <v>390</v>
      </c>
      <c r="D13" s="4">
        <f t="shared" si="3"/>
        <v>100</v>
      </c>
      <c r="E13" s="5"/>
      <c r="F13" s="5">
        <f t="shared" si="4"/>
        <v>490</v>
      </c>
      <c r="G13" s="4">
        <v>390</v>
      </c>
      <c r="H13" s="4">
        <v>100</v>
      </c>
      <c r="I13" s="9"/>
      <c r="J13" s="5">
        <f t="shared" si="5"/>
        <v>0</v>
      </c>
      <c r="K13" s="4">
        <v>0</v>
      </c>
      <c r="L13" s="4">
        <v>0</v>
      </c>
      <c r="AE13" s="9"/>
    </row>
    <row r="14" spans="1:31" ht="16.149999999999999" customHeight="1" x14ac:dyDescent="0.25">
      <c r="A14" s="17" t="s">
        <v>21</v>
      </c>
      <c r="B14" s="5">
        <f t="shared" si="1"/>
        <v>13</v>
      </c>
      <c r="C14" s="4">
        <f t="shared" si="2"/>
        <v>4</v>
      </c>
      <c r="D14" s="4">
        <f t="shared" si="3"/>
        <v>9</v>
      </c>
      <c r="E14" s="5"/>
      <c r="F14" s="5">
        <f t="shared" si="4"/>
        <v>13</v>
      </c>
      <c r="G14" s="4">
        <v>4</v>
      </c>
      <c r="H14" s="4">
        <v>9</v>
      </c>
      <c r="I14" s="9"/>
      <c r="J14" s="5">
        <f t="shared" si="5"/>
        <v>0</v>
      </c>
      <c r="K14" s="4">
        <v>0</v>
      </c>
      <c r="L14" s="4">
        <v>0</v>
      </c>
    </row>
    <row r="15" spans="1:31" ht="16.149999999999999" customHeight="1" x14ac:dyDescent="0.25">
      <c r="A15" s="17" t="s">
        <v>22</v>
      </c>
      <c r="B15" s="5">
        <f t="shared" si="1"/>
        <v>3228</v>
      </c>
      <c r="C15" s="4">
        <f t="shared" si="2"/>
        <v>1579</v>
      </c>
      <c r="D15" s="4">
        <f t="shared" si="3"/>
        <v>1649</v>
      </c>
      <c r="E15" s="5"/>
      <c r="F15" s="5">
        <f t="shared" si="4"/>
        <v>2907</v>
      </c>
      <c r="G15" s="4">
        <v>1264</v>
      </c>
      <c r="H15" s="4">
        <v>1643</v>
      </c>
      <c r="I15" s="9"/>
      <c r="J15" s="5">
        <f t="shared" si="5"/>
        <v>321</v>
      </c>
      <c r="K15" s="4">
        <v>315</v>
      </c>
      <c r="L15" s="4">
        <v>6</v>
      </c>
    </row>
    <row r="16" spans="1:31" ht="16.149999999999999" customHeight="1" x14ac:dyDescent="0.25">
      <c r="A16" s="17" t="s">
        <v>23</v>
      </c>
      <c r="B16" s="5">
        <f t="shared" si="1"/>
        <v>235</v>
      </c>
      <c r="C16" s="4">
        <f t="shared" si="2"/>
        <v>139</v>
      </c>
      <c r="D16" s="4">
        <f t="shared" si="3"/>
        <v>96</v>
      </c>
      <c r="E16" s="5"/>
      <c r="F16" s="5">
        <f t="shared" si="4"/>
        <v>235</v>
      </c>
      <c r="G16" s="4">
        <v>139</v>
      </c>
      <c r="H16" s="4">
        <v>96</v>
      </c>
      <c r="I16" s="9"/>
      <c r="J16" s="5">
        <f t="shared" si="5"/>
        <v>0</v>
      </c>
      <c r="K16" s="4">
        <v>0</v>
      </c>
      <c r="L16" s="4">
        <v>0</v>
      </c>
    </row>
    <row r="17" spans="1:12" ht="16.149999999999999" customHeight="1" x14ac:dyDescent="0.25">
      <c r="A17" s="17" t="s">
        <v>24</v>
      </c>
      <c r="B17" s="5">
        <f t="shared" si="1"/>
        <v>1</v>
      </c>
      <c r="C17" s="4">
        <f t="shared" si="2"/>
        <v>1</v>
      </c>
      <c r="D17" s="4">
        <f t="shared" si="3"/>
        <v>0</v>
      </c>
      <c r="E17" s="5"/>
      <c r="F17" s="5">
        <f t="shared" si="4"/>
        <v>1</v>
      </c>
      <c r="G17" s="4">
        <v>1</v>
      </c>
      <c r="H17" s="4">
        <v>0</v>
      </c>
      <c r="I17" s="9"/>
      <c r="J17" s="5">
        <f t="shared" si="5"/>
        <v>0</v>
      </c>
      <c r="K17" s="4">
        <v>0</v>
      </c>
      <c r="L17" s="4">
        <v>0</v>
      </c>
    </row>
    <row r="18" spans="1:12" ht="16.149999999999999" customHeight="1" x14ac:dyDescent="0.25">
      <c r="A18" s="17" t="s">
        <v>25</v>
      </c>
      <c r="B18" s="5">
        <f t="shared" si="1"/>
        <v>6</v>
      </c>
      <c r="C18" s="4">
        <f t="shared" si="2"/>
        <v>1</v>
      </c>
      <c r="D18" s="4">
        <f t="shared" si="3"/>
        <v>5</v>
      </c>
      <c r="E18" s="5"/>
      <c r="F18" s="5">
        <f t="shared" si="4"/>
        <v>6</v>
      </c>
      <c r="G18" s="4">
        <v>1</v>
      </c>
      <c r="H18" s="4">
        <v>5</v>
      </c>
      <c r="I18" s="9"/>
      <c r="J18" s="5">
        <f t="shared" si="5"/>
        <v>0</v>
      </c>
      <c r="K18" s="4">
        <v>0</v>
      </c>
      <c r="L18" s="4">
        <v>0</v>
      </c>
    </row>
    <row r="19" spans="1:12" ht="16.149999999999999" customHeight="1" x14ac:dyDescent="0.25">
      <c r="A19" s="17" t="s">
        <v>26</v>
      </c>
      <c r="B19" s="5">
        <f t="shared" si="1"/>
        <v>207</v>
      </c>
      <c r="C19" s="4">
        <f t="shared" si="2"/>
        <v>129</v>
      </c>
      <c r="D19" s="4">
        <f t="shared" si="3"/>
        <v>78</v>
      </c>
      <c r="E19" s="5"/>
      <c r="F19" s="5">
        <f t="shared" si="4"/>
        <v>135</v>
      </c>
      <c r="G19" s="4">
        <v>66</v>
      </c>
      <c r="H19" s="4">
        <v>69</v>
      </c>
      <c r="I19" s="9"/>
      <c r="J19" s="5">
        <f t="shared" si="5"/>
        <v>72</v>
      </c>
      <c r="K19" s="4">
        <v>63</v>
      </c>
      <c r="L19" s="4">
        <v>9</v>
      </c>
    </row>
    <row r="20" spans="1:12" ht="16.149999999999999" customHeight="1" x14ac:dyDescent="0.25">
      <c r="A20" s="17" t="s">
        <v>27</v>
      </c>
      <c r="B20" s="5">
        <f t="shared" si="1"/>
        <v>328</v>
      </c>
      <c r="C20" s="4">
        <f t="shared" si="2"/>
        <v>212</v>
      </c>
      <c r="D20" s="4">
        <f t="shared" si="3"/>
        <v>116</v>
      </c>
      <c r="E20" s="5"/>
      <c r="F20" s="5">
        <f t="shared" si="4"/>
        <v>310</v>
      </c>
      <c r="G20" s="4">
        <v>195</v>
      </c>
      <c r="H20" s="4">
        <v>115</v>
      </c>
      <c r="I20" s="9"/>
      <c r="J20" s="5">
        <f t="shared" si="5"/>
        <v>18</v>
      </c>
      <c r="K20" s="4">
        <v>17</v>
      </c>
      <c r="L20" s="4">
        <v>1</v>
      </c>
    </row>
    <row r="21" spans="1:12" ht="16.149999999999999" customHeight="1" x14ac:dyDescent="0.25">
      <c r="A21" s="17" t="s">
        <v>28</v>
      </c>
      <c r="B21" s="5">
        <f t="shared" si="1"/>
        <v>75</v>
      </c>
      <c r="C21" s="4">
        <f t="shared" si="2"/>
        <v>59</v>
      </c>
      <c r="D21" s="4">
        <f t="shared" si="3"/>
        <v>16</v>
      </c>
      <c r="E21" s="5"/>
      <c r="F21" s="5">
        <f t="shared" si="4"/>
        <v>74</v>
      </c>
      <c r="G21" s="4">
        <v>58</v>
      </c>
      <c r="H21" s="4">
        <v>16</v>
      </c>
      <c r="I21" s="9"/>
      <c r="J21" s="5">
        <f t="shared" si="5"/>
        <v>1</v>
      </c>
      <c r="K21" s="4">
        <v>1</v>
      </c>
      <c r="L21" s="4">
        <v>0</v>
      </c>
    </row>
    <row r="22" spans="1:12" ht="16.149999999999999" customHeight="1" x14ac:dyDescent="0.25">
      <c r="A22" s="17" t="s">
        <v>29</v>
      </c>
      <c r="B22" s="5">
        <f t="shared" si="1"/>
        <v>297</v>
      </c>
      <c r="C22" s="4">
        <f t="shared" si="2"/>
        <v>184</v>
      </c>
      <c r="D22" s="4">
        <f t="shared" si="3"/>
        <v>113</v>
      </c>
      <c r="E22" s="5"/>
      <c r="F22" s="5">
        <f t="shared" si="4"/>
        <v>297</v>
      </c>
      <c r="G22" s="4">
        <v>184</v>
      </c>
      <c r="H22" s="4">
        <v>113</v>
      </c>
      <c r="I22" s="9"/>
      <c r="J22" s="5">
        <f t="shared" si="5"/>
        <v>0</v>
      </c>
      <c r="K22" s="4">
        <v>0</v>
      </c>
      <c r="L22" s="4">
        <v>0</v>
      </c>
    </row>
    <row r="23" spans="1:12" ht="16.149999999999999" customHeight="1" x14ac:dyDescent="0.25">
      <c r="A23" s="17" t="s">
        <v>30</v>
      </c>
      <c r="B23" s="5">
        <f t="shared" si="1"/>
        <v>258</v>
      </c>
      <c r="C23" s="4">
        <f t="shared" si="2"/>
        <v>192</v>
      </c>
      <c r="D23" s="4">
        <f t="shared" si="3"/>
        <v>66</v>
      </c>
      <c r="E23" s="5"/>
      <c r="F23" s="5">
        <f t="shared" si="4"/>
        <v>258</v>
      </c>
      <c r="G23" s="4">
        <v>192</v>
      </c>
      <c r="H23" s="4">
        <v>66</v>
      </c>
      <c r="I23" s="9"/>
      <c r="J23" s="5">
        <f t="shared" si="5"/>
        <v>0</v>
      </c>
      <c r="K23" s="4">
        <v>0</v>
      </c>
      <c r="L23" s="4">
        <v>0</v>
      </c>
    </row>
    <row r="24" spans="1:12" ht="16.149999999999999" customHeight="1" x14ac:dyDescent="0.25">
      <c r="A24" s="17" t="s">
        <v>31</v>
      </c>
      <c r="B24" s="5">
        <f t="shared" si="1"/>
        <v>336</v>
      </c>
      <c r="C24" s="4">
        <f t="shared" si="2"/>
        <v>85</v>
      </c>
      <c r="D24" s="4">
        <f t="shared" si="3"/>
        <v>251</v>
      </c>
      <c r="E24" s="5"/>
      <c r="F24" s="5">
        <f t="shared" si="4"/>
        <v>271</v>
      </c>
      <c r="G24" s="4">
        <v>41</v>
      </c>
      <c r="H24" s="4">
        <v>230</v>
      </c>
      <c r="I24" s="9"/>
      <c r="J24" s="5">
        <f t="shared" si="5"/>
        <v>65</v>
      </c>
      <c r="K24" s="4">
        <v>44</v>
      </c>
      <c r="L24" s="4">
        <v>21</v>
      </c>
    </row>
    <row r="25" spans="1:12" ht="16.149999999999999" customHeight="1" x14ac:dyDescent="0.25">
      <c r="A25" s="17" t="s">
        <v>32</v>
      </c>
      <c r="B25" s="5">
        <f t="shared" si="1"/>
        <v>36</v>
      </c>
      <c r="C25" s="4">
        <f t="shared" si="2"/>
        <v>18</v>
      </c>
      <c r="D25" s="4">
        <f t="shared" si="3"/>
        <v>18</v>
      </c>
      <c r="E25" s="5"/>
      <c r="F25" s="5">
        <f t="shared" si="4"/>
        <v>36</v>
      </c>
      <c r="G25" s="4">
        <v>18</v>
      </c>
      <c r="H25" s="4">
        <v>18</v>
      </c>
      <c r="I25" s="9"/>
      <c r="J25" s="5">
        <f t="shared" si="5"/>
        <v>0</v>
      </c>
      <c r="K25" s="4">
        <v>0</v>
      </c>
      <c r="L25" s="4">
        <v>0</v>
      </c>
    </row>
    <row r="26" spans="1:12" ht="16.149999999999999" customHeight="1" x14ac:dyDescent="0.25">
      <c r="A26" s="17" t="s">
        <v>33</v>
      </c>
      <c r="B26" s="5">
        <f t="shared" si="1"/>
        <v>22</v>
      </c>
      <c r="C26" s="4">
        <f t="shared" si="2"/>
        <v>20</v>
      </c>
      <c r="D26" s="4">
        <f t="shared" si="3"/>
        <v>2</v>
      </c>
      <c r="E26" s="5"/>
      <c r="F26" s="5">
        <f t="shared" si="4"/>
        <v>22</v>
      </c>
      <c r="G26" s="4">
        <v>20</v>
      </c>
      <c r="H26" s="4">
        <v>2</v>
      </c>
      <c r="I26" s="9"/>
      <c r="J26" s="5">
        <f t="shared" si="5"/>
        <v>0</v>
      </c>
      <c r="K26" s="4">
        <v>0</v>
      </c>
      <c r="L26" s="4">
        <v>0</v>
      </c>
    </row>
    <row r="27" spans="1:12" ht="16.149999999999999" customHeight="1" x14ac:dyDescent="0.25">
      <c r="A27" s="17" t="s">
        <v>34</v>
      </c>
      <c r="B27" s="5">
        <f t="shared" si="1"/>
        <v>7</v>
      </c>
      <c r="C27" s="4">
        <f t="shared" si="2"/>
        <v>7</v>
      </c>
      <c r="D27" s="4">
        <f t="shared" si="3"/>
        <v>0</v>
      </c>
      <c r="E27" s="5"/>
      <c r="F27" s="5">
        <f t="shared" si="4"/>
        <v>7</v>
      </c>
      <c r="G27" s="4">
        <v>7</v>
      </c>
      <c r="H27" s="4">
        <v>0</v>
      </c>
      <c r="I27" s="9"/>
      <c r="J27" s="5">
        <f t="shared" si="5"/>
        <v>0</v>
      </c>
      <c r="K27" s="4">
        <v>0</v>
      </c>
      <c r="L27" s="4">
        <v>0</v>
      </c>
    </row>
    <row r="28" spans="1:12" ht="16.149999999999999" customHeight="1" x14ac:dyDescent="0.25">
      <c r="A28" s="17" t="s">
        <v>35</v>
      </c>
      <c r="B28" s="5">
        <f t="shared" si="1"/>
        <v>75</v>
      </c>
      <c r="C28" s="4">
        <f t="shared" si="2"/>
        <v>52</v>
      </c>
      <c r="D28" s="4">
        <f t="shared" si="3"/>
        <v>23</v>
      </c>
      <c r="E28" s="5"/>
      <c r="F28" s="5">
        <f t="shared" si="4"/>
        <v>75</v>
      </c>
      <c r="G28" s="4">
        <v>52</v>
      </c>
      <c r="H28" s="4">
        <v>23</v>
      </c>
      <c r="I28" s="9"/>
      <c r="J28" s="5">
        <f t="shared" si="5"/>
        <v>0</v>
      </c>
      <c r="K28" s="4">
        <v>0</v>
      </c>
      <c r="L28" s="4">
        <v>0</v>
      </c>
    </row>
    <row r="29" spans="1:12" ht="16.149999999999999" customHeight="1" x14ac:dyDescent="0.25">
      <c r="A29" s="17" t="s">
        <v>36</v>
      </c>
      <c r="B29" s="5">
        <f t="shared" si="1"/>
        <v>53</v>
      </c>
      <c r="C29" s="4">
        <f t="shared" si="2"/>
        <v>34</v>
      </c>
      <c r="D29" s="4">
        <f t="shared" si="3"/>
        <v>19</v>
      </c>
      <c r="E29" s="5"/>
      <c r="F29" s="5">
        <f t="shared" si="4"/>
        <v>53</v>
      </c>
      <c r="G29" s="4">
        <v>34</v>
      </c>
      <c r="H29" s="4">
        <v>19</v>
      </c>
      <c r="I29" s="9"/>
      <c r="J29" s="5">
        <f t="shared" si="5"/>
        <v>0</v>
      </c>
      <c r="K29" s="4">
        <v>0</v>
      </c>
      <c r="L29" s="4">
        <v>0</v>
      </c>
    </row>
    <row r="30" spans="1:12" ht="16.149999999999999" customHeight="1" x14ac:dyDescent="0.25">
      <c r="A30" s="17" t="s">
        <v>37</v>
      </c>
      <c r="B30" s="5">
        <f t="shared" si="1"/>
        <v>1770</v>
      </c>
      <c r="C30" s="4">
        <f t="shared" si="2"/>
        <v>98</v>
      </c>
      <c r="D30" s="4">
        <f t="shared" si="3"/>
        <v>1672</v>
      </c>
      <c r="E30" s="5"/>
      <c r="F30" s="5">
        <f t="shared" si="4"/>
        <v>1271</v>
      </c>
      <c r="G30" s="4">
        <v>8</v>
      </c>
      <c r="H30" s="4">
        <v>1263</v>
      </c>
      <c r="I30" s="9"/>
      <c r="J30" s="5">
        <f t="shared" si="5"/>
        <v>499</v>
      </c>
      <c r="K30" s="4">
        <v>90</v>
      </c>
      <c r="L30" s="4">
        <v>409</v>
      </c>
    </row>
    <row r="31" spans="1:12" ht="16.149999999999999" customHeight="1" x14ac:dyDescent="0.25">
      <c r="A31" s="17" t="s">
        <v>38</v>
      </c>
      <c r="B31" s="5">
        <f t="shared" si="1"/>
        <v>537</v>
      </c>
      <c r="C31" s="4">
        <f t="shared" si="2"/>
        <v>163</v>
      </c>
      <c r="D31" s="4">
        <f t="shared" si="3"/>
        <v>374</v>
      </c>
      <c r="E31" s="5"/>
      <c r="F31" s="5">
        <f t="shared" si="4"/>
        <v>495</v>
      </c>
      <c r="G31" s="4">
        <v>127</v>
      </c>
      <c r="H31" s="4">
        <v>368</v>
      </c>
      <c r="I31" s="9"/>
      <c r="J31" s="5">
        <f t="shared" si="5"/>
        <v>42</v>
      </c>
      <c r="K31" s="4">
        <v>36</v>
      </c>
      <c r="L31" s="4">
        <v>6</v>
      </c>
    </row>
    <row r="32" spans="1:12" ht="16.149999999999999" customHeight="1" x14ac:dyDescent="0.25">
      <c r="A32" s="17" t="s">
        <v>39</v>
      </c>
      <c r="B32" s="5">
        <f t="shared" si="1"/>
        <v>15</v>
      </c>
      <c r="C32" s="4">
        <f t="shared" si="2"/>
        <v>11</v>
      </c>
      <c r="D32" s="4">
        <f t="shared" si="3"/>
        <v>4</v>
      </c>
      <c r="E32" s="5"/>
      <c r="F32" s="5">
        <f t="shared" si="4"/>
        <v>15</v>
      </c>
      <c r="G32" s="4">
        <v>11</v>
      </c>
      <c r="H32" s="4">
        <v>4</v>
      </c>
      <c r="I32" s="9"/>
      <c r="J32" s="5">
        <f t="shared" si="5"/>
        <v>0</v>
      </c>
      <c r="K32" s="4">
        <v>0</v>
      </c>
      <c r="L32" s="4">
        <v>0</v>
      </c>
    </row>
    <row r="33" spans="1:37" ht="16.149999999999999" customHeight="1" x14ac:dyDescent="0.25">
      <c r="A33" s="17" t="s">
        <v>40</v>
      </c>
      <c r="B33" s="5">
        <f t="shared" si="1"/>
        <v>452</v>
      </c>
      <c r="C33" s="4">
        <f t="shared" si="2"/>
        <v>424</v>
      </c>
      <c r="D33" s="4">
        <f t="shared" si="3"/>
        <v>28</v>
      </c>
      <c r="E33" s="5"/>
      <c r="F33" s="5">
        <f t="shared" si="4"/>
        <v>452</v>
      </c>
      <c r="G33" s="4">
        <v>424</v>
      </c>
      <c r="H33" s="4">
        <v>28</v>
      </c>
      <c r="I33" s="9"/>
      <c r="J33" s="5">
        <f t="shared" si="5"/>
        <v>0</v>
      </c>
      <c r="K33" s="4">
        <v>0</v>
      </c>
      <c r="L33" s="4">
        <v>0</v>
      </c>
    </row>
    <row r="34" spans="1:37" s="2" customFormat="1" ht="16.149999999999999" customHeight="1" x14ac:dyDescent="0.25">
      <c r="A34" s="17" t="s">
        <v>41</v>
      </c>
      <c r="B34" s="5">
        <f t="shared" si="1"/>
        <v>576</v>
      </c>
      <c r="C34" s="4">
        <f t="shared" si="2"/>
        <v>189</v>
      </c>
      <c r="D34" s="4">
        <f t="shared" si="3"/>
        <v>387</v>
      </c>
      <c r="E34" s="5"/>
      <c r="F34" s="5">
        <f t="shared" si="4"/>
        <v>576</v>
      </c>
      <c r="G34" s="4">
        <v>189</v>
      </c>
      <c r="H34" s="4">
        <v>387</v>
      </c>
      <c r="I34" s="9"/>
      <c r="J34" s="5">
        <f t="shared" si="5"/>
        <v>0</v>
      </c>
      <c r="K34" s="4">
        <v>0</v>
      </c>
      <c r="L34" s="4">
        <v>0</v>
      </c>
      <c r="M34" s="17"/>
      <c r="N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x14ac:dyDescent="0.25">
      <c r="A35" s="17" t="s">
        <v>42</v>
      </c>
      <c r="B35" s="5">
        <f t="shared" si="1"/>
        <v>1</v>
      </c>
      <c r="C35" s="4">
        <f t="shared" si="2"/>
        <v>1</v>
      </c>
      <c r="D35" s="4">
        <f t="shared" si="3"/>
        <v>0</v>
      </c>
      <c r="E35" s="5"/>
      <c r="F35" s="5">
        <f t="shared" si="4"/>
        <v>1</v>
      </c>
      <c r="G35" s="4">
        <v>1</v>
      </c>
      <c r="H35" s="4">
        <v>0</v>
      </c>
      <c r="I35" s="9"/>
      <c r="J35" s="5">
        <f t="shared" si="5"/>
        <v>0</v>
      </c>
      <c r="K35" s="4">
        <v>0</v>
      </c>
      <c r="L35" s="4">
        <v>0</v>
      </c>
    </row>
    <row r="36" spans="1:37" x14ac:dyDescent="0.25">
      <c r="A36" s="17" t="s">
        <v>43</v>
      </c>
      <c r="B36" s="5">
        <f t="shared" si="1"/>
        <v>905</v>
      </c>
      <c r="C36" s="4">
        <f t="shared" si="2"/>
        <v>511</v>
      </c>
      <c r="D36" s="4">
        <f t="shared" si="3"/>
        <v>394</v>
      </c>
      <c r="E36" s="5"/>
      <c r="F36" s="5">
        <f t="shared" si="4"/>
        <v>904</v>
      </c>
      <c r="G36" s="4">
        <v>510</v>
      </c>
      <c r="H36" s="4">
        <v>394</v>
      </c>
      <c r="I36" s="9"/>
      <c r="J36" s="5">
        <f t="shared" si="5"/>
        <v>1</v>
      </c>
      <c r="K36" s="4">
        <v>1</v>
      </c>
      <c r="L36" s="4">
        <v>0</v>
      </c>
    </row>
    <row r="37" spans="1:37" x14ac:dyDescent="0.25">
      <c r="A37" s="17" t="s">
        <v>44</v>
      </c>
      <c r="B37" s="5">
        <f t="shared" ref="B37:B38" si="6">F37+J37</f>
        <v>6173</v>
      </c>
      <c r="C37" s="4">
        <f t="shared" ref="C37:C38" si="7">G37+K37</f>
        <v>2488</v>
      </c>
      <c r="D37" s="4">
        <f t="shared" ref="D37:D38" si="8">H37+L37</f>
        <v>3685</v>
      </c>
      <c r="E37" s="5"/>
      <c r="F37" s="5">
        <f t="shared" ref="F37:F38" si="9">G37+H37</f>
        <v>4434</v>
      </c>
      <c r="G37" s="4">
        <v>1191</v>
      </c>
      <c r="H37" s="4">
        <v>3243</v>
      </c>
      <c r="I37" s="9"/>
      <c r="J37" s="5">
        <f t="shared" ref="J37:J38" si="10">K37+L37</f>
        <v>1739</v>
      </c>
      <c r="K37" s="4">
        <v>1297</v>
      </c>
      <c r="L37" s="4">
        <v>442</v>
      </c>
    </row>
    <row r="38" spans="1:37" x14ac:dyDescent="0.25">
      <c r="A38" s="17" t="s">
        <v>45</v>
      </c>
      <c r="B38" s="5">
        <f t="shared" si="6"/>
        <v>571</v>
      </c>
      <c r="C38" s="4">
        <f t="shared" si="7"/>
        <v>570</v>
      </c>
      <c r="D38" s="4">
        <f t="shared" si="8"/>
        <v>1</v>
      </c>
      <c r="E38" s="5"/>
      <c r="F38" s="5">
        <f t="shared" si="9"/>
        <v>543</v>
      </c>
      <c r="G38" s="4">
        <v>543</v>
      </c>
      <c r="H38" s="4">
        <v>0</v>
      </c>
      <c r="I38" s="9"/>
      <c r="J38" s="5">
        <f t="shared" si="10"/>
        <v>28</v>
      </c>
      <c r="K38" s="4">
        <v>27</v>
      </c>
      <c r="L38" s="4">
        <v>1</v>
      </c>
    </row>
    <row r="39" spans="1:37" x14ac:dyDescent="0.25">
      <c r="A39" s="11" t="s">
        <v>46</v>
      </c>
      <c r="B39" s="13">
        <f t="shared" si="1"/>
        <v>3</v>
      </c>
      <c r="C39" s="3">
        <f t="shared" si="2"/>
        <v>3</v>
      </c>
      <c r="D39" s="3">
        <f t="shared" si="3"/>
        <v>0</v>
      </c>
      <c r="E39" s="13"/>
      <c r="F39" s="13">
        <f t="shared" si="4"/>
        <v>3</v>
      </c>
      <c r="G39" s="3">
        <v>3</v>
      </c>
      <c r="H39" s="3">
        <v>0</v>
      </c>
      <c r="I39" s="20"/>
      <c r="J39" s="13">
        <f t="shared" si="5"/>
        <v>0</v>
      </c>
      <c r="K39" s="3">
        <v>0</v>
      </c>
      <c r="L39" s="3">
        <v>0</v>
      </c>
    </row>
    <row r="40" spans="1:37" ht="18.75" x14ac:dyDescent="0.25">
      <c r="A40" s="18" t="s">
        <v>47</v>
      </c>
      <c r="B40" s="4"/>
      <c r="C40" s="5"/>
      <c r="D40" s="4"/>
      <c r="E40" s="4"/>
      <c r="F40" s="4"/>
      <c r="G40" s="5"/>
      <c r="J40" s="16"/>
      <c r="K40" s="2"/>
      <c r="L40" s="19" t="s">
        <v>13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7.25" x14ac:dyDescent="0.25">
      <c r="A41" s="8" t="s">
        <v>8</v>
      </c>
      <c r="B41" s="6"/>
      <c r="F41" s="6"/>
      <c r="J41" s="6"/>
      <c r="L41" s="1" t="s">
        <v>11</v>
      </c>
    </row>
    <row r="43" spans="1:37" x14ac:dyDescent="0.25">
      <c r="AJ43" s="15"/>
      <c r="AK43" s="9"/>
    </row>
    <row r="44" spans="1:37" x14ac:dyDescent="0.25">
      <c r="AJ44" s="15"/>
      <c r="AK44" s="9"/>
    </row>
    <row r="45" spans="1:37" x14ac:dyDescent="0.25">
      <c r="AK45" s="9">
        <f>SUM(AK47:AK48)</f>
        <v>24501</v>
      </c>
    </row>
    <row r="47" spans="1:37" x14ac:dyDescent="0.25">
      <c r="AH47" s="17" t="s">
        <v>12</v>
      </c>
      <c r="AJ47" s="15">
        <f>AK47/AK45*100</f>
        <v>88.482102771315454</v>
      </c>
      <c r="AK47" s="9">
        <f>F8</f>
        <v>21679</v>
      </c>
    </row>
    <row r="48" spans="1:37" x14ac:dyDescent="0.25">
      <c r="AH48" s="17" t="s">
        <v>6</v>
      </c>
      <c r="AJ48" s="15">
        <f>AK48/AK45*100</f>
        <v>11.517897228684545</v>
      </c>
      <c r="AK48" s="9">
        <f>J8</f>
        <v>2822</v>
      </c>
    </row>
    <row r="58" spans="1:30" ht="21" x14ac:dyDescent="0.55000000000000004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1:30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</sheetData>
  <mergeCells count="6">
    <mergeCell ref="A2:L2"/>
    <mergeCell ref="A3:L3"/>
    <mergeCell ref="A5:A7"/>
    <mergeCell ref="B5:D5"/>
    <mergeCell ref="F5:H5"/>
    <mergeCell ref="J5:L5"/>
  </mergeCells>
  <pageMargins left="0.7" right="0.7" top="0.2" bottom="0.17" header="0.17" footer="0.17"/>
  <pageSetup paperSize="9" scale="88" orientation="landscape" horizontalDpi="4294967295" verticalDpi="4294967295" r:id="rId1"/>
  <rowBreaks count="1" manualBreakCount="1">
    <brk id="4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5.7</vt:lpstr>
      <vt:lpstr>'5.7'!Print_Area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2017-06-07T08:11:16Z</cp:lastPrinted>
  <dcterms:created xsi:type="dcterms:W3CDTF">2013-03-26T05:45:33Z</dcterms:created>
  <dcterms:modified xsi:type="dcterms:W3CDTF">2017-06-07T08:11:20Z</dcterms:modified>
</cp:coreProperties>
</file>