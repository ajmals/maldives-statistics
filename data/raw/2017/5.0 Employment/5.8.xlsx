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735" tabRatio="834"/>
  </bookViews>
  <sheets>
    <sheet name="5.8" sheetId="25" r:id="rId1"/>
  </sheets>
  <externalReferences>
    <externalReference r:id="rId2"/>
  </externalReferences>
  <definedNames>
    <definedName name="_xlnm.Print_Area" localSheetId="0">'5.8'!$A$1:$H$45</definedName>
  </definedNames>
  <calcPr calcId="144525"/>
</workbook>
</file>

<file path=xl/calcChain.xml><?xml version="1.0" encoding="utf-8"?>
<calcChain xmlns="http://schemas.openxmlformats.org/spreadsheetml/2006/main">
  <c r="B28" i="25" l="1"/>
  <c r="H7" i="25" l="1"/>
  <c r="H5" i="25" s="1"/>
  <c r="B6" i="25" l="1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D7" i="25"/>
  <c r="D5" i="25" s="1"/>
  <c r="E7" i="25"/>
  <c r="E5" i="25" s="1"/>
  <c r="F7" i="25"/>
  <c r="F5" i="25" s="1"/>
  <c r="G7" i="25"/>
  <c r="G5" i="25" s="1"/>
  <c r="C7" i="25"/>
  <c r="C5" i="25" s="1"/>
  <c r="B5" i="25" l="1"/>
  <c r="B7" i="25"/>
  <c r="X41" i="25" l="1"/>
  <c r="Y41" i="25"/>
  <c r="Z41" i="25"/>
  <c r="AA41" i="25"/>
  <c r="AB41" i="25"/>
  <c r="AC41" i="25"/>
  <c r="W41" i="25"/>
  <c r="Y40" i="25"/>
  <c r="Z40" i="25"/>
  <c r="AA40" i="25"/>
  <c r="AB40" i="25"/>
  <c r="AC40" i="25"/>
  <c r="X40" i="25"/>
  <c r="W40" i="25"/>
</calcChain>
</file>

<file path=xl/sharedStrings.xml><?xml version="1.0" encoding="utf-8"?>
<sst xmlns="http://schemas.openxmlformats.org/spreadsheetml/2006/main" count="47" uniqueCount="40">
  <si>
    <t>Total</t>
  </si>
  <si>
    <t>Source: Civil Service Commision</t>
  </si>
  <si>
    <t>މަޢުލޫމާތު ދެއްވި ފަރާތް: ސިވިލް ސަރވިސް ކޮމިޝަން</t>
  </si>
  <si>
    <t>MALE'</t>
  </si>
  <si>
    <t>Locality</t>
  </si>
  <si>
    <t>REPUBLIC</t>
  </si>
  <si>
    <t>All ATOLL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</si>
  <si>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</si>
  <si>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</si>
  <si>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</si>
  <si>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</si>
  <si>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</si>
  <si>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</si>
  <si>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</si>
  <si>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</si>
  <si>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</si>
  <si>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</si>
  <si>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</si>
  <si>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</si>
  <si>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</si>
  <si>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</si>
  <si>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</si>
  <si>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</si>
  <si>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</si>
  <si>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</si>
  <si>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</si>
  <si>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</si>
  <si>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Schools</t>
  </si>
  <si>
    <t>Hospitals</t>
  </si>
  <si>
    <t>Island Councils</t>
  </si>
  <si>
    <t>Government Ministries</t>
  </si>
  <si>
    <t>other offices</t>
  </si>
  <si>
    <t xml:space="preserve"> ATOLL</t>
  </si>
  <si>
    <t xml:space="preserve">           Atoll  /  City Councils</t>
  </si>
  <si>
    <t>ނޯޓް: އަތޮޅުތަކުގެ ޖުމްލައިގެ ތެރޭގައި ރާއްޖޭން ބޭރުގައި މަސައްކަތްކުރާ 1 މުވައްޒަފު ހިމެނިފައި</t>
  </si>
  <si>
    <t>Table 5.8: Civil Servants Classified by sector, 2016</t>
  </si>
  <si>
    <t>ތާވަލު 5.8: ވަޒީފާ އަދާކުރާ ދާއިރާގެ ގޮތުން ސިވިލް ސަރވަންޓުން ބެހިފައިވާ ގޮތް، 2016</t>
  </si>
  <si>
    <t>INTERNATIONAL</t>
  </si>
  <si>
    <t>Note:  Atoll total includes 1 person who is working abroad</t>
  </si>
  <si>
    <t>City / Atoll Councils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</si>
</sst>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color theme="1"/>
      <name val="Faruma"/>
    </font>
    <font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52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3" fillId="0" borderId="0"/>
    <xf numFmtId="0" fontId="3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0">
    <xf numFmtId="0" fontId="0" fillId="0" borderId="0" xfId="0"/>
    <xf numFmtId="0" fontId="14" fillId="2" borderId="0" xfId="0" applyFont="1" applyFill="1" applyBorder="1"/>
    <xf numFmtId="0" fontId="2" fillId="2" borderId="0" xfId="1" applyNumberFormat="1" applyFont="1" applyFill="1" applyBorder="1" applyAlignment="1">
      <alignment vertical="center" wrapText="1"/>
    </xf>
    <xf numFmtId="166" fontId="0" fillId="2" borderId="0" xfId="0" applyNumberFormat="1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0" fillId="2" borderId="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4" fillId="2" borderId="0" xfId="0" applyFont="1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0" fillId="2" borderId="0" xfId="0" applyFill="1" applyAlignment="1">
      <alignment horizontal="center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0" xfId="8" applyFont="1" applyFill="1" applyBorder="1" applyAlignment="1" applyProtection="1">
      <alignment horizontal="left" vertical="center" indent="2"/>
    </xf>
    <xf numFmtId="166" fontId="2" fillId="2" borderId="1" xfId="1" applyNumberFormat="1" applyFont="1" applyFill="1" applyBorder="1" applyAlignment="1">
      <alignment vertical="center" wrapText="1"/>
    </xf>
    <xf numFmtId="166" fontId="0" fillId="2" borderId="0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vertical="center" wrapText="1"/>
    </xf>
    <xf numFmtId="166" fontId="0" fillId="2" borderId="0" xfId="1" applyNumberFormat="1" applyFont="1" applyFill="1" applyBorder="1" applyAlignment="1">
      <alignment vertical="center" wrapText="1"/>
    </xf>
    <xf numFmtId="166" fontId="1" fillId="2" borderId="0" xfId="1" applyNumberFormat="1" applyFont="1" applyFill="1" applyBorder="1" applyAlignment="1">
      <alignment vertical="center"/>
    </xf>
    <xf numFmtId="166" fontId="0" fillId="2" borderId="2" xfId="1" applyNumberFormat="1" applyFont="1" applyFill="1" applyBorder="1" applyAlignment="1">
      <alignment vertical="center" wrapText="1"/>
    </xf>
    <xf numFmtId="166" fontId="2" fillId="2" borderId="0" xfId="1" applyNumberFormat="1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indent="1"/>
    </xf>
    <xf numFmtId="0" fontId="9" fillId="2" borderId="4" xfId="6" applyFont="1" applyFill="1" applyBorder="1" applyAlignment="1">
      <alignment vertical="center"/>
    </xf>
    <xf numFmtId="166" fontId="2" fillId="2" borderId="0" xfId="0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3" fontId="12" fillId="2" borderId="0" xfId="1" applyNumberFormat="1" applyFont="1" applyFill="1" applyBorder="1" applyAlignment="1">
      <alignment horizontal="right" vertical="center"/>
    </xf>
    <xf numFmtId="166" fontId="2" fillId="2" borderId="2" xfId="1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</cellXfs>
  <cellStyles count="521">
    <cellStyle name="Comma" xfId="1" builtinId="3"/>
    <cellStyle name="Comma 3" xfId="3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Normal" xfId="0" builtinId="0"/>
    <cellStyle name="Normal 2" xfId="4"/>
    <cellStyle name="Normal 4" xfId="7"/>
    <cellStyle name="Normal_II-16(Populaion)" xfId="2"/>
    <cellStyle name="Normal_immunization" xfId="8"/>
    <cellStyle name="Normal_po" xfId="6"/>
    <cellStyle name="Percent 3" xfId="5"/>
  </cellStyles>
  <dxfs count="0"/>
  <tableStyles count="0" defaultTableStyle="TableStyleMedium9" defaultPivotStyle="PivotStyleLight16"/>
  <colors>
    <mruColors>
      <color rgb="FFFDEADA"/>
      <color rgb="FFFCD3B2"/>
      <color rgb="FFFABF8E"/>
      <color rgb="FFF79747"/>
      <color rgb="FF953735"/>
      <color rgb="FFFBC497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2573597219266E-2"/>
          <c:y val="0.17527656026859695"/>
          <c:w val="0.89400794495282687"/>
          <c:h val="0.6087429611293394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'5.8'!$V$41</c:f>
              <c:strCache>
                <c:ptCount val="1"/>
                <c:pt idx="0">
                  <c:v> ATOLL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'5.8'!$W$39:$AC$39</c:f>
              <c:strCache>
                <c:ptCount val="7"/>
                <c:pt idx="0">
                  <c:v>Total</c:v>
                </c:pt>
                <c:pt idx="1">
                  <c:v>Schools</c:v>
                </c:pt>
                <c:pt idx="2">
                  <c:v>Hospitals</c:v>
                </c:pt>
                <c:pt idx="3">
                  <c:v>City / Atoll Councils</c:v>
                </c:pt>
                <c:pt idx="4">
                  <c:v>Island Councils</c:v>
                </c:pt>
                <c:pt idx="5">
                  <c:v>Government Ministries</c:v>
                </c:pt>
                <c:pt idx="6">
                  <c:v>other offices</c:v>
                </c:pt>
              </c:strCache>
            </c:strRef>
          </c:cat>
          <c:val>
            <c:numRef>
              <c:f>'5.8'!$W$41:$AC$41</c:f>
              <c:numCache>
                <c:formatCode>_(* #,##0_);_(* \(#,##0\);_(* "-"??_);_(@_)</c:formatCode>
                <c:ptCount val="7"/>
                <c:pt idx="0">
                  <c:v>15000</c:v>
                </c:pt>
                <c:pt idx="1">
                  <c:v>7300</c:v>
                </c:pt>
                <c:pt idx="2">
                  <c:v>5074</c:v>
                </c:pt>
                <c:pt idx="3">
                  <c:v>669</c:v>
                </c:pt>
                <c:pt idx="4">
                  <c:v>1950</c:v>
                </c:pt>
                <c:pt idx="5">
                  <c:v>0</c:v>
                </c:pt>
                <c:pt idx="6">
                  <c:v>7</c:v>
                </c:pt>
              </c:numCache>
            </c:numRef>
          </c:val>
        </c:ser>
        <c:ser>
          <c:idx val="0"/>
          <c:order val="1"/>
          <c:tx>
            <c:strRef>
              <c:f>'5.8'!$V$40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'5.8'!$W$39:$AC$39</c:f>
              <c:strCache>
                <c:ptCount val="7"/>
                <c:pt idx="0">
                  <c:v>Total</c:v>
                </c:pt>
                <c:pt idx="1">
                  <c:v>Schools</c:v>
                </c:pt>
                <c:pt idx="2">
                  <c:v>Hospitals</c:v>
                </c:pt>
                <c:pt idx="3">
                  <c:v>City / Atoll Councils</c:v>
                </c:pt>
                <c:pt idx="4">
                  <c:v>Island Councils</c:v>
                </c:pt>
                <c:pt idx="5">
                  <c:v>Government Ministries</c:v>
                </c:pt>
                <c:pt idx="6">
                  <c:v>other offices</c:v>
                </c:pt>
              </c:strCache>
            </c:strRef>
          </c:cat>
          <c:val>
            <c:numRef>
              <c:f>'5.8'!$W$40:$AC$40</c:f>
              <c:numCache>
                <c:formatCode>_(* #,##0_);_(* \(#,##0\);_(* "-"??_);_(@_)</c:formatCode>
                <c:ptCount val="7"/>
                <c:pt idx="0">
                  <c:v>9500</c:v>
                </c:pt>
                <c:pt idx="1">
                  <c:v>1767</c:v>
                </c:pt>
                <c:pt idx="2">
                  <c:v>1364</c:v>
                </c:pt>
                <c:pt idx="3">
                  <c:v>84</c:v>
                </c:pt>
                <c:pt idx="4">
                  <c:v>0</c:v>
                </c:pt>
                <c:pt idx="5">
                  <c:v>3649</c:v>
                </c:pt>
                <c:pt idx="6">
                  <c:v>2636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93795072"/>
        <c:axId val="93796608"/>
      </c:barChart>
      <c:catAx>
        <c:axId val="93795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3796608"/>
        <c:crosses val="autoZero"/>
        <c:auto val="1"/>
        <c:lblAlgn val="ctr"/>
        <c:lblOffset val="100"/>
        <c:noMultiLvlLbl val="0"/>
      </c:catAx>
      <c:valAx>
        <c:axId val="937966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9379507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398291458498849"/>
          <c:y val="0.24365049351497398"/>
          <c:w val="0.23183478754344897"/>
          <c:h val="8.970778652668415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31</xdr:row>
      <xdr:rowOff>127634</xdr:rowOff>
    </xdr:from>
    <xdr:to>
      <xdr:col>7</xdr:col>
      <xdr:colOff>219075</xdr:colOff>
      <xdr:row>44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1295400</xdr:colOff>
      <xdr:row>33</xdr:row>
      <xdr:rowOff>104774</xdr:rowOff>
    </xdr:from>
    <xdr:to>
      <xdr:col>6</xdr:col>
      <xdr:colOff>923925</xdr:colOff>
      <xdr:row>33</xdr:row>
      <xdr:rowOff>104774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295400" y="6648449"/>
          <a:ext cx="55816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0.21351</cdr:x>
      <cdr:y>0.11704</cdr:y>
    </cdr:from>
    <cdr:to>
      <cdr:x>0.74054</cdr:x>
      <cdr:y>0.39259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3960" y="300990"/>
          <a:ext cx="297180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0.25037</cdr:x>
      <cdr:y>0.32314</cdr:y>
    </cdr:from>
    <cdr:to>
      <cdr:x>0.97168</cdr:x>
      <cdr:y>0.53525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0200" y="986791"/>
          <a:ext cx="46101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0.1198</cdr:x>
      <cdr:y>0.03744</cdr:y>
    </cdr:from>
    <cdr:to>
      <cdr:x>0.96045</cdr:x>
      <cdr:y>0.11417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07864" y="114326"/>
          <a:ext cx="5669136" cy="234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5.9: Number of Civil Servants by sector for Male' &amp; Atolls, </a:t>
          </a:r>
          <a:r>
            <a:rPr lang="en-US" sz="1100" b="1" i="0" baseline="0">
              <a:solidFill>
                <a:schemeClr val="tx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2016</a:t>
          </a:r>
          <a:endParaRPr lang="en-US" sz="1100">
            <a:solidFill>
              <a:schemeClr val="tx1"/>
            </a:solidFill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5.%20EMPLOYMENT%20_%20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9"/>
    </sheetNames>
    <sheetDataSet>
      <sheetData sheetId="0">
        <row r="114">
          <cell r="BB114" t="str">
            <v>Male</v>
          </cell>
          <cell r="BD114">
            <v>74.512743628185902</v>
          </cell>
        </row>
        <row r="115">
          <cell r="BB115" t="str">
            <v>Female</v>
          </cell>
          <cell r="BD115">
            <v>25.487256371814095</v>
          </cell>
        </row>
        <row r="119">
          <cell r="BB119" t="str">
            <v>Both sexes</v>
          </cell>
          <cell r="BC119" t="str">
            <v>Male</v>
          </cell>
          <cell r="BD119" t="str">
            <v>Female</v>
          </cell>
        </row>
        <row r="120">
          <cell r="BA120">
            <v>2011</v>
          </cell>
          <cell r="BB120">
            <v>544</v>
          </cell>
          <cell r="BC120">
            <v>390</v>
          </cell>
          <cell r="BD120">
            <v>154</v>
          </cell>
        </row>
        <row r="121">
          <cell r="BA121">
            <v>2012</v>
          </cell>
          <cell r="BB121">
            <v>446</v>
          </cell>
          <cell r="BC121">
            <v>301</v>
          </cell>
          <cell r="BD121">
            <v>145</v>
          </cell>
        </row>
        <row r="122">
          <cell r="BA122">
            <v>2013</v>
          </cell>
          <cell r="BB122">
            <v>473</v>
          </cell>
          <cell r="BC122">
            <v>342</v>
          </cell>
          <cell r="BD122">
            <v>131</v>
          </cell>
        </row>
        <row r="123">
          <cell r="BA123">
            <v>2014</v>
          </cell>
          <cell r="BB123">
            <v>526</v>
          </cell>
          <cell r="BC123">
            <v>367</v>
          </cell>
          <cell r="BD123">
            <v>159</v>
          </cell>
        </row>
        <row r="124">
          <cell r="BA124">
            <v>2015</v>
          </cell>
          <cell r="BB124">
            <v>0</v>
          </cell>
          <cell r="BC124">
            <v>0</v>
          </cell>
          <cell r="BD1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C41"/>
  <sheetViews>
    <sheetView tabSelected="1" zoomScaleNormal="100" zoomScaleSheetLayoutView="86" workbookViewId="0">
      <selection activeCell="N19" sqref="N19"/>
    </sheetView>
  </sheetViews>
  <sheetFormatPr defaultRowHeight="15" x14ac:dyDescent="0.25"/>
  <cols>
    <col min="1" max="1" width="27.28515625" style="28" customWidth="1"/>
    <col min="2" max="2" width="11" style="28" customWidth="1"/>
    <col min="3" max="4" width="12.42578125" style="15" customWidth="1"/>
    <col min="5" max="5" width="13" style="15" customWidth="1"/>
    <col min="6" max="6" width="13.140625" style="15" customWidth="1"/>
    <col min="7" max="7" width="15.28515625" style="15" customWidth="1"/>
    <col min="8" max="8" width="10.85546875" style="15" customWidth="1"/>
    <col min="9" max="9" width="9.5703125" style="15" customWidth="1"/>
    <col min="10" max="10" width="5.7109375" style="15" customWidth="1"/>
    <col min="11" max="11" width="5" style="15" customWidth="1"/>
    <col min="12" max="12" width="5.85546875" style="15" customWidth="1"/>
    <col min="13" max="19" width="12.42578125" style="15" customWidth="1"/>
    <col min="20" max="16384" width="9.140625" style="28"/>
  </cols>
  <sheetData>
    <row r="1" spans="1:22" s="27" customFormat="1" ht="21" x14ac:dyDescent="0.25">
      <c r="A1" s="38" t="s">
        <v>36</v>
      </c>
      <c r="B1" s="38"/>
      <c r="C1" s="38"/>
      <c r="D1" s="38"/>
      <c r="E1" s="38"/>
      <c r="F1" s="38"/>
      <c r="G1" s="38"/>
      <c r="H1" s="3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9.149999999999999" customHeight="1" x14ac:dyDescent="0.25">
      <c r="A2" s="39" t="s">
        <v>35</v>
      </c>
      <c r="B2" s="39"/>
      <c r="C2" s="39"/>
      <c r="D2" s="39"/>
      <c r="E2" s="39"/>
      <c r="F2" s="39"/>
      <c r="G2" s="39"/>
      <c r="H2" s="39"/>
      <c r="I2" s="12"/>
      <c r="J2" s="12"/>
      <c r="K2" s="12"/>
      <c r="L2" s="12"/>
      <c r="M2" s="1"/>
      <c r="N2" s="12"/>
      <c r="O2" s="12"/>
      <c r="P2" s="12"/>
      <c r="Q2" s="12"/>
      <c r="R2" s="12"/>
      <c r="S2" s="12"/>
    </row>
    <row r="3" spans="1:22" ht="4.9000000000000004" customHeight="1" x14ac:dyDescent="0.25">
      <c r="A3" s="5"/>
      <c r="B3" s="5"/>
      <c r="C3" s="5"/>
      <c r="D3" s="5"/>
      <c r="E3" s="5"/>
      <c r="F3" s="5"/>
      <c r="G3" s="5"/>
      <c r="H3" s="5"/>
      <c r="I3" s="28"/>
      <c r="J3" s="28"/>
      <c r="K3" s="28"/>
      <c r="L3" s="28"/>
      <c r="M3" s="5"/>
      <c r="N3" s="28"/>
      <c r="O3" s="28"/>
      <c r="P3" s="28"/>
      <c r="Q3" s="28"/>
      <c r="R3" s="28"/>
      <c r="S3" s="28"/>
    </row>
    <row r="4" spans="1:22" ht="30" x14ac:dyDescent="0.25">
      <c r="A4" s="29" t="s">
        <v>4</v>
      </c>
      <c r="B4" s="16" t="s">
        <v>0</v>
      </c>
      <c r="C4" s="16" t="s">
        <v>27</v>
      </c>
      <c r="D4" s="16" t="s">
        <v>28</v>
      </c>
      <c r="E4" s="16" t="s">
        <v>33</v>
      </c>
      <c r="F4" s="16" t="s">
        <v>29</v>
      </c>
      <c r="G4" s="16" t="s">
        <v>30</v>
      </c>
      <c r="H4" s="16" t="s">
        <v>31</v>
      </c>
      <c r="I4" s="28"/>
      <c r="J4" s="28"/>
      <c r="K4" s="28"/>
      <c r="L4" s="28"/>
      <c r="M4" s="5"/>
      <c r="N4" s="28"/>
      <c r="O4" s="28"/>
      <c r="P4" s="28"/>
      <c r="Q4" s="28"/>
      <c r="R4" s="28"/>
      <c r="S4" s="28"/>
    </row>
    <row r="5" spans="1:22" s="8" customFormat="1" x14ac:dyDescent="0.25">
      <c r="A5" s="31" t="s">
        <v>5</v>
      </c>
      <c r="B5" s="22">
        <f>SUM(C5:H5)</f>
        <v>24501</v>
      </c>
      <c r="C5" s="20">
        <f t="shared" ref="C5:G5" si="0">C6+C7+C28</f>
        <v>9067</v>
      </c>
      <c r="D5" s="20">
        <f t="shared" si="0"/>
        <v>6438</v>
      </c>
      <c r="E5" s="20">
        <f t="shared" si="0"/>
        <v>753</v>
      </c>
      <c r="F5" s="20">
        <f t="shared" si="0"/>
        <v>1950</v>
      </c>
      <c r="G5" s="20">
        <f t="shared" si="0"/>
        <v>3649</v>
      </c>
      <c r="H5" s="20">
        <f>H6+H7+H28</f>
        <v>2644</v>
      </c>
      <c r="I5" s="11"/>
      <c r="J5" s="11"/>
      <c r="K5" s="11"/>
      <c r="L5" s="11"/>
      <c r="M5" s="30"/>
      <c r="N5" s="11"/>
      <c r="O5" s="11"/>
      <c r="P5" s="11"/>
      <c r="Q5" s="11"/>
      <c r="R5" s="11"/>
      <c r="S5" s="11"/>
    </row>
    <row r="6" spans="1:22" s="8" customFormat="1" x14ac:dyDescent="0.25">
      <c r="A6" s="31" t="s">
        <v>3</v>
      </c>
      <c r="B6" s="22">
        <f t="shared" ref="B6:B28" si="1">SUM(C6:H6)</f>
        <v>9500</v>
      </c>
      <c r="C6" s="2">
        <v>1767</v>
      </c>
      <c r="D6" s="22">
        <v>1364</v>
      </c>
      <c r="E6" s="22">
        <v>84</v>
      </c>
      <c r="F6" s="23">
        <v>0</v>
      </c>
      <c r="G6" s="22">
        <v>3649</v>
      </c>
      <c r="H6" s="22">
        <v>2636</v>
      </c>
      <c r="I6" s="11"/>
      <c r="J6" s="11"/>
      <c r="K6" s="11"/>
      <c r="L6" s="11"/>
      <c r="M6" s="10"/>
      <c r="N6" s="11"/>
      <c r="O6" s="11"/>
      <c r="P6" s="11"/>
      <c r="Q6" s="11"/>
      <c r="R6" s="11"/>
      <c r="S6" s="11"/>
    </row>
    <row r="7" spans="1:22" s="8" customFormat="1" x14ac:dyDescent="0.25">
      <c r="A7" s="31" t="s">
        <v>6</v>
      </c>
      <c r="B7" s="22">
        <f t="shared" si="1"/>
        <v>15000</v>
      </c>
      <c r="C7" s="26">
        <f>SUM(C8:C27)</f>
        <v>7300</v>
      </c>
      <c r="D7" s="26">
        <f t="shared" ref="D7:G7" si="2">SUM(D8:D27)</f>
        <v>5074</v>
      </c>
      <c r="E7" s="26">
        <f t="shared" si="2"/>
        <v>669</v>
      </c>
      <c r="F7" s="26">
        <f t="shared" si="2"/>
        <v>1950</v>
      </c>
      <c r="G7" s="26">
        <f t="shared" si="2"/>
        <v>0</v>
      </c>
      <c r="H7" s="26">
        <f>SUM(H8:H27)</f>
        <v>7</v>
      </c>
      <c r="I7" s="11"/>
      <c r="J7" s="11"/>
      <c r="K7" s="11"/>
      <c r="L7" s="11"/>
      <c r="M7" s="10"/>
      <c r="N7" s="11"/>
      <c r="O7" s="11"/>
      <c r="P7" s="11"/>
      <c r="Q7" s="11"/>
      <c r="R7" s="11"/>
      <c r="S7" s="11"/>
    </row>
    <row r="8" spans="1:22" x14ac:dyDescent="0.25">
      <c r="A8" s="19" t="s">
        <v>7</v>
      </c>
      <c r="B8" s="22">
        <f t="shared" si="1"/>
        <v>939</v>
      </c>
      <c r="C8" s="23">
        <v>465</v>
      </c>
      <c r="D8" s="23">
        <v>299</v>
      </c>
      <c r="E8" s="23">
        <v>34</v>
      </c>
      <c r="F8" s="23">
        <v>141</v>
      </c>
      <c r="G8" s="23">
        <v>0</v>
      </c>
      <c r="H8" s="23">
        <v>0</v>
      </c>
      <c r="I8" s="28"/>
      <c r="J8" s="28"/>
      <c r="K8" s="28"/>
      <c r="L8" s="28"/>
      <c r="M8" s="5"/>
      <c r="N8" s="21"/>
      <c r="O8" s="13"/>
      <c r="P8" s="28"/>
      <c r="Q8" s="28"/>
      <c r="R8" s="28"/>
      <c r="S8" s="28"/>
    </row>
    <row r="9" spans="1:22" x14ac:dyDescent="0.25">
      <c r="A9" s="19" t="s">
        <v>8</v>
      </c>
      <c r="B9" s="22">
        <f t="shared" si="1"/>
        <v>1307</v>
      </c>
      <c r="C9" s="23">
        <v>632</v>
      </c>
      <c r="D9" s="23">
        <v>498</v>
      </c>
      <c r="E9" s="23">
        <v>33</v>
      </c>
      <c r="F9" s="23">
        <v>144</v>
      </c>
      <c r="G9" s="23">
        <v>0</v>
      </c>
      <c r="H9" s="23">
        <v>0</v>
      </c>
      <c r="I9" s="28"/>
      <c r="J9" s="28"/>
      <c r="K9" s="28"/>
      <c r="L9" s="28"/>
      <c r="M9" s="5"/>
      <c r="N9" s="21"/>
      <c r="O9" s="13"/>
      <c r="P9" s="28"/>
      <c r="Q9" s="28"/>
      <c r="R9" s="28"/>
      <c r="S9" s="28"/>
    </row>
    <row r="10" spans="1:22" x14ac:dyDescent="0.25">
      <c r="A10" s="19" t="s">
        <v>9</v>
      </c>
      <c r="B10" s="22">
        <f t="shared" si="1"/>
        <v>969</v>
      </c>
      <c r="C10" s="23">
        <v>454</v>
      </c>
      <c r="D10" s="23">
        <v>321</v>
      </c>
      <c r="E10" s="23">
        <v>37</v>
      </c>
      <c r="F10" s="23">
        <v>157</v>
      </c>
      <c r="G10" s="23">
        <v>0</v>
      </c>
      <c r="H10" s="23">
        <v>0</v>
      </c>
      <c r="I10" s="28"/>
      <c r="J10" s="28"/>
      <c r="K10" s="28"/>
      <c r="L10" s="28"/>
      <c r="M10" s="5"/>
      <c r="N10" s="21"/>
      <c r="O10" s="13"/>
      <c r="P10" s="28"/>
      <c r="Q10" s="28"/>
      <c r="R10" s="28"/>
      <c r="S10" s="28"/>
    </row>
    <row r="11" spans="1:22" x14ac:dyDescent="0.25">
      <c r="A11" s="19" t="s">
        <v>10</v>
      </c>
      <c r="B11" s="22">
        <f t="shared" si="1"/>
        <v>813</v>
      </c>
      <c r="C11" s="23">
        <v>413</v>
      </c>
      <c r="D11" s="23">
        <v>246</v>
      </c>
      <c r="E11" s="23">
        <v>26</v>
      </c>
      <c r="F11" s="23">
        <v>128</v>
      </c>
      <c r="G11" s="23">
        <v>0</v>
      </c>
      <c r="H11" s="23">
        <v>0</v>
      </c>
      <c r="I11" s="28"/>
      <c r="J11" s="28"/>
      <c r="K11" s="28"/>
      <c r="L11" s="28"/>
      <c r="M11" s="28"/>
      <c r="N11" s="21"/>
      <c r="O11" s="13"/>
      <c r="P11" s="28"/>
      <c r="Q11" s="28"/>
      <c r="R11" s="28"/>
      <c r="S11" s="28"/>
    </row>
    <row r="12" spans="1:22" x14ac:dyDescent="0.25">
      <c r="A12" s="19" t="s">
        <v>11</v>
      </c>
      <c r="B12" s="22">
        <f t="shared" si="1"/>
        <v>1178</v>
      </c>
      <c r="C12" s="23">
        <v>641</v>
      </c>
      <c r="D12" s="23">
        <v>357</v>
      </c>
      <c r="E12" s="23">
        <v>29</v>
      </c>
      <c r="F12" s="23">
        <v>151</v>
      </c>
      <c r="G12" s="23">
        <v>0</v>
      </c>
      <c r="H12" s="23">
        <v>0</v>
      </c>
      <c r="I12" s="28"/>
      <c r="J12" s="28"/>
      <c r="K12" s="28"/>
      <c r="L12" s="28"/>
      <c r="M12" s="28"/>
      <c r="N12" s="21"/>
      <c r="O12" s="13"/>
      <c r="P12" s="28"/>
      <c r="Q12" s="28"/>
      <c r="R12" s="28"/>
      <c r="S12" s="28"/>
    </row>
    <row r="13" spans="1:22" x14ac:dyDescent="0.25">
      <c r="A13" s="19" t="s">
        <v>12</v>
      </c>
      <c r="B13" s="22">
        <f t="shared" si="1"/>
        <v>801</v>
      </c>
      <c r="C13" s="23">
        <v>381</v>
      </c>
      <c r="D13" s="23">
        <v>282</v>
      </c>
      <c r="E13" s="23">
        <v>30</v>
      </c>
      <c r="F13" s="23">
        <v>101</v>
      </c>
      <c r="G13" s="23">
        <v>0</v>
      </c>
      <c r="H13" s="23">
        <v>7</v>
      </c>
      <c r="I13" s="28"/>
      <c r="J13" s="28"/>
      <c r="K13" s="28"/>
      <c r="L13" s="28"/>
      <c r="M13" s="28"/>
      <c r="N13" s="21"/>
      <c r="O13" s="13"/>
      <c r="P13" s="28"/>
      <c r="Q13" s="28"/>
      <c r="R13" s="28"/>
      <c r="S13" s="28"/>
    </row>
    <row r="14" spans="1:22" x14ac:dyDescent="0.25">
      <c r="A14" s="19" t="s">
        <v>13</v>
      </c>
      <c r="B14" s="22">
        <f t="shared" si="1"/>
        <v>479</v>
      </c>
      <c r="C14" s="23">
        <v>220</v>
      </c>
      <c r="D14" s="23">
        <v>168</v>
      </c>
      <c r="E14" s="23">
        <v>30</v>
      </c>
      <c r="F14" s="23">
        <v>61</v>
      </c>
      <c r="G14" s="23">
        <v>0</v>
      </c>
      <c r="H14" s="23">
        <v>0</v>
      </c>
      <c r="I14" s="28"/>
      <c r="J14" s="28"/>
      <c r="K14" s="28"/>
      <c r="L14" s="28"/>
      <c r="M14" s="28"/>
      <c r="N14" s="21"/>
      <c r="O14" s="13"/>
      <c r="P14" s="28"/>
      <c r="Q14" s="28"/>
      <c r="R14" s="28"/>
      <c r="S14" s="28"/>
    </row>
    <row r="15" spans="1:22" x14ac:dyDescent="0.25">
      <c r="A15" s="19" t="s">
        <v>14</v>
      </c>
      <c r="B15" s="22">
        <f t="shared" si="1"/>
        <v>1048</v>
      </c>
      <c r="C15" s="23">
        <v>445</v>
      </c>
      <c r="D15" s="23">
        <v>480</v>
      </c>
      <c r="E15" s="23">
        <v>25</v>
      </c>
      <c r="F15" s="23">
        <v>98</v>
      </c>
      <c r="G15" s="23">
        <v>0</v>
      </c>
      <c r="H15" s="23">
        <v>0</v>
      </c>
      <c r="I15" s="28"/>
      <c r="J15" s="28"/>
      <c r="K15" s="28"/>
      <c r="L15" s="28"/>
      <c r="M15" s="28"/>
      <c r="N15" s="21"/>
      <c r="O15" s="13"/>
      <c r="P15" s="28"/>
      <c r="Q15" s="28"/>
      <c r="R15" s="28"/>
      <c r="S15" s="28"/>
    </row>
    <row r="16" spans="1:22" x14ac:dyDescent="0.25">
      <c r="A16" s="19" t="s">
        <v>15</v>
      </c>
      <c r="B16" s="22">
        <f t="shared" si="1"/>
        <v>477</v>
      </c>
      <c r="C16" s="23">
        <v>221</v>
      </c>
      <c r="D16" s="23">
        <v>162</v>
      </c>
      <c r="E16" s="23">
        <v>23</v>
      </c>
      <c r="F16" s="23">
        <v>71</v>
      </c>
      <c r="G16" s="23">
        <v>0</v>
      </c>
      <c r="H16" s="23">
        <v>0</v>
      </c>
      <c r="I16" s="28"/>
      <c r="J16" s="28"/>
      <c r="K16" s="28"/>
      <c r="L16" s="28"/>
      <c r="M16" s="28"/>
      <c r="N16" s="21"/>
      <c r="O16" s="13"/>
      <c r="P16" s="28"/>
      <c r="Q16" s="28"/>
      <c r="R16" s="28"/>
      <c r="S16" s="28"/>
    </row>
    <row r="17" spans="1:20" x14ac:dyDescent="0.25">
      <c r="A17" s="19" t="s">
        <v>16</v>
      </c>
      <c r="B17" s="22">
        <f t="shared" si="1"/>
        <v>644</v>
      </c>
      <c r="C17" s="23">
        <v>284</v>
      </c>
      <c r="D17" s="23">
        <v>233</v>
      </c>
      <c r="E17" s="23">
        <v>25</v>
      </c>
      <c r="F17" s="23">
        <v>102</v>
      </c>
      <c r="G17" s="23">
        <v>0</v>
      </c>
      <c r="H17" s="23">
        <v>0</v>
      </c>
      <c r="I17" s="28"/>
      <c r="J17" s="28"/>
      <c r="K17" s="28"/>
      <c r="L17" s="28"/>
      <c r="M17" s="28"/>
      <c r="N17" s="21"/>
      <c r="O17" s="13"/>
      <c r="P17" s="28"/>
      <c r="Q17" s="28"/>
      <c r="R17" s="28"/>
      <c r="S17" s="28"/>
    </row>
    <row r="18" spans="1:20" x14ac:dyDescent="0.25">
      <c r="A18" s="19" t="s">
        <v>17</v>
      </c>
      <c r="B18" s="22">
        <f t="shared" si="1"/>
        <v>187</v>
      </c>
      <c r="C18" s="23">
        <v>76</v>
      </c>
      <c r="D18" s="23">
        <v>62</v>
      </c>
      <c r="E18" s="23">
        <v>22</v>
      </c>
      <c r="F18" s="23">
        <v>27</v>
      </c>
      <c r="G18" s="23">
        <v>0</v>
      </c>
      <c r="H18" s="23">
        <v>0</v>
      </c>
      <c r="I18" s="28"/>
      <c r="J18" s="28"/>
      <c r="K18" s="28"/>
      <c r="L18" s="28"/>
      <c r="M18" s="28"/>
      <c r="N18" s="21"/>
      <c r="O18" s="13"/>
      <c r="P18" s="28"/>
      <c r="Q18" s="28"/>
      <c r="R18" s="28"/>
      <c r="S18" s="28"/>
    </row>
    <row r="19" spans="1:20" x14ac:dyDescent="0.25">
      <c r="A19" s="19" t="s">
        <v>18</v>
      </c>
      <c r="B19" s="22">
        <f t="shared" si="1"/>
        <v>474</v>
      </c>
      <c r="C19" s="23">
        <v>205</v>
      </c>
      <c r="D19" s="23">
        <v>167</v>
      </c>
      <c r="E19" s="23">
        <v>28</v>
      </c>
      <c r="F19" s="23">
        <v>74</v>
      </c>
      <c r="G19" s="23">
        <v>0</v>
      </c>
      <c r="H19" s="23">
        <v>0</v>
      </c>
      <c r="I19" s="28"/>
      <c r="J19" s="28"/>
      <c r="K19" s="28"/>
      <c r="L19" s="28"/>
      <c r="M19" s="28"/>
      <c r="N19" s="21"/>
      <c r="O19" s="13"/>
      <c r="P19" s="28"/>
      <c r="Q19" s="28"/>
      <c r="R19" s="28"/>
      <c r="S19" s="28"/>
    </row>
    <row r="20" spans="1:20" x14ac:dyDescent="0.25">
      <c r="A20" s="19" t="s">
        <v>19</v>
      </c>
      <c r="B20" s="22">
        <f t="shared" si="1"/>
        <v>435</v>
      </c>
      <c r="C20" s="23">
        <v>200</v>
      </c>
      <c r="D20" s="23">
        <v>156</v>
      </c>
      <c r="E20" s="23">
        <v>28</v>
      </c>
      <c r="F20" s="23">
        <v>51</v>
      </c>
      <c r="G20" s="23">
        <v>0</v>
      </c>
      <c r="H20" s="23">
        <v>0</v>
      </c>
      <c r="I20" s="28"/>
      <c r="J20" s="28"/>
      <c r="K20" s="28"/>
      <c r="L20" s="28"/>
      <c r="M20" s="28"/>
      <c r="N20" s="21"/>
      <c r="O20" s="13"/>
      <c r="P20" s="28"/>
      <c r="Q20" s="28"/>
      <c r="R20" s="28"/>
      <c r="S20" s="28"/>
    </row>
    <row r="21" spans="1:20" x14ac:dyDescent="0.25">
      <c r="A21" s="19" t="s">
        <v>20</v>
      </c>
      <c r="B21" s="22">
        <f t="shared" si="1"/>
        <v>481</v>
      </c>
      <c r="C21" s="23">
        <v>209</v>
      </c>
      <c r="D21" s="23">
        <v>174</v>
      </c>
      <c r="E21" s="23">
        <v>23</v>
      </c>
      <c r="F21" s="23">
        <v>75</v>
      </c>
      <c r="G21" s="23">
        <v>0</v>
      </c>
      <c r="H21" s="23">
        <v>0</v>
      </c>
      <c r="I21" s="28"/>
      <c r="J21" s="28"/>
      <c r="K21" s="28"/>
      <c r="L21" s="28"/>
      <c r="M21" s="28"/>
      <c r="N21" s="21"/>
      <c r="O21" s="13"/>
      <c r="P21" s="28"/>
      <c r="Q21" s="28"/>
      <c r="R21" s="28"/>
      <c r="S21" s="28"/>
    </row>
    <row r="22" spans="1:20" x14ac:dyDescent="0.25">
      <c r="A22" s="19" t="s">
        <v>21</v>
      </c>
      <c r="B22" s="22">
        <f t="shared" si="1"/>
        <v>901</v>
      </c>
      <c r="C22" s="23">
        <v>422</v>
      </c>
      <c r="D22" s="23">
        <v>314</v>
      </c>
      <c r="E22" s="23">
        <v>35</v>
      </c>
      <c r="F22" s="23">
        <v>130</v>
      </c>
      <c r="G22" s="23">
        <v>0</v>
      </c>
      <c r="H22" s="23">
        <v>0</v>
      </c>
      <c r="I22" s="28"/>
      <c r="J22" s="28"/>
      <c r="K22" s="28"/>
      <c r="L22" s="28"/>
      <c r="M22" s="28"/>
      <c r="N22" s="24"/>
      <c r="O22" s="13"/>
      <c r="P22" s="28"/>
      <c r="Q22" s="28"/>
      <c r="R22" s="28"/>
      <c r="S22" s="28"/>
    </row>
    <row r="23" spans="1:20" x14ac:dyDescent="0.25">
      <c r="A23" s="19" t="s">
        <v>22</v>
      </c>
      <c r="B23" s="22">
        <f t="shared" si="1"/>
        <v>892</v>
      </c>
      <c r="C23" s="23">
        <v>443</v>
      </c>
      <c r="D23" s="23">
        <v>254</v>
      </c>
      <c r="E23" s="23">
        <v>35</v>
      </c>
      <c r="F23" s="23">
        <v>160</v>
      </c>
      <c r="G23" s="23">
        <v>0</v>
      </c>
      <c r="H23" s="23">
        <v>0</v>
      </c>
      <c r="I23" s="28"/>
      <c r="J23" s="28"/>
      <c r="K23" s="28"/>
      <c r="L23" s="28"/>
      <c r="M23" s="28"/>
      <c r="N23" s="24"/>
      <c r="O23" s="13"/>
      <c r="P23" s="28"/>
      <c r="Q23" s="28"/>
      <c r="R23" s="28"/>
      <c r="S23" s="28"/>
    </row>
    <row r="24" spans="1:20" x14ac:dyDescent="0.25">
      <c r="A24" s="19" t="s">
        <v>23</v>
      </c>
      <c r="B24" s="22">
        <f t="shared" si="1"/>
        <v>675</v>
      </c>
      <c r="C24" s="23">
        <v>315</v>
      </c>
      <c r="D24" s="23">
        <v>240</v>
      </c>
      <c r="E24" s="23">
        <v>22</v>
      </c>
      <c r="F24" s="23">
        <v>98</v>
      </c>
      <c r="G24" s="23">
        <v>0</v>
      </c>
      <c r="H24" s="23">
        <v>0</v>
      </c>
      <c r="I24" s="28"/>
      <c r="J24" s="28"/>
      <c r="K24" s="28"/>
      <c r="L24" s="28"/>
      <c r="M24" s="28"/>
      <c r="N24" s="21"/>
      <c r="O24" s="13"/>
      <c r="P24" s="28"/>
      <c r="Q24" s="28"/>
      <c r="R24" s="28"/>
      <c r="S24" s="28"/>
    </row>
    <row r="25" spans="1:20" x14ac:dyDescent="0.25">
      <c r="A25" s="19" t="s">
        <v>24</v>
      </c>
      <c r="B25" s="22">
        <f t="shared" si="1"/>
        <v>811</v>
      </c>
      <c r="C25" s="23">
        <v>391</v>
      </c>
      <c r="D25" s="23">
        <v>289</v>
      </c>
      <c r="E25" s="23">
        <v>35</v>
      </c>
      <c r="F25" s="23">
        <v>96</v>
      </c>
      <c r="G25" s="23">
        <v>0</v>
      </c>
      <c r="H25" s="23">
        <v>0</v>
      </c>
      <c r="I25" s="28"/>
      <c r="J25" s="28"/>
      <c r="K25" s="28"/>
      <c r="L25" s="28"/>
      <c r="M25" s="28"/>
      <c r="N25" s="21"/>
      <c r="O25" s="13"/>
      <c r="P25" s="28"/>
      <c r="Q25" s="28"/>
      <c r="R25" s="28"/>
      <c r="S25" s="28"/>
    </row>
    <row r="26" spans="1:20" x14ac:dyDescent="0.25">
      <c r="A26" s="19" t="s">
        <v>25</v>
      </c>
      <c r="B26" s="22">
        <f t="shared" si="1"/>
        <v>504</v>
      </c>
      <c r="C26" s="23">
        <v>270</v>
      </c>
      <c r="D26" s="23">
        <v>113</v>
      </c>
      <c r="E26" s="23">
        <v>36</v>
      </c>
      <c r="F26" s="23">
        <v>85</v>
      </c>
      <c r="G26" s="23">
        <v>0</v>
      </c>
      <c r="H26" s="23">
        <v>0</v>
      </c>
      <c r="I26" s="28"/>
      <c r="J26" s="28"/>
      <c r="K26" s="28"/>
      <c r="L26" s="28"/>
      <c r="M26" s="28"/>
      <c r="N26" s="21"/>
      <c r="O26" s="13"/>
      <c r="P26" s="28"/>
      <c r="Q26" s="28"/>
      <c r="R26" s="28"/>
      <c r="S26" s="28"/>
    </row>
    <row r="27" spans="1:20" x14ac:dyDescent="0.25">
      <c r="A27" s="19" t="s">
        <v>26</v>
      </c>
      <c r="B27" s="22">
        <f t="shared" si="1"/>
        <v>985</v>
      </c>
      <c r="C27" s="23">
        <v>613</v>
      </c>
      <c r="D27" s="23">
        <v>259</v>
      </c>
      <c r="E27" s="23">
        <v>113</v>
      </c>
      <c r="F27" s="23">
        <v>0</v>
      </c>
      <c r="G27" s="23">
        <v>0</v>
      </c>
      <c r="H27" s="23">
        <v>0</v>
      </c>
      <c r="I27" s="28"/>
      <c r="J27" s="28"/>
      <c r="K27" s="28"/>
      <c r="L27" s="28"/>
      <c r="M27" s="28"/>
      <c r="N27" s="21"/>
      <c r="O27" s="13"/>
      <c r="P27" s="28"/>
      <c r="Q27" s="28"/>
      <c r="R27" s="28"/>
      <c r="S27" s="28"/>
    </row>
    <row r="28" spans="1:20" x14ac:dyDescent="0.25">
      <c r="A28" s="37" t="s">
        <v>37</v>
      </c>
      <c r="B28" s="36">
        <f t="shared" si="1"/>
        <v>1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36">
        <v>1</v>
      </c>
      <c r="I28" s="28"/>
      <c r="J28" s="28"/>
      <c r="K28" s="28"/>
      <c r="L28" s="28"/>
      <c r="M28" s="28"/>
      <c r="N28" s="21"/>
      <c r="O28" s="13"/>
      <c r="P28" s="28"/>
      <c r="Q28" s="28"/>
      <c r="R28" s="28"/>
      <c r="S28" s="28"/>
    </row>
    <row r="29" spans="1:20" ht="18.75" x14ac:dyDescent="0.25">
      <c r="A29" s="34" t="s">
        <v>38</v>
      </c>
      <c r="B29" s="6"/>
      <c r="C29" s="7"/>
      <c r="D29" s="6"/>
      <c r="E29" s="6"/>
      <c r="F29" s="6"/>
      <c r="G29" s="7"/>
      <c r="H29" s="35" t="s">
        <v>34</v>
      </c>
      <c r="I29" s="6"/>
      <c r="J29" s="6"/>
      <c r="K29" s="7"/>
      <c r="L29" s="6"/>
      <c r="M29" s="28"/>
      <c r="N29" s="21"/>
      <c r="O29" s="13"/>
      <c r="P29" s="28"/>
      <c r="Q29" s="28"/>
      <c r="R29" s="28"/>
      <c r="S29" s="28"/>
    </row>
    <row r="30" spans="1:20" s="27" customFormat="1" ht="17.25" x14ac:dyDescent="0.25">
      <c r="A30" s="32" t="s">
        <v>1</v>
      </c>
      <c r="B30" s="33"/>
      <c r="C30" s="9"/>
      <c r="D30" s="9"/>
      <c r="E30" s="9"/>
      <c r="F30" s="10"/>
      <c r="G30" s="9"/>
      <c r="H30" s="4" t="s">
        <v>2</v>
      </c>
      <c r="T30" s="17"/>
    </row>
    <row r="39" spans="22:29" ht="60" x14ac:dyDescent="0.25">
      <c r="W39" s="28" t="s">
        <v>0</v>
      </c>
      <c r="X39" s="16" t="s">
        <v>27</v>
      </c>
      <c r="Y39" s="16" t="s">
        <v>28</v>
      </c>
      <c r="Z39" s="16" t="s">
        <v>39</v>
      </c>
      <c r="AA39" s="16" t="s">
        <v>29</v>
      </c>
      <c r="AB39" s="16" t="s">
        <v>30</v>
      </c>
      <c r="AC39" s="16" t="s">
        <v>31</v>
      </c>
    </row>
    <row r="40" spans="22:29" x14ac:dyDescent="0.25">
      <c r="V40" s="14" t="s">
        <v>3</v>
      </c>
      <c r="W40" s="3">
        <f>B6</f>
        <v>9500</v>
      </c>
      <c r="X40" s="3">
        <f>C6</f>
        <v>1767</v>
      </c>
      <c r="Y40" s="3">
        <f t="shared" ref="Y40:AC40" si="3">D6</f>
        <v>1364</v>
      </c>
      <c r="Z40" s="3">
        <f t="shared" si="3"/>
        <v>84</v>
      </c>
      <c r="AA40" s="3">
        <f t="shared" si="3"/>
        <v>0</v>
      </c>
      <c r="AB40" s="3">
        <f t="shared" si="3"/>
        <v>3649</v>
      </c>
      <c r="AC40" s="3">
        <f t="shared" si="3"/>
        <v>2636</v>
      </c>
    </row>
    <row r="41" spans="22:29" x14ac:dyDescent="0.25">
      <c r="V41" s="14" t="s">
        <v>32</v>
      </c>
      <c r="W41" s="3">
        <f>B7</f>
        <v>15000</v>
      </c>
      <c r="X41" s="3">
        <f t="shared" ref="X41:AC41" si="4">C7</f>
        <v>7300</v>
      </c>
      <c r="Y41" s="3">
        <f t="shared" si="4"/>
        <v>5074</v>
      </c>
      <c r="Z41" s="3">
        <f t="shared" si="4"/>
        <v>669</v>
      </c>
      <c r="AA41" s="3">
        <f t="shared" si="4"/>
        <v>1950</v>
      </c>
      <c r="AB41" s="3">
        <f t="shared" si="4"/>
        <v>0</v>
      </c>
      <c r="AC41" s="3">
        <f t="shared" si="4"/>
        <v>7</v>
      </c>
    </row>
  </sheetData>
  <mergeCells count="2">
    <mergeCell ref="A2:H2"/>
    <mergeCell ref="A1:H1"/>
  </mergeCells>
  <pageMargins left="0.7" right="0.7" top="0.75" bottom="0.75" header="0.3" footer="0.3"/>
  <pageSetup scale="78" orientation="portrait" horizontalDpi="4294967295" verticalDpi="4294967295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2017-06-07T08:11:57Z</cp:lastPrinted>
  <dcterms:created xsi:type="dcterms:W3CDTF">2013-03-26T05:45:33Z</dcterms:created>
  <dcterms:modified xsi:type="dcterms:W3CDTF">2017-06-07T08:11:59Z</dcterms:modified>
</cp:coreProperties>
</file>