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5. EMPLOYMENT\"/>
    </mc:Choice>
  </mc:AlternateContent>
  <bookViews>
    <workbookView xWindow="0" yWindow="0" windowWidth="28800" windowHeight="12330" tabRatio="834"/>
  </bookViews>
  <sheets>
    <sheet name="5.11" sheetId="29" r:id="rId1"/>
  </sheets>
  <definedNames>
    <definedName name="_xlnm.Print_Area" localSheetId="0">'5.11'!$A$1:$K$66</definedName>
  </definedNames>
  <calcPr calcId="162913"/>
</workbook>
</file>

<file path=xl/calcChain.xml><?xml version="1.0" encoding="utf-8"?>
<calcChain xmlns="http://schemas.openxmlformats.org/spreadsheetml/2006/main">
  <c r="B9" i="29" l="1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E9" i="29"/>
  <c r="E10" i="29"/>
  <c r="E11" i="29"/>
  <c r="E12" i="29"/>
  <c r="E13" i="29"/>
  <c r="E14" i="29"/>
  <c r="E15" i="29"/>
  <c r="E16" i="29"/>
  <c r="E17" i="29"/>
  <c r="E18" i="29"/>
  <c r="E19" i="29"/>
  <c r="E20" i="29"/>
  <c r="E21" i="29"/>
  <c r="E22" i="29"/>
  <c r="B8" i="29"/>
  <c r="E8" i="29"/>
  <c r="H9" i="29"/>
  <c r="H10" i="29"/>
  <c r="H11" i="29"/>
  <c r="H12" i="29"/>
  <c r="H13" i="29"/>
  <c r="H14" i="29"/>
  <c r="H15" i="29"/>
  <c r="H16" i="29"/>
  <c r="H17" i="29"/>
  <c r="H18" i="29"/>
  <c r="H19" i="29"/>
  <c r="H20" i="29"/>
  <c r="H21" i="29"/>
  <c r="H22" i="29"/>
  <c r="H8" i="29"/>
  <c r="J7" i="29"/>
  <c r="I7" i="29"/>
  <c r="H7" i="29" l="1"/>
  <c r="G7" i="29"/>
  <c r="F7" i="29"/>
  <c r="E7" i="29" l="1"/>
  <c r="D7" i="29"/>
  <c r="C7" i="29"/>
  <c r="B7" i="29" l="1"/>
</calcChain>
</file>

<file path=xl/sharedStrings.xml><?xml version="1.0" encoding="utf-8"?>
<sst xmlns="http://schemas.openxmlformats.org/spreadsheetml/2006/main" count="44" uniqueCount="23">
  <si>
    <t>Total</t>
  </si>
  <si>
    <t>Male</t>
  </si>
  <si>
    <t>Female</t>
  </si>
  <si>
    <t>TOTAL</t>
  </si>
  <si>
    <t>Agriculture</t>
  </si>
  <si>
    <t>Construction</t>
  </si>
  <si>
    <t>Education</t>
  </si>
  <si>
    <t>Electricity, gas &amp; water supply</t>
  </si>
  <si>
    <t>Financial intermediation</t>
  </si>
  <si>
    <t>Fishery</t>
  </si>
  <si>
    <t>Health &amp; Social Work</t>
  </si>
  <si>
    <t>Hotels &amp; Restaurants</t>
  </si>
  <si>
    <t>Manufacturing</t>
  </si>
  <si>
    <t>Other Community, Social and Personal Services</t>
  </si>
  <si>
    <t>Real Estate, Renting &amp; Business Activities</t>
  </si>
  <si>
    <t>Recycling</t>
  </si>
  <si>
    <t>Tourism</t>
  </si>
  <si>
    <t>Transport, Storage &amp; Communication</t>
  </si>
  <si>
    <t>Whole sale &amp; retail trade; repair of motor vehicles, motor cycles &amp; personal household goods</t>
  </si>
  <si>
    <t>Source: Maldives Immigration</t>
  </si>
  <si>
    <t>Industry</t>
  </si>
  <si>
    <t>Table 5.11: Expatriate Employment by Industry and Sex,  2013 - 2015</t>
  </si>
  <si>
    <t>ތާވަލު 5.11: މަސައްކަތްކުރާ ދާއިރާގެ ގޮތުންނާއި ޖިންސުގެ ގޮތުން ބިދޭސީ މަސައްކަތްތެރިން، 2013 - 2015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</si>
</sst>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6" formatCode="_(* #,##0_);_(* \(#,##0\);_(* &quot;-&quot;??_);_(@_)"/>
    <numFmt numFmtId="167" formatCode="General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i/>
      <sz val="10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MS Sans Serif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name val="Faruma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 style="hair">
        <color auto="1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19">
    <xf numFmtId="0" fontId="0" fillId="0" borderId="0"/>
    <xf numFmtId="43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5" fillId="0" borderId="0"/>
    <xf numFmtId="0" fontId="8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39">
    <xf numFmtId="0" fontId="0" fillId="0" borderId="0" xfId="0"/>
    <xf numFmtId="0" fontId="4" fillId="2" borderId="0" xfId="0" applyFont="1" applyFill="1" applyBorder="1" applyAlignment="1">
      <alignment horizontal="left" indent="1"/>
    </xf>
    <xf numFmtId="0" fontId="12" fillId="2" borderId="0" xfId="0" applyFont="1" applyFill="1"/>
    <xf numFmtId="0" fontId="6" fillId="2" borderId="0" xfId="0" applyFont="1" applyFill="1"/>
    <xf numFmtId="0" fontId="6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/>
    </xf>
    <xf numFmtId="166" fontId="6" fillId="2" borderId="0" xfId="1" applyNumberFormat="1" applyFont="1" applyFill="1" applyBorder="1" applyAlignment="1">
      <alignment horizontal="center" vertical="center"/>
    </xf>
    <xf numFmtId="166" fontId="6" fillId="2" borderId="0" xfId="1" applyNumberFormat="1" applyFont="1" applyFill="1" applyBorder="1" applyAlignment="1">
      <alignment vertical="center"/>
    </xf>
    <xf numFmtId="166" fontId="6" fillId="2" borderId="0" xfId="1" applyNumberFormat="1" applyFont="1" applyFill="1" applyBorder="1" applyAlignment="1">
      <alignment horizontal="left" vertical="center"/>
    </xf>
    <xf numFmtId="166" fontId="6" fillId="2" borderId="5" xfId="1" applyNumberFormat="1" applyFont="1" applyFill="1" applyBorder="1" applyAlignment="1">
      <alignment horizontal="center" vertical="center"/>
    </xf>
    <xf numFmtId="166" fontId="6" fillId="2" borderId="4" xfId="1" applyNumberFormat="1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166" fontId="6" fillId="2" borderId="0" xfId="1" applyNumberFormat="1" applyFont="1" applyFill="1" applyBorder="1" applyAlignment="1">
      <alignment vertical="center" wrapText="1"/>
    </xf>
    <xf numFmtId="166" fontId="12" fillId="2" borderId="0" xfId="1" applyNumberFormat="1" applyFont="1" applyFill="1" applyBorder="1" applyAlignment="1">
      <alignment vertical="center" wrapText="1"/>
    </xf>
    <xf numFmtId="166" fontId="6" fillId="2" borderId="5" xfId="1" applyNumberFormat="1" applyFont="1" applyFill="1" applyBorder="1" applyAlignment="1">
      <alignment vertical="center" wrapText="1"/>
    </xf>
    <xf numFmtId="166" fontId="12" fillId="2" borderId="4" xfId="1" applyNumberFormat="1" applyFont="1" applyFill="1" applyBorder="1" applyAlignment="1">
      <alignment vertical="center" wrapText="1"/>
    </xf>
    <xf numFmtId="166" fontId="6" fillId="2" borderId="1" xfId="1" applyNumberFormat="1" applyFont="1" applyFill="1" applyBorder="1" applyAlignment="1">
      <alignment vertical="center" wrapText="1"/>
    </xf>
    <xf numFmtId="166" fontId="12" fillId="2" borderId="1" xfId="1" applyNumberFormat="1" applyFont="1" applyFill="1" applyBorder="1" applyAlignment="1">
      <alignment vertical="center" wrapText="1"/>
    </xf>
    <xf numFmtId="166" fontId="6" fillId="2" borderId="6" xfId="1" applyNumberFormat="1" applyFont="1" applyFill="1" applyBorder="1" applyAlignment="1">
      <alignment vertical="center" wrapText="1"/>
    </xf>
    <xf numFmtId="166" fontId="12" fillId="2" borderId="3" xfId="1" applyNumberFormat="1" applyFont="1" applyFill="1" applyBorder="1" applyAlignment="1">
      <alignment vertical="center" wrapText="1"/>
    </xf>
    <xf numFmtId="0" fontId="12" fillId="2" borderId="0" xfId="0" applyFont="1" applyFill="1" applyBorder="1" applyAlignment="1">
      <alignment horizontal="left" vertical="center" wrapText="1" indent="1"/>
    </xf>
    <xf numFmtId="0" fontId="12" fillId="2" borderId="1" xfId="0" applyFont="1" applyFill="1" applyBorder="1" applyAlignment="1">
      <alignment horizontal="left" vertical="center" wrapText="1" indent="1"/>
    </xf>
    <xf numFmtId="0" fontId="4" fillId="2" borderId="0" xfId="0" applyFont="1" applyFill="1" applyBorder="1" applyAlignment="1">
      <alignment horizontal="left" vertical="center" indent="1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12" fillId="2" borderId="0" xfId="0" applyFont="1" applyFill="1" applyBorder="1"/>
    <xf numFmtId="167" fontId="11" fillId="2" borderId="0" xfId="5" applyNumberFormat="1" applyFont="1" applyFill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center" vertical="center"/>
    </xf>
  </cellXfs>
  <cellStyles count="519">
    <cellStyle name="Comma" xfId="1" builtinId="3"/>
    <cellStyle name="Comma 3" xfId="2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Normal" xfId="0" builtinId="0"/>
    <cellStyle name="Normal 2" xfId="3"/>
    <cellStyle name="Normal 4" xfId="6"/>
    <cellStyle name="Normal_Population - II 2" xfId="5"/>
    <cellStyle name="Percent 3" xfId="4"/>
  </cellStyles>
  <dxfs count="0"/>
  <tableStyles count="0" defaultTableStyle="TableStyleMedium9" defaultPivotStyle="PivotStyleLight16"/>
  <colors>
    <mruColors>
      <color rgb="FFFABF8E"/>
      <color rgb="FFF79747"/>
      <color rgb="FFFBC497"/>
      <color rgb="FFFDEADA"/>
      <color rgb="FF953735"/>
      <color rgb="FFFCD3B2"/>
      <color rgb="FFFDDFC7"/>
      <color rgb="FFFF3399"/>
      <color rgb="FFFFD9EC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941891630763781E-2"/>
          <c:y val="0.12202204232667638"/>
          <c:w val="0.91430217396515268"/>
          <c:h val="0.427853731398329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'5.11'!$Y$27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strRef>
              <c:f>'5.11'!$X$28:$X$42</c:f>
              <c:strCache>
                <c:ptCount val="15"/>
                <c:pt idx="0">
                  <c:v>Agriculture</c:v>
                </c:pt>
                <c:pt idx="1">
                  <c:v>Construction</c:v>
                </c:pt>
                <c:pt idx="2">
                  <c:v>Education</c:v>
                </c:pt>
                <c:pt idx="3">
                  <c:v>Electricity, gas &amp; water supply</c:v>
                </c:pt>
                <c:pt idx="4">
                  <c:v>Financial intermediation</c:v>
                </c:pt>
                <c:pt idx="5">
                  <c:v>Fishery</c:v>
                </c:pt>
                <c:pt idx="6">
                  <c:v>Health &amp; Social Work</c:v>
                </c:pt>
                <c:pt idx="7">
                  <c:v>Hotels &amp; Restaurants</c:v>
                </c:pt>
                <c:pt idx="8">
                  <c:v>Manufacturing</c:v>
                </c:pt>
                <c:pt idx="9">
                  <c:v>Other Community, Social and Personal Services</c:v>
                </c:pt>
                <c:pt idx="10">
                  <c:v>Real Estate, Renting &amp; Business Activities</c:v>
                </c:pt>
                <c:pt idx="11">
                  <c:v>Recycling</c:v>
                </c:pt>
                <c:pt idx="12">
                  <c:v>Tourism</c:v>
                </c:pt>
                <c:pt idx="13">
                  <c:v>Transport, Storage &amp; Communication</c:v>
                </c:pt>
                <c:pt idx="14">
                  <c:v>Whole sale &amp; retail trade; repair of motor vehicles, motor cycles &amp; personal household goods</c:v>
                </c:pt>
              </c:strCache>
            </c:strRef>
          </c:cat>
          <c:val>
            <c:numRef>
              <c:f>'5.11'!$Y$28:$Y$42</c:f>
              <c:numCache>
                <c:formatCode>General</c:formatCode>
                <c:ptCount val="15"/>
                <c:pt idx="0">
                  <c:v>1722</c:v>
                </c:pt>
                <c:pt idx="1">
                  <c:v>11801</c:v>
                </c:pt>
                <c:pt idx="2">
                  <c:v>1476</c:v>
                </c:pt>
                <c:pt idx="3">
                  <c:v>2494</c:v>
                </c:pt>
                <c:pt idx="4">
                  <c:v>1361</c:v>
                </c:pt>
                <c:pt idx="5">
                  <c:v>1317</c:v>
                </c:pt>
                <c:pt idx="6">
                  <c:v>1764</c:v>
                </c:pt>
                <c:pt idx="7">
                  <c:v>5136</c:v>
                </c:pt>
                <c:pt idx="8">
                  <c:v>4461</c:v>
                </c:pt>
                <c:pt idx="9">
                  <c:v>2957</c:v>
                </c:pt>
                <c:pt idx="10">
                  <c:v>2277</c:v>
                </c:pt>
                <c:pt idx="11">
                  <c:v>1503</c:v>
                </c:pt>
                <c:pt idx="12">
                  <c:v>11680</c:v>
                </c:pt>
                <c:pt idx="13">
                  <c:v>2647</c:v>
                </c:pt>
                <c:pt idx="14">
                  <c:v>4828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C2-4368-B807-09E571A3D678}"/>
            </c:ext>
          </c:extLst>
        </c:ser>
        <c:ser>
          <c:idx val="1"/>
          <c:order val="1"/>
          <c:tx>
            <c:strRef>
              <c:f>'5.11'!$Z$27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FABF8E"/>
            </a:solidFill>
          </c:spPr>
          <c:invertIfNegative val="0"/>
          <c:cat>
            <c:strRef>
              <c:f>'5.11'!$X$28:$X$42</c:f>
              <c:strCache>
                <c:ptCount val="15"/>
                <c:pt idx="0">
                  <c:v>Agriculture</c:v>
                </c:pt>
                <c:pt idx="1">
                  <c:v>Construction</c:v>
                </c:pt>
                <c:pt idx="2">
                  <c:v>Education</c:v>
                </c:pt>
                <c:pt idx="3">
                  <c:v>Electricity, gas &amp; water supply</c:v>
                </c:pt>
                <c:pt idx="4">
                  <c:v>Financial intermediation</c:v>
                </c:pt>
                <c:pt idx="5">
                  <c:v>Fishery</c:v>
                </c:pt>
                <c:pt idx="6">
                  <c:v>Health &amp; Social Work</c:v>
                </c:pt>
                <c:pt idx="7">
                  <c:v>Hotels &amp; Restaurants</c:v>
                </c:pt>
                <c:pt idx="8">
                  <c:v>Manufacturing</c:v>
                </c:pt>
                <c:pt idx="9">
                  <c:v>Other Community, Social and Personal Services</c:v>
                </c:pt>
                <c:pt idx="10">
                  <c:v>Real Estate, Renting &amp; Business Activities</c:v>
                </c:pt>
                <c:pt idx="11">
                  <c:v>Recycling</c:v>
                </c:pt>
                <c:pt idx="12">
                  <c:v>Tourism</c:v>
                </c:pt>
                <c:pt idx="13">
                  <c:v>Transport, Storage &amp; Communication</c:v>
                </c:pt>
                <c:pt idx="14">
                  <c:v>Whole sale &amp; retail trade; repair of motor vehicles, motor cycles &amp; personal household goods</c:v>
                </c:pt>
              </c:strCache>
            </c:strRef>
          </c:cat>
          <c:val>
            <c:numRef>
              <c:f>'5.11'!$Z$28:$Z$42</c:f>
              <c:numCache>
                <c:formatCode>General</c:formatCode>
                <c:ptCount val="15"/>
                <c:pt idx="0">
                  <c:v>1174</c:v>
                </c:pt>
                <c:pt idx="1">
                  <c:v>10891</c:v>
                </c:pt>
                <c:pt idx="2">
                  <c:v>1019</c:v>
                </c:pt>
                <c:pt idx="3">
                  <c:v>1968</c:v>
                </c:pt>
                <c:pt idx="4">
                  <c:v>895</c:v>
                </c:pt>
                <c:pt idx="5">
                  <c:v>1110</c:v>
                </c:pt>
                <c:pt idx="6">
                  <c:v>1310</c:v>
                </c:pt>
                <c:pt idx="7">
                  <c:v>5036</c:v>
                </c:pt>
                <c:pt idx="8">
                  <c:v>3748</c:v>
                </c:pt>
                <c:pt idx="9">
                  <c:v>2474</c:v>
                </c:pt>
                <c:pt idx="10">
                  <c:v>1662</c:v>
                </c:pt>
                <c:pt idx="11">
                  <c:v>1057</c:v>
                </c:pt>
                <c:pt idx="12">
                  <c:v>7353</c:v>
                </c:pt>
                <c:pt idx="13">
                  <c:v>2280</c:v>
                </c:pt>
                <c:pt idx="14">
                  <c:v>3607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C2-4368-B807-09E571A3D678}"/>
            </c:ext>
          </c:extLst>
        </c:ser>
        <c:ser>
          <c:idx val="2"/>
          <c:order val="2"/>
          <c:tx>
            <c:strRef>
              <c:f>'5.11'!$AA$27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F79747"/>
            </a:solidFill>
          </c:spPr>
          <c:invertIfNegative val="0"/>
          <c:cat>
            <c:strRef>
              <c:f>'5.11'!$X$28:$X$42</c:f>
              <c:strCache>
                <c:ptCount val="15"/>
                <c:pt idx="0">
                  <c:v>Agriculture</c:v>
                </c:pt>
                <c:pt idx="1">
                  <c:v>Construction</c:v>
                </c:pt>
                <c:pt idx="2">
                  <c:v>Education</c:v>
                </c:pt>
                <c:pt idx="3">
                  <c:v>Electricity, gas &amp; water supply</c:v>
                </c:pt>
                <c:pt idx="4">
                  <c:v>Financial intermediation</c:v>
                </c:pt>
                <c:pt idx="5">
                  <c:v>Fishery</c:v>
                </c:pt>
                <c:pt idx="6">
                  <c:v>Health &amp; Social Work</c:v>
                </c:pt>
                <c:pt idx="7">
                  <c:v>Hotels &amp; Restaurants</c:v>
                </c:pt>
                <c:pt idx="8">
                  <c:v>Manufacturing</c:v>
                </c:pt>
                <c:pt idx="9">
                  <c:v>Other Community, Social and Personal Services</c:v>
                </c:pt>
                <c:pt idx="10">
                  <c:v>Real Estate, Renting &amp; Business Activities</c:v>
                </c:pt>
                <c:pt idx="11">
                  <c:v>Recycling</c:v>
                </c:pt>
                <c:pt idx="12">
                  <c:v>Tourism</c:v>
                </c:pt>
                <c:pt idx="13">
                  <c:v>Transport, Storage &amp; Communication</c:v>
                </c:pt>
                <c:pt idx="14">
                  <c:v>Whole sale &amp; retail trade; repair of motor vehicles, motor cycles &amp; personal household goods</c:v>
                </c:pt>
              </c:strCache>
            </c:strRef>
          </c:cat>
          <c:val>
            <c:numRef>
              <c:f>'5.11'!$AA$28:$AA$42</c:f>
              <c:numCache>
                <c:formatCode>_(* #,##0_);_(* \(#,##0\);_(* "-"??_);_(@_)</c:formatCode>
                <c:ptCount val="15"/>
                <c:pt idx="0">
                  <c:v>1664</c:v>
                </c:pt>
                <c:pt idx="1">
                  <c:v>21224</c:v>
                </c:pt>
                <c:pt idx="2">
                  <c:v>1304</c:v>
                </c:pt>
                <c:pt idx="3">
                  <c:v>2026</c:v>
                </c:pt>
                <c:pt idx="4">
                  <c:v>1172</c:v>
                </c:pt>
                <c:pt idx="5">
                  <c:v>1339</c:v>
                </c:pt>
                <c:pt idx="6">
                  <c:v>1569</c:v>
                </c:pt>
                <c:pt idx="7">
                  <c:v>4726</c:v>
                </c:pt>
                <c:pt idx="8">
                  <c:v>4432</c:v>
                </c:pt>
                <c:pt idx="9">
                  <c:v>2735</c:v>
                </c:pt>
                <c:pt idx="10">
                  <c:v>1870</c:v>
                </c:pt>
                <c:pt idx="11">
                  <c:v>1244</c:v>
                </c:pt>
                <c:pt idx="12">
                  <c:v>7224</c:v>
                </c:pt>
                <c:pt idx="13">
                  <c:v>2021</c:v>
                </c:pt>
                <c:pt idx="14">
                  <c:v>3977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C2-4368-B807-09E571A3D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559936"/>
        <c:axId val="167561472"/>
      </c:barChart>
      <c:catAx>
        <c:axId val="1675599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7561472"/>
        <c:crosses val="autoZero"/>
        <c:auto val="1"/>
        <c:lblAlgn val="ctr"/>
        <c:lblOffset val="100"/>
        <c:noMultiLvlLbl val="0"/>
      </c:catAx>
      <c:valAx>
        <c:axId val="167561472"/>
        <c:scaling>
          <c:orientation val="minMax"/>
        </c:scaling>
        <c:delete val="0"/>
        <c:axPos val="l"/>
        <c:majorGridlines>
          <c:spPr>
            <a:ln>
              <a:solidFill>
                <a:srgbClr val="FCD3B2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167559936"/>
        <c:crosses val="autoZero"/>
        <c:crossBetween val="between"/>
      </c:valAx>
      <c:spPr>
        <a:solidFill>
          <a:srgbClr val="FDEADA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3245400885975227"/>
          <c:y val="0.20449058621770641"/>
          <c:w val="0.23174235788504444"/>
          <c:h val="7.5718158181047046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71441836279899"/>
          <c:y val="0.15230984727945276"/>
          <c:w val="0.36369905412766801"/>
          <c:h val="0.7990072484462758"/>
        </c:manualLayout>
      </c:layout>
      <c:doughnutChart>
        <c:varyColors val="1"/>
        <c:ser>
          <c:idx val="0"/>
          <c:order val="0"/>
          <c:spPr>
            <a:solidFill>
              <a:srgbClr val="F79747"/>
            </a:solidFill>
          </c:spPr>
          <c:explosion val="8"/>
          <c:dPt>
            <c:idx val="1"/>
            <c:bubble3D val="0"/>
            <c:spPr>
              <a:solidFill>
                <a:srgbClr val="FABF8E"/>
              </a:solidFill>
            </c:spPr>
            <c:extLst>
              <c:ext xmlns:c16="http://schemas.microsoft.com/office/drawing/2014/chart" uri="{C3380CC4-5D6E-409C-BE32-E72D297353CC}">
                <c16:uniqueId val="{00000001-470B-4273-A866-621E7E74C2E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'5.11'!$I$6:$J$6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'5.11'!$I$7:$J$7</c:f>
              <c:numCache>
                <c:formatCode>_(* #,##0_);_(* \(#,##0\);_(* "-"??_);_(@_)</c:formatCode>
                <c:ptCount val="2"/>
                <c:pt idx="0">
                  <c:v>53632</c:v>
                </c:pt>
                <c:pt idx="1">
                  <c:v>4895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0B-4273-A866-621E7E74C2E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247651</xdr:colOff>
      <xdr:row>23</xdr:row>
      <xdr:rowOff>142875</xdr:rowOff>
    </xdr:from>
    <xdr:to>
      <xdr:col>10</xdr:col>
      <xdr:colOff>0</xdr:colOff>
      <xdr:row>45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1571625</xdr:colOff>
      <xdr:row>25</xdr:row>
      <xdr:rowOff>123825</xdr:rowOff>
    </xdr:from>
    <xdr:to>
      <xdr:col>7</xdr:col>
      <xdr:colOff>466725</xdr:colOff>
      <xdr:row>25</xdr:row>
      <xdr:rowOff>142875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571625" y="6296025"/>
          <a:ext cx="5505450" cy="1905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2</xdr:col>
      <xdr:colOff>180975</xdr:colOff>
      <xdr:row>42</xdr:row>
      <xdr:rowOff>38100</xdr:rowOff>
    </xdr:from>
    <xdr:to>
      <xdr:col>3</xdr:col>
      <xdr:colOff>476250</xdr:colOff>
      <xdr:row>43</xdr:row>
      <xdr:rowOff>47625</xdr:rowOff>
    </xdr:to>
    <xdr:sp macro="" textlink="">
      <xdr:nvSpPr>
        <xdr:cNvPr id="3" name="TextBox 2"/>
        <xdr:cNvSpPr txBox="1"/>
      </xdr:nvSpPr>
      <xdr:spPr>
        <a:xfrm>
          <a:off x="3981450" y="9153525"/>
          <a:ext cx="85725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Industry</a:t>
          </a:r>
        </a:p>
      </xdr:txBody>
    </xdr:sp>
    <xdr:clientData/>
  </xdr:twoCellAnchor>
  <xdr:twoCellAnchor>
    <xdr:from>
      <xdr:col>0</xdr:col>
      <xdr:colOff>219075</xdr:colOff>
      <xdr:row>45</xdr:row>
      <xdr:rowOff>161925</xdr:rowOff>
    </xdr:from>
    <xdr:to>
      <xdr:col>10</xdr:col>
      <xdr:colOff>0</xdr:colOff>
      <xdr:row>65</xdr:row>
      <xdr:rowOff>28575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1657350</xdr:colOff>
      <xdr:row>46</xdr:row>
      <xdr:rowOff>152400</xdr:rowOff>
    </xdr:from>
    <xdr:to>
      <xdr:col>7</xdr:col>
      <xdr:colOff>57150</xdr:colOff>
      <xdr:row>49</xdr:row>
      <xdr:rowOff>95250</xdr:rowOff>
    </xdr:to>
    <xdr:sp macro="" textlink="">
      <xdr:nvSpPr>
        <xdr:cNvPr id="4" name="TextBox 3"/>
        <xdr:cNvSpPr txBox="1"/>
      </xdr:nvSpPr>
      <xdr:spPr>
        <a:xfrm>
          <a:off x="1657350" y="10506075"/>
          <a:ext cx="5010150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5.13: Percentage of Expatriate Employment by sex, 2015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1666875</xdr:colOff>
      <xdr:row>48</xdr:row>
      <xdr:rowOff>19049</xdr:rowOff>
    </xdr:from>
    <xdr:to>
      <xdr:col>6</xdr:col>
      <xdr:colOff>409575</xdr:colOff>
      <xdr:row>48</xdr:row>
      <xdr:rowOff>19049</xdr:rowOff>
    </xdr:to>
    <xdr:sp macro="" textlink="">
      <xdr:nvSpPr>
        <xdr:cNvPr id="7" name="Line 4"/>
        <xdr:cNvSpPr>
          <a:spLocks noChangeShapeType="1"/>
        </xdr:cNvSpPr>
      </xdr:nvSpPr>
      <xdr:spPr bwMode="auto">
        <a:xfrm>
          <a:off x="1666875" y="10753724"/>
          <a:ext cx="4791075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0.16568</cdr:x>
      <cdr:y>0.02342</cdr:y>
    </cdr:from>
    <cdr:to>
      <cdr:x>0.89064</cdr:x>
      <cdr:y>0.09836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33499" y="95250"/>
          <a:ext cx="5834902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latin typeface="Consolas" pitchFamily="49" charset="0"/>
              <a:cs typeface="Consolas" pitchFamily="49" charset="0"/>
            </a:rPr>
            <a:t>Figure 5.12: Number of Expatriate Employment by Industry,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</a:t>
          </a:r>
          <a:r>
            <a:rPr lang="en-US" sz="1100" b="1">
              <a:latin typeface="Consolas" pitchFamily="49" charset="0"/>
              <a:cs typeface="Consolas" pitchFamily="49" charset="0"/>
            </a:rPr>
            <a:t>2013 - 2015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B44"/>
  <sheetViews>
    <sheetView tabSelected="1" view="pageBreakPreview" topLeftCell="A15" zoomScale="60" zoomScaleNormal="100" workbookViewId="0">
      <selection activeCell="AH37" sqref="AH37"/>
    </sheetView>
  </sheetViews>
  <sheetFormatPr defaultRowHeight="15" x14ac:dyDescent="0.25"/>
  <cols>
    <col min="1" max="1" width="48.5703125" style="2" customWidth="1"/>
    <col min="2" max="4" width="8.42578125" style="2" customWidth="1"/>
    <col min="5" max="5" width="8.42578125" style="3" customWidth="1"/>
    <col min="6" max="7" width="8.42578125" style="2" customWidth="1"/>
    <col min="8" max="8" width="8.42578125" style="3" customWidth="1"/>
    <col min="9" max="10" width="8.42578125" style="2" customWidth="1"/>
    <col min="11" max="11" width="5.28515625" style="2" customWidth="1"/>
    <col min="12" max="16384" width="9.140625" style="2"/>
  </cols>
  <sheetData>
    <row r="2" spans="1:28" ht="21" x14ac:dyDescent="0.25">
      <c r="A2" s="29" t="s">
        <v>22</v>
      </c>
      <c r="B2" s="29"/>
      <c r="C2" s="29"/>
      <c r="D2" s="29"/>
      <c r="E2" s="29"/>
      <c r="F2" s="29"/>
      <c r="G2" s="29"/>
      <c r="H2" s="29"/>
      <c r="I2" s="29"/>
      <c r="J2" s="29"/>
    </row>
    <row r="3" spans="1:28" s="28" customFormat="1" ht="15.75" x14ac:dyDescent="0.25">
      <c r="A3" s="38" t="s">
        <v>21</v>
      </c>
      <c r="B3" s="38"/>
      <c r="C3" s="38"/>
      <c r="D3" s="38"/>
      <c r="E3" s="38"/>
      <c r="F3" s="38"/>
      <c r="G3" s="38"/>
      <c r="H3" s="38"/>
      <c r="I3" s="38"/>
      <c r="J3" s="38"/>
    </row>
    <row r="4" spans="1:28" ht="15.75" x14ac:dyDescent="0.25">
      <c r="A4" s="26"/>
      <c r="B4" s="27"/>
      <c r="C4" s="27"/>
      <c r="D4" s="27"/>
      <c r="E4" s="27"/>
      <c r="F4" s="27"/>
      <c r="G4" s="27"/>
      <c r="H4" s="26"/>
      <c r="I4" s="26"/>
      <c r="J4" s="26"/>
    </row>
    <row r="5" spans="1:28" ht="19.5" customHeight="1" x14ac:dyDescent="0.25">
      <c r="A5" s="37" t="s">
        <v>20</v>
      </c>
      <c r="B5" s="36">
        <v>2013</v>
      </c>
      <c r="C5" s="34"/>
      <c r="D5" s="35"/>
      <c r="E5" s="33">
        <v>2014</v>
      </c>
      <c r="F5" s="34"/>
      <c r="G5" s="35"/>
      <c r="H5" s="30">
        <v>2015</v>
      </c>
      <c r="I5" s="31"/>
      <c r="J5" s="32"/>
    </row>
    <row r="6" spans="1:28" ht="20.25" customHeight="1" x14ac:dyDescent="0.25">
      <c r="A6" s="37"/>
      <c r="B6" s="12" t="s">
        <v>0</v>
      </c>
      <c r="C6" s="12" t="s">
        <v>1</v>
      </c>
      <c r="D6" s="13" t="s">
        <v>2</v>
      </c>
      <c r="E6" s="14" t="s">
        <v>0</v>
      </c>
      <c r="F6" s="12" t="s">
        <v>1</v>
      </c>
      <c r="G6" s="13" t="s">
        <v>2</v>
      </c>
      <c r="H6" s="14" t="s">
        <v>0</v>
      </c>
      <c r="I6" s="12" t="s">
        <v>1</v>
      </c>
      <c r="J6" s="12" t="s">
        <v>2</v>
      </c>
    </row>
    <row r="7" spans="1:28" s="4" customFormat="1" ht="23.25" customHeight="1" x14ac:dyDescent="0.25">
      <c r="A7" s="6" t="s">
        <v>3</v>
      </c>
      <c r="B7" s="9">
        <f>SUM(C7:D7)</f>
        <v>57424</v>
      </c>
      <c r="C7" s="9">
        <f>SUM(C8:C22)</f>
        <v>52889</v>
      </c>
      <c r="D7" s="9">
        <f>SUM(D8:D22)</f>
        <v>4535</v>
      </c>
      <c r="E7" s="10">
        <f>SUM(F7:G7)</f>
        <v>45584</v>
      </c>
      <c r="F7" s="8">
        <f>SUM(F8:F22)</f>
        <v>41231</v>
      </c>
      <c r="G7" s="11">
        <f>SUM(G8:G22)</f>
        <v>4353</v>
      </c>
      <c r="H7" s="7">
        <f>SUM(I7:J7)</f>
        <v>58527</v>
      </c>
      <c r="I7" s="8">
        <f>SUM(I8:I22)</f>
        <v>53632</v>
      </c>
      <c r="J7" s="8">
        <f>SUM(J8:J22)</f>
        <v>4895</v>
      </c>
    </row>
    <row r="8" spans="1:28" s="5" customFormat="1" ht="20.25" customHeight="1" x14ac:dyDescent="0.25">
      <c r="A8" s="23" t="s">
        <v>4</v>
      </c>
      <c r="B8" s="15">
        <f>SUM(C8:D8)</f>
        <v>1722</v>
      </c>
      <c r="C8" s="16">
        <v>1608</v>
      </c>
      <c r="D8" s="16">
        <v>114</v>
      </c>
      <c r="E8" s="17">
        <f>SUM(F8:G8)</f>
        <v>1174</v>
      </c>
      <c r="F8" s="16">
        <v>1049</v>
      </c>
      <c r="G8" s="18">
        <v>125</v>
      </c>
      <c r="H8" s="15">
        <f>SUM(I8:J8)</f>
        <v>1664</v>
      </c>
      <c r="I8" s="16">
        <v>1500</v>
      </c>
      <c r="J8" s="16">
        <v>164</v>
      </c>
      <c r="X8" s="2"/>
      <c r="Y8" s="2"/>
      <c r="Z8" s="2"/>
      <c r="AA8" s="2"/>
      <c r="AB8" s="2"/>
    </row>
    <row r="9" spans="1:28" s="5" customFormat="1" ht="20.25" customHeight="1" x14ac:dyDescent="0.25">
      <c r="A9" s="23" t="s">
        <v>5</v>
      </c>
      <c r="B9" s="15">
        <f t="shared" ref="B9:B22" si="0">SUM(C9:D9)</f>
        <v>11801</v>
      </c>
      <c r="C9" s="16">
        <v>11719</v>
      </c>
      <c r="D9" s="16">
        <v>82</v>
      </c>
      <c r="E9" s="17">
        <f t="shared" ref="E9:E22" si="1">SUM(F9:G9)</f>
        <v>10891</v>
      </c>
      <c r="F9" s="16">
        <v>10818</v>
      </c>
      <c r="G9" s="18">
        <v>73</v>
      </c>
      <c r="H9" s="15">
        <f t="shared" ref="H9:H22" si="2">SUM(I9:J9)</f>
        <v>21224</v>
      </c>
      <c r="I9" s="16">
        <v>21141</v>
      </c>
      <c r="J9" s="16">
        <v>83</v>
      </c>
    </row>
    <row r="10" spans="1:28" s="5" customFormat="1" ht="20.25" customHeight="1" x14ac:dyDescent="0.25">
      <c r="A10" s="23" t="s">
        <v>6</v>
      </c>
      <c r="B10" s="15">
        <f t="shared" si="0"/>
        <v>1476</v>
      </c>
      <c r="C10" s="16">
        <v>1302</v>
      </c>
      <c r="D10" s="16">
        <v>174</v>
      </c>
      <c r="E10" s="17">
        <f t="shared" si="1"/>
        <v>1019</v>
      </c>
      <c r="F10" s="16">
        <v>841</v>
      </c>
      <c r="G10" s="18">
        <v>178</v>
      </c>
      <c r="H10" s="15">
        <f t="shared" si="2"/>
        <v>1304</v>
      </c>
      <c r="I10" s="16">
        <v>1075</v>
      </c>
      <c r="J10" s="16">
        <v>229</v>
      </c>
    </row>
    <row r="11" spans="1:28" s="5" customFormat="1" ht="20.25" customHeight="1" x14ac:dyDescent="0.25">
      <c r="A11" s="23" t="s">
        <v>7</v>
      </c>
      <c r="B11" s="15">
        <f t="shared" si="0"/>
        <v>2494</v>
      </c>
      <c r="C11" s="16">
        <v>2384</v>
      </c>
      <c r="D11" s="16">
        <v>110</v>
      </c>
      <c r="E11" s="17">
        <f t="shared" si="1"/>
        <v>1968</v>
      </c>
      <c r="F11" s="16">
        <v>1841</v>
      </c>
      <c r="G11" s="18">
        <v>127</v>
      </c>
      <c r="H11" s="15">
        <f t="shared" si="2"/>
        <v>2026</v>
      </c>
      <c r="I11" s="16">
        <v>1858</v>
      </c>
      <c r="J11" s="16">
        <v>168</v>
      </c>
    </row>
    <row r="12" spans="1:28" s="5" customFormat="1" ht="20.25" customHeight="1" x14ac:dyDescent="0.25">
      <c r="A12" s="23" t="s">
        <v>8</v>
      </c>
      <c r="B12" s="15">
        <f t="shared" si="0"/>
        <v>1361</v>
      </c>
      <c r="C12" s="16">
        <v>1251</v>
      </c>
      <c r="D12" s="16">
        <v>110</v>
      </c>
      <c r="E12" s="17">
        <f t="shared" si="1"/>
        <v>895</v>
      </c>
      <c r="F12" s="16">
        <v>773</v>
      </c>
      <c r="G12" s="18">
        <v>122</v>
      </c>
      <c r="H12" s="15">
        <f t="shared" si="2"/>
        <v>1172</v>
      </c>
      <c r="I12" s="16">
        <v>1008</v>
      </c>
      <c r="J12" s="16">
        <v>164</v>
      </c>
    </row>
    <row r="13" spans="1:28" s="5" customFormat="1" ht="20.25" customHeight="1" x14ac:dyDescent="0.25">
      <c r="A13" s="23" t="s">
        <v>9</v>
      </c>
      <c r="B13" s="15">
        <f t="shared" si="0"/>
        <v>1317</v>
      </c>
      <c r="C13" s="16">
        <v>1210</v>
      </c>
      <c r="D13" s="16">
        <v>107</v>
      </c>
      <c r="E13" s="17">
        <f t="shared" si="1"/>
        <v>1110</v>
      </c>
      <c r="F13" s="16">
        <v>989</v>
      </c>
      <c r="G13" s="18">
        <v>121</v>
      </c>
      <c r="H13" s="15">
        <f t="shared" si="2"/>
        <v>1339</v>
      </c>
      <c r="I13" s="16">
        <v>1178</v>
      </c>
      <c r="J13" s="16">
        <v>161</v>
      </c>
    </row>
    <row r="14" spans="1:28" s="5" customFormat="1" ht="20.25" customHeight="1" x14ac:dyDescent="0.25">
      <c r="A14" s="23" t="s">
        <v>10</v>
      </c>
      <c r="B14" s="15">
        <f t="shared" si="0"/>
        <v>1764</v>
      </c>
      <c r="C14" s="16">
        <v>1554</v>
      </c>
      <c r="D14" s="16">
        <v>210</v>
      </c>
      <c r="E14" s="17">
        <f t="shared" si="1"/>
        <v>1310</v>
      </c>
      <c r="F14" s="16">
        <v>1105</v>
      </c>
      <c r="G14" s="18">
        <v>205</v>
      </c>
      <c r="H14" s="15">
        <f t="shared" si="2"/>
        <v>1569</v>
      </c>
      <c r="I14" s="16">
        <v>1300</v>
      </c>
      <c r="J14" s="16">
        <v>269</v>
      </c>
    </row>
    <row r="15" spans="1:28" s="5" customFormat="1" ht="20.25" customHeight="1" x14ac:dyDescent="0.25">
      <c r="A15" s="23" t="s">
        <v>11</v>
      </c>
      <c r="B15" s="15">
        <f t="shared" si="0"/>
        <v>5136</v>
      </c>
      <c r="C15" s="16">
        <v>4923</v>
      </c>
      <c r="D15" s="16">
        <v>213</v>
      </c>
      <c r="E15" s="17">
        <f t="shared" si="1"/>
        <v>5036</v>
      </c>
      <c r="F15" s="16">
        <v>4789</v>
      </c>
      <c r="G15" s="18">
        <v>247</v>
      </c>
      <c r="H15" s="15">
        <f t="shared" si="2"/>
        <v>4726</v>
      </c>
      <c r="I15" s="16">
        <v>4397</v>
      </c>
      <c r="J15" s="16">
        <v>329</v>
      </c>
    </row>
    <row r="16" spans="1:28" s="5" customFormat="1" ht="20.25" customHeight="1" x14ac:dyDescent="0.25">
      <c r="A16" s="23" t="s">
        <v>12</v>
      </c>
      <c r="B16" s="15">
        <f t="shared" si="0"/>
        <v>4461</v>
      </c>
      <c r="C16" s="16">
        <v>4251</v>
      </c>
      <c r="D16" s="16">
        <v>210</v>
      </c>
      <c r="E16" s="17">
        <f t="shared" si="1"/>
        <v>3748</v>
      </c>
      <c r="F16" s="16">
        <v>3536</v>
      </c>
      <c r="G16" s="18">
        <v>212</v>
      </c>
      <c r="H16" s="15">
        <f t="shared" si="2"/>
        <v>4432</v>
      </c>
      <c r="I16" s="16">
        <v>4204</v>
      </c>
      <c r="J16" s="16">
        <v>228</v>
      </c>
    </row>
    <row r="17" spans="1:28" s="5" customFormat="1" ht="20.25" customHeight="1" x14ac:dyDescent="0.25">
      <c r="A17" s="23" t="s">
        <v>13</v>
      </c>
      <c r="B17" s="15">
        <f t="shared" si="0"/>
        <v>2957</v>
      </c>
      <c r="C17" s="16">
        <v>2475</v>
      </c>
      <c r="D17" s="16">
        <v>482</v>
      </c>
      <c r="E17" s="17">
        <f t="shared" si="1"/>
        <v>2474</v>
      </c>
      <c r="F17" s="16">
        <v>2031</v>
      </c>
      <c r="G17" s="18">
        <v>443</v>
      </c>
      <c r="H17" s="15">
        <f t="shared" si="2"/>
        <v>2735</v>
      </c>
      <c r="I17" s="16">
        <v>2230</v>
      </c>
      <c r="J17" s="16">
        <v>505</v>
      </c>
    </row>
    <row r="18" spans="1:28" s="5" customFormat="1" ht="20.25" customHeight="1" x14ac:dyDescent="0.25">
      <c r="A18" s="23" t="s">
        <v>14</v>
      </c>
      <c r="B18" s="15">
        <f t="shared" si="0"/>
        <v>2277</v>
      </c>
      <c r="C18" s="16">
        <v>2155</v>
      </c>
      <c r="D18" s="16">
        <v>122</v>
      </c>
      <c r="E18" s="17">
        <f t="shared" si="1"/>
        <v>1662</v>
      </c>
      <c r="F18" s="16">
        <v>1525</v>
      </c>
      <c r="G18" s="18">
        <v>137</v>
      </c>
      <c r="H18" s="15">
        <f t="shared" si="2"/>
        <v>1870</v>
      </c>
      <c r="I18" s="16">
        <v>1700</v>
      </c>
      <c r="J18" s="16">
        <v>170</v>
      </c>
    </row>
    <row r="19" spans="1:28" s="5" customFormat="1" ht="20.25" customHeight="1" x14ac:dyDescent="0.25">
      <c r="A19" s="23" t="s">
        <v>15</v>
      </c>
      <c r="B19" s="15">
        <f t="shared" si="0"/>
        <v>1503</v>
      </c>
      <c r="C19" s="16">
        <v>1396</v>
      </c>
      <c r="D19" s="16">
        <v>107</v>
      </c>
      <c r="E19" s="17">
        <f t="shared" si="1"/>
        <v>1057</v>
      </c>
      <c r="F19" s="16">
        <v>936</v>
      </c>
      <c r="G19" s="18">
        <v>121</v>
      </c>
      <c r="H19" s="15">
        <f t="shared" si="2"/>
        <v>1244</v>
      </c>
      <c r="I19" s="16">
        <v>1084</v>
      </c>
      <c r="J19" s="16">
        <v>160</v>
      </c>
    </row>
    <row r="20" spans="1:28" s="5" customFormat="1" ht="20.25" customHeight="1" x14ac:dyDescent="0.25">
      <c r="A20" s="23" t="s">
        <v>16</v>
      </c>
      <c r="B20" s="15">
        <f t="shared" si="0"/>
        <v>11680</v>
      </c>
      <c r="C20" s="16">
        <v>9584</v>
      </c>
      <c r="D20" s="16">
        <v>2096</v>
      </c>
      <c r="E20" s="17">
        <f t="shared" si="1"/>
        <v>7353</v>
      </c>
      <c r="F20" s="16">
        <v>5541</v>
      </c>
      <c r="G20" s="18">
        <v>1812</v>
      </c>
      <c r="H20" s="15">
        <f t="shared" si="2"/>
        <v>7224</v>
      </c>
      <c r="I20" s="16">
        <v>5480</v>
      </c>
      <c r="J20" s="16">
        <v>1744</v>
      </c>
    </row>
    <row r="21" spans="1:28" s="5" customFormat="1" ht="20.25" customHeight="1" x14ac:dyDescent="0.25">
      <c r="A21" s="23" t="s">
        <v>17</v>
      </c>
      <c r="B21" s="15">
        <f t="shared" si="0"/>
        <v>2647</v>
      </c>
      <c r="C21" s="16">
        <v>2407</v>
      </c>
      <c r="D21" s="16">
        <v>240</v>
      </c>
      <c r="E21" s="17">
        <f t="shared" si="1"/>
        <v>2280</v>
      </c>
      <c r="F21" s="16">
        <v>2034</v>
      </c>
      <c r="G21" s="18">
        <v>246</v>
      </c>
      <c r="H21" s="15">
        <f t="shared" si="2"/>
        <v>2021</v>
      </c>
      <c r="I21" s="16">
        <v>1769</v>
      </c>
      <c r="J21" s="16">
        <v>252</v>
      </c>
    </row>
    <row r="22" spans="1:28" s="5" customFormat="1" ht="37.5" customHeight="1" x14ac:dyDescent="0.25">
      <c r="A22" s="24" t="s">
        <v>18</v>
      </c>
      <c r="B22" s="19">
        <f t="shared" si="0"/>
        <v>4828</v>
      </c>
      <c r="C22" s="20">
        <v>4670</v>
      </c>
      <c r="D22" s="20">
        <v>158</v>
      </c>
      <c r="E22" s="21">
        <f t="shared" si="1"/>
        <v>3607</v>
      </c>
      <c r="F22" s="20">
        <v>3423</v>
      </c>
      <c r="G22" s="22">
        <v>184</v>
      </c>
      <c r="H22" s="19">
        <f t="shared" si="2"/>
        <v>3977</v>
      </c>
      <c r="I22" s="20">
        <v>3708</v>
      </c>
      <c r="J22" s="20">
        <v>269</v>
      </c>
    </row>
    <row r="23" spans="1:28" ht="21" customHeight="1" x14ac:dyDescent="0.25">
      <c r="A23" s="25" t="s">
        <v>19</v>
      </c>
      <c r="B23" s="1"/>
      <c r="C23" s="1"/>
      <c r="D23" s="1"/>
    </row>
    <row r="24" spans="1:28" ht="12.75" customHeight="1" x14ac:dyDescent="0.25"/>
    <row r="25" spans="1:28" ht="15" customHeight="1" x14ac:dyDescent="0.25"/>
    <row r="26" spans="1:28" ht="15" customHeight="1" x14ac:dyDescent="0.25"/>
    <row r="27" spans="1:28" ht="15" customHeight="1" x14ac:dyDescent="0.25">
      <c r="Y27" s="2">
        <v>2013</v>
      </c>
      <c r="Z27" s="2">
        <v>2014</v>
      </c>
      <c r="AA27" s="2">
        <v>2015</v>
      </c>
    </row>
    <row r="28" spans="1:28" ht="15" customHeight="1" x14ac:dyDescent="0.25">
      <c r="X28" s="23" t="s">
        <v>4</v>
      </c>
      <c r="Y28" s="2">
        <v>1722</v>
      </c>
      <c r="Z28" s="2">
        <v>1174</v>
      </c>
      <c r="AA28" s="15">
        <v>1664</v>
      </c>
    </row>
    <row r="29" spans="1:28" ht="15" customHeight="1" x14ac:dyDescent="0.25">
      <c r="X29" s="23" t="s">
        <v>5</v>
      </c>
      <c r="Y29" s="2">
        <v>11801</v>
      </c>
      <c r="Z29" s="2">
        <v>10891</v>
      </c>
      <c r="AA29" s="15">
        <v>21224</v>
      </c>
    </row>
    <row r="30" spans="1:28" ht="15" customHeight="1" x14ac:dyDescent="0.25">
      <c r="X30" s="23" t="s">
        <v>6</v>
      </c>
      <c r="Y30" s="4">
        <v>1476</v>
      </c>
      <c r="Z30" s="4">
        <v>1019</v>
      </c>
      <c r="AA30" s="15">
        <v>1304</v>
      </c>
      <c r="AB30" s="4"/>
    </row>
    <row r="31" spans="1:28" ht="15" customHeight="1" x14ac:dyDescent="0.25">
      <c r="X31" s="23" t="s">
        <v>7</v>
      </c>
      <c r="Y31" s="5">
        <v>2494</v>
      </c>
      <c r="Z31" s="5">
        <v>1968</v>
      </c>
      <c r="AA31" s="15">
        <v>2026</v>
      </c>
      <c r="AB31" s="5"/>
    </row>
    <row r="32" spans="1:28" ht="15" customHeight="1" x14ac:dyDescent="0.25">
      <c r="X32" s="23" t="s">
        <v>8</v>
      </c>
      <c r="Y32" s="5">
        <v>1361</v>
      </c>
      <c r="Z32" s="5">
        <v>895</v>
      </c>
      <c r="AA32" s="15">
        <v>1172</v>
      </c>
      <c r="AB32" s="5"/>
    </row>
    <row r="33" spans="24:28" ht="15" customHeight="1" x14ac:dyDescent="0.25">
      <c r="X33" s="23" t="s">
        <v>9</v>
      </c>
      <c r="Y33" s="5">
        <v>1317</v>
      </c>
      <c r="Z33" s="5">
        <v>1110</v>
      </c>
      <c r="AA33" s="15">
        <v>1339</v>
      </c>
      <c r="AB33" s="5"/>
    </row>
    <row r="34" spans="24:28" ht="15" customHeight="1" x14ac:dyDescent="0.25">
      <c r="X34" s="23" t="s">
        <v>10</v>
      </c>
      <c r="Y34" s="5">
        <v>1764</v>
      </c>
      <c r="Z34" s="5">
        <v>1310</v>
      </c>
      <c r="AA34" s="15">
        <v>1569</v>
      </c>
      <c r="AB34" s="5"/>
    </row>
    <row r="35" spans="24:28" ht="15" customHeight="1" x14ac:dyDescent="0.25">
      <c r="X35" s="23" t="s">
        <v>11</v>
      </c>
      <c r="Y35" s="5">
        <v>5136</v>
      </c>
      <c r="Z35" s="5">
        <v>5036</v>
      </c>
      <c r="AA35" s="15">
        <v>4726</v>
      </c>
      <c r="AB35" s="5"/>
    </row>
    <row r="36" spans="24:28" ht="15" customHeight="1" x14ac:dyDescent="0.25">
      <c r="X36" s="23" t="s">
        <v>12</v>
      </c>
      <c r="Y36" s="5">
        <v>4461</v>
      </c>
      <c r="Z36" s="5">
        <v>3748</v>
      </c>
      <c r="AA36" s="15">
        <v>4432</v>
      </c>
      <c r="AB36" s="5"/>
    </row>
    <row r="37" spans="24:28" ht="15" customHeight="1" x14ac:dyDescent="0.25">
      <c r="X37" s="23" t="s">
        <v>13</v>
      </c>
      <c r="Y37" s="5">
        <v>2957</v>
      </c>
      <c r="Z37" s="5">
        <v>2474</v>
      </c>
      <c r="AA37" s="15">
        <v>2735</v>
      </c>
      <c r="AB37" s="5"/>
    </row>
    <row r="38" spans="24:28" ht="15" customHeight="1" x14ac:dyDescent="0.25">
      <c r="X38" s="23" t="s">
        <v>14</v>
      </c>
      <c r="Y38" s="5">
        <v>2277</v>
      </c>
      <c r="Z38" s="5">
        <v>1662</v>
      </c>
      <c r="AA38" s="15">
        <v>1870</v>
      </c>
      <c r="AB38" s="5"/>
    </row>
    <row r="39" spans="24:28" ht="15" customHeight="1" x14ac:dyDescent="0.25">
      <c r="X39" s="23" t="s">
        <v>15</v>
      </c>
      <c r="Y39" s="5">
        <v>1503</v>
      </c>
      <c r="Z39" s="5">
        <v>1057</v>
      </c>
      <c r="AA39" s="15">
        <v>1244</v>
      </c>
      <c r="AB39" s="5"/>
    </row>
    <row r="40" spans="24:28" ht="15" customHeight="1" x14ac:dyDescent="0.25">
      <c r="X40" s="23" t="s">
        <v>16</v>
      </c>
      <c r="Y40" s="5">
        <v>11680</v>
      </c>
      <c r="Z40" s="5">
        <v>7353</v>
      </c>
      <c r="AA40" s="15">
        <v>7224</v>
      </c>
      <c r="AB40" s="5"/>
    </row>
    <row r="41" spans="24:28" ht="15" customHeight="1" x14ac:dyDescent="0.25">
      <c r="X41" s="23" t="s">
        <v>17</v>
      </c>
      <c r="Y41" s="5">
        <v>2647</v>
      </c>
      <c r="Z41" s="5">
        <v>2280</v>
      </c>
      <c r="AA41" s="15">
        <v>2021</v>
      </c>
      <c r="AB41" s="5"/>
    </row>
    <row r="42" spans="24:28" ht="15" customHeight="1" x14ac:dyDescent="0.25">
      <c r="X42" s="24" t="s">
        <v>18</v>
      </c>
      <c r="Y42" s="5">
        <v>4828</v>
      </c>
      <c r="Z42" s="5">
        <v>3607</v>
      </c>
      <c r="AA42" s="19">
        <v>3977</v>
      </c>
      <c r="AB42" s="5"/>
    </row>
    <row r="43" spans="24:28" ht="15" customHeight="1" x14ac:dyDescent="0.25">
      <c r="X43" s="5"/>
      <c r="Y43" s="5"/>
      <c r="Z43" s="5"/>
      <c r="AA43" s="5"/>
      <c r="AB43" s="5"/>
    </row>
    <row r="44" spans="24:28" ht="15" customHeight="1" x14ac:dyDescent="0.25"/>
  </sheetData>
  <mergeCells count="6">
    <mergeCell ref="A2:J2"/>
    <mergeCell ref="H5:J5"/>
    <mergeCell ref="E5:G5"/>
    <mergeCell ref="B5:D5"/>
    <mergeCell ref="A5:A6"/>
    <mergeCell ref="A3:J3"/>
  </mergeCells>
  <pageMargins left="0.7" right="0.7" top="0.75" bottom="0.75" header="0.3" footer="0.3"/>
  <pageSetup paperSize="9" scale="63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5.11</vt:lpstr>
      <vt:lpstr>'5.11'!Print_Area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2017-11-06T06:22:23Z</cp:lastPrinted>
  <dcterms:created xsi:type="dcterms:W3CDTF">2013-03-26T05:45:33Z</dcterms:created>
  <dcterms:modified xsi:type="dcterms:W3CDTF">2017-11-06T06:23:03Z</dcterms:modified>
</cp:coreProperties>
</file>