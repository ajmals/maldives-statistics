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4000" windowHeight="9735" tabRatio="834"/>
  </bookViews>
  <sheets>
    <sheet name="5.1" sheetId="9" r:id="rId1"/>
  </sheets>
  <externalReferences>
    <externalReference r:id="rId2"/>
  </externalReferences>
  <definedNames>
    <definedName name="_xlnm._FilterDatabase" localSheetId="0" hidden="1">'5.1'!$A$128:$C$214</definedName>
    <definedName name="_xlnm.Print_Area" localSheetId="0">'5.1'!$A$1:$N$115</definedName>
    <definedName name="_xlnm.Print_Titles" localSheetId="0">'5.1'!$4:$7</definedName>
  </definedNames>
  <calcPr calcId="144525"/>
</workbook>
</file>

<file path=xl/calcChain.xml><?xml version="1.0" encoding="utf-8"?>
<calcChain xmlns="http://schemas.openxmlformats.org/spreadsheetml/2006/main">
  <c r="D10" i="9" l="1"/>
  <c r="E10" i="9" l="1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78" i="9"/>
  <c r="E78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D86" i="9"/>
  <c r="E86" i="9"/>
  <c r="D87" i="9"/>
  <c r="E87" i="9"/>
  <c r="D88" i="9"/>
  <c r="E88" i="9"/>
  <c r="D89" i="9"/>
  <c r="E89" i="9"/>
  <c r="D90" i="9"/>
  <c r="E90" i="9"/>
  <c r="D91" i="9"/>
  <c r="E91" i="9"/>
  <c r="D92" i="9"/>
  <c r="E92" i="9"/>
  <c r="D93" i="9"/>
  <c r="E93" i="9"/>
  <c r="D94" i="9"/>
  <c r="E94" i="9"/>
  <c r="D95" i="9"/>
  <c r="E95" i="9"/>
  <c r="D96" i="9"/>
  <c r="E96" i="9"/>
  <c r="I9" i="9"/>
  <c r="H9" i="9"/>
  <c r="M9" i="9"/>
  <c r="L9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G11" i="9"/>
  <c r="G12" i="9"/>
  <c r="C12" i="9" s="1"/>
  <c r="G13" i="9"/>
  <c r="G14" i="9"/>
  <c r="G15" i="9"/>
  <c r="C15" i="9" s="1"/>
  <c r="G16" i="9"/>
  <c r="C16" i="9" s="1"/>
  <c r="G17" i="9"/>
  <c r="G18" i="9"/>
  <c r="G19" i="9"/>
  <c r="G20" i="9"/>
  <c r="G21" i="9"/>
  <c r="G22" i="9"/>
  <c r="G23" i="9"/>
  <c r="C23" i="9" s="1"/>
  <c r="G24" i="9"/>
  <c r="C24" i="9" s="1"/>
  <c r="G25" i="9"/>
  <c r="G26" i="9"/>
  <c r="G27" i="9"/>
  <c r="G28" i="9"/>
  <c r="C28" i="9" s="1"/>
  <c r="G29" i="9"/>
  <c r="G30" i="9"/>
  <c r="G31" i="9"/>
  <c r="C31" i="9" s="1"/>
  <c r="G32" i="9"/>
  <c r="C32" i="9" s="1"/>
  <c r="G33" i="9"/>
  <c r="G34" i="9"/>
  <c r="G35" i="9"/>
  <c r="G36" i="9"/>
  <c r="C36" i="9" s="1"/>
  <c r="G37" i="9"/>
  <c r="G38" i="9"/>
  <c r="G39" i="9"/>
  <c r="G40" i="9"/>
  <c r="C40" i="9" s="1"/>
  <c r="G41" i="9"/>
  <c r="G42" i="9"/>
  <c r="G43" i="9"/>
  <c r="G44" i="9"/>
  <c r="C44" i="9" s="1"/>
  <c r="G45" i="9"/>
  <c r="G46" i="9"/>
  <c r="G47" i="9"/>
  <c r="G48" i="9"/>
  <c r="C48" i="9" s="1"/>
  <c r="G49" i="9"/>
  <c r="G50" i="9"/>
  <c r="G51" i="9"/>
  <c r="G52" i="9"/>
  <c r="C52" i="9" s="1"/>
  <c r="G53" i="9"/>
  <c r="G54" i="9"/>
  <c r="G55" i="9"/>
  <c r="C55" i="9" s="1"/>
  <c r="G56" i="9"/>
  <c r="C56" i="9" s="1"/>
  <c r="G57" i="9"/>
  <c r="G58" i="9"/>
  <c r="G59" i="9"/>
  <c r="G60" i="9"/>
  <c r="C60" i="9" s="1"/>
  <c r="G61" i="9"/>
  <c r="G62" i="9"/>
  <c r="G63" i="9"/>
  <c r="G64" i="9"/>
  <c r="C64" i="9" s="1"/>
  <c r="G65" i="9"/>
  <c r="G66" i="9"/>
  <c r="G67" i="9"/>
  <c r="G68" i="9"/>
  <c r="C68" i="9" s="1"/>
  <c r="G69" i="9"/>
  <c r="G70" i="9"/>
  <c r="G71" i="9"/>
  <c r="G72" i="9"/>
  <c r="C72" i="9" s="1"/>
  <c r="G73" i="9"/>
  <c r="G74" i="9"/>
  <c r="G75" i="9"/>
  <c r="G76" i="9"/>
  <c r="C76" i="9" s="1"/>
  <c r="G77" i="9"/>
  <c r="G78" i="9"/>
  <c r="G79" i="9"/>
  <c r="C79" i="9" s="1"/>
  <c r="G80" i="9"/>
  <c r="C80" i="9" s="1"/>
  <c r="G81" i="9"/>
  <c r="G82" i="9"/>
  <c r="G83" i="9"/>
  <c r="G84" i="9"/>
  <c r="C84" i="9" s="1"/>
  <c r="G85" i="9"/>
  <c r="G86" i="9"/>
  <c r="G87" i="9"/>
  <c r="C87" i="9" s="1"/>
  <c r="G88" i="9"/>
  <c r="C88" i="9" s="1"/>
  <c r="G89" i="9"/>
  <c r="G90" i="9"/>
  <c r="G91" i="9"/>
  <c r="G92" i="9"/>
  <c r="C92" i="9" s="1"/>
  <c r="G93" i="9"/>
  <c r="G94" i="9"/>
  <c r="G95" i="9"/>
  <c r="C95" i="9" s="1"/>
  <c r="G96" i="9"/>
  <c r="C96" i="9" s="1"/>
  <c r="K10" i="9"/>
  <c r="G10" i="9"/>
  <c r="C71" i="9" l="1"/>
  <c r="C63" i="9"/>
  <c r="C47" i="9"/>
  <c r="C39" i="9"/>
  <c r="C20" i="9"/>
  <c r="K9" i="9"/>
  <c r="C75" i="9"/>
  <c r="C51" i="9"/>
  <c r="C27" i="9"/>
  <c r="C91" i="9"/>
  <c r="C67" i="9"/>
  <c r="C59" i="9"/>
  <c r="C35" i="9"/>
  <c r="C11" i="9"/>
  <c r="C83" i="9"/>
  <c r="C43" i="9"/>
  <c r="C19" i="9"/>
  <c r="C10" i="9"/>
  <c r="C93" i="9"/>
  <c r="C89" i="9"/>
  <c r="C85" i="9"/>
  <c r="C81" i="9"/>
  <c r="C77" i="9"/>
  <c r="C73" i="9"/>
  <c r="C69" i="9"/>
  <c r="C65" i="9"/>
  <c r="C61" i="9"/>
  <c r="C57" i="9"/>
  <c r="C53" i="9"/>
  <c r="C49" i="9"/>
  <c r="C45" i="9"/>
  <c r="C41" i="9"/>
  <c r="C37" i="9"/>
  <c r="C33" i="9"/>
  <c r="C29" i="9"/>
  <c r="C25" i="9"/>
  <c r="C21" i="9"/>
  <c r="C17" i="9"/>
  <c r="C13" i="9"/>
  <c r="E9" i="9"/>
  <c r="C94" i="9"/>
  <c r="C90" i="9"/>
  <c r="C86" i="9"/>
  <c r="C82" i="9"/>
  <c r="C78" i="9"/>
  <c r="C74" i="9"/>
  <c r="C70" i="9"/>
  <c r="C66" i="9"/>
  <c r="C62" i="9"/>
  <c r="C58" i="9"/>
  <c r="C54" i="9"/>
  <c r="C50" i="9"/>
  <c r="C46" i="9"/>
  <c r="C42" i="9"/>
  <c r="C38" i="9"/>
  <c r="C34" i="9"/>
  <c r="C30" i="9"/>
  <c r="C26" i="9"/>
  <c r="C22" i="9"/>
  <c r="C18" i="9"/>
  <c r="C14" i="9"/>
  <c r="G9" i="9"/>
  <c r="D9" i="9"/>
  <c r="C9" i="9" l="1"/>
</calcChain>
</file>

<file path=xl/sharedStrings.xml><?xml version="1.0" encoding="utf-8"?>
<sst xmlns="http://schemas.openxmlformats.org/spreadsheetml/2006/main" count="206" uniqueCount="107">
  <si>
    <t>Total</t>
  </si>
  <si>
    <t>Republic</t>
  </si>
  <si>
    <t>Male'</t>
  </si>
  <si>
    <t>ފިރިހެން</t>
  </si>
  <si>
    <t>އަންހެން</t>
  </si>
  <si>
    <t>Male</t>
  </si>
  <si>
    <t>Female</t>
  </si>
  <si>
    <t>Rank</t>
  </si>
  <si>
    <t>Both Sexes</t>
  </si>
  <si>
    <t>Source: Civil Service Commision</t>
  </si>
  <si>
    <t>ދެޖިންސް</t>
  </si>
  <si>
    <t>މުވައްޒަފުންގެ އަދަދު</t>
  </si>
  <si>
    <t>No. of Employees</t>
  </si>
  <si>
    <t>ރޭންކް</t>
  </si>
  <si>
    <t>މަޢުލޫމާތު ދެއްވި ފަރާތް: ސިވިލް ސަރވިސް ކޮމިޝަން</t>
  </si>
  <si>
    <t xml:space="preserve">Atolls </t>
  </si>
  <si>
    <t>ނޯޓް: އަތޮޅުތަކުގެ ޖުމްލައިގެ ތެރޭގައި ރާއްޖޭން ބޭރުގައި މަސައްކަތްކުރާ 1 މުވައްޒަފު ހިމެނިފައި</t>
  </si>
  <si>
    <t>ތާވަލް 5.1: ސިވިލް ސަރވިސްގައި ވަޒީފާއަދާކުރާ މުވައްޒަފުން ރޭންކު 2016</t>
  </si>
  <si>
    <t>Table 5.1 :  CIVIL SERVANTS CLASSIFIED BY JOB RANK AND SEX, 2016</t>
  </si>
  <si>
    <t>CIVIL SERVICE 10-1</t>
  </si>
  <si>
    <t>CIVIL SERVICE 10-2</t>
  </si>
  <si>
    <t>CIVIL SERVICE 10-3</t>
  </si>
  <si>
    <t>CIVIL SERVICE 10-5</t>
  </si>
  <si>
    <t>CIVIL SERVICE 11-2</t>
  </si>
  <si>
    <t>CIVIL SERVICE 11-3</t>
  </si>
  <si>
    <t>CIVIL SERVICE 11-4</t>
  </si>
  <si>
    <t>CIVIL SERVICE 11-5</t>
  </si>
  <si>
    <t>CIVIL SERVICE 12-1</t>
  </si>
  <si>
    <t>CIVIL SERVICE 12-2</t>
  </si>
  <si>
    <t>CIVIL SERVICE 12-3</t>
  </si>
  <si>
    <t>CIVIL SERVICE 12-5</t>
  </si>
  <si>
    <t>CIVIL SERVICE 13-1</t>
  </si>
  <si>
    <t>CIVIL SERVICE 13-2</t>
  </si>
  <si>
    <t>CIVIL SERVICE 13-3</t>
  </si>
  <si>
    <t>CIVIL SERVICE 13-4</t>
  </si>
  <si>
    <t>CIVIL SERVICE 13-5</t>
  </si>
  <si>
    <t>CIVIL SERVICE 14-1</t>
  </si>
  <si>
    <t>CIVIL SERVICE 14-2</t>
  </si>
  <si>
    <t>CIVIL SERVICE 14-3</t>
  </si>
  <si>
    <t>CIVIL SERVICE 14-4</t>
  </si>
  <si>
    <t>CIVIL SERVICE 15</t>
  </si>
  <si>
    <t>CIVIL SERVICE 15-1</t>
  </si>
  <si>
    <t>CIVIL SERVICE 15-2</t>
  </si>
  <si>
    <t>CIVIL SERVICE 15-3</t>
  </si>
  <si>
    <t>CIVIL SERVICE 15-4</t>
  </si>
  <si>
    <t>CIVIL SERVICE 15-5</t>
  </si>
  <si>
    <t>CIVIL SERVICE 16</t>
  </si>
  <si>
    <t>CIVIL SERVICE 16-3</t>
  </si>
  <si>
    <t>CIVIL SERVICE 16-4</t>
  </si>
  <si>
    <t>CIVIL SERVICE 17-2</t>
  </si>
  <si>
    <t>CIVIL SERVICE 17-3</t>
  </si>
  <si>
    <t>CIVIL SERVICE 17-6</t>
  </si>
  <si>
    <t>CIVIL SERVICE 18</t>
  </si>
  <si>
    <t>CIVIL SERVICE 18-1</t>
  </si>
  <si>
    <t>CIVIL SERVICE 18-2</t>
  </si>
  <si>
    <t>CIVIL SERVICE 18-3</t>
  </si>
  <si>
    <t>CIVIL SERVICE 2</t>
  </si>
  <si>
    <t>CIVIL SERVICE 3-1</t>
  </si>
  <si>
    <t>CIVIL SERVICE 3-2</t>
  </si>
  <si>
    <t>CIVIL SERVICE 3-3</t>
  </si>
  <si>
    <t>CIVIL SERVICE 3-4</t>
  </si>
  <si>
    <t>CIVIL SERVICE 3-5</t>
  </si>
  <si>
    <t>CIVIL SERVICE 4-2</t>
  </si>
  <si>
    <t>CIVIL SERVICE 4-3</t>
  </si>
  <si>
    <t>CIVIL SERVICE 4-4</t>
  </si>
  <si>
    <t>CIVIL SERVICE 4-5</t>
  </si>
  <si>
    <t>CIVIL SERVICE 5-1</t>
  </si>
  <si>
    <t>CIVIL SERVICE 5-2</t>
  </si>
  <si>
    <t>CIVIL SERVICE 5-3</t>
  </si>
  <si>
    <t>CIVIL SERVICE 6-1</t>
  </si>
  <si>
    <t>CIVIL SERVICE 6-2</t>
  </si>
  <si>
    <t>CIVIL SERVICE 6-3</t>
  </si>
  <si>
    <t>CIVIL SERVICE 6-4</t>
  </si>
  <si>
    <t>CIVIL SERVICE 6-5</t>
  </si>
  <si>
    <t>CIVIL SERVICE 7-1</t>
  </si>
  <si>
    <t>CIVIL SERVICE 7-2</t>
  </si>
  <si>
    <t>CIVIL SERVICE 7-3</t>
  </si>
  <si>
    <t>CIVIL SERVICE 7-4</t>
  </si>
  <si>
    <t>CIVIL SERVICE 8-1</t>
  </si>
  <si>
    <t>CIVIL SERVICE 8-2</t>
  </si>
  <si>
    <t>CIVIL SERVICE 8-3</t>
  </si>
  <si>
    <t>CIVIL SERVICE 9-1</t>
  </si>
  <si>
    <t>CIVIL SERVICE 9-2</t>
  </si>
  <si>
    <t>CIVIL SERVICE 9-3</t>
  </si>
  <si>
    <t>CIVIL SERVICE 9-4</t>
  </si>
  <si>
    <t>CIVIL SERVICE 9-5</t>
  </si>
  <si>
    <t>EXECUTIVE 1</t>
  </si>
  <si>
    <t>EXECUTIVE 2</t>
  </si>
  <si>
    <t>EXECUTIVE 3</t>
  </si>
  <si>
    <t>EXECUTIVE 4</t>
  </si>
  <si>
    <t>EXECUTIVE 5</t>
  </si>
  <si>
    <t>EXECUTIVE 6</t>
  </si>
  <si>
    <t>EXECUTIVE 7</t>
  </si>
  <si>
    <t>GENERAL SERVICE 1</t>
  </si>
  <si>
    <t>GENERAL SERVICE 2</t>
  </si>
  <si>
    <t>GENERAL SERVICE 3</t>
  </si>
  <si>
    <t>GENERAL SERVICE 4</t>
  </si>
  <si>
    <t>MANAGERIAL SERVICE 1</t>
  </si>
  <si>
    <t>MANAGERIAL SERVICE 2</t>
  </si>
  <si>
    <t>MANAGERIAL SERVICE 3</t>
  </si>
  <si>
    <t>MANAGERIAL SERVICE 4</t>
  </si>
  <si>
    <t>SUPPORT SERVICE 1</t>
  </si>
  <si>
    <t>SUPPORT SERVICE 2</t>
  </si>
  <si>
    <t>SUPPORT SERVICE 3</t>
  </si>
  <si>
    <t>SUPPORT SERVICE 4</t>
  </si>
  <si>
    <t>ZIMMAADHAARU VERIYAA 7</t>
  </si>
  <si>
    <t>Note:  Atoll total includes 1 person who is working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</si>
</sst>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\ _ރ_._-;_-* #,##0\ _ރ_.\-;_-* &quot;-&quot;??\ _ރ_._-;_-@_-"/>
    <numFmt numFmtId="166" formatCode="_(* #,##0_);_(* \(#,##0\);_(* &quot;-&quot;??_);_(@_)"/>
    <numFmt numFmtId="167" formatCode="General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sz val="10"/>
      <color theme="1"/>
      <name val="Faruma"/>
    </font>
    <font>
      <b/>
      <sz val="10"/>
      <color theme="1"/>
      <name val="Faruma"/>
    </font>
    <font>
      <b/>
      <sz val="11"/>
      <name val="A_Reethi"/>
    </font>
    <font>
      <b/>
      <sz val="12"/>
      <name val="Calibri"/>
      <family val="2"/>
      <scheme val="minor"/>
    </font>
    <font>
      <sz val="10"/>
      <name val="MS Sans Serif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Faruma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hair">
        <color theme="1" tint="4.9989318521683403E-2"/>
      </bottom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</borders>
  <cellStyleXfs count="52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4" fillId="0" borderId="0" applyFont="0" applyFill="0" applyBorder="0" applyAlignment="0" applyProtection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0" fontId="10" fillId="0" borderId="0"/>
    <xf numFmtId="0" fontId="3" fillId="0" borderId="0"/>
    <xf numFmtId="0" fontId="16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74">
    <xf numFmtId="0" fontId="0" fillId="0" borderId="0" xfId="0"/>
    <xf numFmtId="3" fontId="5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0" fontId="6" fillId="2" borderId="0" xfId="0" applyFont="1" applyFill="1"/>
    <xf numFmtId="3" fontId="6" fillId="2" borderId="2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right" vertical="center" readingOrder="2"/>
    </xf>
    <xf numFmtId="0" fontId="7" fillId="2" borderId="0" xfId="0" applyFont="1" applyFill="1" applyBorder="1" applyAlignment="1">
      <alignment horizontal="right" vertical="center"/>
    </xf>
    <xf numFmtId="3" fontId="0" fillId="2" borderId="0" xfId="0" applyNumberFormat="1" applyFont="1" applyFill="1"/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64" fontId="1" fillId="2" borderId="0" xfId="1" applyNumberFormat="1" applyFont="1" applyFill="1" applyBorder="1" applyAlignment="1">
      <alignment vertical="center"/>
    </xf>
    <xf numFmtId="166" fontId="0" fillId="2" borderId="0" xfId="1" applyNumberFormat="1" applyFont="1" applyFill="1" applyBorder="1" applyAlignment="1">
      <alignment horizontal="right" vertical="center"/>
    </xf>
    <xf numFmtId="166" fontId="1" fillId="2" borderId="0" xfId="1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14" fillId="2" borderId="0" xfId="5" applyFont="1" applyFill="1" applyBorder="1" applyAlignment="1"/>
    <xf numFmtId="167" fontId="15" fillId="2" borderId="0" xfId="7" applyNumberFormat="1" applyFont="1" applyFill="1" applyBorder="1" applyAlignment="1" applyProtection="1">
      <alignment vertical="center"/>
    </xf>
    <xf numFmtId="0" fontId="2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indent="2"/>
    </xf>
    <xf numFmtId="0" fontId="6" fillId="2" borderId="2" xfId="0" applyFont="1" applyFill="1" applyBorder="1" applyAlignment="1">
      <alignment horizontal="left" vertical="center" indent="2"/>
    </xf>
    <xf numFmtId="164" fontId="9" fillId="2" borderId="0" xfId="1" applyNumberFormat="1" applyFont="1" applyFill="1" applyBorder="1" applyAlignment="1">
      <alignment vertical="center"/>
    </xf>
    <xf numFmtId="164" fontId="0" fillId="2" borderId="0" xfId="1" applyNumberFormat="1" applyFont="1" applyFill="1" applyBorder="1" applyAlignment="1">
      <alignment vertical="center"/>
    </xf>
    <xf numFmtId="3" fontId="7" fillId="2" borderId="0" xfId="1" applyNumberFormat="1" applyFont="1" applyFill="1" applyAlignment="1">
      <alignment horizontal="right" vertical="center"/>
    </xf>
    <xf numFmtId="3" fontId="6" fillId="2" borderId="0" xfId="1" applyNumberFormat="1" applyFont="1" applyFill="1" applyAlignment="1">
      <alignment horizontal="right" vertical="center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166" fontId="0" fillId="2" borderId="0" xfId="1" applyNumberFormat="1" applyFont="1" applyFill="1" applyBorder="1"/>
    <xf numFmtId="166" fontId="0" fillId="2" borderId="0" xfId="0" applyNumberFormat="1" applyFill="1" applyBorder="1"/>
    <xf numFmtId="0" fontId="8" fillId="2" borderId="4" xfId="8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164" fontId="7" fillId="2" borderId="2" xfId="1" applyNumberFormat="1" applyFont="1" applyFill="1" applyBorder="1" applyAlignment="1">
      <alignment horizontal="right" vertical="center"/>
    </xf>
    <xf numFmtId="164" fontId="7" fillId="2" borderId="0" xfId="1" applyNumberFormat="1" applyFont="1" applyFill="1" applyBorder="1" applyAlignment="1">
      <alignment horizontal="center" vertical="center"/>
    </xf>
    <xf numFmtId="3" fontId="7" fillId="2" borderId="2" xfId="1" applyNumberFormat="1" applyFont="1" applyFill="1" applyBorder="1" applyAlignment="1">
      <alignment horizontal="right" vertical="center"/>
    </xf>
    <xf numFmtId="3" fontId="2" fillId="2" borderId="0" xfId="0" applyNumberFormat="1" applyFont="1" applyFill="1"/>
    <xf numFmtId="166" fontId="2" fillId="2" borderId="0" xfId="1" applyNumberFormat="1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>
      <alignment vertical="center"/>
    </xf>
    <xf numFmtId="0" fontId="17" fillId="2" borderId="0" xfId="0" applyFont="1" applyFill="1" applyBorder="1" applyAlignment="1">
      <alignment vertical="center"/>
    </xf>
    <xf numFmtId="0" fontId="13" fillId="2" borderId="9" xfId="0" applyFont="1" applyFill="1" applyBorder="1" applyAlignment="1">
      <alignment horizontal="right" vertical="center" readingOrder="2"/>
    </xf>
    <xf numFmtId="0" fontId="13" fillId="2" borderId="10" xfId="0" applyFont="1" applyFill="1" applyBorder="1" applyAlignment="1">
      <alignment horizontal="right" vertical="center" readingOrder="2"/>
    </xf>
    <xf numFmtId="164" fontId="7" fillId="2" borderId="11" xfId="1" applyNumberFormat="1" applyFont="1" applyFill="1" applyBorder="1" applyAlignment="1">
      <alignment horizontal="right" vertical="center"/>
    </xf>
    <xf numFmtId="164" fontId="7" fillId="2" borderId="12" xfId="1" applyNumberFormat="1" applyFont="1" applyFill="1" applyBorder="1" applyAlignment="1">
      <alignment horizontal="right" vertical="center"/>
    </xf>
    <xf numFmtId="164" fontId="7" fillId="2" borderId="9" xfId="1" applyNumberFormat="1" applyFont="1" applyFill="1" applyBorder="1" applyAlignment="1">
      <alignment horizontal="center" vertical="center"/>
    </xf>
    <xf numFmtId="164" fontId="7" fillId="2" borderId="10" xfId="1" applyNumberFormat="1" applyFont="1" applyFill="1" applyBorder="1" applyAlignment="1">
      <alignment horizontal="center" vertical="center"/>
    </xf>
    <xf numFmtId="3" fontId="7" fillId="2" borderId="9" xfId="1" applyNumberFormat="1" applyFont="1" applyFill="1" applyBorder="1" applyAlignment="1">
      <alignment horizontal="right" vertical="center"/>
    </xf>
    <xf numFmtId="3" fontId="6" fillId="2" borderId="10" xfId="1" applyNumberFormat="1" applyFont="1" applyFill="1" applyBorder="1" applyAlignment="1">
      <alignment horizontal="right" vertical="center"/>
    </xf>
    <xf numFmtId="3" fontId="7" fillId="2" borderId="11" xfId="1" applyNumberFormat="1" applyFont="1" applyFill="1" applyBorder="1" applyAlignment="1">
      <alignment horizontal="right" vertical="center"/>
    </xf>
    <xf numFmtId="3" fontId="6" fillId="2" borderId="12" xfId="1" applyNumberFormat="1" applyFont="1" applyFill="1" applyBorder="1" applyAlignment="1">
      <alignment horizontal="right" vertical="center"/>
    </xf>
    <xf numFmtId="0" fontId="0" fillId="2" borderId="0" xfId="0" applyFont="1" applyFill="1"/>
    <xf numFmtId="0" fontId="0" fillId="2" borderId="0" xfId="0" applyFill="1"/>
    <xf numFmtId="0" fontId="6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horizontal="left" vertical="center"/>
    </xf>
    <xf numFmtId="3" fontId="12" fillId="2" borderId="0" xfId="1" applyNumberFormat="1" applyFont="1" applyFill="1" applyBorder="1" applyAlignment="1">
      <alignment horizontal="right" vertical="center"/>
    </xf>
    <xf numFmtId="3" fontId="7" fillId="2" borderId="8" xfId="1" applyNumberFormat="1" applyFont="1" applyFill="1" applyBorder="1" applyAlignment="1">
      <alignment horizontal="right" vertical="center"/>
    </xf>
    <xf numFmtId="3" fontId="7" fillId="2" borderId="7" xfId="1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readingOrder="2"/>
    </xf>
    <xf numFmtId="0" fontId="13" fillId="2" borderId="0" xfId="0" applyFont="1" applyFill="1" applyBorder="1" applyAlignment="1">
      <alignment horizontal="center" vertical="center" readingOrder="2"/>
    </xf>
    <xf numFmtId="164" fontId="7" fillId="2" borderId="13" xfId="1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4" fillId="2" borderId="0" xfId="5" applyFont="1" applyFill="1" applyBorder="1" applyAlignment="1">
      <alignment horizontal="center"/>
    </xf>
    <xf numFmtId="167" fontId="11" fillId="2" borderId="0" xfId="7" applyNumberFormat="1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 readingOrder="2"/>
    </xf>
    <xf numFmtId="0" fontId="13" fillId="2" borderId="0" xfId="0" applyFont="1" applyFill="1" applyBorder="1" applyAlignment="1">
      <alignment horizontal="center" vertical="center" readingOrder="2"/>
    </xf>
    <xf numFmtId="0" fontId="7" fillId="2" borderId="5" xfId="0" applyFont="1" applyFill="1" applyBorder="1" applyAlignment="1">
      <alignment horizontal="right" vertical="center"/>
    </xf>
    <xf numFmtId="0" fontId="18" fillId="2" borderId="5" xfId="0" applyFont="1" applyFill="1" applyBorder="1" applyAlignment="1">
      <alignment horizontal="left" vertical="center" readingOrder="2"/>
    </xf>
    <xf numFmtId="164" fontId="7" fillId="2" borderId="6" xfId="1" applyNumberFormat="1" applyFont="1" applyFill="1" applyBorder="1" applyAlignment="1">
      <alignment horizontal="center" vertical="center"/>
    </xf>
    <xf numFmtId="164" fontId="7" fillId="2" borderId="14" xfId="1" applyNumberFormat="1" applyFont="1" applyFill="1" applyBorder="1" applyAlignment="1">
      <alignment horizontal="center" vertical="center"/>
    </xf>
    <xf numFmtId="164" fontId="7" fillId="2" borderId="13" xfId="1" applyNumberFormat="1" applyFont="1" applyFill="1" applyBorder="1" applyAlignment="1">
      <alignment horizontal="center" vertical="center"/>
    </xf>
    <xf numFmtId="164" fontId="7" fillId="2" borderId="15" xfId="1" applyNumberFormat="1" applyFont="1" applyFill="1" applyBorder="1" applyAlignment="1">
      <alignment horizontal="center" vertical="center"/>
    </xf>
  </cellXfs>
  <cellStyles count="522">
    <cellStyle name="Comma" xfId="1" builtinId="3"/>
    <cellStyle name="Comma 3" xfId="3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Normal" xfId="0" builtinId="0"/>
    <cellStyle name="Normal 2" xfId="4"/>
    <cellStyle name="Normal 4" xfId="9"/>
    <cellStyle name="Normal_5 Employment_done" xfId="5"/>
    <cellStyle name="Normal_II-16(Populaion)" xfId="2"/>
    <cellStyle name="Normal_po" xfId="8"/>
    <cellStyle name="Normal_Population - II 2" xfId="7"/>
    <cellStyle name="Percent 3" xfId="6"/>
  </cellStyles>
  <dxfs count="0"/>
  <tableStyles count="0" defaultTableStyle="TableStyleMedium9" defaultPivotStyle="PivotStyleLight16"/>
  <colors>
    <mruColors>
      <color rgb="FFFDEADA"/>
      <color rgb="FFFCD3B2"/>
      <color rgb="FFFABF8E"/>
      <color rgb="FFF79747"/>
      <color rgb="FF953735"/>
      <color rgb="FFFBC497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31588755177008"/>
          <c:y val="0.14734040134746937"/>
          <c:w val="0.86754905182661202"/>
          <c:h val="0.7114809074062592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'5.1'!$A$128:$A$137</c:f>
              <c:strCache>
                <c:ptCount val="10"/>
                <c:pt idx="0">
                  <c:v>SUPPORT SERVICE 1</c:v>
                </c:pt>
                <c:pt idx="1">
                  <c:v>GENERAL SERVICE 3</c:v>
                </c:pt>
                <c:pt idx="2">
                  <c:v>CIVIL SERVICE 13-2</c:v>
                </c:pt>
                <c:pt idx="3">
                  <c:v>MANAGERIAL SERVICE 1</c:v>
                </c:pt>
                <c:pt idx="4">
                  <c:v>SUPPORT SERVICE 2</c:v>
                </c:pt>
                <c:pt idx="5">
                  <c:v>GENERAL SERVICE 4</c:v>
                </c:pt>
                <c:pt idx="6">
                  <c:v>CIVIL SERVICE 11-2</c:v>
                </c:pt>
                <c:pt idx="7">
                  <c:v>MANAGERIAL SERVICE 2</c:v>
                </c:pt>
                <c:pt idx="8">
                  <c:v>GENERAL SERVICE 2</c:v>
                </c:pt>
                <c:pt idx="9">
                  <c:v>MANAGERIAL SERVICE 3</c:v>
                </c:pt>
              </c:strCache>
            </c:strRef>
          </c:cat>
          <c:val>
            <c:numRef>
              <c:f>'5.1'!$B$128:$B$137</c:f>
            </c:numRef>
          </c:val>
        </c:ser>
        <c:ser>
          <c:idx val="1"/>
          <c:order val="1"/>
          <c:spPr>
            <a:solidFill>
              <a:srgbClr val="F79747"/>
            </a:solidFill>
          </c:spPr>
          <c:invertIfNegative val="0"/>
          <c:cat>
            <c:strRef>
              <c:f>'5.1'!$A$128:$A$137</c:f>
              <c:strCache>
                <c:ptCount val="10"/>
                <c:pt idx="0">
                  <c:v>SUPPORT SERVICE 1</c:v>
                </c:pt>
                <c:pt idx="1">
                  <c:v>GENERAL SERVICE 3</c:v>
                </c:pt>
                <c:pt idx="2">
                  <c:v>CIVIL SERVICE 13-2</c:v>
                </c:pt>
                <c:pt idx="3">
                  <c:v>MANAGERIAL SERVICE 1</c:v>
                </c:pt>
                <c:pt idx="4">
                  <c:v>SUPPORT SERVICE 2</c:v>
                </c:pt>
                <c:pt idx="5">
                  <c:v>GENERAL SERVICE 4</c:v>
                </c:pt>
                <c:pt idx="6">
                  <c:v>CIVIL SERVICE 11-2</c:v>
                </c:pt>
                <c:pt idx="7">
                  <c:v>MANAGERIAL SERVICE 2</c:v>
                </c:pt>
                <c:pt idx="8">
                  <c:v>GENERAL SERVICE 2</c:v>
                </c:pt>
                <c:pt idx="9">
                  <c:v>MANAGERIAL SERVICE 3</c:v>
                </c:pt>
              </c:strCache>
            </c:strRef>
          </c:cat>
          <c:val>
            <c:numRef>
              <c:f>'5.1'!$C$128:$C$137</c:f>
              <c:numCache>
                <c:formatCode>_-* #,##0\ _ރ_._-;_-* #,##0\ _ރ_.\-;_-* "-"??\ _ރ_._-;_-@_-</c:formatCode>
                <c:ptCount val="10"/>
                <c:pt idx="0">
                  <c:v>3827</c:v>
                </c:pt>
                <c:pt idx="1">
                  <c:v>3439</c:v>
                </c:pt>
                <c:pt idx="2">
                  <c:v>2690</c:v>
                </c:pt>
                <c:pt idx="3">
                  <c:v>2019</c:v>
                </c:pt>
                <c:pt idx="4">
                  <c:v>1960</c:v>
                </c:pt>
                <c:pt idx="5">
                  <c:v>1880</c:v>
                </c:pt>
                <c:pt idx="6">
                  <c:v>1852</c:v>
                </c:pt>
                <c:pt idx="7">
                  <c:v>1050</c:v>
                </c:pt>
                <c:pt idx="8">
                  <c:v>865</c:v>
                </c:pt>
                <c:pt idx="9">
                  <c:v>833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116641152"/>
        <c:axId val="117168768"/>
      </c:barChart>
      <c:catAx>
        <c:axId val="11664115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anchor="ctr" anchorCtr="0"/>
          <a:lstStyle/>
          <a:p>
            <a:pPr>
              <a:defRPr sz="900"/>
            </a:pPr>
            <a:endParaRPr lang="en-US"/>
          </a:p>
        </c:txPr>
        <c:crossAx val="117168768"/>
        <c:crosses val="autoZero"/>
        <c:auto val="1"/>
        <c:lblAlgn val="ctr"/>
        <c:lblOffset val="100"/>
        <c:noMultiLvlLbl val="0"/>
      </c:catAx>
      <c:valAx>
        <c:axId val="11716876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-* #,##0\ _ރ_._-;_-* #,##0\ _ރ_.\-;_-* &quot;-&quot;??\ _ރ_._-;_-@_-" sourceLinked="1"/>
        <c:majorTickMark val="out"/>
        <c:minorTickMark val="none"/>
        <c:tickLblPos val="nextTo"/>
        <c:crossAx val="116641152"/>
        <c:crosses val="autoZero"/>
        <c:crossBetween val="between"/>
      </c:valAx>
      <c:spPr>
        <a:solidFill>
          <a:schemeClr val="accent6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98</xdr:row>
      <xdr:rowOff>95250</xdr:rowOff>
    </xdr:from>
    <xdr:to>
      <xdr:col>12</xdr:col>
      <xdr:colOff>552451</xdr:colOff>
      <xdr:row>114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85726</xdr:colOff>
      <xdr:row>102</xdr:row>
      <xdr:rowOff>19049</xdr:rowOff>
    </xdr:from>
    <xdr:to>
      <xdr:col>0</xdr:col>
      <xdr:colOff>361951</xdr:colOff>
      <xdr:row>109</xdr:row>
      <xdr:rowOff>180972</xdr:rowOff>
    </xdr:to>
    <xdr:sp macro="" textlink="">
      <xdr:nvSpPr>
        <xdr:cNvPr id="7" name="TextBox 6"/>
        <xdr:cNvSpPr txBox="1"/>
      </xdr:nvSpPr>
      <xdr:spPr>
        <a:xfrm rot="16200000">
          <a:off x="-590548" y="21288373"/>
          <a:ext cx="1628773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 sz="1050" b="1">
            <a:effectLst/>
          </a:endParaRPr>
        </a:p>
        <a:p>
          <a:endParaRPr lang="en-US" sz="1050" b="1"/>
        </a:p>
      </xdr:txBody>
    </xdr:sp>
    <xdr:clientData/>
  </xdr:twoCellAnchor>
  <xdr:twoCellAnchor>
    <xdr:from>
      <xdr:col>0</xdr:col>
      <xdr:colOff>1190625</xdr:colOff>
      <xdr:row>100</xdr:row>
      <xdr:rowOff>180975</xdr:rowOff>
    </xdr:from>
    <xdr:to>
      <xdr:col>12</xdr:col>
      <xdr:colOff>161925</xdr:colOff>
      <xdr:row>100</xdr:row>
      <xdr:rowOff>180975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190625" y="20354925"/>
          <a:ext cx="59817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0.15297</cdr:x>
      <cdr:y>0.03675</cdr:y>
    </cdr:from>
    <cdr:to>
      <cdr:x>0.9646</cdr:x>
      <cdr:y>0.11286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52525" y="133351"/>
          <a:ext cx="611505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5.1: Number of civil servants selected by  highest 10 job ranks,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BLANK%20TABLES/By%20Office/sent/5.%20EMPLOYMENT%20_%20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9"/>
    </sheetNames>
    <sheetDataSet>
      <sheetData sheetId="0">
        <row r="114">
          <cell r="BB114" t="str">
            <v>Male</v>
          </cell>
          <cell r="BD114">
            <v>74.512743628185902</v>
          </cell>
        </row>
        <row r="115">
          <cell r="BB115" t="str">
            <v>Female</v>
          </cell>
          <cell r="BD115">
            <v>25.487256371814095</v>
          </cell>
        </row>
        <row r="119">
          <cell r="BB119" t="str">
            <v>Both sexes</v>
          </cell>
          <cell r="BC119" t="str">
            <v>Male</v>
          </cell>
          <cell r="BD119" t="str">
            <v>Female</v>
          </cell>
        </row>
        <row r="120">
          <cell r="BA120">
            <v>2011</v>
          </cell>
          <cell r="BB120">
            <v>544</v>
          </cell>
          <cell r="BC120">
            <v>390</v>
          </cell>
          <cell r="BD120">
            <v>154</v>
          </cell>
        </row>
        <row r="121">
          <cell r="BA121">
            <v>2012</v>
          </cell>
          <cell r="BB121">
            <v>446</v>
          </cell>
          <cell r="BC121">
            <v>301</v>
          </cell>
          <cell r="BD121">
            <v>145</v>
          </cell>
        </row>
        <row r="122">
          <cell r="BA122">
            <v>2013</v>
          </cell>
          <cell r="BB122">
            <v>473</v>
          </cell>
          <cell r="BC122">
            <v>342</v>
          </cell>
          <cell r="BD122">
            <v>131</v>
          </cell>
        </row>
        <row r="123">
          <cell r="BA123">
            <v>2014</v>
          </cell>
          <cell r="BB123">
            <v>526</v>
          </cell>
          <cell r="BC123">
            <v>367</v>
          </cell>
          <cell r="BD123">
            <v>159</v>
          </cell>
        </row>
        <row r="124">
          <cell r="BA124">
            <v>2015</v>
          </cell>
          <cell r="BB124">
            <v>0</v>
          </cell>
          <cell r="BC124">
            <v>0</v>
          </cell>
          <cell r="BD12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214"/>
  <sheetViews>
    <sheetView tabSelected="1" zoomScaleNormal="100" zoomScaleSheetLayoutView="100" workbookViewId="0">
      <selection activeCell="T103" sqref="T103"/>
    </sheetView>
  </sheetViews>
  <sheetFormatPr defaultRowHeight="15" x14ac:dyDescent="0.25"/>
  <cols>
    <col min="1" max="1" width="23.85546875" style="11" customWidth="1"/>
    <col min="2" max="2" width="7.5703125" style="10" hidden="1" customWidth="1"/>
    <col min="3" max="3" width="10.7109375" style="38" customWidth="1"/>
    <col min="4" max="5" width="9.140625" style="13" customWidth="1"/>
    <col min="6" max="6" width="2.140625" style="13" customWidth="1"/>
    <col min="7" max="7" width="11.28515625" style="13" customWidth="1"/>
    <col min="8" max="8" width="9.28515625" style="13" customWidth="1"/>
    <col min="9" max="9" width="9.140625" style="13" customWidth="1"/>
    <col min="10" max="10" width="2.140625" style="13" customWidth="1"/>
    <col min="11" max="13" width="9.140625" style="13" customWidth="1"/>
    <col min="14" max="14" width="1.42578125" style="10" customWidth="1"/>
    <col min="15" max="16384" width="9.140625" style="10"/>
  </cols>
  <sheetData>
    <row r="1" spans="1:47" ht="21" x14ac:dyDescent="0.55000000000000004">
      <c r="A1" s="63" t="s">
        <v>17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51"/>
    </row>
    <row r="2" spans="1:47" ht="15.75" x14ac:dyDescent="0.25">
      <c r="A2" s="64" t="s">
        <v>18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</row>
    <row r="3" spans="1:47" ht="4.5" customHeight="1" x14ac:dyDescent="0.25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</row>
    <row r="4" spans="1:47" s="3" customFormat="1" ht="18.600000000000001" customHeight="1" x14ac:dyDescent="0.2">
      <c r="A4" s="66" t="s">
        <v>13</v>
      </c>
      <c r="B4" s="58"/>
      <c r="C4" s="68" t="s">
        <v>12</v>
      </c>
      <c r="D4" s="68"/>
      <c r="E4" s="68"/>
      <c r="F4" s="68"/>
      <c r="G4" s="68"/>
      <c r="H4" s="69" t="s">
        <v>11</v>
      </c>
      <c r="I4" s="69"/>
      <c r="J4" s="69"/>
      <c r="K4" s="69"/>
      <c r="L4" s="69"/>
      <c r="M4" s="69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spans="1:47" s="52" customFormat="1" ht="15" customHeight="1" x14ac:dyDescent="0.25">
      <c r="A5" s="67"/>
      <c r="B5" s="59"/>
      <c r="C5" s="70" t="s">
        <v>1</v>
      </c>
      <c r="D5" s="70"/>
      <c r="E5" s="70"/>
      <c r="F5" s="60"/>
      <c r="G5" s="71" t="s">
        <v>2</v>
      </c>
      <c r="H5" s="72"/>
      <c r="I5" s="73"/>
      <c r="J5" s="60"/>
      <c r="K5" s="70" t="s">
        <v>15</v>
      </c>
      <c r="L5" s="70"/>
      <c r="M5" s="70"/>
    </row>
    <row r="6" spans="1:47" s="52" customFormat="1" ht="18.75" x14ac:dyDescent="0.25">
      <c r="A6" s="61" t="s">
        <v>7</v>
      </c>
      <c r="B6" s="8"/>
      <c r="C6" s="7" t="s">
        <v>10</v>
      </c>
      <c r="D6" s="7" t="s">
        <v>3</v>
      </c>
      <c r="E6" s="7" t="s">
        <v>4</v>
      </c>
      <c r="F6" s="7"/>
      <c r="G6" s="40" t="s">
        <v>10</v>
      </c>
      <c r="H6" s="7" t="s">
        <v>3</v>
      </c>
      <c r="I6" s="41" t="s">
        <v>4</v>
      </c>
      <c r="J6" s="7"/>
      <c r="K6" s="7" t="s">
        <v>10</v>
      </c>
      <c r="L6" s="7" t="s">
        <v>3</v>
      </c>
      <c r="M6" s="7" t="s">
        <v>4</v>
      </c>
    </row>
    <row r="7" spans="1:47" s="12" customFormat="1" ht="12.75" x14ac:dyDescent="0.25">
      <c r="A7" s="62"/>
      <c r="B7" s="32"/>
      <c r="C7" s="33" t="s">
        <v>8</v>
      </c>
      <c r="D7" s="33" t="s">
        <v>5</v>
      </c>
      <c r="E7" s="33" t="s">
        <v>6</v>
      </c>
      <c r="F7" s="33"/>
      <c r="G7" s="42" t="s">
        <v>8</v>
      </c>
      <c r="H7" s="33" t="s">
        <v>5</v>
      </c>
      <c r="I7" s="43" t="s">
        <v>6</v>
      </c>
      <c r="J7" s="33"/>
      <c r="K7" s="33" t="s">
        <v>8</v>
      </c>
      <c r="L7" s="33" t="s">
        <v>5</v>
      </c>
      <c r="M7" s="33" t="s">
        <v>6</v>
      </c>
    </row>
    <row r="8" spans="1:47" s="12" customFormat="1" ht="6.6" customHeight="1" x14ac:dyDescent="0.25">
      <c r="A8" s="57"/>
      <c r="B8" s="8"/>
      <c r="C8" s="34"/>
      <c r="D8" s="34"/>
      <c r="E8" s="34"/>
      <c r="F8" s="34"/>
      <c r="G8" s="44"/>
      <c r="H8" s="34"/>
      <c r="I8" s="45"/>
      <c r="J8" s="34"/>
      <c r="K8" s="34"/>
      <c r="L8" s="34"/>
      <c r="M8" s="34"/>
    </row>
    <row r="9" spans="1:47" s="20" customFormat="1" ht="16.899999999999999" customHeight="1" x14ac:dyDescent="0.25">
      <c r="A9" s="57" t="s">
        <v>0</v>
      </c>
      <c r="B9" s="25"/>
      <c r="C9" s="25">
        <f>G9+K9</f>
        <v>24501</v>
      </c>
      <c r="D9" s="25">
        <f t="shared" ref="D9:E9" si="0">H9+L9</f>
        <v>10881</v>
      </c>
      <c r="E9" s="25">
        <f t="shared" si="0"/>
        <v>13620</v>
      </c>
      <c r="F9" s="25"/>
      <c r="G9" s="55">
        <f>SUM(H9:I9)</f>
        <v>9500</v>
      </c>
      <c r="H9" s="6">
        <f>SUM(H10:H96)</f>
        <v>4500</v>
      </c>
      <c r="I9" s="56">
        <f>SUM(I10:I96)</f>
        <v>5000</v>
      </c>
      <c r="J9" s="25"/>
      <c r="K9" s="25">
        <f>SUM(L9:M9)</f>
        <v>15001</v>
      </c>
      <c r="L9" s="25">
        <f>SUM(L10:L96)</f>
        <v>6381</v>
      </c>
      <c r="M9" s="25">
        <f>SUM(M10:M96)</f>
        <v>8620</v>
      </c>
    </row>
    <row r="10" spans="1:47" ht="16.899999999999999" customHeight="1" x14ac:dyDescent="0.25">
      <c r="A10" s="21" t="s">
        <v>19</v>
      </c>
      <c r="B10" s="26"/>
      <c r="C10" s="25">
        <f t="shared" ref="C10:C73" si="1">G10+K10</f>
        <v>6</v>
      </c>
      <c r="D10" s="26">
        <f>H10+L10</f>
        <v>2</v>
      </c>
      <c r="E10" s="26">
        <f t="shared" ref="E10:E73" si="2">I10+M10</f>
        <v>4</v>
      </c>
      <c r="F10" s="26"/>
      <c r="G10" s="46">
        <f>H10+I10</f>
        <v>6</v>
      </c>
      <c r="H10" s="5">
        <v>2</v>
      </c>
      <c r="I10" s="47">
        <v>4</v>
      </c>
      <c r="J10" s="26"/>
      <c r="K10" s="25">
        <f>L10+M10</f>
        <v>0</v>
      </c>
      <c r="L10" s="26">
        <v>0</v>
      </c>
      <c r="M10" s="26">
        <v>0</v>
      </c>
      <c r="N10" s="51"/>
      <c r="O10" s="27"/>
      <c r="P10" s="28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</row>
    <row r="11" spans="1:47" ht="16.899999999999999" customHeight="1" x14ac:dyDescent="0.25">
      <c r="A11" s="21" t="s">
        <v>20</v>
      </c>
      <c r="B11" s="26"/>
      <c r="C11" s="25">
        <f t="shared" si="1"/>
        <v>8</v>
      </c>
      <c r="D11" s="26">
        <f t="shared" ref="D11:D73" si="3">H11+L11</f>
        <v>8</v>
      </c>
      <c r="E11" s="26">
        <f t="shared" si="2"/>
        <v>0</v>
      </c>
      <c r="F11" s="26"/>
      <c r="G11" s="46">
        <f t="shared" ref="G11:G74" si="4">H11+I11</f>
        <v>8</v>
      </c>
      <c r="H11" s="5">
        <v>8</v>
      </c>
      <c r="I11" s="47">
        <v>0</v>
      </c>
      <c r="J11" s="26"/>
      <c r="K11" s="25">
        <f t="shared" ref="K11:K74" si="5">L11+M11</f>
        <v>0</v>
      </c>
      <c r="L11" s="26">
        <v>0</v>
      </c>
      <c r="M11" s="26">
        <v>0</v>
      </c>
      <c r="N11" s="51"/>
      <c r="O11" s="51"/>
      <c r="P11" s="28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</row>
    <row r="12" spans="1:47" ht="16.899999999999999" customHeight="1" x14ac:dyDescent="0.25">
      <c r="A12" s="21" t="s">
        <v>21</v>
      </c>
      <c r="B12" s="26"/>
      <c r="C12" s="25">
        <f t="shared" si="1"/>
        <v>7</v>
      </c>
      <c r="D12" s="26">
        <f t="shared" si="3"/>
        <v>5</v>
      </c>
      <c r="E12" s="26">
        <f t="shared" si="2"/>
        <v>2</v>
      </c>
      <c r="F12" s="26"/>
      <c r="G12" s="46">
        <f t="shared" si="4"/>
        <v>7</v>
      </c>
      <c r="H12" s="5">
        <v>5</v>
      </c>
      <c r="I12" s="47">
        <v>2</v>
      </c>
      <c r="J12" s="26"/>
      <c r="K12" s="25">
        <f t="shared" si="5"/>
        <v>0</v>
      </c>
      <c r="L12" s="26">
        <v>0</v>
      </c>
      <c r="M12" s="26">
        <v>0</v>
      </c>
      <c r="N12" s="51"/>
      <c r="O12" s="51"/>
      <c r="P12" s="28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</row>
    <row r="13" spans="1:47" ht="16.899999999999999" customHeight="1" x14ac:dyDescent="0.25">
      <c r="A13" s="21" t="s">
        <v>22</v>
      </c>
      <c r="B13" s="26"/>
      <c r="C13" s="25">
        <f t="shared" si="1"/>
        <v>5</v>
      </c>
      <c r="D13" s="26">
        <f t="shared" si="3"/>
        <v>3</v>
      </c>
      <c r="E13" s="26">
        <f t="shared" si="2"/>
        <v>2</v>
      </c>
      <c r="F13" s="26"/>
      <c r="G13" s="46">
        <f t="shared" si="4"/>
        <v>5</v>
      </c>
      <c r="H13" s="5">
        <v>3</v>
      </c>
      <c r="I13" s="47">
        <v>2</v>
      </c>
      <c r="J13" s="26"/>
      <c r="K13" s="25">
        <f t="shared" si="5"/>
        <v>0</v>
      </c>
      <c r="L13" s="26">
        <v>0</v>
      </c>
      <c r="M13" s="26">
        <v>0</v>
      </c>
      <c r="N13" s="51"/>
      <c r="O13" s="51"/>
      <c r="P13" s="28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</row>
    <row r="14" spans="1:47" ht="16.899999999999999" customHeight="1" x14ac:dyDescent="0.25">
      <c r="A14" s="21" t="s">
        <v>23</v>
      </c>
      <c r="B14" s="26"/>
      <c r="C14" s="25">
        <f t="shared" si="1"/>
        <v>1852</v>
      </c>
      <c r="D14" s="26">
        <f t="shared" si="3"/>
        <v>503</v>
      </c>
      <c r="E14" s="26">
        <f t="shared" si="2"/>
        <v>1349</v>
      </c>
      <c r="F14" s="26"/>
      <c r="G14" s="46">
        <f t="shared" si="4"/>
        <v>312</v>
      </c>
      <c r="H14" s="5">
        <v>39</v>
      </c>
      <c r="I14" s="47">
        <v>273</v>
      </c>
      <c r="J14" s="26"/>
      <c r="K14" s="25">
        <f t="shared" si="5"/>
        <v>1540</v>
      </c>
      <c r="L14" s="26">
        <v>464</v>
      </c>
      <c r="M14" s="26">
        <v>1076</v>
      </c>
      <c r="N14" s="51"/>
      <c r="O14" s="27"/>
      <c r="P14" s="28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</row>
    <row r="15" spans="1:47" ht="16.899999999999999" customHeight="1" x14ac:dyDescent="0.25">
      <c r="A15" s="21" t="s">
        <v>24</v>
      </c>
      <c r="B15" s="26"/>
      <c r="C15" s="25">
        <f t="shared" si="1"/>
        <v>225</v>
      </c>
      <c r="D15" s="26">
        <f t="shared" si="3"/>
        <v>53</v>
      </c>
      <c r="E15" s="26">
        <f t="shared" si="2"/>
        <v>172</v>
      </c>
      <c r="F15" s="26"/>
      <c r="G15" s="46">
        <f t="shared" si="4"/>
        <v>21</v>
      </c>
      <c r="H15" s="5">
        <v>2</v>
      </c>
      <c r="I15" s="47">
        <v>19</v>
      </c>
      <c r="J15" s="26"/>
      <c r="K15" s="25">
        <f t="shared" si="5"/>
        <v>204</v>
      </c>
      <c r="L15" s="26">
        <v>51</v>
      </c>
      <c r="M15" s="26">
        <v>153</v>
      </c>
      <c r="N15" s="51"/>
      <c r="O15" s="51"/>
      <c r="P15" s="28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</row>
    <row r="16" spans="1:47" ht="16.899999999999999" customHeight="1" x14ac:dyDescent="0.25">
      <c r="A16" s="21" t="s">
        <v>25</v>
      </c>
      <c r="B16" s="26"/>
      <c r="C16" s="25">
        <f t="shared" si="1"/>
        <v>200</v>
      </c>
      <c r="D16" s="26">
        <f t="shared" si="3"/>
        <v>82</v>
      </c>
      <c r="E16" s="26">
        <f t="shared" si="2"/>
        <v>118</v>
      </c>
      <c r="F16" s="26"/>
      <c r="G16" s="46">
        <f t="shared" si="4"/>
        <v>33</v>
      </c>
      <c r="H16" s="5">
        <v>8</v>
      </c>
      <c r="I16" s="47">
        <v>25</v>
      </c>
      <c r="J16" s="26"/>
      <c r="K16" s="25">
        <f t="shared" si="5"/>
        <v>167</v>
      </c>
      <c r="L16" s="26">
        <v>74</v>
      </c>
      <c r="M16" s="26">
        <v>93</v>
      </c>
      <c r="N16" s="51"/>
      <c r="O16" s="51"/>
      <c r="P16" s="28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</row>
    <row r="17" spans="1:16" ht="16.899999999999999" customHeight="1" x14ac:dyDescent="0.25">
      <c r="A17" s="21" t="s">
        <v>26</v>
      </c>
      <c r="B17" s="26"/>
      <c r="C17" s="25">
        <f t="shared" si="1"/>
        <v>1</v>
      </c>
      <c r="D17" s="26">
        <f t="shared" si="3"/>
        <v>0</v>
      </c>
      <c r="E17" s="26">
        <f t="shared" si="2"/>
        <v>1</v>
      </c>
      <c r="F17" s="26"/>
      <c r="G17" s="46">
        <f t="shared" si="4"/>
        <v>1</v>
      </c>
      <c r="H17" s="5">
        <v>0</v>
      </c>
      <c r="I17" s="47">
        <v>1</v>
      </c>
      <c r="J17" s="26"/>
      <c r="K17" s="25">
        <f t="shared" si="5"/>
        <v>0</v>
      </c>
      <c r="L17" s="26">
        <v>0</v>
      </c>
      <c r="M17" s="26">
        <v>0</v>
      </c>
      <c r="N17" s="51"/>
      <c r="O17" s="51"/>
      <c r="P17" s="28"/>
    </row>
    <row r="18" spans="1:16" ht="16.899999999999999" customHeight="1" x14ac:dyDescent="0.25">
      <c r="A18" s="21" t="s">
        <v>27</v>
      </c>
      <c r="B18" s="26"/>
      <c r="C18" s="25">
        <f t="shared" si="1"/>
        <v>54</v>
      </c>
      <c r="D18" s="26">
        <f t="shared" si="3"/>
        <v>26</v>
      </c>
      <c r="E18" s="26">
        <f t="shared" si="2"/>
        <v>28</v>
      </c>
      <c r="F18" s="26"/>
      <c r="G18" s="46">
        <f t="shared" si="4"/>
        <v>40</v>
      </c>
      <c r="H18" s="5">
        <v>19</v>
      </c>
      <c r="I18" s="47">
        <v>21</v>
      </c>
      <c r="J18" s="26"/>
      <c r="K18" s="25">
        <f t="shared" si="5"/>
        <v>14</v>
      </c>
      <c r="L18" s="26">
        <v>7</v>
      </c>
      <c r="M18" s="26">
        <v>7</v>
      </c>
      <c r="N18" s="51"/>
      <c r="O18" s="51"/>
      <c r="P18" s="28"/>
    </row>
    <row r="19" spans="1:16" ht="16.899999999999999" customHeight="1" x14ac:dyDescent="0.25">
      <c r="A19" s="21" t="s">
        <v>28</v>
      </c>
      <c r="B19" s="26"/>
      <c r="C19" s="25">
        <f t="shared" si="1"/>
        <v>6</v>
      </c>
      <c r="D19" s="26">
        <f t="shared" si="3"/>
        <v>5</v>
      </c>
      <c r="E19" s="26">
        <f t="shared" si="2"/>
        <v>1</v>
      </c>
      <c r="F19" s="26"/>
      <c r="G19" s="46">
        <f t="shared" si="4"/>
        <v>6</v>
      </c>
      <c r="H19" s="5">
        <v>5</v>
      </c>
      <c r="I19" s="47">
        <v>1</v>
      </c>
      <c r="J19" s="26"/>
      <c r="K19" s="25">
        <f t="shared" si="5"/>
        <v>0</v>
      </c>
      <c r="L19" s="26">
        <v>0</v>
      </c>
      <c r="M19" s="26">
        <v>0</v>
      </c>
      <c r="N19" s="51"/>
      <c r="O19" s="51"/>
      <c r="P19" s="28"/>
    </row>
    <row r="20" spans="1:16" ht="16.899999999999999" customHeight="1" x14ac:dyDescent="0.25">
      <c r="A20" s="21" t="s">
        <v>29</v>
      </c>
      <c r="B20" s="26"/>
      <c r="C20" s="25">
        <f t="shared" si="1"/>
        <v>7</v>
      </c>
      <c r="D20" s="26">
        <f t="shared" si="3"/>
        <v>7</v>
      </c>
      <c r="E20" s="26">
        <f t="shared" si="2"/>
        <v>0</v>
      </c>
      <c r="F20" s="26"/>
      <c r="G20" s="46">
        <f t="shared" si="4"/>
        <v>7</v>
      </c>
      <c r="H20" s="5">
        <v>7</v>
      </c>
      <c r="I20" s="47">
        <v>0</v>
      </c>
      <c r="J20" s="26"/>
      <c r="K20" s="25">
        <f t="shared" si="5"/>
        <v>0</v>
      </c>
      <c r="L20" s="26">
        <v>0</v>
      </c>
      <c r="M20" s="26">
        <v>0</v>
      </c>
      <c r="N20" s="51"/>
      <c r="O20" s="51"/>
      <c r="P20" s="28"/>
    </row>
    <row r="21" spans="1:16" ht="16.899999999999999" customHeight="1" x14ac:dyDescent="0.25">
      <c r="A21" s="21" t="s">
        <v>30</v>
      </c>
      <c r="B21" s="26"/>
      <c r="C21" s="25">
        <f t="shared" si="1"/>
        <v>2</v>
      </c>
      <c r="D21" s="26">
        <f t="shared" si="3"/>
        <v>2</v>
      </c>
      <c r="E21" s="26">
        <f t="shared" si="2"/>
        <v>0</v>
      </c>
      <c r="F21" s="26"/>
      <c r="G21" s="46">
        <f t="shared" si="4"/>
        <v>2</v>
      </c>
      <c r="H21" s="5">
        <v>2</v>
      </c>
      <c r="I21" s="47">
        <v>0</v>
      </c>
      <c r="J21" s="26"/>
      <c r="K21" s="25">
        <f t="shared" si="5"/>
        <v>0</v>
      </c>
      <c r="L21" s="26">
        <v>0</v>
      </c>
      <c r="M21" s="26">
        <v>0</v>
      </c>
      <c r="N21" s="51"/>
      <c r="O21" s="51"/>
      <c r="P21" s="28"/>
    </row>
    <row r="22" spans="1:16" ht="16.899999999999999" customHeight="1" x14ac:dyDescent="0.25">
      <c r="A22" s="21" t="s">
        <v>31</v>
      </c>
      <c r="B22" s="26"/>
      <c r="C22" s="25">
        <f t="shared" si="1"/>
        <v>5</v>
      </c>
      <c r="D22" s="26">
        <f t="shared" si="3"/>
        <v>2</v>
      </c>
      <c r="E22" s="26">
        <f t="shared" si="2"/>
        <v>3</v>
      </c>
      <c r="F22" s="26"/>
      <c r="G22" s="46">
        <f t="shared" si="4"/>
        <v>5</v>
      </c>
      <c r="H22" s="5">
        <v>2</v>
      </c>
      <c r="I22" s="47">
        <v>3</v>
      </c>
      <c r="J22" s="26"/>
      <c r="K22" s="25">
        <f t="shared" si="5"/>
        <v>0</v>
      </c>
      <c r="L22" s="26">
        <v>0</v>
      </c>
      <c r="M22" s="26">
        <v>0</v>
      </c>
      <c r="N22" s="51"/>
      <c r="O22" s="27"/>
      <c r="P22" s="28"/>
    </row>
    <row r="23" spans="1:16" ht="16.899999999999999" customHeight="1" x14ac:dyDescent="0.25">
      <c r="A23" s="21" t="s">
        <v>32</v>
      </c>
      <c r="B23" s="26"/>
      <c r="C23" s="25">
        <f t="shared" si="1"/>
        <v>2690</v>
      </c>
      <c r="D23" s="26">
        <f t="shared" si="3"/>
        <v>1474</v>
      </c>
      <c r="E23" s="26">
        <f t="shared" si="2"/>
        <v>1216</v>
      </c>
      <c r="F23" s="26"/>
      <c r="G23" s="46">
        <f t="shared" si="4"/>
        <v>563</v>
      </c>
      <c r="H23" s="5">
        <v>179</v>
      </c>
      <c r="I23" s="47">
        <v>384</v>
      </c>
      <c r="J23" s="26"/>
      <c r="K23" s="25">
        <f t="shared" si="5"/>
        <v>2127</v>
      </c>
      <c r="L23" s="26">
        <v>1295</v>
      </c>
      <c r="M23" s="26">
        <v>832</v>
      </c>
      <c r="N23" s="51"/>
      <c r="O23" s="51"/>
      <c r="P23" s="28"/>
    </row>
    <row r="24" spans="1:16" ht="16.899999999999999" customHeight="1" x14ac:dyDescent="0.25">
      <c r="A24" s="21" t="s">
        <v>33</v>
      </c>
      <c r="B24" s="26"/>
      <c r="C24" s="25">
        <f t="shared" si="1"/>
        <v>349</v>
      </c>
      <c r="D24" s="26">
        <f t="shared" si="3"/>
        <v>112</v>
      </c>
      <c r="E24" s="26">
        <f t="shared" si="2"/>
        <v>237</v>
      </c>
      <c r="F24" s="26"/>
      <c r="G24" s="46">
        <f t="shared" si="4"/>
        <v>141</v>
      </c>
      <c r="H24" s="5">
        <v>21</v>
      </c>
      <c r="I24" s="47">
        <v>120</v>
      </c>
      <c r="J24" s="26"/>
      <c r="K24" s="25">
        <f t="shared" si="5"/>
        <v>208</v>
      </c>
      <c r="L24" s="26">
        <v>91</v>
      </c>
      <c r="M24" s="26">
        <v>117</v>
      </c>
      <c r="N24" s="51"/>
      <c r="O24" s="51"/>
      <c r="P24" s="28"/>
    </row>
    <row r="25" spans="1:16" ht="16.899999999999999" customHeight="1" x14ac:dyDescent="0.25">
      <c r="A25" s="21" t="s">
        <v>34</v>
      </c>
      <c r="B25" s="26"/>
      <c r="C25" s="25">
        <f t="shared" si="1"/>
        <v>92</v>
      </c>
      <c r="D25" s="26">
        <f t="shared" si="3"/>
        <v>39</v>
      </c>
      <c r="E25" s="26">
        <f t="shared" si="2"/>
        <v>53</v>
      </c>
      <c r="F25" s="26"/>
      <c r="G25" s="46">
        <f t="shared" si="4"/>
        <v>65</v>
      </c>
      <c r="H25" s="5">
        <v>27</v>
      </c>
      <c r="I25" s="47">
        <v>38</v>
      </c>
      <c r="J25" s="26"/>
      <c r="K25" s="25">
        <f t="shared" si="5"/>
        <v>27</v>
      </c>
      <c r="L25" s="26">
        <v>12</v>
      </c>
      <c r="M25" s="26">
        <v>15</v>
      </c>
      <c r="N25" s="51"/>
      <c r="O25" s="51"/>
      <c r="P25" s="28"/>
    </row>
    <row r="26" spans="1:16" ht="16.899999999999999" customHeight="1" x14ac:dyDescent="0.25">
      <c r="A26" s="21" t="s">
        <v>35</v>
      </c>
      <c r="B26" s="26"/>
      <c r="C26" s="25">
        <f t="shared" si="1"/>
        <v>4</v>
      </c>
      <c r="D26" s="26">
        <f t="shared" si="3"/>
        <v>1</v>
      </c>
      <c r="E26" s="26">
        <f t="shared" si="2"/>
        <v>3</v>
      </c>
      <c r="F26" s="26"/>
      <c r="G26" s="46">
        <f t="shared" si="4"/>
        <v>3</v>
      </c>
      <c r="H26" s="5">
        <v>0</v>
      </c>
      <c r="I26" s="47">
        <v>3</v>
      </c>
      <c r="J26" s="26"/>
      <c r="K26" s="25">
        <f t="shared" si="5"/>
        <v>1</v>
      </c>
      <c r="L26" s="26">
        <v>1</v>
      </c>
      <c r="M26" s="26">
        <v>0</v>
      </c>
      <c r="N26" s="51"/>
      <c r="O26" s="51"/>
      <c r="P26" s="28"/>
    </row>
    <row r="27" spans="1:16" ht="16.899999999999999" customHeight="1" x14ac:dyDescent="0.25">
      <c r="A27" s="21" t="s">
        <v>36</v>
      </c>
      <c r="B27" s="26"/>
      <c r="C27" s="25">
        <f t="shared" si="1"/>
        <v>3</v>
      </c>
      <c r="D27" s="26">
        <f t="shared" si="3"/>
        <v>3</v>
      </c>
      <c r="E27" s="26">
        <f t="shared" si="2"/>
        <v>0</v>
      </c>
      <c r="F27" s="26"/>
      <c r="G27" s="46">
        <f t="shared" si="4"/>
        <v>3</v>
      </c>
      <c r="H27" s="5">
        <v>3</v>
      </c>
      <c r="I27" s="47">
        <v>0</v>
      </c>
      <c r="J27" s="26"/>
      <c r="K27" s="25">
        <f t="shared" si="5"/>
        <v>0</v>
      </c>
      <c r="L27" s="26">
        <v>0</v>
      </c>
      <c r="M27" s="26">
        <v>0</v>
      </c>
      <c r="N27" s="51"/>
      <c r="O27" s="51"/>
      <c r="P27" s="28"/>
    </row>
    <row r="28" spans="1:16" ht="16.899999999999999" customHeight="1" x14ac:dyDescent="0.25">
      <c r="A28" s="21" t="s">
        <v>37</v>
      </c>
      <c r="B28" s="26"/>
      <c r="C28" s="25">
        <f t="shared" si="1"/>
        <v>19</v>
      </c>
      <c r="D28" s="26">
        <f t="shared" si="3"/>
        <v>13</v>
      </c>
      <c r="E28" s="26">
        <f t="shared" si="2"/>
        <v>6</v>
      </c>
      <c r="F28" s="26"/>
      <c r="G28" s="46">
        <f t="shared" si="4"/>
        <v>14</v>
      </c>
      <c r="H28" s="5">
        <v>8</v>
      </c>
      <c r="I28" s="47">
        <v>6</v>
      </c>
      <c r="J28" s="26"/>
      <c r="K28" s="25">
        <f t="shared" si="5"/>
        <v>5</v>
      </c>
      <c r="L28" s="26">
        <v>5</v>
      </c>
      <c r="M28" s="26">
        <v>0</v>
      </c>
      <c r="N28" s="51"/>
      <c r="O28" s="51"/>
      <c r="P28" s="28"/>
    </row>
    <row r="29" spans="1:16" ht="16.899999999999999" customHeight="1" x14ac:dyDescent="0.25">
      <c r="A29" s="21" t="s">
        <v>38</v>
      </c>
      <c r="B29" s="26"/>
      <c r="C29" s="25">
        <f t="shared" si="1"/>
        <v>5</v>
      </c>
      <c r="D29" s="26">
        <f t="shared" si="3"/>
        <v>5</v>
      </c>
      <c r="E29" s="26">
        <f t="shared" si="2"/>
        <v>0</v>
      </c>
      <c r="F29" s="26"/>
      <c r="G29" s="46">
        <f t="shared" si="4"/>
        <v>5</v>
      </c>
      <c r="H29" s="5">
        <v>5</v>
      </c>
      <c r="I29" s="47">
        <v>0</v>
      </c>
      <c r="J29" s="26"/>
      <c r="K29" s="25">
        <f t="shared" si="5"/>
        <v>0</v>
      </c>
      <c r="L29" s="26">
        <v>0</v>
      </c>
      <c r="M29" s="26">
        <v>0</v>
      </c>
      <c r="N29" s="51"/>
      <c r="O29" s="51"/>
      <c r="P29" s="28"/>
    </row>
    <row r="30" spans="1:16" ht="16.899999999999999" customHeight="1" x14ac:dyDescent="0.25">
      <c r="A30" s="21" t="s">
        <v>39</v>
      </c>
      <c r="B30" s="26"/>
      <c r="C30" s="25">
        <f t="shared" si="1"/>
        <v>1</v>
      </c>
      <c r="D30" s="26">
        <f t="shared" si="3"/>
        <v>1</v>
      </c>
      <c r="E30" s="26">
        <f t="shared" si="2"/>
        <v>0</v>
      </c>
      <c r="F30" s="26"/>
      <c r="G30" s="46">
        <f t="shared" si="4"/>
        <v>1</v>
      </c>
      <c r="H30" s="5">
        <v>1</v>
      </c>
      <c r="I30" s="47">
        <v>0</v>
      </c>
      <c r="J30" s="26"/>
      <c r="K30" s="25">
        <f t="shared" si="5"/>
        <v>0</v>
      </c>
      <c r="L30" s="26">
        <v>0</v>
      </c>
      <c r="M30" s="26">
        <v>0</v>
      </c>
      <c r="N30" s="51"/>
      <c r="O30" s="51"/>
      <c r="P30" s="28"/>
    </row>
    <row r="31" spans="1:16" ht="16.899999999999999" customHeight="1" x14ac:dyDescent="0.25">
      <c r="A31" s="21" t="s">
        <v>40</v>
      </c>
      <c r="B31" s="26"/>
      <c r="C31" s="25">
        <f t="shared" si="1"/>
        <v>1</v>
      </c>
      <c r="D31" s="26">
        <f t="shared" si="3"/>
        <v>1</v>
      </c>
      <c r="E31" s="26">
        <f t="shared" si="2"/>
        <v>0</v>
      </c>
      <c r="F31" s="26"/>
      <c r="G31" s="46">
        <f t="shared" si="4"/>
        <v>1</v>
      </c>
      <c r="H31" s="5">
        <v>1</v>
      </c>
      <c r="I31" s="47">
        <v>0</v>
      </c>
      <c r="J31" s="26"/>
      <c r="K31" s="25">
        <f t="shared" si="5"/>
        <v>0</v>
      </c>
      <c r="L31" s="26">
        <v>0</v>
      </c>
      <c r="M31" s="26">
        <v>0</v>
      </c>
      <c r="N31" s="51"/>
      <c r="O31" s="51"/>
      <c r="P31" s="28"/>
    </row>
    <row r="32" spans="1:16" ht="16.899999999999999" customHeight="1" x14ac:dyDescent="0.25">
      <c r="A32" s="21" t="s">
        <v>41</v>
      </c>
      <c r="B32" s="26"/>
      <c r="C32" s="25">
        <f t="shared" si="1"/>
        <v>20</v>
      </c>
      <c r="D32" s="26">
        <f t="shared" si="3"/>
        <v>8</v>
      </c>
      <c r="E32" s="26">
        <f t="shared" si="2"/>
        <v>12</v>
      </c>
      <c r="F32" s="26"/>
      <c r="G32" s="46">
        <f t="shared" si="4"/>
        <v>20</v>
      </c>
      <c r="H32" s="5">
        <v>8</v>
      </c>
      <c r="I32" s="47">
        <v>12</v>
      </c>
      <c r="J32" s="26"/>
      <c r="K32" s="25">
        <f t="shared" si="5"/>
        <v>0</v>
      </c>
      <c r="L32" s="26">
        <v>0</v>
      </c>
      <c r="M32" s="26">
        <v>0</v>
      </c>
      <c r="N32" s="51"/>
      <c r="O32" s="51"/>
      <c r="P32" s="28"/>
    </row>
    <row r="33" spans="1:16" ht="16.899999999999999" customHeight="1" x14ac:dyDescent="0.25">
      <c r="A33" s="21" t="s">
        <v>42</v>
      </c>
      <c r="B33" s="26"/>
      <c r="C33" s="25">
        <f t="shared" si="1"/>
        <v>156</v>
      </c>
      <c r="D33" s="26">
        <f t="shared" si="3"/>
        <v>41</v>
      </c>
      <c r="E33" s="26">
        <f t="shared" si="2"/>
        <v>115</v>
      </c>
      <c r="F33" s="26"/>
      <c r="G33" s="46">
        <f t="shared" si="4"/>
        <v>105</v>
      </c>
      <c r="H33" s="5">
        <v>30</v>
      </c>
      <c r="I33" s="47">
        <v>75</v>
      </c>
      <c r="J33" s="26"/>
      <c r="K33" s="25">
        <f t="shared" si="5"/>
        <v>51</v>
      </c>
      <c r="L33" s="26">
        <v>11</v>
      </c>
      <c r="M33" s="26">
        <v>40</v>
      </c>
      <c r="N33" s="51"/>
      <c r="O33" s="51"/>
      <c r="P33" s="28"/>
    </row>
    <row r="34" spans="1:16" ht="16.899999999999999" customHeight="1" x14ac:dyDescent="0.25">
      <c r="A34" s="21" t="s">
        <v>43</v>
      </c>
      <c r="B34" s="26"/>
      <c r="C34" s="25">
        <f t="shared" si="1"/>
        <v>20</v>
      </c>
      <c r="D34" s="26">
        <f t="shared" si="3"/>
        <v>9</v>
      </c>
      <c r="E34" s="26">
        <f t="shared" si="2"/>
        <v>11</v>
      </c>
      <c r="F34" s="26"/>
      <c r="G34" s="46">
        <f t="shared" si="4"/>
        <v>15</v>
      </c>
      <c r="H34" s="5">
        <v>7</v>
      </c>
      <c r="I34" s="47">
        <v>8</v>
      </c>
      <c r="J34" s="26"/>
      <c r="K34" s="25">
        <f t="shared" si="5"/>
        <v>5</v>
      </c>
      <c r="L34" s="26">
        <v>2</v>
      </c>
      <c r="M34" s="26">
        <v>3</v>
      </c>
      <c r="N34" s="51"/>
      <c r="O34" s="51"/>
      <c r="P34" s="28"/>
    </row>
    <row r="35" spans="1:16" ht="16.899999999999999" customHeight="1" x14ac:dyDescent="0.25">
      <c r="A35" s="21" t="s">
        <v>44</v>
      </c>
      <c r="B35" s="26"/>
      <c r="C35" s="25">
        <f t="shared" si="1"/>
        <v>10</v>
      </c>
      <c r="D35" s="26">
        <f t="shared" si="3"/>
        <v>5</v>
      </c>
      <c r="E35" s="26">
        <f t="shared" si="2"/>
        <v>5</v>
      </c>
      <c r="F35" s="26"/>
      <c r="G35" s="46">
        <f t="shared" si="4"/>
        <v>10</v>
      </c>
      <c r="H35" s="5">
        <v>5</v>
      </c>
      <c r="I35" s="47">
        <v>5</v>
      </c>
      <c r="J35" s="26"/>
      <c r="K35" s="25">
        <f t="shared" si="5"/>
        <v>0</v>
      </c>
      <c r="L35" s="26">
        <v>0</v>
      </c>
      <c r="M35" s="26">
        <v>0</v>
      </c>
      <c r="N35" s="51"/>
      <c r="O35" s="51"/>
      <c r="P35" s="28"/>
    </row>
    <row r="36" spans="1:16" ht="16.899999999999999" customHeight="1" x14ac:dyDescent="0.25">
      <c r="A36" s="21" t="s">
        <v>45</v>
      </c>
      <c r="B36" s="26"/>
      <c r="C36" s="25">
        <f t="shared" si="1"/>
        <v>4</v>
      </c>
      <c r="D36" s="26">
        <f t="shared" si="3"/>
        <v>1</v>
      </c>
      <c r="E36" s="26">
        <f t="shared" si="2"/>
        <v>3</v>
      </c>
      <c r="F36" s="26"/>
      <c r="G36" s="46">
        <f t="shared" si="4"/>
        <v>3</v>
      </c>
      <c r="H36" s="5">
        <v>1</v>
      </c>
      <c r="I36" s="47">
        <v>2</v>
      </c>
      <c r="J36" s="26"/>
      <c r="K36" s="25">
        <f t="shared" si="5"/>
        <v>1</v>
      </c>
      <c r="L36" s="26"/>
      <c r="M36" s="26">
        <v>1</v>
      </c>
      <c r="N36" s="51"/>
      <c r="O36" s="51"/>
      <c r="P36" s="28"/>
    </row>
    <row r="37" spans="1:16" ht="16.899999999999999" customHeight="1" x14ac:dyDescent="0.25">
      <c r="A37" s="21" t="s">
        <v>46</v>
      </c>
      <c r="B37" s="26"/>
      <c r="C37" s="25">
        <f t="shared" si="1"/>
        <v>2</v>
      </c>
      <c r="D37" s="26">
        <f t="shared" si="3"/>
        <v>1</v>
      </c>
      <c r="E37" s="26">
        <f t="shared" si="2"/>
        <v>1</v>
      </c>
      <c r="F37" s="26"/>
      <c r="G37" s="46">
        <f t="shared" si="4"/>
        <v>2</v>
      </c>
      <c r="H37" s="5">
        <v>1</v>
      </c>
      <c r="I37" s="47">
        <v>1</v>
      </c>
      <c r="J37" s="26"/>
      <c r="K37" s="25">
        <f t="shared" si="5"/>
        <v>0</v>
      </c>
      <c r="L37" s="26">
        <v>0</v>
      </c>
      <c r="M37" s="26">
        <v>0</v>
      </c>
      <c r="N37" s="51"/>
      <c r="O37" s="51"/>
      <c r="P37" s="28"/>
    </row>
    <row r="38" spans="1:16" ht="16.899999999999999" customHeight="1" x14ac:dyDescent="0.25">
      <c r="A38" s="21" t="s">
        <v>47</v>
      </c>
      <c r="B38" s="26"/>
      <c r="C38" s="25">
        <f t="shared" si="1"/>
        <v>2</v>
      </c>
      <c r="D38" s="26">
        <f t="shared" si="3"/>
        <v>2</v>
      </c>
      <c r="E38" s="26">
        <f t="shared" si="2"/>
        <v>0</v>
      </c>
      <c r="F38" s="26"/>
      <c r="G38" s="46">
        <f t="shared" si="4"/>
        <v>2</v>
      </c>
      <c r="H38" s="5">
        <v>2</v>
      </c>
      <c r="I38" s="47">
        <v>0</v>
      </c>
      <c r="J38" s="26"/>
      <c r="K38" s="25">
        <f t="shared" si="5"/>
        <v>0</v>
      </c>
      <c r="L38" s="26">
        <v>0</v>
      </c>
      <c r="M38" s="26">
        <v>0</v>
      </c>
      <c r="N38" s="51"/>
      <c r="O38" s="51"/>
      <c r="P38" s="28"/>
    </row>
    <row r="39" spans="1:16" ht="16.899999999999999" customHeight="1" x14ac:dyDescent="0.25">
      <c r="A39" s="21" t="s">
        <v>48</v>
      </c>
      <c r="B39" s="26"/>
      <c r="C39" s="25">
        <f t="shared" si="1"/>
        <v>1</v>
      </c>
      <c r="D39" s="26">
        <f t="shared" si="3"/>
        <v>1</v>
      </c>
      <c r="E39" s="26">
        <f t="shared" si="2"/>
        <v>0</v>
      </c>
      <c r="F39" s="26"/>
      <c r="G39" s="46">
        <f t="shared" si="4"/>
        <v>1</v>
      </c>
      <c r="H39" s="5">
        <v>1</v>
      </c>
      <c r="I39" s="47">
        <v>0</v>
      </c>
      <c r="J39" s="26"/>
      <c r="K39" s="25">
        <f t="shared" si="5"/>
        <v>0</v>
      </c>
      <c r="L39" s="26">
        <v>0</v>
      </c>
      <c r="M39" s="26">
        <v>0</v>
      </c>
      <c r="N39" s="51"/>
      <c r="O39" s="51"/>
      <c r="P39" s="28"/>
    </row>
    <row r="40" spans="1:16" ht="16.899999999999999" customHeight="1" x14ac:dyDescent="0.25">
      <c r="A40" s="21" t="s">
        <v>49</v>
      </c>
      <c r="B40" s="26"/>
      <c r="C40" s="25">
        <f t="shared" si="1"/>
        <v>6</v>
      </c>
      <c r="D40" s="26">
        <f t="shared" si="3"/>
        <v>4</v>
      </c>
      <c r="E40" s="26">
        <f t="shared" si="2"/>
        <v>2</v>
      </c>
      <c r="F40" s="26"/>
      <c r="G40" s="46">
        <f t="shared" si="4"/>
        <v>6</v>
      </c>
      <c r="H40" s="5">
        <v>4</v>
      </c>
      <c r="I40" s="47">
        <v>2</v>
      </c>
      <c r="J40" s="26"/>
      <c r="K40" s="25">
        <f t="shared" si="5"/>
        <v>0</v>
      </c>
      <c r="L40" s="26">
        <v>0</v>
      </c>
      <c r="M40" s="26">
        <v>0</v>
      </c>
      <c r="N40" s="51"/>
      <c r="O40" s="51"/>
      <c r="P40" s="28"/>
    </row>
    <row r="41" spans="1:16" ht="16.899999999999999" customHeight="1" x14ac:dyDescent="0.25">
      <c r="A41" s="21" t="s">
        <v>50</v>
      </c>
      <c r="B41" s="26"/>
      <c r="C41" s="25">
        <f t="shared" si="1"/>
        <v>2</v>
      </c>
      <c r="D41" s="26">
        <f t="shared" si="3"/>
        <v>1</v>
      </c>
      <c r="E41" s="26">
        <f t="shared" si="2"/>
        <v>1</v>
      </c>
      <c r="F41" s="26"/>
      <c r="G41" s="46">
        <f t="shared" si="4"/>
        <v>2</v>
      </c>
      <c r="H41" s="5">
        <v>1</v>
      </c>
      <c r="I41" s="47">
        <v>1</v>
      </c>
      <c r="J41" s="26"/>
      <c r="K41" s="25">
        <f t="shared" si="5"/>
        <v>0</v>
      </c>
      <c r="L41" s="26">
        <v>0</v>
      </c>
      <c r="M41" s="26">
        <v>0</v>
      </c>
      <c r="N41" s="51"/>
      <c r="O41" s="51"/>
      <c r="P41" s="28"/>
    </row>
    <row r="42" spans="1:16" ht="16.899999999999999" customHeight="1" x14ac:dyDescent="0.25">
      <c r="A42" s="21" t="s">
        <v>51</v>
      </c>
      <c r="B42" s="26"/>
      <c r="C42" s="25">
        <f t="shared" si="1"/>
        <v>2</v>
      </c>
      <c r="D42" s="26">
        <f t="shared" si="3"/>
        <v>1</v>
      </c>
      <c r="E42" s="26">
        <f t="shared" si="2"/>
        <v>1</v>
      </c>
      <c r="F42" s="26"/>
      <c r="G42" s="46">
        <f t="shared" si="4"/>
        <v>2</v>
      </c>
      <c r="H42" s="5">
        <v>1</v>
      </c>
      <c r="I42" s="47">
        <v>1</v>
      </c>
      <c r="J42" s="26"/>
      <c r="K42" s="25">
        <f t="shared" si="5"/>
        <v>0</v>
      </c>
      <c r="L42" s="26">
        <v>0</v>
      </c>
      <c r="M42" s="26">
        <v>0</v>
      </c>
      <c r="N42" s="51"/>
      <c r="O42" s="51"/>
      <c r="P42" s="28"/>
    </row>
    <row r="43" spans="1:16" ht="16.899999999999999" customHeight="1" x14ac:dyDescent="0.25">
      <c r="A43" s="21" t="s">
        <v>52</v>
      </c>
      <c r="B43" s="26"/>
      <c r="C43" s="25">
        <f t="shared" si="1"/>
        <v>1</v>
      </c>
      <c r="D43" s="26">
        <f t="shared" si="3"/>
        <v>0</v>
      </c>
      <c r="E43" s="26">
        <f t="shared" si="2"/>
        <v>1</v>
      </c>
      <c r="F43" s="26"/>
      <c r="G43" s="46">
        <f t="shared" si="4"/>
        <v>1</v>
      </c>
      <c r="H43" s="5">
        <v>0</v>
      </c>
      <c r="I43" s="47">
        <v>1</v>
      </c>
      <c r="J43" s="26"/>
      <c r="K43" s="25">
        <f t="shared" si="5"/>
        <v>0</v>
      </c>
      <c r="L43" s="26">
        <v>0</v>
      </c>
      <c r="M43" s="26">
        <v>0</v>
      </c>
      <c r="N43" s="51"/>
      <c r="O43" s="51"/>
      <c r="P43" s="28"/>
    </row>
    <row r="44" spans="1:16" ht="16.899999999999999" customHeight="1" x14ac:dyDescent="0.25">
      <c r="A44" s="21" t="s">
        <v>53</v>
      </c>
      <c r="B44" s="26"/>
      <c r="C44" s="25">
        <f t="shared" si="1"/>
        <v>1</v>
      </c>
      <c r="D44" s="26">
        <f t="shared" si="3"/>
        <v>1</v>
      </c>
      <c r="E44" s="26">
        <f t="shared" si="2"/>
        <v>0</v>
      </c>
      <c r="F44" s="26"/>
      <c r="G44" s="46">
        <f t="shared" si="4"/>
        <v>1</v>
      </c>
      <c r="H44" s="5">
        <v>1</v>
      </c>
      <c r="I44" s="47">
        <v>0</v>
      </c>
      <c r="J44" s="26"/>
      <c r="K44" s="25">
        <f t="shared" si="5"/>
        <v>0</v>
      </c>
      <c r="L44" s="26">
        <v>0</v>
      </c>
      <c r="M44" s="26">
        <v>0</v>
      </c>
      <c r="N44" s="51"/>
      <c r="O44" s="51"/>
      <c r="P44" s="28"/>
    </row>
    <row r="45" spans="1:16" ht="16.899999999999999" customHeight="1" x14ac:dyDescent="0.25">
      <c r="A45" s="21" t="s">
        <v>54</v>
      </c>
      <c r="B45" s="26"/>
      <c r="C45" s="25">
        <f t="shared" si="1"/>
        <v>1</v>
      </c>
      <c r="D45" s="26">
        <f t="shared" si="3"/>
        <v>1</v>
      </c>
      <c r="E45" s="26">
        <f t="shared" si="2"/>
        <v>0</v>
      </c>
      <c r="F45" s="26"/>
      <c r="G45" s="46">
        <f t="shared" si="4"/>
        <v>1</v>
      </c>
      <c r="H45" s="5">
        <v>1</v>
      </c>
      <c r="I45" s="47">
        <v>0</v>
      </c>
      <c r="J45" s="26"/>
      <c r="K45" s="25">
        <f t="shared" si="5"/>
        <v>0</v>
      </c>
      <c r="L45" s="26">
        <v>0</v>
      </c>
      <c r="M45" s="26">
        <v>0</v>
      </c>
      <c r="N45" s="51"/>
      <c r="O45" s="51"/>
      <c r="P45" s="28"/>
    </row>
    <row r="46" spans="1:16" ht="16.899999999999999" customHeight="1" x14ac:dyDescent="0.25">
      <c r="A46" s="21" t="s">
        <v>55</v>
      </c>
      <c r="B46" s="26"/>
      <c r="C46" s="25">
        <f t="shared" si="1"/>
        <v>1</v>
      </c>
      <c r="D46" s="26">
        <f t="shared" si="3"/>
        <v>1</v>
      </c>
      <c r="E46" s="26">
        <f t="shared" si="2"/>
        <v>0</v>
      </c>
      <c r="F46" s="26"/>
      <c r="G46" s="46">
        <f t="shared" si="4"/>
        <v>1</v>
      </c>
      <c r="H46" s="5">
        <v>1</v>
      </c>
      <c r="I46" s="47">
        <v>0</v>
      </c>
      <c r="J46" s="26"/>
      <c r="K46" s="25">
        <f t="shared" si="5"/>
        <v>0</v>
      </c>
      <c r="L46" s="26">
        <v>0</v>
      </c>
      <c r="M46" s="26">
        <v>0</v>
      </c>
      <c r="N46" s="51"/>
      <c r="O46" s="51"/>
      <c r="P46" s="28"/>
    </row>
    <row r="47" spans="1:16" ht="16.899999999999999" customHeight="1" x14ac:dyDescent="0.25">
      <c r="A47" s="21" t="s">
        <v>56</v>
      </c>
      <c r="B47" s="26"/>
      <c r="C47" s="25">
        <f t="shared" si="1"/>
        <v>57</v>
      </c>
      <c r="D47" s="26">
        <f t="shared" si="3"/>
        <v>30</v>
      </c>
      <c r="E47" s="26">
        <f t="shared" si="2"/>
        <v>27</v>
      </c>
      <c r="F47" s="26"/>
      <c r="G47" s="46">
        <f t="shared" si="4"/>
        <v>57</v>
      </c>
      <c r="H47" s="5">
        <v>30</v>
      </c>
      <c r="I47" s="47">
        <v>27</v>
      </c>
      <c r="J47" s="26"/>
      <c r="K47" s="25">
        <f t="shared" si="5"/>
        <v>0</v>
      </c>
      <c r="L47" s="26">
        <v>0</v>
      </c>
      <c r="M47" s="26">
        <v>0</v>
      </c>
      <c r="N47" s="51"/>
      <c r="O47" s="51"/>
      <c r="P47" s="28"/>
    </row>
    <row r="48" spans="1:16" ht="16.899999999999999" customHeight="1" x14ac:dyDescent="0.25">
      <c r="A48" s="21" t="s">
        <v>57</v>
      </c>
      <c r="B48" s="26"/>
      <c r="C48" s="25">
        <f t="shared" si="1"/>
        <v>72</v>
      </c>
      <c r="D48" s="26">
        <f t="shared" si="3"/>
        <v>49</v>
      </c>
      <c r="E48" s="26">
        <f t="shared" si="2"/>
        <v>23</v>
      </c>
      <c r="F48" s="26"/>
      <c r="G48" s="46">
        <f t="shared" si="4"/>
        <v>72</v>
      </c>
      <c r="H48" s="5">
        <v>49</v>
      </c>
      <c r="I48" s="47">
        <v>23</v>
      </c>
      <c r="J48" s="26"/>
      <c r="K48" s="25">
        <f t="shared" si="5"/>
        <v>0</v>
      </c>
      <c r="L48" s="26">
        <v>0</v>
      </c>
      <c r="M48" s="26">
        <v>0</v>
      </c>
      <c r="N48" s="51"/>
      <c r="O48" s="27"/>
      <c r="P48" s="28"/>
    </row>
    <row r="49" spans="1:16" ht="16.899999999999999" customHeight="1" x14ac:dyDescent="0.25">
      <c r="A49" s="21" t="s">
        <v>58</v>
      </c>
      <c r="B49" s="26"/>
      <c r="C49" s="25">
        <f t="shared" si="1"/>
        <v>74</v>
      </c>
      <c r="D49" s="26">
        <f t="shared" si="3"/>
        <v>60</v>
      </c>
      <c r="E49" s="26">
        <f t="shared" si="2"/>
        <v>14</v>
      </c>
      <c r="F49" s="26"/>
      <c r="G49" s="46">
        <f t="shared" si="4"/>
        <v>74</v>
      </c>
      <c r="H49" s="5">
        <v>60</v>
      </c>
      <c r="I49" s="47">
        <v>14</v>
      </c>
      <c r="J49" s="26"/>
      <c r="K49" s="25">
        <f t="shared" si="5"/>
        <v>0</v>
      </c>
      <c r="L49" s="26">
        <v>0</v>
      </c>
      <c r="M49" s="26">
        <v>0</v>
      </c>
      <c r="N49" s="51"/>
      <c r="O49" s="27"/>
      <c r="P49" s="28"/>
    </row>
    <row r="50" spans="1:16" ht="16.899999999999999" customHeight="1" x14ac:dyDescent="0.25">
      <c r="A50" s="21" t="s">
        <v>59</v>
      </c>
      <c r="B50" s="26"/>
      <c r="C50" s="25">
        <f t="shared" si="1"/>
        <v>100</v>
      </c>
      <c r="D50" s="26">
        <f t="shared" si="3"/>
        <v>66</v>
      </c>
      <c r="E50" s="26">
        <f t="shared" si="2"/>
        <v>34</v>
      </c>
      <c r="F50" s="26"/>
      <c r="G50" s="46">
        <f t="shared" si="4"/>
        <v>100</v>
      </c>
      <c r="H50" s="5">
        <v>66</v>
      </c>
      <c r="I50" s="47">
        <v>34</v>
      </c>
      <c r="J50" s="26"/>
      <c r="K50" s="25">
        <f t="shared" si="5"/>
        <v>0</v>
      </c>
      <c r="L50" s="26">
        <v>0</v>
      </c>
      <c r="M50" s="26">
        <v>0</v>
      </c>
      <c r="N50" s="51"/>
      <c r="O50" s="51"/>
      <c r="P50" s="28"/>
    </row>
    <row r="51" spans="1:16" ht="16.899999999999999" customHeight="1" x14ac:dyDescent="0.25">
      <c r="A51" s="21" t="s">
        <v>60</v>
      </c>
      <c r="B51" s="26"/>
      <c r="C51" s="25">
        <f t="shared" si="1"/>
        <v>44</v>
      </c>
      <c r="D51" s="26">
        <f t="shared" si="3"/>
        <v>29</v>
      </c>
      <c r="E51" s="26">
        <f t="shared" si="2"/>
        <v>15</v>
      </c>
      <c r="F51" s="26"/>
      <c r="G51" s="46">
        <f t="shared" si="4"/>
        <v>44</v>
      </c>
      <c r="H51" s="5">
        <v>29</v>
      </c>
      <c r="I51" s="47">
        <v>15</v>
      </c>
      <c r="J51" s="26"/>
      <c r="K51" s="25">
        <f t="shared" si="5"/>
        <v>0</v>
      </c>
      <c r="L51" s="26">
        <v>0</v>
      </c>
      <c r="M51" s="26">
        <v>0</v>
      </c>
      <c r="N51" s="51"/>
      <c r="O51" s="27"/>
      <c r="P51" s="28"/>
    </row>
    <row r="52" spans="1:16" ht="16.899999999999999" customHeight="1" x14ac:dyDescent="0.25">
      <c r="A52" s="21" t="s">
        <v>61</v>
      </c>
      <c r="B52" s="26"/>
      <c r="C52" s="25">
        <f t="shared" si="1"/>
        <v>41</v>
      </c>
      <c r="D52" s="26">
        <f t="shared" si="3"/>
        <v>38</v>
      </c>
      <c r="E52" s="26">
        <f t="shared" si="2"/>
        <v>3</v>
      </c>
      <c r="F52" s="26"/>
      <c r="G52" s="46">
        <f t="shared" si="4"/>
        <v>41</v>
      </c>
      <c r="H52" s="5">
        <v>38</v>
      </c>
      <c r="I52" s="47">
        <v>3</v>
      </c>
      <c r="J52" s="26"/>
      <c r="K52" s="25">
        <f t="shared" si="5"/>
        <v>0</v>
      </c>
      <c r="L52" s="26">
        <v>0</v>
      </c>
      <c r="M52" s="26">
        <v>0</v>
      </c>
      <c r="N52" s="51"/>
      <c r="O52" s="27"/>
      <c r="P52" s="28"/>
    </row>
    <row r="53" spans="1:16" ht="16.899999999999999" customHeight="1" x14ac:dyDescent="0.25">
      <c r="A53" s="21" t="s">
        <v>62</v>
      </c>
      <c r="B53" s="26"/>
      <c r="C53" s="25">
        <f t="shared" si="1"/>
        <v>10</v>
      </c>
      <c r="D53" s="26">
        <f t="shared" si="3"/>
        <v>10</v>
      </c>
      <c r="E53" s="26">
        <f t="shared" si="2"/>
        <v>0</v>
      </c>
      <c r="F53" s="26"/>
      <c r="G53" s="46">
        <f t="shared" si="4"/>
        <v>10</v>
      </c>
      <c r="H53" s="5">
        <v>10</v>
      </c>
      <c r="I53" s="47">
        <v>0</v>
      </c>
      <c r="J53" s="26"/>
      <c r="K53" s="25">
        <f t="shared" si="5"/>
        <v>0</v>
      </c>
      <c r="L53" s="26">
        <v>0</v>
      </c>
      <c r="M53" s="26">
        <v>0</v>
      </c>
      <c r="N53" s="51"/>
      <c r="O53" s="27"/>
      <c r="P53" s="28"/>
    </row>
    <row r="54" spans="1:16" ht="16.899999999999999" customHeight="1" x14ac:dyDescent="0.25">
      <c r="A54" s="21" t="s">
        <v>63</v>
      </c>
      <c r="B54" s="26"/>
      <c r="C54" s="25">
        <f t="shared" si="1"/>
        <v>3</v>
      </c>
      <c r="D54" s="26">
        <f t="shared" si="3"/>
        <v>2</v>
      </c>
      <c r="E54" s="26">
        <f t="shared" si="2"/>
        <v>1</v>
      </c>
      <c r="F54" s="26"/>
      <c r="G54" s="46">
        <f t="shared" si="4"/>
        <v>3</v>
      </c>
      <c r="H54" s="5">
        <v>2</v>
      </c>
      <c r="I54" s="47">
        <v>1</v>
      </c>
      <c r="J54" s="26"/>
      <c r="K54" s="25">
        <f t="shared" si="5"/>
        <v>0</v>
      </c>
      <c r="L54" s="26">
        <v>0</v>
      </c>
      <c r="M54" s="26">
        <v>0</v>
      </c>
      <c r="N54" s="51"/>
      <c r="O54" s="51"/>
      <c r="P54" s="28"/>
    </row>
    <row r="55" spans="1:16" ht="16.899999999999999" customHeight="1" x14ac:dyDescent="0.25">
      <c r="A55" s="21" t="s">
        <v>64</v>
      </c>
      <c r="B55" s="26"/>
      <c r="C55" s="25">
        <f t="shared" si="1"/>
        <v>1</v>
      </c>
      <c r="D55" s="26">
        <f t="shared" si="3"/>
        <v>0</v>
      </c>
      <c r="E55" s="26">
        <f t="shared" si="2"/>
        <v>1</v>
      </c>
      <c r="F55" s="26"/>
      <c r="G55" s="46">
        <f t="shared" si="4"/>
        <v>1</v>
      </c>
      <c r="H55" s="5">
        <v>0</v>
      </c>
      <c r="I55" s="47">
        <v>1</v>
      </c>
      <c r="J55" s="26"/>
      <c r="K55" s="25">
        <f t="shared" si="5"/>
        <v>0</v>
      </c>
      <c r="L55" s="26">
        <v>0</v>
      </c>
      <c r="M55" s="26">
        <v>0</v>
      </c>
      <c r="N55" s="51"/>
      <c r="O55" s="51"/>
      <c r="P55" s="28"/>
    </row>
    <row r="56" spans="1:16" ht="16.899999999999999" customHeight="1" x14ac:dyDescent="0.25">
      <c r="A56" s="21" t="s">
        <v>65</v>
      </c>
      <c r="B56" s="26"/>
      <c r="C56" s="25">
        <f t="shared" si="1"/>
        <v>12</v>
      </c>
      <c r="D56" s="26">
        <f t="shared" si="3"/>
        <v>8</v>
      </c>
      <c r="E56" s="26">
        <f t="shared" si="2"/>
        <v>4</v>
      </c>
      <c r="F56" s="26"/>
      <c r="G56" s="46">
        <f t="shared" si="4"/>
        <v>12</v>
      </c>
      <c r="H56" s="5">
        <v>8</v>
      </c>
      <c r="I56" s="47">
        <v>4</v>
      </c>
      <c r="J56" s="26"/>
      <c r="K56" s="25">
        <f t="shared" si="5"/>
        <v>0</v>
      </c>
      <c r="L56" s="26">
        <v>0</v>
      </c>
      <c r="M56" s="26">
        <v>0</v>
      </c>
      <c r="N56" s="51"/>
      <c r="O56" s="27"/>
      <c r="P56" s="28"/>
    </row>
    <row r="57" spans="1:16" ht="16.899999999999999" customHeight="1" x14ac:dyDescent="0.25">
      <c r="A57" s="21" t="s">
        <v>66</v>
      </c>
      <c r="B57" s="26"/>
      <c r="C57" s="25">
        <f t="shared" si="1"/>
        <v>62</v>
      </c>
      <c r="D57" s="26">
        <f t="shared" si="3"/>
        <v>57</v>
      </c>
      <c r="E57" s="26">
        <f t="shared" si="2"/>
        <v>5</v>
      </c>
      <c r="F57" s="26"/>
      <c r="G57" s="46">
        <f t="shared" si="4"/>
        <v>62</v>
      </c>
      <c r="H57" s="5">
        <v>57</v>
      </c>
      <c r="I57" s="47">
        <v>5</v>
      </c>
      <c r="J57" s="26"/>
      <c r="K57" s="25">
        <f t="shared" si="5"/>
        <v>0</v>
      </c>
      <c r="L57" s="26">
        <v>0</v>
      </c>
      <c r="M57" s="26">
        <v>0</v>
      </c>
      <c r="N57" s="51"/>
      <c r="O57" s="27"/>
      <c r="P57" s="28"/>
    </row>
    <row r="58" spans="1:16" ht="16.899999999999999" customHeight="1" x14ac:dyDescent="0.25">
      <c r="A58" s="21" t="s">
        <v>67</v>
      </c>
      <c r="B58" s="26"/>
      <c r="C58" s="25">
        <f t="shared" si="1"/>
        <v>65</v>
      </c>
      <c r="D58" s="26">
        <f t="shared" si="3"/>
        <v>52</v>
      </c>
      <c r="E58" s="26">
        <f t="shared" si="2"/>
        <v>13</v>
      </c>
      <c r="F58" s="26"/>
      <c r="G58" s="46">
        <f t="shared" si="4"/>
        <v>65</v>
      </c>
      <c r="H58" s="5">
        <v>52</v>
      </c>
      <c r="I58" s="47">
        <v>13</v>
      </c>
      <c r="J58" s="26"/>
      <c r="K58" s="25">
        <f t="shared" si="5"/>
        <v>0</v>
      </c>
      <c r="L58" s="26">
        <v>0</v>
      </c>
      <c r="M58" s="26">
        <v>0</v>
      </c>
      <c r="N58" s="51"/>
      <c r="O58" s="27"/>
      <c r="P58" s="28"/>
    </row>
    <row r="59" spans="1:16" ht="16.899999999999999" customHeight="1" x14ac:dyDescent="0.25">
      <c r="A59" s="21" t="s">
        <v>68</v>
      </c>
      <c r="B59" s="26"/>
      <c r="C59" s="25">
        <f t="shared" si="1"/>
        <v>74</v>
      </c>
      <c r="D59" s="26">
        <f t="shared" si="3"/>
        <v>54</v>
      </c>
      <c r="E59" s="26">
        <f t="shared" si="2"/>
        <v>20</v>
      </c>
      <c r="F59" s="26"/>
      <c r="G59" s="46">
        <f t="shared" si="4"/>
        <v>74</v>
      </c>
      <c r="H59" s="5">
        <v>54</v>
      </c>
      <c r="I59" s="47">
        <v>20</v>
      </c>
      <c r="J59" s="26"/>
      <c r="K59" s="25">
        <f t="shared" si="5"/>
        <v>0</v>
      </c>
      <c r="L59" s="26">
        <v>0</v>
      </c>
      <c r="M59" s="26">
        <v>0</v>
      </c>
      <c r="N59" s="51"/>
      <c r="O59" s="27"/>
      <c r="P59" s="28"/>
    </row>
    <row r="60" spans="1:16" ht="16.899999999999999" customHeight="1" x14ac:dyDescent="0.25">
      <c r="A60" s="21" t="s">
        <v>69</v>
      </c>
      <c r="B60" s="26"/>
      <c r="C60" s="25">
        <f t="shared" si="1"/>
        <v>51</v>
      </c>
      <c r="D60" s="26">
        <f t="shared" si="3"/>
        <v>39</v>
      </c>
      <c r="E60" s="26">
        <f t="shared" si="2"/>
        <v>12</v>
      </c>
      <c r="F60" s="26"/>
      <c r="G60" s="46">
        <f t="shared" si="4"/>
        <v>51</v>
      </c>
      <c r="H60" s="5">
        <v>39</v>
      </c>
      <c r="I60" s="47">
        <v>12</v>
      </c>
      <c r="J60" s="26"/>
      <c r="K60" s="25">
        <f t="shared" si="5"/>
        <v>0</v>
      </c>
      <c r="L60" s="26">
        <v>0</v>
      </c>
      <c r="M60" s="26">
        <v>0</v>
      </c>
      <c r="N60" s="51"/>
      <c r="O60" s="27"/>
      <c r="P60" s="28"/>
    </row>
    <row r="61" spans="1:16" ht="16.899999999999999" customHeight="1" x14ac:dyDescent="0.25">
      <c r="A61" s="21" t="s">
        <v>70</v>
      </c>
      <c r="B61" s="26"/>
      <c r="C61" s="25">
        <f t="shared" si="1"/>
        <v>25</v>
      </c>
      <c r="D61" s="26">
        <f t="shared" si="3"/>
        <v>17</v>
      </c>
      <c r="E61" s="26">
        <f t="shared" si="2"/>
        <v>8</v>
      </c>
      <c r="F61" s="26"/>
      <c r="G61" s="46">
        <f t="shared" si="4"/>
        <v>25</v>
      </c>
      <c r="H61" s="5">
        <v>17</v>
      </c>
      <c r="I61" s="47">
        <v>8</v>
      </c>
      <c r="J61" s="26"/>
      <c r="K61" s="25">
        <f t="shared" si="5"/>
        <v>0</v>
      </c>
      <c r="L61" s="26">
        <v>0</v>
      </c>
      <c r="M61" s="26">
        <v>0</v>
      </c>
      <c r="N61" s="51"/>
      <c r="O61" s="27"/>
      <c r="P61" s="28"/>
    </row>
    <row r="62" spans="1:16" ht="16.899999999999999" customHeight="1" x14ac:dyDescent="0.25">
      <c r="A62" s="21" t="s">
        <v>71</v>
      </c>
      <c r="B62" s="26"/>
      <c r="C62" s="25">
        <f t="shared" si="1"/>
        <v>22</v>
      </c>
      <c r="D62" s="26">
        <f t="shared" si="3"/>
        <v>17</v>
      </c>
      <c r="E62" s="26">
        <f t="shared" si="2"/>
        <v>5</v>
      </c>
      <c r="F62" s="26"/>
      <c r="G62" s="46">
        <f t="shared" si="4"/>
        <v>22</v>
      </c>
      <c r="H62" s="5">
        <v>17</v>
      </c>
      <c r="I62" s="47">
        <v>5</v>
      </c>
      <c r="J62" s="26"/>
      <c r="K62" s="25">
        <f t="shared" si="5"/>
        <v>0</v>
      </c>
      <c r="L62" s="26">
        <v>0</v>
      </c>
      <c r="M62" s="26">
        <v>0</v>
      </c>
      <c r="N62" s="51"/>
      <c r="O62" s="27"/>
      <c r="P62" s="28"/>
    </row>
    <row r="63" spans="1:16" ht="16.899999999999999" customHeight="1" x14ac:dyDescent="0.25">
      <c r="A63" s="21" t="s">
        <v>72</v>
      </c>
      <c r="B63" s="26"/>
      <c r="C63" s="25">
        <f t="shared" si="1"/>
        <v>6</v>
      </c>
      <c r="D63" s="26">
        <f t="shared" si="3"/>
        <v>2</v>
      </c>
      <c r="E63" s="26">
        <f t="shared" si="2"/>
        <v>4</v>
      </c>
      <c r="F63" s="26"/>
      <c r="G63" s="46">
        <f t="shared" si="4"/>
        <v>6</v>
      </c>
      <c r="H63" s="5">
        <v>2</v>
      </c>
      <c r="I63" s="47">
        <v>4</v>
      </c>
      <c r="J63" s="26"/>
      <c r="K63" s="25">
        <f t="shared" si="5"/>
        <v>0</v>
      </c>
      <c r="L63" s="26">
        <v>0</v>
      </c>
      <c r="M63" s="26">
        <v>0</v>
      </c>
      <c r="N63" s="51"/>
      <c r="O63" s="27"/>
      <c r="P63" s="28"/>
    </row>
    <row r="64" spans="1:16" ht="16.899999999999999" customHeight="1" x14ac:dyDescent="0.25">
      <c r="A64" s="21" t="s">
        <v>73</v>
      </c>
      <c r="B64" s="26"/>
      <c r="C64" s="25">
        <f t="shared" si="1"/>
        <v>27</v>
      </c>
      <c r="D64" s="26">
        <f t="shared" si="3"/>
        <v>18</v>
      </c>
      <c r="E64" s="26">
        <f t="shared" si="2"/>
        <v>9</v>
      </c>
      <c r="F64" s="26"/>
      <c r="G64" s="46">
        <f t="shared" si="4"/>
        <v>27</v>
      </c>
      <c r="H64" s="5">
        <v>18</v>
      </c>
      <c r="I64" s="47">
        <v>9</v>
      </c>
      <c r="J64" s="26"/>
      <c r="K64" s="25">
        <f t="shared" si="5"/>
        <v>0</v>
      </c>
      <c r="L64" s="26">
        <v>0</v>
      </c>
      <c r="M64" s="26">
        <v>0</v>
      </c>
      <c r="N64" s="51"/>
      <c r="O64" s="27"/>
      <c r="P64" s="28"/>
    </row>
    <row r="65" spans="1:50" ht="16.899999999999999" customHeight="1" x14ac:dyDescent="0.25">
      <c r="A65" s="21" t="s">
        <v>74</v>
      </c>
      <c r="B65" s="26"/>
      <c r="C65" s="25">
        <f t="shared" si="1"/>
        <v>21</v>
      </c>
      <c r="D65" s="26">
        <f t="shared" si="3"/>
        <v>11</v>
      </c>
      <c r="E65" s="26">
        <f t="shared" si="2"/>
        <v>10</v>
      </c>
      <c r="F65" s="26"/>
      <c r="G65" s="46">
        <f t="shared" si="4"/>
        <v>20</v>
      </c>
      <c r="H65" s="5">
        <v>10</v>
      </c>
      <c r="I65" s="47">
        <v>10</v>
      </c>
      <c r="J65" s="26"/>
      <c r="K65" s="25">
        <f t="shared" si="5"/>
        <v>1</v>
      </c>
      <c r="L65" s="26">
        <v>1</v>
      </c>
      <c r="M65" s="26">
        <v>0</v>
      </c>
      <c r="N65" s="51"/>
      <c r="O65" s="27"/>
      <c r="P65" s="28"/>
    </row>
    <row r="66" spans="1:50" ht="16.899999999999999" customHeight="1" x14ac:dyDescent="0.25">
      <c r="A66" s="21" t="s">
        <v>75</v>
      </c>
      <c r="B66" s="26"/>
      <c r="C66" s="25">
        <f t="shared" si="1"/>
        <v>13</v>
      </c>
      <c r="D66" s="26">
        <f t="shared" si="3"/>
        <v>7</v>
      </c>
      <c r="E66" s="26">
        <f t="shared" si="2"/>
        <v>6</v>
      </c>
      <c r="F66" s="26"/>
      <c r="G66" s="46">
        <f t="shared" si="4"/>
        <v>13</v>
      </c>
      <c r="H66" s="5">
        <v>7</v>
      </c>
      <c r="I66" s="47">
        <v>6</v>
      </c>
      <c r="J66" s="26"/>
      <c r="K66" s="25">
        <f t="shared" si="5"/>
        <v>0</v>
      </c>
      <c r="L66" s="26">
        <v>0</v>
      </c>
      <c r="M66" s="26">
        <v>0</v>
      </c>
      <c r="N66" s="51"/>
      <c r="O66" s="27"/>
      <c r="P66" s="28"/>
    </row>
    <row r="67" spans="1:50" ht="16.899999999999999" customHeight="1" x14ac:dyDescent="0.25">
      <c r="A67" s="21" t="s">
        <v>76</v>
      </c>
      <c r="B67" s="26"/>
      <c r="C67" s="25">
        <f t="shared" si="1"/>
        <v>7</v>
      </c>
      <c r="D67" s="26">
        <f t="shared" si="3"/>
        <v>4</v>
      </c>
      <c r="E67" s="26">
        <f t="shared" si="2"/>
        <v>3</v>
      </c>
      <c r="F67" s="26"/>
      <c r="G67" s="46">
        <f t="shared" si="4"/>
        <v>7</v>
      </c>
      <c r="H67" s="5">
        <v>4</v>
      </c>
      <c r="I67" s="47">
        <v>3</v>
      </c>
      <c r="J67" s="26"/>
      <c r="K67" s="25">
        <f t="shared" si="5"/>
        <v>0</v>
      </c>
      <c r="L67" s="26">
        <v>0</v>
      </c>
      <c r="M67" s="26">
        <v>0</v>
      </c>
      <c r="N67" s="51"/>
      <c r="O67" s="27"/>
      <c r="P67" s="28"/>
    </row>
    <row r="68" spans="1:50" ht="16.899999999999999" customHeight="1" x14ac:dyDescent="0.25">
      <c r="A68" s="21" t="s">
        <v>77</v>
      </c>
      <c r="B68" s="26"/>
      <c r="C68" s="25">
        <f t="shared" si="1"/>
        <v>5</v>
      </c>
      <c r="D68" s="26">
        <f t="shared" si="3"/>
        <v>3</v>
      </c>
      <c r="E68" s="26">
        <f t="shared" si="2"/>
        <v>2</v>
      </c>
      <c r="F68" s="26"/>
      <c r="G68" s="46">
        <f t="shared" si="4"/>
        <v>5</v>
      </c>
      <c r="H68" s="5">
        <v>3</v>
      </c>
      <c r="I68" s="47">
        <v>2</v>
      </c>
      <c r="J68" s="26"/>
      <c r="K68" s="25">
        <f t="shared" si="5"/>
        <v>0</v>
      </c>
      <c r="L68" s="26">
        <v>0</v>
      </c>
      <c r="M68" s="26">
        <v>0</v>
      </c>
      <c r="N68" s="51"/>
      <c r="O68" s="27"/>
      <c r="P68" s="28"/>
    </row>
    <row r="69" spans="1:50" ht="16.899999999999999" customHeight="1" x14ac:dyDescent="0.25">
      <c r="A69" s="21" t="s">
        <v>78</v>
      </c>
      <c r="B69" s="26"/>
      <c r="C69" s="25">
        <f t="shared" si="1"/>
        <v>13</v>
      </c>
      <c r="D69" s="26">
        <f t="shared" si="3"/>
        <v>10</v>
      </c>
      <c r="E69" s="26">
        <f t="shared" si="2"/>
        <v>3</v>
      </c>
      <c r="F69" s="26"/>
      <c r="G69" s="46">
        <f t="shared" si="4"/>
        <v>13</v>
      </c>
      <c r="H69" s="5">
        <v>10</v>
      </c>
      <c r="I69" s="47">
        <v>3</v>
      </c>
      <c r="J69" s="26"/>
      <c r="K69" s="25">
        <f t="shared" si="5"/>
        <v>0</v>
      </c>
      <c r="L69" s="26">
        <v>0</v>
      </c>
      <c r="M69" s="26">
        <v>0</v>
      </c>
      <c r="N69" s="51"/>
      <c r="O69" s="27"/>
      <c r="P69" s="28"/>
      <c r="AV69" s="13"/>
      <c r="AW69" s="17"/>
      <c r="AX69" s="16"/>
    </row>
    <row r="70" spans="1:50" ht="16.899999999999999" customHeight="1" x14ac:dyDescent="0.25">
      <c r="A70" s="21" t="s">
        <v>79</v>
      </c>
      <c r="B70" s="26"/>
      <c r="C70" s="25">
        <f t="shared" si="1"/>
        <v>12</v>
      </c>
      <c r="D70" s="26">
        <f t="shared" si="3"/>
        <v>7</v>
      </c>
      <c r="E70" s="26">
        <f t="shared" si="2"/>
        <v>5</v>
      </c>
      <c r="F70" s="26"/>
      <c r="G70" s="46">
        <f t="shared" si="4"/>
        <v>12</v>
      </c>
      <c r="H70" s="5">
        <v>7</v>
      </c>
      <c r="I70" s="47">
        <v>5</v>
      </c>
      <c r="J70" s="26"/>
      <c r="K70" s="25">
        <f t="shared" si="5"/>
        <v>0</v>
      </c>
      <c r="L70" s="26">
        <v>0</v>
      </c>
      <c r="M70" s="26">
        <v>0</v>
      </c>
      <c r="N70" s="51"/>
      <c r="O70" s="27"/>
      <c r="P70" s="28"/>
      <c r="AV70" s="13"/>
    </row>
    <row r="71" spans="1:50" ht="16.899999999999999" customHeight="1" x14ac:dyDescent="0.25">
      <c r="A71" s="21" t="s">
        <v>80</v>
      </c>
      <c r="B71" s="26"/>
      <c r="C71" s="25">
        <f t="shared" si="1"/>
        <v>13</v>
      </c>
      <c r="D71" s="26">
        <f t="shared" si="3"/>
        <v>11</v>
      </c>
      <c r="E71" s="26">
        <f t="shared" si="2"/>
        <v>2</v>
      </c>
      <c r="F71" s="26"/>
      <c r="G71" s="46">
        <f t="shared" si="4"/>
        <v>13</v>
      </c>
      <c r="H71" s="5">
        <v>11</v>
      </c>
      <c r="I71" s="47">
        <v>2</v>
      </c>
      <c r="J71" s="26"/>
      <c r="K71" s="25">
        <f t="shared" si="5"/>
        <v>0</v>
      </c>
      <c r="L71" s="26">
        <v>0</v>
      </c>
      <c r="M71" s="26">
        <v>0</v>
      </c>
      <c r="N71" s="51"/>
      <c r="O71" s="27"/>
      <c r="P71" s="28"/>
      <c r="AV71" s="13"/>
    </row>
    <row r="72" spans="1:50" ht="16.899999999999999" customHeight="1" x14ac:dyDescent="0.25">
      <c r="A72" s="21" t="s">
        <v>81</v>
      </c>
      <c r="B72" s="26"/>
      <c r="C72" s="25">
        <f t="shared" si="1"/>
        <v>10</v>
      </c>
      <c r="D72" s="26">
        <f t="shared" si="3"/>
        <v>5</v>
      </c>
      <c r="E72" s="26">
        <f t="shared" si="2"/>
        <v>5</v>
      </c>
      <c r="F72" s="26"/>
      <c r="G72" s="46">
        <f t="shared" si="4"/>
        <v>10</v>
      </c>
      <c r="H72" s="5">
        <v>5</v>
      </c>
      <c r="I72" s="47">
        <v>5</v>
      </c>
      <c r="J72" s="26"/>
      <c r="K72" s="25">
        <f t="shared" si="5"/>
        <v>0</v>
      </c>
      <c r="L72" s="26">
        <v>0</v>
      </c>
      <c r="M72" s="26">
        <v>0</v>
      </c>
      <c r="N72" s="51"/>
      <c r="O72" s="27"/>
      <c r="P72" s="28"/>
      <c r="AV72" s="13"/>
    </row>
    <row r="73" spans="1:50" ht="16.899999999999999" customHeight="1" x14ac:dyDescent="0.25">
      <c r="A73" s="21" t="s">
        <v>82</v>
      </c>
      <c r="B73" s="26"/>
      <c r="C73" s="25">
        <f t="shared" si="1"/>
        <v>77</v>
      </c>
      <c r="D73" s="26">
        <f t="shared" si="3"/>
        <v>28</v>
      </c>
      <c r="E73" s="26">
        <f t="shared" si="2"/>
        <v>49</v>
      </c>
      <c r="F73" s="26"/>
      <c r="G73" s="46">
        <f t="shared" si="4"/>
        <v>48</v>
      </c>
      <c r="H73" s="5">
        <v>19</v>
      </c>
      <c r="I73" s="47">
        <v>29</v>
      </c>
      <c r="J73" s="26"/>
      <c r="K73" s="25">
        <f t="shared" si="5"/>
        <v>29</v>
      </c>
      <c r="L73" s="26">
        <v>9</v>
      </c>
      <c r="M73" s="26">
        <v>20</v>
      </c>
      <c r="N73" s="51"/>
      <c r="O73" s="27"/>
      <c r="P73" s="28"/>
      <c r="AV73" s="13"/>
    </row>
    <row r="74" spans="1:50" ht="16.899999999999999" customHeight="1" x14ac:dyDescent="0.25">
      <c r="A74" s="21" t="s">
        <v>83</v>
      </c>
      <c r="B74" s="26"/>
      <c r="C74" s="25">
        <f t="shared" ref="C74:C96" si="6">G74+K74</f>
        <v>156</v>
      </c>
      <c r="D74" s="26">
        <f t="shared" ref="D74:D96" si="7">H74+L74</f>
        <v>44</v>
      </c>
      <c r="E74" s="26">
        <f t="shared" ref="E74:E96" si="8">I74+M74</f>
        <v>112</v>
      </c>
      <c r="F74" s="26"/>
      <c r="G74" s="46">
        <f t="shared" si="4"/>
        <v>6</v>
      </c>
      <c r="H74" s="5">
        <v>3</v>
      </c>
      <c r="I74" s="47">
        <v>3</v>
      </c>
      <c r="J74" s="26"/>
      <c r="K74" s="25">
        <f t="shared" si="5"/>
        <v>150</v>
      </c>
      <c r="L74" s="26">
        <v>41</v>
      </c>
      <c r="M74" s="26">
        <v>109</v>
      </c>
      <c r="N74" s="51"/>
      <c r="O74" s="27"/>
      <c r="P74" s="28"/>
      <c r="AV74" s="13"/>
    </row>
    <row r="75" spans="1:50" ht="16.899999999999999" customHeight="1" x14ac:dyDescent="0.25">
      <c r="A75" s="21" t="s">
        <v>84</v>
      </c>
      <c r="B75" s="26"/>
      <c r="C75" s="25">
        <f t="shared" si="6"/>
        <v>73</v>
      </c>
      <c r="D75" s="26">
        <f t="shared" si="7"/>
        <v>27</v>
      </c>
      <c r="E75" s="26">
        <f t="shared" si="8"/>
        <v>46</v>
      </c>
      <c r="F75" s="26"/>
      <c r="G75" s="46">
        <f t="shared" ref="G75:G96" si="9">H75+I75</f>
        <v>7</v>
      </c>
      <c r="H75" s="5">
        <v>2</v>
      </c>
      <c r="I75" s="47">
        <v>5</v>
      </c>
      <c r="J75" s="26"/>
      <c r="K75" s="25">
        <f t="shared" ref="K75:K96" si="10">L75+M75</f>
        <v>66</v>
      </c>
      <c r="L75" s="26">
        <v>25</v>
      </c>
      <c r="M75" s="26">
        <v>41</v>
      </c>
      <c r="N75" s="51"/>
      <c r="O75" s="27"/>
      <c r="P75" s="28"/>
      <c r="AV75" s="13"/>
    </row>
    <row r="76" spans="1:50" s="51" customFormat="1" x14ac:dyDescent="0.25">
      <c r="A76" s="21" t="s">
        <v>85</v>
      </c>
      <c r="B76" s="26"/>
      <c r="C76" s="25">
        <f t="shared" si="6"/>
        <v>181</v>
      </c>
      <c r="D76" s="26">
        <f t="shared" si="7"/>
        <v>62</v>
      </c>
      <c r="E76" s="26">
        <f t="shared" si="8"/>
        <v>119</v>
      </c>
      <c r="F76" s="26"/>
      <c r="G76" s="46">
        <f t="shared" si="9"/>
        <v>39</v>
      </c>
      <c r="H76" s="5">
        <v>9</v>
      </c>
      <c r="I76" s="47">
        <v>30</v>
      </c>
      <c r="J76" s="26"/>
      <c r="K76" s="25">
        <f t="shared" si="10"/>
        <v>142</v>
      </c>
      <c r="L76" s="26">
        <v>53</v>
      </c>
      <c r="M76" s="26">
        <v>89</v>
      </c>
      <c r="O76" s="27"/>
      <c r="P76" s="28"/>
      <c r="AV76" s="13"/>
      <c r="AW76" s="10"/>
      <c r="AX76" s="10"/>
    </row>
    <row r="77" spans="1:50" x14ac:dyDescent="0.25">
      <c r="A77" s="21" t="s">
        <v>86</v>
      </c>
      <c r="B77" s="26"/>
      <c r="C77" s="25">
        <f t="shared" si="6"/>
        <v>323</v>
      </c>
      <c r="D77" s="26">
        <f t="shared" si="7"/>
        <v>196</v>
      </c>
      <c r="E77" s="26">
        <f t="shared" si="8"/>
        <v>127</v>
      </c>
      <c r="F77" s="26"/>
      <c r="G77" s="46">
        <f t="shared" si="9"/>
        <v>207</v>
      </c>
      <c r="H77" s="5">
        <v>96</v>
      </c>
      <c r="I77" s="47">
        <v>111</v>
      </c>
      <c r="J77" s="26"/>
      <c r="K77" s="25">
        <f t="shared" si="10"/>
        <v>116</v>
      </c>
      <c r="L77" s="26">
        <v>100</v>
      </c>
      <c r="M77" s="26">
        <v>16</v>
      </c>
      <c r="N77" s="51"/>
      <c r="O77" s="27"/>
      <c r="P77" s="28"/>
    </row>
    <row r="78" spans="1:50" x14ac:dyDescent="0.25">
      <c r="A78" s="21" t="s">
        <v>87</v>
      </c>
      <c r="B78" s="26"/>
      <c r="C78" s="25">
        <f t="shared" si="6"/>
        <v>31</v>
      </c>
      <c r="D78" s="26">
        <f t="shared" si="7"/>
        <v>21</v>
      </c>
      <c r="E78" s="26">
        <f t="shared" si="8"/>
        <v>10</v>
      </c>
      <c r="F78" s="26"/>
      <c r="G78" s="46">
        <f t="shared" si="9"/>
        <v>19</v>
      </c>
      <c r="H78" s="5">
        <v>12</v>
      </c>
      <c r="I78" s="47">
        <v>7</v>
      </c>
      <c r="J78" s="26"/>
      <c r="K78" s="25">
        <f t="shared" si="10"/>
        <v>12</v>
      </c>
      <c r="L78" s="26">
        <v>9</v>
      </c>
      <c r="M78" s="26">
        <v>3</v>
      </c>
      <c r="N78" s="51"/>
      <c r="O78" s="27"/>
      <c r="P78" s="28"/>
      <c r="AV78" s="23"/>
    </row>
    <row r="79" spans="1:50" x14ac:dyDescent="0.25">
      <c r="A79" s="21" t="s">
        <v>88</v>
      </c>
      <c r="B79" s="26"/>
      <c r="C79" s="25">
        <f t="shared" si="6"/>
        <v>40</v>
      </c>
      <c r="D79" s="26">
        <f t="shared" si="7"/>
        <v>22</v>
      </c>
      <c r="E79" s="26">
        <f t="shared" si="8"/>
        <v>18</v>
      </c>
      <c r="F79" s="26"/>
      <c r="G79" s="46">
        <f t="shared" si="9"/>
        <v>39</v>
      </c>
      <c r="H79" s="5">
        <v>21</v>
      </c>
      <c r="I79" s="47">
        <v>18</v>
      </c>
      <c r="J79" s="26"/>
      <c r="K79" s="25">
        <f t="shared" si="10"/>
        <v>1</v>
      </c>
      <c r="L79" s="26">
        <v>1</v>
      </c>
      <c r="M79" s="26"/>
      <c r="N79" s="51"/>
      <c r="O79" s="27"/>
      <c r="P79" s="28"/>
      <c r="AV79" s="13"/>
    </row>
    <row r="80" spans="1:50" x14ac:dyDescent="0.25">
      <c r="A80" s="21" t="s">
        <v>89</v>
      </c>
      <c r="B80" s="26"/>
      <c r="C80" s="25">
        <f t="shared" si="6"/>
        <v>19</v>
      </c>
      <c r="D80" s="26">
        <f t="shared" si="7"/>
        <v>16</v>
      </c>
      <c r="E80" s="26">
        <f t="shared" si="8"/>
        <v>3</v>
      </c>
      <c r="F80" s="26"/>
      <c r="G80" s="46">
        <f t="shared" si="9"/>
        <v>11</v>
      </c>
      <c r="H80" s="5">
        <v>9</v>
      </c>
      <c r="I80" s="47">
        <v>2</v>
      </c>
      <c r="J80" s="26"/>
      <c r="K80" s="25">
        <f t="shared" si="10"/>
        <v>8</v>
      </c>
      <c r="L80" s="26">
        <v>7</v>
      </c>
      <c r="M80" s="26">
        <v>1</v>
      </c>
      <c r="N80" s="51"/>
      <c r="O80" s="27"/>
      <c r="P80" s="28"/>
      <c r="AU80" s="2"/>
      <c r="AV80" s="24"/>
      <c r="AW80" s="13"/>
      <c r="AX80" s="13"/>
    </row>
    <row r="81" spans="1:54" x14ac:dyDescent="0.25">
      <c r="A81" s="21" t="s">
        <v>90</v>
      </c>
      <c r="B81" s="26"/>
      <c r="C81" s="25">
        <f t="shared" si="6"/>
        <v>64</v>
      </c>
      <c r="D81" s="26">
        <f t="shared" si="7"/>
        <v>44</v>
      </c>
      <c r="E81" s="26">
        <f t="shared" si="8"/>
        <v>20</v>
      </c>
      <c r="F81" s="26"/>
      <c r="G81" s="46">
        <f t="shared" si="9"/>
        <v>53</v>
      </c>
      <c r="H81" s="5">
        <v>34</v>
      </c>
      <c r="I81" s="47">
        <v>19</v>
      </c>
      <c r="J81" s="26"/>
      <c r="K81" s="25">
        <f t="shared" si="10"/>
        <v>11</v>
      </c>
      <c r="L81" s="26">
        <v>10</v>
      </c>
      <c r="M81" s="26">
        <v>1</v>
      </c>
      <c r="N81" s="51"/>
      <c r="O81" s="27"/>
      <c r="P81" s="28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</row>
    <row r="82" spans="1:54" x14ac:dyDescent="0.25">
      <c r="A82" s="21" t="s">
        <v>91</v>
      </c>
      <c r="B82" s="26"/>
      <c r="C82" s="25">
        <f t="shared" si="6"/>
        <v>8</v>
      </c>
      <c r="D82" s="26">
        <f t="shared" si="7"/>
        <v>7</v>
      </c>
      <c r="E82" s="26">
        <f t="shared" si="8"/>
        <v>1</v>
      </c>
      <c r="F82" s="26"/>
      <c r="G82" s="46">
        <f t="shared" si="9"/>
        <v>8</v>
      </c>
      <c r="H82" s="5">
        <v>7</v>
      </c>
      <c r="I82" s="47">
        <v>1</v>
      </c>
      <c r="J82" s="26"/>
      <c r="K82" s="25">
        <f t="shared" si="10"/>
        <v>0</v>
      </c>
      <c r="L82" s="26">
        <v>0</v>
      </c>
      <c r="M82" s="26">
        <v>0</v>
      </c>
      <c r="N82" s="51"/>
      <c r="O82" s="27"/>
      <c r="P82" s="28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</row>
    <row r="83" spans="1:54" x14ac:dyDescent="0.25">
      <c r="A83" s="21" t="s">
        <v>92</v>
      </c>
      <c r="B83" s="26"/>
      <c r="C83" s="25">
        <f t="shared" si="6"/>
        <v>2</v>
      </c>
      <c r="D83" s="26">
        <f t="shared" si="7"/>
        <v>1</v>
      </c>
      <c r="E83" s="26">
        <f t="shared" si="8"/>
        <v>1</v>
      </c>
      <c r="F83" s="26"/>
      <c r="G83" s="46">
        <f t="shared" si="9"/>
        <v>2</v>
      </c>
      <c r="H83" s="5">
        <v>1</v>
      </c>
      <c r="I83" s="47">
        <v>1</v>
      </c>
      <c r="J83" s="26"/>
      <c r="K83" s="25">
        <f t="shared" si="10"/>
        <v>0</v>
      </c>
      <c r="L83" s="26">
        <v>0</v>
      </c>
      <c r="M83" s="26">
        <v>0</v>
      </c>
      <c r="N83" s="51"/>
      <c r="O83" s="51"/>
      <c r="P83" s="28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</row>
    <row r="84" spans="1:54" x14ac:dyDescent="0.25">
      <c r="A84" s="21" t="s">
        <v>93</v>
      </c>
      <c r="B84" s="26"/>
      <c r="C84" s="25">
        <f t="shared" si="6"/>
        <v>443</v>
      </c>
      <c r="D84" s="26">
        <f t="shared" si="7"/>
        <v>177</v>
      </c>
      <c r="E84" s="26">
        <f t="shared" si="8"/>
        <v>266</v>
      </c>
      <c r="F84" s="26"/>
      <c r="G84" s="46">
        <f t="shared" si="9"/>
        <v>171</v>
      </c>
      <c r="H84" s="5">
        <v>84</v>
      </c>
      <c r="I84" s="47">
        <v>87</v>
      </c>
      <c r="J84" s="26"/>
      <c r="K84" s="25">
        <f t="shared" si="10"/>
        <v>272</v>
      </c>
      <c r="L84" s="26">
        <v>93</v>
      </c>
      <c r="M84" s="26">
        <v>179</v>
      </c>
      <c r="N84" s="51"/>
      <c r="O84" s="51"/>
      <c r="P84" s="28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25"/>
    </row>
    <row r="85" spans="1:54" x14ac:dyDescent="0.25">
      <c r="A85" s="21" t="s">
        <v>94</v>
      </c>
      <c r="B85" s="26"/>
      <c r="C85" s="25">
        <f t="shared" si="6"/>
        <v>865</v>
      </c>
      <c r="D85" s="26">
        <f t="shared" si="7"/>
        <v>284</v>
      </c>
      <c r="E85" s="26">
        <f t="shared" si="8"/>
        <v>581</v>
      </c>
      <c r="F85" s="26"/>
      <c r="G85" s="46">
        <f t="shared" si="9"/>
        <v>253</v>
      </c>
      <c r="H85" s="5">
        <v>80</v>
      </c>
      <c r="I85" s="47">
        <v>173</v>
      </c>
      <c r="J85" s="26"/>
      <c r="K85" s="25">
        <f t="shared" si="10"/>
        <v>612</v>
      </c>
      <c r="L85" s="26">
        <v>204</v>
      </c>
      <c r="M85" s="26">
        <v>408</v>
      </c>
      <c r="N85" s="51"/>
      <c r="O85" s="51"/>
      <c r="P85" s="28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25"/>
    </row>
    <row r="86" spans="1:54" x14ac:dyDescent="0.25">
      <c r="A86" s="21" t="s">
        <v>95</v>
      </c>
      <c r="B86" s="26"/>
      <c r="C86" s="25">
        <f t="shared" si="6"/>
        <v>3439</v>
      </c>
      <c r="D86" s="26">
        <f t="shared" si="7"/>
        <v>1346</v>
      </c>
      <c r="E86" s="26">
        <f t="shared" si="8"/>
        <v>2093</v>
      </c>
      <c r="F86" s="26"/>
      <c r="G86" s="46">
        <f t="shared" si="9"/>
        <v>1174</v>
      </c>
      <c r="H86" s="5">
        <v>490</v>
      </c>
      <c r="I86" s="47">
        <v>684</v>
      </c>
      <c r="J86" s="26"/>
      <c r="K86" s="25">
        <f t="shared" si="10"/>
        <v>2265</v>
      </c>
      <c r="L86" s="26">
        <v>856</v>
      </c>
      <c r="M86" s="26">
        <v>1409</v>
      </c>
      <c r="N86" s="51"/>
      <c r="O86" s="51"/>
      <c r="P86" s="28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25"/>
    </row>
    <row r="87" spans="1:54" x14ac:dyDescent="0.25">
      <c r="A87" s="21" t="s">
        <v>96</v>
      </c>
      <c r="B87" s="26"/>
      <c r="C87" s="25">
        <f t="shared" si="6"/>
        <v>1880</v>
      </c>
      <c r="D87" s="26">
        <f t="shared" si="7"/>
        <v>511</v>
      </c>
      <c r="E87" s="26">
        <f t="shared" si="8"/>
        <v>1369</v>
      </c>
      <c r="F87" s="26"/>
      <c r="G87" s="46">
        <f t="shared" si="9"/>
        <v>690</v>
      </c>
      <c r="H87" s="5">
        <v>258</v>
      </c>
      <c r="I87" s="47">
        <v>432</v>
      </c>
      <c r="J87" s="26"/>
      <c r="K87" s="25">
        <f t="shared" si="10"/>
        <v>1190</v>
      </c>
      <c r="L87" s="26">
        <v>253</v>
      </c>
      <c r="M87" s="26">
        <v>937</v>
      </c>
      <c r="N87" s="51"/>
      <c r="O87" s="27"/>
      <c r="P87" s="28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25"/>
    </row>
    <row r="88" spans="1:54" x14ac:dyDescent="0.25">
      <c r="A88" s="21" t="s">
        <v>97</v>
      </c>
      <c r="B88" s="26"/>
      <c r="C88" s="25">
        <f t="shared" si="6"/>
        <v>2019</v>
      </c>
      <c r="D88" s="26">
        <f t="shared" si="7"/>
        <v>623</v>
      </c>
      <c r="E88" s="26">
        <f t="shared" si="8"/>
        <v>1396</v>
      </c>
      <c r="F88" s="26"/>
      <c r="G88" s="46">
        <f t="shared" si="9"/>
        <v>935</v>
      </c>
      <c r="H88" s="5">
        <v>322</v>
      </c>
      <c r="I88" s="47">
        <v>613</v>
      </c>
      <c r="J88" s="26"/>
      <c r="K88" s="25">
        <f t="shared" si="10"/>
        <v>1084</v>
      </c>
      <c r="L88" s="26">
        <v>301</v>
      </c>
      <c r="M88" s="26">
        <v>783</v>
      </c>
      <c r="N88" s="51"/>
      <c r="O88" s="27"/>
      <c r="P88" s="28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25"/>
    </row>
    <row r="89" spans="1:54" s="16" customFormat="1" ht="18.600000000000001" customHeight="1" x14ac:dyDescent="0.25">
      <c r="A89" s="21" t="s">
        <v>98</v>
      </c>
      <c r="B89" s="26"/>
      <c r="C89" s="25">
        <f t="shared" si="6"/>
        <v>1050</v>
      </c>
      <c r="D89" s="26">
        <f t="shared" si="7"/>
        <v>458</v>
      </c>
      <c r="E89" s="26">
        <f t="shared" si="8"/>
        <v>592</v>
      </c>
      <c r="F89" s="26"/>
      <c r="G89" s="46">
        <f t="shared" si="9"/>
        <v>652</v>
      </c>
      <c r="H89" s="5">
        <v>214</v>
      </c>
      <c r="I89" s="47">
        <v>438</v>
      </c>
      <c r="J89" s="26"/>
      <c r="K89" s="25">
        <f t="shared" si="10"/>
        <v>398</v>
      </c>
      <c r="L89" s="26">
        <v>244</v>
      </c>
      <c r="M89" s="26">
        <v>154</v>
      </c>
      <c r="N89" s="51"/>
      <c r="O89" s="27"/>
      <c r="P89" s="28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25"/>
    </row>
    <row r="90" spans="1:54" ht="15" customHeight="1" x14ac:dyDescent="0.25">
      <c r="A90" s="21" t="s">
        <v>99</v>
      </c>
      <c r="B90" s="26"/>
      <c r="C90" s="25">
        <f t="shared" si="6"/>
        <v>833</v>
      </c>
      <c r="D90" s="26">
        <f t="shared" si="7"/>
        <v>514</v>
      </c>
      <c r="E90" s="26">
        <f t="shared" si="8"/>
        <v>319</v>
      </c>
      <c r="F90" s="26"/>
      <c r="G90" s="46">
        <f t="shared" si="9"/>
        <v>453</v>
      </c>
      <c r="H90" s="5">
        <v>205</v>
      </c>
      <c r="I90" s="47">
        <v>248</v>
      </c>
      <c r="J90" s="26"/>
      <c r="K90" s="25">
        <f t="shared" si="10"/>
        <v>380</v>
      </c>
      <c r="L90" s="26">
        <v>309</v>
      </c>
      <c r="M90" s="26">
        <v>71</v>
      </c>
      <c r="N90" s="51"/>
      <c r="O90" s="27"/>
      <c r="P90" s="28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25"/>
    </row>
    <row r="91" spans="1:54" x14ac:dyDescent="0.25">
      <c r="A91" s="21" t="s">
        <v>100</v>
      </c>
      <c r="B91" s="26"/>
      <c r="C91" s="25">
        <f t="shared" si="6"/>
        <v>189</v>
      </c>
      <c r="D91" s="26">
        <f t="shared" si="7"/>
        <v>123</v>
      </c>
      <c r="E91" s="26">
        <f t="shared" si="8"/>
        <v>66</v>
      </c>
      <c r="F91" s="26"/>
      <c r="G91" s="46">
        <f t="shared" si="9"/>
        <v>108</v>
      </c>
      <c r="H91" s="5">
        <v>51</v>
      </c>
      <c r="I91" s="47">
        <v>57</v>
      </c>
      <c r="J91" s="26"/>
      <c r="K91" s="25">
        <f t="shared" si="10"/>
        <v>81</v>
      </c>
      <c r="L91" s="26">
        <v>72</v>
      </c>
      <c r="M91" s="26">
        <v>9</v>
      </c>
      <c r="N91" s="51"/>
      <c r="O91" s="27"/>
      <c r="P91" s="28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25"/>
    </row>
    <row r="92" spans="1:54" x14ac:dyDescent="0.25">
      <c r="A92" s="21" t="s">
        <v>101</v>
      </c>
      <c r="B92" s="26"/>
      <c r="C92" s="25">
        <f t="shared" si="6"/>
        <v>3827</v>
      </c>
      <c r="D92" s="26">
        <f t="shared" si="7"/>
        <v>1957</v>
      </c>
      <c r="E92" s="26">
        <f t="shared" si="8"/>
        <v>1870</v>
      </c>
      <c r="F92" s="26"/>
      <c r="G92" s="46">
        <f t="shared" si="9"/>
        <v>1480</v>
      </c>
      <c r="H92" s="5">
        <v>946</v>
      </c>
      <c r="I92" s="47">
        <v>534</v>
      </c>
      <c r="J92" s="26"/>
      <c r="K92" s="25">
        <f t="shared" si="10"/>
        <v>2347</v>
      </c>
      <c r="L92" s="26">
        <v>1011</v>
      </c>
      <c r="M92" s="26">
        <v>1336</v>
      </c>
      <c r="N92" s="51"/>
      <c r="O92" s="27"/>
      <c r="P92" s="28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25"/>
    </row>
    <row r="93" spans="1:54" x14ac:dyDescent="0.25">
      <c r="A93" s="21" t="s">
        <v>102</v>
      </c>
      <c r="B93" s="26"/>
      <c r="C93" s="25">
        <f t="shared" si="6"/>
        <v>1960</v>
      </c>
      <c r="D93" s="26">
        <f t="shared" si="7"/>
        <v>1181</v>
      </c>
      <c r="E93" s="26">
        <f t="shared" si="8"/>
        <v>779</v>
      </c>
      <c r="F93" s="26"/>
      <c r="G93" s="46">
        <f t="shared" si="9"/>
        <v>755</v>
      </c>
      <c r="H93" s="5">
        <v>528</v>
      </c>
      <c r="I93" s="47">
        <v>227</v>
      </c>
      <c r="J93" s="26"/>
      <c r="K93" s="25">
        <f t="shared" si="10"/>
        <v>1205</v>
      </c>
      <c r="L93" s="26">
        <v>653</v>
      </c>
      <c r="M93" s="26">
        <v>552</v>
      </c>
      <c r="N93" s="51"/>
      <c r="O93" s="27"/>
      <c r="P93" s="28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25"/>
    </row>
    <row r="94" spans="1:54" x14ac:dyDescent="0.25">
      <c r="A94" s="21" t="s">
        <v>103</v>
      </c>
      <c r="B94" s="26"/>
      <c r="C94" s="25">
        <f t="shared" si="6"/>
        <v>371</v>
      </c>
      <c r="D94" s="26">
        <f t="shared" si="7"/>
        <v>176</v>
      </c>
      <c r="E94" s="26">
        <f t="shared" si="8"/>
        <v>195</v>
      </c>
      <c r="F94" s="26"/>
      <c r="G94" s="46">
        <f t="shared" si="9"/>
        <v>97</v>
      </c>
      <c r="H94" s="5">
        <v>64</v>
      </c>
      <c r="I94" s="47">
        <v>33</v>
      </c>
      <c r="J94" s="26"/>
      <c r="K94" s="25">
        <f t="shared" si="10"/>
        <v>274</v>
      </c>
      <c r="L94" s="26">
        <v>112</v>
      </c>
      <c r="M94" s="26">
        <v>162</v>
      </c>
      <c r="N94" s="51"/>
      <c r="O94" s="27"/>
      <c r="P94" s="28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13"/>
      <c r="AW94" s="17"/>
      <c r="AX94" s="16"/>
      <c r="AY94" s="25"/>
      <c r="BA94" s="21"/>
      <c r="BB94" s="25"/>
    </row>
    <row r="95" spans="1:54" x14ac:dyDescent="0.25">
      <c r="A95" s="21" t="s">
        <v>104</v>
      </c>
      <c r="B95" s="26"/>
      <c r="C95" s="25">
        <f t="shared" si="6"/>
        <v>25</v>
      </c>
      <c r="D95" s="26">
        <f t="shared" si="7"/>
        <v>21</v>
      </c>
      <c r="E95" s="26">
        <f t="shared" si="8"/>
        <v>4</v>
      </c>
      <c r="F95" s="26"/>
      <c r="G95" s="46">
        <f t="shared" si="9"/>
        <v>18</v>
      </c>
      <c r="H95" s="5">
        <v>17</v>
      </c>
      <c r="I95" s="47">
        <v>1</v>
      </c>
      <c r="J95" s="26"/>
      <c r="K95" s="25">
        <f t="shared" si="10"/>
        <v>7</v>
      </c>
      <c r="L95" s="26">
        <v>4</v>
      </c>
      <c r="M95" s="26">
        <v>3</v>
      </c>
      <c r="N95" s="51"/>
      <c r="O95" s="27"/>
      <c r="P95" s="28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13"/>
      <c r="AY95" s="25"/>
      <c r="BA95" s="21"/>
      <c r="BB95" s="25"/>
    </row>
    <row r="96" spans="1:54" x14ac:dyDescent="0.25">
      <c r="A96" s="22" t="s">
        <v>105</v>
      </c>
      <c r="B96" s="4"/>
      <c r="C96" s="35">
        <f t="shared" si="6"/>
        <v>15</v>
      </c>
      <c r="D96" s="4">
        <f t="shared" si="7"/>
        <v>12</v>
      </c>
      <c r="E96" s="4">
        <f t="shared" si="8"/>
        <v>3</v>
      </c>
      <c r="F96" s="4"/>
      <c r="G96" s="48">
        <f t="shared" si="9"/>
        <v>15</v>
      </c>
      <c r="H96" s="4">
        <v>12</v>
      </c>
      <c r="I96" s="49">
        <v>3</v>
      </c>
      <c r="J96" s="4"/>
      <c r="K96" s="35">
        <f t="shared" si="10"/>
        <v>0</v>
      </c>
      <c r="L96" s="4">
        <v>0</v>
      </c>
      <c r="M96" s="4">
        <v>0</v>
      </c>
      <c r="N96" s="51"/>
      <c r="O96" s="27"/>
      <c r="P96" s="28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13"/>
      <c r="BA96" s="21"/>
      <c r="BB96" s="25"/>
    </row>
    <row r="97" spans="1:54" s="52" customFormat="1" ht="15" customHeight="1" x14ac:dyDescent="0.25">
      <c r="A97" s="53" t="s">
        <v>106</v>
      </c>
      <c r="B97" s="5"/>
      <c r="C97" s="6"/>
      <c r="D97" s="5"/>
      <c r="E97" s="5"/>
      <c r="F97" s="5"/>
      <c r="G97" s="6"/>
      <c r="H97" s="5"/>
      <c r="I97" s="5"/>
      <c r="J97" s="5"/>
      <c r="K97" s="6"/>
      <c r="L97" s="5"/>
      <c r="M97" s="54" t="s">
        <v>16</v>
      </c>
      <c r="N97" s="51"/>
      <c r="O97" s="27"/>
      <c r="P97" s="28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13"/>
      <c r="AW97" s="51"/>
      <c r="AX97" s="51"/>
      <c r="AY97" s="51"/>
      <c r="BA97" s="21"/>
      <c r="BB97" s="25"/>
    </row>
    <row r="98" spans="1:54" s="52" customFormat="1" ht="17.25" x14ac:dyDescent="0.25">
      <c r="A98" s="31" t="s">
        <v>9</v>
      </c>
      <c r="B98" s="9"/>
      <c r="C98" s="36"/>
      <c r="D98" s="9"/>
      <c r="E98" s="9"/>
      <c r="F98" s="9"/>
      <c r="G98" s="9"/>
      <c r="H98" s="9"/>
      <c r="I98" s="50"/>
      <c r="J98" s="50"/>
      <c r="K98" s="50"/>
      <c r="L98" s="51"/>
      <c r="M98" s="1" t="s">
        <v>14</v>
      </c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13"/>
      <c r="AW98" s="10"/>
      <c r="AX98" s="10"/>
      <c r="AY98" s="51"/>
      <c r="BA98" s="21"/>
      <c r="BB98" s="25"/>
    </row>
    <row r="99" spans="1:54" s="12" customFormat="1" x14ac:dyDescent="0.25">
      <c r="A99" s="51"/>
      <c r="B99" s="14"/>
      <c r="C99" s="37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10"/>
      <c r="AX99" s="10"/>
      <c r="AY99" s="51"/>
      <c r="BA99" s="21"/>
      <c r="BB99" s="25"/>
    </row>
    <row r="100" spans="1:54" s="12" customFormat="1" ht="6.6" customHeight="1" x14ac:dyDescent="0.25">
      <c r="A100" s="51"/>
      <c r="B100" s="14"/>
      <c r="C100" s="37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23"/>
      <c r="AW100" s="10"/>
      <c r="AX100" s="10"/>
      <c r="AY100" s="51"/>
      <c r="BA100" s="21"/>
      <c r="BB100" s="25"/>
    </row>
    <row r="101" spans="1:54" s="20" customFormat="1" ht="16.899999999999999" customHeight="1" x14ac:dyDescent="0.25">
      <c r="A101" s="51"/>
      <c r="B101" s="51"/>
      <c r="C101" s="51"/>
      <c r="D101" s="10"/>
      <c r="E101" s="24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13"/>
      <c r="AW101" s="13"/>
      <c r="AX101" s="13"/>
      <c r="AY101" s="51"/>
    </row>
    <row r="102" spans="1:54" ht="16.899999999999999" customHeight="1" x14ac:dyDescent="0.25">
      <c r="A102" s="51"/>
      <c r="B102" s="51"/>
      <c r="C102" s="51"/>
      <c r="D102" s="51"/>
      <c r="E102" s="51"/>
      <c r="F102" s="23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2"/>
      <c r="AV102" s="24"/>
      <c r="AY102" s="51"/>
    </row>
    <row r="103" spans="1:54" ht="16.899999999999999" customHeight="1" x14ac:dyDescent="0.25">
      <c r="A103" s="51"/>
      <c r="B103" s="51"/>
      <c r="C103" s="51"/>
      <c r="D103" s="51"/>
      <c r="E103" s="51"/>
      <c r="F103" s="23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2"/>
      <c r="AV103" s="51"/>
      <c r="AW103" s="51"/>
      <c r="AX103" s="51"/>
      <c r="AY103" s="51"/>
    </row>
    <row r="104" spans="1:54" ht="16.899999999999999" customHeight="1" x14ac:dyDescent="0.25">
      <c r="A104" s="51"/>
      <c r="B104" s="51"/>
      <c r="C104" s="51"/>
      <c r="D104" s="51"/>
      <c r="E104" s="51"/>
      <c r="F104" s="23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2"/>
      <c r="AV104" s="29"/>
      <c r="AW104" s="29"/>
      <c r="AX104" s="51"/>
      <c r="AY104" s="51"/>
    </row>
    <row r="105" spans="1:54" ht="16.899999999999999" customHeight="1" x14ac:dyDescent="0.25">
      <c r="A105" s="51"/>
      <c r="B105" s="51"/>
      <c r="C105" s="51"/>
      <c r="D105" s="51"/>
      <c r="E105" s="51"/>
      <c r="F105" s="23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2"/>
      <c r="AV105" s="29"/>
      <c r="AW105" s="29"/>
      <c r="AX105" s="51"/>
      <c r="AY105" s="51"/>
    </row>
    <row r="106" spans="1:54" ht="16.899999999999999" customHeight="1" x14ac:dyDescent="0.25">
      <c r="A106" s="51"/>
      <c r="B106" s="51"/>
      <c r="C106" s="51"/>
      <c r="D106" s="51"/>
      <c r="E106" s="51"/>
      <c r="F106" s="23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2"/>
      <c r="AV106" s="29"/>
      <c r="AW106" s="51"/>
    </row>
    <row r="107" spans="1:54" ht="16.899999999999999" customHeight="1" x14ac:dyDescent="0.25">
      <c r="A107" s="51"/>
      <c r="B107" s="51"/>
      <c r="C107" s="51"/>
      <c r="D107" s="51"/>
      <c r="E107" s="51"/>
      <c r="F107" s="23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2"/>
      <c r="AV107" s="30"/>
      <c r="AW107" s="51"/>
    </row>
    <row r="108" spans="1:54" ht="16.899999999999999" customHeight="1" x14ac:dyDescent="0.25">
      <c r="A108" s="51"/>
      <c r="B108" s="51"/>
      <c r="C108" s="51"/>
      <c r="D108" s="51"/>
      <c r="E108" s="51"/>
      <c r="F108" s="23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</row>
    <row r="109" spans="1:54" ht="16.899999999999999" customHeight="1" x14ac:dyDescent="0.25">
      <c r="A109" s="51"/>
      <c r="B109" s="51"/>
      <c r="C109" s="51"/>
      <c r="D109" s="51"/>
      <c r="E109" s="51"/>
      <c r="F109" s="23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</row>
    <row r="110" spans="1:54" ht="16.899999999999999" customHeight="1" x14ac:dyDescent="0.25">
      <c r="A110" s="51"/>
      <c r="B110" s="51"/>
      <c r="C110" s="51"/>
      <c r="D110" s="51"/>
      <c r="E110" s="51"/>
      <c r="F110" s="23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</row>
    <row r="111" spans="1:54" ht="16.899999999999999" customHeight="1" x14ac:dyDescent="0.25">
      <c r="A111" s="17"/>
      <c r="B111" s="16"/>
      <c r="C111" s="39"/>
      <c r="D111" s="16"/>
      <c r="E111" s="16"/>
      <c r="F111" s="23"/>
      <c r="G111" s="23"/>
      <c r="H111" s="23"/>
      <c r="I111" s="23"/>
      <c r="J111" s="23"/>
      <c r="K111" s="23"/>
      <c r="L111" s="23"/>
      <c r="M111" s="23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</row>
    <row r="112" spans="1:54" ht="16.899999999999999" customHeight="1" x14ac:dyDescent="0.25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</row>
    <row r="113" spans="1:51" ht="16.899999999999999" customHeight="1" x14ac:dyDescent="0.25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</row>
    <row r="114" spans="1:51" ht="16.899999999999999" customHeight="1" x14ac:dyDescent="0.25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</row>
    <row r="115" spans="1:51" ht="16.899999999999999" customHeight="1" x14ac:dyDescent="0.25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</row>
    <row r="116" spans="1:51" ht="16.899999999999999" customHeight="1" x14ac:dyDescent="0.25">
      <c r="A116" s="51"/>
      <c r="B116" s="14"/>
      <c r="C116" s="37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21"/>
      <c r="AY116" s="25"/>
    </row>
    <row r="128" spans="1:51" x14ac:dyDescent="0.25">
      <c r="A128" s="11" t="s">
        <v>101</v>
      </c>
      <c r="C128" s="38">
        <v>3827</v>
      </c>
    </row>
    <row r="129" spans="1:3" x14ac:dyDescent="0.25">
      <c r="A129" s="11" t="s">
        <v>95</v>
      </c>
      <c r="C129" s="38">
        <v>3439</v>
      </c>
    </row>
    <row r="130" spans="1:3" x14ac:dyDescent="0.25">
      <c r="A130" s="11" t="s">
        <v>32</v>
      </c>
      <c r="C130" s="38">
        <v>2690</v>
      </c>
    </row>
    <row r="131" spans="1:3" x14ac:dyDescent="0.25">
      <c r="A131" s="11" t="s">
        <v>97</v>
      </c>
      <c r="C131" s="38">
        <v>2019</v>
      </c>
    </row>
    <row r="132" spans="1:3" x14ac:dyDescent="0.25">
      <c r="A132" s="11" t="s">
        <v>102</v>
      </c>
      <c r="C132" s="38">
        <v>1960</v>
      </c>
    </row>
    <row r="133" spans="1:3" x14ac:dyDescent="0.25">
      <c r="A133" s="11" t="s">
        <v>96</v>
      </c>
      <c r="C133" s="38">
        <v>1880</v>
      </c>
    </row>
    <row r="134" spans="1:3" x14ac:dyDescent="0.25">
      <c r="A134" s="11" t="s">
        <v>23</v>
      </c>
      <c r="C134" s="38">
        <v>1852</v>
      </c>
    </row>
    <row r="135" spans="1:3" x14ac:dyDescent="0.25">
      <c r="A135" s="11" t="s">
        <v>98</v>
      </c>
      <c r="C135" s="38">
        <v>1050</v>
      </c>
    </row>
    <row r="136" spans="1:3" x14ac:dyDescent="0.25">
      <c r="A136" s="11" t="s">
        <v>94</v>
      </c>
      <c r="C136" s="38">
        <v>865</v>
      </c>
    </row>
    <row r="137" spans="1:3" x14ac:dyDescent="0.25">
      <c r="A137" s="11" t="s">
        <v>99</v>
      </c>
      <c r="C137" s="38">
        <v>833</v>
      </c>
    </row>
    <row r="138" spans="1:3" x14ac:dyDescent="0.25">
      <c r="A138" s="11" t="s">
        <v>93</v>
      </c>
      <c r="C138" s="38">
        <v>443</v>
      </c>
    </row>
    <row r="139" spans="1:3" x14ac:dyDescent="0.25">
      <c r="A139" s="11" t="s">
        <v>103</v>
      </c>
      <c r="C139" s="38">
        <v>371</v>
      </c>
    </row>
    <row r="140" spans="1:3" x14ac:dyDescent="0.25">
      <c r="A140" s="11" t="s">
        <v>33</v>
      </c>
      <c r="C140" s="38">
        <v>349</v>
      </c>
    </row>
    <row r="141" spans="1:3" x14ac:dyDescent="0.25">
      <c r="A141" s="11" t="s">
        <v>86</v>
      </c>
      <c r="C141" s="38">
        <v>323</v>
      </c>
    </row>
    <row r="142" spans="1:3" x14ac:dyDescent="0.25">
      <c r="A142" s="11" t="s">
        <v>24</v>
      </c>
      <c r="C142" s="38">
        <v>225</v>
      </c>
    </row>
    <row r="143" spans="1:3" x14ac:dyDescent="0.25">
      <c r="A143" s="11" t="s">
        <v>25</v>
      </c>
      <c r="C143" s="38">
        <v>200</v>
      </c>
    </row>
    <row r="144" spans="1:3" x14ac:dyDescent="0.25">
      <c r="A144" s="11" t="s">
        <v>100</v>
      </c>
      <c r="C144" s="38">
        <v>189</v>
      </c>
    </row>
    <row r="145" spans="1:3" x14ac:dyDescent="0.25">
      <c r="A145" s="11" t="s">
        <v>85</v>
      </c>
      <c r="C145" s="38">
        <v>181</v>
      </c>
    </row>
    <row r="146" spans="1:3" x14ac:dyDescent="0.25">
      <c r="A146" s="11" t="s">
        <v>42</v>
      </c>
      <c r="C146" s="38">
        <v>156</v>
      </c>
    </row>
    <row r="147" spans="1:3" x14ac:dyDescent="0.25">
      <c r="A147" s="11" t="s">
        <v>83</v>
      </c>
      <c r="C147" s="38">
        <v>156</v>
      </c>
    </row>
    <row r="148" spans="1:3" x14ac:dyDescent="0.25">
      <c r="A148" s="11" t="s">
        <v>59</v>
      </c>
      <c r="C148" s="38">
        <v>100</v>
      </c>
    </row>
    <row r="149" spans="1:3" x14ac:dyDescent="0.25">
      <c r="A149" s="11" t="s">
        <v>34</v>
      </c>
      <c r="C149" s="38">
        <v>92</v>
      </c>
    </row>
    <row r="150" spans="1:3" x14ac:dyDescent="0.25">
      <c r="A150" s="11" t="s">
        <v>82</v>
      </c>
      <c r="C150" s="38">
        <v>77</v>
      </c>
    </row>
    <row r="151" spans="1:3" x14ac:dyDescent="0.25">
      <c r="A151" s="11" t="s">
        <v>58</v>
      </c>
      <c r="C151" s="38">
        <v>74</v>
      </c>
    </row>
    <row r="152" spans="1:3" x14ac:dyDescent="0.25">
      <c r="A152" s="11" t="s">
        <v>68</v>
      </c>
      <c r="C152" s="38">
        <v>74</v>
      </c>
    </row>
    <row r="153" spans="1:3" x14ac:dyDescent="0.25">
      <c r="A153" s="11" t="s">
        <v>84</v>
      </c>
      <c r="C153" s="38">
        <v>73</v>
      </c>
    </row>
    <row r="154" spans="1:3" x14ac:dyDescent="0.25">
      <c r="A154" s="11" t="s">
        <v>57</v>
      </c>
      <c r="C154" s="38">
        <v>72</v>
      </c>
    </row>
    <row r="155" spans="1:3" x14ac:dyDescent="0.25">
      <c r="A155" s="11" t="s">
        <v>67</v>
      </c>
      <c r="C155" s="38">
        <v>65</v>
      </c>
    </row>
    <row r="156" spans="1:3" x14ac:dyDescent="0.25">
      <c r="A156" s="11" t="s">
        <v>90</v>
      </c>
      <c r="C156" s="38">
        <v>64</v>
      </c>
    </row>
    <row r="157" spans="1:3" x14ac:dyDescent="0.25">
      <c r="A157" s="11" t="s">
        <v>66</v>
      </c>
      <c r="C157" s="38">
        <v>62</v>
      </c>
    </row>
    <row r="158" spans="1:3" x14ac:dyDescent="0.25">
      <c r="A158" s="11" t="s">
        <v>56</v>
      </c>
      <c r="C158" s="38">
        <v>57</v>
      </c>
    </row>
    <row r="159" spans="1:3" x14ac:dyDescent="0.25">
      <c r="A159" s="11" t="s">
        <v>27</v>
      </c>
      <c r="C159" s="38">
        <v>54</v>
      </c>
    </row>
    <row r="160" spans="1:3" x14ac:dyDescent="0.25">
      <c r="A160" s="11" t="s">
        <v>69</v>
      </c>
      <c r="C160" s="38">
        <v>51</v>
      </c>
    </row>
    <row r="161" spans="1:3" x14ac:dyDescent="0.25">
      <c r="A161" s="11" t="s">
        <v>60</v>
      </c>
      <c r="C161" s="38">
        <v>44</v>
      </c>
    </row>
    <row r="162" spans="1:3" x14ac:dyDescent="0.25">
      <c r="A162" s="11" t="s">
        <v>61</v>
      </c>
      <c r="C162" s="38">
        <v>41</v>
      </c>
    </row>
    <row r="163" spans="1:3" x14ac:dyDescent="0.25">
      <c r="A163" s="11" t="s">
        <v>88</v>
      </c>
      <c r="C163" s="38">
        <v>40</v>
      </c>
    </row>
    <row r="164" spans="1:3" x14ac:dyDescent="0.25">
      <c r="A164" s="11" t="s">
        <v>87</v>
      </c>
      <c r="C164" s="38">
        <v>31</v>
      </c>
    </row>
    <row r="165" spans="1:3" x14ac:dyDescent="0.25">
      <c r="A165" s="11" t="s">
        <v>73</v>
      </c>
      <c r="C165" s="38">
        <v>27</v>
      </c>
    </row>
    <row r="166" spans="1:3" x14ac:dyDescent="0.25">
      <c r="A166" s="11" t="s">
        <v>70</v>
      </c>
      <c r="C166" s="38">
        <v>25</v>
      </c>
    </row>
    <row r="167" spans="1:3" x14ac:dyDescent="0.25">
      <c r="A167" s="11" t="s">
        <v>104</v>
      </c>
      <c r="C167" s="38">
        <v>25</v>
      </c>
    </row>
    <row r="168" spans="1:3" x14ac:dyDescent="0.25">
      <c r="A168" s="11" t="s">
        <v>71</v>
      </c>
      <c r="C168" s="38">
        <v>22</v>
      </c>
    </row>
    <row r="169" spans="1:3" x14ac:dyDescent="0.25">
      <c r="A169" s="11" t="s">
        <v>74</v>
      </c>
      <c r="C169" s="38">
        <v>21</v>
      </c>
    </row>
    <row r="170" spans="1:3" x14ac:dyDescent="0.25">
      <c r="A170" s="11" t="s">
        <v>41</v>
      </c>
      <c r="C170" s="38">
        <v>20</v>
      </c>
    </row>
    <row r="171" spans="1:3" x14ac:dyDescent="0.25">
      <c r="A171" s="11" t="s">
        <v>43</v>
      </c>
      <c r="C171" s="38">
        <v>20</v>
      </c>
    </row>
    <row r="172" spans="1:3" x14ac:dyDescent="0.25">
      <c r="A172" s="11" t="s">
        <v>37</v>
      </c>
      <c r="C172" s="38">
        <v>19</v>
      </c>
    </row>
    <row r="173" spans="1:3" x14ac:dyDescent="0.25">
      <c r="A173" s="11" t="s">
        <v>89</v>
      </c>
      <c r="C173" s="38">
        <v>19</v>
      </c>
    </row>
    <row r="174" spans="1:3" x14ac:dyDescent="0.25">
      <c r="A174" s="11" t="s">
        <v>105</v>
      </c>
      <c r="C174" s="38">
        <v>15</v>
      </c>
    </row>
    <row r="175" spans="1:3" x14ac:dyDescent="0.25">
      <c r="A175" s="11" t="s">
        <v>75</v>
      </c>
      <c r="C175" s="38">
        <v>13</v>
      </c>
    </row>
    <row r="176" spans="1:3" x14ac:dyDescent="0.25">
      <c r="A176" s="11" t="s">
        <v>78</v>
      </c>
      <c r="C176" s="38">
        <v>13</v>
      </c>
    </row>
    <row r="177" spans="1:3" x14ac:dyDescent="0.25">
      <c r="A177" s="11" t="s">
        <v>80</v>
      </c>
      <c r="C177" s="38">
        <v>13</v>
      </c>
    </row>
    <row r="178" spans="1:3" x14ac:dyDescent="0.25">
      <c r="A178" s="11" t="s">
        <v>65</v>
      </c>
      <c r="C178" s="38">
        <v>12</v>
      </c>
    </row>
    <row r="179" spans="1:3" x14ac:dyDescent="0.25">
      <c r="A179" s="11" t="s">
        <v>79</v>
      </c>
      <c r="C179" s="38">
        <v>12</v>
      </c>
    </row>
    <row r="180" spans="1:3" x14ac:dyDescent="0.25">
      <c r="A180" s="11" t="s">
        <v>44</v>
      </c>
      <c r="C180" s="38">
        <v>10</v>
      </c>
    </row>
    <row r="181" spans="1:3" x14ac:dyDescent="0.25">
      <c r="A181" s="11" t="s">
        <v>62</v>
      </c>
      <c r="C181" s="38">
        <v>10</v>
      </c>
    </row>
    <row r="182" spans="1:3" x14ac:dyDescent="0.25">
      <c r="A182" s="11" t="s">
        <v>81</v>
      </c>
      <c r="C182" s="38">
        <v>10</v>
      </c>
    </row>
    <row r="183" spans="1:3" x14ac:dyDescent="0.25">
      <c r="A183" s="11" t="s">
        <v>20</v>
      </c>
      <c r="C183" s="38">
        <v>8</v>
      </c>
    </row>
    <row r="184" spans="1:3" x14ac:dyDescent="0.25">
      <c r="A184" s="11" t="s">
        <v>91</v>
      </c>
      <c r="C184" s="38">
        <v>8</v>
      </c>
    </row>
    <row r="185" spans="1:3" x14ac:dyDescent="0.25">
      <c r="A185" s="11" t="s">
        <v>21</v>
      </c>
      <c r="C185" s="38">
        <v>7</v>
      </c>
    </row>
    <row r="186" spans="1:3" x14ac:dyDescent="0.25">
      <c r="A186" s="11" t="s">
        <v>29</v>
      </c>
      <c r="C186" s="38">
        <v>7</v>
      </c>
    </row>
    <row r="187" spans="1:3" x14ac:dyDescent="0.25">
      <c r="A187" s="11" t="s">
        <v>76</v>
      </c>
      <c r="C187" s="38">
        <v>7</v>
      </c>
    </row>
    <row r="188" spans="1:3" x14ac:dyDescent="0.25">
      <c r="A188" s="11" t="s">
        <v>19</v>
      </c>
      <c r="C188" s="38">
        <v>6</v>
      </c>
    </row>
    <row r="189" spans="1:3" x14ac:dyDescent="0.25">
      <c r="A189" s="11" t="s">
        <v>28</v>
      </c>
      <c r="C189" s="38">
        <v>6</v>
      </c>
    </row>
    <row r="190" spans="1:3" x14ac:dyDescent="0.25">
      <c r="A190" s="11" t="s">
        <v>49</v>
      </c>
      <c r="C190" s="38">
        <v>6</v>
      </c>
    </row>
    <row r="191" spans="1:3" x14ac:dyDescent="0.25">
      <c r="A191" s="11" t="s">
        <v>72</v>
      </c>
      <c r="C191" s="38">
        <v>6</v>
      </c>
    </row>
    <row r="192" spans="1:3" x14ac:dyDescent="0.25">
      <c r="A192" s="11" t="s">
        <v>22</v>
      </c>
      <c r="C192" s="38">
        <v>5</v>
      </c>
    </row>
    <row r="193" spans="1:3" x14ac:dyDescent="0.25">
      <c r="A193" s="11" t="s">
        <v>31</v>
      </c>
      <c r="C193" s="38">
        <v>5</v>
      </c>
    </row>
    <row r="194" spans="1:3" x14ac:dyDescent="0.25">
      <c r="A194" s="11" t="s">
        <v>38</v>
      </c>
      <c r="C194" s="38">
        <v>5</v>
      </c>
    </row>
    <row r="195" spans="1:3" x14ac:dyDescent="0.25">
      <c r="A195" s="11" t="s">
        <v>77</v>
      </c>
      <c r="C195" s="38">
        <v>5</v>
      </c>
    </row>
    <row r="196" spans="1:3" x14ac:dyDescent="0.25">
      <c r="A196" s="11" t="s">
        <v>35</v>
      </c>
      <c r="C196" s="38">
        <v>4</v>
      </c>
    </row>
    <row r="197" spans="1:3" x14ac:dyDescent="0.25">
      <c r="A197" s="11" t="s">
        <v>45</v>
      </c>
      <c r="C197" s="38">
        <v>4</v>
      </c>
    </row>
    <row r="198" spans="1:3" x14ac:dyDescent="0.25">
      <c r="A198" s="11" t="s">
        <v>36</v>
      </c>
      <c r="C198" s="38">
        <v>3</v>
      </c>
    </row>
    <row r="199" spans="1:3" x14ac:dyDescent="0.25">
      <c r="A199" s="11" t="s">
        <v>63</v>
      </c>
      <c r="C199" s="38">
        <v>3</v>
      </c>
    </row>
    <row r="200" spans="1:3" x14ac:dyDescent="0.25">
      <c r="A200" s="11" t="s">
        <v>30</v>
      </c>
      <c r="C200" s="38">
        <v>2</v>
      </c>
    </row>
    <row r="201" spans="1:3" x14ac:dyDescent="0.25">
      <c r="A201" s="11" t="s">
        <v>46</v>
      </c>
      <c r="C201" s="38">
        <v>2</v>
      </c>
    </row>
    <row r="202" spans="1:3" x14ac:dyDescent="0.25">
      <c r="A202" s="11" t="s">
        <v>47</v>
      </c>
      <c r="C202" s="38">
        <v>2</v>
      </c>
    </row>
    <row r="203" spans="1:3" x14ac:dyDescent="0.25">
      <c r="A203" s="11" t="s">
        <v>50</v>
      </c>
      <c r="C203" s="38">
        <v>2</v>
      </c>
    </row>
    <row r="204" spans="1:3" x14ac:dyDescent="0.25">
      <c r="A204" s="11" t="s">
        <v>51</v>
      </c>
      <c r="C204" s="38">
        <v>2</v>
      </c>
    </row>
    <row r="205" spans="1:3" x14ac:dyDescent="0.25">
      <c r="A205" s="11" t="s">
        <v>92</v>
      </c>
      <c r="C205" s="38">
        <v>2</v>
      </c>
    </row>
    <row r="206" spans="1:3" x14ac:dyDescent="0.25">
      <c r="A206" s="11" t="s">
        <v>26</v>
      </c>
      <c r="C206" s="38">
        <v>1</v>
      </c>
    </row>
    <row r="207" spans="1:3" x14ac:dyDescent="0.25">
      <c r="A207" s="11" t="s">
        <v>39</v>
      </c>
      <c r="C207" s="38">
        <v>1</v>
      </c>
    </row>
    <row r="208" spans="1:3" x14ac:dyDescent="0.25">
      <c r="A208" s="11" t="s">
        <v>40</v>
      </c>
      <c r="C208" s="38">
        <v>1</v>
      </c>
    </row>
    <row r="209" spans="1:3" x14ac:dyDescent="0.25">
      <c r="A209" s="11" t="s">
        <v>48</v>
      </c>
      <c r="C209" s="38">
        <v>1</v>
      </c>
    </row>
    <row r="210" spans="1:3" x14ac:dyDescent="0.25">
      <c r="A210" s="11" t="s">
        <v>52</v>
      </c>
      <c r="C210" s="38">
        <v>1</v>
      </c>
    </row>
    <row r="211" spans="1:3" x14ac:dyDescent="0.25">
      <c r="A211" s="11" t="s">
        <v>53</v>
      </c>
      <c r="C211" s="38">
        <v>1</v>
      </c>
    </row>
    <row r="212" spans="1:3" x14ac:dyDescent="0.25">
      <c r="A212" s="11" t="s">
        <v>54</v>
      </c>
      <c r="C212" s="38">
        <v>1</v>
      </c>
    </row>
    <row r="213" spans="1:3" x14ac:dyDescent="0.25">
      <c r="A213" s="11" t="s">
        <v>55</v>
      </c>
      <c r="C213" s="38">
        <v>1</v>
      </c>
    </row>
    <row r="214" spans="1:3" x14ac:dyDescent="0.25">
      <c r="A214" s="11" t="s">
        <v>64</v>
      </c>
      <c r="C214" s="38">
        <v>1</v>
      </c>
    </row>
  </sheetData>
  <sortState ref="A121:C207">
    <sortCondition descending="1" ref="C121:C207"/>
  </sortState>
  <mergeCells count="10">
    <mergeCell ref="A6:A7"/>
    <mergeCell ref="A1:M1"/>
    <mergeCell ref="A2:M2"/>
    <mergeCell ref="A3:L3"/>
    <mergeCell ref="A4:A5"/>
    <mergeCell ref="C4:G4"/>
    <mergeCell ref="H4:M4"/>
    <mergeCell ref="C5:E5"/>
    <mergeCell ref="G5:I5"/>
    <mergeCell ref="K5:M5"/>
  </mergeCells>
  <pageMargins left="0.62" right="0.59" top="0.26" bottom="0.19" header="0.13" footer="0.14000000000000001"/>
  <pageSetup paperSize="9" scale="77" orientation="portrait" horizontalDpi="4294967295" verticalDpi="4294967295" r:id="rId1"/>
  <rowBreaks count="1" manualBreakCount="1">
    <brk id="63" max="13" man="1"/>
  </rowBreaks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</vt:lpstr>
      <vt:lpstr>'5.1'!Print_Area</vt:lpstr>
      <vt:lpstr>'5.1'!Print_Titles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2017-06-07T08:04:42Z</cp:lastPrinted>
  <dcterms:created xsi:type="dcterms:W3CDTF">2013-03-26T05:45:33Z</dcterms:created>
  <dcterms:modified xsi:type="dcterms:W3CDTF">2017-06-07T08:04:43Z</dcterms:modified>
</cp:coreProperties>
</file>