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5. EMPLOYMENT\"/>
    </mc:Choice>
  </mc:AlternateContent>
  <bookViews>
    <workbookView xWindow="0" yWindow="0" windowWidth="28800" windowHeight="12330" tabRatio="834"/>
  </bookViews>
  <sheets>
    <sheet name="5.9" sheetId="27" r:id="rId1"/>
  </sheets>
  <definedNames>
    <definedName name="_xlnm.Print_Area" localSheetId="0">'5.9'!$A$1:$F$142</definedName>
    <definedName name="_xlnm.Print_Titles" localSheetId="0">'5.9'!$5:$7</definedName>
  </definedNames>
  <calcPr calcId="162913"/>
</workbook>
</file>

<file path=xl/calcChain.xml><?xml version="1.0" encoding="utf-8"?>
<calcChain xmlns="http://schemas.openxmlformats.org/spreadsheetml/2006/main">
  <c r="D8" i="27" l="1"/>
  <c r="C8" i="27" s="1"/>
  <c r="C11" i="27"/>
  <c r="C10" i="27"/>
  <c r="C75" i="27" l="1"/>
  <c r="C76" i="27"/>
  <c r="C77" i="27"/>
  <c r="C65" i="27"/>
  <c r="C66" i="27"/>
  <c r="C67" i="27"/>
  <c r="C60" i="27"/>
  <c r="C61" i="27"/>
  <c r="C51" i="27"/>
  <c r="C52" i="27"/>
  <c r="C53" i="27"/>
  <c r="C54" i="27"/>
  <c r="C55" i="27"/>
  <c r="C56" i="27"/>
  <c r="C57" i="27"/>
  <c r="C58" i="27"/>
  <c r="C43" i="27"/>
  <c r="C9" i="27" l="1"/>
  <c r="C39" i="27"/>
  <c r="BA131" i="27"/>
  <c r="BB121" i="27"/>
  <c r="BC123" i="27" s="1"/>
  <c r="C108" i="27"/>
  <c r="C107" i="27"/>
  <c r="C106" i="27"/>
  <c r="C105" i="27"/>
  <c r="C104" i="27"/>
  <c r="C103" i="27"/>
  <c r="C102" i="27"/>
  <c r="C101" i="27"/>
  <c r="C100" i="27"/>
  <c r="C99" i="27"/>
  <c r="C98" i="27"/>
  <c r="C97" i="27"/>
  <c r="C96" i="27"/>
  <c r="C95" i="27"/>
  <c r="C94" i="27"/>
  <c r="C93" i="27"/>
  <c r="C92" i="27"/>
  <c r="C91" i="27"/>
  <c r="C90" i="27"/>
  <c r="C89" i="27"/>
  <c r="C88" i="27"/>
  <c r="C87" i="27"/>
  <c r="C86" i="27"/>
  <c r="C85" i="27"/>
  <c r="C84" i="27"/>
  <c r="C83" i="27"/>
  <c r="C82" i="27"/>
  <c r="C81" i="27"/>
  <c r="C80" i="27"/>
  <c r="C79" i="27"/>
  <c r="C78" i="27"/>
  <c r="C74" i="27"/>
  <c r="C73" i="27"/>
  <c r="C72" i="27"/>
  <c r="C71" i="27"/>
  <c r="C70" i="27"/>
  <c r="C68" i="27"/>
  <c r="C69" i="27"/>
  <c r="C64" i="27"/>
  <c r="C63" i="27"/>
  <c r="C62" i="27"/>
  <c r="C59" i="27"/>
  <c r="C50" i="27"/>
  <c r="C49" i="27"/>
  <c r="C48" i="27"/>
  <c r="C47" i="27"/>
  <c r="C46" i="27"/>
  <c r="C45" i="27"/>
  <c r="C44" i="27"/>
  <c r="C42" i="27"/>
  <c r="C41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E8" i="27"/>
  <c r="BC133" i="27" s="1"/>
  <c r="BC121" i="27" l="1"/>
  <c r="BC122" i="27"/>
  <c r="BA133" i="27"/>
  <c r="BB133" i="27"/>
</calcChain>
</file>

<file path=xl/sharedStrings.xml><?xml version="1.0" encoding="utf-8"?>
<sst xmlns="http://schemas.openxmlformats.org/spreadsheetml/2006/main" count="224" uniqueCount="213">
  <si>
    <t>Atolls</t>
  </si>
  <si>
    <t>ޖުމްލަ</t>
  </si>
  <si>
    <t>ފިރިހެން</t>
  </si>
  <si>
    <t>އަންހެން</t>
  </si>
  <si>
    <t>Male</t>
  </si>
  <si>
    <t>Female</t>
  </si>
  <si>
    <t>އަތޮޅުތައް</t>
  </si>
  <si>
    <t>Both sexes</t>
  </si>
  <si>
    <t>ތާވަލް 5.9: ސަރުކާރުގެ އެކި އޮފީސްތަކުގެ ޕޮލިޓިކަލް މަގާމުގައި ތިއްބެވި ބޭފުޅުން،  2016</t>
  </si>
  <si>
    <t>TABLE 5.9: EMPLOYMENT IN POLITICAL POSTS CLASSIFIED BY OFFICE,  2016</t>
  </si>
  <si>
    <t>Office</t>
  </si>
  <si>
    <t>އޮފީސް</t>
  </si>
  <si>
    <t>ދެޖިންސު</t>
  </si>
  <si>
    <t>TOTAL</t>
  </si>
  <si>
    <t>President's office</t>
  </si>
  <si>
    <t>ރައީސުލްޖުމްހޫރިއްޔާގެ އޮފީސް</t>
  </si>
  <si>
    <t>President's Residence</t>
  </si>
  <si>
    <t xml:space="preserve">ރައީސުލްޖުމްހޫރިއްޔާގެ ރަސްމީގެ </t>
  </si>
  <si>
    <t>of which Foreign Staff</t>
  </si>
  <si>
    <t>މީގެ ތެރޭން ބިދޭސީ މުވައްޒަފުންގެ އަދަދު</t>
  </si>
  <si>
    <t xml:space="preserve">Ministry of Home Affairs </t>
  </si>
  <si>
    <t>މިނިސްޓްރީ އޮފް ހޯމް އެފެއާޒް</t>
  </si>
  <si>
    <t>Ministry of Finance and Treasury</t>
  </si>
  <si>
    <t>މިނިސްޓްރީ އޮފް ފިނޭންސް އެންޑް ޓްރެޜަރީ</t>
  </si>
  <si>
    <t>Ministry of  Defense &amp; National Security</t>
  </si>
  <si>
    <t>މިނިސްޓްރީ އޮފް ޑިފެންސް އެންޑް ނޭޝަނަލް ސެކިއުރިޓީ</t>
  </si>
  <si>
    <t>Ministry of Foreign Affairs</t>
  </si>
  <si>
    <t>މިނިސްޓްރީ އޮފް ފޮރިން އެފެއާޒް</t>
  </si>
  <si>
    <t>Ministry of Economic Development</t>
  </si>
  <si>
    <t>މިނިސްޓްރީ އޮފް އިކޮނޮމިކް ޑިވެލޮޕްމެންޓް</t>
  </si>
  <si>
    <t>Ministry of Tourism</t>
  </si>
  <si>
    <t>މިނިސްޓްރީ އޮފް ޓޫރިޒަމް</t>
  </si>
  <si>
    <t xml:space="preserve">Ministry of Youth and Sports </t>
  </si>
  <si>
    <t>މިނިސްޓްރީ އޮފް ޔޫތް އެންޑް ސްޕޯރޓްސް</t>
  </si>
  <si>
    <t xml:space="preserve">Ministry of Health </t>
  </si>
  <si>
    <t xml:space="preserve">މިނިސްޓްރީ އޮފް ހެލްތް </t>
  </si>
  <si>
    <t>Ministry of Education</t>
  </si>
  <si>
    <t>މިނިސްޓްރީ އޮފް އެޑިއުކޭޝަން</t>
  </si>
  <si>
    <t>Ministry of Fisheries and Agriculture</t>
  </si>
  <si>
    <t>މިނިސްޓްރީ އޮފް ފިޝަރީސް އެންޑް އެގްރިކަލްޗަރ</t>
  </si>
  <si>
    <t>Ministry of Islamic Affairs</t>
  </si>
  <si>
    <t>މިނިސްޓްރީ އޮފް އިސްލާމިކް އެފެއާޒް</t>
  </si>
  <si>
    <t>Ministry of Environment and Energy</t>
  </si>
  <si>
    <t>މިނިސްޓްރީ އޮފް އެންވަޔަރަންމަންޓް އެންޑް އެނަރޖީ</t>
  </si>
  <si>
    <t>Ministry of Housing and Infrastructure</t>
  </si>
  <si>
    <t>މިނިސްޓްރީ އޮފް ހައުސިންގ އެންޑް އިންފްރާސްރަކްޗަރ</t>
  </si>
  <si>
    <t>Attorney General's Office</t>
  </si>
  <si>
    <t>އެޓާރނީ ޖެނެރަލްގެ އޮފީސް</t>
  </si>
  <si>
    <t>Maldives Qualification Authority</t>
  </si>
  <si>
    <t>މޯލްޑިވްސް ކުއަލިފިކޭޝަން އޮތޯރިޓީ</t>
  </si>
  <si>
    <t>Technical and Vocational education Training Authority</t>
  </si>
  <si>
    <t>ޓެކްނިކަލް އެންޑް ވޮކޭޝަނަލް އެޑިޔުކޭޝަން ޓްރޭނިންގ އޮތޯރިޓީ</t>
  </si>
  <si>
    <t>Transport Authority</t>
  </si>
  <si>
    <t>ޓްރާންސްޕޯރޓް އޮތޯރިޓީ</t>
  </si>
  <si>
    <t>National Centre for the Arts</t>
  </si>
  <si>
    <t>ނޭޝަނަލް ސެންޓަރ ފޮރ ދި އާޓްސް</t>
  </si>
  <si>
    <t>National Centre for Information Technology</t>
  </si>
  <si>
    <t>ނޭޝަނަލް ސެންޓަރ ފޮރ އިންފޮމޭޝަން ޓެކްނޮލޮޖީ</t>
  </si>
  <si>
    <t>National Disaster Management Centre</t>
  </si>
  <si>
    <t>ނޭޝަނަލް ޑިޒާސްޓަރ މެނޭޖްމަންޓް ސެންޓަރ</t>
  </si>
  <si>
    <t>National Social Protection Agency</t>
  </si>
  <si>
    <t>ނޭޝަނަލް ސޯޝަލް ޕްރޮޓެކްޝަން އޭޖެންސީ</t>
  </si>
  <si>
    <t>Khasaa Ehee ah beynunvaa meehunge Marukazu</t>
  </si>
  <si>
    <t>ޚާއްސަ އެހީއަށް ބޭނުންވާ މީހުންގެ މަރުކަޒު</t>
  </si>
  <si>
    <t>Dhivehi Raajjeyge Qawmee Arusheef</t>
  </si>
  <si>
    <t>ދިވެހިރާއްޖޭގެ ޤައުމީ އަރުޝީފް</t>
  </si>
  <si>
    <t>Indhira Gandhi Memorial Hospital</t>
  </si>
  <si>
    <t>އިންދިރާގާނދީ މެމޯރިއަލް ހޮސްޕިޓަލް</t>
  </si>
  <si>
    <t xml:space="preserve">HA. Atholhu Hospital </t>
  </si>
  <si>
    <t>ހއ. އަތޮޅު ހޮސްޕިޓަލް</t>
  </si>
  <si>
    <t xml:space="preserve">HDh. Kulhuduffushee Regional  Hospital </t>
  </si>
  <si>
    <t>ހދ. ކުޅުދުއްފުށީ ރީޖަނަލް ހޮސްޕިޓަލް</t>
  </si>
  <si>
    <t>ރ.އުނގޫފާރު ރީޖަނަލް ހޮސްޕިޓަލް</t>
  </si>
  <si>
    <t xml:space="preserve">ADh. Atholhu Hospital </t>
  </si>
  <si>
    <t>އދ. އަތޮޅު ހޮސްޕިޓަލް</t>
  </si>
  <si>
    <t xml:space="preserve">L. Gamu Regional Hospital </t>
  </si>
  <si>
    <t>ލ. ގަމު ރީޖަނަލް ހޮސްޕިޓަލް</t>
  </si>
  <si>
    <t xml:space="preserve">GA. Atholhu Hospital </t>
  </si>
  <si>
    <t>ގއ. އަތޮޅު ހޮސްޕިޓަލް</t>
  </si>
  <si>
    <t xml:space="preserve">Gn. Atholhu Hospital </t>
  </si>
  <si>
    <t>ޏ. އަތޮޅު ހޮސްޕިޓަލް</t>
  </si>
  <si>
    <t xml:space="preserve">S. Hithadhoo Regional Hospital </t>
  </si>
  <si>
    <t>ސ. ހިތަދޫ ރީޖަނަލް ހޮސްޕިޓަލް</t>
  </si>
  <si>
    <t>HA.Filladhoo Sihhee Marukazu</t>
  </si>
  <si>
    <t xml:space="preserve">ހއ. ފިއްލަދޫ ޞިއްޙީ މަރުކަޒު </t>
  </si>
  <si>
    <t>HA.Hoarafushi Sihhee Marukazu</t>
  </si>
  <si>
    <t>ހއ. ހޯރަފުށި ޞިއްޙީ މަރުކަޒު</t>
  </si>
  <si>
    <t>HA.Ihavandhoo  Sihhee Marukazu</t>
  </si>
  <si>
    <t>ހއ. އިހަވަންދޫ ޞިއްޙީ މަރުކަޒު</t>
  </si>
  <si>
    <t>HA.Uligamu Sihhee Marukazu</t>
  </si>
  <si>
    <t>ހއ. އުލިގަމު ޞިއްޙީ މަރުކަޒު</t>
  </si>
  <si>
    <t>HA.Utheemu Sihhee Marukazu</t>
  </si>
  <si>
    <t>ހއ. އުތީމު ޞިއްޙީ މަރުކަޒު</t>
  </si>
  <si>
    <t>HA.Vashafaru Sihhee Marukazu</t>
  </si>
  <si>
    <t>ހއ. ވަށަފަރު ޞިއްޙީ މަރުކަޒު</t>
  </si>
  <si>
    <t>HDh.Hirimaradhoo Sihhee Marukazu</t>
  </si>
  <si>
    <t>ހދ. ހިރިމަރަދޫ ޞިއްޙީ މަރުކަޒު</t>
  </si>
  <si>
    <t>Sh.Kanditheemu Sihhee Marukazu</t>
  </si>
  <si>
    <t>ށ. ކަނޑިތީމު ޞިއްޙީ މަރުކަޒު</t>
  </si>
  <si>
    <t>Sh.Milandhoo Sihhee Marukazu</t>
  </si>
  <si>
    <t>ށ. މިލަންދޫ ޞިއްޙީ މަރުކަޒު</t>
  </si>
  <si>
    <t>K.Guraidhoo Sihhee Marukazu</t>
  </si>
  <si>
    <t>ކ. ގުރައިދޫ ޞިއްޙީ މަރުކަޒު</t>
  </si>
  <si>
    <t>K. Maafushee Sihhee Marukazu</t>
  </si>
  <si>
    <t>ކ. މާފުށީ ޞިއްޙީ މަރުކަޒު</t>
  </si>
  <si>
    <t>K. Thulusdhoo Sihhee Marukazu</t>
  </si>
  <si>
    <t>ކ. ތުލުސްދޫ ޞިއްޙީ މަރުކަޒު</t>
  </si>
  <si>
    <t>AD. Fenfushi Sihhee Marukazu</t>
  </si>
  <si>
    <t>އދ. ފެންފުށީ ޞިއްޙީ މަރުކަޒު</t>
  </si>
  <si>
    <t>M.Mulaku Sihhee Marukazu</t>
  </si>
  <si>
    <t>މ. މުލަކު ޞިއްޙީ މަރުކަޒު</t>
  </si>
  <si>
    <t>F.Magoodhoo Sihhee Marukazu</t>
  </si>
  <si>
    <t>ފ. މަގޫދޫ ޞިއްޙީ މަރުކަޒު</t>
  </si>
  <si>
    <t>Dh.Meedhoo Sihhee Marukazu</t>
  </si>
  <si>
    <t>ދ. މީދު ޞިއްޙީ މަރުކަޒު</t>
  </si>
  <si>
    <t>Dh. Hulhudeli  Sihhee Marukazu</t>
  </si>
  <si>
    <t>ދ. ހުޅުދެލި ޞިއްޙީ މަރުކަޒު</t>
  </si>
  <si>
    <t>Th.Guraidhoo Sihhee Marukazu</t>
  </si>
  <si>
    <t>ތ. ގުރައިދޫ ޞިއްޙީ މަރުކަޒު</t>
  </si>
  <si>
    <t>Th.Hirilandhoo Sihhee Marukazu</t>
  </si>
  <si>
    <t>ތ. ހިރިލަންދޫ ޞިއްޙީ މަރުކަޒު</t>
  </si>
  <si>
    <t>Th.Thimarafushi Sihhee Marukazu</t>
  </si>
  <si>
    <t>ތ. ތިމަރަފުށި ޞިއްޙީ މަރުކަޒު</t>
  </si>
  <si>
    <t>Th. Dhiyamigilii Sihhee Marukazu</t>
  </si>
  <si>
    <t xml:space="preserve">ތ. ތިޔަމިގިލި ޞިއްޙީ މަރުކަޒު </t>
  </si>
  <si>
    <t>Th. Gaadiffushi Sihhee Marukazu</t>
  </si>
  <si>
    <t xml:space="preserve">ތ. ގާދިއްފުށި ޞިއްޙީ މަރުކަޒު  </t>
  </si>
  <si>
    <t>Th.Kinbidhoo Sihhee Marukazu</t>
  </si>
  <si>
    <t>ތ. ކިނބިދޫޞިއްޙީ މަރުކަޒު</t>
  </si>
  <si>
    <t>Th.Madifushi Sihhee Marukazu</t>
  </si>
  <si>
    <t>ތ. މަޑިފުށިޞިއްޙީ މަރުކަޒު</t>
  </si>
  <si>
    <t>L. Fonadhoo Sihhee Marukazu</t>
  </si>
  <si>
    <t>ލ. ފޮނަދޫ ޞިއްޙީ މަރުކަޒު</t>
  </si>
  <si>
    <t>L. Isdhoo Sihhee Marukazu</t>
  </si>
  <si>
    <t>ލ. އިސްދޫ ޞިއްޙީ މަރުކަޒު</t>
  </si>
  <si>
    <t>L. Kunahandhoo Sihhee Marukazu</t>
  </si>
  <si>
    <t>ލ.ކުނަހަންދޫ ޞިއްޙީ މަރުކަޒު</t>
  </si>
  <si>
    <t>L. Maamendhoo Sihhee Marukazu</t>
  </si>
  <si>
    <t>ލ. މާމެންދޫ ޞިއްޙީ މަރުކަޒު</t>
  </si>
  <si>
    <t>L.Maabaidhoo Sihhee Marukazu</t>
  </si>
  <si>
    <t>ލ. މާބައިދޫ ޞިއްޙީ މަރުކަޒު</t>
  </si>
  <si>
    <t>L.Dhanbidhoo Sihhee Marukazu</t>
  </si>
  <si>
    <t>ލ. ދަނބިދޫ ޞިއްޙީ މަރުކަޒު</t>
  </si>
  <si>
    <t>GA.Dhaandhoo Sihhee Marukazu</t>
  </si>
  <si>
    <t>ގއ. ދާންދޫ ޞިއްޙީ މަރުކަޒު</t>
  </si>
  <si>
    <t>GA.Maamendhoo Sihhee Marukazu</t>
  </si>
  <si>
    <t>ގއ. މާމެންދޫ ޞިއްޙީ މަރުކަޒު</t>
  </si>
  <si>
    <t>GA.Gemanafushi Sihhee Marukazu</t>
  </si>
  <si>
    <t>ގއ. ގެމަނަފުށި ޞިއްޙީ މަރުކަޒު</t>
  </si>
  <si>
    <t>GA.Kolamaafushi Sihhee Marukazu</t>
  </si>
  <si>
    <t>ގއ. ކޮލަމާފުށިޞިއްޙީ މަރުކަޒު</t>
  </si>
  <si>
    <t>GA. Kondey Sihhee Marukazu</t>
  </si>
  <si>
    <t>GA.Nilandhoo Sihhee Marukazu</t>
  </si>
  <si>
    <t>ގއ. ނިލަންދޫ ޞިއްޙީ މަރުކަޒު</t>
  </si>
  <si>
    <t>GDh.Gadhdhoo Sihhee Marukazu</t>
  </si>
  <si>
    <t>ގދ. ގައްދޫ ޞިއްޙީ މަރުކަޒު</t>
  </si>
  <si>
    <t>GDh. Hoadedhdhoo Sihhee Marukazu</t>
  </si>
  <si>
    <t>ގދ. ހޯޑެއްދޫ ޞިއްޙީ މަރުކަޒު</t>
  </si>
  <si>
    <t>GDh. Faresmaathodaa Sihhee Marukazu</t>
  </si>
  <si>
    <t>ގދ. ފަރެސްމާތޮޑާ ޞިއްޙީ މަރުކަޒު</t>
  </si>
  <si>
    <t>Gdh. Madaveli Sihhee Marukazu</t>
  </si>
  <si>
    <t>ގދ. މަޑަވެލި ޞިއްޙީ މަރުކަޒު</t>
  </si>
  <si>
    <t>GDh.Vaadhoo Sihhee Marukazu</t>
  </si>
  <si>
    <t>ގދ. ވާދޫ ޞިއްޙީ މަރުކަޒު</t>
  </si>
  <si>
    <t>GDh. Nadella Sihhee Marukazu</t>
  </si>
  <si>
    <t>ގދ. ނަޑެއްލާ ޞިއްޙީ މަރުކަޒު</t>
  </si>
  <si>
    <t>GDh.Fiyori Sihhee Marukazu</t>
  </si>
  <si>
    <t>ގދ. ފިޔޯރީ ޞިއްޙީ މަރުކަޒު</t>
  </si>
  <si>
    <t>GDh.Rathafandhoo Sihhee Marukazu</t>
  </si>
  <si>
    <t>ގދ. ރަތަފަންދޫ ޞިއްޙީ މަރުކަޒު</t>
  </si>
  <si>
    <t>S.Hulhumeedhoo Sihhee Marukazu</t>
  </si>
  <si>
    <t>ސ. ހުޅުމީދޫ ޞިއްޙީ މަރުކަޒު</t>
  </si>
  <si>
    <t>S.Feydhoo Sihhee Marukazu</t>
  </si>
  <si>
    <t>ސ. ފޭދޫ ޞިއްޙީ މަރުކަޒު</t>
  </si>
  <si>
    <t>Source: Presidents Office</t>
  </si>
  <si>
    <t>މައުލޫމާތު ދެއްވީ: ރައީސުލްޖުމްހޫރިއްޔާގެ އޮފީސް</t>
  </si>
  <si>
    <t>2016 (end)</t>
  </si>
  <si>
    <t>Ministry of  Gender  and Family</t>
  </si>
  <si>
    <t xml:space="preserve">Maldives  Immigration </t>
  </si>
  <si>
    <t>Kulliyyathuh Dhiraasaathil Islaamiyyaa</t>
  </si>
  <si>
    <t>ކުއްލިއްޔަތުއްދިރާސާތިލް އިސްލާމިއްޔާ</t>
  </si>
  <si>
    <t>މޯލްޑިވްސް އިމިގްރޭޝަން</t>
  </si>
  <si>
    <t>މިނިސްޓްރީ އޮފް ޖެންޑާ އެންޑް ފެމިލީ</t>
  </si>
  <si>
    <t xml:space="preserve">V. Atholhu Hospital </t>
  </si>
  <si>
    <t xml:space="preserve">F. Atholhu Hospital </t>
  </si>
  <si>
    <t xml:space="preserve">Dr.Abdul Samad Memorial Hospital </t>
  </si>
  <si>
    <t>ނ. އަތޮޅު ހޮސްޕިޓަލް</t>
  </si>
  <si>
    <t>ޅ. އަތޮޅު ހޮސްޕިޓަލް</t>
  </si>
  <si>
    <t>ވ. އަތޮޅު ހޮސްޕިޓަލް</t>
  </si>
  <si>
    <t>ފ. އަތޮޅު ހޮސްޕިޓަލް</t>
  </si>
  <si>
    <t>ޑރ. ޢަބްދުއްޞަމަދު މެމޯރިއަލް ހޮސްޕިޓަލް</t>
  </si>
  <si>
    <t>HDh.Finey  Sihhee Marukazu</t>
  </si>
  <si>
    <t>HDh.Hanimaadhoo Sihhee Marukazu</t>
  </si>
  <si>
    <t>N. Holhudhoo Sihhee Marukazu</t>
  </si>
  <si>
    <t>R.Dhuvaafaru Sihhee Marukazu</t>
  </si>
  <si>
    <t>R.Meedhoo Sihhee Marukazu</t>
  </si>
  <si>
    <t>K.Kaashidhoo  Sihhee Marukazu</t>
  </si>
  <si>
    <t>F.Bileiydhoo Sihhee Marukazu</t>
  </si>
  <si>
    <t>F.Dharanboodhoo Sihhee Marukazu</t>
  </si>
  <si>
    <t>F.Feealee Sihhee Marukazu</t>
  </si>
  <si>
    <t>ގއ. ކޮނޑޭ ޞިއްޙީ މަރުކަޒު</t>
  </si>
  <si>
    <t>ފ. ބިލެއްދޫ ޞިއްޙީ މަރުކަޒު</t>
  </si>
  <si>
    <t>ފ. ދަރަނބޫދޫ ޞިއްޙީ މަރުކަޒު</t>
  </si>
  <si>
    <t>ފ. ފީއަލީ ޞިއްޙީ މަރުކަޒު</t>
  </si>
  <si>
    <t>ކ. ކާށިދޫ ޞިއްޙީ މަރުކަޒު</t>
  </si>
  <si>
    <t>ނ. ޅޮހީ ޞިއްޙީ މަރުކަޒު</t>
  </si>
  <si>
    <t>ރ. މީދޫ ޞިއްޙީ މަރުކަޒު</t>
  </si>
  <si>
    <t>ރ. ދުވާފަރު ޞިއްޙީ މަރުކަޒު</t>
  </si>
  <si>
    <t>ހދ. ހަނިމާދޫ ޞިއްޙީ މަރުކަޒު</t>
  </si>
  <si>
    <t>ހދ. ފިނޭ ޞިއްޙީ މަރުކަޒު</t>
  </si>
  <si>
    <t xml:space="preserve">N. Atholhu Hospital </t>
  </si>
  <si>
    <t>R. Ungoofaaru Regional Hospital</t>
  </si>
  <si>
    <t xml:space="preserve">Lh. Atholhu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</si>
</sst>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name val="Faruma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Faruma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name val="Faruma"/>
    </font>
    <font>
      <i/>
      <sz val="10"/>
      <name val="Arial"/>
      <family val="2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Faruma"/>
    </font>
    <font>
      <i/>
      <sz val="9"/>
      <color indexed="8"/>
      <name val="Calibri"/>
      <family val="2"/>
      <scheme val="minor"/>
    </font>
    <font>
      <sz val="11"/>
      <color indexed="8"/>
      <name val="Times New Roman"/>
      <family val="1"/>
    </font>
    <font>
      <b/>
      <i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17">
    <xf numFmtId="0" fontId="0" fillId="0" borderId="0"/>
    <xf numFmtId="166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2" applyFill="1" applyBorder="1" applyAlignment="1">
      <alignment vertical="center"/>
    </xf>
    <xf numFmtId="0" fontId="2" fillId="2" borderId="0" xfId="2" applyFill="1" applyBorder="1" applyAlignment="1">
      <alignment horizontal="right" vertical="center"/>
    </xf>
    <xf numFmtId="0" fontId="15" fillId="2" borderId="4" xfId="2" applyFont="1" applyFill="1" applyBorder="1" applyAlignment="1">
      <alignment horizontal="right" vertical="center" readingOrder="2"/>
    </xf>
    <xf numFmtId="0" fontId="14" fillId="2" borderId="3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2" fillId="2" borderId="0" xfId="2" applyFill="1" applyBorder="1" applyAlignment="1">
      <alignment horizontal="left" vertical="center"/>
    </xf>
    <xf numFmtId="0" fontId="14" fillId="2" borderId="0" xfId="0" applyFont="1" applyFill="1" applyBorder="1" applyAlignment="1">
      <alignment horizontal="right" vertical="center"/>
    </xf>
    <xf numFmtId="0" fontId="7" fillId="2" borderId="0" xfId="2" applyFont="1" applyFill="1" applyBorder="1" applyAlignment="1">
      <alignment horizontal="right" vertical="center"/>
    </xf>
    <xf numFmtId="0" fontId="4" fillId="2" borderId="0" xfId="2" applyNumberFormat="1" applyFont="1" applyFill="1" applyBorder="1" applyAlignment="1">
      <alignment horizontal="center" vertical="center"/>
    </xf>
    <xf numFmtId="0" fontId="16" fillId="2" borderId="0" xfId="4" applyFont="1" applyFill="1" applyBorder="1" applyAlignment="1">
      <alignment horizontal="left" vertical="center" wrapText="1"/>
    </xf>
    <xf numFmtId="0" fontId="18" fillId="2" borderId="0" xfId="2" applyFont="1" applyFill="1" applyBorder="1" applyAlignment="1">
      <alignment horizontal="right" vertical="center" readingOrder="2"/>
    </xf>
    <xf numFmtId="0" fontId="19" fillId="2" borderId="0" xfId="4" applyFont="1" applyFill="1" applyBorder="1" applyAlignment="1">
      <alignment horizontal="left" vertical="center" wrapText="1" indent="2"/>
    </xf>
    <xf numFmtId="0" fontId="21" fillId="2" borderId="0" xfId="2" applyFont="1" applyFill="1" applyBorder="1" applyAlignment="1">
      <alignment horizontal="left" vertical="center" indent="10" readingOrder="2"/>
    </xf>
    <xf numFmtId="0" fontId="22" fillId="2" borderId="0" xfId="2" applyFont="1" applyFill="1" applyBorder="1" applyAlignment="1">
      <alignment horizontal="left" vertical="center"/>
    </xf>
    <xf numFmtId="0" fontId="4" fillId="2" borderId="0" xfId="2" applyFont="1" applyFill="1" applyBorder="1" applyAlignment="1">
      <alignment horizontal="center" vertical="center"/>
    </xf>
    <xf numFmtId="0" fontId="15" fillId="2" borderId="0" xfId="2" applyFont="1" applyFill="1" applyBorder="1" applyAlignment="1">
      <alignment horizontal="right" vertical="center" indent="1" readingOrder="2"/>
    </xf>
    <xf numFmtId="0" fontId="23" fillId="2" borderId="0" xfId="2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right" vertical="center"/>
    </xf>
    <xf numFmtId="0" fontId="23" fillId="2" borderId="0" xfId="0" applyFont="1" applyFill="1" applyBorder="1" applyAlignment="1">
      <alignment vertical="center"/>
    </xf>
    <xf numFmtId="0" fontId="25" fillId="2" borderId="0" xfId="2" applyFont="1" applyFill="1" applyBorder="1" applyAlignment="1">
      <alignment horizontal="right" vertical="center" readingOrder="2"/>
    </xf>
    <xf numFmtId="0" fontId="16" fillId="2" borderId="0" xfId="2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0" fontId="4" fillId="2" borderId="3" xfId="2" applyFont="1" applyFill="1" applyBorder="1" applyAlignment="1">
      <alignment horizontal="center" vertical="center"/>
    </xf>
    <xf numFmtId="0" fontId="16" fillId="2" borderId="3" xfId="4" applyFont="1" applyFill="1" applyBorder="1" applyAlignment="1">
      <alignment horizontal="left" vertical="center" wrapText="1"/>
    </xf>
    <xf numFmtId="0" fontId="26" fillId="2" borderId="0" xfId="2" applyFont="1" applyFill="1" applyBorder="1" applyAlignment="1">
      <alignment horizontal="left" vertical="center"/>
    </xf>
    <xf numFmtId="0" fontId="4" fillId="2" borderId="0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right" vertical="center" readingOrder="2"/>
    </xf>
    <xf numFmtId="0" fontId="27" fillId="2" borderId="0" xfId="2" applyFont="1" applyFill="1" applyBorder="1" applyAlignment="1">
      <alignment horizontal="left" vertical="center"/>
    </xf>
    <xf numFmtId="1" fontId="2" fillId="2" borderId="0" xfId="2" applyNumberFormat="1" applyFill="1" applyBorder="1" applyAlignment="1">
      <alignment vertical="center"/>
    </xf>
    <xf numFmtId="0" fontId="14" fillId="2" borderId="0" xfId="2" applyFont="1" applyFill="1" applyBorder="1" applyAlignment="1">
      <alignment horizontal="right" vertical="center"/>
    </xf>
    <xf numFmtId="0" fontId="17" fillId="2" borderId="0" xfId="2" applyFont="1" applyFill="1" applyBorder="1" applyAlignment="1" applyProtection="1">
      <alignment horizontal="right" vertical="center"/>
      <protection locked="0"/>
    </xf>
    <xf numFmtId="0" fontId="20" fillId="2" borderId="0" xfId="2" applyFont="1" applyFill="1" applyBorder="1" applyAlignment="1" applyProtection="1">
      <alignment horizontal="right" vertical="center"/>
      <protection locked="0"/>
    </xf>
    <xf numFmtId="0" fontId="17" fillId="2" borderId="0" xfId="2" applyFont="1" applyFill="1" applyBorder="1" applyAlignment="1">
      <alignment horizontal="right" vertical="center"/>
    </xf>
    <xf numFmtId="0" fontId="16" fillId="2" borderId="3" xfId="0" applyFont="1" applyFill="1" applyBorder="1" applyAlignment="1">
      <alignment vertical="center"/>
    </xf>
    <xf numFmtId="0" fontId="2" fillId="2" borderId="0" xfId="2" applyFill="1" applyBorder="1" applyAlignment="1">
      <alignment horizontal="center" vertical="center"/>
    </xf>
    <xf numFmtId="0" fontId="14" fillId="2" borderId="0" xfId="2" applyFont="1" applyFill="1" applyBorder="1" applyAlignment="1">
      <alignment horizontal="left" vertical="center"/>
    </xf>
    <xf numFmtId="0" fontId="15" fillId="2" borderId="0" xfId="2" applyFont="1" applyFill="1" applyBorder="1" applyAlignment="1">
      <alignment horizontal="right" vertical="center" readingOrder="2"/>
    </xf>
    <xf numFmtId="0" fontId="1" fillId="2" borderId="0" xfId="4" applyFont="1" applyFill="1" applyBorder="1" applyAlignment="1">
      <alignment horizontal="left" vertical="center" wrapText="1"/>
    </xf>
    <xf numFmtId="0" fontId="28" fillId="2" borderId="0" xfId="0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left" vertical="center" indent="1"/>
    </xf>
    <xf numFmtId="0" fontId="12" fillId="2" borderId="0" xfId="2" applyFont="1" applyFill="1" applyBorder="1" applyAlignment="1">
      <alignment horizontal="center" readingOrder="2"/>
    </xf>
    <xf numFmtId="0" fontId="13" fillId="2" borderId="0" xfId="0" applyFont="1" applyFill="1" applyBorder="1" applyAlignment="1">
      <alignment horizontal="center" vertical="center"/>
    </xf>
    <xf numFmtId="0" fontId="2" fillId="2" borderId="1" xfId="2" applyFill="1" applyBorder="1" applyAlignment="1">
      <alignment horizontal="center" vertical="center"/>
    </xf>
    <xf numFmtId="0" fontId="2" fillId="2" borderId="0" xfId="2" applyFill="1" applyBorder="1" applyAlignment="1">
      <alignment horizontal="center" vertical="center"/>
    </xf>
    <xf numFmtId="0" fontId="2" fillId="2" borderId="3" xfId="2" applyFill="1" applyBorder="1" applyAlignment="1">
      <alignment horizontal="center" vertical="center"/>
    </xf>
    <xf numFmtId="0" fontId="14" fillId="2" borderId="1" xfId="2" applyFont="1" applyFill="1" applyBorder="1" applyAlignment="1">
      <alignment horizontal="left" vertical="center"/>
    </xf>
    <xf numFmtId="0" fontId="14" fillId="2" borderId="0" xfId="2" applyFont="1" applyFill="1" applyBorder="1" applyAlignment="1">
      <alignment horizontal="left" vertical="center"/>
    </xf>
    <xf numFmtId="0" fontId="14" fillId="2" borderId="3" xfId="2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right" vertical="center" readingOrder="2"/>
    </xf>
    <xf numFmtId="0" fontId="15" fillId="2" borderId="0" xfId="2" applyFont="1" applyFill="1" applyBorder="1" applyAlignment="1">
      <alignment horizontal="right" vertical="center" readingOrder="2"/>
    </xf>
    <xf numFmtId="0" fontId="15" fillId="2" borderId="3" xfId="2" applyFont="1" applyFill="1" applyBorder="1" applyAlignment="1">
      <alignment horizontal="right" vertical="center" readingOrder="2"/>
    </xf>
  </cellXfs>
  <cellStyles count="517">
    <cellStyle name="Comma 3" xfId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15168935985421E-2"/>
          <c:y val="0.18057245791232801"/>
          <c:w val="0.89905357921464957"/>
          <c:h val="0.68747937066784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'5.9'!$BA$127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'5.9'!$AZ$128:$AZ$133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'5.9'!$BA$128:$BA$133</c:f>
              <c:numCache>
                <c:formatCode>General</c:formatCode>
                <c:ptCount val="6"/>
                <c:pt idx="0">
                  <c:v>544</c:v>
                </c:pt>
                <c:pt idx="1">
                  <c:v>446</c:v>
                </c:pt>
                <c:pt idx="2">
                  <c:v>473</c:v>
                </c:pt>
                <c:pt idx="3">
                  <c:v>526</c:v>
                </c:pt>
                <c:pt idx="4">
                  <c:v>667</c:v>
                </c:pt>
                <c:pt idx="5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1-4625-872C-2EEE673222BC}"/>
            </c:ext>
          </c:extLst>
        </c:ser>
        <c:ser>
          <c:idx val="1"/>
          <c:order val="1"/>
          <c:tx>
            <c:strRef>
              <c:f>'5.9'!$BB$127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f>'5.9'!$AZ$128:$AZ$133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'5.9'!$BB$128:$BB$133</c:f>
              <c:numCache>
                <c:formatCode>General</c:formatCode>
                <c:ptCount val="6"/>
                <c:pt idx="0">
                  <c:v>390</c:v>
                </c:pt>
                <c:pt idx="1">
                  <c:v>301</c:v>
                </c:pt>
                <c:pt idx="2">
                  <c:v>342</c:v>
                </c:pt>
                <c:pt idx="3">
                  <c:v>367</c:v>
                </c:pt>
                <c:pt idx="4">
                  <c:v>497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1-4625-872C-2EEE673222BC}"/>
            </c:ext>
          </c:extLst>
        </c:ser>
        <c:ser>
          <c:idx val="2"/>
          <c:order val="2"/>
          <c:tx>
            <c:strRef>
              <c:f>'5.9'!$BC$127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numRef>
              <c:f>'5.9'!$AZ$128:$AZ$133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'5.9'!$BC$128:$BC$133</c:f>
              <c:numCache>
                <c:formatCode>General</c:formatCode>
                <c:ptCount val="6"/>
                <c:pt idx="0">
                  <c:v>154</c:v>
                </c:pt>
                <c:pt idx="1">
                  <c:v>145</c:v>
                </c:pt>
                <c:pt idx="2">
                  <c:v>131</c:v>
                </c:pt>
                <c:pt idx="3">
                  <c:v>159</c:v>
                </c:pt>
                <c:pt idx="4">
                  <c:v>170</c:v>
                </c:pt>
                <c:pt idx="5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61-4625-872C-2EEE67322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axId val="167880576"/>
        <c:axId val="167882112"/>
      </c:barChart>
      <c:catAx>
        <c:axId val="1678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67882112"/>
        <c:crosses val="autoZero"/>
        <c:auto val="1"/>
        <c:lblAlgn val="ctr"/>
        <c:lblOffset val="100"/>
        <c:noMultiLvlLbl val="0"/>
      </c:catAx>
      <c:valAx>
        <c:axId val="167882112"/>
        <c:scaling>
          <c:orientation val="minMax"/>
        </c:scaling>
        <c:delete val="0"/>
        <c:axPos val="l"/>
        <c:majorGridlines>
          <c:spPr>
            <a:ln>
              <a:solidFill>
                <a:srgbClr val="FBC497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</c:spPr>
        <c:crossAx val="167880576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0727080569924461"/>
          <c:y val="0.27670650586980544"/>
          <c:w val="0.40481412635974151"/>
          <c:h val="6.5084541784876021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265579988477073"/>
          <c:y val="0.18884775717826474"/>
          <c:w val="0.40747383961873185"/>
          <c:h val="0.77359560645263481"/>
        </c:manualLayout>
      </c:layout>
      <c:pieChart>
        <c:varyColors val="1"/>
        <c:ser>
          <c:idx val="0"/>
          <c:order val="0"/>
          <c:spPr>
            <a:solidFill>
              <a:schemeClr val="accent2"/>
            </a:solidFill>
          </c:spPr>
          <c:explosion val="2"/>
          <c:dPt>
            <c:idx val="1"/>
            <c:bubble3D val="0"/>
            <c:spPr>
              <a:solidFill>
                <a:srgbClr val="F79747"/>
              </a:solidFill>
            </c:spPr>
            <c:extLst>
              <c:ext xmlns:c16="http://schemas.microsoft.com/office/drawing/2014/chart" uri="{C3380CC4-5D6E-409C-BE32-E72D297353CC}">
                <c16:uniqueId val="{00000001-6B9E-4688-BE7E-3243C97C5509}"/>
              </c:ext>
            </c:extLst>
          </c:dPt>
          <c:dLbls>
            <c:dLbl>
              <c:idx val="0"/>
              <c:layout>
                <c:manualLayout>
                  <c:x val="-0.12442167637773667"/>
                  <c:y val="-0.283847690230939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B9E-4688-BE7E-3243C97C5509}"/>
                </c:ext>
              </c:extLst>
            </c:dLbl>
            <c:dLbl>
              <c:idx val="1"/>
              <c:layout>
                <c:manualLayout>
                  <c:x val="0.11120653121575373"/>
                  <c:y val="0.17645782824111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B9E-4688-BE7E-3243C97C55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'5.9'!$D$7:$E$7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'5.9'!$D$8:$E$8</c:f>
              <c:numCache>
                <c:formatCode>General</c:formatCode>
                <c:ptCount val="2"/>
                <c:pt idx="0">
                  <c:v>500</c:v>
                </c:pt>
                <c:pt idx="1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E-4688-BE7E-3243C97C55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110</xdr:row>
      <xdr:rowOff>146684</xdr:rowOff>
    </xdr:from>
    <xdr:to>
      <xdr:col>5</xdr:col>
      <xdr:colOff>1737360</xdr:colOff>
      <xdr:row>125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1074420</xdr:colOff>
      <xdr:row>127</xdr:row>
      <xdr:rowOff>31114</xdr:rowOff>
    </xdr:from>
    <xdr:to>
      <xdr:col>5</xdr:col>
      <xdr:colOff>1722120</xdr:colOff>
      <xdr:row>141</xdr:row>
      <xdr:rowOff>60960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1325880</xdr:colOff>
      <xdr:row>111</xdr:row>
      <xdr:rowOff>144780</xdr:rowOff>
    </xdr:from>
    <xdr:to>
      <xdr:col>5</xdr:col>
      <xdr:colOff>1592580</xdr:colOff>
      <xdr:row>113</xdr:row>
      <xdr:rowOff>45720</xdr:rowOff>
    </xdr:to>
    <xdr:sp macro="" textlink="">
      <xdr:nvSpPr>
        <xdr:cNvPr id="4" name="TextBox 3"/>
        <xdr:cNvSpPr txBox="1"/>
      </xdr:nvSpPr>
      <xdr:spPr>
        <a:xfrm>
          <a:off x="1592580" y="26386155"/>
          <a:ext cx="4972050" cy="2247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Figure 5.10: Number of  political posts in  government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 </a:t>
          </a: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by sex, 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 </a:t>
          </a: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2011 - 201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6</a:t>
          </a:r>
          <a:endParaRPr lang="en-US" sz="1000">
            <a:latin typeface="+mn-lt"/>
            <a:cs typeface="Consolas" pitchFamily="49" charset="0"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1877313</xdr:colOff>
      <xdr:row>128</xdr:row>
      <xdr:rowOff>110756</xdr:rowOff>
    </xdr:from>
    <xdr:to>
      <xdr:col>5</xdr:col>
      <xdr:colOff>969115</xdr:colOff>
      <xdr:row>128</xdr:row>
      <xdr:rowOff>121831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2143127" y="32047195"/>
          <a:ext cx="3787848" cy="1107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1672414</xdr:colOff>
      <xdr:row>112</xdr:row>
      <xdr:rowOff>127369</xdr:rowOff>
    </xdr:from>
    <xdr:to>
      <xdr:col>5</xdr:col>
      <xdr:colOff>1212778</xdr:colOff>
      <xdr:row>112</xdr:row>
      <xdr:rowOff>127369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1938228" y="29366904"/>
          <a:ext cx="423641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0.02277</cdr:x>
      <cdr:y>0.05399</cdr:y>
    </cdr:from>
    <cdr:to>
      <cdr:x>0.98944</cdr:x>
      <cdr:y>0.12709</cdr:y>
    </cdr:to>
    <cdr:sp macro="" textlink="">
      <cdr:nvSpPr>
        <cdr:cNvPr id="2" name="TextBox 3"/>
        <cdr:cNvSpPr txBox="1"/>
      </cdr:nvSpPr>
      <cdr:spPr>
        <a:xfrm xmlns:a="http://schemas.openxmlformats.org/drawingml/2006/main">
          <a:off x="122075" y="146974"/>
          <a:ext cx="5182901" cy="19898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/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Figure: 5.11: Percentage of government </a:t>
          </a:r>
          <a:r>
            <a:rPr lang="en-US" sz="1000" b="1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political</a:t>
          </a:r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 posts by sex, 201</a:t>
          </a:r>
          <a:r>
            <a:rPr lang="dv-MV" sz="1000" b="1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6</a:t>
          </a:r>
          <a:endParaRPr lang="en-US" sz="900" b="1">
            <a:latin typeface="+mn-lt"/>
            <a:cs typeface="Consolas" pitchFamily="49" charset="0"/>
          </a:endParaRPr>
        </a:p>
        <a:p xmlns:a="http://schemas.openxmlformats.org/drawingml/2006/main">
          <a:pPr algn="ctr"/>
          <a:endParaRPr lang="en-US" sz="9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F142"/>
  <sheetViews>
    <sheetView tabSelected="1" zoomScaleNormal="100" workbookViewId="0">
      <selection activeCell="Q13" sqref="Q13"/>
    </sheetView>
  </sheetViews>
  <sheetFormatPr defaultColWidth="9.140625" defaultRowHeight="12.75" x14ac:dyDescent="0.25"/>
  <cols>
    <col min="1" max="1" width="4" style="1" customWidth="1"/>
    <col min="2" max="2" width="40.5703125" style="1" customWidth="1"/>
    <col min="3" max="3" width="10" style="35" customWidth="1"/>
    <col min="4" max="5" width="10" style="1" customWidth="1"/>
    <col min="6" max="6" width="46.140625" style="2" customWidth="1"/>
    <col min="7" max="16384" width="9.140625" style="1"/>
  </cols>
  <sheetData>
    <row r="2" spans="1:6" ht="21.75" x14ac:dyDescent="0.55000000000000004">
      <c r="B2" s="41" t="s">
        <v>8</v>
      </c>
      <c r="C2" s="41"/>
      <c r="D2" s="41"/>
      <c r="E2" s="41"/>
      <c r="F2" s="41"/>
    </row>
    <row r="3" spans="1:6" ht="15.75" x14ac:dyDescent="0.25">
      <c r="B3" s="42" t="s">
        <v>9</v>
      </c>
      <c r="C3" s="42"/>
      <c r="D3" s="42"/>
      <c r="E3" s="42"/>
      <c r="F3" s="42"/>
    </row>
    <row r="4" spans="1:6" x14ac:dyDescent="0.25">
      <c r="C4" s="1"/>
    </row>
    <row r="5" spans="1:6" ht="15" x14ac:dyDescent="0.25">
      <c r="A5" s="43"/>
      <c r="B5" s="46" t="s">
        <v>10</v>
      </c>
      <c r="C5" s="49" t="s">
        <v>176</v>
      </c>
      <c r="D5" s="49"/>
      <c r="E5" s="49"/>
      <c r="F5" s="50" t="s">
        <v>11</v>
      </c>
    </row>
    <row r="6" spans="1:6" ht="21" x14ac:dyDescent="0.25">
      <c r="A6" s="44"/>
      <c r="B6" s="47"/>
      <c r="C6" s="3" t="s">
        <v>12</v>
      </c>
      <c r="D6" s="37" t="s">
        <v>2</v>
      </c>
      <c r="E6" s="3" t="s">
        <v>3</v>
      </c>
      <c r="F6" s="51"/>
    </row>
    <row r="7" spans="1:6" ht="15" x14ac:dyDescent="0.25">
      <c r="A7" s="45"/>
      <c r="B7" s="48"/>
      <c r="C7" s="4" t="s">
        <v>7</v>
      </c>
      <c r="D7" s="5" t="s">
        <v>4</v>
      </c>
      <c r="E7" s="4" t="s">
        <v>5</v>
      </c>
      <c r="F7" s="52"/>
    </row>
    <row r="8" spans="1:6" s="6" customFormat="1" ht="21" x14ac:dyDescent="0.25">
      <c r="B8" s="36" t="s">
        <v>13</v>
      </c>
      <c r="C8" s="7">
        <f>SUM(D8:E8)</f>
        <v>691</v>
      </c>
      <c r="D8" s="8">
        <f>SUM(D9:D108)-D11</f>
        <v>500</v>
      </c>
      <c r="E8" s="8">
        <f>SUM(E9:E108)-E11</f>
        <v>191</v>
      </c>
      <c r="F8" s="37" t="s">
        <v>1</v>
      </c>
    </row>
    <row r="9" spans="1:6" s="6" customFormat="1" ht="21" x14ac:dyDescent="0.25">
      <c r="A9" s="9">
        <v>1</v>
      </c>
      <c r="B9" s="10" t="s">
        <v>14</v>
      </c>
      <c r="C9" s="7">
        <f>SUM(D9:E9)</f>
        <v>237</v>
      </c>
      <c r="D9" s="31">
        <v>126</v>
      </c>
      <c r="E9" s="31">
        <v>111</v>
      </c>
      <c r="F9" s="11" t="s">
        <v>15</v>
      </c>
    </row>
    <row r="10" spans="1:6" s="6" customFormat="1" ht="21" x14ac:dyDescent="0.25">
      <c r="A10" s="9">
        <v>2</v>
      </c>
      <c r="B10" s="10" t="s">
        <v>16</v>
      </c>
      <c r="C10" s="7">
        <f>SUM(D10:E10)</f>
        <v>79</v>
      </c>
      <c r="D10" s="7">
        <v>65</v>
      </c>
      <c r="E10" s="7">
        <v>14</v>
      </c>
      <c r="F10" s="11" t="s">
        <v>17</v>
      </c>
    </row>
    <row r="11" spans="1:6" s="14" customFormat="1" ht="21" x14ac:dyDescent="0.25">
      <c r="A11" s="9">
        <v>3</v>
      </c>
      <c r="B11" s="12" t="s">
        <v>18</v>
      </c>
      <c r="C11" s="39">
        <f>SUM(D11:E11)</f>
        <v>52</v>
      </c>
      <c r="D11" s="32">
        <v>52</v>
      </c>
      <c r="E11" s="32">
        <v>0</v>
      </c>
      <c r="F11" s="13" t="s">
        <v>19</v>
      </c>
    </row>
    <row r="12" spans="1:6" s="6" customFormat="1" ht="21" x14ac:dyDescent="0.25">
      <c r="A12" s="9">
        <v>4</v>
      </c>
      <c r="B12" s="10" t="s">
        <v>20</v>
      </c>
      <c r="C12" s="7">
        <f t="shared" ref="C12:C67" si="0">SUM(D12:E12)</f>
        <v>19</v>
      </c>
      <c r="D12" s="31">
        <v>16</v>
      </c>
      <c r="E12" s="31">
        <v>3</v>
      </c>
      <c r="F12" s="11" t="s">
        <v>21</v>
      </c>
    </row>
    <row r="13" spans="1:6" s="6" customFormat="1" ht="21" x14ac:dyDescent="0.25">
      <c r="A13" s="9">
        <v>5</v>
      </c>
      <c r="B13" s="10" t="s">
        <v>22</v>
      </c>
      <c r="C13" s="7">
        <f t="shared" si="0"/>
        <v>9</v>
      </c>
      <c r="D13" s="31">
        <v>6</v>
      </c>
      <c r="E13" s="31">
        <v>3</v>
      </c>
      <c r="F13" s="11" t="s">
        <v>23</v>
      </c>
    </row>
    <row r="14" spans="1:6" s="6" customFormat="1" ht="21" x14ac:dyDescent="0.25">
      <c r="A14" s="9">
        <v>6</v>
      </c>
      <c r="B14" s="10" t="s">
        <v>24</v>
      </c>
      <c r="C14" s="7">
        <f t="shared" si="0"/>
        <v>5</v>
      </c>
      <c r="D14" s="31">
        <v>4</v>
      </c>
      <c r="E14" s="31">
        <v>1</v>
      </c>
      <c r="F14" s="11" t="s">
        <v>25</v>
      </c>
    </row>
    <row r="15" spans="1:6" s="6" customFormat="1" ht="21" x14ac:dyDescent="0.25">
      <c r="A15" s="9">
        <v>7</v>
      </c>
      <c r="B15" s="10" t="s">
        <v>26</v>
      </c>
      <c r="C15" s="7">
        <f t="shared" si="0"/>
        <v>64</v>
      </c>
      <c r="D15" s="31">
        <v>41</v>
      </c>
      <c r="E15" s="31">
        <v>23</v>
      </c>
      <c r="F15" s="11" t="s">
        <v>27</v>
      </c>
    </row>
    <row r="16" spans="1:6" s="6" customFormat="1" ht="21" x14ac:dyDescent="0.25">
      <c r="A16" s="9">
        <v>8</v>
      </c>
      <c r="B16" s="12" t="s">
        <v>18</v>
      </c>
      <c r="C16" s="7">
        <f t="shared" ref="C16:C39" si="1">SUM(D17:E17)</f>
        <v>17</v>
      </c>
      <c r="D16" s="31">
        <v>2</v>
      </c>
      <c r="E16" s="31">
        <v>0</v>
      </c>
      <c r="F16" s="13" t="s">
        <v>19</v>
      </c>
    </row>
    <row r="17" spans="1:6" s="6" customFormat="1" ht="21" x14ac:dyDescent="0.25">
      <c r="A17" s="9">
        <v>9</v>
      </c>
      <c r="B17" s="10" t="s">
        <v>28</v>
      </c>
      <c r="C17" s="7">
        <f t="shared" si="1"/>
        <v>9</v>
      </c>
      <c r="D17" s="22">
        <v>13</v>
      </c>
      <c r="E17" s="31">
        <v>4</v>
      </c>
      <c r="F17" s="11" t="s">
        <v>29</v>
      </c>
    </row>
    <row r="18" spans="1:6" s="6" customFormat="1" ht="21" x14ac:dyDescent="0.25">
      <c r="A18" s="9">
        <v>10</v>
      </c>
      <c r="B18" s="10" t="s">
        <v>30</v>
      </c>
      <c r="C18" s="7">
        <f t="shared" si="1"/>
        <v>25</v>
      </c>
      <c r="D18" s="31">
        <v>7</v>
      </c>
      <c r="E18" s="22">
        <v>2</v>
      </c>
      <c r="F18" s="11" t="s">
        <v>31</v>
      </c>
    </row>
    <row r="19" spans="1:6" s="6" customFormat="1" ht="21" x14ac:dyDescent="0.25">
      <c r="A19" s="9">
        <v>11</v>
      </c>
      <c r="B19" s="10" t="s">
        <v>32</v>
      </c>
      <c r="C19" s="7">
        <f t="shared" si="1"/>
        <v>18</v>
      </c>
      <c r="D19" s="31">
        <v>21</v>
      </c>
      <c r="E19" s="31">
        <v>4</v>
      </c>
      <c r="F19" s="11" t="s">
        <v>33</v>
      </c>
    </row>
    <row r="20" spans="1:6" s="6" customFormat="1" ht="21" x14ac:dyDescent="0.25">
      <c r="A20" s="9">
        <v>12</v>
      </c>
      <c r="B20" s="10" t="s">
        <v>34</v>
      </c>
      <c r="C20" s="7">
        <f t="shared" si="1"/>
        <v>16</v>
      </c>
      <c r="D20" s="31">
        <v>16</v>
      </c>
      <c r="E20" s="31">
        <v>2</v>
      </c>
      <c r="F20" s="11" t="s">
        <v>35</v>
      </c>
    </row>
    <row r="21" spans="1:6" s="6" customFormat="1" ht="21" x14ac:dyDescent="0.25">
      <c r="A21" s="9">
        <v>13</v>
      </c>
      <c r="B21" s="10" t="s">
        <v>36</v>
      </c>
      <c r="C21" s="7">
        <f t="shared" si="1"/>
        <v>8</v>
      </c>
      <c r="D21" s="31">
        <v>10</v>
      </c>
      <c r="E21" s="31">
        <v>6</v>
      </c>
      <c r="F21" s="11" t="s">
        <v>37</v>
      </c>
    </row>
    <row r="22" spans="1:6" s="6" customFormat="1" ht="21" x14ac:dyDescent="0.25">
      <c r="A22" s="9">
        <v>14</v>
      </c>
      <c r="B22" s="10" t="s">
        <v>38</v>
      </c>
      <c r="C22" s="7">
        <f t="shared" si="1"/>
        <v>17</v>
      </c>
      <c r="D22" s="31">
        <v>7</v>
      </c>
      <c r="E22" s="31">
        <v>1</v>
      </c>
      <c r="F22" s="11" t="s">
        <v>39</v>
      </c>
    </row>
    <row r="23" spans="1:6" s="6" customFormat="1" ht="21" x14ac:dyDescent="0.25">
      <c r="A23" s="9">
        <v>15</v>
      </c>
      <c r="B23" s="10" t="s">
        <v>40</v>
      </c>
      <c r="C23" s="7">
        <f t="shared" si="1"/>
        <v>20</v>
      </c>
      <c r="D23" s="31">
        <v>17</v>
      </c>
      <c r="E23" s="31">
        <v>0</v>
      </c>
      <c r="F23" s="11" t="s">
        <v>41</v>
      </c>
    </row>
    <row r="24" spans="1:6" s="6" customFormat="1" ht="21" x14ac:dyDescent="0.25">
      <c r="A24" s="9">
        <v>16</v>
      </c>
      <c r="B24" s="10" t="s">
        <v>42</v>
      </c>
      <c r="C24" s="7">
        <f t="shared" si="1"/>
        <v>34</v>
      </c>
      <c r="D24" s="22">
        <v>17</v>
      </c>
      <c r="E24" s="31">
        <v>3</v>
      </c>
      <c r="F24" s="11" t="s">
        <v>43</v>
      </c>
    </row>
    <row r="25" spans="1:6" s="6" customFormat="1" ht="21" x14ac:dyDescent="0.25">
      <c r="A25" s="9">
        <v>17</v>
      </c>
      <c r="B25" s="10" t="s">
        <v>44</v>
      </c>
      <c r="C25" s="7">
        <f t="shared" si="1"/>
        <v>4</v>
      </c>
      <c r="D25" s="31">
        <v>33</v>
      </c>
      <c r="E25" s="33">
        <v>1</v>
      </c>
      <c r="F25" s="11" t="s">
        <v>45</v>
      </c>
    </row>
    <row r="26" spans="1:6" s="6" customFormat="1" ht="21" x14ac:dyDescent="0.25">
      <c r="A26" s="9">
        <v>18</v>
      </c>
      <c r="B26" s="10" t="s">
        <v>46</v>
      </c>
      <c r="C26" s="7">
        <f t="shared" si="1"/>
        <v>16</v>
      </c>
      <c r="D26" s="31">
        <v>4</v>
      </c>
      <c r="E26" s="31">
        <v>0</v>
      </c>
      <c r="F26" s="11" t="s">
        <v>47</v>
      </c>
    </row>
    <row r="27" spans="1:6" s="6" customFormat="1" ht="21" x14ac:dyDescent="0.25">
      <c r="A27" s="9">
        <v>19</v>
      </c>
      <c r="B27" s="10" t="s">
        <v>177</v>
      </c>
      <c r="C27" s="7">
        <f t="shared" si="1"/>
        <v>5</v>
      </c>
      <c r="D27" s="31">
        <v>8</v>
      </c>
      <c r="E27" s="31">
        <v>8</v>
      </c>
      <c r="F27" s="11" t="s">
        <v>182</v>
      </c>
    </row>
    <row r="28" spans="1:6" s="6" customFormat="1" ht="21" x14ac:dyDescent="0.25">
      <c r="A28" s="9">
        <v>20</v>
      </c>
      <c r="B28" s="10" t="s">
        <v>178</v>
      </c>
      <c r="C28" s="7">
        <f t="shared" si="1"/>
        <v>1</v>
      </c>
      <c r="D28" s="31">
        <v>5</v>
      </c>
      <c r="E28" s="31">
        <v>0</v>
      </c>
      <c r="F28" s="11" t="s">
        <v>181</v>
      </c>
    </row>
    <row r="29" spans="1:6" s="6" customFormat="1" ht="21" x14ac:dyDescent="0.25">
      <c r="A29" s="9">
        <v>21</v>
      </c>
      <c r="B29" s="10" t="s">
        <v>48</v>
      </c>
      <c r="C29" s="7">
        <f t="shared" si="1"/>
        <v>1</v>
      </c>
      <c r="D29" s="31">
        <v>1</v>
      </c>
      <c r="E29" s="31">
        <v>0</v>
      </c>
      <c r="F29" s="11" t="s">
        <v>49</v>
      </c>
    </row>
    <row r="30" spans="1:6" s="6" customFormat="1" ht="30" x14ac:dyDescent="0.25">
      <c r="A30" s="9">
        <v>22</v>
      </c>
      <c r="B30" s="10" t="s">
        <v>50</v>
      </c>
      <c r="C30" s="7">
        <f t="shared" si="1"/>
        <v>1</v>
      </c>
      <c r="D30" s="31">
        <v>1</v>
      </c>
      <c r="E30" s="31">
        <v>0</v>
      </c>
      <c r="F30" s="11" t="s">
        <v>51</v>
      </c>
    </row>
    <row r="31" spans="1:6" s="6" customFormat="1" ht="21" x14ac:dyDescent="0.25">
      <c r="A31" s="9">
        <v>23</v>
      </c>
      <c r="B31" s="10" t="s">
        <v>52</v>
      </c>
      <c r="C31" s="7">
        <f t="shared" si="1"/>
        <v>6</v>
      </c>
      <c r="D31" s="31">
        <v>1</v>
      </c>
      <c r="E31" s="31">
        <v>0</v>
      </c>
      <c r="F31" s="11" t="s">
        <v>53</v>
      </c>
    </row>
    <row r="32" spans="1:6" s="6" customFormat="1" ht="20.25" customHeight="1" x14ac:dyDescent="0.25">
      <c r="A32" s="9">
        <v>24</v>
      </c>
      <c r="B32" s="10" t="s">
        <v>54</v>
      </c>
      <c r="C32" s="7">
        <f t="shared" si="1"/>
        <v>1</v>
      </c>
      <c r="D32" s="31">
        <v>6</v>
      </c>
      <c r="E32" s="31">
        <v>0</v>
      </c>
      <c r="F32" s="11" t="s">
        <v>55</v>
      </c>
    </row>
    <row r="33" spans="1:52" s="6" customFormat="1" ht="21" x14ac:dyDescent="0.25">
      <c r="A33" s="9">
        <v>25</v>
      </c>
      <c r="B33" s="10" t="s">
        <v>56</v>
      </c>
      <c r="C33" s="7">
        <f t="shared" si="1"/>
        <v>1</v>
      </c>
      <c r="D33" s="31">
        <v>1</v>
      </c>
      <c r="E33" s="31">
        <v>0</v>
      </c>
      <c r="F33" s="11" t="s">
        <v>57</v>
      </c>
    </row>
    <row r="34" spans="1:52" s="6" customFormat="1" ht="21" x14ac:dyDescent="0.25">
      <c r="A34" s="9">
        <v>26</v>
      </c>
      <c r="B34" s="10" t="s">
        <v>58</v>
      </c>
      <c r="C34" s="7">
        <f t="shared" si="1"/>
        <v>1</v>
      </c>
      <c r="D34" s="31">
        <v>1</v>
      </c>
      <c r="E34" s="31">
        <v>0</v>
      </c>
      <c r="F34" s="11" t="s">
        <v>59</v>
      </c>
    </row>
    <row r="35" spans="1:52" s="6" customFormat="1" ht="21" x14ac:dyDescent="0.25">
      <c r="A35" s="9">
        <v>27</v>
      </c>
      <c r="B35" s="10" t="s">
        <v>60</v>
      </c>
      <c r="C35" s="7">
        <f t="shared" si="1"/>
        <v>1</v>
      </c>
      <c r="D35" s="31">
        <v>1</v>
      </c>
      <c r="E35" s="31">
        <v>0</v>
      </c>
      <c r="F35" s="11" t="s">
        <v>61</v>
      </c>
    </row>
    <row r="36" spans="1:52" s="6" customFormat="1" ht="30" x14ac:dyDescent="0.25">
      <c r="A36" s="9">
        <v>28</v>
      </c>
      <c r="B36" s="10" t="s">
        <v>62</v>
      </c>
      <c r="C36" s="7">
        <f t="shared" si="1"/>
        <v>3</v>
      </c>
      <c r="D36" s="31">
        <v>1</v>
      </c>
      <c r="E36" s="31">
        <v>0</v>
      </c>
      <c r="F36" s="11" t="s">
        <v>63</v>
      </c>
    </row>
    <row r="37" spans="1:52" s="6" customFormat="1" ht="21" x14ac:dyDescent="0.25">
      <c r="A37" s="9">
        <v>29</v>
      </c>
      <c r="B37" s="10" t="s">
        <v>64</v>
      </c>
      <c r="C37" s="7">
        <f t="shared" si="1"/>
        <v>3</v>
      </c>
      <c r="D37" s="22">
        <v>2</v>
      </c>
      <c r="E37" s="31">
        <v>1</v>
      </c>
      <c r="F37" s="11" t="s">
        <v>65</v>
      </c>
    </row>
    <row r="38" spans="1:52" s="6" customFormat="1" ht="21" x14ac:dyDescent="0.25">
      <c r="A38" s="9">
        <v>30</v>
      </c>
      <c r="B38" s="10" t="s">
        <v>66</v>
      </c>
      <c r="C38" s="7">
        <f t="shared" si="1"/>
        <v>1</v>
      </c>
      <c r="D38" s="31">
        <v>2</v>
      </c>
      <c r="E38" s="31">
        <v>1</v>
      </c>
      <c r="F38" s="11" t="s">
        <v>67</v>
      </c>
    </row>
    <row r="39" spans="1:52" s="6" customFormat="1" ht="21" x14ac:dyDescent="0.25">
      <c r="A39" s="9">
        <v>31</v>
      </c>
      <c r="B39" s="10" t="s">
        <v>179</v>
      </c>
      <c r="C39" s="7">
        <f t="shared" si="1"/>
        <v>0</v>
      </c>
      <c r="D39" s="22">
        <v>1</v>
      </c>
      <c r="E39" s="31">
        <v>0</v>
      </c>
      <c r="F39" s="11" t="s">
        <v>180</v>
      </c>
    </row>
    <row r="40" spans="1:52" s="6" customFormat="1" ht="21" x14ac:dyDescent="0.25">
      <c r="A40" s="40" t="s">
        <v>0</v>
      </c>
      <c r="B40" s="40"/>
      <c r="E40" s="22"/>
      <c r="F40" s="16" t="s">
        <v>6</v>
      </c>
    </row>
    <row r="41" spans="1:52" s="6" customFormat="1" ht="21" x14ac:dyDescent="0.25">
      <c r="A41" s="15">
        <v>32</v>
      </c>
      <c r="B41" s="10" t="s">
        <v>68</v>
      </c>
      <c r="C41" s="7">
        <f t="shared" si="0"/>
        <v>1</v>
      </c>
      <c r="D41" s="22">
        <v>1</v>
      </c>
      <c r="E41" s="22">
        <v>0</v>
      </c>
      <c r="F41" s="11" t="s">
        <v>69</v>
      </c>
    </row>
    <row r="42" spans="1:52" s="6" customFormat="1" ht="21" x14ac:dyDescent="0.25">
      <c r="A42" s="15">
        <v>33</v>
      </c>
      <c r="B42" s="10" t="s">
        <v>70</v>
      </c>
      <c r="C42" s="7">
        <f t="shared" si="0"/>
        <v>1</v>
      </c>
      <c r="D42" s="22">
        <v>1</v>
      </c>
      <c r="E42" s="22">
        <v>0</v>
      </c>
      <c r="F42" s="11" t="s">
        <v>71</v>
      </c>
    </row>
    <row r="43" spans="1:52" s="6" customFormat="1" ht="21" x14ac:dyDescent="0.25">
      <c r="A43" s="15">
        <v>34</v>
      </c>
      <c r="B43" s="10" t="s">
        <v>210</v>
      </c>
      <c r="C43" s="7">
        <f t="shared" si="0"/>
        <v>1</v>
      </c>
      <c r="D43" s="22">
        <v>1</v>
      </c>
      <c r="E43" s="22">
        <v>0</v>
      </c>
      <c r="F43" s="11" t="s">
        <v>186</v>
      </c>
    </row>
    <row r="44" spans="1:52" s="6" customFormat="1" ht="21" x14ac:dyDescent="0.25">
      <c r="A44" s="15">
        <v>35</v>
      </c>
      <c r="B44" s="10" t="s">
        <v>211</v>
      </c>
      <c r="C44" s="7">
        <f t="shared" si="0"/>
        <v>0</v>
      </c>
      <c r="D44" s="22">
        <v>0</v>
      </c>
      <c r="E44" s="22">
        <v>0</v>
      </c>
      <c r="F44" s="11" t="s">
        <v>72</v>
      </c>
    </row>
    <row r="45" spans="1:52" s="6" customFormat="1" ht="21" x14ac:dyDescent="0.25">
      <c r="A45" s="15">
        <v>36</v>
      </c>
      <c r="B45" s="10" t="s">
        <v>212</v>
      </c>
      <c r="C45" s="7">
        <f>SUM(E46:E46)</f>
        <v>0</v>
      </c>
      <c r="D45" s="22">
        <v>1</v>
      </c>
      <c r="E45" s="22">
        <v>0</v>
      </c>
      <c r="F45" s="11" t="s">
        <v>187</v>
      </c>
    </row>
    <row r="46" spans="1:52" s="6" customFormat="1" ht="21" x14ac:dyDescent="0.25">
      <c r="A46" s="15">
        <v>37</v>
      </c>
      <c r="B46" s="10" t="s">
        <v>73</v>
      </c>
      <c r="C46" s="7">
        <f>SUM(E49:E49)</f>
        <v>0</v>
      </c>
      <c r="D46" s="22">
        <v>1</v>
      </c>
      <c r="E46" s="22">
        <v>0</v>
      </c>
      <c r="F46" s="11" t="s">
        <v>74</v>
      </c>
      <c r="AV46" s="17"/>
      <c r="AW46" s="18"/>
      <c r="AX46" s="19"/>
      <c r="AY46" s="19"/>
      <c r="AZ46" s="20"/>
    </row>
    <row r="47" spans="1:52" s="6" customFormat="1" ht="21" x14ac:dyDescent="0.25">
      <c r="A47" s="15">
        <v>38</v>
      </c>
      <c r="B47" s="10" t="s">
        <v>183</v>
      </c>
      <c r="C47" s="7">
        <f>SUM(E50:E50)</f>
        <v>0</v>
      </c>
      <c r="D47" s="22">
        <v>1</v>
      </c>
      <c r="E47" s="22">
        <v>0</v>
      </c>
      <c r="F47" s="11" t="s">
        <v>188</v>
      </c>
      <c r="AV47" s="17"/>
      <c r="AW47" s="18"/>
      <c r="AX47" s="19"/>
      <c r="AY47" s="19"/>
      <c r="AZ47" s="20"/>
    </row>
    <row r="48" spans="1:52" s="6" customFormat="1" ht="21" x14ac:dyDescent="0.25">
      <c r="A48" s="15">
        <v>39</v>
      </c>
      <c r="B48" s="10" t="s">
        <v>184</v>
      </c>
      <c r="C48" s="7">
        <f t="shared" ref="C48:C53" si="2">SUM(D52:E52)</f>
        <v>1</v>
      </c>
      <c r="D48" s="22">
        <v>1</v>
      </c>
      <c r="E48" s="22">
        <v>0</v>
      </c>
      <c r="F48" s="11" t="s">
        <v>189</v>
      </c>
      <c r="AV48" s="17"/>
      <c r="AW48" s="18"/>
      <c r="AX48" s="19"/>
      <c r="AY48" s="19"/>
      <c r="AZ48" s="20"/>
    </row>
    <row r="49" spans="1:52" s="6" customFormat="1" ht="21" x14ac:dyDescent="0.25">
      <c r="A49" s="15">
        <v>40</v>
      </c>
      <c r="B49" s="10" t="s">
        <v>75</v>
      </c>
      <c r="C49" s="7">
        <f t="shared" si="2"/>
        <v>1</v>
      </c>
      <c r="D49" s="22">
        <v>1</v>
      </c>
      <c r="E49" s="22">
        <v>0</v>
      </c>
      <c r="F49" s="11" t="s">
        <v>76</v>
      </c>
      <c r="AV49" s="21"/>
      <c r="AW49" s="7"/>
      <c r="AX49" s="22"/>
      <c r="AY49" s="22"/>
      <c r="AZ49" s="11"/>
    </row>
    <row r="50" spans="1:52" s="6" customFormat="1" ht="21" x14ac:dyDescent="0.25">
      <c r="A50" s="15">
        <v>41</v>
      </c>
      <c r="B50" s="10" t="s">
        <v>77</v>
      </c>
      <c r="C50" s="7">
        <f t="shared" si="2"/>
        <v>1</v>
      </c>
      <c r="D50" s="22">
        <v>1</v>
      </c>
      <c r="E50" s="22">
        <v>0</v>
      </c>
      <c r="F50" s="11" t="s">
        <v>78</v>
      </c>
    </row>
    <row r="51" spans="1:52" s="6" customFormat="1" ht="21" x14ac:dyDescent="0.25">
      <c r="A51" s="15">
        <v>42</v>
      </c>
      <c r="B51" s="10" t="s">
        <v>185</v>
      </c>
      <c r="C51" s="7">
        <f t="shared" si="2"/>
        <v>1</v>
      </c>
      <c r="D51" s="22">
        <v>1</v>
      </c>
      <c r="E51" s="22">
        <v>0</v>
      </c>
      <c r="F51" s="11" t="s">
        <v>190</v>
      </c>
    </row>
    <row r="52" spans="1:52" s="6" customFormat="1" ht="21" x14ac:dyDescent="0.25">
      <c r="A52" s="15">
        <v>43</v>
      </c>
      <c r="B52" s="10" t="s">
        <v>79</v>
      </c>
      <c r="C52" s="7">
        <f t="shared" si="2"/>
        <v>1</v>
      </c>
      <c r="D52" s="22">
        <v>1</v>
      </c>
      <c r="E52" s="22">
        <v>0</v>
      </c>
      <c r="F52" s="11" t="s">
        <v>80</v>
      </c>
    </row>
    <row r="53" spans="1:52" s="6" customFormat="1" ht="21" x14ac:dyDescent="0.25">
      <c r="A53" s="15">
        <v>44</v>
      </c>
      <c r="B53" s="10" t="s">
        <v>81</v>
      </c>
      <c r="C53" s="7">
        <f t="shared" si="2"/>
        <v>1</v>
      </c>
      <c r="D53" s="22">
        <v>1</v>
      </c>
      <c r="E53" s="22">
        <v>0</v>
      </c>
      <c r="F53" s="11" t="s">
        <v>82</v>
      </c>
    </row>
    <row r="54" spans="1:52" s="6" customFormat="1" ht="21" x14ac:dyDescent="0.25">
      <c r="A54" s="15">
        <v>45</v>
      </c>
      <c r="B54" s="10" t="s">
        <v>83</v>
      </c>
      <c r="C54" s="7">
        <f t="shared" ref="C54:C55" si="3">SUM(D58:E58)</f>
        <v>1</v>
      </c>
      <c r="D54" s="22">
        <v>1</v>
      </c>
      <c r="E54" s="22">
        <v>0</v>
      </c>
      <c r="F54" s="11" t="s">
        <v>84</v>
      </c>
    </row>
    <row r="55" spans="1:52" s="6" customFormat="1" ht="21" x14ac:dyDescent="0.25">
      <c r="A55" s="15">
        <v>46</v>
      </c>
      <c r="B55" s="10" t="s">
        <v>85</v>
      </c>
      <c r="C55" s="7">
        <f t="shared" si="3"/>
        <v>1</v>
      </c>
      <c r="D55" s="22">
        <v>1</v>
      </c>
      <c r="E55" s="22">
        <v>0</v>
      </c>
      <c r="F55" s="11" t="s">
        <v>86</v>
      </c>
    </row>
    <row r="56" spans="1:52" s="6" customFormat="1" ht="21" x14ac:dyDescent="0.25">
      <c r="A56" s="15">
        <v>47</v>
      </c>
      <c r="B56" s="10" t="s">
        <v>87</v>
      </c>
      <c r="C56" s="7">
        <f>SUM(D62:E62)</f>
        <v>1</v>
      </c>
      <c r="D56" s="22">
        <v>0</v>
      </c>
      <c r="E56" s="22">
        <v>1</v>
      </c>
      <c r="F56" s="11" t="s">
        <v>88</v>
      </c>
    </row>
    <row r="57" spans="1:52" s="6" customFormat="1" ht="21" x14ac:dyDescent="0.25">
      <c r="A57" s="15">
        <v>48</v>
      </c>
      <c r="B57" s="10" t="s">
        <v>89</v>
      </c>
      <c r="C57" s="7">
        <f>SUM(D63:E63)</f>
        <v>1</v>
      </c>
      <c r="D57" s="22">
        <v>1</v>
      </c>
      <c r="E57" s="22">
        <v>0</v>
      </c>
      <c r="F57" s="11" t="s">
        <v>90</v>
      </c>
    </row>
    <row r="58" spans="1:52" s="6" customFormat="1" ht="21" x14ac:dyDescent="0.25">
      <c r="A58" s="15">
        <v>49</v>
      </c>
      <c r="B58" s="10" t="s">
        <v>91</v>
      </c>
      <c r="C58" s="7">
        <f>SUM(D64:E64)</f>
        <v>1</v>
      </c>
      <c r="D58" s="22">
        <v>1</v>
      </c>
      <c r="E58" s="22">
        <v>0</v>
      </c>
      <c r="F58" s="11" t="s">
        <v>92</v>
      </c>
    </row>
    <row r="59" spans="1:52" s="6" customFormat="1" ht="21" x14ac:dyDescent="0.25">
      <c r="A59" s="15">
        <v>50</v>
      </c>
      <c r="B59" s="10" t="s">
        <v>93</v>
      </c>
      <c r="C59" s="7">
        <f t="shared" si="0"/>
        <v>1</v>
      </c>
      <c r="D59" s="22">
        <v>1</v>
      </c>
      <c r="E59" s="22">
        <v>0</v>
      </c>
      <c r="F59" s="11" t="s">
        <v>94</v>
      </c>
    </row>
    <row r="60" spans="1:52" s="6" customFormat="1" ht="21" x14ac:dyDescent="0.25">
      <c r="A60" s="15">
        <v>51</v>
      </c>
      <c r="B60" s="10" t="s">
        <v>191</v>
      </c>
      <c r="C60" s="7">
        <f>SUM(D68:E68)</f>
        <v>1</v>
      </c>
      <c r="D60" s="22">
        <v>1</v>
      </c>
      <c r="E60" s="22">
        <v>0</v>
      </c>
      <c r="F60" s="11" t="s">
        <v>209</v>
      </c>
    </row>
    <row r="61" spans="1:52" s="6" customFormat="1" ht="21" x14ac:dyDescent="0.25">
      <c r="A61" s="15">
        <v>52</v>
      </c>
      <c r="B61" s="10" t="s">
        <v>192</v>
      </c>
      <c r="C61" s="7">
        <f t="shared" si="0"/>
        <v>1</v>
      </c>
      <c r="D61" s="22">
        <v>1</v>
      </c>
      <c r="E61" s="22">
        <v>0</v>
      </c>
      <c r="F61" s="11" t="s">
        <v>208</v>
      </c>
    </row>
    <row r="62" spans="1:52" s="6" customFormat="1" ht="21" x14ac:dyDescent="0.25">
      <c r="A62" s="15">
        <v>53</v>
      </c>
      <c r="B62" s="10" t="s">
        <v>95</v>
      </c>
      <c r="C62" s="7">
        <f t="shared" si="0"/>
        <v>1</v>
      </c>
      <c r="D62" s="22">
        <v>1</v>
      </c>
      <c r="E62" s="22">
        <v>0</v>
      </c>
      <c r="F62" s="11" t="s">
        <v>96</v>
      </c>
    </row>
    <row r="63" spans="1:52" s="6" customFormat="1" ht="21" x14ac:dyDescent="0.25">
      <c r="A63" s="15">
        <v>54</v>
      </c>
      <c r="B63" s="10" t="s">
        <v>97</v>
      </c>
      <c r="C63" s="7">
        <f t="shared" si="0"/>
        <v>1</v>
      </c>
      <c r="D63" s="22">
        <v>1</v>
      </c>
      <c r="E63" s="22">
        <v>0</v>
      </c>
      <c r="F63" s="11" t="s">
        <v>98</v>
      </c>
    </row>
    <row r="64" spans="1:52" s="6" customFormat="1" ht="21" x14ac:dyDescent="0.25">
      <c r="A64" s="15">
        <v>55</v>
      </c>
      <c r="B64" s="10" t="s">
        <v>99</v>
      </c>
      <c r="C64" s="7">
        <f t="shared" si="0"/>
        <v>1</v>
      </c>
      <c r="D64" s="22">
        <v>1</v>
      </c>
      <c r="E64" s="22">
        <v>0</v>
      </c>
      <c r="F64" s="11" t="s">
        <v>100</v>
      </c>
    </row>
    <row r="65" spans="1:6" s="6" customFormat="1" ht="21" x14ac:dyDescent="0.25">
      <c r="A65" s="15">
        <v>56</v>
      </c>
      <c r="B65" s="10" t="s">
        <v>193</v>
      </c>
      <c r="C65" s="7">
        <f t="shared" si="0"/>
        <v>1</v>
      </c>
      <c r="D65" s="22">
        <v>1</v>
      </c>
      <c r="E65" s="22">
        <v>0</v>
      </c>
      <c r="F65" s="11" t="s">
        <v>205</v>
      </c>
    </row>
    <row r="66" spans="1:6" s="6" customFormat="1" ht="21" x14ac:dyDescent="0.25">
      <c r="A66" s="15">
        <v>57</v>
      </c>
      <c r="B66" s="10" t="s">
        <v>194</v>
      </c>
      <c r="C66" s="7">
        <f t="shared" si="0"/>
        <v>1</v>
      </c>
      <c r="D66" s="22">
        <v>1</v>
      </c>
      <c r="E66" s="22">
        <v>0</v>
      </c>
      <c r="F66" s="11" t="s">
        <v>207</v>
      </c>
    </row>
    <row r="67" spans="1:6" s="6" customFormat="1" ht="21" x14ac:dyDescent="0.25">
      <c r="A67" s="15">
        <v>58</v>
      </c>
      <c r="B67" s="10" t="s">
        <v>195</v>
      </c>
      <c r="C67" s="7">
        <f t="shared" si="0"/>
        <v>1</v>
      </c>
      <c r="D67" s="22">
        <v>1</v>
      </c>
      <c r="E67" s="22">
        <v>0</v>
      </c>
      <c r="F67" s="11" t="s">
        <v>206</v>
      </c>
    </row>
    <row r="68" spans="1:6" s="6" customFormat="1" ht="21" x14ac:dyDescent="0.25">
      <c r="A68" s="15">
        <v>59</v>
      </c>
      <c r="B68" s="10" t="s">
        <v>101</v>
      </c>
      <c r="C68" s="7">
        <f>SUM(D68:E68)</f>
        <v>1</v>
      </c>
      <c r="D68" s="22">
        <v>1</v>
      </c>
      <c r="E68" s="22">
        <v>0</v>
      </c>
      <c r="F68" s="11" t="s">
        <v>102</v>
      </c>
    </row>
    <row r="69" spans="1:6" s="6" customFormat="1" ht="21" x14ac:dyDescent="0.25">
      <c r="A69" s="15">
        <v>60</v>
      </c>
      <c r="B69" s="10" t="s">
        <v>196</v>
      </c>
      <c r="C69" s="7">
        <f>SUM(D69:E69)</f>
        <v>1</v>
      </c>
      <c r="D69" s="22">
        <v>1</v>
      </c>
      <c r="E69" s="22">
        <v>0</v>
      </c>
      <c r="F69" s="11" t="s">
        <v>204</v>
      </c>
    </row>
    <row r="70" spans="1:6" s="6" customFormat="1" ht="21" x14ac:dyDescent="0.25">
      <c r="A70" s="15">
        <v>61</v>
      </c>
      <c r="B70" s="10" t="s">
        <v>103</v>
      </c>
      <c r="C70" s="7">
        <f t="shared" ref="C70:C108" si="4">SUM(D70:E70)</f>
        <v>1</v>
      </c>
      <c r="D70" s="22">
        <v>1</v>
      </c>
      <c r="E70" s="22">
        <v>0</v>
      </c>
      <c r="F70" s="11" t="s">
        <v>104</v>
      </c>
    </row>
    <row r="71" spans="1:6" s="6" customFormat="1" ht="21" x14ac:dyDescent="0.25">
      <c r="A71" s="15">
        <v>62</v>
      </c>
      <c r="B71" s="10" t="s">
        <v>105</v>
      </c>
      <c r="C71" s="7">
        <f t="shared" si="4"/>
        <v>1</v>
      </c>
      <c r="D71" s="22">
        <v>1</v>
      </c>
      <c r="E71" s="22">
        <v>0</v>
      </c>
      <c r="F71" s="11" t="s">
        <v>106</v>
      </c>
    </row>
    <row r="72" spans="1:6" s="6" customFormat="1" ht="21" x14ac:dyDescent="0.25">
      <c r="A72" s="15">
        <v>63</v>
      </c>
      <c r="B72" s="10" t="s">
        <v>107</v>
      </c>
      <c r="C72" s="7">
        <f t="shared" si="4"/>
        <v>1</v>
      </c>
      <c r="D72" s="22">
        <v>1</v>
      </c>
      <c r="E72" s="22">
        <v>0</v>
      </c>
      <c r="F72" s="11" t="s">
        <v>108</v>
      </c>
    </row>
    <row r="73" spans="1:6" s="6" customFormat="1" ht="21" x14ac:dyDescent="0.25">
      <c r="A73" s="15">
        <v>64</v>
      </c>
      <c r="B73" s="10" t="s">
        <v>109</v>
      </c>
      <c r="C73" s="7">
        <f t="shared" si="4"/>
        <v>1</v>
      </c>
      <c r="D73" s="22">
        <v>1</v>
      </c>
      <c r="E73" s="22">
        <v>0</v>
      </c>
      <c r="F73" s="11" t="s">
        <v>110</v>
      </c>
    </row>
    <row r="74" spans="1:6" s="6" customFormat="1" ht="21" x14ac:dyDescent="0.25">
      <c r="A74" s="15">
        <v>65</v>
      </c>
      <c r="B74" s="10" t="s">
        <v>111</v>
      </c>
      <c r="C74" s="7">
        <f t="shared" si="4"/>
        <v>1</v>
      </c>
      <c r="D74" s="22">
        <v>1</v>
      </c>
      <c r="E74" s="22">
        <v>0</v>
      </c>
      <c r="F74" s="11" t="s">
        <v>112</v>
      </c>
    </row>
    <row r="75" spans="1:6" s="6" customFormat="1" ht="21" x14ac:dyDescent="0.25">
      <c r="A75" s="15">
        <v>66</v>
      </c>
      <c r="B75" s="10" t="s">
        <v>197</v>
      </c>
      <c r="C75" s="7">
        <f t="shared" si="4"/>
        <v>1</v>
      </c>
      <c r="D75" s="22">
        <v>1</v>
      </c>
      <c r="E75" s="22">
        <v>0</v>
      </c>
      <c r="F75" s="11" t="s">
        <v>201</v>
      </c>
    </row>
    <row r="76" spans="1:6" s="6" customFormat="1" ht="21" x14ac:dyDescent="0.25">
      <c r="A76" s="15">
        <v>67</v>
      </c>
      <c r="B76" s="10" t="s">
        <v>198</v>
      </c>
      <c r="C76" s="7">
        <f t="shared" si="4"/>
        <v>1</v>
      </c>
      <c r="D76" s="22">
        <v>1</v>
      </c>
      <c r="E76" s="22">
        <v>0</v>
      </c>
      <c r="F76" s="11" t="s">
        <v>202</v>
      </c>
    </row>
    <row r="77" spans="1:6" s="6" customFormat="1" ht="21" x14ac:dyDescent="0.25">
      <c r="A77" s="15">
        <v>68</v>
      </c>
      <c r="B77" s="10" t="s">
        <v>199</v>
      </c>
      <c r="C77" s="7">
        <f t="shared" si="4"/>
        <v>1</v>
      </c>
      <c r="D77" s="22">
        <v>1</v>
      </c>
      <c r="E77" s="22">
        <v>0</v>
      </c>
      <c r="F77" s="11" t="s">
        <v>203</v>
      </c>
    </row>
    <row r="78" spans="1:6" s="6" customFormat="1" ht="21" x14ac:dyDescent="0.25">
      <c r="A78" s="15">
        <v>69</v>
      </c>
      <c r="B78" s="10" t="s">
        <v>113</v>
      </c>
      <c r="C78" s="7">
        <f t="shared" si="4"/>
        <v>1</v>
      </c>
      <c r="D78" s="22">
        <v>0</v>
      </c>
      <c r="E78" s="22">
        <v>1</v>
      </c>
      <c r="F78" s="11" t="s">
        <v>114</v>
      </c>
    </row>
    <row r="79" spans="1:6" s="6" customFormat="1" ht="21" x14ac:dyDescent="0.25">
      <c r="A79" s="15">
        <v>70</v>
      </c>
      <c r="B79" s="10" t="s">
        <v>115</v>
      </c>
      <c r="C79" s="7">
        <f t="shared" si="4"/>
        <v>1</v>
      </c>
      <c r="D79" s="22">
        <v>1</v>
      </c>
      <c r="E79" s="22">
        <v>0</v>
      </c>
      <c r="F79" s="11" t="s">
        <v>116</v>
      </c>
    </row>
    <row r="80" spans="1:6" s="6" customFormat="1" ht="21" x14ac:dyDescent="0.25">
      <c r="A80" s="15">
        <v>71</v>
      </c>
      <c r="B80" s="10" t="s">
        <v>117</v>
      </c>
      <c r="C80" s="7">
        <f t="shared" si="4"/>
        <v>1</v>
      </c>
      <c r="D80" s="22">
        <v>1</v>
      </c>
      <c r="E80" s="22">
        <v>0</v>
      </c>
      <c r="F80" s="11" t="s">
        <v>118</v>
      </c>
    </row>
    <row r="81" spans="1:6" s="6" customFormat="1" ht="21" x14ac:dyDescent="0.25">
      <c r="A81" s="15">
        <v>72</v>
      </c>
      <c r="B81" s="10" t="s">
        <v>119</v>
      </c>
      <c r="C81" s="7">
        <f t="shared" si="4"/>
        <v>1</v>
      </c>
      <c r="D81" s="22">
        <v>1</v>
      </c>
      <c r="E81" s="22">
        <v>0</v>
      </c>
      <c r="F81" s="11" t="s">
        <v>120</v>
      </c>
    </row>
    <row r="82" spans="1:6" s="6" customFormat="1" ht="21" x14ac:dyDescent="0.25">
      <c r="A82" s="15">
        <v>73</v>
      </c>
      <c r="B82" s="10" t="s">
        <v>121</v>
      </c>
      <c r="C82" s="7">
        <f t="shared" si="4"/>
        <v>1</v>
      </c>
      <c r="D82" s="22">
        <v>1</v>
      </c>
      <c r="E82" s="22">
        <v>0</v>
      </c>
      <c r="F82" s="11" t="s">
        <v>122</v>
      </c>
    </row>
    <row r="83" spans="1:6" s="6" customFormat="1" ht="21" x14ac:dyDescent="0.25">
      <c r="A83" s="15">
        <v>74</v>
      </c>
      <c r="B83" s="10" t="s">
        <v>123</v>
      </c>
      <c r="C83" s="7">
        <f t="shared" si="4"/>
        <v>1</v>
      </c>
      <c r="D83" s="22">
        <v>1</v>
      </c>
      <c r="E83" s="22">
        <v>0</v>
      </c>
      <c r="F83" s="11" t="s">
        <v>124</v>
      </c>
    </row>
    <row r="84" spans="1:6" s="6" customFormat="1" ht="21" x14ac:dyDescent="0.25">
      <c r="A84" s="15">
        <v>75</v>
      </c>
      <c r="B84" s="10" t="s">
        <v>125</v>
      </c>
      <c r="C84" s="7">
        <f t="shared" si="4"/>
        <v>1</v>
      </c>
      <c r="D84" s="22">
        <v>1</v>
      </c>
      <c r="E84" s="22">
        <v>0</v>
      </c>
      <c r="F84" s="11" t="s">
        <v>126</v>
      </c>
    </row>
    <row r="85" spans="1:6" s="6" customFormat="1" ht="21" x14ac:dyDescent="0.25">
      <c r="A85" s="15">
        <v>76</v>
      </c>
      <c r="B85" s="38" t="s">
        <v>127</v>
      </c>
      <c r="C85" s="7">
        <f t="shared" si="4"/>
        <v>1</v>
      </c>
      <c r="D85" s="22">
        <v>1</v>
      </c>
      <c r="E85" s="22">
        <v>0</v>
      </c>
      <c r="F85" s="11" t="s">
        <v>128</v>
      </c>
    </row>
    <row r="86" spans="1:6" s="6" customFormat="1" ht="21" x14ac:dyDescent="0.25">
      <c r="A86" s="15">
        <v>77</v>
      </c>
      <c r="B86" s="10" t="s">
        <v>129</v>
      </c>
      <c r="C86" s="7">
        <f t="shared" si="4"/>
        <v>1</v>
      </c>
      <c r="D86" s="22">
        <v>1</v>
      </c>
      <c r="E86" s="22">
        <v>0</v>
      </c>
      <c r="F86" s="11" t="s">
        <v>130</v>
      </c>
    </row>
    <row r="87" spans="1:6" s="6" customFormat="1" ht="21" x14ac:dyDescent="0.25">
      <c r="A87" s="15">
        <v>78</v>
      </c>
      <c r="B87" s="10" t="s">
        <v>131</v>
      </c>
      <c r="C87" s="7">
        <f t="shared" si="4"/>
        <v>1</v>
      </c>
      <c r="D87" s="22">
        <v>1</v>
      </c>
      <c r="E87" s="22">
        <v>0</v>
      </c>
      <c r="F87" s="11" t="s">
        <v>132</v>
      </c>
    </row>
    <row r="88" spans="1:6" s="6" customFormat="1" ht="21" x14ac:dyDescent="0.25">
      <c r="A88" s="15">
        <v>79</v>
      </c>
      <c r="B88" s="10" t="s">
        <v>133</v>
      </c>
      <c r="C88" s="7">
        <f t="shared" si="4"/>
        <v>1</v>
      </c>
      <c r="D88" s="22">
        <v>1</v>
      </c>
      <c r="E88" s="22">
        <v>0</v>
      </c>
      <c r="F88" s="11" t="s">
        <v>134</v>
      </c>
    </row>
    <row r="89" spans="1:6" s="6" customFormat="1" ht="21" x14ac:dyDescent="0.25">
      <c r="A89" s="15">
        <v>80</v>
      </c>
      <c r="B89" s="10" t="s">
        <v>135</v>
      </c>
      <c r="C89" s="7">
        <f t="shared" si="4"/>
        <v>1</v>
      </c>
      <c r="D89" s="22">
        <v>1</v>
      </c>
      <c r="E89" s="22">
        <v>0</v>
      </c>
      <c r="F89" s="11" t="s">
        <v>136</v>
      </c>
    </row>
    <row r="90" spans="1:6" s="6" customFormat="1" ht="21" x14ac:dyDescent="0.25">
      <c r="A90" s="15">
        <v>81</v>
      </c>
      <c r="B90" s="10" t="s">
        <v>137</v>
      </c>
      <c r="C90" s="7">
        <f t="shared" si="4"/>
        <v>1</v>
      </c>
      <c r="D90" s="22">
        <v>1</v>
      </c>
      <c r="E90" s="22">
        <v>0</v>
      </c>
      <c r="F90" s="11" t="s">
        <v>138</v>
      </c>
    </row>
    <row r="91" spans="1:6" s="6" customFormat="1" ht="21" x14ac:dyDescent="0.25">
      <c r="A91" s="15">
        <v>82</v>
      </c>
      <c r="B91" s="10" t="s">
        <v>139</v>
      </c>
      <c r="C91" s="7">
        <f t="shared" si="4"/>
        <v>1</v>
      </c>
      <c r="D91" s="22">
        <v>1</v>
      </c>
      <c r="E91" s="22">
        <v>0</v>
      </c>
      <c r="F91" s="11" t="s">
        <v>140</v>
      </c>
    </row>
    <row r="92" spans="1:6" s="6" customFormat="1" ht="21" x14ac:dyDescent="0.25">
      <c r="A92" s="15">
        <v>83</v>
      </c>
      <c r="B92" s="10" t="s">
        <v>141</v>
      </c>
      <c r="C92" s="7">
        <f t="shared" si="4"/>
        <v>1</v>
      </c>
      <c r="D92" s="22">
        <v>1</v>
      </c>
      <c r="E92" s="22">
        <v>0</v>
      </c>
      <c r="F92" s="11" t="s">
        <v>142</v>
      </c>
    </row>
    <row r="93" spans="1:6" s="6" customFormat="1" ht="21" x14ac:dyDescent="0.25">
      <c r="A93" s="15">
        <v>84</v>
      </c>
      <c r="B93" s="10" t="s">
        <v>143</v>
      </c>
      <c r="C93" s="7">
        <f t="shared" si="4"/>
        <v>1</v>
      </c>
      <c r="D93" s="22">
        <v>1</v>
      </c>
      <c r="E93" s="22">
        <v>0</v>
      </c>
      <c r="F93" s="11" t="s">
        <v>144</v>
      </c>
    </row>
    <row r="94" spans="1:6" s="6" customFormat="1" ht="21" x14ac:dyDescent="0.25">
      <c r="A94" s="15">
        <v>85</v>
      </c>
      <c r="B94" s="10" t="s">
        <v>145</v>
      </c>
      <c r="C94" s="7">
        <f t="shared" si="4"/>
        <v>1</v>
      </c>
      <c r="D94" s="22">
        <v>1</v>
      </c>
      <c r="E94" s="22">
        <v>0</v>
      </c>
      <c r="F94" s="11" t="s">
        <v>146</v>
      </c>
    </row>
    <row r="95" spans="1:6" s="6" customFormat="1" ht="21" x14ac:dyDescent="0.25">
      <c r="A95" s="15">
        <v>86</v>
      </c>
      <c r="B95" s="10" t="s">
        <v>147</v>
      </c>
      <c r="C95" s="7">
        <f t="shared" si="4"/>
        <v>1</v>
      </c>
      <c r="D95" s="22">
        <v>1</v>
      </c>
      <c r="E95" s="22">
        <v>0</v>
      </c>
      <c r="F95" s="11" t="s">
        <v>148</v>
      </c>
    </row>
    <row r="96" spans="1:6" s="6" customFormat="1" ht="21" x14ac:dyDescent="0.25">
      <c r="A96" s="15">
        <v>87</v>
      </c>
      <c r="B96" s="10" t="s">
        <v>149</v>
      </c>
      <c r="C96" s="7">
        <f t="shared" si="4"/>
        <v>1</v>
      </c>
      <c r="D96" s="22">
        <v>1</v>
      </c>
      <c r="E96" s="22">
        <v>0</v>
      </c>
      <c r="F96" s="11" t="s">
        <v>150</v>
      </c>
    </row>
    <row r="97" spans="1:6" s="6" customFormat="1" ht="21" x14ac:dyDescent="0.25">
      <c r="A97" s="15">
        <v>88</v>
      </c>
      <c r="B97" s="10" t="s">
        <v>151</v>
      </c>
      <c r="C97" s="7">
        <f t="shared" si="4"/>
        <v>1</v>
      </c>
      <c r="D97" s="22">
        <v>1</v>
      </c>
      <c r="E97" s="22">
        <v>0</v>
      </c>
      <c r="F97" s="11" t="s">
        <v>200</v>
      </c>
    </row>
    <row r="98" spans="1:6" s="6" customFormat="1" ht="21" x14ac:dyDescent="0.25">
      <c r="A98" s="15">
        <v>89</v>
      </c>
      <c r="B98" s="10" t="s">
        <v>152</v>
      </c>
      <c r="C98" s="7">
        <f t="shared" si="4"/>
        <v>1</v>
      </c>
      <c r="D98" s="22">
        <v>1</v>
      </c>
      <c r="E98" s="22">
        <v>0</v>
      </c>
      <c r="F98" s="11" t="s">
        <v>153</v>
      </c>
    </row>
    <row r="99" spans="1:6" s="6" customFormat="1" ht="21" x14ac:dyDescent="0.25">
      <c r="A99" s="15">
        <v>90</v>
      </c>
      <c r="B99" s="10" t="s">
        <v>154</v>
      </c>
      <c r="C99" s="7">
        <f t="shared" si="4"/>
        <v>1</v>
      </c>
      <c r="D99" s="22">
        <v>1</v>
      </c>
      <c r="E99" s="22">
        <v>0</v>
      </c>
      <c r="F99" s="11" t="s">
        <v>155</v>
      </c>
    </row>
    <row r="100" spans="1:6" s="6" customFormat="1" ht="21" x14ac:dyDescent="0.25">
      <c r="A100" s="15">
        <v>91</v>
      </c>
      <c r="B100" s="10" t="s">
        <v>156</v>
      </c>
      <c r="C100" s="7">
        <f t="shared" si="4"/>
        <v>1</v>
      </c>
      <c r="D100" s="22">
        <v>1</v>
      </c>
      <c r="E100" s="22">
        <v>0</v>
      </c>
      <c r="F100" s="11" t="s">
        <v>157</v>
      </c>
    </row>
    <row r="101" spans="1:6" s="6" customFormat="1" ht="21" x14ac:dyDescent="0.25">
      <c r="A101" s="15">
        <v>92</v>
      </c>
      <c r="B101" s="10" t="s">
        <v>158</v>
      </c>
      <c r="C101" s="7">
        <f t="shared" si="4"/>
        <v>1</v>
      </c>
      <c r="D101" s="22">
        <v>1</v>
      </c>
      <c r="E101" s="22">
        <v>0</v>
      </c>
      <c r="F101" s="11" t="s">
        <v>159</v>
      </c>
    </row>
    <row r="102" spans="1:6" s="6" customFormat="1" ht="21" x14ac:dyDescent="0.25">
      <c r="A102" s="15">
        <v>93</v>
      </c>
      <c r="B102" s="10" t="s">
        <v>160</v>
      </c>
      <c r="C102" s="7">
        <f t="shared" si="4"/>
        <v>1</v>
      </c>
      <c r="D102" s="22">
        <v>1</v>
      </c>
      <c r="E102" s="22">
        <v>0</v>
      </c>
      <c r="F102" s="11" t="s">
        <v>161</v>
      </c>
    </row>
    <row r="103" spans="1:6" s="6" customFormat="1" ht="21" x14ac:dyDescent="0.25">
      <c r="A103" s="15">
        <v>94</v>
      </c>
      <c r="B103" s="10" t="s">
        <v>162</v>
      </c>
      <c r="C103" s="7">
        <f t="shared" si="4"/>
        <v>1</v>
      </c>
      <c r="D103" s="22">
        <v>1</v>
      </c>
      <c r="E103" s="22">
        <v>0</v>
      </c>
      <c r="F103" s="11" t="s">
        <v>163</v>
      </c>
    </row>
    <row r="104" spans="1:6" s="6" customFormat="1" ht="21" x14ac:dyDescent="0.25">
      <c r="A104" s="15">
        <v>95</v>
      </c>
      <c r="B104" s="10" t="s">
        <v>164</v>
      </c>
      <c r="C104" s="7">
        <f t="shared" si="4"/>
        <v>1</v>
      </c>
      <c r="D104" s="22">
        <v>1</v>
      </c>
      <c r="E104" s="22">
        <v>0</v>
      </c>
      <c r="F104" s="11" t="s">
        <v>165</v>
      </c>
    </row>
    <row r="105" spans="1:6" s="6" customFormat="1" ht="21" x14ac:dyDescent="0.25">
      <c r="A105" s="15">
        <v>96</v>
      </c>
      <c r="B105" s="10" t="s">
        <v>166</v>
      </c>
      <c r="C105" s="7">
        <f t="shared" si="4"/>
        <v>1</v>
      </c>
      <c r="D105" s="22">
        <v>1</v>
      </c>
      <c r="E105" s="22">
        <v>0</v>
      </c>
      <c r="F105" s="11" t="s">
        <v>167</v>
      </c>
    </row>
    <row r="106" spans="1:6" s="6" customFormat="1" ht="21" x14ac:dyDescent="0.25">
      <c r="A106" s="15">
        <v>97</v>
      </c>
      <c r="B106" s="10" t="s">
        <v>168</v>
      </c>
      <c r="C106" s="7">
        <f t="shared" si="4"/>
        <v>1</v>
      </c>
      <c r="D106" s="22">
        <v>1</v>
      </c>
      <c r="E106" s="22">
        <v>0</v>
      </c>
      <c r="F106" s="11" t="s">
        <v>169</v>
      </c>
    </row>
    <row r="107" spans="1:6" s="6" customFormat="1" ht="21" x14ac:dyDescent="0.25">
      <c r="A107" s="15">
        <v>98</v>
      </c>
      <c r="B107" s="10" t="s">
        <v>170</v>
      </c>
      <c r="C107" s="7">
        <f t="shared" si="4"/>
        <v>1</v>
      </c>
      <c r="D107" s="22">
        <v>1</v>
      </c>
      <c r="E107" s="22">
        <v>0</v>
      </c>
      <c r="F107" s="11" t="s">
        <v>171</v>
      </c>
    </row>
    <row r="108" spans="1:6" s="6" customFormat="1" ht="21" x14ac:dyDescent="0.25">
      <c r="A108" s="23">
        <v>99</v>
      </c>
      <c r="B108" s="24" t="s">
        <v>172</v>
      </c>
      <c r="C108" s="4">
        <f t="shared" si="4"/>
        <v>1</v>
      </c>
      <c r="D108" s="34">
        <v>0</v>
      </c>
      <c r="E108" s="34">
        <v>1</v>
      </c>
      <c r="F108" s="11" t="s">
        <v>173</v>
      </c>
    </row>
    <row r="109" spans="1:6" ht="17.25" x14ac:dyDescent="0.25">
      <c r="A109" s="25" t="s">
        <v>174</v>
      </c>
      <c r="C109" s="15"/>
      <c r="D109" s="26"/>
      <c r="E109" s="26"/>
      <c r="F109" s="27" t="s">
        <v>175</v>
      </c>
    </row>
    <row r="110" spans="1:6" ht="15" x14ac:dyDescent="0.25">
      <c r="B110" s="28"/>
    </row>
    <row r="113" spans="2:58" x14ac:dyDescent="0.25">
      <c r="C113" s="1"/>
    </row>
    <row r="114" spans="2:58" ht="15" x14ac:dyDescent="0.25">
      <c r="B114" s="7" t="s">
        <v>7</v>
      </c>
      <c r="C114" s="1"/>
    </row>
    <row r="115" spans="2:58" ht="15" x14ac:dyDescent="0.25">
      <c r="B115" s="7" t="s">
        <v>4</v>
      </c>
      <c r="C115" s="1"/>
    </row>
    <row r="116" spans="2:58" ht="15" x14ac:dyDescent="0.25">
      <c r="B116" s="7" t="s">
        <v>5</v>
      </c>
    </row>
    <row r="120" spans="2:58" x14ac:dyDescent="0.25">
      <c r="BA120" s="35"/>
      <c r="BB120" s="1">
        <v>2015</v>
      </c>
    </row>
    <row r="121" spans="2:58" ht="15" x14ac:dyDescent="0.25">
      <c r="C121" s="1"/>
      <c r="F121" s="1"/>
      <c r="BA121" s="7" t="s">
        <v>7</v>
      </c>
      <c r="BB121" s="7">
        <f>SUM(BB122:BB123)</f>
        <v>667</v>
      </c>
      <c r="BC121" s="1">
        <f>BB121/BB121*100</f>
        <v>100</v>
      </c>
    </row>
    <row r="122" spans="2:58" ht="15" x14ac:dyDescent="0.25">
      <c r="C122" s="1"/>
      <c r="F122" s="1"/>
      <c r="BA122" s="7" t="s">
        <v>4</v>
      </c>
      <c r="BB122" s="8">
        <v>497</v>
      </c>
      <c r="BC122" s="29">
        <f>BB122/BB121*100</f>
        <v>74.512743628185902</v>
      </c>
    </row>
    <row r="123" spans="2:58" ht="15" x14ac:dyDescent="0.25">
      <c r="C123" s="1"/>
      <c r="F123" s="1"/>
      <c r="BA123" s="7" t="s">
        <v>5</v>
      </c>
      <c r="BB123" s="8">
        <v>170</v>
      </c>
      <c r="BC123" s="29">
        <f>BB123/BB121*100</f>
        <v>25.487256371814095</v>
      </c>
    </row>
    <row r="127" spans="2:58" ht="7.9" customHeight="1" x14ac:dyDescent="0.25">
      <c r="C127" s="1"/>
      <c r="F127" s="1"/>
      <c r="AZ127" s="4"/>
      <c r="BA127" s="4" t="s">
        <v>7</v>
      </c>
      <c r="BB127" s="5" t="s">
        <v>4</v>
      </c>
      <c r="BC127" s="4" t="s">
        <v>5</v>
      </c>
      <c r="BD127" s="7"/>
      <c r="BE127" s="7"/>
      <c r="BF127" s="7"/>
    </row>
    <row r="128" spans="2:58" ht="15" x14ac:dyDescent="0.25">
      <c r="C128" s="1"/>
      <c r="F128" s="1"/>
      <c r="AZ128" s="36">
        <v>2011</v>
      </c>
      <c r="BA128" s="30">
        <v>544</v>
      </c>
      <c r="BB128" s="30">
        <v>390</v>
      </c>
      <c r="BC128" s="30">
        <v>154</v>
      </c>
    </row>
    <row r="129" spans="3:55" ht="15" x14ac:dyDescent="0.25">
      <c r="C129" s="1"/>
      <c r="F129" s="1"/>
      <c r="AZ129" s="36">
        <v>2012</v>
      </c>
      <c r="BA129" s="7">
        <v>446</v>
      </c>
      <c r="BB129" s="8">
        <v>301</v>
      </c>
      <c r="BC129" s="8">
        <v>145</v>
      </c>
    </row>
    <row r="130" spans="3:55" ht="15" x14ac:dyDescent="0.25">
      <c r="C130" s="1"/>
      <c r="F130" s="1"/>
      <c r="AZ130" s="36">
        <v>2013</v>
      </c>
      <c r="BA130" s="7">
        <v>473</v>
      </c>
      <c r="BB130" s="8">
        <v>342</v>
      </c>
      <c r="BC130" s="8">
        <v>131</v>
      </c>
    </row>
    <row r="131" spans="3:55" ht="15" x14ac:dyDescent="0.25">
      <c r="C131" s="1"/>
      <c r="F131" s="1"/>
      <c r="AZ131" s="36">
        <v>2014</v>
      </c>
      <c r="BA131" s="7">
        <f>SUM(BB131:BC131)</f>
        <v>526</v>
      </c>
      <c r="BB131" s="8">
        <v>367</v>
      </c>
      <c r="BC131" s="8">
        <v>159</v>
      </c>
    </row>
    <row r="132" spans="3:55" ht="15" x14ac:dyDescent="0.25">
      <c r="C132" s="1"/>
      <c r="F132" s="1"/>
      <c r="AZ132" s="36">
        <v>2015</v>
      </c>
      <c r="BA132" s="1">
        <v>667</v>
      </c>
      <c r="BB132" s="1">
        <v>497</v>
      </c>
      <c r="BC132" s="1">
        <v>170</v>
      </c>
    </row>
    <row r="133" spans="3:55" ht="15" x14ac:dyDescent="0.25">
      <c r="C133" s="1"/>
      <c r="F133" s="1"/>
      <c r="AX133" s="7"/>
      <c r="AY133" s="30"/>
      <c r="AZ133" s="36">
        <v>2016</v>
      </c>
      <c r="BA133" s="1">
        <f>C8</f>
        <v>691</v>
      </c>
      <c r="BB133" s="1">
        <f>D8</f>
        <v>500</v>
      </c>
      <c r="BC133" s="1">
        <f>E8</f>
        <v>191</v>
      </c>
    </row>
    <row r="134" spans="3:55" ht="15" x14ac:dyDescent="0.25">
      <c r="C134" s="1"/>
      <c r="F134" s="1"/>
      <c r="AX134" s="7"/>
      <c r="AY134" s="30"/>
    </row>
    <row r="135" spans="3:55" ht="15" x14ac:dyDescent="0.25">
      <c r="C135" s="1"/>
      <c r="F135" s="1"/>
      <c r="AX135" s="7"/>
      <c r="AY135" s="30"/>
    </row>
    <row r="136" spans="3:55" ht="15" x14ac:dyDescent="0.25">
      <c r="C136" s="1"/>
      <c r="F136" s="1"/>
      <c r="AX136" s="7"/>
      <c r="AY136" s="36"/>
    </row>
    <row r="137" spans="3:55" ht="15" x14ac:dyDescent="0.25">
      <c r="C137" s="1"/>
      <c r="F137" s="1"/>
      <c r="AX137" s="7"/>
      <c r="AY137" s="7"/>
    </row>
    <row r="138" spans="3:55" ht="15" x14ac:dyDescent="0.25">
      <c r="C138" s="1"/>
      <c r="F138" s="1"/>
      <c r="AX138" s="7"/>
      <c r="AY138" s="8"/>
    </row>
    <row r="139" spans="3:55" ht="15" x14ac:dyDescent="0.25">
      <c r="C139" s="1"/>
      <c r="F139" s="1"/>
      <c r="AX139" s="7"/>
      <c r="AY139" s="8"/>
    </row>
    <row r="140" spans="3:55" ht="15" x14ac:dyDescent="0.25">
      <c r="C140" s="1"/>
      <c r="F140" s="1"/>
      <c r="AX140" s="7"/>
      <c r="AY140" s="7"/>
    </row>
    <row r="141" spans="3:55" ht="15" x14ac:dyDescent="0.25">
      <c r="C141" s="1"/>
      <c r="F141" s="1"/>
      <c r="AX141" s="7"/>
      <c r="AY141" s="8"/>
    </row>
    <row r="142" spans="3:55" ht="15" x14ac:dyDescent="0.25">
      <c r="C142" s="1"/>
      <c r="F142" s="1"/>
      <c r="AX142" s="7"/>
      <c r="AY142" s="8"/>
    </row>
  </sheetData>
  <mergeCells count="7">
    <mergeCell ref="A40:B40"/>
    <mergeCell ref="B2:F2"/>
    <mergeCell ref="B3:F3"/>
    <mergeCell ref="A5:A7"/>
    <mergeCell ref="B5:B7"/>
    <mergeCell ref="C5:E5"/>
    <mergeCell ref="F5:F7"/>
  </mergeCells>
  <pageMargins left="0.7" right="0.7" top="0.75" bottom="0.75" header="0.3" footer="0.3"/>
  <pageSetup paperSize="9" scale="72" orientation="portrait" horizontalDpi="4294967295" verticalDpi="4294967295" r:id="rId1"/>
  <ignoredErrors>
    <ignoredError sqref="C6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5.9</vt:lpstr>
      <vt:lpstr>'5.9'!Print_Area</vt:lpstr>
      <vt:lpstr>'5.9'!Print_Titles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2017-11-06T06:16:31Z</cp:lastPrinted>
  <dcterms:created xsi:type="dcterms:W3CDTF">2013-03-26T05:45:33Z</dcterms:created>
  <dcterms:modified xsi:type="dcterms:W3CDTF">2017-11-06T06:16:45Z</dcterms:modified>
</cp:coreProperties>
</file>