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000" windowHeight="9735" tabRatio="834"/>
  </bookViews>
  <sheets>
    <sheet name="5.4" sheetId="18" r:id="rId1"/>
  </sheets>
  <externalReferences>
    <externalReference r:id="rId2"/>
  </externalReferences>
  <definedNames>
    <definedName name="_xlnm.Print_Area" localSheetId="0">'5.4'!$A$1:$M$32</definedName>
  </definedNames>
  <calcPr calcId="144525"/>
</workbook>
</file>

<file path=xl/calcChain.xml><?xml version="1.0" encoding="utf-8"?>
<calcChain xmlns="http://schemas.openxmlformats.org/spreadsheetml/2006/main">
  <c r="C10" i="18" l="1"/>
  <c r="D10" i="18"/>
  <c r="C11" i="18"/>
  <c r="D11" i="18"/>
  <c r="F11" i="18"/>
  <c r="F10" i="18"/>
  <c r="H9" i="18"/>
  <c r="G9" i="18"/>
  <c r="L9" i="18"/>
  <c r="K9" i="18"/>
  <c r="J10" i="18"/>
  <c r="J11" i="18"/>
  <c r="F9" i="18" l="1"/>
  <c r="J9" i="18"/>
  <c r="B9" i="18" s="1"/>
  <c r="AI19" i="18" s="1"/>
  <c r="B10" i="18"/>
  <c r="AI20" i="18" s="1"/>
  <c r="B11" i="18"/>
  <c r="AI21" i="18" s="1"/>
  <c r="C9" i="18"/>
  <c r="D9" i="18"/>
  <c r="AG21" i="18" l="1"/>
  <c r="AG20" i="18"/>
</calcChain>
</file>

<file path=xl/sharedStrings.xml><?xml version="1.0" encoding="utf-8"?>
<sst xmlns="http://schemas.openxmlformats.org/spreadsheetml/2006/main" count="41" uniqueCount="26">
  <si>
    <t>Total</t>
  </si>
  <si>
    <t>Republic</t>
  </si>
  <si>
    <t>Male'</t>
  </si>
  <si>
    <t>Atolls</t>
  </si>
  <si>
    <t>ޖުމްލަ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</si>
  <si>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</si>
  <si>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</si>
  <si>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</si>
  <si>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</si>
  <si>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</si>
  <si>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</si>
  <si>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</si>
  <si>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Both sexes</t>
  </si>
  <si>
    <t>Source: Civil Service Commision</t>
  </si>
  <si>
    <t>ދެޖިންސް</t>
  </si>
  <si>
    <t>PERMANENT</t>
  </si>
  <si>
    <t>މަޢުލޫމާތު ދެއްވި ފަރާތް: ސިވިލް ސަރވިސް ކޮމިޝަން</t>
  </si>
  <si>
    <t>ވަޒީފާގެ ބާވަތް</t>
  </si>
  <si>
    <t>ދާއިމީ މުވައްޒަފުން</t>
  </si>
  <si>
    <t>ކޮންޓްރެކްޓް މުވައްޒަފުން</t>
  </si>
  <si>
    <t>Job type</t>
  </si>
  <si>
    <t>CONTRACT</t>
  </si>
  <si>
    <t>ނޯޓް: އަތޮޅުތަކުގެ ޖުމްލައިގެ ތެރޭގައި ރާއްޖޭން ބޭރުގައި މަސައްކަތްކުރާ 1 މުވައްޒަފު ހިމެނިފައި</t>
  </si>
  <si>
    <t>ތާވަލު 5.4: ސިވިލް ސަރވަންޓުން އަދާކުރާ ވަޒީފާގެ ބާވަތް އަދި ޖިންސް، 2016</t>
  </si>
  <si>
    <t>Table: 5.4 Civil Servents Classified by job type and Sex, 2016</t>
  </si>
  <si>
    <t>Note:  Atoll total includes 1 person who is working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</si>
</sst>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0.0"/>
    <numFmt numFmtId="166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b/>
      <sz val="10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theme="1"/>
      <name val="Faruma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52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5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9">
    <xf numFmtId="0" fontId="0" fillId="0" borderId="0" xfId="0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7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2" fillId="2" borderId="0" xfId="0" applyFont="1" applyFill="1"/>
    <xf numFmtId="0" fontId="8" fillId="2" borderId="0" xfId="0" applyFont="1" applyFill="1" applyBorder="1" applyAlignment="1">
      <alignment horizontal="right" vertical="center"/>
    </xf>
    <xf numFmtId="0" fontId="9" fillId="2" borderId="4" xfId="6" applyFont="1" applyFill="1" applyBorder="1"/>
    <xf numFmtId="0" fontId="0" fillId="2" borderId="0" xfId="0" applyFill="1" applyBorder="1" applyAlignment="1">
      <alignment vertical="center"/>
    </xf>
    <xf numFmtId="0" fontId="6" fillId="2" borderId="1" xfId="2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readingOrder="2"/>
    </xf>
    <xf numFmtId="0" fontId="2" fillId="2" borderId="0" xfId="0" applyFont="1" applyFill="1" applyBorder="1" applyAlignment="1">
      <alignment vertical="center"/>
    </xf>
    <xf numFmtId="3" fontId="0" fillId="2" borderId="0" xfId="0" applyNumberFormat="1" applyFill="1"/>
    <xf numFmtId="0" fontId="17" fillId="2" borderId="0" xfId="0" applyFont="1" applyFill="1"/>
    <xf numFmtId="0" fontId="0" fillId="2" borderId="3" xfId="0" applyFill="1" applyBorder="1"/>
    <xf numFmtId="0" fontId="0" fillId="2" borderId="1" xfId="0" applyFill="1" applyBorder="1"/>
    <xf numFmtId="0" fontId="8" fillId="2" borderId="7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center" readingOrder="2"/>
    </xf>
    <xf numFmtId="0" fontId="6" fillId="2" borderId="9" xfId="2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16" fillId="2" borderId="0" xfId="0" applyFont="1" applyFill="1" applyBorder="1"/>
    <xf numFmtId="165" fontId="0" fillId="2" borderId="0" xfId="0" applyNumberFormat="1" applyFill="1"/>
    <xf numFmtId="3" fontId="0" fillId="2" borderId="0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3" fontId="0" fillId="2" borderId="3" xfId="0" applyNumberFormat="1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vertical="center"/>
    </xf>
    <xf numFmtId="3" fontId="2" fillId="2" borderId="7" xfId="0" applyNumberFormat="1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12" fillId="2" borderId="1" xfId="0" applyFont="1" applyFill="1" applyBorder="1" applyAlignment="1"/>
    <xf numFmtId="0" fontId="16" fillId="2" borderId="0" xfId="0" applyFont="1" applyFill="1" applyBorder="1" applyAlignment="1"/>
    <xf numFmtId="0" fontId="16" fillId="2" borderId="3" xfId="0" applyFont="1" applyFill="1" applyBorder="1" applyAlignment="1"/>
    <xf numFmtId="0" fontId="2" fillId="2" borderId="0" xfId="0" applyFont="1" applyFill="1" applyBorder="1"/>
    <xf numFmtId="0" fontId="0" fillId="2" borderId="0" xfId="0" applyFill="1"/>
    <xf numFmtId="0" fontId="18" fillId="2" borderId="0" xfId="0" applyFont="1" applyFill="1" applyBorder="1" applyAlignment="1">
      <alignment horizontal="left" vertical="center"/>
    </xf>
    <xf numFmtId="3" fontId="13" fillId="2" borderId="0" xfId="1" applyNumberFormat="1" applyFont="1" applyFill="1" applyBorder="1" applyAlignment="1">
      <alignment horizontal="right" vertical="center"/>
    </xf>
    <xf numFmtId="3" fontId="11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0" fillId="2" borderId="10" xfId="0" applyFill="1" applyBorder="1" applyAlignment="1">
      <alignment horizontal="right" vertical="center"/>
    </xf>
    <xf numFmtId="0" fontId="0" fillId="2" borderId="12" xfId="0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vertical="center"/>
    </xf>
    <xf numFmtId="3" fontId="0" fillId="2" borderId="3" xfId="0" applyNumberFormat="1" applyFont="1" applyFill="1" applyBorder="1" applyAlignment="1">
      <alignment vertical="center"/>
    </xf>
    <xf numFmtId="3" fontId="11" fillId="2" borderId="3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6" fillId="2" borderId="6" xfId="2" applyFont="1" applyFill="1" applyBorder="1" applyAlignment="1">
      <alignment horizontal="center" vertical="top"/>
    </xf>
  </cellXfs>
  <cellStyles count="520">
    <cellStyle name="Comma" xfId="1" builtinId="3"/>
    <cellStyle name="Comma 3" xfId="3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colors>
    <mruColors>
      <color rgb="FFFDEADA"/>
      <color rgb="FFFCD3B2"/>
      <color rgb="FFFABF8E"/>
      <color rgb="FFF79747"/>
      <color rgb="FF953735"/>
      <color rgb="FFFBC497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020631142037479"/>
          <c:y val="0.18962817147856517"/>
          <c:w val="0.37903146554355122"/>
          <c:h val="0.77611204849393822"/>
        </c:manualLayout>
      </c:layout>
      <c:doughnutChart>
        <c:varyColors val="1"/>
        <c:ser>
          <c:idx val="0"/>
          <c:order val="0"/>
          <c:spPr>
            <a:solidFill>
              <a:srgbClr val="FF3399"/>
            </a:solidFill>
          </c:spPr>
          <c:explosion val="3"/>
          <c:dPt>
            <c:idx val="0"/>
            <c:bubble3D val="0"/>
            <c:spPr>
              <a:solidFill>
                <a:srgbClr val="F79747"/>
              </a:solidFill>
            </c:spPr>
          </c:dPt>
          <c:dPt>
            <c:idx val="1"/>
            <c:bubble3D val="0"/>
            <c:spPr>
              <a:solidFill>
                <a:srgbClr val="953735"/>
              </a:solidFill>
            </c:spPr>
          </c:dPt>
          <c:dLbls>
            <c:dLbl>
              <c:idx val="0"/>
              <c:layout>
                <c:manualLayout>
                  <c:x val="6.5417353354086549E-2"/>
                  <c:y val="5.49206349206349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7.9356192394555325E-2"/>
                  <c:y val="-6.93650793650793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5.5555555555555558E-3"/>
                  <c:y val="1.38888888888888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'5.4'!$AF$20:$AF$21</c:f>
              <c:strCache>
                <c:ptCount val="2"/>
                <c:pt idx="0">
                  <c:v>PERMANENT</c:v>
                </c:pt>
                <c:pt idx="1">
                  <c:v>CONTRACT</c:v>
                </c:pt>
              </c:strCache>
            </c:strRef>
          </c:cat>
          <c:val>
            <c:numRef>
              <c:f>'5.4'!$AG$20:$AG$21</c:f>
              <c:numCache>
                <c:formatCode>0.0</c:formatCode>
                <c:ptCount val="2"/>
                <c:pt idx="0">
                  <c:v>88.029060038365785</c:v>
                </c:pt>
                <c:pt idx="1">
                  <c:v>11.970939961634219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2"/>
        <c:holeSize val="50"/>
      </c:doughnutChart>
    </c:plotArea>
    <c:plotVisOnly val="1"/>
    <c:dispBlanksAs val="gap"/>
    <c:showDLblsOverMax val="0"/>
  </c:chart>
  <c:spPr>
    <a:solidFill>
      <a:srgbClr val="FDEADA"/>
    </a:solidFill>
  </c:sp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1228725</xdr:colOff>
      <xdr:row>14</xdr:row>
      <xdr:rowOff>66675</xdr:rowOff>
    </xdr:from>
    <xdr:to>
      <xdr:col>12</xdr:col>
      <xdr:colOff>914400</xdr:colOff>
      <xdr:row>31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15</xdr:row>
      <xdr:rowOff>19050</xdr:rowOff>
    </xdr:from>
    <xdr:to>
      <xdr:col>12</xdr:col>
      <xdr:colOff>85724</xdr:colOff>
      <xdr:row>16</xdr:row>
      <xdr:rowOff>114299</xdr:rowOff>
    </xdr:to>
    <xdr:sp macro="" textlink="">
      <xdr:nvSpPr>
        <xdr:cNvPr id="7" name="TextBox 6"/>
        <xdr:cNvSpPr txBox="1"/>
      </xdr:nvSpPr>
      <xdr:spPr>
        <a:xfrm>
          <a:off x="2324100" y="3276600"/>
          <a:ext cx="4629149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5.6: Percentage of civil servants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by job type, 2016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438150</xdr:colOff>
      <xdr:row>16</xdr:row>
      <xdr:rowOff>95249</xdr:rowOff>
    </xdr:from>
    <xdr:to>
      <xdr:col>11</xdr:col>
      <xdr:colOff>447675</xdr:colOff>
      <xdr:row>16</xdr:row>
      <xdr:rowOff>95249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362200" y="3543299"/>
          <a:ext cx="43624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5.%20EMPLOYMENT%20_%20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9"/>
    </sheetNames>
    <sheetDataSet>
      <sheetData sheetId="0">
        <row r="114">
          <cell r="BB114" t="str">
            <v>Male</v>
          </cell>
          <cell r="BD114">
            <v>74.512743628185902</v>
          </cell>
        </row>
        <row r="115">
          <cell r="BB115" t="str">
            <v>Female</v>
          </cell>
          <cell r="BD115">
            <v>25.487256371814095</v>
          </cell>
        </row>
        <row r="119">
          <cell r="BB119" t="str">
            <v>Both sexes</v>
          </cell>
          <cell r="BC119" t="str">
            <v>Male</v>
          </cell>
          <cell r="BD119" t="str">
            <v>Female</v>
          </cell>
        </row>
        <row r="120">
          <cell r="BA120">
            <v>2011</v>
          </cell>
          <cell r="BB120">
            <v>544</v>
          </cell>
          <cell r="BC120">
            <v>390</v>
          </cell>
          <cell r="BD120">
            <v>154</v>
          </cell>
        </row>
        <row r="121">
          <cell r="BA121">
            <v>2012</v>
          </cell>
          <cell r="BB121">
            <v>446</v>
          </cell>
          <cell r="BC121">
            <v>301</v>
          </cell>
          <cell r="BD121">
            <v>145</v>
          </cell>
        </row>
        <row r="122">
          <cell r="BA122">
            <v>2013</v>
          </cell>
          <cell r="BB122">
            <v>473</v>
          </cell>
          <cell r="BC122">
            <v>342</v>
          </cell>
          <cell r="BD122">
            <v>131</v>
          </cell>
        </row>
        <row r="123">
          <cell r="BA123">
            <v>2014</v>
          </cell>
          <cell r="BB123">
            <v>526</v>
          </cell>
          <cell r="BC123">
            <v>367</v>
          </cell>
          <cell r="BD123">
            <v>159</v>
          </cell>
        </row>
        <row r="124">
          <cell r="BA124">
            <v>2015</v>
          </cell>
          <cell r="BB124">
            <v>0</v>
          </cell>
          <cell r="BC124">
            <v>0</v>
          </cell>
          <cell r="BD12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AI23"/>
  <sheetViews>
    <sheetView tabSelected="1" zoomScaleNormal="100" workbookViewId="0">
      <selection activeCell="O19" sqref="O19"/>
    </sheetView>
  </sheetViews>
  <sheetFormatPr defaultRowHeight="15" x14ac:dyDescent="0.25"/>
  <cols>
    <col min="1" max="1" width="20" style="37" customWidth="1"/>
    <col min="2" max="4" width="8.85546875" style="37"/>
    <col min="5" max="5" width="2" style="37" customWidth="1"/>
    <col min="6" max="8" width="8.85546875" style="37"/>
    <col min="9" max="9" width="1.28515625" style="37" customWidth="1"/>
    <col min="10" max="12" width="8.85546875" style="37"/>
    <col min="13" max="13" width="30.85546875" style="37" customWidth="1"/>
    <col min="14" max="16384" width="9.140625" style="37"/>
  </cols>
  <sheetData>
    <row r="2" spans="1:27" ht="21" x14ac:dyDescent="0.55000000000000004">
      <c r="A2" s="56" t="s">
        <v>23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27" s="2" customFormat="1" ht="15" customHeight="1" x14ac:dyDescent="0.25">
      <c r="A3" s="57" t="s">
        <v>24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27" ht="7.15" customHeight="1" x14ac:dyDescent="0.2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27" ht="18" customHeight="1" x14ac:dyDescent="0.25">
      <c r="A5" s="15"/>
      <c r="B5" s="52" t="s">
        <v>10</v>
      </c>
      <c r="C5" s="52"/>
      <c r="D5" s="52"/>
      <c r="E5" s="18"/>
      <c r="F5" s="52" t="s">
        <v>9</v>
      </c>
      <c r="G5" s="52"/>
      <c r="H5" s="58"/>
      <c r="I5" s="9"/>
      <c r="J5" s="52" t="s">
        <v>11</v>
      </c>
      <c r="K5" s="52"/>
      <c r="L5" s="52"/>
      <c r="M5" s="15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8" customHeight="1" x14ac:dyDescent="0.55000000000000004">
      <c r="A6" s="36" t="s">
        <v>20</v>
      </c>
      <c r="B6" s="53" t="s">
        <v>1</v>
      </c>
      <c r="C6" s="53"/>
      <c r="D6" s="53"/>
      <c r="E6" s="19"/>
      <c r="F6" s="54" t="s">
        <v>2</v>
      </c>
      <c r="G6" s="54"/>
      <c r="H6" s="55"/>
      <c r="I6" s="50"/>
      <c r="J6" s="54" t="s">
        <v>3</v>
      </c>
      <c r="K6" s="54"/>
      <c r="L6" s="54"/>
      <c r="M6" s="22" t="s">
        <v>17</v>
      </c>
    </row>
    <row r="7" spans="1:27" x14ac:dyDescent="0.25">
      <c r="A7" s="2"/>
      <c r="B7" s="6" t="s">
        <v>12</v>
      </c>
      <c r="C7" s="6" t="s">
        <v>7</v>
      </c>
      <c r="D7" s="6" t="s">
        <v>8</v>
      </c>
      <c r="E7" s="20"/>
      <c r="F7" s="6" t="s">
        <v>12</v>
      </c>
      <c r="G7" s="6" t="s">
        <v>7</v>
      </c>
      <c r="H7" s="16" t="s">
        <v>8</v>
      </c>
      <c r="I7" s="48"/>
      <c r="J7" s="6" t="s">
        <v>12</v>
      </c>
      <c r="K7" s="6" t="s">
        <v>7</v>
      </c>
      <c r="L7" s="6" t="s">
        <v>8</v>
      </c>
      <c r="M7" s="2"/>
    </row>
    <row r="8" spans="1:27" ht="18.75" x14ac:dyDescent="0.5">
      <c r="A8" s="14"/>
      <c r="B8" s="10" t="s">
        <v>14</v>
      </c>
      <c r="C8" s="10" t="s">
        <v>5</v>
      </c>
      <c r="D8" s="10" t="s">
        <v>6</v>
      </c>
      <c r="E8" s="21"/>
      <c r="F8" s="10" t="s">
        <v>14</v>
      </c>
      <c r="G8" s="10" t="s">
        <v>5</v>
      </c>
      <c r="H8" s="17" t="s">
        <v>6</v>
      </c>
      <c r="I8" s="49"/>
      <c r="J8" s="10" t="s">
        <v>14</v>
      </c>
      <c r="K8" s="10" t="s">
        <v>5</v>
      </c>
      <c r="L8" s="10" t="s">
        <v>6</v>
      </c>
      <c r="M8" s="14"/>
    </row>
    <row r="9" spans="1:27" s="5" customFormat="1" ht="21" x14ac:dyDescent="0.55000000000000004">
      <c r="A9" s="11" t="s">
        <v>0</v>
      </c>
      <c r="B9" s="30">
        <f>F9+J9</f>
        <v>24501</v>
      </c>
      <c r="C9" s="30">
        <f t="shared" ref="C9:D9" si="0">G9+K9</f>
        <v>10881</v>
      </c>
      <c r="D9" s="30">
        <f t="shared" si="0"/>
        <v>13620</v>
      </c>
      <c r="E9" s="42"/>
      <c r="F9" s="40">
        <f>G9+H9</f>
        <v>9500</v>
      </c>
      <c r="G9" s="30">
        <f>SUM(G10:G11)</f>
        <v>4500</v>
      </c>
      <c r="H9" s="31">
        <f>SUM(H10:H11)</f>
        <v>5000</v>
      </c>
      <c r="I9" s="11"/>
      <c r="J9" s="40">
        <f>K9+L9</f>
        <v>15001</v>
      </c>
      <c r="K9" s="30">
        <f>SUM(K10:K11)</f>
        <v>6381</v>
      </c>
      <c r="L9" s="30">
        <f>SUM(L10:L11)</f>
        <v>8620</v>
      </c>
      <c r="M9" s="33" t="s">
        <v>4</v>
      </c>
    </row>
    <row r="10" spans="1:27" ht="21" x14ac:dyDescent="0.55000000000000004">
      <c r="A10" s="8" t="s">
        <v>15</v>
      </c>
      <c r="B10" s="30">
        <f t="shared" ref="B10:B11" si="1">F10+J10</f>
        <v>21568</v>
      </c>
      <c r="C10" s="41">
        <f t="shared" ref="C10:C11" si="2">G10+K10</f>
        <v>8908</v>
      </c>
      <c r="D10" s="41">
        <f t="shared" ref="D10:D11" si="3">H10+L10</f>
        <v>12660</v>
      </c>
      <c r="E10" s="43"/>
      <c r="F10" s="40">
        <f t="shared" ref="F10:F11" si="4">G10+H10</f>
        <v>8526</v>
      </c>
      <c r="G10" s="24">
        <v>3831</v>
      </c>
      <c r="H10" s="25">
        <v>4695</v>
      </c>
      <c r="I10" s="26"/>
      <c r="J10" s="40">
        <f t="shared" ref="J10:J11" si="5">K10+L10</f>
        <v>13042</v>
      </c>
      <c r="K10" s="24">
        <v>5077</v>
      </c>
      <c r="L10" s="24">
        <v>7965</v>
      </c>
      <c r="M10" s="34" t="s">
        <v>18</v>
      </c>
    </row>
    <row r="11" spans="1:27" ht="21" x14ac:dyDescent="0.55000000000000004">
      <c r="A11" s="32" t="s">
        <v>21</v>
      </c>
      <c r="B11" s="45">
        <f t="shared" si="1"/>
        <v>2933</v>
      </c>
      <c r="C11" s="46">
        <f t="shared" si="2"/>
        <v>1973</v>
      </c>
      <c r="D11" s="46">
        <f t="shared" si="3"/>
        <v>960</v>
      </c>
      <c r="E11" s="44"/>
      <c r="F11" s="47">
        <f t="shared" si="4"/>
        <v>974</v>
      </c>
      <c r="G11" s="28">
        <v>669</v>
      </c>
      <c r="H11" s="29">
        <v>305</v>
      </c>
      <c r="I11" s="28"/>
      <c r="J11" s="47">
        <f t="shared" si="5"/>
        <v>1959</v>
      </c>
      <c r="K11" s="27">
        <v>1304</v>
      </c>
      <c r="L11" s="27">
        <v>655</v>
      </c>
      <c r="M11" s="35" t="s">
        <v>19</v>
      </c>
    </row>
    <row r="12" spans="1:27" ht="18.75" x14ac:dyDescent="0.25">
      <c r="A12" s="38" t="s">
        <v>25</v>
      </c>
      <c r="B12" s="3"/>
      <c r="C12" s="4"/>
      <c r="D12" s="3"/>
      <c r="E12" s="3"/>
      <c r="F12" s="3"/>
      <c r="G12" s="4"/>
      <c r="J12" s="36"/>
      <c r="K12" s="2"/>
      <c r="M12" s="39" t="s">
        <v>22</v>
      </c>
    </row>
    <row r="13" spans="1:27" ht="17.25" x14ac:dyDescent="0.25">
      <c r="A13" s="7" t="s">
        <v>13</v>
      </c>
      <c r="M13" s="1" t="s">
        <v>16</v>
      </c>
    </row>
    <row r="14" spans="1:27" x14ac:dyDescent="0.25">
      <c r="B14" s="12"/>
      <c r="C14" s="12"/>
      <c r="D14" s="12"/>
    </row>
    <row r="15" spans="1:27" x14ac:dyDescent="0.25">
      <c r="B15" s="12"/>
      <c r="C15" s="12"/>
      <c r="D15" s="12"/>
    </row>
    <row r="16" spans="1:27" x14ac:dyDescent="0.25">
      <c r="B16" s="12"/>
      <c r="C16" s="12"/>
      <c r="D16" s="12"/>
    </row>
    <row r="17" spans="2:35" x14ac:dyDescent="0.25">
      <c r="B17" s="12"/>
      <c r="C17" s="12"/>
      <c r="D17" s="12"/>
    </row>
    <row r="18" spans="2:35" x14ac:dyDescent="0.25">
      <c r="B18" s="12"/>
      <c r="C18" s="12"/>
      <c r="D18" s="12"/>
    </row>
    <row r="19" spans="2:35" x14ac:dyDescent="0.25">
      <c r="AF19" s="37" t="s">
        <v>0</v>
      </c>
      <c r="AI19" s="23">
        <f>B9</f>
        <v>24501</v>
      </c>
    </row>
    <row r="20" spans="2:35" x14ac:dyDescent="0.25">
      <c r="AF20" s="8" t="s">
        <v>15</v>
      </c>
      <c r="AG20" s="23">
        <f>AI20/AI19*100</f>
        <v>88.029060038365785</v>
      </c>
      <c r="AI20" s="23">
        <f>B10</f>
        <v>21568</v>
      </c>
    </row>
    <row r="21" spans="2:35" x14ac:dyDescent="0.25">
      <c r="AF21" s="32" t="s">
        <v>21</v>
      </c>
      <c r="AG21" s="23">
        <f>AI21/AI19*100</f>
        <v>11.970939961634219</v>
      </c>
      <c r="AI21" s="23">
        <f>B11</f>
        <v>2933</v>
      </c>
    </row>
    <row r="23" spans="2:35" x14ac:dyDescent="0.25">
      <c r="AG23" s="23"/>
    </row>
  </sheetData>
  <mergeCells count="8">
    <mergeCell ref="B6:D6"/>
    <mergeCell ref="F6:H6"/>
    <mergeCell ref="J6:L6"/>
    <mergeCell ref="A2:M2"/>
    <mergeCell ref="A3:M3"/>
    <mergeCell ref="B5:D5"/>
    <mergeCell ref="F5:H5"/>
    <mergeCell ref="J5:L5"/>
  </mergeCells>
  <pageMargins left="0.7" right="0.7" top="0.59" bottom="0.47" header="0.3" footer="0.3"/>
  <pageSetup paperSize="9" scale="9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5.4</vt:lpstr>
      <vt:lpstr>'5.4'!Print_Area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2017-06-07T08:09:18Z</cp:lastPrinted>
  <dcterms:created xsi:type="dcterms:W3CDTF">2013-03-26T05:45:33Z</dcterms:created>
  <dcterms:modified xsi:type="dcterms:W3CDTF">2017-06-07T08:09:20Z</dcterms:modified>
</cp:coreProperties>
</file>