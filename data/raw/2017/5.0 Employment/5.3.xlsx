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4000" windowHeight="9735" tabRatio="834"/>
  </bookViews>
  <sheets>
    <sheet name="5.3" sheetId="11" r:id="rId1"/>
  </sheets>
  <definedNames>
    <definedName name="_xlnm._FilterDatabase" localSheetId="0" hidden="1">'5.3'!$A$5:$C$5</definedName>
    <definedName name="_xlnm.Print_Area" localSheetId="0">'5.3'!$A$1:$E$66</definedName>
  </definedNames>
  <calcPr calcId="144525"/>
</workbook>
</file>

<file path=xl/calcChain.xml><?xml version="1.0" encoding="utf-8"?>
<calcChain xmlns="http://schemas.openxmlformats.org/spreadsheetml/2006/main">
  <c r="B29" i="11" l="1"/>
  <c r="B7" i="11" l="1"/>
  <c r="B9" i="11"/>
  <c r="AE9" i="11" s="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D8" i="11"/>
  <c r="D6" i="11" s="1"/>
  <c r="C8" i="11"/>
  <c r="C6" i="11" s="1"/>
  <c r="D88" i="11"/>
  <c r="C88" i="11"/>
  <c r="B88" i="11"/>
  <c r="B8" i="11" l="1"/>
  <c r="B6" i="11" s="1"/>
  <c r="AE10" i="11" l="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F46" i="11"/>
  <c r="AF47" i="11"/>
  <c r="AF48" i="11"/>
  <c r="AF49" i="11"/>
  <c r="AF50" i="11"/>
  <c r="AF51" i="11"/>
  <c r="AF52" i="11"/>
  <c r="AF53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E47" i="11"/>
  <c r="AE48" i="11"/>
  <c r="AE49" i="11"/>
  <c r="AE50" i="11"/>
  <c r="AE51" i="11"/>
  <c r="AE52" i="11"/>
  <c r="AE53" i="11"/>
  <c r="AE54" i="11"/>
  <c r="AE55" i="11"/>
  <c r="AE56" i="11"/>
  <c r="AE57" i="11"/>
  <c r="AE58" i="11"/>
  <c r="AE59" i="11"/>
  <c r="AE60" i="11"/>
  <c r="AE61" i="11"/>
  <c r="AE62" i="11"/>
  <c r="AE63" i="11"/>
  <c r="AE64" i="11"/>
  <c r="AE65" i="11"/>
  <c r="AE46" i="11"/>
</calcChain>
</file>

<file path=xl/sharedStrings.xml><?xml version="1.0" encoding="utf-8"?>
<sst xmlns="http://schemas.openxmlformats.org/spreadsheetml/2006/main" count="162" uniqueCount="85">
  <si>
    <t>ފިރިހެން</t>
  </si>
  <si>
    <t>އަންހެން</t>
  </si>
  <si>
    <t>Male</t>
  </si>
  <si>
    <t>Female</t>
  </si>
  <si>
    <t>މާލެ</t>
  </si>
  <si>
    <t>އަތޮޅުތައް</t>
  </si>
  <si>
    <t>Both sexes</t>
  </si>
  <si>
    <t>Source: Civil Service Commision</t>
  </si>
  <si>
    <t>ދެޖިންސް</t>
  </si>
  <si>
    <t>މަޢުލޫމާތު ދެއްވި ފަރާތް: ސިވިލް ސަރވިސް ކޮމިޝަން</t>
  </si>
  <si>
    <t>MALE'</t>
  </si>
  <si>
    <t>Locality</t>
  </si>
  <si>
    <t>ތަން</t>
  </si>
  <si>
    <t>REPUBLIC</t>
  </si>
  <si>
    <t>މުޅި ރާއްޖެ</t>
  </si>
  <si>
    <t>All ATOLL</t>
  </si>
  <si>
    <t xml:space="preserve"> North Thiladhunmathi (HA)</t>
  </si>
  <si>
    <t xml:space="preserve">       (ah)  iruburutua Itwmcnudwlit</t>
  </si>
  <si>
    <t xml:space="preserve"> South Thiladhunmathi (HDh)</t>
  </si>
  <si>
    <t>(dh) irubunuked Itwmcnudwlit</t>
  </si>
  <si>
    <t xml:space="preserve"> North Miladhunmadulu (Sh)</t>
  </si>
  <si>
    <t>(S) iruburutua uluDwmcnudwlim</t>
  </si>
  <si>
    <t xml:space="preserve"> South Miladhunmadulu (N)</t>
  </si>
  <si>
    <t>(n) irubunuked uluDwmcnudwlim</t>
  </si>
  <si>
    <t xml:space="preserve"> North Maalhosmadulu (R)</t>
  </si>
  <si>
    <t>(r) iruburutuauluDwmcsoLWm</t>
  </si>
  <si>
    <t xml:space="preserve"> South Maalhosmadulu (B)</t>
  </si>
  <si>
    <t>(b) irubunukeduluDwcsoLWm</t>
  </si>
  <si>
    <t xml:space="preserve"> Faadhippolhu (Lh)</t>
  </si>
  <si>
    <t>(L) uLopcaidWf</t>
  </si>
  <si>
    <t xml:space="preserve"> Male' Atoll (K)</t>
  </si>
  <si>
    <t>(k) uLotwa elWm</t>
  </si>
  <si>
    <t xml:space="preserve"> North Ari Atoll (AA)</t>
  </si>
  <si>
    <t>(aa) iruburutuauLotwairwa</t>
  </si>
  <si>
    <t xml:space="preserve"> South Ari Atoll (ADh)</t>
  </si>
  <si>
    <t>(da) iruburutuauLotwairwa</t>
  </si>
  <si>
    <t xml:space="preserve"> Felidhu Atoll (V)</t>
  </si>
  <si>
    <t>(v) uLotwa udilef</t>
  </si>
  <si>
    <t xml:space="preserve"> Mulakatholhu (M)</t>
  </si>
  <si>
    <t>(m) uLotwkwlum</t>
  </si>
  <si>
    <t xml:space="preserve"> North Nilandhe Atoll (F)</t>
  </si>
  <si>
    <t>(f) iruburutua uLotwaedcnwlin</t>
  </si>
  <si>
    <t xml:space="preserve"> South Nilandhe Atoll (D)</t>
  </si>
  <si>
    <t>(d) irubunuked uLotwaedcnwlin</t>
  </si>
  <si>
    <t xml:space="preserve"> Kolhumadulu (Th)</t>
  </si>
  <si>
    <t>(t) uluDwmuLok</t>
  </si>
  <si>
    <t xml:space="preserve"> Hadhdhunmathi (L)</t>
  </si>
  <si>
    <t>(l) itwmcnudcawh</t>
  </si>
  <si>
    <t xml:space="preserve"> North Huvadhu Atoll (GA)</t>
  </si>
  <si>
    <t>(ag) iruburutua uLotwaudwvuh</t>
  </si>
  <si>
    <t xml:space="preserve"> South Huvadhu Atoll (GDh)</t>
  </si>
  <si>
    <t xml:space="preserve"> (dg) irubunuked uLotwaudwvuh</t>
  </si>
  <si>
    <t xml:space="preserve"> Fuvahmulah (Gn)</t>
  </si>
  <si>
    <t>(N)cawlumcawvuf</t>
  </si>
  <si>
    <t xml:space="preserve"> Addu Atoll (S)</t>
  </si>
  <si>
    <t>(s) uLotwauDcawa</t>
  </si>
  <si>
    <t>HA</t>
  </si>
  <si>
    <t>HDh</t>
  </si>
  <si>
    <t>Sh</t>
  </si>
  <si>
    <t>N</t>
  </si>
  <si>
    <t>S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</si>
  <si>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</si>
  <si>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</si>
  <si>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</si>
  <si>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</si>
  <si>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</si>
  <si>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</si>
  <si>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</si>
  <si>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</si>
  <si>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</si>
  <si>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</si>
  <si>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</si>
  <si>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</si>
  <si>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</si>
  <si>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</si>
  <si>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</si>
  <si>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ނޯޓް: އަތޮޅުތަކުގެ ޖުމްލައިގެ ތެރޭގައި ރާއްޖޭން ބޭރުގައި މަސައްކަތްކުރާ 1 މުވައްޒަފު ހިމެނިފައި</t>
  </si>
  <si>
    <t>Note:  Atoll total includes 1 person who are working abroad</t>
  </si>
  <si>
    <t>ތާވަލް 5.3: މާލެ އާއި އަތޮޅުތަކުގައި މަސައްކަތްކުރާ ސިވިލް ސަރވަންޓުންގެ އަދަދު އަދި ޖިންސް، 2015</t>
  </si>
  <si>
    <t>Table 5.3: CIVIL SERVANTS BY ATOLL AND SEX, 2015</t>
  </si>
  <si>
    <t>ތާވަލް 5.3: މާލެ އާއި އަތޮޅުތަކުގައި މަސައްކަތްކުރާ ސިވިލް ސަރވަންޓުންގެ އަދަދު އަދި ޖިންސް، 2016</t>
  </si>
  <si>
    <t>Table 5.3: CIVIL SERVANTS BY ATOLL AND SEX, 2016</t>
  </si>
  <si>
    <t>INTERNATIONAL</t>
  </si>
  <si>
    <t xml:space="preserve">ރާއްޖޭން ބޭރުގައި </t>
  </si>
  <si>
    <t>All ATOLLS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</si>
</sst>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color theme="1"/>
      <name val="Faruma"/>
    </font>
    <font>
      <sz val="10"/>
      <color theme="1"/>
      <name val="Faruma"/>
    </font>
    <font>
      <b/>
      <sz val="10"/>
      <color theme="1"/>
      <name val="Faruma"/>
    </font>
    <font>
      <b/>
      <sz val="11"/>
      <name val="A_Reethi"/>
    </font>
    <font>
      <sz val="10"/>
      <name val="MS Sans Serif"/>
      <family val="2"/>
    </font>
    <font>
      <sz val="11"/>
      <color rgb="FFFF0000"/>
      <name val="Calibri"/>
      <family val="2"/>
      <scheme val="minor"/>
    </font>
    <font>
      <b/>
      <sz val="10"/>
      <color theme="1" tint="0.14999847407452621"/>
      <name val="Faruma"/>
    </font>
    <font>
      <sz val="10"/>
      <color theme="1" tint="0.14999847407452621"/>
      <name val="A_Randhoo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</borders>
  <cellStyleXfs count="5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0" fontId="3" fillId="0" borderId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14" fillId="0" borderId="0"/>
    <xf numFmtId="0" fontId="3" fillId="0" borderId="0"/>
    <xf numFmtId="0" fontId="3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38">
    <xf numFmtId="0" fontId="0" fillId="0" borderId="0" xfId="0"/>
    <xf numFmtId="3" fontId="6" fillId="2" borderId="0" xfId="2" applyNumberFormat="1" applyFont="1" applyFill="1" applyBorder="1" applyAlignment="1" applyProtection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>
      <alignment horizontal="right" vertical="center"/>
    </xf>
    <xf numFmtId="0" fontId="2" fillId="2" borderId="0" xfId="0" applyFont="1" applyFill="1"/>
    <xf numFmtId="0" fontId="9" fillId="2" borderId="4" xfId="7" applyFont="1" applyFill="1" applyBorder="1"/>
    <xf numFmtId="0" fontId="13" fillId="2" borderId="0" xfId="5" applyFont="1" applyFill="1" applyBorder="1" applyAlignment="1"/>
    <xf numFmtId="3" fontId="0" fillId="2" borderId="0" xfId="0" applyNumberFormat="1" applyFill="1"/>
    <xf numFmtId="0" fontId="15" fillId="2" borderId="0" xfId="0" applyFont="1" applyFill="1"/>
    <xf numFmtId="0" fontId="8" fillId="2" borderId="3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right" vertical="center" readingOrder="2"/>
    </xf>
    <xf numFmtId="3" fontId="8" fillId="2" borderId="0" xfId="0" applyNumberFormat="1" applyFont="1" applyFill="1" applyBorder="1" applyAlignment="1">
      <alignment horizontal="right" vertical="center"/>
    </xf>
    <xf numFmtId="3" fontId="16" fillId="2" borderId="0" xfId="9" applyNumberFormat="1" applyFont="1" applyFill="1" applyBorder="1" applyAlignment="1" applyProtection="1">
      <alignment horizontal="right" vertical="center"/>
    </xf>
    <xf numFmtId="3" fontId="0" fillId="2" borderId="0" xfId="1" applyNumberFormat="1" applyFont="1" applyFill="1"/>
    <xf numFmtId="0" fontId="5" fillId="2" borderId="5" xfId="10" applyFont="1" applyFill="1" applyBorder="1" applyAlignment="1" applyProtection="1">
      <alignment horizontal="left" vertical="center" indent="2"/>
    </xf>
    <xf numFmtId="3" fontId="17" fillId="2" borderId="0" xfId="9" applyNumberFormat="1" applyFont="1" applyFill="1" applyBorder="1" applyAlignment="1" applyProtection="1">
      <alignment horizontal="right" vertical="center" indent="2"/>
    </xf>
    <xf numFmtId="3" fontId="0" fillId="2" borderId="3" xfId="1" applyNumberFormat="1" applyFont="1" applyFill="1" applyBorder="1"/>
    <xf numFmtId="3" fontId="2" fillId="2" borderId="0" xfId="1" applyNumberFormat="1" applyFont="1" applyFill="1" applyBorder="1" applyAlignment="1">
      <alignment vertical="center"/>
    </xf>
    <xf numFmtId="0" fontId="5" fillId="2" borderId="0" xfId="10" applyFont="1" applyFill="1" applyBorder="1" applyAlignment="1" applyProtection="1">
      <alignment horizontal="left" vertical="center" indent="2"/>
    </xf>
    <xf numFmtId="3" fontId="0" fillId="2" borderId="0" xfId="1" applyNumberFormat="1" applyFont="1" applyFill="1" applyBorder="1"/>
    <xf numFmtId="3" fontId="2" fillId="2" borderId="3" xfId="1" applyNumberFormat="1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3" fontId="12" fillId="2" borderId="0" xfId="9" applyNumberFormat="1" applyFont="1" applyFill="1" applyBorder="1" applyAlignment="1" applyProtection="1">
      <alignment horizontal="right" vertical="center"/>
    </xf>
    <xf numFmtId="0" fontId="0" fillId="2" borderId="0" xfId="0" applyFill="1"/>
    <xf numFmtId="0" fontId="18" fillId="2" borderId="0" xfId="0" applyFont="1" applyFill="1" applyBorder="1" applyAlignment="1">
      <alignment horizontal="left" vertical="center"/>
    </xf>
    <xf numFmtId="3" fontId="11" fillId="2" borderId="0" xfId="1" applyNumberFormat="1" applyFont="1" applyFill="1" applyBorder="1" applyAlignment="1">
      <alignment horizontal="right" vertical="center"/>
    </xf>
    <xf numFmtId="0" fontId="5" fillId="2" borderId="3" xfId="10" applyFont="1" applyFill="1" applyBorder="1" applyAlignment="1" applyProtection="1">
      <alignment horizontal="left" vertical="center" indent="2"/>
    </xf>
    <xf numFmtId="3" fontId="17" fillId="2" borderId="3" xfId="9" applyNumberFormat="1" applyFont="1" applyFill="1" applyBorder="1" applyAlignment="1" applyProtection="1">
      <alignment horizontal="right" vertical="center" indent="2"/>
    </xf>
    <xf numFmtId="0" fontId="2" fillId="2" borderId="0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3" fontId="12" fillId="2" borderId="3" xfId="9" applyNumberFormat="1" applyFont="1" applyFill="1" applyBorder="1" applyAlignment="1" applyProtection="1">
      <alignment horizontal="right" vertic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2" fillId="2" borderId="3" xfId="0" applyFont="1" applyFill="1" applyBorder="1" applyAlignment="1">
      <alignment horizontal="left" vertical="center" indent="2"/>
    </xf>
    <xf numFmtId="0" fontId="10" fillId="2" borderId="1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0" fontId="13" fillId="2" borderId="0" xfId="5" applyFont="1" applyFill="1" applyBorder="1" applyAlignment="1">
      <alignment horizontal="center"/>
    </xf>
  </cellXfs>
  <cellStyles count="523">
    <cellStyle name="Comma" xfId="1" builtinId="3"/>
    <cellStyle name="Comma 3" xfId="3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Normal" xfId="0" builtinId="0"/>
    <cellStyle name="Normal 2" xfId="4"/>
    <cellStyle name="Normal 4" xfId="8"/>
    <cellStyle name="Normal_5 Employment_done" xfId="5"/>
    <cellStyle name="Normal_II-15(Population) 2" xfId="9"/>
    <cellStyle name="Normal_II-16(Populaion)" xfId="2"/>
    <cellStyle name="Normal_immunization" xfId="10"/>
    <cellStyle name="Normal_po" xfId="7"/>
    <cellStyle name="Percent 3" xfId="6"/>
  </cellStyles>
  <dxfs count="1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DEADA"/>
      <color rgb="FFFCD3B2"/>
      <color rgb="FFFABF8E"/>
      <color rgb="FFF79747"/>
      <color rgb="FF953735"/>
      <color rgb="FFFBC497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37673624391435"/>
          <c:y val="0.1486227763196267"/>
          <c:w val="0.85059538350561081"/>
          <c:h val="0.701002843394575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79747"/>
            </a:solidFill>
          </c:spPr>
          <c:invertIfNegative val="0"/>
          <c:cat>
            <c:strRef>
              <c:f>'5.3'!$AD$9:$AD$28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'5.3'!$AE$9:$AE$28</c:f>
              <c:numCache>
                <c:formatCode>#,##0</c:formatCode>
                <c:ptCount val="20"/>
                <c:pt idx="0">
                  <c:v>939</c:v>
                </c:pt>
                <c:pt idx="1">
                  <c:v>1307</c:v>
                </c:pt>
                <c:pt idx="2">
                  <c:v>969</c:v>
                </c:pt>
                <c:pt idx="3">
                  <c:v>813</c:v>
                </c:pt>
                <c:pt idx="4">
                  <c:v>1178</c:v>
                </c:pt>
                <c:pt idx="5">
                  <c:v>801</c:v>
                </c:pt>
                <c:pt idx="6">
                  <c:v>479</c:v>
                </c:pt>
                <c:pt idx="7">
                  <c:v>1048</c:v>
                </c:pt>
                <c:pt idx="8">
                  <c:v>477</c:v>
                </c:pt>
                <c:pt idx="9">
                  <c:v>644</c:v>
                </c:pt>
                <c:pt idx="10">
                  <c:v>187</c:v>
                </c:pt>
                <c:pt idx="11">
                  <c:v>474</c:v>
                </c:pt>
                <c:pt idx="12">
                  <c:v>435</c:v>
                </c:pt>
                <c:pt idx="13">
                  <c:v>481</c:v>
                </c:pt>
                <c:pt idx="14">
                  <c:v>901</c:v>
                </c:pt>
                <c:pt idx="15">
                  <c:v>892</c:v>
                </c:pt>
                <c:pt idx="16">
                  <c:v>675</c:v>
                </c:pt>
                <c:pt idx="17">
                  <c:v>811</c:v>
                </c:pt>
                <c:pt idx="18">
                  <c:v>504</c:v>
                </c:pt>
                <c:pt idx="19">
                  <c:v>985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axId val="120125696"/>
        <c:axId val="120138368"/>
      </c:barChart>
      <c:catAx>
        <c:axId val="120125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0138368"/>
        <c:crosses val="autoZero"/>
        <c:auto val="1"/>
        <c:lblAlgn val="ctr"/>
        <c:lblOffset val="100"/>
        <c:noMultiLvlLbl val="0"/>
      </c:catAx>
      <c:valAx>
        <c:axId val="120138368"/>
        <c:scaling>
          <c:orientation val="minMax"/>
          <c:max val="140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120125696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25599718537385"/>
          <c:y val="0.1355881578632458"/>
          <c:w val="0.8628426402646806"/>
          <c:h val="0.7329727401096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'5.3'!$AE$45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79747"/>
            </a:solidFill>
          </c:spPr>
          <c:invertIfNegative val="0"/>
          <c:cat>
            <c:strRef>
              <c:f>'5.3'!$AD$46:$AD$65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'5.3'!$AE$46:$AE$65</c:f>
              <c:numCache>
                <c:formatCode>#,##0</c:formatCode>
                <c:ptCount val="20"/>
                <c:pt idx="0">
                  <c:v>414</c:v>
                </c:pt>
                <c:pt idx="1">
                  <c:v>558</c:v>
                </c:pt>
                <c:pt idx="2">
                  <c:v>532</c:v>
                </c:pt>
                <c:pt idx="3">
                  <c:v>388</c:v>
                </c:pt>
                <c:pt idx="4">
                  <c:v>568</c:v>
                </c:pt>
                <c:pt idx="5">
                  <c:v>338</c:v>
                </c:pt>
                <c:pt idx="6">
                  <c:v>200</c:v>
                </c:pt>
                <c:pt idx="7">
                  <c:v>391</c:v>
                </c:pt>
                <c:pt idx="8">
                  <c:v>210</c:v>
                </c:pt>
                <c:pt idx="9">
                  <c:v>265</c:v>
                </c:pt>
                <c:pt idx="10">
                  <c:v>80</c:v>
                </c:pt>
                <c:pt idx="11">
                  <c:v>227</c:v>
                </c:pt>
                <c:pt idx="12">
                  <c:v>176</c:v>
                </c:pt>
                <c:pt idx="13">
                  <c:v>199</c:v>
                </c:pt>
                <c:pt idx="14">
                  <c:v>424</c:v>
                </c:pt>
                <c:pt idx="15">
                  <c:v>408</c:v>
                </c:pt>
                <c:pt idx="16">
                  <c:v>251</c:v>
                </c:pt>
                <c:pt idx="17">
                  <c:v>333</c:v>
                </c:pt>
                <c:pt idx="18">
                  <c:v>150</c:v>
                </c:pt>
                <c:pt idx="19">
                  <c:v>268</c:v>
                </c:pt>
              </c:numCache>
            </c:numRef>
          </c:val>
        </c:ser>
        <c:ser>
          <c:idx val="1"/>
          <c:order val="1"/>
          <c:tx>
            <c:strRef>
              <c:f>'5.3'!$AF$45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'5.3'!$AD$46:$AD$65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'5.3'!$AF$46:$AF$65</c:f>
              <c:numCache>
                <c:formatCode>#,##0</c:formatCode>
                <c:ptCount val="20"/>
                <c:pt idx="0">
                  <c:v>525</c:v>
                </c:pt>
                <c:pt idx="1">
                  <c:v>749</c:v>
                </c:pt>
                <c:pt idx="2">
                  <c:v>437</c:v>
                </c:pt>
                <c:pt idx="3">
                  <c:v>425</c:v>
                </c:pt>
                <c:pt idx="4">
                  <c:v>610</c:v>
                </c:pt>
                <c:pt idx="5">
                  <c:v>463</c:v>
                </c:pt>
                <c:pt idx="6">
                  <c:v>279</c:v>
                </c:pt>
                <c:pt idx="7">
                  <c:v>657</c:v>
                </c:pt>
                <c:pt idx="8">
                  <c:v>267</c:v>
                </c:pt>
                <c:pt idx="9">
                  <c:v>379</c:v>
                </c:pt>
                <c:pt idx="10">
                  <c:v>107</c:v>
                </c:pt>
                <c:pt idx="11">
                  <c:v>247</c:v>
                </c:pt>
                <c:pt idx="12">
                  <c:v>259</c:v>
                </c:pt>
                <c:pt idx="13">
                  <c:v>282</c:v>
                </c:pt>
                <c:pt idx="14">
                  <c:v>477</c:v>
                </c:pt>
                <c:pt idx="15">
                  <c:v>484</c:v>
                </c:pt>
                <c:pt idx="16">
                  <c:v>424</c:v>
                </c:pt>
                <c:pt idx="17">
                  <c:v>478</c:v>
                </c:pt>
                <c:pt idx="18">
                  <c:v>354</c:v>
                </c:pt>
                <c:pt idx="19">
                  <c:v>717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22374016"/>
        <c:axId val="122375552"/>
      </c:barChart>
      <c:catAx>
        <c:axId val="122374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2375552"/>
        <c:crosses val="autoZero"/>
        <c:auto val="1"/>
        <c:lblAlgn val="ctr"/>
        <c:lblOffset val="100"/>
        <c:noMultiLvlLbl val="0"/>
      </c:catAx>
      <c:valAx>
        <c:axId val="122375552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out"/>
        <c:minorTickMark val="none"/>
        <c:tickLblPos val="nextTo"/>
        <c:crossAx val="122374016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4926999664224829"/>
          <c:y val="0.19726012971782783"/>
          <c:w val="0.26309879622377047"/>
          <c:h val="7.947142023913679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30</xdr:row>
      <xdr:rowOff>167640</xdr:rowOff>
    </xdr:from>
    <xdr:to>
      <xdr:col>4</xdr:col>
      <xdr:colOff>1935480</xdr:colOff>
      <xdr:row>45</xdr:row>
      <xdr:rowOff>167640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1066800</xdr:colOff>
      <xdr:row>31</xdr:row>
      <xdr:rowOff>28574</xdr:rowOff>
    </xdr:from>
    <xdr:to>
      <xdr:col>4</xdr:col>
      <xdr:colOff>1438275</xdr:colOff>
      <xdr:row>32</xdr:row>
      <xdr:rowOff>76199</xdr:rowOff>
    </xdr:to>
    <xdr:sp macro="" textlink="">
      <xdr:nvSpPr>
        <xdr:cNvPr id="5" name="TextBox 4"/>
        <xdr:cNvSpPr txBox="1"/>
      </xdr:nvSpPr>
      <xdr:spPr>
        <a:xfrm>
          <a:off x="1066800" y="6419849"/>
          <a:ext cx="46196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   Figure 5.4: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latin typeface="Consolas" pitchFamily="49" charset="0"/>
              <a:cs typeface="Consolas" pitchFamily="49" charset="0"/>
            </a:rPr>
            <a:t>Number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of civil servants by Atoll, 2016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66675</xdr:colOff>
      <xdr:row>47</xdr:row>
      <xdr:rowOff>38099</xdr:rowOff>
    </xdr:from>
    <xdr:to>
      <xdr:col>4</xdr:col>
      <xdr:colOff>1872615</xdr:colOff>
      <xdr:row>63</xdr:row>
      <xdr:rowOff>123824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963929</xdr:colOff>
      <xdr:row>47</xdr:row>
      <xdr:rowOff>80010</xdr:rowOff>
    </xdr:from>
    <xdr:to>
      <xdr:col>4</xdr:col>
      <xdr:colOff>1495424</xdr:colOff>
      <xdr:row>48</xdr:row>
      <xdr:rowOff>123825</xdr:rowOff>
    </xdr:to>
    <xdr:sp macro="" textlink="">
      <xdr:nvSpPr>
        <xdr:cNvPr id="9" name="TextBox 8"/>
        <xdr:cNvSpPr txBox="1"/>
      </xdr:nvSpPr>
      <xdr:spPr>
        <a:xfrm>
          <a:off x="963929" y="9519285"/>
          <a:ext cx="4779645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5.5: Number</a:t>
          </a:r>
          <a:r>
            <a:rPr lang="en-US" sz="1100" b="1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of civil servants by atoll and sex, 2016</a:t>
          </a:r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138114</xdr:colOff>
      <xdr:row>34</xdr:row>
      <xdr:rowOff>76200</xdr:rowOff>
    </xdr:from>
    <xdr:to>
      <xdr:col>0</xdr:col>
      <xdr:colOff>409578</xdr:colOff>
      <xdr:row>42</xdr:row>
      <xdr:rowOff>185738</xdr:rowOff>
    </xdr:to>
    <xdr:sp macro="" textlink="">
      <xdr:nvSpPr>
        <xdr:cNvPr id="2" name="TextBox 1"/>
        <xdr:cNvSpPr txBox="1"/>
      </xdr:nvSpPr>
      <xdr:spPr>
        <a:xfrm rot="16200000">
          <a:off x="-542923" y="8148637"/>
          <a:ext cx="1633538" cy="2714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Number of civil servants</a:t>
          </a:r>
        </a:p>
      </xdr:txBody>
    </xdr:sp>
    <xdr:clientData/>
  </xdr:twoCellAnchor>
  <xdr:twoCellAnchor>
    <xdr:from>
      <xdr:col>0</xdr:col>
      <xdr:colOff>123826</xdr:colOff>
      <xdr:row>50</xdr:row>
      <xdr:rowOff>161924</xdr:rowOff>
    </xdr:from>
    <xdr:to>
      <xdr:col>0</xdr:col>
      <xdr:colOff>428626</xdr:colOff>
      <xdr:row>60</xdr:row>
      <xdr:rowOff>9524</xdr:rowOff>
    </xdr:to>
    <xdr:sp macro="" textlink="">
      <xdr:nvSpPr>
        <xdr:cNvPr id="3" name="TextBox 2"/>
        <xdr:cNvSpPr txBox="1"/>
      </xdr:nvSpPr>
      <xdr:spPr>
        <a:xfrm rot="16200000">
          <a:off x="-600074" y="11325224"/>
          <a:ext cx="17526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1247775</xdr:colOff>
      <xdr:row>32</xdr:row>
      <xdr:rowOff>66674</xdr:rowOff>
    </xdr:from>
    <xdr:to>
      <xdr:col>4</xdr:col>
      <xdr:colOff>1266825</xdr:colOff>
      <xdr:row>32</xdr:row>
      <xdr:rowOff>66674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>
          <a:off x="1247775" y="6648449"/>
          <a:ext cx="42672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0</xdr:col>
      <xdr:colOff>1000125</xdr:colOff>
      <xdr:row>48</xdr:row>
      <xdr:rowOff>114300</xdr:rowOff>
    </xdr:from>
    <xdr:to>
      <xdr:col>4</xdr:col>
      <xdr:colOff>1438275</xdr:colOff>
      <xdr:row>48</xdr:row>
      <xdr:rowOff>114300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 flipV="1">
          <a:off x="1000125" y="9744075"/>
          <a:ext cx="4686300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F113"/>
  <sheetViews>
    <sheetView tabSelected="1" zoomScaleNormal="100" zoomScaleSheetLayoutView="96" workbookViewId="0">
      <selection activeCell="P12" sqref="P12"/>
    </sheetView>
  </sheetViews>
  <sheetFormatPr defaultRowHeight="15" x14ac:dyDescent="0.25"/>
  <cols>
    <col min="1" max="1" width="32.85546875" style="23" customWidth="1"/>
    <col min="2" max="4" width="10.28515625" style="23" customWidth="1"/>
    <col min="5" max="5" width="30.42578125" style="23" customWidth="1"/>
    <col min="6" max="16384" width="9.140625" style="23"/>
  </cols>
  <sheetData>
    <row r="1" spans="1:31" ht="21" x14ac:dyDescent="0.55000000000000004">
      <c r="A1" s="37" t="s">
        <v>80</v>
      </c>
      <c r="B1" s="37"/>
      <c r="C1" s="37"/>
      <c r="D1" s="37"/>
      <c r="E1" s="37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31" x14ac:dyDescent="0.25">
      <c r="A2" s="32" t="s">
        <v>81</v>
      </c>
      <c r="B2" s="32"/>
      <c r="C2" s="32"/>
      <c r="D2" s="32"/>
      <c r="E2" s="32"/>
    </row>
    <row r="3" spans="1:31" ht="11.45" customHeight="1" x14ac:dyDescent="0.25"/>
    <row r="4" spans="1:31" ht="18.75" customHeight="1" x14ac:dyDescent="0.25">
      <c r="A4" s="33" t="s">
        <v>11</v>
      </c>
      <c r="B4" s="10" t="s">
        <v>8</v>
      </c>
      <c r="C4" s="10" t="s">
        <v>0</v>
      </c>
      <c r="D4" s="10" t="s">
        <v>1</v>
      </c>
      <c r="E4" s="35" t="s">
        <v>12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31" ht="15" customHeight="1" x14ac:dyDescent="0.25">
      <c r="A5" s="34"/>
      <c r="B5" s="9" t="s">
        <v>6</v>
      </c>
      <c r="C5" s="9" t="s">
        <v>2</v>
      </c>
      <c r="D5" s="9" t="s">
        <v>3</v>
      </c>
      <c r="E5" s="36"/>
    </row>
    <row r="6" spans="1:31" ht="18.75" x14ac:dyDescent="0.25">
      <c r="A6" s="28" t="s">
        <v>13</v>
      </c>
      <c r="B6" s="21">
        <f>B7+B8+B29</f>
        <v>24501</v>
      </c>
      <c r="C6" s="21">
        <f t="shared" ref="C6:D6" si="0">C7+C8+C29</f>
        <v>10881</v>
      </c>
      <c r="D6" s="21">
        <f t="shared" si="0"/>
        <v>13620</v>
      </c>
      <c r="E6" s="12" t="s">
        <v>14</v>
      </c>
    </row>
    <row r="7" spans="1:31" s="4" customFormat="1" ht="18.75" x14ac:dyDescent="0.25">
      <c r="A7" s="28" t="s">
        <v>10</v>
      </c>
      <c r="B7" s="17">
        <f>SUM(C7:D7)</f>
        <v>9500</v>
      </c>
      <c r="C7" s="17">
        <v>4500</v>
      </c>
      <c r="D7" s="17">
        <v>5000</v>
      </c>
      <c r="E7" s="12" t="s">
        <v>4</v>
      </c>
    </row>
    <row r="8" spans="1:31" s="4" customFormat="1" ht="18.75" x14ac:dyDescent="0.25">
      <c r="A8" s="28" t="s">
        <v>84</v>
      </c>
      <c r="B8" s="17">
        <f>C8+D8</f>
        <v>15000</v>
      </c>
      <c r="C8" s="17">
        <f>SUM(C9:C28)</f>
        <v>6380</v>
      </c>
      <c r="D8" s="17">
        <f>SUM(D9:D28)</f>
        <v>8620</v>
      </c>
      <c r="E8" s="22" t="s">
        <v>5</v>
      </c>
      <c r="AD8" s="23"/>
      <c r="AE8" s="23"/>
    </row>
    <row r="9" spans="1:31" ht="15.75" x14ac:dyDescent="0.25">
      <c r="A9" s="18" t="s">
        <v>16</v>
      </c>
      <c r="B9" s="17">
        <f t="shared" ref="B9:B27" si="1">C9+D9</f>
        <v>939</v>
      </c>
      <c r="C9" s="19">
        <v>414</v>
      </c>
      <c r="D9" s="19">
        <v>525</v>
      </c>
      <c r="E9" s="15" t="s">
        <v>17</v>
      </c>
      <c r="AD9" s="14" t="s">
        <v>56</v>
      </c>
      <c r="AE9" s="13">
        <f t="shared" ref="AE9:AE28" si="2">B9</f>
        <v>939</v>
      </c>
    </row>
    <row r="10" spans="1:31" ht="15.75" x14ac:dyDescent="0.25">
      <c r="A10" s="18" t="s">
        <v>18</v>
      </c>
      <c r="B10" s="17">
        <f t="shared" si="1"/>
        <v>1307</v>
      </c>
      <c r="C10" s="19">
        <v>558</v>
      </c>
      <c r="D10" s="19">
        <v>749</v>
      </c>
      <c r="E10" s="15" t="s">
        <v>19</v>
      </c>
      <c r="AD10" s="14" t="s">
        <v>57</v>
      </c>
      <c r="AE10" s="13">
        <f t="shared" si="2"/>
        <v>1307</v>
      </c>
    </row>
    <row r="11" spans="1:31" ht="15.75" x14ac:dyDescent="0.25">
      <c r="A11" s="18" t="s">
        <v>20</v>
      </c>
      <c r="B11" s="17">
        <f t="shared" si="1"/>
        <v>969</v>
      </c>
      <c r="C11" s="19">
        <v>532</v>
      </c>
      <c r="D11" s="19">
        <v>437</v>
      </c>
      <c r="E11" s="15" t="s">
        <v>21</v>
      </c>
      <c r="AD11" s="14" t="s">
        <v>58</v>
      </c>
      <c r="AE11" s="13">
        <f t="shared" si="2"/>
        <v>969</v>
      </c>
    </row>
    <row r="12" spans="1:31" ht="15.75" x14ac:dyDescent="0.25">
      <c r="A12" s="18" t="s">
        <v>22</v>
      </c>
      <c r="B12" s="17">
        <f t="shared" si="1"/>
        <v>813</v>
      </c>
      <c r="C12" s="19">
        <v>388</v>
      </c>
      <c r="D12" s="19">
        <v>425</v>
      </c>
      <c r="E12" s="15" t="s">
        <v>23</v>
      </c>
      <c r="AD12" s="14" t="s">
        <v>59</v>
      </c>
      <c r="AE12" s="13">
        <f t="shared" si="2"/>
        <v>813</v>
      </c>
    </row>
    <row r="13" spans="1:31" ht="15.75" x14ac:dyDescent="0.25">
      <c r="A13" s="18" t="s">
        <v>24</v>
      </c>
      <c r="B13" s="17">
        <f t="shared" si="1"/>
        <v>1178</v>
      </c>
      <c r="C13" s="19">
        <v>568</v>
      </c>
      <c r="D13" s="19">
        <v>610</v>
      </c>
      <c r="E13" s="15" t="s">
        <v>25</v>
      </c>
      <c r="AD13" s="14" t="s">
        <v>61</v>
      </c>
      <c r="AE13" s="13">
        <f t="shared" si="2"/>
        <v>1178</v>
      </c>
    </row>
    <row r="14" spans="1:31" ht="15.75" x14ac:dyDescent="0.25">
      <c r="A14" s="18" t="s">
        <v>26</v>
      </c>
      <c r="B14" s="17">
        <f t="shared" si="1"/>
        <v>801</v>
      </c>
      <c r="C14" s="19">
        <v>338</v>
      </c>
      <c r="D14" s="19">
        <v>463</v>
      </c>
      <c r="E14" s="15" t="s">
        <v>27</v>
      </c>
      <c r="AD14" s="14" t="s">
        <v>62</v>
      </c>
      <c r="AE14" s="13">
        <f t="shared" si="2"/>
        <v>801</v>
      </c>
    </row>
    <row r="15" spans="1:31" ht="15.75" x14ac:dyDescent="0.25">
      <c r="A15" s="18" t="s">
        <v>28</v>
      </c>
      <c r="B15" s="17">
        <f t="shared" si="1"/>
        <v>479</v>
      </c>
      <c r="C15" s="19">
        <v>200</v>
      </c>
      <c r="D15" s="19">
        <v>279</v>
      </c>
      <c r="E15" s="15" t="s">
        <v>29</v>
      </c>
      <c r="AD15" s="14" t="s">
        <v>63</v>
      </c>
      <c r="AE15" s="13">
        <f t="shared" si="2"/>
        <v>479</v>
      </c>
    </row>
    <row r="16" spans="1:31" ht="15.75" x14ac:dyDescent="0.25">
      <c r="A16" s="18" t="s">
        <v>30</v>
      </c>
      <c r="B16" s="17">
        <f t="shared" si="1"/>
        <v>1048</v>
      </c>
      <c r="C16" s="19">
        <v>391</v>
      </c>
      <c r="D16" s="19">
        <v>657</v>
      </c>
      <c r="E16" s="15" t="s">
        <v>31</v>
      </c>
      <c r="AD16" s="14" t="s">
        <v>64</v>
      </c>
      <c r="AE16" s="13">
        <f t="shared" si="2"/>
        <v>1048</v>
      </c>
    </row>
    <row r="17" spans="1:32" ht="15.75" x14ac:dyDescent="0.25">
      <c r="A17" s="18" t="s">
        <v>32</v>
      </c>
      <c r="B17" s="17">
        <f t="shared" si="1"/>
        <v>477</v>
      </c>
      <c r="C17" s="19">
        <v>210</v>
      </c>
      <c r="D17" s="19">
        <v>267</v>
      </c>
      <c r="E17" s="15" t="s">
        <v>33</v>
      </c>
      <c r="AD17" s="14" t="s">
        <v>65</v>
      </c>
      <c r="AE17" s="13">
        <f t="shared" si="2"/>
        <v>477</v>
      </c>
    </row>
    <row r="18" spans="1:32" ht="15.75" x14ac:dyDescent="0.25">
      <c r="A18" s="18" t="s">
        <v>34</v>
      </c>
      <c r="B18" s="17">
        <f t="shared" si="1"/>
        <v>644</v>
      </c>
      <c r="C18" s="19">
        <v>265</v>
      </c>
      <c r="D18" s="19">
        <v>379</v>
      </c>
      <c r="E18" s="15" t="s">
        <v>35</v>
      </c>
      <c r="AD18" s="14" t="s">
        <v>66</v>
      </c>
      <c r="AE18" s="13">
        <f t="shared" si="2"/>
        <v>644</v>
      </c>
    </row>
    <row r="19" spans="1:32" ht="15.75" x14ac:dyDescent="0.25">
      <c r="A19" s="18" t="s">
        <v>36</v>
      </c>
      <c r="B19" s="17">
        <f t="shared" si="1"/>
        <v>187</v>
      </c>
      <c r="C19" s="19">
        <v>80</v>
      </c>
      <c r="D19" s="19">
        <v>107</v>
      </c>
      <c r="E19" s="15" t="s">
        <v>37</v>
      </c>
      <c r="AD19" s="14" t="s">
        <v>67</v>
      </c>
      <c r="AE19" s="13">
        <f t="shared" si="2"/>
        <v>187</v>
      </c>
    </row>
    <row r="20" spans="1:32" ht="15.75" x14ac:dyDescent="0.25">
      <c r="A20" s="18" t="s">
        <v>38</v>
      </c>
      <c r="B20" s="17">
        <f t="shared" si="1"/>
        <v>474</v>
      </c>
      <c r="C20" s="19">
        <v>227</v>
      </c>
      <c r="D20" s="19">
        <v>247</v>
      </c>
      <c r="E20" s="15" t="s">
        <v>39</v>
      </c>
      <c r="AD20" s="14" t="s">
        <v>68</v>
      </c>
      <c r="AE20" s="13">
        <f t="shared" si="2"/>
        <v>474</v>
      </c>
    </row>
    <row r="21" spans="1:32" ht="15.75" x14ac:dyDescent="0.25">
      <c r="A21" s="18" t="s">
        <v>40</v>
      </c>
      <c r="B21" s="17">
        <f t="shared" si="1"/>
        <v>435</v>
      </c>
      <c r="C21" s="19">
        <v>176</v>
      </c>
      <c r="D21" s="19">
        <v>259</v>
      </c>
      <c r="E21" s="15" t="s">
        <v>41</v>
      </c>
      <c r="AD21" s="14" t="s">
        <v>69</v>
      </c>
      <c r="AE21" s="13">
        <f t="shared" si="2"/>
        <v>435</v>
      </c>
      <c r="AF21" s="11"/>
    </row>
    <row r="22" spans="1:32" ht="15.75" x14ac:dyDescent="0.25">
      <c r="A22" s="18" t="s">
        <v>42</v>
      </c>
      <c r="B22" s="17">
        <f t="shared" si="1"/>
        <v>481</v>
      </c>
      <c r="C22" s="19">
        <v>199</v>
      </c>
      <c r="D22" s="19">
        <v>282</v>
      </c>
      <c r="E22" s="15" t="s">
        <v>43</v>
      </c>
      <c r="AD22" s="14" t="s">
        <v>70</v>
      </c>
      <c r="AE22" s="13">
        <f t="shared" si="2"/>
        <v>481</v>
      </c>
      <c r="AF22" s="17"/>
    </row>
    <row r="23" spans="1:32" ht="15.75" x14ac:dyDescent="0.25">
      <c r="A23" s="18" t="s">
        <v>44</v>
      </c>
      <c r="B23" s="17">
        <f t="shared" si="1"/>
        <v>901</v>
      </c>
      <c r="C23" s="19">
        <v>424</v>
      </c>
      <c r="D23" s="19">
        <v>477</v>
      </c>
      <c r="E23" s="15" t="s">
        <v>45</v>
      </c>
      <c r="AD23" s="14" t="s">
        <v>71</v>
      </c>
      <c r="AE23" s="13">
        <f t="shared" si="2"/>
        <v>901</v>
      </c>
      <c r="AF23" s="17"/>
    </row>
    <row r="24" spans="1:32" ht="15.75" x14ac:dyDescent="0.25">
      <c r="A24" s="18" t="s">
        <v>46</v>
      </c>
      <c r="B24" s="17">
        <f t="shared" si="1"/>
        <v>892</v>
      </c>
      <c r="C24" s="19">
        <v>408</v>
      </c>
      <c r="D24" s="19">
        <v>484</v>
      </c>
      <c r="E24" s="15" t="s">
        <v>47</v>
      </c>
      <c r="AD24" s="14" t="s">
        <v>72</v>
      </c>
      <c r="AE24" s="13">
        <f t="shared" si="2"/>
        <v>892</v>
      </c>
      <c r="AF24" s="11"/>
    </row>
    <row r="25" spans="1:32" ht="15.75" x14ac:dyDescent="0.25">
      <c r="A25" s="18" t="s">
        <v>48</v>
      </c>
      <c r="B25" s="17">
        <f t="shared" si="1"/>
        <v>675</v>
      </c>
      <c r="C25" s="19">
        <v>251</v>
      </c>
      <c r="D25" s="19">
        <v>424</v>
      </c>
      <c r="E25" s="15" t="s">
        <v>49</v>
      </c>
      <c r="AD25" s="14" t="s">
        <v>73</v>
      </c>
      <c r="AE25" s="13">
        <f t="shared" si="2"/>
        <v>675</v>
      </c>
      <c r="AF25" s="17"/>
    </row>
    <row r="26" spans="1:32" ht="15.75" x14ac:dyDescent="0.25">
      <c r="A26" s="18" t="s">
        <v>50</v>
      </c>
      <c r="B26" s="17">
        <f t="shared" si="1"/>
        <v>811</v>
      </c>
      <c r="C26" s="19">
        <v>333</v>
      </c>
      <c r="D26" s="19">
        <v>478</v>
      </c>
      <c r="E26" s="15" t="s">
        <v>51</v>
      </c>
      <c r="AD26" s="14" t="s">
        <v>74</v>
      </c>
      <c r="AE26" s="13">
        <f t="shared" si="2"/>
        <v>811</v>
      </c>
      <c r="AF26" s="17"/>
    </row>
    <row r="27" spans="1:32" ht="15.75" x14ac:dyDescent="0.25">
      <c r="A27" s="18" t="s">
        <v>52</v>
      </c>
      <c r="B27" s="17">
        <f t="shared" si="1"/>
        <v>504</v>
      </c>
      <c r="C27" s="19">
        <v>150</v>
      </c>
      <c r="D27" s="19">
        <v>354</v>
      </c>
      <c r="E27" s="15" t="s">
        <v>53</v>
      </c>
      <c r="AD27" s="14" t="s">
        <v>75</v>
      </c>
      <c r="AE27" s="13">
        <f t="shared" si="2"/>
        <v>504</v>
      </c>
      <c r="AF27" s="11"/>
    </row>
    <row r="28" spans="1:32" ht="15.75" x14ac:dyDescent="0.25">
      <c r="A28" s="18" t="s">
        <v>54</v>
      </c>
      <c r="B28" s="17">
        <f>C28+D28</f>
        <v>985</v>
      </c>
      <c r="C28" s="19">
        <v>268</v>
      </c>
      <c r="D28" s="19">
        <v>717</v>
      </c>
      <c r="E28" s="15" t="s">
        <v>55</v>
      </c>
      <c r="AD28" s="14" t="s">
        <v>60</v>
      </c>
      <c r="AE28" s="13">
        <f t="shared" si="2"/>
        <v>985</v>
      </c>
      <c r="AF28" s="11"/>
    </row>
    <row r="29" spans="1:32" ht="18.75" x14ac:dyDescent="0.25">
      <c r="A29" s="29" t="s">
        <v>82</v>
      </c>
      <c r="B29" s="31">
        <f>C29+D29</f>
        <v>1</v>
      </c>
      <c r="C29" s="20">
        <v>1</v>
      </c>
      <c r="D29" s="20">
        <v>0</v>
      </c>
      <c r="E29" s="30" t="s">
        <v>83</v>
      </c>
      <c r="AF29" s="17"/>
    </row>
    <row r="30" spans="1:32" ht="17.25" x14ac:dyDescent="0.25">
      <c r="A30" s="5" t="s">
        <v>7</v>
      </c>
      <c r="B30" s="7"/>
      <c r="C30" s="7"/>
      <c r="E30" s="1" t="s">
        <v>9</v>
      </c>
      <c r="AF30" s="11"/>
    </row>
    <row r="31" spans="1:32" x14ac:dyDescent="0.25">
      <c r="AF31" s="17"/>
    </row>
    <row r="32" spans="1:32" x14ac:dyDescent="0.25">
      <c r="AF32" s="17"/>
    </row>
    <row r="33" spans="30:32" x14ac:dyDescent="0.25">
      <c r="AF33" s="11"/>
    </row>
    <row r="34" spans="30:32" x14ac:dyDescent="0.25">
      <c r="AF34" s="17"/>
    </row>
    <row r="35" spans="30:32" x14ac:dyDescent="0.25">
      <c r="AF35" s="17"/>
    </row>
    <row r="36" spans="30:32" x14ac:dyDescent="0.25">
      <c r="AF36" s="11"/>
    </row>
    <row r="37" spans="30:32" x14ac:dyDescent="0.25">
      <c r="AF37" s="17"/>
    </row>
    <row r="38" spans="30:32" x14ac:dyDescent="0.25">
      <c r="AF38" s="17"/>
    </row>
    <row r="39" spans="30:32" x14ac:dyDescent="0.25">
      <c r="AF39" s="11"/>
    </row>
    <row r="40" spans="30:32" x14ac:dyDescent="0.25">
      <c r="AF40" s="17"/>
    </row>
    <row r="45" spans="30:32" x14ac:dyDescent="0.25">
      <c r="AE45" s="9" t="s">
        <v>2</v>
      </c>
      <c r="AF45" s="9" t="s">
        <v>3</v>
      </c>
    </row>
    <row r="46" spans="30:32" x14ac:dyDescent="0.25">
      <c r="AD46" s="14" t="s">
        <v>56</v>
      </c>
      <c r="AE46" s="13">
        <f t="shared" ref="AE46:AE65" si="3">C9</f>
        <v>414</v>
      </c>
      <c r="AF46" s="13">
        <f t="shared" ref="AF46:AF65" si="4">D9</f>
        <v>525</v>
      </c>
    </row>
    <row r="47" spans="30:32" x14ac:dyDescent="0.25">
      <c r="AD47" s="14" t="s">
        <v>57</v>
      </c>
      <c r="AE47" s="13">
        <f t="shared" si="3"/>
        <v>558</v>
      </c>
      <c r="AF47" s="13">
        <f t="shared" si="4"/>
        <v>749</v>
      </c>
    </row>
    <row r="48" spans="30:32" x14ac:dyDescent="0.25">
      <c r="AD48" s="14" t="s">
        <v>58</v>
      </c>
      <c r="AE48" s="13">
        <f t="shared" si="3"/>
        <v>532</v>
      </c>
      <c r="AF48" s="13">
        <f t="shared" si="4"/>
        <v>437</v>
      </c>
    </row>
    <row r="49" spans="1:32" x14ac:dyDescent="0.25">
      <c r="AD49" s="14" t="s">
        <v>59</v>
      </c>
      <c r="AE49" s="13">
        <f t="shared" si="3"/>
        <v>388</v>
      </c>
      <c r="AF49" s="13">
        <f t="shared" si="4"/>
        <v>425</v>
      </c>
    </row>
    <row r="50" spans="1:32" x14ac:dyDescent="0.25">
      <c r="AD50" s="14" t="s">
        <v>61</v>
      </c>
      <c r="AE50" s="13">
        <f t="shared" si="3"/>
        <v>568</v>
      </c>
      <c r="AF50" s="13">
        <f t="shared" si="4"/>
        <v>610</v>
      </c>
    </row>
    <row r="51" spans="1:32" x14ac:dyDescent="0.25">
      <c r="AD51" s="14" t="s">
        <v>62</v>
      </c>
      <c r="AE51" s="13">
        <f t="shared" si="3"/>
        <v>338</v>
      </c>
      <c r="AF51" s="13">
        <f t="shared" si="4"/>
        <v>463</v>
      </c>
    </row>
    <row r="52" spans="1:32" x14ac:dyDescent="0.25">
      <c r="A52" s="7"/>
      <c r="B52" s="7"/>
      <c r="AD52" s="14" t="s">
        <v>63</v>
      </c>
      <c r="AE52" s="13">
        <f t="shared" si="3"/>
        <v>200</v>
      </c>
      <c r="AF52" s="13">
        <f t="shared" si="4"/>
        <v>279</v>
      </c>
    </row>
    <row r="53" spans="1:32" x14ac:dyDescent="0.25">
      <c r="AD53" s="14" t="s">
        <v>64</v>
      </c>
      <c r="AE53" s="13">
        <f t="shared" si="3"/>
        <v>391</v>
      </c>
      <c r="AF53" s="13">
        <f t="shared" si="4"/>
        <v>657</v>
      </c>
    </row>
    <row r="54" spans="1:32" x14ac:dyDescent="0.25">
      <c r="AD54" s="14" t="s">
        <v>65</v>
      </c>
      <c r="AE54" s="13">
        <f t="shared" si="3"/>
        <v>210</v>
      </c>
      <c r="AF54" s="13">
        <f t="shared" si="4"/>
        <v>267</v>
      </c>
    </row>
    <row r="55" spans="1:32" x14ac:dyDescent="0.25">
      <c r="AD55" s="14" t="s">
        <v>66</v>
      </c>
      <c r="AE55" s="13">
        <f t="shared" si="3"/>
        <v>265</v>
      </c>
      <c r="AF55" s="13">
        <f t="shared" si="4"/>
        <v>379</v>
      </c>
    </row>
    <row r="56" spans="1:32" x14ac:dyDescent="0.25">
      <c r="A56" s="7"/>
      <c r="B56" s="7"/>
      <c r="AD56" s="14" t="s">
        <v>67</v>
      </c>
      <c r="AE56" s="13">
        <f t="shared" si="3"/>
        <v>80</v>
      </c>
      <c r="AF56" s="13">
        <f t="shared" si="4"/>
        <v>107</v>
      </c>
    </row>
    <row r="57" spans="1:32" x14ac:dyDescent="0.25">
      <c r="AD57" s="14" t="s">
        <v>68</v>
      </c>
      <c r="AE57" s="13">
        <f t="shared" si="3"/>
        <v>227</v>
      </c>
      <c r="AF57" s="13">
        <f t="shared" si="4"/>
        <v>247</v>
      </c>
    </row>
    <row r="58" spans="1:32" x14ac:dyDescent="0.25">
      <c r="AD58" s="14" t="s">
        <v>69</v>
      </c>
      <c r="AE58" s="13">
        <f t="shared" si="3"/>
        <v>176</v>
      </c>
      <c r="AF58" s="13">
        <f t="shared" si="4"/>
        <v>259</v>
      </c>
    </row>
    <row r="59" spans="1:32" x14ac:dyDescent="0.25">
      <c r="AD59" s="14" t="s">
        <v>70</v>
      </c>
      <c r="AE59" s="13">
        <f t="shared" si="3"/>
        <v>199</v>
      </c>
      <c r="AF59" s="13">
        <f t="shared" si="4"/>
        <v>282</v>
      </c>
    </row>
    <row r="60" spans="1:32" x14ac:dyDescent="0.25">
      <c r="AD60" s="14" t="s">
        <v>71</v>
      </c>
      <c r="AE60" s="13">
        <f t="shared" si="3"/>
        <v>424</v>
      </c>
      <c r="AF60" s="13">
        <f t="shared" si="4"/>
        <v>477</v>
      </c>
    </row>
    <row r="61" spans="1:32" x14ac:dyDescent="0.25">
      <c r="AD61" s="14" t="s">
        <v>72</v>
      </c>
      <c r="AE61" s="13">
        <f t="shared" si="3"/>
        <v>408</v>
      </c>
      <c r="AF61" s="13">
        <f t="shared" si="4"/>
        <v>484</v>
      </c>
    </row>
    <row r="62" spans="1:32" x14ac:dyDescent="0.25">
      <c r="AD62" s="14" t="s">
        <v>73</v>
      </c>
      <c r="AE62" s="13">
        <f t="shared" si="3"/>
        <v>251</v>
      </c>
      <c r="AF62" s="13">
        <f t="shared" si="4"/>
        <v>424</v>
      </c>
    </row>
    <row r="63" spans="1:32" x14ac:dyDescent="0.25">
      <c r="AD63" s="14" t="s">
        <v>74</v>
      </c>
      <c r="AE63" s="13">
        <f t="shared" si="3"/>
        <v>333</v>
      </c>
      <c r="AF63" s="13">
        <f t="shared" si="4"/>
        <v>478</v>
      </c>
    </row>
    <row r="64" spans="1:32" x14ac:dyDescent="0.25">
      <c r="AD64" s="14" t="s">
        <v>75</v>
      </c>
      <c r="AE64" s="13">
        <f t="shared" si="3"/>
        <v>150</v>
      </c>
      <c r="AF64" s="13">
        <f t="shared" si="4"/>
        <v>354</v>
      </c>
    </row>
    <row r="65" spans="30:32" x14ac:dyDescent="0.25">
      <c r="AD65" s="14" t="s">
        <v>60</v>
      </c>
      <c r="AE65" s="13">
        <f t="shared" si="3"/>
        <v>268</v>
      </c>
      <c r="AF65" s="13">
        <f t="shared" si="4"/>
        <v>717</v>
      </c>
    </row>
    <row r="83" spans="1:5" ht="21" x14ac:dyDescent="0.55000000000000004">
      <c r="A83" s="37" t="s">
        <v>78</v>
      </c>
      <c r="B83" s="37"/>
      <c r="C83" s="37"/>
      <c r="D83" s="37"/>
      <c r="E83" s="37"/>
    </row>
    <row r="84" spans="1:5" x14ac:dyDescent="0.25">
      <c r="A84" s="32" t="s">
        <v>79</v>
      </c>
      <c r="B84" s="32"/>
      <c r="C84" s="32"/>
      <c r="D84" s="32"/>
      <c r="E84" s="32"/>
    </row>
    <row r="86" spans="1:5" ht="18.75" x14ac:dyDescent="0.25">
      <c r="A86" s="33" t="s">
        <v>11</v>
      </c>
      <c r="B86" s="10" t="s">
        <v>8</v>
      </c>
      <c r="C86" s="10" t="s">
        <v>0</v>
      </c>
      <c r="D86" s="10" t="s">
        <v>1</v>
      </c>
      <c r="E86" s="35" t="s">
        <v>12</v>
      </c>
    </row>
    <row r="87" spans="1:5" x14ac:dyDescent="0.25">
      <c r="A87" s="34"/>
      <c r="B87" s="9" t="s">
        <v>6</v>
      </c>
      <c r="C87" s="9" t="s">
        <v>2</v>
      </c>
      <c r="D87" s="9" t="s">
        <v>3</v>
      </c>
      <c r="E87" s="36"/>
    </row>
    <row r="88" spans="1:5" ht="18.75" x14ac:dyDescent="0.25">
      <c r="A88" s="28" t="s">
        <v>13</v>
      </c>
      <c r="B88" s="21">
        <f>B89+B90</f>
        <v>24696</v>
      </c>
      <c r="C88" s="21">
        <f t="shared" ref="C88:D88" si="5">C89+C90</f>
        <v>11191</v>
      </c>
      <c r="D88" s="21">
        <f t="shared" si="5"/>
        <v>13505</v>
      </c>
      <c r="E88" s="12" t="s">
        <v>14</v>
      </c>
    </row>
    <row r="89" spans="1:5" ht="18.75" x14ac:dyDescent="0.25">
      <c r="A89" s="28" t="s">
        <v>10</v>
      </c>
      <c r="B89" s="17">
        <v>8549</v>
      </c>
      <c r="C89" s="17">
        <v>3692</v>
      </c>
      <c r="D89" s="17">
        <v>4857</v>
      </c>
      <c r="E89" s="12" t="s">
        <v>4</v>
      </c>
    </row>
    <row r="90" spans="1:5" ht="18.75" x14ac:dyDescent="0.25">
      <c r="A90" s="28" t="s">
        <v>15</v>
      </c>
      <c r="B90" s="17">
        <v>16147</v>
      </c>
      <c r="C90" s="17">
        <v>7499</v>
      </c>
      <c r="D90" s="17">
        <v>8648</v>
      </c>
      <c r="E90" s="22" t="s">
        <v>5</v>
      </c>
    </row>
    <row r="91" spans="1:5" ht="15.75" x14ac:dyDescent="0.25">
      <c r="A91" s="18" t="s">
        <v>16</v>
      </c>
      <c r="B91" s="11">
        <v>1066</v>
      </c>
      <c r="C91" s="19">
        <v>516</v>
      </c>
      <c r="D91" s="19">
        <v>550</v>
      </c>
      <c r="E91" s="15" t="s">
        <v>17</v>
      </c>
    </row>
    <row r="92" spans="1:5" ht="15.75" x14ac:dyDescent="0.25">
      <c r="A92" s="18" t="s">
        <v>18</v>
      </c>
      <c r="B92" s="17">
        <v>1388</v>
      </c>
      <c r="C92" s="19">
        <v>637</v>
      </c>
      <c r="D92" s="19">
        <v>751</v>
      </c>
      <c r="E92" s="15" t="s">
        <v>19</v>
      </c>
    </row>
    <row r="93" spans="1:5" ht="15.75" x14ac:dyDescent="0.25">
      <c r="A93" s="18" t="s">
        <v>20</v>
      </c>
      <c r="B93" s="17">
        <v>1043</v>
      </c>
      <c r="C93" s="19">
        <v>584</v>
      </c>
      <c r="D93" s="19">
        <v>459</v>
      </c>
      <c r="E93" s="15" t="s">
        <v>21</v>
      </c>
    </row>
    <row r="94" spans="1:5" ht="15.75" x14ac:dyDescent="0.25">
      <c r="A94" s="18" t="s">
        <v>22</v>
      </c>
      <c r="B94" s="11">
        <v>869</v>
      </c>
      <c r="C94" s="19">
        <v>430</v>
      </c>
      <c r="D94" s="19">
        <v>439</v>
      </c>
      <c r="E94" s="15" t="s">
        <v>23</v>
      </c>
    </row>
    <row r="95" spans="1:5" ht="15.75" x14ac:dyDescent="0.25">
      <c r="A95" s="18" t="s">
        <v>24</v>
      </c>
      <c r="B95" s="17">
        <v>1252</v>
      </c>
      <c r="C95" s="19">
        <v>635</v>
      </c>
      <c r="D95" s="19">
        <v>617</v>
      </c>
      <c r="E95" s="15" t="s">
        <v>25</v>
      </c>
    </row>
    <row r="96" spans="1:5" ht="15.75" x14ac:dyDescent="0.25">
      <c r="A96" s="18" t="s">
        <v>26</v>
      </c>
      <c r="B96" s="17">
        <v>847</v>
      </c>
      <c r="C96" s="19">
        <v>397</v>
      </c>
      <c r="D96" s="19">
        <v>450</v>
      </c>
      <c r="E96" s="15" t="s">
        <v>27</v>
      </c>
    </row>
    <row r="97" spans="1:5" ht="15.75" x14ac:dyDescent="0.25">
      <c r="A97" s="18" t="s">
        <v>28</v>
      </c>
      <c r="B97" s="11">
        <v>532</v>
      </c>
      <c r="C97" s="19">
        <v>239</v>
      </c>
      <c r="D97" s="19">
        <v>293</v>
      </c>
      <c r="E97" s="15" t="s">
        <v>29</v>
      </c>
    </row>
    <row r="98" spans="1:5" ht="15.75" x14ac:dyDescent="0.25">
      <c r="A98" s="18" t="s">
        <v>30</v>
      </c>
      <c r="B98" s="17">
        <v>1006</v>
      </c>
      <c r="C98" s="19">
        <v>410</v>
      </c>
      <c r="D98" s="19">
        <v>596</v>
      </c>
      <c r="E98" s="15" t="s">
        <v>31</v>
      </c>
    </row>
    <row r="99" spans="1:5" ht="15.75" x14ac:dyDescent="0.25">
      <c r="A99" s="18" t="s">
        <v>32</v>
      </c>
      <c r="B99" s="17">
        <v>520</v>
      </c>
      <c r="C99" s="19">
        <v>247</v>
      </c>
      <c r="D99" s="19">
        <v>273</v>
      </c>
      <c r="E99" s="15" t="s">
        <v>33</v>
      </c>
    </row>
    <row r="100" spans="1:5" ht="15.75" x14ac:dyDescent="0.25">
      <c r="A100" s="18" t="s">
        <v>34</v>
      </c>
      <c r="B100" s="11">
        <v>669</v>
      </c>
      <c r="C100" s="19">
        <v>300</v>
      </c>
      <c r="D100" s="19">
        <v>369</v>
      </c>
      <c r="E100" s="15" t="s">
        <v>35</v>
      </c>
    </row>
    <row r="101" spans="1:5" ht="15.75" x14ac:dyDescent="0.25">
      <c r="A101" s="18" t="s">
        <v>36</v>
      </c>
      <c r="B101" s="17">
        <v>199</v>
      </c>
      <c r="C101" s="19">
        <v>99</v>
      </c>
      <c r="D101" s="19">
        <v>100</v>
      </c>
      <c r="E101" s="15" t="s">
        <v>37</v>
      </c>
    </row>
    <row r="102" spans="1:5" ht="15.75" x14ac:dyDescent="0.25">
      <c r="A102" s="18" t="s">
        <v>38</v>
      </c>
      <c r="B102" s="17">
        <v>501</v>
      </c>
      <c r="C102" s="19">
        <v>256</v>
      </c>
      <c r="D102" s="19">
        <v>245</v>
      </c>
      <c r="E102" s="15" t="s">
        <v>39</v>
      </c>
    </row>
    <row r="103" spans="1:5" ht="15.75" x14ac:dyDescent="0.25">
      <c r="A103" s="18" t="s">
        <v>40</v>
      </c>
      <c r="B103" s="11">
        <v>470</v>
      </c>
      <c r="C103" s="19">
        <v>211</v>
      </c>
      <c r="D103" s="19">
        <v>259</v>
      </c>
      <c r="E103" s="15" t="s">
        <v>41</v>
      </c>
    </row>
    <row r="104" spans="1:5" ht="15.75" x14ac:dyDescent="0.25">
      <c r="A104" s="18" t="s">
        <v>42</v>
      </c>
      <c r="B104" s="17">
        <v>495</v>
      </c>
      <c r="C104" s="19">
        <v>231</v>
      </c>
      <c r="D104" s="19">
        <v>264</v>
      </c>
      <c r="E104" s="15" t="s">
        <v>43</v>
      </c>
    </row>
    <row r="105" spans="1:5" ht="15.75" x14ac:dyDescent="0.25">
      <c r="A105" s="18" t="s">
        <v>44</v>
      </c>
      <c r="B105" s="17">
        <v>991</v>
      </c>
      <c r="C105" s="19">
        <v>511</v>
      </c>
      <c r="D105" s="19">
        <v>480</v>
      </c>
      <c r="E105" s="15" t="s">
        <v>45</v>
      </c>
    </row>
    <row r="106" spans="1:5" ht="15.75" x14ac:dyDescent="0.25">
      <c r="A106" s="18" t="s">
        <v>46</v>
      </c>
      <c r="B106" s="11">
        <v>947</v>
      </c>
      <c r="C106" s="19">
        <v>459</v>
      </c>
      <c r="D106" s="19">
        <v>488</v>
      </c>
      <c r="E106" s="15" t="s">
        <v>47</v>
      </c>
    </row>
    <row r="107" spans="1:5" ht="15.75" x14ac:dyDescent="0.25">
      <c r="A107" s="18" t="s">
        <v>48</v>
      </c>
      <c r="B107" s="17">
        <v>718</v>
      </c>
      <c r="C107" s="19">
        <v>298</v>
      </c>
      <c r="D107" s="19">
        <v>420</v>
      </c>
      <c r="E107" s="15" t="s">
        <v>49</v>
      </c>
    </row>
    <row r="108" spans="1:5" ht="15.75" x14ac:dyDescent="0.25">
      <c r="A108" s="18" t="s">
        <v>50</v>
      </c>
      <c r="B108" s="17">
        <v>940</v>
      </c>
      <c r="C108" s="19">
        <v>430</v>
      </c>
      <c r="D108" s="19">
        <v>510</v>
      </c>
      <c r="E108" s="15" t="s">
        <v>51</v>
      </c>
    </row>
    <row r="109" spans="1:5" ht="15.75" x14ac:dyDescent="0.25">
      <c r="A109" s="18" t="s">
        <v>52</v>
      </c>
      <c r="B109" s="11">
        <v>572</v>
      </c>
      <c r="C109" s="19">
        <v>233</v>
      </c>
      <c r="D109" s="19">
        <v>339</v>
      </c>
      <c r="E109" s="15" t="s">
        <v>53</v>
      </c>
    </row>
    <row r="110" spans="1:5" ht="15.75" x14ac:dyDescent="0.25">
      <c r="A110" s="26" t="s">
        <v>54</v>
      </c>
      <c r="B110" s="20">
        <v>1121</v>
      </c>
      <c r="C110" s="16">
        <v>375</v>
      </c>
      <c r="D110" s="16">
        <v>746</v>
      </c>
      <c r="E110" s="27" t="s">
        <v>55</v>
      </c>
    </row>
    <row r="111" spans="1:5" x14ac:dyDescent="0.25">
      <c r="A111" s="24" t="s">
        <v>77</v>
      </c>
      <c r="B111" s="2"/>
      <c r="C111" s="3"/>
      <c r="D111" s="2"/>
      <c r="E111" s="2"/>
    </row>
    <row r="112" spans="1:5" ht="18.75" x14ac:dyDescent="0.25">
      <c r="A112" s="24"/>
      <c r="B112" s="2"/>
      <c r="C112" s="3"/>
      <c r="D112" s="2"/>
      <c r="E112" s="25" t="s">
        <v>76</v>
      </c>
    </row>
    <row r="113" spans="1:5" ht="17.25" x14ac:dyDescent="0.25">
      <c r="A113" s="5" t="s">
        <v>7</v>
      </c>
      <c r="B113" s="7"/>
      <c r="C113" s="7"/>
      <c r="E113" s="1" t="s">
        <v>9</v>
      </c>
    </row>
  </sheetData>
  <sortState ref="AD9:AE27">
    <sortCondition descending="1" ref="AE20"/>
  </sortState>
  <mergeCells count="8">
    <mergeCell ref="A84:E84"/>
    <mergeCell ref="A86:A87"/>
    <mergeCell ref="E86:E87"/>
    <mergeCell ref="A1:E1"/>
    <mergeCell ref="A2:E2"/>
    <mergeCell ref="A4:A5"/>
    <mergeCell ref="E4:E5"/>
    <mergeCell ref="A83:E83"/>
  </mergeCells>
  <conditionalFormatting sqref="B33">
    <cfRule type="duplicateValues" dxfId="12" priority="62"/>
  </conditionalFormatting>
  <conditionalFormatting sqref="B35">
    <cfRule type="duplicateValues" dxfId="11" priority="60"/>
  </conditionalFormatting>
  <conditionalFormatting sqref="B42">
    <cfRule type="duplicateValues" dxfId="10" priority="59"/>
  </conditionalFormatting>
  <conditionalFormatting sqref="B44">
    <cfRule type="duplicateValues" dxfId="9" priority="58"/>
  </conditionalFormatting>
  <conditionalFormatting sqref="B46:B49">
    <cfRule type="duplicateValues" dxfId="8" priority="57"/>
  </conditionalFormatting>
  <conditionalFormatting sqref="B51">
    <cfRule type="duplicateValues" dxfId="7" priority="56"/>
  </conditionalFormatting>
  <conditionalFormatting sqref="B68">
    <cfRule type="duplicateValues" dxfId="6" priority="47"/>
  </conditionalFormatting>
  <conditionalFormatting sqref="AE9:AE28">
    <cfRule type="duplicateValues" dxfId="5" priority="190"/>
  </conditionalFormatting>
  <conditionalFormatting sqref="B83 B86:B113 C90:D90 C88:D88">
    <cfRule type="duplicateValues" dxfId="4" priority="1"/>
  </conditionalFormatting>
  <conditionalFormatting sqref="B83">
    <cfRule type="duplicateValues" dxfId="3" priority="2"/>
  </conditionalFormatting>
  <conditionalFormatting sqref="B114:B1048576 B1 C8:D8 B30:B82 B4:B28 C6:D6">
    <cfRule type="duplicateValues" dxfId="2" priority="192"/>
  </conditionalFormatting>
  <conditionalFormatting sqref="B34 B36:B41 B43 B45 B50 B52:B67 B69:B82 B1 B114:B1048576 C8:D8 B30:B32 B4:B28 C6:D6">
    <cfRule type="duplicateValues" dxfId="1" priority="199"/>
  </conditionalFormatting>
  <conditionalFormatting sqref="AF21:AF40">
    <cfRule type="duplicateValues" dxfId="0" priority="200"/>
  </conditionalFormatting>
  <pageMargins left="0.7" right="0.7" top="0.22" bottom="0.27" header="0.17" footer="0.17"/>
  <pageSetup paperSize="9" orientation="landscape" horizontalDpi="4294967295" verticalDpi="4294967295" r:id="rId1"/>
  <rowBreaks count="1" manualBreakCount="1">
    <brk id="30" max="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5.3</vt:lpstr>
      <vt:lpstr>'5.3'!Print_Area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2017-06-07T08:08:17Z</cp:lastPrinted>
  <dcterms:created xsi:type="dcterms:W3CDTF">2013-03-26T05:45:33Z</dcterms:created>
  <dcterms:modified xsi:type="dcterms:W3CDTF">2017-06-07T08:08:20Z</dcterms:modified>
</cp:coreProperties>
</file>