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5. EMPLOYMENT\"/>
    </mc:Choice>
  </mc:AlternateContent>
  <bookViews>
    <workbookView xWindow="0" yWindow="0" windowWidth="28800" windowHeight="12330" tabRatio="834"/>
  </bookViews>
  <sheets>
    <sheet name="5.10" sheetId="28" r:id="rId1"/>
  </sheets>
  <definedNames>
    <definedName name="_xlnm.Print_Area" localSheetId="0">'5.10'!$A$1:$Q$213</definedName>
  </definedNames>
  <calcPr calcId="162913"/>
</workbook>
</file>

<file path=xl/calcChain.xml><?xml version="1.0" encoding="utf-8"?>
<calcChain xmlns="http://schemas.openxmlformats.org/spreadsheetml/2006/main">
  <c r="B211" i="28" l="1"/>
  <c r="B209" i="28" s="1"/>
  <c r="B210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E209" i="28"/>
  <c r="D209" i="28"/>
  <c r="C209" i="28"/>
  <c r="B207" i="28"/>
  <c r="B206" i="28"/>
  <c r="B205" i="28"/>
  <c r="B204" i="28"/>
  <c r="B202" i="28" s="1"/>
  <c r="B203" i="28"/>
  <c r="Q202" i="28"/>
  <c r="Q166" i="28" s="1"/>
  <c r="P202" i="28"/>
  <c r="O202" i="28"/>
  <c r="N202" i="28"/>
  <c r="M202" i="28"/>
  <c r="L202" i="28"/>
  <c r="K202" i="28"/>
  <c r="J202" i="28"/>
  <c r="J166" i="28" s="1"/>
  <c r="I202" i="28"/>
  <c r="I166" i="28" s="1"/>
  <c r="H202" i="28"/>
  <c r="G202" i="28"/>
  <c r="F202" i="28"/>
  <c r="E202" i="28"/>
  <c r="D202" i="28"/>
  <c r="C202" i="28"/>
  <c r="B200" i="28"/>
  <c r="B199" i="28"/>
  <c r="B198" i="28"/>
  <c r="B197" i="28"/>
  <c r="B196" i="28"/>
  <c r="B195" i="28"/>
  <c r="B194" i="28"/>
  <c r="B193" i="28"/>
  <c r="B192" i="28"/>
  <c r="B190" i="28" s="1"/>
  <c r="B191" i="28"/>
  <c r="Q190" i="28"/>
  <c r="P190" i="28"/>
  <c r="O190" i="28"/>
  <c r="N190" i="28"/>
  <c r="M190" i="28"/>
  <c r="L190" i="28"/>
  <c r="K190" i="28"/>
  <c r="J190" i="28"/>
  <c r="I190" i="28"/>
  <c r="H190" i="28"/>
  <c r="G190" i="28"/>
  <c r="F190" i="28"/>
  <c r="E190" i="28"/>
  <c r="D190" i="28"/>
  <c r="C190" i="28"/>
  <c r="B188" i="28"/>
  <c r="B187" i="28"/>
  <c r="B186" i="28"/>
  <c r="B185" i="28"/>
  <c r="B184" i="28"/>
  <c r="B183" i="28"/>
  <c r="B182" i="28"/>
  <c r="B181" i="28"/>
  <c r="B179" i="28" s="1"/>
  <c r="B180" i="28"/>
  <c r="Q179" i="28"/>
  <c r="P179" i="28"/>
  <c r="O179" i="28"/>
  <c r="N179" i="28"/>
  <c r="M179" i="28"/>
  <c r="M166" i="28" s="1"/>
  <c r="L179" i="28"/>
  <c r="L166" i="28" s="1"/>
  <c r="K179" i="28"/>
  <c r="K166" i="28" s="1"/>
  <c r="J179" i="28"/>
  <c r="I179" i="28"/>
  <c r="H179" i="28"/>
  <c r="G179" i="28"/>
  <c r="F179" i="28"/>
  <c r="E179" i="28"/>
  <c r="E166" i="28" s="1"/>
  <c r="D179" i="28"/>
  <c r="D166" i="28" s="1"/>
  <c r="C179" i="28"/>
  <c r="C166" i="28" s="1"/>
  <c r="B177" i="28"/>
  <c r="B176" i="28"/>
  <c r="B175" i="28"/>
  <c r="B174" i="28"/>
  <c r="B173" i="28"/>
  <c r="B172" i="28"/>
  <c r="B171" i="28"/>
  <c r="B167" i="28" s="1"/>
  <c r="B170" i="28"/>
  <c r="B169" i="28"/>
  <c r="B168" i="28"/>
  <c r="Q167" i="28"/>
  <c r="P167" i="28"/>
  <c r="O167" i="28"/>
  <c r="N167" i="28"/>
  <c r="N166" i="28" s="1"/>
  <c r="M167" i="28"/>
  <c r="L167" i="28"/>
  <c r="K167" i="28"/>
  <c r="J167" i="28"/>
  <c r="I167" i="28"/>
  <c r="H167" i="28"/>
  <c r="G167" i="28"/>
  <c r="F167" i="28"/>
  <c r="E167" i="28"/>
  <c r="D167" i="28"/>
  <c r="C167" i="28"/>
  <c r="P166" i="28"/>
  <c r="O166" i="28"/>
  <c r="H166" i="28"/>
  <c r="G166" i="28"/>
  <c r="F166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Q147" i="28"/>
  <c r="P147" i="28"/>
  <c r="O147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B147" i="28"/>
  <c r="Q135" i="28"/>
  <c r="P135" i="28"/>
  <c r="O135" i="28"/>
  <c r="N135" i="28"/>
  <c r="M135" i="28"/>
  <c r="L135" i="28"/>
  <c r="K135" i="28"/>
  <c r="J135" i="28"/>
  <c r="I135" i="28"/>
  <c r="H135" i="28"/>
  <c r="G135" i="28"/>
  <c r="F135" i="28"/>
  <c r="E135" i="28"/>
  <c r="D135" i="28"/>
  <c r="C135" i="28"/>
  <c r="B135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B123" i="28"/>
  <c r="Q111" i="28"/>
  <c r="P111" i="28"/>
  <c r="O111" i="28"/>
  <c r="N111" i="28"/>
  <c r="M111" i="28"/>
  <c r="L111" i="28"/>
  <c r="K111" i="28"/>
  <c r="J111" i="28"/>
  <c r="I111" i="28"/>
  <c r="H111" i="28"/>
  <c r="H110" i="28" s="1"/>
  <c r="G111" i="28"/>
  <c r="F111" i="28"/>
  <c r="E111" i="28"/>
  <c r="D111" i="28"/>
  <c r="C111" i="28"/>
  <c r="B111" i="28"/>
  <c r="Q110" i="28"/>
  <c r="P110" i="28"/>
  <c r="O110" i="28"/>
  <c r="N110" i="28"/>
  <c r="M110" i="28"/>
  <c r="L110" i="28"/>
  <c r="K110" i="28"/>
  <c r="J110" i="28"/>
  <c r="I110" i="28"/>
  <c r="G110" i="28"/>
  <c r="F110" i="28"/>
  <c r="E110" i="28"/>
  <c r="D110" i="28"/>
  <c r="C110" i="28"/>
  <c r="B11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Q62" i="28"/>
  <c r="P62" i="28"/>
  <c r="P61" i="28" s="1"/>
  <c r="O62" i="28"/>
  <c r="N62" i="28"/>
  <c r="M62" i="28"/>
  <c r="L62" i="28"/>
  <c r="K62" i="28"/>
  <c r="J62" i="28"/>
  <c r="I62" i="28"/>
  <c r="H62" i="28"/>
  <c r="H61" i="28" s="1"/>
  <c r="G62" i="28"/>
  <c r="F62" i="28"/>
  <c r="F61" i="28" s="1"/>
  <c r="E62" i="28"/>
  <c r="D62" i="28"/>
  <c r="C62" i="28"/>
  <c r="B62" i="28"/>
  <c r="Q61" i="28"/>
  <c r="O61" i="28"/>
  <c r="N61" i="28"/>
  <c r="M61" i="28"/>
  <c r="L61" i="28"/>
  <c r="K61" i="28"/>
  <c r="J61" i="28"/>
  <c r="I61" i="28"/>
  <c r="G61" i="28"/>
  <c r="E61" i="28"/>
  <c r="D61" i="28"/>
  <c r="C61" i="28"/>
  <c r="B61" i="28"/>
  <c r="B52" i="28"/>
  <c r="B51" i="28"/>
  <c r="B50" i="28"/>
  <c r="B49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48" i="28"/>
  <c r="B47" i="28"/>
  <c r="B46" i="28"/>
  <c r="B45" i="28"/>
  <c r="B44" i="28"/>
  <c r="B43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 s="1"/>
  <c r="B41" i="28"/>
  <c r="B40" i="28"/>
  <c r="B39" i="28"/>
  <c r="B38" i="28"/>
  <c r="B37" i="28"/>
  <c r="B36" i="28"/>
  <c r="B35" i="28"/>
  <c r="B34" i="28"/>
  <c r="B33" i="28"/>
  <c r="B32" i="28"/>
  <c r="B31" i="28"/>
  <c r="B30" i="28" s="1"/>
  <c r="Q30" i="28"/>
  <c r="P30" i="28"/>
  <c r="O30" i="28"/>
  <c r="N30" i="28"/>
  <c r="M30" i="28"/>
  <c r="L30" i="28"/>
  <c r="K30" i="28"/>
  <c r="K6" i="28" s="1"/>
  <c r="J30" i="28"/>
  <c r="J6" i="28" s="1"/>
  <c r="I30" i="28"/>
  <c r="H30" i="28"/>
  <c r="G30" i="28"/>
  <c r="F30" i="28"/>
  <c r="E30" i="28"/>
  <c r="D30" i="28"/>
  <c r="C30" i="28"/>
  <c r="C6" i="28" s="1"/>
  <c r="B29" i="28"/>
  <c r="B28" i="28"/>
  <c r="B27" i="28"/>
  <c r="B26" i="28"/>
  <c r="B25" i="28"/>
  <c r="B24" i="28"/>
  <c r="B23" i="28"/>
  <c r="B22" i="28"/>
  <c r="B21" i="28"/>
  <c r="B20" i="28"/>
  <c r="Q19" i="28"/>
  <c r="P19" i="28"/>
  <c r="O19" i="28"/>
  <c r="N19" i="28"/>
  <c r="N6" i="28" s="1"/>
  <c r="M19" i="28"/>
  <c r="M6" i="28" s="1"/>
  <c r="L19" i="28"/>
  <c r="L6" i="28" s="1"/>
  <c r="K19" i="28"/>
  <c r="J19" i="28"/>
  <c r="I19" i="28"/>
  <c r="H19" i="28"/>
  <c r="G19" i="28"/>
  <c r="F19" i="28"/>
  <c r="F6" i="28" s="1"/>
  <c r="E19" i="28"/>
  <c r="E6" i="28" s="1"/>
  <c r="D19" i="28"/>
  <c r="D6" i="28" s="1"/>
  <c r="C19" i="28"/>
  <c r="B19" i="28" s="1"/>
  <c r="B18" i="28"/>
  <c r="B17" i="28"/>
  <c r="B16" i="28"/>
  <c r="B15" i="28"/>
  <c r="B14" i="28"/>
  <c r="B13" i="28"/>
  <c r="B12" i="28"/>
  <c r="B11" i="28"/>
  <c r="B10" i="28"/>
  <c r="B9" i="28"/>
  <c r="B8" i="28"/>
  <c r="Q7" i="28"/>
  <c r="P7" i="28"/>
  <c r="O7" i="28"/>
  <c r="O6" i="28" s="1"/>
  <c r="N7" i="28"/>
  <c r="M7" i="28"/>
  <c r="L7" i="28"/>
  <c r="K7" i="28"/>
  <c r="J7" i="28"/>
  <c r="I7" i="28"/>
  <c r="H7" i="28"/>
  <c r="G7" i="28"/>
  <c r="G6" i="28" s="1"/>
  <c r="F7" i="28"/>
  <c r="E7" i="28"/>
  <c r="D7" i="28"/>
  <c r="C7" i="28"/>
  <c r="B7" i="28" s="1"/>
  <c r="Q6" i="28"/>
  <c r="P6" i="28"/>
  <c r="I6" i="28"/>
  <c r="H6" i="28"/>
  <c r="B166" i="28" l="1"/>
  <c r="B6" i="28"/>
</calcChain>
</file>

<file path=xl/sharedStrings.xml><?xml version="1.0" encoding="utf-8"?>
<sst xmlns="http://schemas.openxmlformats.org/spreadsheetml/2006/main" count="265" uniqueCount="82">
  <si>
    <t>Total</t>
  </si>
  <si>
    <t>Nationality</t>
  </si>
  <si>
    <t>Agriculture</t>
  </si>
  <si>
    <t>Construction</t>
  </si>
  <si>
    <t>Education</t>
  </si>
  <si>
    <t>Electricity, gas &amp; water supply</t>
  </si>
  <si>
    <t>Financial intermediation</t>
  </si>
  <si>
    <t>Fishery</t>
  </si>
  <si>
    <t>Health &amp; Social Work</t>
  </si>
  <si>
    <t>Hotels &amp; Restaurants</t>
  </si>
  <si>
    <t>Manufacturing</t>
  </si>
  <si>
    <t>Other Community, Social and Personal Services</t>
  </si>
  <si>
    <t>Real Estate, Renting &amp; Business Activities</t>
  </si>
  <si>
    <t>Recycling</t>
  </si>
  <si>
    <t>Tourism</t>
  </si>
  <si>
    <t>Transport, Storage &amp; Communication</t>
  </si>
  <si>
    <t>Whole sale &amp; retail trade; repair of motor vehicles, motor cycles &amp; personal household goods</t>
  </si>
  <si>
    <t>All Nationalities</t>
  </si>
  <si>
    <t>Asia</t>
  </si>
  <si>
    <t>Bangladesh</t>
  </si>
  <si>
    <t>India</t>
  </si>
  <si>
    <t>Sri Lanka</t>
  </si>
  <si>
    <t>Nepal</t>
  </si>
  <si>
    <t>Philippines</t>
  </si>
  <si>
    <t>Indonesia</t>
  </si>
  <si>
    <t>China</t>
  </si>
  <si>
    <t>Thailand</t>
  </si>
  <si>
    <t>Malaysia</t>
  </si>
  <si>
    <t>Pakistan</t>
  </si>
  <si>
    <t>Other Countries</t>
  </si>
  <si>
    <t>Africa</t>
  </si>
  <si>
    <t>Mauritius</t>
  </si>
  <si>
    <t>South Africa</t>
  </si>
  <si>
    <t>Egypt</t>
  </si>
  <si>
    <t>Uganda</t>
  </si>
  <si>
    <t>Ghana</t>
  </si>
  <si>
    <t>Morocco</t>
  </si>
  <si>
    <t>Kenya</t>
  </si>
  <si>
    <t>Seychelles</t>
  </si>
  <si>
    <t>Tunisia</t>
  </si>
  <si>
    <t>Europe</t>
  </si>
  <si>
    <t>Italy</t>
  </si>
  <si>
    <t>Germany</t>
  </si>
  <si>
    <t>United Kingdom</t>
  </si>
  <si>
    <t>Czech Republic</t>
  </si>
  <si>
    <t>France</t>
  </si>
  <si>
    <t>Russia</t>
  </si>
  <si>
    <t>Switzerland</t>
  </si>
  <si>
    <t>Ukraine</t>
  </si>
  <si>
    <t>Spain</t>
  </si>
  <si>
    <t>Austria</t>
  </si>
  <si>
    <t>America</t>
  </si>
  <si>
    <t>United States of America</t>
  </si>
  <si>
    <t>Canada</t>
  </si>
  <si>
    <t>Mexico</t>
  </si>
  <si>
    <t>Brazil</t>
  </si>
  <si>
    <t>Cuba</t>
  </si>
  <si>
    <t>Oceania</t>
  </si>
  <si>
    <t>Australia</t>
  </si>
  <si>
    <t>New Zealand</t>
  </si>
  <si>
    <t>Swaziland</t>
  </si>
  <si>
    <t>Ecuador</t>
  </si>
  <si>
    <t>Fiji</t>
  </si>
  <si>
    <t>Source: Maldives Immigration</t>
  </si>
  <si>
    <t>Table 5.10: Expatriate Employment By Industry and Nationality, 2015</t>
  </si>
  <si>
    <t xml:space="preserve">ތާވަލު 5.10: ބިދޭސީ މަސައްކަތްތެރިންގެ ޤައުމިއްޔަތާއި މަސައްކަތްކުރާ ދާއިރާ، 2015 </t>
  </si>
  <si>
    <t xml:space="preserve">ތާވަލު 5.10: ބިދޭސީ މަސައްކަތްތެރިންގެ ޤައުމިއްޔަތާއި މަސައްކަތްކުރާ ދާއިރާ، 2013 </t>
  </si>
  <si>
    <t>Table 5.10: Expatriate Employment By Industry and Nationality, 2013</t>
  </si>
  <si>
    <t>Zimbabwe</t>
  </si>
  <si>
    <t>Madagascar</t>
  </si>
  <si>
    <t>Cameroon</t>
  </si>
  <si>
    <t>Moldova</t>
  </si>
  <si>
    <t>Colombia</t>
  </si>
  <si>
    <t xml:space="preserve">ތާވަލު 5.10: ބިދޭސީ މަސައްކަތްތެރިންގެ ޤައުމިއްޔަތާއި މަސައްކަތްކުރާ ދާއިރާ، 2014 </t>
  </si>
  <si>
    <t>Table 5.10: Expatriate Employment By Industry and Nationality, 2014</t>
  </si>
  <si>
    <t xml:space="preserve">ތާވަލު 5.10: ބިދޭސީ މަސައްކަތްތެރިންގެ ޤައުމިއްޔަތާއި މަސައްކަތްކުރާ ދާއިރާ، 2016 </t>
  </si>
  <si>
    <t>Table 5.10: Expatriate Employment By Industry and Nationality, 2016</t>
  </si>
  <si>
    <t>Ethiopia</t>
  </si>
  <si>
    <t>Nigeria</t>
  </si>
  <si>
    <t>Senegal</t>
  </si>
  <si>
    <t>Netherlands</t>
  </si>
  <si>
    <t>Papua New 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</si>
</sst>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General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name val="Faruma"/>
    </font>
    <font>
      <b/>
      <sz val="11"/>
      <name val="Faruma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18">
    <xf numFmtId="0" fontId="0" fillId="0" borderId="0"/>
    <xf numFmtId="164" fontId="4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0" fontId="10" fillId="0" borderId="0"/>
    <xf numFmtId="0" fontId="1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40">
    <xf numFmtId="0" fontId="0" fillId="0" borderId="0" xfId="0"/>
    <xf numFmtId="0" fontId="7" fillId="2" borderId="0" xfId="0" applyFont="1" applyFill="1"/>
    <xf numFmtId="0" fontId="12" fillId="2" borderId="0" xfId="0" applyFont="1" applyFill="1"/>
    <xf numFmtId="165" fontId="3" fillId="2" borderId="2" xfId="4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textRotation="90"/>
    </xf>
    <xf numFmtId="165" fontId="3" fillId="2" borderId="0" xfId="4" applyNumberFormat="1" applyFont="1" applyFill="1" applyAlignment="1" applyProtection="1">
      <alignment horizontal="left" vertical="center"/>
    </xf>
    <xf numFmtId="3" fontId="3" fillId="2" borderId="0" xfId="4" applyNumberFormat="1" applyFont="1" applyFill="1" applyAlignment="1" applyProtection="1">
      <alignment horizontal="right" vertical="center"/>
    </xf>
    <xf numFmtId="0" fontId="3" fillId="2" borderId="0" xfId="0" applyFont="1" applyFill="1"/>
    <xf numFmtId="0" fontId="5" fillId="2" borderId="0" xfId="0" applyFont="1" applyFill="1" applyBorder="1" applyAlignment="1">
      <alignment horizontal="left" vertical="center" wrapText="1" indent="1"/>
    </xf>
    <xf numFmtId="3" fontId="5" fillId="2" borderId="0" xfId="4" applyNumberFormat="1" applyFont="1" applyFill="1" applyAlignment="1" applyProtection="1">
      <alignment horizontal="right" vertical="center"/>
    </xf>
    <xf numFmtId="3" fontId="5" fillId="2" borderId="0" xfId="4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/>
    <xf numFmtId="0" fontId="5" fillId="2" borderId="0" xfId="0" applyFont="1" applyFill="1" applyAlignment="1">
      <alignment horizontal="left" indent="1"/>
    </xf>
    <xf numFmtId="0" fontId="19" fillId="2" borderId="0" xfId="0" applyFont="1" applyFill="1"/>
    <xf numFmtId="0" fontId="7" fillId="2" borderId="0" xfId="0" applyFont="1" applyFill="1" applyAlignment="1">
      <alignment horizontal="left" indent="1"/>
    </xf>
    <xf numFmtId="0" fontId="5" fillId="2" borderId="1" xfId="0" applyFont="1" applyFill="1" applyBorder="1" applyAlignment="1">
      <alignment horizontal="left" indent="1"/>
    </xf>
    <xf numFmtId="0" fontId="7" fillId="2" borderId="1" xfId="0" applyFont="1" applyFill="1" applyBorder="1"/>
    <xf numFmtId="0" fontId="8" fillId="2" borderId="0" xfId="0" applyFont="1" applyFill="1"/>
    <xf numFmtId="3" fontId="5" fillId="2" borderId="1" xfId="4" applyNumberFormat="1" applyFont="1" applyFill="1" applyBorder="1" applyAlignment="1" applyProtection="1">
      <alignment horizontal="right" vertical="center"/>
    </xf>
    <xf numFmtId="3" fontId="5" fillId="2" borderId="1" xfId="4" applyNumberFormat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>
      <alignment horizontal="left" indent="1"/>
    </xf>
    <xf numFmtId="3" fontId="5" fillId="2" borderId="0" xfId="4" applyNumberFormat="1" applyFont="1" applyFill="1" applyBorder="1" applyAlignment="1" applyProtection="1">
      <alignment horizontal="right" vertical="center"/>
    </xf>
    <xf numFmtId="3" fontId="5" fillId="2" borderId="0" xfId="4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left" indent="1"/>
    </xf>
    <xf numFmtId="0" fontId="18" fillId="2" borderId="0" xfId="0" applyFont="1" applyFill="1"/>
    <xf numFmtId="165" fontId="16" fillId="2" borderId="0" xfId="4" applyNumberFormat="1" applyFont="1" applyFill="1" applyAlignment="1">
      <alignment vertical="center"/>
    </xf>
    <xf numFmtId="165" fontId="8" fillId="2" borderId="2" xfId="4" applyNumberFormat="1" applyFont="1" applyFill="1" applyBorder="1" applyAlignment="1" applyProtection="1">
      <alignment horizontal="left" vertical="center"/>
    </xf>
    <xf numFmtId="165" fontId="13" fillId="2" borderId="0" xfId="4" applyNumberFormat="1" applyFont="1" applyFill="1" applyAlignment="1" applyProtection="1">
      <alignment horizontal="left" vertical="center"/>
    </xf>
    <xf numFmtId="3" fontId="13" fillId="2" borderId="0" xfId="4" applyNumberFormat="1" applyFont="1" applyFill="1" applyAlignment="1" applyProtection="1">
      <alignment horizontal="right" vertical="center"/>
    </xf>
    <xf numFmtId="165" fontId="8" fillId="2" borderId="0" xfId="4" applyNumberFormat="1" applyFont="1" applyFill="1" applyAlignment="1" applyProtection="1">
      <alignment horizontal="left" vertical="center"/>
    </xf>
    <xf numFmtId="3" fontId="9" fillId="2" borderId="0" xfId="4" applyNumberFormat="1" applyFont="1" applyFill="1" applyAlignment="1" applyProtection="1">
      <alignment horizontal="right" vertical="center"/>
      <protection locked="0"/>
    </xf>
    <xf numFmtId="0" fontId="7" fillId="2" borderId="1" xfId="0" applyFont="1" applyFill="1" applyBorder="1" applyAlignment="1">
      <alignment horizontal="left" indent="1"/>
    </xf>
    <xf numFmtId="3" fontId="13" fillId="2" borderId="1" xfId="4" applyNumberFormat="1" applyFont="1" applyFill="1" applyBorder="1" applyAlignment="1" applyProtection="1">
      <alignment horizontal="right" vertical="center"/>
    </xf>
    <xf numFmtId="3" fontId="9" fillId="2" borderId="1" xfId="4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>
      <alignment horizontal="center" vertical="center"/>
    </xf>
    <xf numFmtId="165" fontId="17" fillId="2" borderId="0" xfId="4" applyNumberFormat="1" applyFont="1" applyFill="1" applyAlignment="1">
      <alignment horizontal="center" vertical="center"/>
    </xf>
    <xf numFmtId="0" fontId="8" fillId="2" borderId="4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0" fillId="2" borderId="0" xfId="0" applyFill="1"/>
  </cellXfs>
  <cellStyles count="518">
    <cellStyle name="Comma 3" xfId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Normal" xfId="0" builtinId="0"/>
    <cellStyle name="Normal 2" xfId="2"/>
    <cellStyle name="Normal 4" xfId="5"/>
    <cellStyle name="Normal_Population - II 2" xfId="4"/>
    <cellStyle name="Percent 3" xfId="3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13"/>
  <sheetViews>
    <sheetView tabSelected="1" zoomScaleNormal="100" workbookViewId="0">
      <selection activeCell="F154" sqref="F154"/>
    </sheetView>
  </sheetViews>
  <sheetFormatPr defaultRowHeight="12.75" x14ac:dyDescent="0.2"/>
  <cols>
    <col min="1" max="1" width="21.5703125" style="1" customWidth="1"/>
    <col min="2" max="2" width="13" style="1" customWidth="1"/>
    <col min="3" max="3" width="11.42578125" style="1" customWidth="1"/>
    <col min="4" max="4" width="12.140625" style="1" customWidth="1"/>
    <col min="5" max="5" width="11.28515625" style="1" customWidth="1"/>
    <col min="6" max="6" width="14.28515625" style="1" customWidth="1"/>
    <col min="7" max="7" width="13.5703125" style="1" customWidth="1"/>
    <col min="8" max="8" width="11.5703125" style="1" customWidth="1"/>
    <col min="9" max="9" width="13.28515625" style="1" customWidth="1"/>
    <col min="10" max="10" width="11.28515625" style="1" customWidth="1"/>
    <col min="11" max="11" width="13" style="1" customWidth="1"/>
    <col min="12" max="12" width="14" style="1" customWidth="1"/>
    <col min="13" max="13" width="12.5703125" style="1" customWidth="1"/>
    <col min="14" max="14" width="10.85546875" style="1" customWidth="1"/>
    <col min="15" max="15" width="9.85546875" style="1" customWidth="1"/>
    <col min="16" max="16" width="14.28515625" style="1" customWidth="1"/>
    <col min="17" max="17" width="18.28515625" style="1" customWidth="1"/>
    <col min="18" max="16384" width="9.140625" style="1"/>
  </cols>
  <sheetData>
    <row r="2" spans="1:19" ht="15.75" customHeight="1" x14ac:dyDescent="0.2">
      <c r="A2" s="36" t="s">
        <v>75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26"/>
      <c r="S2" s="26"/>
    </row>
    <row r="3" spans="1:19" ht="15" x14ac:dyDescent="0.2">
      <c r="A3" s="35" t="s">
        <v>76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5" spans="1:19" s="4" customFormat="1" ht="81.75" customHeight="1" x14ac:dyDescent="0.25">
      <c r="A5" s="3" t="s">
        <v>1</v>
      </c>
      <c r="B5" s="38" t="s">
        <v>0</v>
      </c>
      <c r="C5" s="38" t="s">
        <v>2</v>
      </c>
      <c r="D5" s="38" t="s">
        <v>3</v>
      </c>
      <c r="E5" s="38" t="s">
        <v>4</v>
      </c>
      <c r="F5" s="38" t="s">
        <v>5</v>
      </c>
      <c r="G5" s="38" t="s">
        <v>6</v>
      </c>
      <c r="H5" s="38" t="s">
        <v>7</v>
      </c>
      <c r="I5" s="38" t="s">
        <v>8</v>
      </c>
      <c r="J5" s="38" t="s">
        <v>9</v>
      </c>
      <c r="K5" s="38" t="s">
        <v>10</v>
      </c>
      <c r="L5" s="38" t="s">
        <v>11</v>
      </c>
      <c r="M5" s="38" t="s">
        <v>12</v>
      </c>
      <c r="N5" s="38" t="s">
        <v>13</v>
      </c>
      <c r="O5" s="38" t="s">
        <v>14</v>
      </c>
      <c r="P5" s="38" t="s">
        <v>15</v>
      </c>
      <c r="Q5" s="37" t="s">
        <v>16</v>
      </c>
    </row>
    <row r="6" spans="1:19" s="7" customFormat="1" ht="15" customHeight="1" x14ac:dyDescent="0.2">
      <c r="A6" s="5" t="s">
        <v>17</v>
      </c>
      <c r="B6" s="6">
        <f>B7+B19+B30+B42+B48</f>
        <v>83136</v>
      </c>
      <c r="C6" s="6">
        <f>C7+C19+C30+C42+C48</f>
        <v>3157</v>
      </c>
      <c r="D6" s="6">
        <f>D7+D19+D30+D42+D48</f>
        <v>22500</v>
      </c>
      <c r="E6" s="6">
        <f>E7+E19+E30+E42+E48</f>
        <v>2778</v>
      </c>
      <c r="F6" s="6">
        <f>F7+F19+F30+F42+F48</f>
        <v>3649</v>
      </c>
      <c r="G6" s="6">
        <f>G7+G19+G30+G42+G48</f>
        <v>2679</v>
      </c>
      <c r="H6" s="6">
        <f>H7+H19+H30+H42+H48</f>
        <v>3097</v>
      </c>
      <c r="I6" s="6">
        <f>I7+I19+I30+I42+I48</f>
        <v>3386</v>
      </c>
      <c r="J6" s="6">
        <f>J7+J19+J30+J42+J48</f>
        <v>6309</v>
      </c>
      <c r="K6" s="6">
        <f>K7+K19+K30+K42+K48</f>
        <v>6041</v>
      </c>
      <c r="L6" s="6">
        <f>L7+L19+L30+L42+L48</f>
        <v>4791</v>
      </c>
      <c r="M6" s="6">
        <f>M7+M19+M30+M42+M48</f>
        <v>3542</v>
      </c>
      <c r="N6" s="6">
        <f>N7+N19+N30+N42+N48</f>
        <v>2838</v>
      </c>
      <c r="O6" s="6">
        <f>O7+O19+O30+O42+O48</f>
        <v>8708</v>
      </c>
      <c r="P6" s="6">
        <f>P7+P19+P30+P42+P48</f>
        <v>3997</v>
      </c>
      <c r="Q6" s="6">
        <f>Q7+Q19+Q30+Q42+Q48</f>
        <v>5664</v>
      </c>
    </row>
    <row r="7" spans="1:19" s="7" customFormat="1" ht="15" customHeight="1" x14ac:dyDescent="0.2">
      <c r="A7" s="5" t="s">
        <v>18</v>
      </c>
      <c r="B7" s="6">
        <f>SUM(C7:Q7)</f>
        <v>80566</v>
      </c>
      <c r="C7" s="6">
        <f>SUM(C8:C18)</f>
        <v>3093</v>
      </c>
      <c r="D7" s="6">
        <f t="shared" ref="D7:Q7" si="0">SUM(D8:D18)</f>
        <v>22347</v>
      </c>
      <c r="E7" s="6">
        <f t="shared" si="0"/>
        <v>2698</v>
      </c>
      <c r="F7" s="6">
        <f t="shared" si="0"/>
        <v>3586</v>
      </c>
      <c r="G7" s="6">
        <f t="shared" si="0"/>
        <v>2618</v>
      </c>
      <c r="H7" s="6">
        <f t="shared" si="0"/>
        <v>3036</v>
      </c>
      <c r="I7" s="6">
        <f t="shared" si="0"/>
        <v>3308</v>
      </c>
      <c r="J7" s="6">
        <f t="shared" si="0"/>
        <v>6242</v>
      </c>
      <c r="K7" s="6">
        <f t="shared" si="0"/>
        <v>5975</v>
      </c>
      <c r="L7" s="6">
        <f t="shared" si="0"/>
        <v>4503</v>
      </c>
      <c r="M7" s="6">
        <f t="shared" si="0"/>
        <v>3474</v>
      </c>
      <c r="N7" s="6">
        <f t="shared" si="0"/>
        <v>2778</v>
      </c>
      <c r="O7" s="6">
        <f t="shared" si="0"/>
        <v>7435</v>
      </c>
      <c r="P7" s="6">
        <f t="shared" si="0"/>
        <v>3885</v>
      </c>
      <c r="Q7" s="6">
        <f t="shared" si="0"/>
        <v>5588</v>
      </c>
    </row>
    <row r="8" spans="1:19" s="11" customFormat="1" ht="15" customHeight="1" x14ac:dyDescent="0.2">
      <c r="A8" s="8" t="s">
        <v>19</v>
      </c>
      <c r="B8" s="9">
        <f t="shared" ref="B8:B29" si="1">SUM(C8:Q8)</f>
        <v>38626</v>
      </c>
      <c r="C8" s="10">
        <v>1358</v>
      </c>
      <c r="D8" s="10">
        <v>13475</v>
      </c>
      <c r="E8" s="10">
        <v>974</v>
      </c>
      <c r="F8" s="10">
        <v>1543</v>
      </c>
      <c r="G8" s="10">
        <v>943</v>
      </c>
      <c r="H8" s="10">
        <v>967</v>
      </c>
      <c r="I8" s="10">
        <v>1175</v>
      </c>
      <c r="J8" s="10">
        <v>3578</v>
      </c>
      <c r="K8" s="10">
        <v>3398</v>
      </c>
      <c r="L8" s="10">
        <v>2118</v>
      </c>
      <c r="M8" s="10">
        <v>1383</v>
      </c>
      <c r="N8" s="10">
        <v>1100</v>
      </c>
      <c r="O8" s="10">
        <v>2015</v>
      </c>
      <c r="P8" s="10">
        <v>1751</v>
      </c>
      <c r="Q8" s="10">
        <v>2848</v>
      </c>
      <c r="R8" s="7"/>
    </row>
    <row r="9" spans="1:19" s="11" customFormat="1" ht="15" customHeight="1" x14ac:dyDescent="0.2">
      <c r="A9" s="12" t="s">
        <v>20</v>
      </c>
      <c r="B9" s="9">
        <f t="shared" si="1"/>
        <v>20701</v>
      </c>
      <c r="C9" s="10">
        <v>1004</v>
      </c>
      <c r="D9" s="10">
        <v>3670</v>
      </c>
      <c r="E9" s="10">
        <v>1048</v>
      </c>
      <c r="F9" s="10">
        <v>1187</v>
      </c>
      <c r="G9" s="10">
        <v>969</v>
      </c>
      <c r="H9" s="10">
        <v>966</v>
      </c>
      <c r="I9" s="10">
        <v>1378</v>
      </c>
      <c r="J9" s="10">
        <v>1448</v>
      </c>
      <c r="K9" s="10">
        <v>1368</v>
      </c>
      <c r="L9" s="10">
        <v>1130</v>
      </c>
      <c r="M9" s="10">
        <v>1172</v>
      </c>
      <c r="N9" s="10">
        <v>1014</v>
      </c>
      <c r="O9" s="10">
        <v>1738</v>
      </c>
      <c r="P9" s="10">
        <v>1105</v>
      </c>
      <c r="Q9" s="10">
        <v>1504</v>
      </c>
      <c r="R9" s="7"/>
    </row>
    <row r="10" spans="1:19" s="13" customFormat="1" ht="15" customHeight="1" x14ac:dyDescent="0.2">
      <c r="A10" s="12" t="s">
        <v>21</v>
      </c>
      <c r="B10" s="9">
        <f t="shared" si="1"/>
        <v>10157</v>
      </c>
      <c r="C10" s="10">
        <v>385</v>
      </c>
      <c r="D10" s="10">
        <v>2125</v>
      </c>
      <c r="E10" s="10">
        <v>329</v>
      </c>
      <c r="F10" s="10">
        <v>491</v>
      </c>
      <c r="G10" s="10">
        <v>374</v>
      </c>
      <c r="H10" s="10">
        <v>345</v>
      </c>
      <c r="I10" s="10">
        <v>342</v>
      </c>
      <c r="J10" s="10">
        <v>669</v>
      </c>
      <c r="K10" s="10">
        <v>637</v>
      </c>
      <c r="L10" s="10">
        <v>607</v>
      </c>
      <c r="M10" s="10">
        <v>542</v>
      </c>
      <c r="N10" s="10">
        <v>327</v>
      </c>
      <c r="O10" s="10">
        <v>1575</v>
      </c>
      <c r="P10" s="10">
        <v>635</v>
      </c>
      <c r="Q10" s="10">
        <v>774</v>
      </c>
      <c r="R10" s="7"/>
    </row>
    <row r="11" spans="1:19" s="11" customFormat="1" ht="15" customHeight="1" x14ac:dyDescent="0.2">
      <c r="A11" s="12" t="s">
        <v>23</v>
      </c>
      <c r="B11" s="9">
        <f t="shared" si="1"/>
        <v>2717</v>
      </c>
      <c r="C11" s="10">
        <v>41</v>
      </c>
      <c r="D11" s="10">
        <v>1731</v>
      </c>
      <c r="E11" s="10">
        <v>44</v>
      </c>
      <c r="F11" s="10">
        <v>45</v>
      </c>
      <c r="G11" s="10">
        <v>41</v>
      </c>
      <c r="H11" s="10">
        <v>96</v>
      </c>
      <c r="I11" s="10">
        <v>42</v>
      </c>
      <c r="J11" s="10">
        <v>51</v>
      </c>
      <c r="K11" s="10">
        <v>44</v>
      </c>
      <c r="L11" s="10">
        <v>99</v>
      </c>
      <c r="M11" s="10">
        <v>41</v>
      </c>
      <c r="N11" s="10">
        <v>41</v>
      </c>
      <c r="O11" s="10">
        <v>303</v>
      </c>
      <c r="P11" s="10">
        <v>56</v>
      </c>
      <c r="Q11" s="10">
        <v>42</v>
      </c>
      <c r="R11" s="7"/>
    </row>
    <row r="12" spans="1:19" s="11" customFormat="1" ht="15" customHeight="1" x14ac:dyDescent="0.2">
      <c r="A12" s="12" t="s">
        <v>22</v>
      </c>
      <c r="B12" s="9">
        <f t="shared" si="1"/>
        <v>2326</v>
      </c>
      <c r="C12" s="10">
        <v>120</v>
      </c>
      <c r="D12" s="10">
        <v>118</v>
      </c>
      <c r="E12" s="10">
        <v>114</v>
      </c>
      <c r="F12" s="10">
        <v>129</v>
      </c>
      <c r="G12" s="10">
        <v>112</v>
      </c>
      <c r="H12" s="10">
        <v>111</v>
      </c>
      <c r="I12" s="10">
        <v>161</v>
      </c>
      <c r="J12" s="10">
        <v>198</v>
      </c>
      <c r="K12" s="10">
        <v>257</v>
      </c>
      <c r="L12" s="10">
        <v>147</v>
      </c>
      <c r="M12" s="10">
        <v>148</v>
      </c>
      <c r="N12" s="10">
        <v>117</v>
      </c>
      <c r="O12" s="10">
        <v>308</v>
      </c>
      <c r="P12" s="10">
        <v>124</v>
      </c>
      <c r="Q12" s="10">
        <v>162</v>
      </c>
      <c r="R12" s="7"/>
    </row>
    <row r="13" spans="1:19" s="11" customFormat="1" ht="15" customHeight="1" x14ac:dyDescent="0.2">
      <c r="A13" s="12" t="s">
        <v>25</v>
      </c>
      <c r="B13" s="9">
        <f t="shared" si="1"/>
        <v>1855</v>
      </c>
      <c r="C13" s="10">
        <v>69</v>
      </c>
      <c r="D13" s="10">
        <v>177</v>
      </c>
      <c r="E13" s="10">
        <v>70</v>
      </c>
      <c r="F13" s="10">
        <v>67</v>
      </c>
      <c r="G13" s="10">
        <v>63</v>
      </c>
      <c r="H13" s="10">
        <v>74</v>
      </c>
      <c r="I13" s="10">
        <v>67</v>
      </c>
      <c r="J13" s="10">
        <v>148</v>
      </c>
      <c r="K13" s="10">
        <v>106</v>
      </c>
      <c r="L13" s="10">
        <v>88</v>
      </c>
      <c r="M13" s="10">
        <v>64</v>
      </c>
      <c r="N13" s="10">
        <v>63</v>
      </c>
      <c r="O13" s="10">
        <v>606</v>
      </c>
      <c r="P13" s="10">
        <v>73</v>
      </c>
      <c r="Q13" s="10">
        <v>120</v>
      </c>
      <c r="R13" s="7"/>
    </row>
    <row r="14" spans="1:19" s="11" customFormat="1" ht="15" customHeight="1" x14ac:dyDescent="0.2">
      <c r="A14" s="12" t="s">
        <v>24</v>
      </c>
      <c r="B14" s="9">
        <f t="shared" si="1"/>
        <v>1355</v>
      </c>
      <c r="C14" s="10">
        <v>11</v>
      </c>
      <c r="D14" s="10">
        <v>328</v>
      </c>
      <c r="E14" s="10">
        <v>11</v>
      </c>
      <c r="F14" s="10">
        <v>17</v>
      </c>
      <c r="G14" s="10">
        <v>11</v>
      </c>
      <c r="H14" s="10">
        <v>365</v>
      </c>
      <c r="I14" s="10">
        <v>12</v>
      </c>
      <c r="J14" s="10">
        <v>14</v>
      </c>
      <c r="K14" s="10">
        <v>53</v>
      </c>
      <c r="L14" s="10">
        <v>111</v>
      </c>
      <c r="M14" s="10">
        <v>17</v>
      </c>
      <c r="N14" s="10">
        <v>11</v>
      </c>
      <c r="O14" s="10">
        <v>359</v>
      </c>
      <c r="P14" s="10">
        <v>11</v>
      </c>
      <c r="Q14" s="10">
        <v>24</v>
      </c>
      <c r="R14" s="7"/>
    </row>
    <row r="15" spans="1:19" s="11" customFormat="1" ht="15" customHeight="1" x14ac:dyDescent="0.2">
      <c r="A15" s="12" t="s">
        <v>26</v>
      </c>
      <c r="B15" s="9">
        <f t="shared" si="1"/>
        <v>1074</v>
      </c>
      <c r="C15" s="10">
        <v>75</v>
      </c>
      <c r="D15" s="10">
        <v>33</v>
      </c>
      <c r="E15" s="10">
        <v>77</v>
      </c>
      <c r="F15" s="10">
        <v>76</v>
      </c>
      <c r="G15" s="10">
        <v>75</v>
      </c>
      <c r="H15" s="10">
        <v>75</v>
      </c>
      <c r="I15" s="10">
        <v>88</v>
      </c>
      <c r="J15" s="10">
        <v>80</v>
      </c>
      <c r="K15" s="10">
        <v>81</v>
      </c>
      <c r="L15" s="10">
        <v>76</v>
      </c>
      <c r="M15" s="10">
        <v>76</v>
      </c>
      <c r="N15" s="10">
        <v>75</v>
      </c>
      <c r="O15" s="10">
        <v>32</v>
      </c>
      <c r="P15" s="10">
        <v>78</v>
      </c>
      <c r="Q15" s="10">
        <v>77</v>
      </c>
      <c r="R15" s="7"/>
    </row>
    <row r="16" spans="1:19" s="11" customFormat="1" ht="15" customHeight="1" x14ac:dyDescent="0.2">
      <c r="A16" s="12" t="s">
        <v>27</v>
      </c>
      <c r="B16" s="9">
        <f t="shared" si="1"/>
        <v>450</v>
      </c>
      <c r="C16" s="10">
        <v>1</v>
      </c>
      <c r="D16" s="10">
        <v>419</v>
      </c>
      <c r="E16" s="10">
        <v>2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3</v>
      </c>
      <c r="M16" s="10">
        <v>1</v>
      </c>
      <c r="N16" s="10">
        <v>1</v>
      </c>
      <c r="O16" s="10">
        <v>14</v>
      </c>
      <c r="P16" s="10">
        <v>2</v>
      </c>
      <c r="Q16" s="10">
        <v>1</v>
      </c>
      <c r="R16" s="7"/>
    </row>
    <row r="17" spans="1:18" s="11" customFormat="1" ht="15" customHeight="1" x14ac:dyDescent="0.2">
      <c r="A17" s="12" t="s">
        <v>28</v>
      </c>
      <c r="B17" s="9">
        <f t="shared" si="1"/>
        <v>354</v>
      </c>
      <c r="C17" s="10">
        <v>0</v>
      </c>
      <c r="D17" s="10">
        <v>100</v>
      </c>
      <c r="E17" s="10">
        <v>0</v>
      </c>
      <c r="F17" s="10">
        <v>1</v>
      </c>
      <c r="G17" s="10">
        <v>0</v>
      </c>
      <c r="H17" s="10">
        <v>0</v>
      </c>
      <c r="I17" s="10">
        <v>3</v>
      </c>
      <c r="J17" s="10">
        <v>24</v>
      </c>
      <c r="K17" s="10">
        <v>0</v>
      </c>
      <c r="L17" s="10">
        <v>57</v>
      </c>
      <c r="M17" s="10">
        <v>1</v>
      </c>
      <c r="N17" s="10">
        <v>0</v>
      </c>
      <c r="O17" s="10">
        <v>159</v>
      </c>
      <c r="P17" s="10">
        <v>7</v>
      </c>
      <c r="Q17" s="10">
        <v>2</v>
      </c>
      <c r="R17" s="7"/>
    </row>
    <row r="18" spans="1:18" s="11" customFormat="1" ht="15" customHeight="1" x14ac:dyDescent="0.2">
      <c r="A18" s="12" t="s">
        <v>29</v>
      </c>
      <c r="B18" s="9">
        <f t="shared" si="1"/>
        <v>951</v>
      </c>
      <c r="C18" s="10">
        <v>29</v>
      </c>
      <c r="D18" s="10">
        <v>171</v>
      </c>
      <c r="E18" s="10">
        <v>29</v>
      </c>
      <c r="F18" s="10">
        <v>29</v>
      </c>
      <c r="G18" s="10">
        <v>29</v>
      </c>
      <c r="H18" s="10">
        <v>36</v>
      </c>
      <c r="I18" s="10">
        <v>39</v>
      </c>
      <c r="J18" s="10">
        <v>31</v>
      </c>
      <c r="K18" s="10">
        <v>30</v>
      </c>
      <c r="L18" s="10">
        <v>67</v>
      </c>
      <c r="M18" s="10">
        <v>29</v>
      </c>
      <c r="N18" s="10">
        <v>29</v>
      </c>
      <c r="O18" s="10">
        <v>326</v>
      </c>
      <c r="P18" s="10">
        <v>43</v>
      </c>
      <c r="Q18" s="10">
        <v>34</v>
      </c>
      <c r="R18" s="7"/>
    </row>
    <row r="19" spans="1:18" s="7" customFormat="1" ht="15" customHeight="1" x14ac:dyDescent="0.2">
      <c r="A19" s="5" t="s">
        <v>30</v>
      </c>
      <c r="B19" s="6">
        <f>SUM(C19:Q19)</f>
        <v>551</v>
      </c>
      <c r="C19" s="6">
        <f>SUM(C20:C29)</f>
        <v>23</v>
      </c>
      <c r="D19" s="6">
        <f>SUM(D20:D29)</f>
        <v>36</v>
      </c>
      <c r="E19" s="6">
        <f>SUM(E20:E29)</f>
        <v>25</v>
      </c>
      <c r="F19" s="6">
        <f>SUM(F20:F29)</f>
        <v>20</v>
      </c>
      <c r="G19" s="6">
        <f>SUM(G20:G29)</f>
        <v>20</v>
      </c>
      <c r="H19" s="6">
        <f>SUM(H20:H29)</f>
        <v>20</v>
      </c>
      <c r="I19" s="6">
        <f>SUM(I20:I29)</f>
        <v>29</v>
      </c>
      <c r="J19" s="6">
        <f>SUM(J20:J29)</f>
        <v>21</v>
      </c>
      <c r="K19" s="6">
        <f>SUM(K20:K29)</f>
        <v>23</v>
      </c>
      <c r="L19" s="6">
        <f>SUM(L20:L29)</f>
        <v>31</v>
      </c>
      <c r="M19" s="6">
        <f>SUM(M20:M29)</f>
        <v>20</v>
      </c>
      <c r="N19" s="6">
        <f>SUM(N20:N29)</f>
        <v>20</v>
      </c>
      <c r="O19" s="6">
        <f>SUM(O20:O29)</f>
        <v>214</v>
      </c>
      <c r="P19" s="6">
        <f>SUM(P20:P29)</f>
        <v>25</v>
      </c>
      <c r="Q19" s="6">
        <f>SUM(Q20:Q29)</f>
        <v>24</v>
      </c>
    </row>
    <row r="20" spans="1:18" s="11" customFormat="1" ht="15" customHeight="1" x14ac:dyDescent="0.2">
      <c r="A20" s="8" t="s">
        <v>33</v>
      </c>
      <c r="B20" s="9">
        <f>SUM(C20:Q20)</f>
        <v>196</v>
      </c>
      <c r="C20" s="10">
        <v>9</v>
      </c>
      <c r="D20" s="10">
        <v>11</v>
      </c>
      <c r="E20" s="10">
        <v>9</v>
      </c>
      <c r="F20" s="10">
        <v>9</v>
      </c>
      <c r="G20" s="10">
        <v>9</v>
      </c>
      <c r="H20" s="10">
        <v>9</v>
      </c>
      <c r="I20" s="10">
        <v>18</v>
      </c>
      <c r="J20" s="10">
        <v>10</v>
      </c>
      <c r="K20" s="10">
        <v>9</v>
      </c>
      <c r="L20" s="10">
        <v>12</v>
      </c>
      <c r="M20" s="10">
        <v>9</v>
      </c>
      <c r="N20" s="10">
        <v>9</v>
      </c>
      <c r="O20" s="10">
        <v>53</v>
      </c>
      <c r="P20" s="10">
        <v>11</v>
      </c>
      <c r="Q20" s="10">
        <v>9</v>
      </c>
      <c r="R20" s="7"/>
    </row>
    <row r="21" spans="1:18" s="11" customFormat="1" ht="15" customHeight="1" x14ac:dyDescent="0.2">
      <c r="A21" s="8" t="s">
        <v>32</v>
      </c>
      <c r="B21" s="9">
        <f t="shared" si="1"/>
        <v>99</v>
      </c>
      <c r="C21" s="10">
        <v>4</v>
      </c>
      <c r="D21" s="10">
        <v>3</v>
      </c>
      <c r="E21" s="10">
        <v>7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11</v>
      </c>
      <c r="M21" s="10">
        <v>4</v>
      </c>
      <c r="N21" s="10">
        <v>4</v>
      </c>
      <c r="O21" s="10">
        <v>31</v>
      </c>
      <c r="P21" s="10">
        <v>5</v>
      </c>
      <c r="Q21" s="10">
        <v>6</v>
      </c>
    </row>
    <row r="22" spans="1:18" s="11" customFormat="1" ht="15" customHeight="1" x14ac:dyDescent="0.2">
      <c r="A22" s="8" t="s">
        <v>31</v>
      </c>
      <c r="B22" s="9">
        <f t="shared" si="1"/>
        <v>86</v>
      </c>
      <c r="C22" s="10">
        <v>2</v>
      </c>
      <c r="D22" s="10">
        <v>6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3</v>
      </c>
      <c r="L22" s="10">
        <v>2</v>
      </c>
      <c r="M22" s="10">
        <v>2</v>
      </c>
      <c r="N22" s="10">
        <v>2</v>
      </c>
      <c r="O22" s="10">
        <v>53</v>
      </c>
      <c r="P22" s="10">
        <v>2</v>
      </c>
      <c r="Q22" s="10">
        <v>2</v>
      </c>
    </row>
    <row r="23" spans="1:18" s="11" customFormat="1" ht="15" customHeight="1" x14ac:dyDescent="0.2">
      <c r="A23" s="8" t="s">
        <v>77</v>
      </c>
      <c r="B23" s="9">
        <f t="shared" si="1"/>
        <v>33</v>
      </c>
      <c r="C23" s="10">
        <v>5</v>
      </c>
      <c r="D23" s="10">
        <v>0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10">
        <v>2</v>
      </c>
      <c r="K23" s="10">
        <v>2</v>
      </c>
      <c r="L23" s="10">
        <v>2</v>
      </c>
      <c r="M23" s="10">
        <v>2</v>
      </c>
      <c r="N23" s="10">
        <v>2</v>
      </c>
      <c r="O23" s="10">
        <v>2</v>
      </c>
      <c r="P23" s="10">
        <v>4</v>
      </c>
      <c r="Q23" s="10">
        <v>2</v>
      </c>
    </row>
    <row r="24" spans="1:18" s="11" customFormat="1" ht="15" customHeight="1" x14ac:dyDescent="0.2">
      <c r="A24" s="8" t="s">
        <v>36</v>
      </c>
      <c r="B24" s="9">
        <f t="shared" si="1"/>
        <v>33</v>
      </c>
      <c r="C24" s="10">
        <v>0</v>
      </c>
      <c r="D24" s="10">
        <v>1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32</v>
      </c>
      <c r="P24" s="10">
        <v>0</v>
      </c>
      <c r="Q24" s="10">
        <v>0</v>
      </c>
    </row>
    <row r="25" spans="1:18" s="11" customFormat="1" ht="15" customHeight="1" x14ac:dyDescent="0.2">
      <c r="A25" s="8" t="s">
        <v>78</v>
      </c>
      <c r="B25" s="9">
        <f t="shared" si="1"/>
        <v>28</v>
      </c>
      <c r="C25" s="10">
        <v>2</v>
      </c>
      <c r="D25" s="10">
        <v>0</v>
      </c>
      <c r="E25" s="10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3</v>
      </c>
      <c r="L25" s="10">
        <v>2</v>
      </c>
      <c r="M25" s="10">
        <v>2</v>
      </c>
      <c r="N25" s="10">
        <v>2</v>
      </c>
      <c r="O25" s="10">
        <v>1</v>
      </c>
      <c r="P25" s="10">
        <v>2</v>
      </c>
      <c r="Q25" s="10">
        <v>2</v>
      </c>
    </row>
    <row r="26" spans="1:18" s="11" customFormat="1" ht="15" customHeight="1" x14ac:dyDescent="0.2">
      <c r="A26" s="8" t="s">
        <v>39</v>
      </c>
      <c r="B26" s="9">
        <f t="shared" si="1"/>
        <v>21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7</v>
      </c>
      <c r="P26" s="10">
        <v>1</v>
      </c>
      <c r="Q26" s="10">
        <v>1</v>
      </c>
    </row>
    <row r="27" spans="1:18" s="11" customFormat="1" ht="15" customHeight="1" x14ac:dyDescent="0.2">
      <c r="A27" s="8" t="s">
        <v>37</v>
      </c>
      <c r="B27" s="9">
        <f t="shared" si="1"/>
        <v>16</v>
      </c>
      <c r="C27" s="10">
        <v>0</v>
      </c>
      <c r="D27" s="10">
        <v>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14</v>
      </c>
      <c r="P27" s="10">
        <v>0</v>
      </c>
      <c r="Q27" s="10">
        <v>0</v>
      </c>
    </row>
    <row r="28" spans="1:18" s="11" customFormat="1" ht="15" customHeight="1" x14ac:dyDescent="0.2">
      <c r="A28" s="8" t="s">
        <v>79</v>
      </c>
      <c r="B28" s="9">
        <f t="shared" si="1"/>
        <v>13</v>
      </c>
      <c r="C28" s="10">
        <v>0</v>
      </c>
      <c r="D28" s="10">
        <v>11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</row>
    <row r="29" spans="1:18" s="11" customFormat="1" ht="15" customHeight="1" x14ac:dyDescent="0.25">
      <c r="A29" s="8" t="s">
        <v>29</v>
      </c>
      <c r="B29" s="9">
        <f t="shared" si="1"/>
        <v>26</v>
      </c>
      <c r="C29" s="10">
        <v>0</v>
      </c>
      <c r="D29" s="39">
        <v>2</v>
      </c>
      <c r="E29" s="39">
        <v>1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1</v>
      </c>
      <c r="M29" s="39">
        <v>0</v>
      </c>
      <c r="N29" s="39">
        <v>0</v>
      </c>
      <c r="O29" s="39">
        <v>20</v>
      </c>
      <c r="P29" s="39">
        <v>0</v>
      </c>
      <c r="Q29" s="39">
        <v>2</v>
      </c>
    </row>
    <row r="30" spans="1:18" s="7" customFormat="1" ht="15" customHeight="1" x14ac:dyDescent="0.2">
      <c r="A30" s="5" t="s">
        <v>40</v>
      </c>
      <c r="B30" s="6">
        <f>SUM(B31:B41)</f>
        <v>1813</v>
      </c>
      <c r="C30" s="6">
        <f>SUM(C31:C41)</f>
        <v>39</v>
      </c>
      <c r="D30" s="6">
        <f t="shared" ref="D30:Q30" si="2">SUM(D31:D41)</f>
        <v>96</v>
      </c>
      <c r="E30" s="6">
        <f t="shared" si="2"/>
        <v>49</v>
      </c>
      <c r="F30" s="6">
        <f t="shared" si="2"/>
        <v>40</v>
      </c>
      <c r="G30" s="6">
        <f t="shared" si="2"/>
        <v>39</v>
      </c>
      <c r="H30" s="6">
        <f t="shared" si="2"/>
        <v>38</v>
      </c>
      <c r="I30" s="6">
        <f t="shared" si="2"/>
        <v>47</v>
      </c>
      <c r="J30" s="6">
        <f t="shared" si="2"/>
        <v>43</v>
      </c>
      <c r="K30" s="6">
        <f t="shared" si="2"/>
        <v>41</v>
      </c>
      <c r="L30" s="6">
        <f t="shared" si="2"/>
        <v>233</v>
      </c>
      <c r="M30" s="6">
        <f t="shared" si="2"/>
        <v>44</v>
      </c>
      <c r="N30" s="6">
        <f t="shared" si="2"/>
        <v>38</v>
      </c>
      <c r="O30" s="6">
        <f t="shared" si="2"/>
        <v>943</v>
      </c>
      <c r="P30" s="6">
        <f t="shared" si="2"/>
        <v>74</v>
      </c>
      <c r="Q30" s="6">
        <f t="shared" si="2"/>
        <v>49</v>
      </c>
      <c r="R30" s="11"/>
    </row>
    <row r="31" spans="1:18" s="7" customFormat="1" ht="15" customHeight="1" x14ac:dyDescent="0.2">
      <c r="A31" s="8" t="s">
        <v>41</v>
      </c>
      <c r="B31" s="9">
        <f t="shared" ref="B31:B42" si="3">SUM(C31:Q31)</f>
        <v>376</v>
      </c>
      <c r="C31" s="9">
        <v>6</v>
      </c>
      <c r="D31" s="9">
        <v>8</v>
      </c>
      <c r="E31" s="9">
        <v>6</v>
      </c>
      <c r="F31" s="9">
        <v>8</v>
      </c>
      <c r="G31" s="9">
        <v>6</v>
      </c>
      <c r="H31" s="9">
        <v>6</v>
      </c>
      <c r="I31" s="9">
        <v>7</v>
      </c>
      <c r="J31" s="9">
        <v>9</v>
      </c>
      <c r="K31" s="9">
        <v>6</v>
      </c>
      <c r="L31" s="9">
        <v>46</v>
      </c>
      <c r="M31" s="9">
        <v>6</v>
      </c>
      <c r="N31" s="9">
        <v>6</v>
      </c>
      <c r="O31" s="9">
        <v>237</v>
      </c>
      <c r="P31" s="9">
        <v>11</v>
      </c>
      <c r="Q31" s="9">
        <v>8</v>
      </c>
      <c r="R31" s="11"/>
    </row>
    <row r="32" spans="1:18" s="7" customFormat="1" ht="15" customHeight="1" x14ac:dyDescent="0.2">
      <c r="A32" s="8" t="s">
        <v>42</v>
      </c>
      <c r="B32" s="9">
        <f t="shared" si="3"/>
        <v>224</v>
      </c>
      <c r="C32" s="9">
        <v>4</v>
      </c>
      <c r="D32" s="9">
        <v>10</v>
      </c>
      <c r="E32" s="9">
        <v>4</v>
      </c>
      <c r="F32" s="9">
        <v>4</v>
      </c>
      <c r="G32" s="9">
        <v>4</v>
      </c>
      <c r="H32" s="9">
        <v>4</v>
      </c>
      <c r="I32" s="9">
        <v>5</v>
      </c>
      <c r="J32" s="9">
        <v>5</v>
      </c>
      <c r="K32" s="9">
        <v>4</v>
      </c>
      <c r="L32" s="9">
        <v>63</v>
      </c>
      <c r="M32" s="9">
        <v>5</v>
      </c>
      <c r="N32" s="9">
        <v>4</v>
      </c>
      <c r="O32" s="9">
        <v>98</v>
      </c>
      <c r="P32" s="9">
        <v>6</v>
      </c>
      <c r="Q32" s="9">
        <v>4</v>
      </c>
      <c r="R32" s="11"/>
    </row>
    <row r="33" spans="1:18" s="7" customFormat="1" ht="15" customHeight="1" x14ac:dyDescent="0.2">
      <c r="A33" s="8" t="s">
        <v>43</v>
      </c>
      <c r="B33" s="9">
        <f t="shared" si="3"/>
        <v>212</v>
      </c>
      <c r="C33" s="9">
        <v>6</v>
      </c>
      <c r="D33" s="9">
        <v>11</v>
      </c>
      <c r="E33" s="9">
        <v>13</v>
      </c>
      <c r="F33" s="9">
        <v>6</v>
      </c>
      <c r="G33" s="9">
        <v>6</v>
      </c>
      <c r="H33" s="9">
        <v>6</v>
      </c>
      <c r="I33" s="9">
        <v>6</v>
      </c>
      <c r="J33" s="9">
        <v>6</v>
      </c>
      <c r="K33" s="9">
        <v>6</v>
      </c>
      <c r="L33" s="9">
        <v>15</v>
      </c>
      <c r="M33" s="9">
        <v>9</v>
      </c>
      <c r="N33" s="9">
        <v>6</v>
      </c>
      <c r="O33" s="9">
        <v>98</v>
      </c>
      <c r="P33" s="9">
        <v>9</v>
      </c>
      <c r="Q33" s="9">
        <v>9</v>
      </c>
      <c r="R33" s="11"/>
    </row>
    <row r="34" spans="1:18" s="7" customFormat="1" ht="15" customHeight="1" x14ac:dyDescent="0.2">
      <c r="A34" s="8" t="s">
        <v>48</v>
      </c>
      <c r="B34" s="9">
        <f t="shared" si="3"/>
        <v>162</v>
      </c>
      <c r="C34" s="9">
        <v>7</v>
      </c>
      <c r="D34" s="9">
        <v>10</v>
      </c>
      <c r="E34" s="9">
        <v>6</v>
      </c>
      <c r="F34" s="9">
        <v>6</v>
      </c>
      <c r="G34" s="9">
        <v>6</v>
      </c>
      <c r="H34" s="9">
        <v>6</v>
      </c>
      <c r="I34" s="9">
        <v>10</v>
      </c>
      <c r="J34" s="9">
        <v>7</v>
      </c>
      <c r="K34" s="9">
        <v>6</v>
      </c>
      <c r="L34" s="9">
        <v>7</v>
      </c>
      <c r="M34" s="9">
        <v>6</v>
      </c>
      <c r="N34" s="9">
        <v>6</v>
      </c>
      <c r="O34" s="9">
        <v>64</v>
      </c>
      <c r="P34" s="9">
        <v>8</v>
      </c>
      <c r="Q34" s="9">
        <v>7</v>
      </c>
      <c r="R34" s="11"/>
    </row>
    <row r="35" spans="1:18" s="7" customFormat="1" ht="15" customHeight="1" x14ac:dyDescent="0.2">
      <c r="A35" s="8" t="s">
        <v>45</v>
      </c>
      <c r="B35" s="9">
        <f t="shared" si="3"/>
        <v>153</v>
      </c>
      <c r="C35" s="9">
        <v>3</v>
      </c>
      <c r="D35" s="9">
        <v>4</v>
      </c>
      <c r="E35" s="9">
        <v>6</v>
      </c>
      <c r="F35" s="9">
        <v>3</v>
      </c>
      <c r="G35" s="9">
        <v>3</v>
      </c>
      <c r="H35" s="9">
        <v>3</v>
      </c>
      <c r="I35" s="9">
        <v>3</v>
      </c>
      <c r="J35" s="9">
        <v>3</v>
      </c>
      <c r="K35" s="9">
        <v>3</v>
      </c>
      <c r="L35" s="9">
        <v>18</v>
      </c>
      <c r="M35" s="9">
        <v>4</v>
      </c>
      <c r="N35" s="9">
        <v>3</v>
      </c>
      <c r="O35" s="9">
        <v>85</v>
      </c>
      <c r="P35" s="9">
        <v>8</v>
      </c>
      <c r="Q35" s="9">
        <v>4</v>
      </c>
      <c r="R35" s="11"/>
    </row>
    <row r="36" spans="1:18" s="7" customFormat="1" ht="15" customHeight="1" x14ac:dyDescent="0.2">
      <c r="A36" s="8" t="s">
        <v>46</v>
      </c>
      <c r="B36" s="9">
        <f t="shared" si="3"/>
        <v>138</v>
      </c>
      <c r="C36" s="9">
        <v>4</v>
      </c>
      <c r="D36" s="9">
        <v>1</v>
      </c>
      <c r="E36" s="9">
        <v>4</v>
      </c>
      <c r="F36" s="9">
        <v>4</v>
      </c>
      <c r="G36" s="9">
        <v>4</v>
      </c>
      <c r="H36" s="9">
        <v>4</v>
      </c>
      <c r="I36" s="9">
        <v>4</v>
      </c>
      <c r="J36" s="9">
        <v>4</v>
      </c>
      <c r="K36" s="9">
        <v>4</v>
      </c>
      <c r="L36" s="9">
        <v>13</v>
      </c>
      <c r="M36" s="9">
        <v>4</v>
      </c>
      <c r="N36" s="9">
        <v>4</v>
      </c>
      <c r="O36" s="9">
        <v>71</v>
      </c>
      <c r="P36" s="9">
        <v>7</v>
      </c>
      <c r="Q36" s="9">
        <v>6</v>
      </c>
      <c r="R36" s="11"/>
    </row>
    <row r="37" spans="1:18" s="7" customFormat="1" ht="15" customHeight="1" x14ac:dyDescent="0.2">
      <c r="A37" s="8" t="s">
        <v>49</v>
      </c>
      <c r="B37" s="9">
        <f t="shared" si="3"/>
        <v>87</v>
      </c>
      <c r="C37" s="9">
        <v>2</v>
      </c>
      <c r="D37" s="9">
        <v>4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5</v>
      </c>
      <c r="L37" s="9">
        <v>12</v>
      </c>
      <c r="M37" s="9">
        <v>3</v>
      </c>
      <c r="N37" s="9">
        <v>2</v>
      </c>
      <c r="O37" s="9">
        <v>39</v>
      </c>
      <c r="P37" s="9">
        <v>6</v>
      </c>
      <c r="Q37" s="9">
        <v>2</v>
      </c>
      <c r="R37" s="11"/>
    </row>
    <row r="38" spans="1:18" s="7" customFormat="1" ht="15" customHeight="1" x14ac:dyDescent="0.2">
      <c r="A38" s="8" t="s">
        <v>50</v>
      </c>
      <c r="B38" s="9">
        <f t="shared" si="3"/>
        <v>60</v>
      </c>
      <c r="C38" s="9">
        <v>1</v>
      </c>
      <c r="D38" s="9">
        <v>3</v>
      </c>
      <c r="E38" s="9">
        <v>2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15</v>
      </c>
      <c r="M38" s="9">
        <v>1</v>
      </c>
      <c r="N38" s="9">
        <v>1</v>
      </c>
      <c r="O38" s="9">
        <v>28</v>
      </c>
      <c r="P38" s="9">
        <v>2</v>
      </c>
      <c r="Q38" s="9">
        <v>1</v>
      </c>
      <c r="R38" s="11"/>
    </row>
    <row r="39" spans="1:18" s="7" customFormat="1" ht="15" customHeight="1" x14ac:dyDescent="0.2">
      <c r="A39" s="8" t="s">
        <v>47</v>
      </c>
      <c r="B39" s="9">
        <f t="shared" si="3"/>
        <v>57</v>
      </c>
      <c r="C39" s="9">
        <v>1</v>
      </c>
      <c r="D39" s="9">
        <v>0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13</v>
      </c>
      <c r="M39" s="9">
        <v>1</v>
      </c>
      <c r="N39" s="9">
        <v>1</v>
      </c>
      <c r="O39" s="9">
        <v>29</v>
      </c>
      <c r="P39" s="9">
        <v>3</v>
      </c>
      <c r="Q39" s="9">
        <v>2</v>
      </c>
      <c r="R39" s="11"/>
    </row>
    <row r="40" spans="1:18" s="7" customFormat="1" ht="15" customHeight="1" x14ac:dyDescent="0.2">
      <c r="A40" s="8" t="s">
        <v>80</v>
      </c>
      <c r="B40" s="9">
        <f t="shared" si="3"/>
        <v>37</v>
      </c>
      <c r="C40" s="9">
        <v>0</v>
      </c>
      <c r="D40" s="9">
        <v>11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8</v>
      </c>
      <c r="M40" s="9">
        <v>0</v>
      </c>
      <c r="N40" s="9">
        <v>0</v>
      </c>
      <c r="O40" s="9">
        <v>16</v>
      </c>
      <c r="P40" s="9">
        <v>2</v>
      </c>
      <c r="Q40" s="9">
        <v>0</v>
      </c>
    </row>
    <row r="41" spans="1:18" s="7" customFormat="1" ht="15" customHeight="1" x14ac:dyDescent="0.2">
      <c r="A41" s="8" t="s">
        <v>29</v>
      </c>
      <c r="B41" s="9">
        <f t="shared" si="3"/>
        <v>307</v>
      </c>
      <c r="C41" s="9">
        <v>5</v>
      </c>
      <c r="D41" s="9">
        <v>34</v>
      </c>
      <c r="E41" s="9">
        <v>5</v>
      </c>
      <c r="F41" s="9">
        <v>5</v>
      </c>
      <c r="G41" s="9">
        <v>6</v>
      </c>
      <c r="H41" s="9">
        <v>5</v>
      </c>
      <c r="I41" s="9">
        <v>8</v>
      </c>
      <c r="J41" s="9">
        <v>5</v>
      </c>
      <c r="K41" s="9">
        <v>5</v>
      </c>
      <c r="L41" s="9">
        <v>23</v>
      </c>
      <c r="M41" s="9">
        <v>5</v>
      </c>
      <c r="N41" s="9">
        <v>5</v>
      </c>
      <c r="O41" s="9">
        <v>178</v>
      </c>
      <c r="P41" s="9">
        <v>12</v>
      </c>
      <c r="Q41" s="9">
        <v>6</v>
      </c>
    </row>
    <row r="42" spans="1:18" s="7" customFormat="1" ht="15" customHeight="1" x14ac:dyDescent="0.2">
      <c r="A42" s="5" t="s">
        <v>51</v>
      </c>
      <c r="B42" s="6">
        <f t="shared" si="3"/>
        <v>137</v>
      </c>
      <c r="C42" s="6">
        <f>SUM(C43:C47)</f>
        <v>2</v>
      </c>
      <c r="D42" s="6">
        <f t="shared" ref="D42:Q42" si="4">SUM(D43:D47)</f>
        <v>5</v>
      </c>
      <c r="E42" s="6">
        <f t="shared" si="4"/>
        <v>6</v>
      </c>
      <c r="F42" s="6">
        <f t="shared" si="4"/>
        <v>3</v>
      </c>
      <c r="G42" s="6">
        <f t="shared" si="4"/>
        <v>2</v>
      </c>
      <c r="H42" s="6">
        <f t="shared" si="4"/>
        <v>3</v>
      </c>
      <c r="I42" s="6">
        <f t="shared" si="4"/>
        <v>2</v>
      </c>
      <c r="J42" s="6">
        <f t="shared" si="4"/>
        <v>3</v>
      </c>
      <c r="K42" s="6">
        <f t="shared" si="4"/>
        <v>2</v>
      </c>
      <c r="L42" s="6">
        <f t="shared" si="4"/>
        <v>17</v>
      </c>
      <c r="M42" s="6">
        <f t="shared" si="4"/>
        <v>4</v>
      </c>
      <c r="N42" s="6">
        <f t="shared" si="4"/>
        <v>2</v>
      </c>
      <c r="O42" s="6">
        <f t="shared" si="4"/>
        <v>75</v>
      </c>
      <c r="P42" s="6">
        <f t="shared" si="4"/>
        <v>8</v>
      </c>
      <c r="Q42" s="6">
        <f t="shared" si="4"/>
        <v>3</v>
      </c>
    </row>
    <row r="43" spans="1:18" s="7" customFormat="1" ht="15" customHeight="1" x14ac:dyDescent="0.2">
      <c r="A43" s="8" t="s">
        <v>52</v>
      </c>
      <c r="B43" s="9">
        <f>SUM(C43:Q43)</f>
        <v>55</v>
      </c>
      <c r="C43" s="9">
        <v>1</v>
      </c>
      <c r="D43" s="9">
        <v>1</v>
      </c>
      <c r="E43" s="9">
        <v>4</v>
      </c>
      <c r="F43" s="9">
        <v>1</v>
      </c>
      <c r="G43" s="9">
        <v>1</v>
      </c>
      <c r="H43" s="9">
        <v>2</v>
      </c>
      <c r="I43" s="9">
        <v>1</v>
      </c>
      <c r="J43" s="9">
        <v>1</v>
      </c>
      <c r="K43" s="9">
        <v>1</v>
      </c>
      <c r="L43" s="9">
        <v>10</v>
      </c>
      <c r="M43" s="9">
        <v>1</v>
      </c>
      <c r="N43" s="9">
        <v>1</v>
      </c>
      <c r="O43" s="9">
        <v>26</v>
      </c>
      <c r="P43" s="9">
        <v>3</v>
      </c>
      <c r="Q43" s="9">
        <v>1</v>
      </c>
    </row>
    <row r="44" spans="1:18" s="7" customFormat="1" ht="15" customHeight="1" x14ac:dyDescent="0.2">
      <c r="A44" s="8" t="s">
        <v>53</v>
      </c>
      <c r="B44" s="9">
        <f t="shared" ref="B44:B47" si="5">SUM(C44:Q44)</f>
        <v>27</v>
      </c>
      <c r="C44" s="9">
        <v>0</v>
      </c>
      <c r="D44" s="9">
        <v>1</v>
      </c>
      <c r="E44" s="9">
        <v>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4</v>
      </c>
      <c r="M44" s="9">
        <v>0</v>
      </c>
      <c r="N44" s="9">
        <v>0</v>
      </c>
      <c r="O44" s="9">
        <v>19</v>
      </c>
      <c r="P44" s="9">
        <v>2</v>
      </c>
      <c r="Q44" s="9">
        <v>0</v>
      </c>
    </row>
    <row r="45" spans="1:18" s="7" customFormat="1" ht="15" customHeight="1" x14ac:dyDescent="0.2">
      <c r="A45" s="8" t="s">
        <v>72</v>
      </c>
      <c r="B45" s="9">
        <f t="shared" si="5"/>
        <v>15</v>
      </c>
      <c r="C45" s="9">
        <v>1</v>
      </c>
      <c r="D45" s="9">
        <v>0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2</v>
      </c>
      <c r="P45" s="9">
        <v>1</v>
      </c>
      <c r="Q45" s="9">
        <v>1</v>
      </c>
    </row>
    <row r="46" spans="1:18" s="7" customFormat="1" ht="15" customHeight="1" x14ac:dyDescent="0.2">
      <c r="A46" s="8" t="s">
        <v>55</v>
      </c>
      <c r="B46" s="9">
        <f t="shared" si="5"/>
        <v>10</v>
      </c>
      <c r="C46" s="9">
        <v>0</v>
      </c>
      <c r="D46" s="9">
        <v>0</v>
      </c>
      <c r="E46" s="9">
        <v>0</v>
      </c>
      <c r="F46" s="9">
        <v>1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1</v>
      </c>
      <c r="M46" s="9">
        <v>1</v>
      </c>
      <c r="N46" s="9">
        <v>0</v>
      </c>
      <c r="O46" s="9">
        <v>5</v>
      </c>
      <c r="P46" s="9">
        <v>1</v>
      </c>
      <c r="Q46" s="9">
        <v>1</v>
      </c>
    </row>
    <row r="47" spans="1:18" s="7" customFormat="1" ht="15" customHeight="1" x14ac:dyDescent="0.2">
      <c r="A47" s="8" t="s">
        <v>29</v>
      </c>
      <c r="B47" s="9">
        <f t="shared" si="5"/>
        <v>30</v>
      </c>
      <c r="C47" s="9">
        <v>0</v>
      </c>
      <c r="D47" s="9">
        <v>3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1</v>
      </c>
      <c r="K47" s="9">
        <v>0</v>
      </c>
      <c r="L47" s="9">
        <v>1</v>
      </c>
      <c r="M47" s="9">
        <v>1</v>
      </c>
      <c r="N47" s="9">
        <v>0</v>
      </c>
      <c r="O47" s="9">
        <v>23</v>
      </c>
      <c r="P47" s="9">
        <v>1</v>
      </c>
      <c r="Q47" s="9">
        <v>0</v>
      </c>
    </row>
    <row r="48" spans="1:18" s="17" customFormat="1" ht="15" customHeight="1" x14ac:dyDescent="0.2">
      <c r="A48" s="5" t="s">
        <v>57</v>
      </c>
      <c r="B48" s="9">
        <f>SUM(C48:Q48)</f>
        <v>69</v>
      </c>
      <c r="C48" s="6">
        <f>SUM(C49:C52)</f>
        <v>0</v>
      </c>
      <c r="D48" s="6">
        <f t="shared" ref="D48:Q48" si="6">SUM(D49:D52)</f>
        <v>16</v>
      </c>
      <c r="E48" s="6">
        <f t="shared" si="6"/>
        <v>0</v>
      </c>
      <c r="F48" s="6">
        <f t="shared" si="6"/>
        <v>0</v>
      </c>
      <c r="G48" s="6">
        <f t="shared" si="6"/>
        <v>0</v>
      </c>
      <c r="H48" s="6">
        <f t="shared" si="6"/>
        <v>0</v>
      </c>
      <c r="I48" s="6">
        <f t="shared" si="6"/>
        <v>0</v>
      </c>
      <c r="J48" s="6">
        <f t="shared" si="6"/>
        <v>0</v>
      </c>
      <c r="K48" s="6">
        <f t="shared" si="6"/>
        <v>0</v>
      </c>
      <c r="L48" s="6">
        <f t="shared" si="6"/>
        <v>7</v>
      </c>
      <c r="M48" s="6">
        <f t="shared" si="6"/>
        <v>0</v>
      </c>
      <c r="N48" s="6">
        <f t="shared" si="6"/>
        <v>0</v>
      </c>
      <c r="O48" s="6">
        <f t="shared" si="6"/>
        <v>41</v>
      </c>
      <c r="P48" s="6">
        <f t="shared" si="6"/>
        <v>5</v>
      </c>
      <c r="Q48" s="6">
        <f t="shared" si="6"/>
        <v>0</v>
      </c>
    </row>
    <row r="49" spans="1:19" ht="15" customHeight="1" x14ac:dyDescent="0.2">
      <c r="A49" s="12" t="s">
        <v>58</v>
      </c>
      <c r="B49" s="9">
        <f>SUM(C49:Q49)</f>
        <v>52</v>
      </c>
      <c r="C49" s="10">
        <v>0</v>
      </c>
      <c r="D49" s="10">
        <v>8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5</v>
      </c>
      <c r="M49" s="10">
        <v>0</v>
      </c>
      <c r="N49" s="10">
        <v>0</v>
      </c>
      <c r="O49" s="10">
        <v>34</v>
      </c>
      <c r="P49" s="10">
        <v>5</v>
      </c>
      <c r="Q49" s="10">
        <v>0</v>
      </c>
    </row>
    <row r="50" spans="1:19" ht="15" customHeight="1" x14ac:dyDescent="0.2">
      <c r="A50" s="12" t="s">
        <v>62</v>
      </c>
      <c r="B50" s="9">
        <f t="shared" ref="B50:B52" si="7">SUM(C50:Q50)</f>
        <v>5</v>
      </c>
      <c r="C50" s="10">
        <v>0</v>
      </c>
      <c r="D50" s="10">
        <v>5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</row>
    <row r="51" spans="1:19" ht="15" customHeight="1" x14ac:dyDescent="0.2">
      <c r="A51" s="12" t="s">
        <v>59</v>
      </c>
      <c r="B51" s="9">
        <f t="shared" si="7"/>
        <v>11</v>
      </c>
      <c r="C51" s="10">
        <v>0</v>
      </c>
      <c r="D51" s="10">
        <v>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2</v>
      </c>
      <c r="M51" s="10">
        <v>0</v>
      </c>
      <c r="N51" s="10">
        <v>0</v>
      </c>
      <c r="O51" s="10">
        <v>6</v>
      </c>
      <c r="P51" s="10">
        <v>0</v>
      </c>
      <c r="Q51" s="10">
        <v>0</v>
      </c>
    </row>
    <row r="52" spans="1:19" ht="15" customHeight="1" x14ac:dyDescent="0.2">
      <c r="A52" s="15" t="s">
        <v>81</v>
      </c>
      <c r="B52" s="18">
        <f t="shared" si="7"/>
        <v>1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1</v>
      </c>
      <c r="P52" s="19">
        <v>0</v>
      </c>
      <c r="Q52" s="19">
        <v>0</v>
      </c>
    </row>
    <row r="53" spans="1:19" x14ac:dyDescent="0.2">
      <c r="A53" s="24" t="s">
        <v>63</v>
      </c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9" s="23" customFormat="1" x14ac:dyDescent="0.2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9" s="23" customFormat="1" x14ac:dyDescent="0.2">
      <c r="A55" s="20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7" spans="1:19" ht="15.75" customHeight="1" x14ac:dyDescent="0.2">
      <c r="A57" s="36" t="s">
        <v>65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26"/>
      <c r="S57" s="26"/>
    </row>
    <row r="58" spans="1:19" ht="15" x14ac:dyDescent="0.2">
      <c r="A58" s="35" t="s">
        <v>64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60" spans="1:19" s="4" customFormat="1" ht="81.75" customHeight="1" x14ac:dyDescent="0.25">
      <c r="A60" s="3" t="s">
        <v>1</v>
      </c>
      <c r="B60" s="38" t="s">
        <v>0</v>
      </c>
      <c r="C60" s="38" t="s">
        <v>2</v>
      </c>
      <c r="D60" s="38" t="s">
        <v>3</v>
      </c>
      <c r="E60" s="38" t="s">
        <v>4</v>
      </c>
      <c r="F60" s="38" t="s">
        <v>5</v>
      </c>
      <c r="G60" s="38" t="s">
        <v>6</v>
      </c>
      <c r="H60" s="38" t="s">
        <v>7</v>
      </c>
      <c r="I60" s="38" t="s">
        <v>8</v>
      </c>
      <c r="J60" s="38" t="s">
        <v>9</v>
      </c>
      <c r="K60" s="38" t="s">
        <v>10</v>
      </c>
      <c r="L60" s="38" t="s">
        <v>11</v>
      </c>
      <c r="M60" s="38" t="s">
        <v>12</v>
      </c>
      <c r="N60" s="38" t="s">
        <v>13</v>
      </c>
      <c r="O60" s="38" t="s">
        <v>14</v>
      </c>
      <c r="P60" s="38" t="s">
        <v>15</v>
      </c>
      <c r="Q60" s="37" t="s">
        <v>16</v>
      </c>
    </row>
    <row r="61" spans="1:19" s="7" customFormat="1" ht="15" customHeight="1" x14ac:dyDescent="0.2">
      <c r="A61" s="5" t="s">
        <v>17</v>
      </c>
      <c r="B61" s="6">
        <f>B62+B74+B83+B95+B100</f>
        <v>58527</v>
      </c>
      <c r="C61" s="6">
        <f t="shared" ref="C61:Q61" si="8">C62+C74+C83+C95+C100</f>
        <v>1664</v>
      </c>
      <c r="D61" s="6">
        <f t="shared" si="8"/>
        <v>21224</v>
      </c>
      <c r="E61" s="6">
        <f t="shared" si="8"/>
        <v>1304</v>
      </c>
      <c r="F61" s="6">
        <f t="shared" si="8"/>
        <v>2026</v>
      </c>
      <c r="G61" s="6">
        <f t="shared" si="8"/>
        <v>1172</v>
      </c>
      <c r="H61" s="6">
        <f t="shared" si="8"/>
        <v>1339</v>
      </c>
      <c r="I61" s="6">
        <f t="shared" si="8"/>
        <v>1569</v>
      </c>
      <c r="J61" s="6">
        <f t="shared" si="8"/>
        <v>4726</v>
      </c>
      <c r="K61" s="6">
        <f t="shared" si="8"/>
        <v>4432</v>
      </c>
      <c r="L61" s="6">
        <f t="shared" si="8"/>
        <v>2735</v>
      </c>
      <c r="M61" s="6">
        <f t="shared" si="8"/>
        <v>1870</v>
      </c>
      <c r="N61" s="6">
        <f t="shared" si="8"/>
        <v>1244</v>
      </c>
      <c r="O61" s="6">
        <f t="shared" si="8"/>
        <v>7224</v>
      </c>
      <c r="P61" s="6">
        <f t="shared" si="8"/>
        <v>2021</v>
      </c>
      <c r="Q61" s="6">
        <f t="shared" si="8"/>
        <v>3977</v>
      </c>
    </row>
    <row r="62" spans="1:19" s="7" customFormat="1" ht="15" customHeight="1" x14ac:dyDescent="0.2">
      <c r="A62" s="5" t="s">
        <v>18</v>
      </c>
      <c r="B62" s="6">
        <f>SUM(B63:B73)</f>
        <v>56401</v>
      </c>
      <c r="C62" s="6">
        <f t="shared" ref="C62:Q62" si="9">SUM(C63:C73)</f>
        <v>1620</v>
      </c>
      <c r="D62" s="6">
        <f t="shared" si="9"/>
        <v>21140</v>
      </c>
      <c r="E62" s="6">
        <f t="shared" si="9"/>
        <v>1241</v>
      </c>
      <c r="F62" s="6">
        <f t="shared" si="9"/>
        <v>1981</v>
      </c>
      <c r="G62" s="6">
        <f t="shared" si="9"/>
        <v>1128</v>
      </c>
      <c r="H62" s="6">
        <f t="shared" si="9"/>
        <v>1294</v>
      </c>
      <c r="I62" s="6">
        <f t="shared" si="9"/>
        <v>1521</v>
      </c>
      <c r="J62" s="6">
        <f t="shared" si="9"/>
        <v>4673</v>
      </c>
      <c r="K62" s="6">
        <f t="shared" si="9"/>
        <v>4384</v>
      </c>
      <c r="L62" s="6">
        <f t="shared" si="9"/>
        <v>2482</v>
      </c>
      <c r="M62" s="6">
        <f t="shared" si="9"/>
        <v>1817</v>
      </c>
      <c r="N62" s="6">
        <f t="shared" si="9"/>
        <v>1200</v>
      </c>
      <c r="O62" s="6">
        <f t="shared" si="9"/>
        <v>6086</v>
      </c>
      <c r="P62" s="6">
        <f t="shared" si="9"/>
        <v>1920</v>
      </c>
      <c r="Q62" s="6">
        <f t="shared" si="9"/>
        <v>3914</v>
      </c>
    </row>
    <row r="63" spans="1:19" s="11" customFormat="1" ht="15" customHeight="1" x14ac:dyDescent="0.2">
      <c r="A63" s="8" t="s">
        <v>19</v>
      </c>
      <c r="B63" s="9">
        <v>34100</v>
      </c>
      <c r="C63" s="10">
        <v>893</v>
      </c>
      <c r="D63" s="10">
        <v>16830</v>
      </c>
      <c r="E63" s="10">
        <v>509</v>
      </c>
      <c r="F63" s="10">
        <v>1017</v>
      </c>
      <c r="G63" s="10">
        <v>466</v>
      </c>
      <c r="H63" s="10">
        <v>496</v>
      </c>
      <c r="I63" s="10">
        <v>618</v>
      </c>
      <c r="J63" s="10">
        <v>3093</v>
      </c>
      <c r="K63" s="10">
        <v>2963</v>
      </c>
      <c r="L63" s="10">
        <v>1294</v>
      </c>
      <c r="M63" s="10">
        <v>813</v>
      </c>
      <c r="N63" s="10">
        <v>533</v>
      </c>
      <c r="O63" s="10">
        <v>1475</v>
      </c>
      <c r="P63" s="10">
        <v>888</v>
      </c>
      <c r="Q63" s="10">
        <v>2212</v>
      </c>
    </row>
    <row r="64" spans="1:19" s="11" customFormat="1" ht="15" customHeight="1" x14ac:dyDescent="0.2">
      <c r="A64" s="12" t="s">
        <v>20</v>
      </c>
      <c r="B64" s="9">
        <v>9492</v>
      </c>
      <c r="C64" s="10">
        <v>312</v>
      </c>
      <c r="D64" s="10">
        <v>2136</v>
      </c>
      <c r="E64" s="10">
        <v>357</v>
      </c>
      <c r="F64" s="10">
        <v>437</v>
      </c>
      <c r="G64" s="10">
        <v>282</v>
      </c>
      <c r="H64" s="10">
        <v>282</v>
      </c>
      <c r="I64" s="10">
        <v>524</v>
      </c>
      <c r="J64" s="10">
        <v>713</v>
      </c>
      <c r="K64" s="10">
        <v>645</v>
      </c>
      <c r="L64" s="10">
        <v>401</v>
      </c>
      <c r="M64" s="10">
        <v>418</v>
      </c>
      <c r="N64" s="10">
        <v>323</v>
      </c>
      <c r="O64" s="10">
        <v>1405</v>
      </c>
      <c r="P64" s="10">
        <v>435</v>
      </c>
      <c r="Q64" s="10">
        <v>822</v>
      </c>
    </row>
    <row r="65" spans="1:17" s="13" customFormat="1" ht="15" customHeight="1" x14ac:dyDescent="0.2">
      <c r="A65" s="12" t="s">
        <v>21</v>
      </c>
      <c r="B65" s="9">
        <v>7500</v>
      </c>
      <c r="C65" s="10">
        <v>270</v>
      </c>
      <c r="D65" s="10">
        <v>1540</v>
      </c>
      <c r="E65" s="10">
        <v>228</v>
      </c>
      <c r="F65" s="10">
        <v>377</v>
      </c>
      <c r="G65" s="10">
        <v>250</v>
      </c>
      <c r="H65" s="10">
        <v>230</v>
      </c>
      <c r="I65" s="10">
        <v>223</v>
      </c>
      <c r="J65" s="10">
        <v>526</v>
      </c>
      <c r="K65" s="10">
        <v>513</v>
      </c>
      <c r="L65" s="10">
        <v>377</v>
      </c>
      <c r="M65" s="10">
        <v>406</v>
      </c>
      <c r="N65" s="10">
        <v>209</v>
      </c>
      <c r="O65" s="10">
        <v>1370</v>
      </c>
      <c r="P65" s="10">
        <v>379</v>
      </c>
      <c r="Q65" s="10">
        <v>602</v>
      </c>
    </row>
    <row r="66" spans="1:17" s="11" customFormat="1" ht="15" customHeight="1" x14ac:dyDescent="0.2">
      <c r="A66" s="12" t="s">
        <v>23</v>
      </c>
      <c r="B66" s="9">
        <v>1317</v>
      </c>
      <c r="C66" s="10">
        <v>46</v>
      </c>
      <c r="D66" s="10">
        <v>98</v>
      </c>
      <c r="E66" s="10">
        <v>44</v>
      </c>
      <c r="F66" s="10">
        <v>38</v>
      </c>
      <c r="G66" s="10">
        <v>36</v>
      </c>
      <c r="H66" s="10">
        <v>89</v>
      </c>
      <c r="I66" s="10">
        <v>38</v>
      </c>
      <c r="J66" s="10">
        <v>113</v>
      </c>
      <c r="K66" s="10">
        <v>76</v>
      </c>
      <c r="L66" s="10">
        <v>64</v>
      </c>
      <c r="M66" s="10">
        <v>37</v>
      </c>
      <c r="N66" s="10">
        <v>36</v>
      </c>
      <c r="O66" s="10">
        <v>443</v>
      </c>
      <c r="P66" s="10">
        <v>57</v>
      </c>
      <c r="Q66" s="10">
        <v>102</v>
      </c>
    </row>
    <row r="67" spans="1:17" s="11" customFormat="1" ht="15" customHeight="1" x14ac:dyDescent="0.2">
      <c r="A67" s="12" t="s">
        <v>22</v>
      </c>
      <c r="B67" s="9">
        <v>1170</v>
      </c>
      <c r="C67" s="10">
        <v>44</v>
      </c>
      <c r="D67" s="10">
        <v>78</v>
      </c>
      <c r="E67" s="10">
        <v>39</v>
      </c>
      <c r="F67" s="10">
        <v>51</v>
      </c>
      <c r="G67" s="10">
        <v>39</v>
      </c>
      <c r="H67" s="10">
        <v>38</v>
      </c>
      <c r="I67" s="10">
        <v>53</v>
      </c>
      <c r="J67" s="10">
        <v>136</v>
      </c>
      <c r="K67" s="10">
        <v>100</v>
      </c>
      <c r="L67" s="10">
        <v>67</v>
      </c>
      <c r="M67" s="10">
        <v>83</v>
      </c>
      <c r="N67" s="10">
        <v>42</v>
      </c>
      <c r="O67" s="10">
        <v>268</v>
      </c>
      <c r="P67" s="10">
        <v>45</v>
      </c>
      <c r="Q67" s="10">
        <v>87</v>
      </c>
    </row>
    <row r="68" spans="1:17" s="11" customFormat="1" ht="15" customHeight="1" x14ac:dyDescent="0.2">
      <c r="A68" s="12" t="s">
        <v>25</v>
      </c>
      <c r="B68" s="9">
        <v>787</v>
      </c>
      <c r="C68" s="10">
        <v>20</v>
      </c>
      <c r="D68" s="10">
        <v>105</v>
      </c>
      <c r="E68" s="10">
        <v>21</v>
      </c>
      <c r="F68" s="10">
        <v>21</v>
      </c>
      <c r="G68" s="10">
        <v>20</v>
      </c>
      <c r="H68" s="10">
        <v>28</v>
      </c>
      <c r="I68" s="10">
        <v>20</v>
      </c>
      <c r="J68" s="10">
        <v>40</v>
      </c>
      <c r="K68" s="10">
        <v>21</v>
      </c>
      <c r="L68" s="10">
        <v>78</v>
      </c>
      <c r="M68" s="10">
        <v>20</v>
      </c>
      <c r="N68" s="10">
        <v>22</v>
      </c>
      <c r="O68" s="10">
        <v>307</v>
      </c>
      <c r="P68" s="10">
        <v>37</v>
      </c>
      <c r="Q68" s="10">
        <v>27</v>
      </c>
    </row>
    <row r="69" spans="1:17" s="11" customFormat="1" ht="15" customHeight="1" x14ac:dyDescent="0.2">
      <c r="A69" s="12" t="s">
        <v>24</v>
      </c>
      <c r="B69" s="9">
        <v>744</v>
      </c>
      <c r="C69" s="10">
        <v>6</v>
      </c>
      <c r="D69" s="10">
        <v>134</v>
      </c>
      <c r="E69" s="10">
        <v>7</v>
      </c>
      <c r="F69" s="10">
        <v>8</v>
      </c>
      <c r="G69" s="10">
        <v>6</v>
      </c>
      <c r="H69" s="10">
        <v>93</v>
      </c>
      <c r="I69" s="10">
        <v>7</v>
      </c>
      <c r="J69" s="10">
        <v>9</v>
      </c>
      <c r="K69" s="10">
        <v>23</v>
      </c>
      <c r="L69" s="10">
        <v>92</v>
      </c>
      <c r="M69" s="10">
        <v>8</v>
      </c>
      <c r="N69" s="10">
        <v>6</v>
      </c>
      <c r="O69" s="10">
        <v>328</v>
      </c>
      <c r="P69" s="10">
        <v>6</v>
      </c>
      <c r="Q69" s="10">
        <v>11</v>
      </c>
    </row>
    <row r="70" spans="1:17" s="11" customFormat="1" ht="15" customHeight="1" x14ac:dyDescent="0.2">
      <c r="A70" s="12" t="s">
        <v>26</v>
      </c>
      <c r="B70" s="9">
        <v>264</v>
      </c>
      <c r="C70" s="10">
        <v>1</v>
      </c>
      <c r="D70" s="10">
        <v>37</v>
      </c>
      <c r="E70" s="10">
        <v>1</v>
      </c>
      <c r="F70" s="10">
        <v>2</v>
      </c>
      <c r="G70" s="10">
        <v>1</v>
      </c>
      <c r="H70" s="10">
        <v>1</v>
      </c>
      <c r="I70" s="10">
        <v>4</v>
      </c>
      <c r="J70" s="10">
        <v>9</v>
      </c>
      <c r="K70" s="10">
        <v>2</v>
      </c>
      <c r="L70" s="10">
        <v>45</v>
      </c>
      <c r="M70" s="10">
        <v>2</v>
      </c>
      <c r="N70" s="10">
        <v>1</v>
      </c>
      <c r="O70" s="10">
        <v>148</v>
      </c>
      <c r="P70" s="10">
        <v>5</v>
      </c>
      <c r="Q70" s="10">
        <v>5</v>
      </c>
    </row>
    <row r="71" spans="1:17" s="11" customFormat="1" ht="15" customHeight="1" x14ac:dyDescent="0.2">
      <c r="A71" s="12" t="s">
        <v>27</v>
      </c>
      <c r="B71" s="9">
        <v>220</v>
      </c>
      <c r="C71" s="10">
        <v>2</v>
      </c>
      <c r="D71" s="10">
        <v>63</v>
      </c>
      <c r="E71" s="10">
        <v>2</v>
      </c>
      <c r="F71" s="10">
        <v>3</v>
      </c>
      <c r="G71" s="10">
        <v>2</v>
      </c>
      <c r="H71" s="10">
        <v>3</v>
      </c>
      <c r="I71" s="10">
        <v>2</v>
      </c>
      <c r="J71" s="10">
        <v>3</v>
      </c>
      <c r="K71" s="10">
        <v>2</v>
      </c>
      <c r="L71" s="10">
        <v>10</v>
      </c>
      <c r="M71" s="10">
        <v>3</v>
      </c>
      <c r="N71" s="10">
        <v>2</v>
      </c>
      <c r="O71" s="10">
        <v>80</v>
      </c>
      <c r="P71" s="10">
        <v>31</v>
      </c>
      <c r="Q71" s="10">
        <v>12</v>
      </c>
    </row>
    <row r="72" spans="1:17" s="11" customFormat="1" ht="15" customHeight="1" x14ac:dyDescent="0.2">
      <c r="A72" s="12" t="s">
        <v>28</v>
      </c>
      <c r="B72" s="9">
        <v>182</v>
      </c>
      <c r="C72" s="10">
        <v>10</v>
      </c>
      <c r="D72" s="10">
        <v>6</v>
      </c>
      <c r="E72" s="10">
        <v>14</v>
      </c>
      <c r="F72" s="10">
        <v>10</v>
      </c>
      <c r="G72" s="10">
        <v>10</v>
      </c>
      <c r="H72" s="10">
        <v>10</v>
      </c>
      <c r="I72" s="10">
        <v>15</v>
      </c>
      <c r="J72" s="10">
        <v>12</v>
      </c>
      <c r="K72" s="10">
        <v>14</v>
      </c>
      <c r="L72" s="10">
        <v>11</v>
      </c>
      <c r="M72" s="10">
        <v>10</v>
      </c>
      <c r="N72" s="10">
        <v>10</v>
      </c>
      <c r="O72" s="10">
        <v>27</v>
      </c>
      <c r="P72" s="10">
        <v>10</v>
      </c>
      <c r="Q72" s="10">
        <v>13</v>
      </c>
    </row>
    <row r="73" spans="1:17" s="11" customFormat="1" ht="15" customHeight="1" x14ac:dyDescent="0.2">
      <c r="A73" s="12" t="s">
        <v>29</v>
      </c>
      <c r="B73" s="9">
        <v>625</v>
      </c>
      <c r="C73" s="10">
        <v>16</v>
      </c>
      <c r="D73" s="10">
        <v>113</v>
      </c>
      <c r="E73" s="10">
        <v>19</v>
      </c>
      <c r="F73" s="10">
        <v>17</v>
      </c>
      <c r="G73" s="10">
        <v>16</v>
      </c>
      <c r="H73" s="10">
        <v>24</v>
      </c>
      <c r="I73" s="10">
        <v>17</v>
      </c>
      <c r="J73" s="10">
        <v>19</v>
      </c>
      <c r="K73" s="10">
        <v>25</v>
      </c>
      <c r="L73" s="10">
        <v>43</v>
      </c>
      <c r="M73" s="10">
        <v>17</v>
      </c>
      <c r="N73" s="10">
        <v>16</v>
      </c>
      <c r="O73" s="10">
        <v>235</v>
      </c>
      <c r="P73" s="10">
        <v>27</v>
      </c>
      <c r="Q73" s="10">
        <v>21</v>
      </c>
    </row>
    <row r="74" spans="1:17" s="7" customFormat="1" ht="15" customHeight="1" x14ac:dyDescent="0.2">
      <c r="A74" s="5" t="s">
        <v>30</v>
      </c>
      <c r="B74" s="6">
        <f>SUM(B75:B82)</f>
        <v>239</v>
      </c>
      <c r="C74" s="6">
        <f t="shared" ref="C74:Q74" si="10">SUM(C75:C82)</f>
        <v>4</v>
      </c>
      <c r="D74" s="6">
        <f t="shared" si="10"/>
        <v>13</v>
      </c>
      <c r="E74" s="6">
        <f t="shared" si="10"/>
        <v>6</v>
      </c>
      <c r="F74" s="6">
        <f t="shared" si="10"/>
        <v>5</v>
      </c>
      <c r="G74" s="6">
        <f t="shared" si="10"/>
        <v>4</v>
      </c>
      <c r="H74" s="6">
        <f t="shared" si="10"/>
        <v>4</v>
      </c>
      <c r="I74" s="6">
        <f t="shared" si="10"/>
        <v>5</v>
      </c>
      <c r="J74" s="6">
        <f t="shared" si="10"/>
        <v>5</v>
      </c>
      <c r="K74" s="6">
        <f t="shared" si="10"/>
        <v>7</v>
      </c>
      <c r="L74" s="6">
        <f t="shared" si="10"/>
        <v>13</v>
      </c>
      <c r="M74" s="6">
        <f t="shared" si="10"/>
        <v>6</v>
      </c>
      <c r="N74" s="6">
        <f t="shared" si="10"/>
        <v>4</v>
      </c>
      <c r="O74" s="6">
        <f t="shared" si="10"/>
        <v>147</v>
      </c>
      <c r="P74" s="6">
        <f t="shared" si="10"/>
        <v>10</v>
      </c>
      <c r="Q74" s="6">
        <f t="shared" si="10"/>
        <v>6</v>
      </c>
    </row>
    <row r="75" spans="1:17" s="11" customFormat="1" ht="15" customHeight="1" x14ac:dyDescent="0.2">
      <c r="A75" s="12" t="s">
        <v>31</v>
      </c>
      <c r="B75" s="9">
        <v>65</v>
      </c>
      <c r="C75" s="10">
        <v>1</v>
      </c>
      <c r="D75" s="10">
        <v>1</v>
      </c>
      <c r="E75" s="10">
        <v>1</v>
      </c>
      <c r="F75" s="10">
        <v>1</v>
      </c>
      <c r="G75" s="10">
        <v>1</v>
      </c>
      <c r="H75" s="10">
        <v>1</v>
      </c>
      <c r="I75" s="10">
        <v>1</v>
      </c>
      <c r="J75" s="10">
        <v>1</v>
      </c>
      <c r="K75" s="10">
        <v>3</v>
      </c>
      <c r="L75" s="10">
        <v>2</v>
      </c>
      <c r="M75" s="10">
        <v>1</v>
      </c>
      <c r="N75" s="10">
        <v>1</v>
      </c>
      <c r="O75" s="10">
        <v>48</v>
      </c>
      <c r="P75" s="10">
        <v>1</v>
      </c>
      <c r="Q75" s="10">
        <v>1</v>
      </c>
    </row>
    <row r="76" spans="1:17" s="11" customFormat="1" ht="15" customHeight="1" x14ac:dyDescent="0.2">
      <c r="A76" s="12" t="s">
        <v>32</v>
      </c>
      <c r="B76" s="9">
        <v>49</v>
      </c>
      <c r="C76" s="10">
        <v>1</v>
      </c>
      <c r="D76" s="10">
        <v>5</v>
      </c>
      <c r="E76" s="10">
        <v>2</v>
      </c>
      <c r="F76" s="10">
        <v>2</v>
      </c>
      <c r="G76" s="10">
        <v>1</v>
      </c>
      <c r="H76" s="10">
        <v>1</v>
      </c>
      <c r="I76" s="10">
        <v>1</v>
      </c>
      <c r="J76" s="10">
        <v>2</v>
      </c>
      <c r="K76" s="10">
        <v>1</v>
      </c>
      <c r="L76" s="10">
        <v>5</v>
      </c>
      <c r="M76" s="10">
        <v>2</v>
      </c>
      <c r="N76" s="10">
        <v>1</v>
      </c>
      <c r="O76" s="10">
        <v>17</v>
      </c>
      <c r="P76" s="10">
        <v>5</v>
      </c>
      <c r="Q76" s="10">
        <v>3</v>
      </c>
    </row>
    <row r="77" spans="1:17" s="11" customFormat="1" ht="15" customHeight="1" x14ac:dyDescent="0.2">
      <c r="A77" s="12" t="s">
        <v>33</v>
      </c>
      <c r="B77" s="9">
        <v>31</v>
      </c>
      <c r="C77" s="10">
        <v>0</v>
      </c>
      <c r="D77" s="10">
        <v>1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  <c r="J77" s="10">
        <v>0</v>
      </c>
      <c r="K77" s="10">
        <v>0</v>
      </c>
      <c r="L77" s="10">
        <v>1</v>
      </c>
      <c r="M77" s="10">
        <v>0</v>
      </c>
      <c r="N77" s="10">
        <v>0</v>
      </c>
      <c r="O77" s="10">
        <v>26</v>
      </c>
      <c r="P77" s="10">
        <v>1</v>
      </c>
      <c r="Q77" s="10">
        <v>0</v>
      </c>
    </row>
    <row r="78" spans="1:17" s="11" customFormat="1" ht="15" customHeight="1" x14ac:dyDescent="0.2">
      <c r="A78" s="12" t="s">
        <v>36</v>
      </c>
      <c r="B78" s="9">
        <v>28</v>
      </c>
      <c r="C78" s="10">
        <v>1</v>
      </c>
      <c r="D78" s="10">
        <v>1</v>
      </c>
      <c r="E78" s="10">
        <v>1</v>
      </c>
      <c r="F78" s="10">
        <v>1</v>
      </c>
      <c r="G78" s="10">
        <v>1</v>
      </c>
      <c r="H78" s="10">
        <v>1</v>
      </c>
      <c r="I78" s="10">
        <v>1</v>
      </c>
      <c r="J78" s="10">
        <v>1</v>
      </c>
      <c r="K78" s="10">
        <v>1</v>
      </c>
      <c r="L78" s="10">
        <v>1</v>
      </c>
      <c r="M78" s="10">
        <v>1</v>
      </c>
      <c r="N78" s="10">
        <v>1</v>
      </c>
      <c r="O78" s="10">
        <v>14</v>
      </c>
      <c r="P78" s="10">
        <v>1</v>
      </c>
      <c r="Q78" s="10">
        <v>1</v>
      </c>
    </row>
    <row r="79" spans="1:17" s="11" customFormat="1" ht="15" customHeight="1" x14ac:dyDescent="0.2">
      <c r="A79" s="12" t="s">
        <v>60</v>
      </c>
      <c r="B79" s="9">
        <v>17</v>
      </c>
      <c r="C79" s="10">
        <v>1</v>
      </c>
      <c r="D79" s="10">
        <v>0</v>
      </c>
      <c r="E79" s="10">
        <v>1</v>
      </c>
      <c r="F79" s="10">
        <v>1</v>
      </c>
      <c r="G79" s="10">
        <v>1</v>
      </c>
      <c r="H79" s="10">
        <v>1</v>
      </c>
      <c r="I79" s="10">
        <v>1</v>
      </c>
      <c r="J79" s="10">
        <v>1</v>
      </c>
      <c r="K79" s="10">
        <v>1</v>
      </c>
      <c r="L79" s="10">
        <v>3</v>
      </c>
      <c r="M79" s="10">
        <v>1</v>
      </c>
      <c r="N79" s="10">
        <v>1</v>
      </c>
      <c r="O79" s="10">
        <v>2</v>
      </c>
      <c r="P79" s="10">
        <v>1</v>
      </c>
      <c r="Q79" s="10">
        <v>1</v>
      </c>
    </row>
    <row r="80" spans="1:17" s="11" customFormat="1" ht="15" customHeight="1" x14ac:dyDescent="0.2">
      <c r="A80" s="12" t="s">
        <v>37</v>
      </c>
      <c r="B80" s="9">
        <v>15</v>
      </c>
      <c r="C80" s="10">
        <v>0</v>
      </c>
      <c r="D80" s="10">
        <v>1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1</v>
      </c>
      <c r="N80" s="10">
        <v>0</v>
      </c>
      <c r="O80" s="10">
        <v>13</v>
      </c>
      <c r="P80" s="10">
        <v>0</v>
      </c>
      <c r="Q80" s="10">
        <v>0</v>
      </c>
    </row>
    <row r="81" spans="1:17" s="11" customFormat="1" ht="15" customHeight="1" x14ac:dyDescent="0.2">
      <c r="A81" s="12" t="s">
        <v>39</v>
      </c>
      <c r="B81" s="9">
        <v>11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11</v>
      </c>
      <c r="P81" s="10">
        <v>0</v>
      </c>
      <c r="Q81" s="10">
        <v>0</v>
      </c>
    </row>
    <row r="82" spans="1:17" s="11" customFormat="1" ht="15" customHeight="1" x14ac:dyDescent="0.2">
      <c r="A82" s="12" t="s">
        <v>29</v>
      </c>
      <c r="B82" s="9">
        <v>23</v>
      </c>
      <c r="C82" s="10">
        <v>0</v>
      </c>
      <c r="D82" s="10">
        <v>4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1</v>
      </c>
      <c r="L82" s="10">
        <v>1</v>
      </c>
      <c r="M82" s="10">
        <v>0</v>
      </c>
      <c r="N82" s="10">
        <v>0</v>
      </c>
      <c r="O82" s="10">
        <v>16</v>
      </c>
      <c r="P82" s="10">
        <v>1</v>
      </c>
      <c r="Q82" s="10">
        <v>0</v>
      </c>
    </row>
    <row r="83" spans="1:17" s="7" customFormat="1" ht="15" customHeight="1" x14ac:dyDescent="0.2">
      <c r="A83" s="5" t="s">
        <v>40</v>
      </c>
      <c r="B83" s="6">
        <f>SUM(B84:B94)</f>
        <v>1627</v>
      </c>
      <c r="C83" s="6">
        <f t="shared" ref="C83:Q83" si="11">SUM(C84:C94)</f>
        <v>33</v>
      </c>
      <c r="D83" s="6">
        <f t="shared" si="11"/>
        <v>60</v>
      </c>
      <c r="E83" s="6">
        <f t="shared" si="11"/>
        <v>43</v>
      </c>
      <c r="F83" s="6">
        <f t="shared" si="11"/>
        <v>33</v>
      </c>
      <c r="G83" s="6">
        <f t="shared" si="11"/>
        <v>33</v>
      </c>
      <c r="H83" s="6">
        <f t="shared" si="11"/>
        <v>33</v>
      </c>
      <c r="I83" s="6">
        <f t="shared" si="11"/>
        <v>36</v>
      </c>
      <c r="J83" s="6">
        <f t="shared" si="11"/>
        <v>41</v>
      </c>
      <c r="K83" s="6">
        <f t="shared" si="11"/>
        <v>34</v>
      </c>
      <c r="L83" s="6">
        <f t="shared" si="11"/>
        <v>217</v>
      </c>
      <c r="M83" s="6">
        <f t="shared" si="11"/>
        <v>39</v>
      </c>
      <c r="N83" s="6">
        <f t="shared" si="11"/>
        <v>33</v>
      </c>
      <c r="O83" s="6">
        <f t="shared" si="11"/>
        <v>878</v>
      </c>
      <c r="P83" s="6">
        <f t="shared" si="11"/>
        <v>65</v>
      </c>
      <c r="Q83" s="6">
        <f t="shared" si="11"/>
        <v>49</v>
      </c>
    </row>
    <row r="84" spans="1:17" s="11" customFormat="1" ht="15" customHeight="1" x14ac:dyDescent="0.2">
      <c r="A84" s="12" t="s">
        <v>41</v>
      </c>
      <c r="B84" s="9">
        <v>374</v>
      </c>
      <c r="C84" s="10">
        <v>7</v>
      </c>
      <c r="D84" s="10">
        <v>2</v>
      </c>
      <c r="E84" s="10">
        <v>8</v>
      </c>
      <c r="F84" s="10">
        <v>7</v>
      </c>
      <c r="G84" s="10">
        <v>7</v>
      </c>
      <c r="H84" s="10">
        <v>7</v>
      </c>
      <c r="I84" s="10">
        <v>7</v>
      </c>
      <c r="J84" s="10">
        <v>9</v>
      </c>
      <c r="K84" s="10">
        <v>7</v>
      </c>
      <c r="L84" s="10">
        <v>43</v>
      </c>
      <c r="M84" s="10">
        <v>7</v>
      </c>
      <c r="N84" s="10">
        <v>7</v>
      </c>
      <c r="O84" s="10">
        <v>231</v>
      </c>
      <c r="P84" s="10">
        <v>12</v>
      </c>
      <c r="Q84" s="10">
        <v>13</v>
      </c>
    </row>
    <row r="85" spans="1:17" s="11" customFormat="1" ht="15" customHeight="1" x14ac:dyDescent="0.2">
      <c r="A85" s="12" t="s">
        <v>42</v>
      </c>
      <c r="B85" s="9">
        <v>193</v>
      </c>
      <c r="C85" s="10">
        <v>3</v>
      </c>
      <c r="D85" s="10">
        <v>1</v>
      </c>
      <c r="E85" s="10">
        <v>3</v>
      </c>
      <c r="F85" s="10">
        <v>3</v>
      </c>
      <c r="G85" s="10">
        <v>3</v>
      </c>
      <c r="H85" s="10">
        <v>3</v>
      </c>
      <c r="I85" s="10">
        <v>3</v>
      </c>
      <c r="J85" s="10">
        <v>3</v>
      </c>
      <c r="K85" s="10">
        <v>3</v>
      </c>
      <c r="L85" s="10">
        <v>43</v>
      </c>
      <c r="M85" s="10">
        <v>3</v>
      </c>
      <c r="N85" s="10">
        <v>3</v>
      </c>
      <c r="O85" s="10">
        <v>109</v>
      </c>
      <c r="P85" s="10">
        <v>7</v>
      </c>
      <c r="Q85" s="10">
        <v>3</v>
      </c>
    </row>
    <row r="86" spans="1:17" s="11" customFormat="1" ht="15" customHeight="1" x14ac:dyDescent="0.2">
      <c r="A86" s="12" t="s">
        <v>45</v>
      </c>
      <c r="B86" s="9">
        <v>157</v>
      </c>
      <c r="C86" s="10">
        <v>4</v>
      </c>
      <c r="D86" s="10">
        <v>0</v>
      </c>
      <c r="E86" s="10">
        <v>7</v>
      </c>
      <c r="F86" s="10">
        <v>4</v>
      </c>
      <c r="G86" s="10">
        <v>4</v>
      </c>
      <c r="H86" s="10">
        <v>4</v>
      </c>
      <c r="I86" s="10">
        <v>4</v>
      </c>
      <c r="J86" s="10">
        <v>4</v>
      </c>
      <c r="K86" s="10">
        <v>4</v>
      </c>
      <c r="L86" s="10">
        <v>24</v>
      </c>
      <c r="M86" s="10">
        <v>4</v>
      </c>
      <c r="N86" s="10">
        <v>4</v>
      </c>
      <c r="O86" s="10">
        <v>81</v>
      </c>
      <c r="P86" s="10">
        <v>5</v>
      </c>
      <c r="Q86" s="10">
        <v>4</v>
      </c>
    </row>
    <row r="87" spans="1:17" s="11" customFormat="1" ht="15" customHeight="1" x14ac:dyDescent="0.2">
      <c r="A87" s="12" t="s">
        <v>43</v>
      </c>
      <c r="B87" s="9">
        <v>146</v>
      </c>
      <c r="C87" s="10">
        <v>3</v>
      </c>
      <c r="D87" s="10">
        <v>2</v>
      </c>
      <c r="E87" s="10">
        <v>8</v>
      </c>
      <c r="F87" s="10">
        <v>3</v>
      </c>
      <c r="G87" s="10">
        <v>3</v>
      </c>
      <c r="H87" s="10">
        <v>3</v>
      </c>
      <c r="I87" s="10">
        <v>3</v>
      </c>
      <c r="J87" s="10">
        <v>4</v>
      </c>
      <c r="K87" s="10">
        <v>4</v>
      </c>
      <c r="L87" s="10">
        <v>14</v>
      </c>
      <c r="M87" s="10">
        <v>6</v>
      </c>
      <c r="N87" s="10">
        <v>3</v>
      </c>
      <c r="O87" s="10">
        <v>77</v>
      </c>
      <c r="P87" s="10">
        <v>10</v>
      </c>
      <c r="Q87" s="10">
        <v>3</v>
      </c>
    </row>
    <row r="88" spans="1:17" s="11" customFormat="1" ht="15" customHeight="1" x14ac:dyDescent="0.2">
      <c r="A88" s="14" t="s">
        <v>46</v>
      </c>
      <c r="B88" s="9">
        <v>116</v>
      </c>
      <c r="C88" s="10">
        <v>2</v>
      </c>
      <c r="D88" s="10">
        <v>2</v>
      </c>
      <c r="E88" s="10">
        <v>2</v>
      </c>
      <c r="F88" s="10">
        <v>2</v>
      </c>
      <c r="G88" s="10">
        <v>2</v>
      </c>
      <c r="H88" s="10">
        <v>2</v>
      </c>
      <c r="I88" s="10">
        <v>3</v>
      </c>
      <c r="J88" s="10">
        <v>3</v>
      </c>
      <c r="K88" s="10">
        <v>2</v>
      </c>
      <c r="L88" s="10">
        <v>11</v>
      </c>
      <c r="M88" s="10">
        <v>2</v>
      </c>
      <c r="N88" s="10">
        <v>2</v>
      </c>
      <c r="O88" s="10">
        <v>76</v>
      </c>
      <c r="P88" s="10">
        <v>2</v>
      </c>
      <c r="Q88" s="10">
        <v>3</v>
      </c>
    </row>
    <row r="89" spans="1:17" s="11" customFormat="1" ht="15" customHeight="1" x14ac:dyDescent="0.2">
      <c r="A89" s="12" t="s">
        <v>48</v>
      </c>
      <c r="B89" s="9">
        <v>88</v>
      </c>
      <c r="C89" s="10">
        <v>0</v>
      </c>
      <c r="D89" s="10">
        <v>12</v>
      </c>
      <c r="E89" s="10">
        <v>0</v>
      </c>
      <c r="F89" s="10">
        <v>0</v>
      </c>
      <c r="G89" s="10">
        <v>0</v>
      </c>
      <c r="H89" s="10">
        <v>0</v>
      </c>
      <c r="I89" s="10">
        <v>2</v>
      </c>
      <c r="J89" s="10">
        <v>2</v>
      </c>
      <c r="K89" s="10">
        <v>0</v>
      </c>
      <c r="L89" s="10">
        <v>8</v>
      </c>
      <c r="M89" s="10">
        <v>0</v>
      </c>
      <c r="N89" s="10">
        <v>0</v>
      </c>
      <c r="O89" s="10">
        <v>63</v>
      </c>
      <c r="P89" s="10">
        <v>0</v>
      </c>
      <c r="Q89" s="10">
        <v>1</v>
      </c>
    </row>
    <row r="90" spans="1:17" s="11" customFormat="1" ht="15" customHeight="1" x14ac:dyDescent="0.2">
      <c r="A90" s="12" t="s">
        <v>49</v>
      </c>
      <c r="B90" s="9">
        <v>70</v>
      </c>
      <c r="C90" s="10">
        <v>2</v>
      </c>
      <c r="D90" s="10">
        <v>1</v>
      </c>
      <c r="E90" s="10">
        <v>2</v>
      </c>
      <c r="F90" s="10">
        <v>2</v>
      </c>
      <c r="G90" s="10">
        <v>2</v>
      </c>
      <c r="H90" s="10">
        <v>2</v>
      </c>
      <c r="I90" s="10">
        <v>2</v>
      </c>
      <c r="J90" s="10">
        <v>3</v>
      </c>
      <c r="K90" s="10">
        <v>2</v>
      </c>
      <c r="L90" s="10">
        <v>9</v>
      </c>
      <c r="M90" s="10">
        <v>3</v>
      </c>
      <c r="N90" s="10">
        <v>2</v>
      </c>
      <c r="O90" s="10">
        <v>27</v>
      </c>
      <c r="P90" s="10">
        <v>8</v>
      </c>
      <c r="Q90" s="10">
        <v>3</v>
      </c>
    </row>
    <row r="91" spans="1:17" s="11" customFormat="1" ht="15" customHeight="1" x14ac:dyDescent="0.2">
      <c r="A91" s="14" t="s">
        <v>50</v>
      </c>
      <c r="B91" s="9">
        <v>69</v>
      </c>
      <c r="C91" s="10">
        <v>3</v>
      </c>
      <c r="D91" s="10">
        <v>0</v>
      </c>
      <c r="E91" s="10">
        <v>3</v>
      </c>
      <c r="F91" s="10">
        <v>3</v>
      </c>
      <c r="G91" s="10">
        <v>3</v>
      </c>
      <c r="H91" s="10">
        <v>3</v>
      </c>
      <c r="I91" s="10">
        <v>3</v>
      </c>
      <c r="J91" s="10">
        <v>3</v>
      </c>
      <c r="K91" s="10">
        <v>3</v>
      </c>
      <c r="L91" s="10">
        <v>10</v>
      </c>
      <c r="M91" s="10">
        <v>3</v>
      </c>
      <c r="N91" s="10">
        <v>3</v>
      </c>
      <c r="O91" s="10">
        <v>23</v>
      </c>
      <c r="P91" s="10">
        <v>3</v>
      </c>
      <c r="Q91" s="10">
        <v>3</v>
      </c>
    </row>
    <row r="92" spans="1:17" s="11" customFormat="1" ht="15" customHeight="1" x14ac:dyDescent="0.2">
      <c r="A92" s="14" t="s">
        <v>44</v>
      </c>
      <c r="B92" s="9">
        <v>56</v>
      </c>
      <c r="C92" s="10">
        <v>0</v>
      </c>
      <c r="D92" s="10">
        <v>24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2</v>
      </c>
      <c r="M92" s="10">
        <v>0</v>
      </c>
      <c r="N92" s="10">
        <v>0</v>
      </c>
      <c r="O92" s="10">
        <v>30</v>
      </c>
      <c r="P92" s="10">
        <v>0</v>
      </c>
      <c r="Q92" s="10">
        <v>0</v>
      </c>
    </row>
    <row r="93" spans="1:17" s="11" customFormat="1" ht="15" customHeight="1" x14ac:dyDescent="0.2">
      <c r="A93" s="14" t="s">
        <v>47</v>
      </c>
      <c r="B93" s="9">
        <v>50</v>
      </c>
      <c r="C93" s="10">
        <v>1</v>
      </c>
      <c r="D93" s="10">
        <v>0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>
        <v>1</v>
      </c>
      <c r="L93" s="10">
        <v>16</v>
      </c>
      <c r="M93" s="10">
        <v>2</v>
      </c>
      <c r="N93" s="10">
        <v>1</v>
      </c>
      <c r="O93" s="10">
        <v>21</v>
      </c>
      <c r="P93" s="10">
        <v>1</v>
      </c>
      <c r="Q93" s="10">
        <v>1</v>
      </c>
    </row>
    <row r="94" spans="1:17" s="11" customFormat="1" ht="15" customHeight="1" x14ac:dyDescent="0.2">
      <c r="A94" s="12" t="s">
        <v>29</v>
      </c>
      <c r="B94" s="9">
        <v>308</v>
      </c>
      <c r="C94" s="10">
        <v>8</v>
      </c>
      <c r="D94" s="10">
        <v>16</v>
      </c>
      <c r="E94" s="10">
        <v>9</v>
      </c>
      <c r="F94" s="10">
        <v>8</v>
      </c>
      <c r="G94" s="10">
        <v>8</v>
      </c>
      <c r="H94" s="10">
        <v>8</v>
      </c>
      <c r="I94" s="10">
        <v>8</v>
      </c>
      <c r="J94" s="10">
        <v>9</v>
      </c>
      <c r="K94" s="10">
        <v>8</v>
      </c>
      <c r="L94" s="10">
        <v>37</v>
      </c>
      <c r="M94" s="10">
        <v>9</v>
      </c>
      <c r="N94" s="10">
        <v>8</v>
      </c>
      <c r="O94" s="10">
        <v>140</v>
      </c>
      <c r="P94" s="10">
        <v>17</v>
      </c>
      <c r="Q94" s="10">
        <v>15</v>
      </c>
    </row>
    <row r="95" spans="1:17" s="7" customFormat="1" ht="15" customHeight="1" x14ac:dyDescent="0.2">
      <c r="A95" s="5" t="s">
        <v>51</v>
      </c>
      <c r="B95" s="6">
        <f>SUM(B96:B99)</f>
        <v>166</v>
      </c>
      <c r="C95" s="6">
        <f t="shared" ref="C95:Q95" si="12">SUM(C96:C99)</f>
        <v>5</v>
      </c>
      <c r="D95" s="6">
        <f t="shared" si="12"/>
        <v>1</v>
      </c>
      <c r="E95" s="6">
        <f t="shared" si="12"/>
        <v>11</v>
      </c>
      <c r="F95" s="6">
        <f t="shared" si="12"/>
        <v>5</v>
      </c>
      <c r="G95" s="6">
        <f t="shared" si="12"/>
        <v>5</v>
      </c>
      <c r="H95" s="6">
        <f t="shared" si="12"/>
        <v>6</v>
      </c>
      <c r="I95" s="6">
        <f t="shared" si="12"/>
        <v>5</v>
      </c>
      <c r="J95" s="6">
        <f t="shared" si="12"/>
        <v>5</v>
      </c>
      <c r="K95" s="6">
        <f t="shared" si="12"/>
        <v>5</v>
      </c>
      <c r="L95" s="6">
        <f t="shared" si="12"/>
        <v>16</v>
      </c>
      <c r="M95" s="6">
        <f t="shared" si="12"/>
        <v>5</v>
      </c>
      <c r="N95" s="6">
        <f t="shared" si="12"/>
        <v>5</v>
      </c>
      <c r="O95" s="6">
        <f t="shared" si="12"/>
        <v>67</v>
      </c>
      <c r="P95" s="6">
        <f t="shared" si="12"/>
        <v>19</v>
      </c>
      <c r="Q95" s="6">
        <f t="shared" si="12"/>
        <v>6</v>
      </c>
    </row>
    <row r="96" spans="1:17" s="11" customFormat="1" ht="15" customHeight="1" x14ac:dyDescent="0.2">
      <c r="A96" s="12" t="s">
        <v>52</v>
      </c>
      <c r="B96" s="9">
        <v>69</v>
      </c>
      <c r="C96" s="10">
        <v>2</v>
      </c>
      <c r="D96" s="10">
        <v>0</v>
      </c>
      <c r="E96" s="10">
        <v>6</v>
      </c>
      <c r="F96" s="10">
        <v>2</v>
      </c>
      <c r="G96" s="10">
        <v>2</v>
      </c>
      <c r="H96" s="10">
        <v>3</v>
      </c>
      <c r="I96" s="10">
        <v>2</v>
      </c>
      <c r="J96" s="10">
        <v>2</v>
      </c>
      <c r="K96" s="10">
        <v>2</v>
      </c>
      <c r="L96" s="10">
        <v>6</v>
      </c>
      <c r="M96" s="10">
        <v>2</v>
      </c>
      <c r="N96" s="10">
        <v>2</v>
      </c>
      <c r="O96" s="10">
        <v>25</v>
      </c>
      <c r="P96" s="10">
        <v>11</v>
      </c>
      <c r="Q96" s="10">
        <v>2</v>
      </c>
    </row>
    <row r="97" spans="1:18" s="7" customFormat="1" ht="15" customHeight="1" x14ac:dyDescent="0.2">
      <c r="A97" s="12" t="s">
        <v>53</v>
      </c>
      <c r="B97" s="9">
        <v>50</v>
      </c>
      <c r="C97" s="10">
        <v>2</v>
      </c>
      <c r="D97" s="10">
        <v>0</v>
      </c>
      <c r="E97" s="10">
        <v>4</v>
      </c>
      <c r="F97" s="10">
        <v>2</v>
      </c>
      <c r="G97" s="10">
        <v>2</v>
      </c>
      <c r="H97" s="10">
        <v>2</v>
      </c>
      <c r="I97" s="10">
        <v>2</v>
      </c>
      <c r="J97" s="10">
        <v>2</v>
      </c>
      <c r="K97" s="10">
        <v>2</v>
      </c>
      <c r="L97" s="10">
        <v>6</v>
      </c>
      <c r="M97" s="10">
        <v>2</v>
      </c>
      <c r="N97" s="10">
        <v>2</v>
      </c>
      <c r="O97" s="10">
        <v>15</v>
      </c>
      <c r="P97" s="10">
        <v>5</v>
      </c>
      <c r="Q97" s="10">
        <v>2</v>
      </c>
    </row>
    <row r="98" spans="1:18" ht="15" customHeight="1" x14ac:dyDescent="0.2">
      <c r="A98" s="12" t="s">
        <v>61</v>
      </c>
      <c r="B98" s="9">
        <v>15</v>
      </c>
      <c r="C98" s="10">
        <v>1</v>
      </c>
      <c r="D98" s="10">
        <v>0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2</v>
      </c>
      <c r="Q98" s="10">
        <v>1</v>
      </c>
    </row>
    <row r="99" spans="1:18" ht="15" customHeight="1" x14ac:dyDescent="0.2">
      <c r="A99" s="12" t="s">
        <v>29</v>
      </c>
      <c r="B99" s="9">
        <v>32</v>
      </c>
      <c r="C99" s="10">
        <v>0</v>
      </c>
      <c r="D99" s="10">
        <v>1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3</v>
      </c>
      <c r="M99" s="10">
        <v>0</v>
      </c>
      <c r="N99" s="10">
        <v>0</v>
      </c>
      <c r="O99" s="10">
        <v>26</v>
      </c>
      <c r="P99" s="10">
        <v>1</v>
      </c>
      <c r="Q99" s="10">
        <v>1</v>
      </c>
    </row>
    <row r="100" spans="1:18" s="17" customFormat="1" ht="15" customHeight="1" x14ac:dyDescent="0.2">
      <c r="A100" s="5" t="s">
        <v>57</v>
      </c>
      <c r="B100" s="6">
        <f>SUM(B101:B103)</f>
        <v>94</v>
      </c>
      <c r="C100" s="6">
        <f t="shared" ref="C100:Q100" si="13">SUM(C101:C103)</f>
        <v>2</v>
      </c>
      <c r="D100" s="6">
        <f t="shared" si="13"/>
        <v>10</v>
      </c>
      <c r="E100" s="6">
        <f t="shared" si="13"/>
        <v>3</v>
      </c>
      <c r="F100" s="6">
        <f t="shared" si="13"/>
        <v>2</v>
      </c>
      <c r="G100" s="6">
        <f t="shared" si="13"/>
        <v>2</v>
      </c>
      <c r="H100" s="6">
        <f t="shared" si="13"/>
        <v>2</v>
      </c>
      <c r="I100" s="6">
        <f t="shared" si="13"/>
        <v>2</v>
      </c>
      <c r="J100" s="6">
        <f t="shared" si="13"/>
        <v>2</v>
      </c>
      <c r="K100" s="6">
        <f t="shared" si="13"/>
        <v>2</v>
      </c>
      <c r="L100" s="6">
        <f t="shared" si="13"/>
        <v>7</v>
      </c>
      <c r="M100" s="6">
        <f t="shared" si="13"/>
        <v>3</v>
      </c>
      <c r="N100" s="6">
        <f t="shared" si="13"/>
        <v>2</v>
      </c>
      <c r="O100" s="6">
        <f t="shared" si="13"/>
        <v>46</v>
      </c>
      <c r="P100" s="6">
        <f t="shared" si="13"/>
        <v>7</v>
      </c>
      <c r="Q100" s="6">
        <f t="shared" si="13"/>
        <v>2</v>
      </c>
    </row>
    <row r="101" spans="1:18" ht="15" customHeight="1" x14ac:dyDescent="0.2">
      <c r="A101" s="12" t="s">
        <v>58</v>
      </c>
      <c r="B101" s="9">
        <v>63</v>
      </c>
      <c r="C101" s="10">
        <v>1</v>
      </c>
      <c r="D101" s="10">
        <v>4</v>
      </c>
      <c r="E101" s="10">
        <v>2</v>
      </c>
      <c r="F101" s="10">
        <v>1</v>
      </c>
      <c r="G101" s="10">
        <v>1</v>
      </c>
      <c r="H101" s="10">
        <v>1</v>
      </c>
      <c r="I101" s="10">
        <v>1</v>
      </c>
      <c r="J101" s="10">
        <v>1</v>
      </c>
      <c r="K101" s="10">
        <v>1</v>
      </c>
      <c r="L101" s="10">
        <v>2</v>
      </c>
      <c r="M101" s="10">
        <v>2</v>
      </c>
      <c r="N101" s="10">
        <v>1</v>
      </c>
      <c r="O101" s="10">
        <v>39</v>
      </c>
      <c r="P101" s="10">
        <v>5</v>
      </c>
      <c r="Q101" s="10">
        <v>1</v>
      </c>
    </row>
    <row r="102" spans="1:18" ht="15" customHeight="1" x14ac:dyDescent="0.2">
      <c r="A102" s="12" t="s">
        <v>62</v>
      </c>
      <c r="B102" s="9">
        <v>6</v>
      </c>
      <c r="C102" s="10">
        <v>0</v>
      </c>
      <c r="D102" s="10">
        <v>5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1</v>
      </c>
      <c r="P102" s="10">
        <v>0</v>
      </c>
      <c r="Q102" s="10">
        <v>0</v>
      </c>
    </row>
    <row r="103" spans="1:18" ht="15" customHeight="1" x14ac:dyDescent="0.2">
      <c r="A103" s="15" t="s">
        <v>59</v>
      </c>
      <c r="B103" s="18">
        <v>25</v>
      </c>
      <c r="C103" s="19">
        <v>1</v>
      </c>
      <c r="D103" s="19">
        <v>1</v>
      </c>
      <c r="E103" s="19">
        <v>1</v>
      </c>
      <c r="F103" s="19">
        <v>1</v>
      </c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>
        <v>5</v>
      </c>
      <c r="M103" s="19">
        <v>1</v>
      </c>
      <c r="N103" s="19">
        <v>1</v>
      </c>
      <c r="O103" s="19">
        <v>6</v>
      </c>
      <c r="P103" s="19">
        <v>2</v>
      </c>
      <c r="Q103" s="19">
        <v>1</v>
      </c>
    </row>
    <row r="104" spans="1:18" x14ac:dyDescent="0.2">
      <c r="A104" s="24" t="s">
        <v>63</v>
      </c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8" s="23" customFormat="1" x14ac:dyDescent="0.2">
      <c r="A105" s="20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8" s="23" customFormat="1" ht="21" x14ac:dyDescent="0.2">
      <c r="A106" s="36" t="s">
        <v>73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</row>
    <row r="107" spans="1:18" s="23" customFormat="1" ht="15" x14ac:dyDescent="0.2">
      <c r="A107" s="35" t="s">
        <v>74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4"/>
    </row>
    <row r="108" spans="1:18" s="23" customFormat="1" ht="15" x14ac:dyDescent="0.25">
      <c r="A108" s="20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5"/>
    </row>
    <row r="109" spans="1:18" s="23" customFormat="1" ht="76.5" x14ac:dyDescent="0.25">
      <c r="A109" s="27" t="s">
        <v>1</v>
      </c>
      <c r="B109" s="38" t="s">
        <v>0</v>
      </c>
      <c r="C109" s="38" t="s">
        <v>2</v>
      </c>
      <c r="D109" s="38" t="s">
        <v>3</v>
      </c>
      <c r="E109" s="38" t="s">
        <v>4</v>
      </c>
      <c r="F109" s="38" t="s">
        <v>5</v>
      </c>
      <c r="G109" s="38" t="s">
        <v>6</v>
      </c>
      <c r="H109" s="38" t="s">
        <v>7</v>
      </c>
      <c r="I109" s="38" t="s">
        <v>8</v>
      </c>
      <c r="J109" s="38" t="s">
        <v>9</v>
      </c>
      <c r="K109" s="38" t="s">
        <v>10</v>
      </c>
      <c r="L109" s="38" t="s">
        <v>11</v>
      </c>
      <c r="M109" s="38" t="s">
        <v>12</v>
      </c>
      <c r="N109" s="38" t="s">
        <v>13</v>
      </c>
      <c r="O109" s="38" t="s">
        <v>14</v>
      </c>
      <c r="P109" s="38" t="s">
        <v>15</v>
      </c>
      <c r="Q109" s="37" t="s">
        <v>16</v>
      </c>
      <c r="R109" s="25"/>
    </row>
    <row r="110" spans="1:18" s="23" customFormat="1" ht="15" x14ac:dyDescent="0.25">
      <c r="A110" s="28" t="s">
        <v>17</v>
      </c>
      <c r="B110" s="29">
        <f t="shared" ref="B110:Q110" si="14">B111+B123+B135+B147+B154</f>
        <v>45584</v>
      </c>
      <c r="C110" s="29">
        <f t="shared" si="14"/>
        <v>1174</v>
      </c>
      <c r="D110" s="29">
        <f t="shared" si="14"/>
        <v>10891</v>
      </c>
      <c r="E110" s="29">
        <f t="shared" si="14"/>
        <v>1019</v>
      </c>
      <c r="F110" s="29">
        <f t="shared" si="14"/>
        <v>1968</v>
      </c>
      <c r="G110" s="29">
        <f t="shared" si="14"/>
        <v>895</v>
      </c>
      <c r="H110" s="29">
        <f t="shared" si="14"/>
        <v>1110</v>
      </c>
      <c r="I110" s="29">
        <f t="shared" si="14"/>
        <v>1310</v>
      </c>
      <c r="J110" s="29">
        <f t="shared" si="14"/>
        <v>5036</v>
      </c>
      <c r="K110" s="29">
        <f t="shared" si="14"/>
        <v>3748</v>
      </c>
      <c r="L110" s="29">
        <f t="shared" si="14"/>
        <v>2474</v>
      </c>
      <c r="M110" s="29">
        <f t="shared" si="14"/>
        <v>1662</v>
      </c>
      <c r="N110" s="29">
        <f t="shared" si="14"/>
        <v>1057</v>
      </c>
      <c r="O110" s="29">
        <f t="shared" si="14"/>
        <v>7353</v>
      </c>
      <c r="P110" s="29">
        <f t="shared" si="14"/>
        <v>2280</v>
      </c>
      <c r="Q110" s="29">
        <f t="shared" si="14"/>
        <v>3607</v>
      </c>
      <c r="R110" s="25"/>
    </row>
    <row r="111" spans="1:18" s="7" customFormat="1" ht="15" x14ac:dyDescent="0.25">
      <c r="A111" s="30" t="s">
        <v>18</v>
      </c>
      <c r="B111" s="29">
        <f>SUM(B112:B122)</f>
        <v>43275</v>
      </c>
      <c r="C111" s="29">
        <f t="shared" ref="C111:Q111" si="15">SUM(C112:C122)</f>
        <v>1132</v>
      </c>
      <c r="D111" s="29">
        <f t="shared" si="15"/>
        <v>10687</v>
      </c>
      <c r="E111" s="29">
        <f t="shared" si="15"/>
        <v>943</v>
      </c>
      <c r="F111" s="29">
        <f t="shared" si="15"/>
        <v>1928</v>
      </c>
      <c r="G111" s="29">
        <f t="shared" si="15"/>
        <v>855</v>
      </c>
      <c r="H111" s="29">
        <f t="shared" si="15"/>
        <v>1070</v>
      </c>
      <c r="I111" s="29">
        <f t="shared" si="15"/>
        <v>1268</v>
      </c>
      <c r="J111" s="29">
        <f t="shared" si="15"/>
        <v>4984</v>
      </c>
      <c r="K111" s="29">
        <f t="shared" si="15"/>
        <v>3703</v>
      </c>
      <c r="L111" s="29">
        <f t="shared" si="15"/>
        <v>2206</v>
      </c>
      <c r="M111" s="29">
        <f t="shared" si="15"/>
        <v>1611</v>
      </c>
      <c r="N111" s="29">
        <f t="shared" si="15"/>
        <v>1017</v>
      </c>
      <c r="O111" s="29">
        <f t="shared" si="15"/>
        <v>6204</v>
      </c>
      <c r="P111" s="29">
        <f t="shared" si="15"/>
        <v>2112</v>
      </c>
      <c r="Q111" s="29">
        <f t="shared" si="15"/>
        <v>3555</v>
      </c>
      <c r="R111" s="25"/>
    </row>
    <row r="112" spans="1:18" s="7" customFormat="1" ht="15" x14ac:dyDescent="0.25">
      <c r="A112" s="14" t="s">
        <v>19</v>
      </c>
      <c r="B112" s="29">
        <v>24911</v>
      </c>
      <c r="C112" s="31">
        <v>585</v>
      </c>
      <c r="D112" s="31">
        <v>7889</v>
      </c>
      <c r="E112" s="31">
        <v>376</v>
      </c>
      <c r="F112" s="31">
        <v>1139</v>
      </c>
      <c r="G112" s="31">
        <v>352</v>
      </c>
      <c r="H112" s="31">
        <v>377</v>
      </c>
      <c r="I112" s="31">
        <v>555</v>
      </c>
      <c r="J112" s="31">
        <v>3617</v>
      </c>
      <c r="K112" s="31">
        <v>2672</v>
      </c>
      <c r="L112" s="31">
        <v>1233</v>
      </c>
      <c r="M112" s="31">
        <v>801</v>
      </c>
      <c r="N112" s="31">
        <v>500</v>
      </c>
      <c r="O112" s="31">
        <v>1621</v>
      </c>
      <c r="P112" s="31">
        <v>991</v>
      </c>
      <c r="Q112" s="31">
        <v>2203</v>
      </c>
      <c r="R112" s="25"/>
    </row>
    <row r="113" spans="1:18" s="11" customFormat="1" ht="15" x14ac:dyDescent="0.25">
      <c r="A113" s="14" t="s">
        <v>21</v>
      </c>
      <c r="B113" s="29">
        <v>7173</v>
      </c>
      <c r="C113" s="31">
        <v>243</v>
      </c>
      <c r="D113" s="31">
        <v>1315</v>
      </c>
      <c r="E113" s="31">
        <v>222</v>
      </c>
      <c r="F113" s="31">
        <v>365</v>
      </c>
      <c r="G113" s="31">
        <v>237</v>
      </c>
      <c r="H113" s="31">
        <v>200</v>
      </c>
      <c r="I113" s="31">
        <v>217</v>
      </c>
      <c r="J113" s="31">
        <v>518</v>
      </c>
      <c r="K113" s="31">
        <v>405</v>
      </c>
      <c r="L113" s="31">
        <v>359</v>
      </c>
      <c r="M113" s="31">
        <v>397</v>
      </c>
      <c r="N113" s="31">
        <v>208</v>
      </c>
      <c r="O113" s="31">
        <v>1403</v>
      </c>
      <c r="P113" s="31">
        <v>533</v>
      </c>
      <c r="Q113" s="31">
        <v>551</v>
      </c>
      <c r="R113" s="25"/>
    </row>
    <row r="114" spans="1:18" s="11" customFormat="1" ht="15" x14ac:dyDescent="0.25">
      <c r="A114" s="14" t="s">
        <v>20</v>
      </c>
      <c r="B114" s="29">
        <v>5992</v>
      </c>
      <c r="C114" s="31">
        <v>164</v>
      </c>
      <c r="D114" s="31">
        <v>978</v>
      </c>
      <c r="E114" s="31">
        <v>214</v>
      </c>
      <c r="F114" s="31">
        <v>269</v>
      </c>
      <c r="G114" s="31">
        <v>146</v>
      </c>
      <c r="H114" s="31">
        <v>144</v>
      </c>
      <c r="I114" s="31">
        <v>342</v>
      </c>
      <c r="J114" s="31">
        <v>515</v>
      </c>
      <c r="K114" s="31">
        <v>356</v>
      </c>
      <c r="L114" s="31">
        <v>250</v>
      </c>
      <c r="M114" s="31">
        <v>246</v>
      </c>
      <c r="N114" s="31">
        <v>176</v>
      </c>
      <c r="O114" s="31">
        <v>1304</v>
      </c>
      <c r="P114" s="31">
        <v>352</v>
      </c>
      <c r="Q114" s="31">
        <v>536</v>
      </c>
      <c r="R114" s="25"/>
    </row>
    <row r="115" spans="1:18" s="13" customFormat="1" ht="15" x14ac:dyDescent="0.25">
      <c r="A115" s="14" t="s">
        <v>23</v>
      </c>
      <c r="B115" s="29">
        <v>1315</v>
      </c>
      <c r="C115" s="31">
        <v>47</v>
      </c>
      <c r="D115" s="31">
        <v>101</v>
      </c>
      <c r="E115" s="31">
        <v>43</v>
      </c>
      <c r="F115" s="31">
        <v>41</v>
      </c>
      <c r="G115" s="31">
        <v>40</v>
      </c>
      <c r="H115" s="31">
        <v>151</v>
      </c>
      <c r="I115" s="31">
        <v>43</v>
      </c>
      <c r="J115" s="31">
        <v>92</v>
      </c>
      <c r="K115" s="31">
        <v>57</v>
      </c>
      <c r="L115" s="31">
        <v>55</v>
      </c>
      <c r="M115" s="31">
        <v>43</v>
      </c>
      <c r="N115" s="31">
        <v>40</v>
      </c>
      <c r="O115" s="31">
        <v>438</v>
      </c>
      <c r="P115" s="31">
        <v>65</v>
      </c>
      <c r="Q115" s="31">
        <v>59</v>
      </c>
      <c r="R115" s="25"/>
    </row>
    <row r="116" spans="1:18" s="11" customFormat="1" ht="15" x14ac:dyDescent="0.25">
      <c r="A116" s="14" t="s">
        <v>22</v>
      </c>
      <c r="B116" s="29">
        <v>1109</v>
      </c>
      <c r="C116" s="31">
        <v>41</v>
      </c>
      <c r="D116" s="31">
        <v>57</v>
      </c>
      <c r="E116" s="31">
        <v>26</v>
      </c>
      <c r="F116" s="31">
        <v>48</v>
      </c>
      <c r="G116" s="31">
        <v>28</v>
      </c>
      <c r="H116" s="31">
        <v>25</v>
      </c>
      <c r="I116" s="31">
        <v>45</v>
      </c>
      <c r="J116" s="31">
        <v>131</v>
      </c>
      <c r="K116" s="31">
        <v>147</v>
      </c>
      <c r="L116" s="31">
        <v>52</v>
      </c>
      <c r="M116" s="31">
        <v>54</v>
      </c>
      <c r="N116" s="31">
        <v>40</v>
      </c>
      <c r="O116" s="31">
        <v>253</v>
      </c>
      <c r="P116" s="31">
        <v>45</v>
      </c>
      <c r="Q116" s="31">
        <v>117</v>
      </c>
      <c r="R116" s="25"/>
    </row>
    <row r="117" spans="1:18" s="11" customFormat="1" ht="15" x14ac:dyDescent="0.25">
      <c r="A117" s="14" t="s">
        <v>24</v>
      </c>
      <c r="B117" s="29">
        <v>798</v>
      </c>
      <c r="C117" s="31">
        <v>6</v>
      </c>
      <c r="D117" s="31">
        <v>131</v>
      </c>
      <c r="E117" s="31">
        <v>6</v>
      </c>
      <c r="F117" s="31">
        <v>16</v>
      </c>
      <c r="G117" s="31">
        <v>6</v>
      </c>
      <c r="H117" s="31">
        <v>87</v>
      </c>
      <c r="I117" s="31">
        <v>18</v>
      </c>
      <c r="J117" s="31">
        <v>16</v>
      </c>
      <c r="K117" s="31">
        <v>16</v>
      </c>
      <c r="L117" s="31">
        <v>101</v>
      </c>
      <c r="M117" s="31">
        <v>16</v>
      </c>
      <c r="N117" s="31">
        <v>6</v>
      </c>
      <c r="O117" s="31">
        <v>339</v>
      </c>
      <c r="P117" s="31">
        <v>7</v>
      </c>
      <c r="Q117" s="31">
        <v>27</v>
      </c>
      <c r="R117" s="25"/>
    </row>
    <row r="118" spans="1:18" s="11" customFormat="1" ht="15" x14ac:dyDescent="0.25">
      <c r="A118" s="14" t="s">
        <v>25</v>
      </c>
      <c r="B118" s="29">
        <v>790</v>
      </c>
      <c r="C118" s="31">
        <v>16</v>
      </c>
      <c r="D118" s="31">
        <v>133</v>
      </c>
      <c r="E118" s="31">
        <v>20</v>
      </c>
      <c r="F118" s="31">
        <v>16</v>
      </c>
      <c r="G118" s="31">
        <v>16</v>
      </c>
      <c r="H118" s="31">
        <v>38</v>
      </c>
      <c r="I118" s="31">
        <v>16</v>
      </c>
      <c r="J118" s="31">
        <v>37</v>
      </c>
      <c r="K118" s="31">
        <v>19</v>
      </c>
      <c r="L118" s="31">
        <v>62</v>
      </c>
      <c r="M118" s="31">
        <v>17</v>
      </c>
      <c r="N118" s="31">
        <v>16</v>
      </c>
      <c r="O118" s="31">
        <v>313</v>
      </c>
      <c r="P118" s="31">
        <v>48</v>
      </c>
      <c r="Q118" s="31">
        <v>23</v>
      </c>
      <c r="R118" s="25"/>
    </row>
    <row r="119" spans="1:18" s="11" customFormat="1" ht="15" x14ac:dyDescent="0.25">
      <c r="A119" s="14" t="s">
        <v>26</v>
      </c>
      <c r="B119" s="29">
        <v>287</v>
      </c>
      <c r="C119" s="31">
        <v>4</v>
      </c>
      <c r="D119" s="31">
        <v>31</v>
      </c>
      <c r="E119" s="31">
        <v>4</v>
      </c>
      <c r="F119" s="31">
        <v>4</v>
      </c>
      <c r="G119" s="31">
        <v>4</v>
      </c>
      <c r="H119" s="31">
        <v>4</v>
      </c>
      <c r="I119" s="31">
        <v>5</v>
      </c>
      <c r="J119" s="31">
        <v>20</v>
      </c>
      <c r="K119" s="31">
        <v>4</v>
      </c>
      <c r="L119" s="31">
        <v>31</v>
      </c>
      <c r="M119" s="31">
        <v>4</v>
      </c>
      <c r="N119" s="31">
        <v>4</v>
      </c>
      <c r="O119" s="31">
        <v>148</v>
      </c>
      <c r="P119" s="31">
        <v>14</v>
      </c>
      <c r="Q119" s="31">
        <v>6</v>
      </c>
      <c r="R119" s="25"/>
    </row>
    <row r="120" spans="1:18" s="11" customFormat="1" ht="15" x14ac:dyDescent="0.25">
      <c r="A120" s="14" t="s">
        <v>27</v>
      </c>
      <c r="B120" s="29">
        <v>212</v>
      </c>
      <c r="C120" s="31">
        <v>5</v>
      </c>
      <c r="D120" s="31">
        <v>27</v>
      </c>
      <c r="E120" s="31">
        <v>5</v>
      </c>
      <c r="F120" s="31">
        <v>5</v>
      </c>
      <c r="G120" s="31">
        <v>5</v>
      </c>
      <c r="H120" s="31">
        <v>6</v>
      </c>
      <c r="I120" s="31">
        <v>5</v>
      </c>
      <c r="J120" s="31">
        <v>13</v>
      </c>
      <c r="K120" s="31">
        <v>5</v>
      </c>
      <c r="L120" s="31">
        <v>7</v>
      </c>
      <c r="M120" s="31">
        <v>5</v>
      </c>
      <c r="N120" s="31">
        <v>5</v>
      </c>
      <c r="O120" s="31">
        <v>96</v>
      </c>
      <c r="P120" s="31">
        <v>18</v>
      </c>
      <c r="Q120" s="31">
        <v>5</v>
      </c>
      <c r="R120" s="2"/>
    </row>
    <row r="121" spans="1:18" s="11" customFormat="1" ht="15" x14ac:dyDescent="0.25">
      <c r="A121" s="14" t="s">
        <v>28</v>
      </c>
      <c r="B121" s="29">
        <v>131</v>
      </c>
      <c r="C121" s="31">
        <v>6</v>
      </c>
      <c r="D121" s="31">
        <v>4</v>
      </c>
      <c r="E121" s="31">
        <v>9</v>
      </c>
      <c r="F121" s="31">
        <v>6</v>
      </c>
      <c r="G121" s="31">
        <v>6</v>
      </c>
      <c r="H121" s="31">
        <v>6</v>
      </c>
      <c r="I121" s="31">
        <v>6</v>
      </c>
      <c r="J121" s="31">
        <v>9</v>
      </c>
      <c r="K121" s="31">
        <v>7</v>
      </c>
      <c r="L121" s="31">
        <v>6</v>
      </c>
      <c r="M121" s="31">
        <v>11</v>
      </c>
      <c r="N121" s="31">
        <v>6</v>
      </c>
      <c r="O121" s="31">
        <v>34</v>
      </c>
      <c r="P121" s="31">
        <v>7</v>
      </c>
      <c r="Q121" s="31">
        <v>8</v>
      </c>
      <c r="R121" s="25"/>
    </row>
    <row r="122" spans="1:18" s="11" customFormat="1" ht="15" x14ac:dyDescent="0.25">
      <c r="A122" s="14" t="s">
        <v>29</v>
      </c>
      <c r="B122" s="29">
        <v>557</v>
      </c>
      <c r="C122" s="31">
        <v>15</v>
      </c>
      <c r="D122" s="31">
        <v>21</v>
      </c>
      <c r="E122" s="31">
        <v>18</v>
      </c>
      <c r="F122" s="31">
        <v>19</v>
      </c>
      <c r="G122" s="31">
        <v>15</v>
      </c>
      <c r="H122" s="31">
        <v>32</v>
      </c>
      <c r="I122" s="31">
        <v>16</v>
      </c>
      <c r="J122" s="31">
        <v>16</v>
      </c>
      <c r="K122" s="31">
        <v>15</v>
      </c>
      <c r="L122" s="31">
        <v>50</v>
      </c>
      <c r="M122" s="31">
        <v>17</v>
      </c>
      <c r="N122" s="31">
        <v>16</v>
      </c>
      <c r="O122" s="31">
        <v>255</v>
      </c>
      <c r="P122" s="31">
        <v>32</v>
      </c>
      <c r="Q122" s="31">
        <v>20</v>
      </c>
      <c r="R122" s="25"/>
    </row>
    <row r="123" spans="1:18" s="7" customFormat="1" ht="15" x14ac:dyDescent="0.25">
      <c r="A123" s="30" t="s">
        <v>30</v>
      </c>
      <c r="B123" s="29">
        <f>SUM(B124:B134)</f>
        <v>208</v>
      </c>
      <c r="C123" s="29">
        <f t="shared" ref="C123:Q123" si="16">SUM(C124:C134)</f>
        <v>1</v>
      </c>
      <c r="D123" s="29">
        <f t="shared" si="16"/>
        <v>2</v>
      </c>
      <c r="E123" s="29">
        <f t="shared" si="16"/>
        <v>8</v>
      </c>
      <c r="F123" s="29">
        <f t="shared" si="16"/>
        <v>1</v>
      </c>
      <c r="G123" s="29">
        <f t="shared" si="16"/>
        <v>1</v>
      </c>
      <c r="H123" s="29">
        <f t="shared" si="16"/>
        <v>1</v>
      </c>
      <c r="I123" s="29">
        <f t="shared" si="16"/>
        <v>3</v>
      </c>
      <c r="J123" s="29">
        <f t="shared" si="16"/>
        <v>3</v>
      </c>
      <c r="K123" s="29">
        <f t="shared" si="16"/>
        <v>3</v>
      </c>
      <c r="L123" s="29">
        <f t="shared" si="16"/>
        <v>13</v>
      </c>
      <c r="M123" s="29">
        <f t="shared" si="16"/>
        <v>2</v>
      </c>
      <c r="N123" s="29">
        <f t="shared" si="16"/>
        <v>1</v>
      </c>
      <c r="O123" s="29">
        <f t="shared" si="16"/>
        <v>161</v>
      </c>
      <c r="P123" s="29">
        <f t="shared" si="16"/>
        <v>7</v>
      </c>
      <c r="Q123" s="29">
        <f t="shared" si="16"/>
        <v>1</v>
      </c>
      <c r="R123" s="2"/>
    </row>
    <row r="124" spans="1:18" s="11" customFormat="1" ht="15" x14ac:dyDescent="0.25">
      <c r="A124" s="14" t="s">
        <v>31</v>
      </c>
      <c r="B124" s="29">
        <v>69</v>
      </c>
      <c r="C124" s="31">
        <v>1</v>
      </c>
      <c r="D124" s="31">
        <v>0</v>
      </c>
      <c r="E124" s="31">
        <v>1</v>
      </c>
      <c r="F124" s="31">
        <v>1</v>
      </c>
      <c r="G124" s="31">
        <v>1</v>
      </c>
      <c r="H124" s="31">
        <v>1</v>
      </c>
      <c r="I124" s="31">
        <v>2</v>
      </c>
      <c r="J124" s="31">
        <v>1</v>
      </c>
      <c r="K124" s="31">
        <v>2</v>
      </c>
      <c r="L124" s="31">
        <v>2</v>
      </c>
      <c r="M124" s="31">
        <v>1</v>
      </c>
      <c r="N124" s="31">
        <v>1</v>
      </c>
      <c r="O124" s="31">
        <v>53</v>
      </c>
      <c r="P124" s="31">
        <v>1</v>
      </c>
      <c r="Q124" s="31">
        <v>1</v>
      </c>
      <c r="R124" s="25"/>
    </row>
    <row r="125" spans="1:18" s="11" customFormat="1" ht="15" x14ac:dyDescent="0.25">
      <c r="A125" s="14" t="s">
        <v>32</v>
      </c>
      <c r="B125" s="29">
        <v>38</v>
      </c>
      <c r="C125" s="31">
        <v>0</v>
      </c>
      <c r="D125" s="31">
        <v>1</v>
      </c>
      <c r="E125" s="31">
        <v>2</v>
      </c>
      <c r="F125" s="31">
        <v>0</v>
      </c>
      <c r="G125" s="31">
        <v>0</v>
      </c>
      <c r="H125" s="31">
        <v>0</v>
      </c>
      <c r="I125" s="31">
        <v>0</v>
      </c>
      <c r="J125" s="31">
        <v>1</v>
      </c>
      <c r="K125" s="31">
        <v>0</v>
      </c>
      <c r="L125" s="31">
        <v>4</v>
      </c>
      <c r="M125" s="31">
        <v>0</v>
      </c>
      <c r="N125" s="31">
        <v>0</v>
      </c>
      <c r="O125" s="31">
        <v>29</v>
      </c>
      <c r="P125" s="31">
        <v>1</v>
      </c>
      <c r="Q125" s="31">
        <v>0</v>
      </c>
      <c r="R125" s="25"/>
    </row>
    <row r="126" spans="1:18" s="11" customFormat="1" ht="15" x14ac:dyDescent="0.25">
      <c r="A126" s="14" t="s">
        <v>33</v>
      </c>
      <c r="B126" s="29">
        <v>37</v>
      </c>
      <c r="C126" s="31">
        <v>0</v>
      </c>
      <c r="D126" s="31">
        <v>0</v>
      </c>
      <c r="E126" s="31">
        <v>1</v>
      </c>
      <c r="F126" s="31">
        <v>0</v>
      </c>
      <c r="G126" s="31">
        <v>0</v>
      </c>
      <c r="H126" s="31">
        <v>0</v>
      </c>
      <c r="I126" s="31">
        <v>1</v>
      </c>
      <c r="J126" s="31">
        <v>0</v>
      </c>
      <c r="K126" s="31">
        <v>0</v>
      </c>
      <c r="L126" s="31">
        <v>3</v>
      </c>
      <c r="M126" s="31">
        <v>1</v>
      </c>
      <c r="N126" s="31">
        <v>0</v>
      </c>
      <c r="O126" s="31">
        <v>30</v>
      </c>
      <c r="P126" s="31">
        <v>1</v>
      </c>
      <c r="Q126" s="31">
        <v>0</v>
      </c>
      <c r="R126" s="25"/>
    </row>
    <row r="127" spans="1:18" s="11" customFormat="1" ht="15" x14ac:dyDescent="0.25">
      <c r="A127" s="14" t="s">
        <v>36</v>
      </c>
      <c r="B127" s="29">
        <v>19</v>
      </c>
      <c r="C127" s="31">
        <v>0</v>
      </c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1</v>
      </c>
      <c r="K127" s="31">
        <v>0</v>
      </c>
      <c r="L127" s="31">
        <v>0</v>
      </c>
      <c r="M127" s="31">
        <v>0</v>
      </c>
      <c r="N127" s="31">
        <v>0</v>
      </c>
      <c r="O127" s="31">
        <v>17</v>
      </c>
      <c r="P127" s="31">
        <v>1</v>
      </c>
      <c r="Q127" s="31">
        <v>0</v>
      </c>
      <c r="R127" s="25"/>
    </row>
    <row r="128" spans="1:18" s="11" customFormat="1" ht="15" x14ac:dyDescent="0.25">
      <c r="A128" s="14" t="s">
        <v>37</v>
      </c>
      <c r="B128" s="29">
        <v>12</v>
      </c>
      <c r="C128" s="31">
        <v>0</v>
      </c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12</v>
      </c>
      <c r="P128" s="31">
        <v>0</v>
      </c>
      <c r="Q128" s="31">
        <v>0</v>
      </c>
      <c r="R128" s="25"/>
    </row>
    <row r="129" spans="1:18" s="11" customFormat="1" ht="15" x14ac:dyDescent="0.25">
      <c r="A129" s="14" t="s">
        <v>68</v>
      </c>
      <c r="B129" s="29">
        <v>8</v>
      </c>
      <c r="C129" s="31">
        <v>0</v>
      </c>
      <c r="D129" s="31">
        <v>1</v>
      </c>
      <c r="E129" s="31">
        <v>4</v>
      </c>
      <c r="F129" s="31">
        <v>0</v>
      </c>
      <c r="G129" s="31">
        <v>0</v>
      </c>
      <c r="H129" s="31"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3</v>
      </c>
      <c r="P129" s="31">
        <v>0</v>
      </c>
      <c r="Q129" s="31">
        <v>0</v>
      </c>
      <c r="R129" s="25"/>
    </row>
    <row r="130" spans="1:18" s="11" customFormat="1" ht="15" x14ac:dyDescent="0.25">
      <c r="A130" s="14" t="s">
        <v>38</v>
      </c>
      <c r="B130" s="29">
        <v>4</v>
      </c>
      <c r="C130" s="31">
        <v>0</v>
      </c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4</v>
      </c>
      <c r="P130" s="31">
        <v>0</v>
      </c>
      <c r="Q130" s="31">
        <v>0</v>
      </c>
      <c r="R130" s="25"/>
    </row>
    <row r="131" spans="1:18" s="11" customFormat="1" ht="15" x14ac:dyDescent="0.25">
      <c r="A131" s="14" t="s">
        <v>39</v>
      </c>
      <c r="B131" s="29">
        <v>4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3</v>
      </c>
      <c r="P131" s="31">
        <v>1</v>
      </c>
      <c r="Q131" s="31">
        <v>0</v>
      </c>
      <c r="R131" s="25"/>
    </row>
    <row r="132" spans="1:18" s="11" customFormat="1" ht="15" x14ac:dyDescent="0.25">
      <c r="A132" s="14" t="s">
        <v>69</v>
      </c>
      <c r="B132" s="29">
        <v>3</v>
      </c>
      <c r="C132" s="31">
        <v>0</v>
      </c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1">
        <v>1</v>
      </c>
      <c r="L132" s="31">
        <v>0</v>
      </c>
      <c r="M132" s="31">
        <v>0</v>
      </c>
      <c r="N132" s="31">
        <v>0</v>
      </c>
      <c r="O132" s="31">
        <v>2</v>
      </c>
      <c r="P132" s="31">
        <v>0</v>
      </c>
      <c r="Q132" s="31">
        <v>0</v>
      </c>
      <c r="R132" s="25"/>
    </row>
    <row r="133" spans="1:18" s="11" customFormat="1" ht="15" x14ac:dyDescent="0.25">
      <c r="A133" s="14" t="s">
        <v>70</v>
      </c>
      <c r="B133" s="29">
        <v>2</v>
      </c>
      <c r="C133" s="31">
        <v>0</v>
      </c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1">
        <v>0</v>
      </c>
      <c r="J133" s="31">
        <v>0</v>
      </c>
      <c r="K133" s="31">
        <v>0</v>
      </c>
      <c r="L133" s="31">
        <v>2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25"/>
    </row>
    <row r="134" spans="1:18" s="7" customFormat="1" ht="15" x14ac:dyDescent="0.25">
      <c r="A134" s="14" t="s">
        <v>29</v>
      </c>
      <c r="B134" s="29">
        <v>12</v>
      </c>
      <c r="C134" s="31">
        <v>0</v>
      </c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1">
        <v>0</v>
      </c>
      <c r="L134" s="31">
        <v>2</v>
      </c>
      <c r="M134" s="31">
        <v>0</v>
      </c>
      <c r="N134" s="31">
        <v>0</v>
      </c>
      <c r="O134" s="31">
        <v>8</v>
      </c>
      <c r="P134" s="31">
        <v>2</v>
      </c>
      <c r="Q134" s="31">
        <v>0</v>
      </c>
      <c r="R134" s="25"/>
    </row>
    <row r="135" spans="1:18" s="11" customFormat="1" ht="15" x14ac:dyDescent="0.25">
      <c r="A135" s="30" t="s">
        <v>40</v>
      </c>
      <c r="B135" s="29">
        <f>SUM(B136:B146)</f>
        <v>1835</v>
      </c>
      <c r="C135" s="29">
        <f t="shared" ref="C135:Q135" si="17">SUM(C136:C146)</f>
        <v>35</v>
      </c>
      <c r="D135" s="29">
        <f t="shared" si="17"/>
        <v>195</v>
      </c>
      <c r="E135" s="29">
        <f t="shared" si="17"/>
        <v>57</v>
      </c>
      <c r="F135" s="29">
        <f t="shared" si="17"/>
        <v>34</v>
      </c>
      <c r="G135" s="29">
        <f t="shared" si="17"/>
        <v>34</v>
      </c>
      <c r="H135" s="29">
        <f t="shared" si="17"/>
        <v>34</v>
      </c>
      <c r="I135" s="29">
        <f t="shared" si="17"/>
        <v>34</v>
      </c>
      <c r="J135" s="29">
        <f t="shared" si="17"/>
        <v>44</v>
      </c>
      <c r="K135" s="29">
        <f t="shared" si="17"/>
        <v>37</v>
      </c>
      <c r="L135" s="29">
        <f t="shared" si="17"/>
        <v>234</v>
      </c>
      <c r="M135" s="29">
        <f t="shared" si="17"/>
        <v>44</v>
      </c>
      <c r="N135" s="29">
        <f t="shared" si="17"/>
        <v>34</v>
      </c>
      <c r="O135" s="29">
        <f t="shared" si="17"/>
        <v>872</v>
      </c>
      <c r="P135" s="29">
        <f t="shared" si="17"/>
        <v>101</v>
      </c>
      <c r="Q135" s="29">
        <f t="shared" si="17"/>
        <v>46</v>
      </c>
      <c r="R135" s="25"/>
    </row>
    <row r="136" spans="1:18" s="11" customFormat="1" ht="15" x14ac:dyDescent="0.25">
      <c r="A136" s="14" t="s">
        <v>41</v>
      </c>
      <c r="B136" s="29">
        <v>305</v>
      </c>
      <c r="C136" s="31">
        <v>4</v>
      </c>
      <c r="D136" s="31">
        <v>2</v>
      </c>
      <c r="E136" s="31">
        <v>4</v>
      </c>
      <c r="F136" s="31">
        <v>4</v>
      </c>
      <c r="G136" s="31">
        <v>4</v>
      </c>
      <c r="H136" s="31">
        <v>4</v>
      </c>
      <c r="I136" s="31">
        <v>4</v>
      </c>
      <c r="J136" s="31">
        <v>9</v>
      </c>
      <c r="K136" s="31">
        <v>4</v>
      </c>
      <c r="L136" s="31">
        <v>24</v>
      </c>
      <c r="M136" s="31">
        <v>4</v>
      </c>
      <c r="N136" s="31">
        <v>4</v>
      </c>
      <c r="O136" s="31">
        <v>214</v>
      </c>
      <c r="P136" s="31">
        <v>14</v>
      </c>
      <c r="Q136" s="31">
        <v>6</v>
      </c>
      <c r="R136" s="25"/>
    </row>
    <row r="137" spans="1:18" s="11" customFormat="1" ht="15" x14ac:dyDescent="0.25">
      <c r="A137" s="14" t="s">
        <v>43</v>
      </c>
      <c r="B137" s="29">
        <v>216</v>
      </c>
      <c r="C137" s="31">
        <v>5</v>
      </c>
      <c r="D137" s="31">
        <v>4</v>
      </c>
      <c r="E137" s="31">
        <v>18</v>
      </c>
      <c r="F137" s="31">
        <v>5</v>
      </c>
      <c r="G137" s="31">
        <v>5</v>
      </c>
      <c r="H137" s="31">
        <v>5</v>
      </c>
      <c r="I137" s="31">
        <v>5</v>
      </c>
      <c r="J137" s="31">
        <v>5</v>
      </c>
      <c r="K137" s="31">
        <v>6</v>
      </c>
      <c r="L137" s="31">
        <v>28</v>
      </c>
      <c r="M137" s="31">
        <v>10</v>
      </c>
      <c r="N137" s="31">
        <v>5</v>
      </c>
      <c r="O137" s="31">
        <v>91</v>
      </c>
      <c r="P137" s="31">
        <v>18</v>
      </c>
      <c r="Q137" s="31">
        <v>6</v>
      </c>
      <c r="R137" s="25"/>
    </row>
    <row r="138" spans="1:18" s="11" customFormat="1" x14ac:dyDescent="0.2">
      <c r="A138" s="14" t="s">
        <v>42</v>
      </c>
      <c r="B138" s="29">
        <v>212</v>
      </c>
      <c r="C138" s="31">
        <v>2</v>
      </c>
      <c r="D138" s="31">
        <v>13</v>
      </c>
      <c r="E138" s="31">
        <v>3</v>
      </c>
      <c r="F138" s="31">
        <v>2</v>
      </c>
      <c r="G138" s="31">
        <v>2</v>
      </c>
      <c r="H138" s="31">
        <v>2</v>
      </c>
      <c r="I138" s="31">
        <v>2</v>
      </c>
      <c r="J138" s="31">
        <v>2</v>
      </c>
      <c r="K138" s="31">
        <v>2</v>
      </c>
      <c r="L138" s="31">
        <v>53</v>
      </c>
      <c r="M138" s="31">
        <v>2</v>
      </c>
      <c r="N138" s="31">
        <v>2</v>
      </c>
      <c r="O138" s="31">
        <v>112</v>
      </c>
      <c r="P138" s="31">
        <v>11</v>
      </c>
      <c r="Q138" s="31">
        <v>2</v>
      </c>
      <c r="R138" s="1"/>
    </row>
    <row r="139" spans="1:18" s="11" customFormat="1" x14ac:dyDescent="0.2">
      <c r="A139" s="14" t="s">
        <v>44</v>
      </c>
      <c r="B139" s="29">
        <v>180</v>
      </c>
      <c r="C139" s="31">
        <v>1</v>
      </c>
      <c r="D139" s="31">
        <v>136</v>
      </c>
      <c r="E139" s="31">
        <v>1</v>
      </c>
      <c r="F139" s="31">
        <v>1</v>
      </c>
      <c r="G139" s="31">
        <v>1</v>
      </c>
      <c r="H139" s="31">
        <v>1</v>
      </c>
      <c r="I139" s="31">
        <v>1</v>
      </c>
      <c r="J139" s="31">
        <v>1</v>
      </c>
      <c r="K139" s="31">
        <v>1</v>
      </c>
      <c r="L139" s="31">
        <v>2</v>
      </c>
      <c r="M139" s="31">
        <v>1</v>
      </c>
      <c r="N139" s="31">
        <v>1</v>
      </c>
      <c r="O139" s="31">
        <v>29</v>
      </c>
      <c r="P139" s="31">
        <v>2</v>
      </c>
      <c r="Q139" s="31">
        <v>1</v>
      </c>
      <c r="R139" s="1"/>
    </row>
    <row r="140" spans="1:18" s="11" customFormat="1" ht="15" x14ac:dyDescent="0.25">
      <c r="A140" s="14" t="s">
        <v>45</v>
      </c>
      <c r="B140" s="29">
        <v>163</v>
      </c>
      <c r="C140" s="31">
        <v>3</v>
      </c>
      <c r="D140" s="31">
        <v>0</v>
      </c>
      <c r="E140" s="31">
        <v>6</v>
      </c>
      <c r="F140" s="31">
        <v>3</v>
      </c>
      <c r="G140" s="31">
        <v>3</v>
      </c>
      <c r="H140" s="31">
        <v>3</v>
      </c>
      <c r="I140" s="31">
        <v>3</v>
      </c>
      <c r="J140" s="31">
        <v>4</v>
      </c>
      <c r="K140" s="31">
        <v>4</v>
      </c>
      <c r="L140" s="31">
        <v>34</v>
      </c>
      <c r="M140" s="31">
        <v>5</v>
      </c>
      <c r="N140" s="31">
        <v>3</v>
      </c>
      <c r="O140" s="31">
        <v>83</v>
      </c>
      <c r="P140" s="31">
        <v>5</v>
      </c>
      <c r="Q140" s="31">
        <v>4</v>
      </c>
      <c r="R140" s="25"/>
    </row>
    <row r="141" spans="1:18" s="11" customFormat="1" ht="15" x14ac:dyDescent="0.25">
      <c r="A141" s="14" t="s">
        <v>46</v>
      </c>
      <c r="B141" s="29">
        <v>129</v>
      </c>
      <c r="C141" s="31">
        <v>3</v>
      </c>
      <c r="D141" s="31">
        <v>2</v>
      </c>
      <c r="E141" s="31">
        <v>4</v>
      </c>
      <c r="F141" s="31">
        <v>3</v>
      </c>
      <c r="G141" s="31">
        <v>3</v>
      </c>
      <c r="H141" s="31">
        <v>3</v>
      </c>
      <c r="I141" s="31">
        <v>3</v>
      </c>
      <c r="J141" s="31">
        <v>5</v>
      </c>
      <c r="K141" s="31">
        <v>3</v>
      </c>
      <c r="L141" s="31">
        <v>18</v>
      </c>
      <c r="M141" s="31">
        <v>3</v>
      </c>
      <c r="N141" s="31">
        <v>3</v>
      </c>
      <c r="O141" s="31">
        <v>66</v>
      </c>
      <c r="P141" s="31">
        <v>7</v>
      </c>
      <c r="Q141" s="31">
        <v>3</v>
      </c>
      <c r="R141" s="25"/>
    </row>
    <row r="142" spans="1:18" s="11" customFormat="1" ht="15" x14ac:dyDescent="0.25">
      <c r="A142" s="14" t="s">
        <v>48</v>
      </c>
      <c r="B142" s="29">
        <v>102</v>
      </c>
      <c r="C142" s="31">
        <v>3</v>
      </c>
      <c r="D142" s="31">
        <v>16</v>
      </c>
      <c r="E142" s="31">
        <v>2</v>
      </c>
      <c r="F142" s="31">
        <v>2</v>
      </c>
      <c r="G142" s="31">
        <v>2</v>
      </c>
      <c r="H142" s="31">
        <v>2</v>
      </c>
      <c r="I142" s="31">
        <v>2</v>
      </c>
      <c r="J142" s="31">
        <v>2</v>
      </c>
      <c r="K142" s="31">
        <v>2</v>
      </c>
      <c r="L142" s="31">
        <v>6</v>
      </c>
      <c r="M142" s="31">
        <v>3</v>
      </c>
      <c r="N142" s="31">
        <v>2</v>
      </c>
      <c r="O142" s="31">
        <v>50</v>
      </c>
      <c r="P142" s="31">
        <v>2</v>
      </c>
      <c r="Q142" s="31">
        <v>6</v>
      </c>
      <c r="R142" s="25"/>
    </row>
    <row r="143" spans="1:18" s="11" customFormat="1" ht="15" x14ac:dyDescent="0.25">
      <c r="A143" s="14" t="s">
        <v>47</v>
      </c>
      <c r="B143" s="29">
        <v>77</v>
      </c>
      <c r="C143" s="31">
        <v>3</v>
      </c>
      <c r="D143" s="31">
        <v>0</v>
      </c>
      <c r="E143" s="31">
        <v>3</v>
      </c>
      <c r="F143" s="31">
        <v>3</v>
      </c>
      <c r="G143" s="31">
        <v>3</v>
      </c>
      <c r="H143" s="31">
        <v>3</v>
      </c>
      <c r="I143" s="31">
        <v>3</v>
      </c>
      <c r="J143" s="31">
        <v>3</v>
      </c>
      <c r="K143" s="31">
        <v>3</v>
      </c>
      <c r="L143" s="31">
        <v>12</v>
      </c>
      <c r="M143" s="31">
        <v>3</v>
      </c>
      <c r="N143" s="31">
        <v>3</v>
      </c>
      <c r="O143" s="31">
        <v>27</v>
      </c>
      <c r="P143" s="31">
        <v>5</v>
      </c>
      <c r="Q143" s="31">
        <v>3</v>
      </c>
      <c r="R143" s="25"/>
    </row>
    <row r="144" spans="1:18" s="11" customFormat="1" ht="15" x14ac:dyDescent="0.25">
      <c r="A144" s="14" t="s">
        <v>71</v>
      </c>
      <c r="B144" s="29">
        <v>70</v>
      </c>
      <c r="C144" s="31">
        <v>5</v>
      </c>
      <c r="D144" s="31">
        <v>1</v>
      </c>
      <c r="E144" s="31">
        <v>5</v>
      </c>
      <c r="F144" s="31">
        <v>5</v>
      </c>
      <c r="G144" s="31">
        <v>5</v>
      </c>
      <c r="H144" s="31">
        <v>5</v>
      </c>
      <c r="I144" s="31">
        <v>5</v>
      </c>
      <c r="J144" s="31">
        <v>5</v>
      </c>
      <c r="K144" s="31">
        <v>5</v>
      </c>
      <c r="L144" s="31">
        <v>5</v>
      </c>
      <c r="M144" s="31">
        <v>5</v>
      </c>
      <c r="N144" s="31">
        <v>5</v>
      </c>
      <c r="O144" s="31">
        <v>4</v>
      </c>
      <c r="P144" s="31">
        <v>5</v>
      </c>
      <c r="Q144" s="31">
        <v>5</v>
      </c>
      <c r="R144" s="25"/>
    </row>
    <row r="145" spans="1:18" s="7" customFormat="1" ht="15" x14ac:dyDescent="0.25">
      <c r="A145" s="14" t="s">
        <v>50</v>
      </c>
      <c r="B145" s="29">
        <v>48</v>
      </c>
      <c r="C145" s="31">
        <v>2</v>
      </c>
      <c r="D145" s="31">
        <v>1</v>
      </c>
      <c r="E145" s="31">
        <v>3</v>
      </c>
      <c r="F145" s="31">
        <v>2</v>
      </c>
      <c r="G145" s="31">
        <v>2</v>
      </c>
      <c r="H145" s="31">
        <v>2</v>
      </c>
      <c r="I145" s="31">
        <v>2</v>
      </c>
      <c r="J145" s="31">
        <v>2</v>
      </c>
      <c r="K145" s="31">
        <v>2</v>
      </c>
      <c r="L145" s="31">
        <v>7</v>
      </c>
      <c r="M145" s="31">
        <v>3</v>
      </c>
      <c r="N145" s="31">
        <v>2</v>
      </c>
      <c r="O145" s="31">
        <v>13</v>
      </c>
      <c r="P145" s="31">
        <v>3</v>
      </c>
      <c r="Q145" s="31">
        <v>2</v>
      </c>
      <c r="R145" s="25"/>
    </row>
    <row r="146" spans="1:18" ht="15" x14ac:dyDescent="0.25">
      <c r="A146" s="14" t="s">
        <v>29</v>
      </c>
      <c r="B146" s="29">
        <v>333</v>
      </c>
      <c r="C146" s="29">
        <v>4</v>
      </c>
      <c r="D146" s="29">
        <v>20</v>
      </c>
      <c r="E146" s="29">
        <v>8</v>
      </c>
      <c r="F146" s="29">
        <v>4</v>
      </c>
      <c r="G146" s="29">
        <v>4</v>
      </c>
      <c r="H146" s="29">
        <v>4</v>
      </c>
      <c r="I146" s="29">
        <v>4</v>
      </c>
      <c r="J146" s="29">
        <v>6</v>
      </c>
      <c r="K146" s="29">
        <v>5</v>
      </c>
      <c r="L146" s="29">
        <v>45</v>
      </c>
      <c r="M146" s="29">
        <v>5</v>
      </c>
      <c r="N146" s="29">
        <v>4</v>
      </c>
      <c r="O146" s="29">
        <v>183</v>
      </c>
      <c r="P146" s="29">
        <v>29</v>
      </c>
      <c r="Q146" s="29">
        <v>8</v>
      </c>
      <c r="R146" s="25"/>
    </row>
    <row r="147" spans="1:18" ht="15" x14ac:dyDescent="0.25">
      <c r="A147" s="30" t="s">
        <v>51</v>
      </c>
      <c r="B147" s="29">
        <f>SUM(B148:B153)</f>
        <v>193</v>
      </c>
      <c r="C147" s="29">
        <f t="shared" ref="C147:Q147" si="18">SUM(C148:C153)</f>
        <v>4</v>
      </c>
      <c r="D147" s="29">
        <f t="shared" si="18"/>
        <v>0</v>
      </c>
      <c r="E147" s="29">
        <f t="shared" si="18"/>
        <v>9</v>
      </c>
      <c r="F147" s="29">
        <f t="shared" si="18"/>
        <v>4</v>
      </c>
      <c r="G147" s="29">
        <f t="shared" si="18"/>
        <v>4</v>
      </c>
      <c r="H147" s="29">
        <f t="shared" si="18"/>
        <v>4</v>
      </c>
      <c r="I147" s="29">
        <f t="shared" si="18"/>
        <v>4</v>
      </c>
      <c r="J147" s="29">
        <f t="shared" si="18"/>
        <v>4</v>
      </c>
      <c r="K147" s="29">
        <f t="shared" si="18"/>
        <v>4</v>
      </c>
      <c r="L147" s="29">
        <f t="shared" si="18"/>
        <v>18</v>
      </c>
      <c r="M147" s="29">
        <f t="shared" si="18"/>
        <v>4</v>
      </c>
      <c r="N147" s="29">
        <f t="shared" si="18"/>
        <v>4</v>
      </c>
      <c r="O147" s="29">
        <f t="shared" si="18"/>
        <v>71</v>
      </c>
      <c r="P147" s="29">
        <f t="shared" si="18"/>
        <v>55</v>
      </c>
      <c r="Q147" s="29">
        <f t="shared" si="18"/>
        <v>4</v>
      </c>
      <c r="R147" s="25"/>
    </row>
    <row r="148" spans="1:18" ht="15" x14ac:dyDescent="0.25">
      <c r="A148" s="14" t="s">
        <v>53</v>
      </c>
      <c r="B148" s="29">
        <v>90</v>
      </c>
      <c r="C148" s="31">
        <v>3</v>
      </c>
      <c r="D148" s="31">
        <v>0</v>
      </c>
      <c r="E148" s="31">
        <v>5</v>
      </c>
      <c r="F148" s="31">
        <v>3</v>
      </c>
      <c r="G148" s="31">
        <v>3</v>
      </c>
      <c r="H148" s="31">
        <v>3</v>
      </c>
      <c r="I148" s="31">
        <v>3</v>
      </c>
      <c r="J148" s="31">
        <v>3</v>
      </c>
      <c r="K148" s="31">
        <v>3</v>
      </c>
      <c r="L148" s="31">
        <v>7</v>
      </c>
      <c r="M148" s="31">
        <v>3</v>
      </c>
      <c r="N148" s="31">
        <v>3</v>
      </c>
      <c r="O148" s="31">
        <v>13</v>
      </c>
      <c r="P148" s="31">
        <v>35</v>
      </c>
      <c r="Q148" s="31">
        <v>3</v>
      </c>
      <c r="R148" s="25"/>
    </row>
    <row r="149" spans="1:18" ht="15" x14ac:dyDescent="0.25">
      <c r="A149" s="14" t="s">
        <v>52</v>
      </c>
      <c r="B149" s="29">
        <v>74</v>
      </c>
      <c r="C149" s="31">
        <v>1</v>
      </c>
      <c r="D149" s="31">
        <v>0</v>
      </c>
      <c r="E149" s="31">
        <v>4</v>
      </c>
      <c r="F149" s="31">
        <v>1</v>
      </c>
      <c r="G149" s="31">
        <v>1</v>
      </c>
      <c r="H149" s="31">
        <v>1</v>
      </c>
      <c r="I149" s="31">
        <v>1</v>
      </c>
      <c r="J149" s="31">
        <v>1</v>
      </c>
      <c r="K149" s="31">
        <v>1</v>
      </c>
      <c r="L149" s="31">
        <v>7</v>
      </c>
      <c r="M149" s="31">
        <v>1</v>
      </c>
      <c r="N149" s="31">
        <v>1</v>
      </c>
      <c r="O149" s="31">
        <v>34</v>
      </c>
      <c r="P149" s="31">
        <v>19</v>
      </c>
      <c r="Q149" s="31">
        <v>1</v>
      </c>
      <c r="R149" s="25"/>
    </row>
    <row r="150" spans="1:18" s="11" customFormat="1" ht="15" x14ac:dyDescent="0.25">
      <c r="A150" s="14" t="s">
        <v>54</v>
      </c>
      <c r="B150" s="29">
        <v>6</v>
      </c>
      <c r="C150" s="31">
        <v>0</v>
      </c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1</v>
      </c>
      <c r="M150" s="31">
        <v>0</v>
      </c>
      <c r="N150" s="31">
        <v>0</v>
      </c>
      <c r="O150" s="31">
        <v>5</v>
      </c>
      <c r="P150" s="31">
        <v>0</v>
      </c>
      <c r="Q150" s="31">
        <v>0</v>
      </c>
      <c r="R150" s="25"/>
    </row>
    <row r="151" spans="1:18" s="7" customFormat="1" ht="15" x14ac:dyDescent="0.25">
      <c r="A151" s="14" t="s">
        <v>72</v>
      </c>
      <c r="B151" s="29">
        <v>6</v>
      </c>
      <c r="C151" s="31">
        <v>0</v>
      </c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1</v>
      </c>
      <c r="M151" s="31">
        <v>0</v>
      </c>
      <c r="N151" s="31">
        <v>0</v>
      </c>
      <c r="O151" s="31">
        <v>4</v>
      </c>
      <c r="P151" s="31">
        <v>1</v>
      </c>
      <c r="Q151" s="31">
        <v>0</v>
      </c>
      <c r="R151" s="25"/>
    </row>
    <row r="152" spans="1:18" ht="15" x14ac:dyDescent="0.25">
      <c r="A152" s="14" t="s">
        <v>56</v>
      </c>
      <c r="B152" s="29">
        <v>4</v>
      </c>
      <c r="C152" s="31">
        <v>0</v>
      </c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4</v>
      </c>
      <c r="P152" s="31">
        <v>0</v>
      </c>
      <c r="Q152" s="31">
        <v>0</v>
      </c>
      <c r="R152" s="25"/>
    </row>
    <row r="153" spans="1:18" ht="15" x14ac:dyDescent="0.25">
      <c r="A153" s="14" t="s">
        <v>29</v>
      </c>
      <c r="B153" s="29">
        <v>13</v>
      </c>
      <c r="C153" s="31">
        <v>0</v>
      </c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2</v>
      </c>
      <c r="M153" s="31">
        <v>0</v>
      </c>
      <c r="N153" s="31">
        <v>0</v>
      </c>
      <c r="O153" s="31">
        <v>11</v>
      </c>
      <c r="P153" s="31">
        <v>0</v>
      </c>
      <c r="Q153" s="31">
        <v>0</v>
      </c>
      <c r="R153" s="25"/>
    </row>
    <row r="154" spans="1:18" ht="15" x14ac:dyDescent="0.25">
      <c r="A154" s="30" t="s">
        <v>57</v>
      </c>
      <c r="B154" s="29">
        <f>SUM(B155:B157)</f>
        <v>73</v>
      </c>
      <c r="C154" s="29">
        <f t="shared" ref="C154:Q154" si="19">SUM(C155:C157)</f>
        <v>2</v>
      </c>
      <c r="D154" s="29">
        <f t="shared" si="19"/>
        <v>7</v>
      </c>
      <c r="E154" s="29">
        <f t="shared" si="19"/>
        <v>2</v>
      </c>
      <c r="F154" s="29">
        <f t="shared" si="19"/>
        <v>1</v>
      </c>
      <c r="G154" s="29">
        <f t="shared" si="19"/>
        <v>1</v>
      </c>
      <c r="H154" s="29">
        <f t="shared" si="19"/>
        <v>1</v>
      </c>
      <c r="I154" s="29">
        <f t="shared" si="19"/>
        <v>1</v>
      </c>
      <c r="J154" s="29">
        <f t="shared" si="19"/>
        <v>1</v>
      </c>
      <c r="K154" s="29">
        <f t="shared" si="19"/>
        <v>1</v>
      </c>
      <c r="L154" s="29">
        <f t="shared" si="19"/>
        <v>3</v>
      </c>
      <c r="M154" s="29">
        <f t="shared" si="19"/>
        <v>1</v>
      </c>
      <c r="N154" s="29">
        <f t="shared" si="19"/>
        <v>1</v>
      </c>
      <c r="O154" s="29">
        <f t="shared" si="19"/>
        <v>45</v>
      </c>
      <c r="P154" s="29">
        <f t="shared" si="19"/>
        <v>5</v>
      </c>
      <c r="Q154" s="29">
        <f t="shared" si="19"/>
        <v>1</v>
      </c>
      <c r="R154" s="25"/>
    </row>
    <row r="155" spans="1:18" ht="15" x14ac:dyDescent="0.25">
      <c r="A155" s="14" t="s">
        <v>58</v>
      </c>
      <c r="B155" s="29">
        <v>53</v>
      </c>
      <c r="C155" s="31">
        <v>0</v>
      </c>
      <c r="D155" s="31">
        <v>6</v>
      </c>
      <c r="E155" s="31">
        <v>1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2</v>
      </c>
      <c r="M155" s="31">
        <v>0</v>
      </c>
      <c r="N155" s="31">
        <v>0</v>
      </c>
      <c r="O155" s="31">
        <v>40</v>
      </c>
      <c r="P155" s="31">
        <v>4</v>
      </c>
      <c r="Q155" s="31">
        <v>0</v>
      </c>
      <c r="R155" s="25"/>
    </row>
    <row r="156" spans="1:18" x14ac:dyDescent="0.2">
      <c r="A156" s="14" t="s">
        <v>59</v>
      </c>
      <c r="B156" s="29">
        <v>18</v>
      </c>
      <c r="C156" s="31">
        <v>2</v>
      </c>
      <c r="D156" s="31">
        <v>1</v>
      </c>
      <c r="E156" s="31">
        <v>1</v>
      </c>
      <c r="F156" s="31">
        <v>1</v>
      </c>
      <c r="G156" s="31">
        <v>1</v>
      </c>
      <c r="H156" s="31">
        <v>1</v>
      </c>
      <c r="I156" s="31">
        <v>1</v>
      </c>
      <c r="J156" s="31">
        <v>1</v>
      </c>
      <c r="K156" s="31">
        <v>1</v>
      </c>
      <c r="L156" s="31">
        <v>1</v>
      </c>
      <c r="M156" s="31">
        <v>1</v>
      </c>
      <c r="N156" s="31">
        <v>1</v>
      </c>
      <c r="O156" s="31">
        <v>3</v>
      </c>
      <c r="P156" s="31">
        <v>1</v>
      </c>
      <c r="Q156" s="31">
        <v>1</v>
      </c>
      <c r="R156" s="23"/>
    </row>
    <row r="157" spans="1:18" x14ac:dyDescent="0.2">
      <c r="A157" s="32" t="s">
        <v>62</v>
      </c>
      <c r="B157" s="33">
        <v>2</v>
      </c>
      <c r="C157" s="34">
        <v>0</v>
      </c>
      <c r="D157" s="34">
        <v>0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2</v>
      </c>
      <c r="P157" s="34">
        <v>0</v>
      </c>
      <c r="Q157" s="34">
        <v>0</v>
      </c>
      <c r="R157" s="23"/>
    </row>
    <row r="158" spans="1:18" x14ac:dyDescent="0.2">
      <c r="A158" s="24" t="s">
        <v>63</v>
      </c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3"/>
    </row>
    <row r="159" spans="1:18" x14ac:dyDescent="0.2">
      <c r="A159" s="20"/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3"/>
    </row>
    <row r="160" spans="1:18" x14ac:dyDescent="0.2">
      <c r="A160" s="20"/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3"/>
    </row>
    <row r="161" spans="1:18" x14ac:dyDescent="0.2">
      <c r="A161" s="20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3"/>
    </row>
    <row r="162" spans="1:18" ht="21" x14ac:dyDescent="0.2">
      <c r="A162" s="36" t="s">
        <v>66</v>
      </c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23"/>
    </row>
    <row r="163" spans="1:18" ht="15" x14ac:dyDescent="0.2">
      <c r="A163" s="35" t="s">
        <v>67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7"/>
    </row>
    <row r="164" spans="1:18" x14ac:dyDescent="0.2">
      <c r="A164" s="20"/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7"/>
    </row>
    <row r="165" spans="1:18" ht="76.5" x14ac:dyDescent="0.2">
      <c r="A165" s="3" t="s">
        <v>1</v>
      </c>
      <c r="B165" s="38" t="s">
        <v>0</v>
      </c>
      <c r="C165" s="38" t="s">
        <v>2</v>
      </c>
      <c r="D165" s="38" t="s">
        <v>3</v>
      </c>
      <c r="E165" s="38" t="s">
        <v>4</v>
      </c>
      <c r="F165" s="38" t="s">
        <v>5</v>
      </c>
      <c r="G165" s="38" t="s">
        <v>6</v>
      </c>
      <c r="H165" s="38" t="s">
        <v>7</v>
      </c>
      <c r="I165" s="38" t="s">
        <v>8</v>
      </c>
      <c r="J165" s="38" t="s">
        <v>9</v>
      </c>
      <c r="K165" s="38" t="s">
        <v>10</v>
      </c>
      <c r="L165" s="38" t="s">
        <v>11</v>
      </c>
      <c r="M165" s="38" t="s">
        <v>12</v>
      </c>
      <c r="N165" s="38" t="s">
        <v>13</v>
      </c>
      <c r="O165" s="38" t="s">
        <v>14</v>
      </c>
      <c r="P165" s="38" t="s">
        <v>15</v>
      </c>
      <c r="Q165" s="37" t="s">
        <v>16</v>
      </c>
      <c r="R165" s="11"/>
    </row>
    <row r="166" spans="1:18" x14ac:dyDescent="0.2">
      <c r="A166" s="5" t="s">
        <v>17</v>
      </c>
      <c r="B166" s="6">
        <f t="shared" ref="B166:Q166" si="20">B167+B179+B190+B202+B209</f>
        <v>57424</v>
      </c>
      <c r="C166" s="6">
        <f t="shared" si="20"/>
        <v>1722</v>
      </c>
      <c r="D166" s="6">
        <f t="shared" si="20"/>
        <v>11801</v>
      </c>
      <c r="E166" s="6">
        <f t="shared" si="20"/>
        <v>1476</v>
      </c>
      <c r="F166" s="6">
        <f t="shared" si="20"/>
        <v>2494</v>
      </c>
      <c r="G166" s="6">
        <f t="shared" si="20"/>
        <v>1361</v>
      </c>
      <c r="H166" s="6">
        <f t="shared" si="20"/>
        <v>1317</v>
      </c>
      <c r="I166" s="6">
        <f t="shared" si="20"/>
        <v>1764</v>
      </c>
      <c r="J166" s="6">
        <f t="shared" si="20"/>
        <v>5136</v>
      </c>
      <c r="K166" s="6">
        <f t="shared" si="20"/>
        <v>4461</v>
      </c>
      <c r="L166" s="6">
        <f t="shared" si="20"/>
        <v>2957</v>
      </c>
      <c r="M166" s="6">
        <f t="shared" si="20"/>
        <v>2277</v>
      </c>
      <c r="N166" s="6">
        <f t="shared" si="20"/>
        <v>1503</v>
      </c>
      <c r="O166" s="6">
        <f t="shared" si="20"/>
        <v>11680</v>
      </c>
      <c r="P166" s="6">
        <f t="shared" si="20"/>
        <v>2647</v>
      </c>
      <c r="Q166" s="6">
        <f t="shared" si="20"/>
        <v>4828</v>
      </c>
      <c r="R166" s="11"/>
    </row>
    <row r="167" spans="1:18" x14ac:dyDescent="0.2">
      <c r="A167" s="5" t="s">
        <v>18</v>
      </c>
      <c r="B167" s="6">
        <f>SUM(B168:B178)</f>
        <v>54664</v>
      </c>
      <c r="C167" s="6">
        <f t="shared" ref="C167:Q167" si="21">SUM(C168:C178)</f>
        <v>1663</v>
      </c>
      <c r="D167" s="6">
        <f t="shared" si="21"/>
        <v>11513</v>
      </c>
      <c r="E167" s="6">
        <f t="shared" si="21"/>
        <v>1392</v>
      </c>
      <c r="F167" s="6">
        <f t="shared" si="21"/>
        <v>2435</v>
      </c>
      <c r="G167" s="6">
        <f t="shared" si="21"/>
        <v>1303</v>
      </c>
      <c r="H167" s="6">
        <f t="shared" si="21"/>
        <v>1259</v>
      </c>
      <c r="I167" s="6">
        <f t="shared" si="21"/>
        <v>1703</v>
      </c>
      <c r="J167" s="6">
        <f t="shared" si="21"/>
        <v>5068</v>
      </c>
      <c r="K167" s="6">
        <f t="shared" si="21"/>
        <v>4398</v>
      </c>
      <c r="L167" s="6">
        <f t="shared" si="21"/>
        <v>2628</v>
      </c>
      <c r="M167" s="6">
        <f t="shared" si="21"/>
        <v>2214</v>
      </c>
      <c r="N167" s="6">
        <f t="shared" si="21"/>
        <v>1445</v>
      </c>
      <c r="O167" s="6">
        <f t="shared" si="21"/>
        <v>10414</v>
      </c>
      <c r="P167" s="6">
        <f t="shared" si="21"/>
        <v>2468</v>
      </c>
      <c r="Q167" s="6">
        <f t="shared" si="21"/>
        <v>4761</v>
      </c>
      <c r="R167" s="13"/>
    </row>
    <row r="168" spans="1:18" x14ac:dyDescent="0.2">
      <c r="A168" s="8" t="s">
        <v>19</v>
      </c>
      <c r="B168" s="9">
        <f t="shared" ref="B168:B177" si="22">SUM(C168:Q168)</f>
        <v>29055</v>
      </c>
      <c r="C168" s="10">
        <v>860</v>
      </c>
      <c r="D168" s="10">
        <v>8720</v>
      </c>
      <c r="E168" s="10">
        <v>545</v>
      </c>
      <c r="F168" s="10">
        <v>1246</v>
      </c>
      <c r="G168" s="10">
        <v>509</v>
      </c>
      <c r="H168" s="10">
        <v>520</v>
      </c>
      <c r="I168" s="10">
        <v>688</v>
      </c>
      <c r="J168" s="10">
        <v>3370</v>
      </c>
      <c r="K168" s="10">
        <v>2906</v>
      </c>
      <c r="L168" s="10">
        <v>1360</v>
      </c>
      <c r="M168" s="10">
        <v>917</v>
      </c>
      <c r="N168" s="10">
        <v>665</v>
      </c>
      <c r="O168" s="10">
        <v>2936</v>
      </c>
      <c r="P168" s="10">
        <v>1088</v>
      </c>
      <c r="Q168" s="10">
        <v>2725</v>
      </c>
      <c r="R168" s="11"/>
    </row>
    <row r="169" spans="1:18" x14ac:dyDescent="0.2">
      <c r="A169" s="12" t="s">
        <v>20</v>
      </c>
      <c r="B169" s="9">
        <f t="shared" si="22"/>
        <v>10197</v>
      </c>
      <c r="C169" s="10">
        <v>308</v>
      </c>
      <c r="D169" s="10">
        <v>1464</v>
      </c>
      <c r="E169" s="10">
        <v>377</v>
      </c>
      <c r="F169" s="10">
        <v>496</v>
      </c>
      <c r="G169" s="10">
        <v>279</v>
      </c>
      <c r="H169" s="10">
        <v>270</v>
      </c>
      <c r="I169" s="10">
        <v>517</v>
      </c>
      <c r="J169" s="10">
        <v>722</v>
      </c>
      <c r="K169" s="10">
        <v>617</v>
      </c>
      <c r="L169" s="10">
        <v>401</v>
      </c>
      <c r="M169" s="10">
        <v>457</v>
      </c>
      <c r="N169" s="10">
        <v>327</v>
      </c>
      <c r="O169" s="10">
        <v>2439</v>
      </c>
      <c r="P169" s="10">
        <v>503</v>
      </c>
      <c r="Q169" s="10">
        <v>1020</v>
      </c>
      <c r="R169" s="11"/>
    </row>
    <row r="170" spans="1:18" x14ac:dyDescent="0.2">
      <c r="A170" s="12" t="s">
        <v>21</v>
      </c>
      <c r="B170" s="9">
        <f t="shared" si="22"/>
        <v>9758</v>
      </c>
      <c r="C170" s="10">
        <v>350</v>
      </c>
      <c r="D170" s="10">
        <v>840</v>
      </c>
      <c r="E170" s="10">
        <v>337</v>
      </c>
      <c r="F170" s="10">
        <v>541</v>
      </c>
      <c r="G170" s="10">
        <v>397</v>
      </c>
      <c r="H170" s="10">
        <v>316</v>
      </c>
      <c r="I170" s="10">
        <v>344</v>
      </c>
      <c r="J170" s="10">
        <v>677</v>
      </c>
      <c r="K170" s="10">
        <v>580</v>
      </c>
      <c r="L170" s="10">
        <v>482</v>
      </c>
      <c r="M170" s="10">
        <v>626</v>
      </c>
      <c r="N170" s="10">
        <v>330</v>
      </c>
      <c r="O170" s="10">
        <v>2501</v>
      </c>
      <c r="P170" s="10">
        <v>644</v>
      </c>
      <c r="Q170" s="10">
        <v>793</v>
      </c>
      <c r="R170" s="11"/>
    </row>
    <row r="171" spans="1:18" x14ac:dyDescent="0.2">
      <c r="A171" s="12" t="s">
        <v>22</v>
      </c>
      <c r="B171" s="9">
        <f t="shared" si="22"/>
        <v>1477</v>
      </c>
      <c r="C171" s="10">
        <v>59</v>
      </c>
      <c r="D171" s="10">
        <v>103</v>
      </c>
      <c r="E171" s="10">
        <v>31</v>
      </c>
      <c r="F171" s="10">
        <v>53</v>
      </c>
      <c r="G171" s="10">
        <v>33</v>
      </c>
      <c r="H171" s="10">
        <v>30</v>
      </c>
      <c r="I171" s="10">
        <v>41</v>
      </c>
      <c r="J171" s="10">
        <v>112</v>
      </c>
      <c r="K171" s="10">
        <v>132</v>
      </c>
      <c r="L171" s="10">
        <v>64</v>
      </c>
      <c r="M171" s="10">
        <v>110</v>
      </c>
      <c r="N171" s="10">
        <v>35</v>
      </c>
      <c r="O171" s="10">
        <v>531</v>
      </c>
      <c r="P171" s="10">
        <v>52</v>
      </c>
      <c r="Q171" s="10">
        <v>91</v>
      </c>
      <c r="R171" s="11"/>
    </row>
    <row r="172" spans="1:18" x14ac:dyDescent="0.2">
      <c r="A172" s="12" t="s">
        <v>23</v>
      </c>
      <c r="B172" s="9">
        <f t="shared" si="22"/>
        <v>1359</v>
      </c>
      <c r="C172" s="10">
        <v>34</v>
      </c>
      <c r="D172" s="10">
        <v>87</v>
      </c>
      <c r="E172" s="10">
        <v>44</v>
      </c>
      <c r="F172" s="10">
        <v>41</v>
      </c>
      <c r="G172" s="10">
        <v>34</v>
      </c>
      <c r="H172" s="10">
        <v>34</v>
      </c>
      <c r="I172" s="10">
        <v>45</v>
      </c>
      <c r="J172" s="10">
        <v>86</v>
      </c>
      <c r="K172" s="10">
        <v>68</v>
      </c>
      <c r="L172" s="10">
        <v>62</v>
      </c>
      <c r="M172" s="10">
        <v>46</v>
      </c>
      <c r="N172" s="10">
        <v>37</v>
      </c>
      <c r="O172" s="10">
        <v>600</v>
      </c>
      <c r="P172" s="10">
        <v>81</v>
      </c>
      <c r="Q172" s="10">
        <v>60</v>
      </c>
      <c r="R172" s="11"/>
    </row>
    <row r="173" spans="1:18" x14ac:dyDescent="0.2">
      <c r="A173" s="12" t="s">
        <v>24</v>
      </c>
      <c r="B173" s="9">
        <f t="shared" si="22"/>
        <v>839</v>
      </c>
      <c r="C173" s="10">
        <v>0</v>
      </c>
      <c r="D173" s="10">
        <v>183</v>
      </c>
      <c r="E173" s="10">
        <v>0</v>
      </c>
      <c r="F173" s="10">
        <v>4</v>
      </c>
      <c r="G173" s="10">
        <v>0</v>
      </c>
      <c r="H173" s="10">
        <v>38</v>
      </c>
      <c r="I173" s="10">
        <v>0</v>
      </c>
      <c r="J173" s="10">
        <v>3</v>
      </c>
      <c r="K173" s="10">
        <v>32</v>
      </c>
      <c r="L173" s="10">
        <v>109</v>
      </c>
      <c r="M173" s="10">
        <v>4</v>
      </c>
      <c r="N173" s="10">
        <v>0</v>
      </c>
      <c r="O173" s="10">
        <v>449</v>
      </c>
      <c r="P173" s="10">
        <v>3</v>
      </c>
      <c r="Q173" s="10">
        <v>14</v>
      </c>
      <c r="R173" s="11"/>
    </row>
    <row r="174" spans="1:18" x14ac:dyDescent="0.2">
      <c r="A174" s="12" t="s">
        <v>25</v>
      </c>
      <c r="B174" s="9">
        <f t="shared" si="22"/>
        <v>513</v>
      </c>
      <c r="C174" s="10">
        <v>10</v>
      </c>
      <c r="D174" s="10">
        <v>15</v>
      </c>
      <c r="E174" s="10">
        <v>10</v>
      </c>
      <c r="F174" s="10">
        <v>12</v>
      </c>
      <c r="G174" s="10">
        <v>10</v>
      </c>
      <c r="H174" s="10">
        <v>10</v>
      </c>
      <c r="I174" s="10">
        <v>15</v>
      </c>
      <c r="J174" s="10">
        <v>15</v>
      </c>
      <c r="K174" s="10">
        <v>20</v>
      </c>
      <c r="L174" s="10">
        <v>41</v>
      </c>
      <c r="M174" s="10">
        <v>12</v>
      </c>
      <c r="N174" s="10">
        <v>10</v>
      </c>
      <c r="O174" s="10">
        <v>290</v>
      </c>
      <c r="P174" s="10">
        <v>32</v>
      </c>
      <c r="Q174" s="10">
        <v>11</v>
      </c>
      <c r="R174" s="11"/>
    </row>
    <row r="175" spans="1:18" x14ac:dyDescent="0.2">
      <c r="A175" s="12" t="s">
        <v>26</v>
      </c>
      <c r="B175" s="9">
        <f t="shared" si="22"/>
        <v>435</v>
      </c>
      <c r="C175" s="10">
        <v>9</v>
      </c>
      <c r="D175" s="10">
        <v>19</v>
      </c>
      <c r="E175" s="10">
        <v>8</v>
      </c>
      <c r="F175" s="10">
        <v>8</v>
      </c>
      <c r="G175" s="10">
        <v>8</v>
      </c>
      <c r="H175" s="10">
        <v>8</v>
      </c>
      <c r="I175" s="10">
        <v>13</v>
      </c>
      <c r="J175" s="10">
        <v>47</v>
      </c>
      <c r="K175" s="10">
        <v>8</v>
      </c>
      <c r="L175" s="10">
        <v>30</v>
      </c>
      <c r="M175" s="10">
        <v>8</v>
      </c>
      <c r="N175" s="10">
        <v>8</v>
      </c>
      <c r="O175" s="10">
        <v>237</v>
      </c>
      <c r="P175" s="10">
        <v>14</v>
      </c>
      <c r="Q175" s="10">
        <v>10</v>
      </c>
      <c r="R175" s="11"/>
    </row>
    <row r="176" spans="1:18" x14ac:dyDescent="0.2">
      <c r="A176" s="12" t="s">
        <v>27</v>
      </c>
      <c r="B176" s="9">
        <f t="shared" si="22"/>
        <v>225</v>
      </c>
      <c r="C176" s="10">
        <v>4</v>
      </c>
      <c r="D176" s="10">
        <v>50</v>
      </c>
      <c r="E176" s="10">
        <v>4</v>
      </c>
      <c r="F176" s="10">
        <v>4</v>
      </c>
      <c r="G176" s="10">
        <v>4</v>
      </c>
      <c r="H176" s="10">
        <v>4</v>
      </c>
      <c r="I176" s="10">
        <v>4</v>
      </c>
      <c r="J176" s="10">
        <v>5</v>
      </c>
      <c r="K176" s="10">
        <v>4</v>
      </c>
      <c r="L176" s="10">
        <v>10</v>
      </c>
      <c r="M176" s="10">
        <v>4</v>
      </c>
      <c r="N176" s="10">
        <v>4</v>
      </c>
      <c r="O176" s="10">
        <v>115</v>
      </c>
      <c r="P176" s="10">
        <v>5</v>
      </c>
      <c r="Q176" s="10">
        <v>4</v>
      </c>
      <c r="R176" s="7"/>
    </row>
    <row r="177" spans="1:18" x14ac:dyDescent="0.2">
      <c r="A177" s="12" t="s">
        <v>28</v>
      </c>
      <c r="B177" s="9">
        <f t="shared" si="22"/>
        <v>205</v>
      </c>
      <c r="C177" s="10">
        <v>11</v>
      </c>
      <c r="D177" s="10">
        <v>4</v>
      </c>
      <c r="E177" s="10">
        <v>15</v>
      </c>
      <c r="F177" s="10">
        <v>12</v>
      </c>
      <c r="G177" s="10">
        <v>11</v>
      </c>
      <c r="H177" s="10">
        <v>11</v>
      </c>
      <c r="I177" s="10">
        <v>18</v>
      </c>
      <c r="J177" s="10">
        <v>12</v>
      </c>
      <c r="K177" s="10">
        <v>13</v>
      </c>
      <c r="L177" s="10">
        <v>12</v>
      </c>
      <c r="M177" s="10">
        <v>12</v>
      </c>
      <c r="N177" s="10">
        <v>11</v>
      </c>
      <c r="O177" s="10">
        <v>36</v>
      </c>
      <c r="P177" s="10">
        <v>12</v>
      </c>
      <c r="Q177" s="10">
        <v>15</v>
      </c>
      <c r="R177" s="11"/>
    </row>
    <row r="178" spans="1:18" x14ac:dyDescent="0.2">
      <c r="A178" s="12" t="s">
        <v>29</v>
      </c>
      <c r="B178" s="9">
        <v>601</v>
      </c>
      <c r="C178" s="9">
        <v>18</v>
      </c>
      <c r="D178" s="9">
        <v>28</v>
      </c>
      <c r="E178" s="9">
        <v>21</v>
      </c>
      <c r="F178" s="9">
        <v>18</v>
      </c>
      <c r="G178" s="9">
        <v>18</v>
      </c>
      <c r="H178" s="9">
        <v>18</v>
      </c>
      <c r="I178" s="9">
        <v>18</v>
      </c>
      <c r="J178" s="9">
        <v>19</v>
      </c>
      <c r="K178" s="9">
        <v>18</v>
      </c>
      <c r="L178" s="9">
        <v>57</v>
      </c>
      <c r="M178" s="9">
        <v>18</v>
      </c>
      <c r="N178" s="9">
        <v>18</v>
      </c>
      <c r="O178" s="9">
        <v>280</v>
      </c>
      <c r="P178" s="9">
        <v>34</v>
      </c>
      <c r="Q178" s="9">
        <v>18</v>
      </c>
      <c r="R178" s="11"/>
    </row>
    <row r="179" spans="1:18" x14ac:dyDescent="0.2">
      <c r="A179" s="5" t="s">
        <v>30</v>
      </c>
      <c r="B179" s="6">
        <f t="shared" ref="B179:Q179" si="23">SUM(B180:B189)</f>
        <v>316</v>
      </c>
      <c r="C179" s="6">
        <f t="shared" si="23"/>
        <v>7</v>
      </c>
      <c r="D179" s="6">
        <f t="shared" si="23"/>
        <v>10</v>
      </c>
      <c r="E179" s="6">
        <f t="shared" si="23"/>
        <v>9</v>
      </c>
      <c r="F179" s="6">
        <f t="shared" si="23"/>
        <v>7</v>
      </c>
      <c r="G179" s="6">
        <f t="shared" si="23"/>
        <v>7</v>
      </c>
      <c r="H179" s="6">
        <f t="shared" si="23"/>
        <v>7</v>
      </c>
      <c r="I179" s="6">
        <f t="shared" si="23"/>
        <v>7</v>
      </c>
      <c r="J179" s="6">
        <f t="shared" si="23"/>
        <v>8</v>
      </c>
      <c r="K179" s="6">
        <f t="shared" si="23"/>
        <v>7</v>
      </c>
      <c r="L179" s="6">
        <f t="shared" si="23"/>
        <v>16</v>
      </c>
      <c r="M179" s="6">
        <f t="shared" si="23"/>
        <v>7</v>
      </c>
      <c r="N179" s="6">
        <f t="shared" si="23"/>
        <v>7</v>
      </c>
      <c r="O179" s="6">
        <f t="shared" si="23"/>
        <v>194</v>
      </c>
      <c r="P179" s="6">
        <f t="shared" si="23"/>
        <v>12</v>
      </c>
      <c r="Q179" s="6">
        <f t="shared" si="23"/>
        <v>11</v>
      </c>
      <c r="R179" s="11"/>
    </row>
    <row r="180" spans="1:18" x14ac:dyDescent="0.2">
      <c r="A180" s="12" t="s">
        <v>31</v>
      </c>
      <c r="B180" s="9">
        <f t="shared" ref="B180:B188" si="24">SUM(C180:Q180)</f>
        <v>101</v>
      </c>
      <c r="C180" s="10">
        <v>2</v>
      </c>
      <c r="D180" s="10">
        <v>1</v>
      </c>
      <c r="E180" s="10">
        <v>2</v>
      </c>
      <c r="F180" s="10">
        <v>2</v>
      </c>
      <c r="G180" s="10">
        <v>2</v>
      </c>
      <c r="H180" s="10">
        <v>2</v>
      </c>
      <c r="I180" s="10">
        <v>2</v>
      </c>
      <c r="J180" s="10">
        <v>2</v>
      </c>
      <c r="K180" s="10">
        <v>2</v>
      </c>
      <c r="L180" s="10">
        <v>2</v>
      </c>
      <c r="M180" s="10">
        <v>2</v>
      </c>
      <c r="N180" s="10">
        <v>2</v>
      </c>
      <c r="O180" s="10">
        <v>74</v>
      </c>
      <c r="P180" s="10">
        <v>2</v>
      </c>
      <c r="Q180" s="10">
        <v>2</v>
      </c>
      <c r="R180" s="11"/>
    </row>
    <row r="181" spans="1:18" x14ac:dyDescent="0.2">
      <c r="A181" s="12" t="s">
        <v>32</v>
      </c>
      <c r="B181" s="9">
        <f t="shared" si="24"/>
        <v>75</v>
      </c>
      <c r="C181" s="10">
        <v>2</v>
      </c>
      <c r="D181" s="10">
        <v>5</v>
      </c>
      <c r="E181" s="10">
        <v>3</v>
      </c>
      <c r="F181" s="10">
        <v>2</v>
      </c>
      <c r="G181" s="10">
        <v>2</v>
      </c>
      <c r="H181" s="10">
        <v>2</v>
      </c>
      <c r="I181" s="10">
        <v>2</v>
      </c>
      <c r="J181" s="10">
        <v>2</v>
      </c>
      <c r="K181" s="10">
        <v>2</v>
      </c>
      <c r="L181" s="10">
        <v>5</v>
      </c>
      <c r="M181" s="10">
        <v>2</v>
      </c>
      <c r="N181" s="10">
        <v>2</v>
      </c>
      <c r="O181" s="10">
        <v>38</v>
      </c>
      <c r="P181" s="10">
        <v>3</v>
      </c>
      <c r="Q181" s="10">
        <v>3</v>
      </c>
      <c r="R181" s="11"/>
    </row>
    <row r="182" spans="1:18" x14ac:dyDescent="0.2">
      <c r="A182" s="12" t="s">
        <v>33</v>
      </c>
      <c r="B182" s="9">
        <f t="shared" si="24"/>
        <v>47</v>
      </c>
      <c r="C182" s="10">
        <v>0</v>
      </c>
      <c r="D182" s="10">
        <v>1</v>
      </c>
      <c r="E182" s="10">
        <v>1</v>
      </c>
      <c r="F182" s="10">
        <v>0</v>
      </c>
      <c r="G182" s="10">
        <v>0</v>
      </c>
      <c r="H182" s="10">
        <v>0</v>
      </c>
      <c r="I182" s="10">
        <v>0</v>
      </c>
      <c r="J182" s="10">
        <v>1</v>
      </c>
      <c r="K182" s="10">
        <v>0</v>
      </c>
      <c r="L182" s="10">
        <v>2</v>
      </c>
      <c r="M182" s="10">
        <v>0</v>
      </c>
      <c r="N182" s="10">
        <v>0</v>
      </c>
      <c r="O182" s="10">
        <v>41</v>
      </c>
      <c r="P182" s="10">
        <v>1</v>
      </c>
      <c r="Q182" s="10">
        <v>0</v>
      </c>
      <c r="R182" s="11"/>
    </row>
    <row r="183" spans="1:18" x14ac:dyDescent="0.2">
      <c r="A183" s="12" t="s">
        <v>34</v>
      </c>
      <c r="B183" s="9">
        <f t="shared" si="24"/>
        <v>30</v>
      </c>
      <c r="C183" s="10">
        <v>2</v>
      </c>
      <c r="D183" s="10">
        <v>0</v>
      </c>
      <c r="E183" s="10">
        <v>2</v>
      </c>
      <c r="F183" s="10">
        <v>2</v>
      </c>
      <c r="G183" s="10">
        <v>2</v>
      </c>
      <c r="H183" s="10">
        <v>2</v>
      </c>
      <c r="I183" s="10">
        <v>2</v>
      </c>
      <c r="J183" s="10">
        <v>2</v>
      </c>
      <c r="K183" s="10">
        <v>2</v>
      </c>
      <c r="L183" s="10">
        <v>2</v>
      </c>
      <c r="M183" s="10">
        <v>2</v>
      </c>
      <c r="N183" s="10">
        <v>2</v>
      </c>
      <c r="O183" s="10">
        <v>2</v>
      </c>
      <c r="P183" s="10">
        <v>2</v>
      </c>
      <c r="Q183" s="10">
        <v>4</v>
      </c>
      <c r="R183" s="11"/>
    </row>
    <row r="184" spans="1:18" x14ac:dyDescent="0.2">
      <c r="A184" s="12" t="s">
        <v>35</v>
      </c>
      <c r="B184" s="9">
        <f t="shared" si="24"/>
        <v>14</v>
      </c>
      <c r="C184" s="10">
        <v>1</v>
      </c>
      <c r="D184" s="10">
        <v>1</v>
      </c>
      <c r="E184" s="10">
        <v>1</v>
      </c>
      <c r="F184" s="10">
        <v>1</v>
      </c>
      <c r="G184" s="10">
        <v>1</v>
      </c>
      <c r="H184" s="10">
        <v>1</v>
      </c>
      <c r="I184" s="10">
        <v>1</v>
      </c>
      <c r="J184" s="10">
        <v>1</v>
      </c>
      <c r="K184" s="10">
        <v>1</v>
      </c>
      <c r="L184" s="10">
        <v>1</v>
      </c>
      <c r="M184" s="10">
        <v>1</v>
      </c>
      <c r="N184" s="10">
        <v>1</v>
      </c>
      <c r="O184" s="10">
        <v>0</v>
      </c>
      <c r="P184" s="10">
        <v>1</v>
      </c>
      <c r="Q184" s="10">
        <v>1</v>
      </c>
      <c r="R184" s="11"/>
    </row>
    <row r="185" spans="1:18" x14ac:dyDescent="0.2">
      <c r="A185" s="12" t="s">
        <v>36</v>
      </c>
      <c r="B185" s="9">
        <f t="shared" si="24"/>
        <v>12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11</v>
      </c>
      <c r="P185" s="10">
        <v>1</v>
      </c>
      <c r="Q185" s="10">
        <v>0</v>
      </c>
      <c r="R185" s="11"/>
    </row>
    <row r="186" spans="1:18" x14ac:dyDescent="0.2">
      <c r="A186" s="12" t="s">
        <v>37</v>
      </c>
      <c r="B186" s="9">
        <f t="shared" si="24"/>
        <v>8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7</v>
      </c>
      <c r="P186" s="10">
        <v>0</v>
      </c>
      <c r="Q186" s="10">
        <v>1</v>
      </c>
      <c r="R186" s="11"/>
    </row>
    <row r="187" spans="1:18" x14ac:dyDescent="0.2">
      <c r="A187" s="12" t="s">
        <v>38</v>
      </c>
      <c r="B187" s="9">
        <f t="shared" si="24"/>
        <v>5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4</v>
      </c>
      <c r="P187" s="10">
        <v>1</v>
      </c>
      <c r="Q187" s="10">
        <v>0</v>
      </c>
      <c r="R187" s="7"/>
    </row>
    <row r="188" spans="1:18" x14ac:dyDescent="0.2">
      <c r="A188" s="12" t="s">
        <v>39</v>
      </c>
      <c r="B188" s="9">
        <f t="shared" si="24"/>
        <v>5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5</v>
      </c>
      <c r="P188" s="10">
        <v>0</v>
      </c>
      <c r="Q188" s="10">
        <v>0</v>
      </c>
      <c r="R188" s="11"/>
    </row>
    <row r="189" spans="1:18" x14ac:dyDescent="0.2">
      <c r="A189" s="12" t="s">
        <v>29</v>
      </c>
      <c r="B189" s="9">
        <v>19</v>
      </c>
      <c r="C189" s="9">
        <v>0</v>
      </c>
      <c r="D189" s="9">
        <v>2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4</v>
      </c>
      <c r="M189" s="9">
        <v>0</v>
      </c>
      <c r="N189" s="9">
        <v>0</v>
      </c>
      <c r="O189" s="9">
        <v>12</v>
      </c>
      <c r="P189" s="9">
        <v>1</v>
      </c>
      <c r="Q189" s="9">
        <v>0</v>
      </c>
      <c r="R189" s="11"/>
    </row>
    <row r="190" spans="1:18" x14ac:dyDescent="0.2">
      <c r="A190" s="5" t="s">
        <v>40</v>
      </c>
      <c r="B190" s="6">
        <f t="shared" ref="B190:Q190" si="25">SUM(B191:B201)</f>
        <v>2150</v>
      </c>
      <c r="C190" s="6">
        <f t="shared" si="25"/>
        <v>45</v>
      </c>
      <c r="D190" s="6">
        <f t="shared" si="25"/>
        <v>273</v>
      </c>
      <c r="E190" s="6">
        <f t="shared" si="25"/>
        <v>63</v>
      </c>
      <c r="F190" s="6">
        <f t="shared" si="25"/>
        <v>44</v>
      </c>
      <c r="G190" s="6">
        <f t="shared" si="25"/>
        <v>44</v>
      </c>
      <c r="H190" s="6">
        <f t="shared" si="25"/>
        <v>44</v>
      </c>
      <c r="I190" s="6">
        <f t="shared" si="25"/>
        <v>47</v>
      </c>
      <c r="J190" s="6">
        <f t="shared" si="25"/>
        <v>52</v>
      </c>
      <c r="K190" s="6">
        <f t="shared" si="25"/>
        <v>48</v>
      </c>
      <c r="L190" s="6">
        <f t="shared" si="25"/>
        <v>294</v>
      </c>
      <c r="M190" s="6">
        <f t="shared" si="25"/>
        <v>49</v>
      </c>
      <c r="N190" s="6">
        <f t="shared" si="25"/>
        <v>44</v>
      </c>
      <c r="O190" s="6">
        <f t="shared" si="25"/>
        <v>942</v>
      </c>
      <c r="P190" s="6">
        <f t="shared" si="25"/>
        <v>113</v>
      </c>
      <c r="Q190" s="6">
        <f t="shared" si="25"/>
        <v>48</v>
      </c>
      <c r="R190" s="11"/>
    </row>
    <row r="191" spans="1:18" x14ac:dyDescent="0.2">
      <c r="A191" s="12" t="s">
        <v>41</v>
      </c>
      <c r="B191" s="9">
        <f t="shared" ref="B191:B200" si="26">SUM(C191:Q191)</f>
        <v>377</v>
      </c>
      <c r="C191" s="10">
        <v>7</v>
      </c>
      <c r="D191" s="10">
        <v>3</v>
      </c>
      <c r="E191" s="10">
        <v>10</v>
      </c>
      <c r="F191" s="10">
        <v>7</v>
      </c>
      <c r="G191" s="10">
        <v>7</v>
      </c>
      <c r="H191" s="10">
        <v>7</v>
      </c>
      <c r="I191" s="10">
        <v>7</v>
      </c>
      <c r="J191" s="10">
        <v>7</v>
      </c>
      <c r="K191" s="10">
        <v>7</v>
      </c>
      <c r="L191" s="10">
        <v>35</v>
      </c>
      <c r="M191" s="10">
        <v>7</v>
      </c>
      <c r="N191" s="10">
        <v>7</v>
      </c>
      <c r="O191" s="10">
        <v>247</v>
      </c>
      <c r="P191" s="10">
        <v>11</v>
      </c>
      <c r="Q191" s="10">
        <v>8</v>
      </c>
      <c r="R191" s="11"/>
    </row>
    <row r="192" spans="1:18" x14ac:dyDescent="0.2">
      <c r="A192" s="12" t="s">
        <v>42</v>
      </c>
      <c r="B192" s="9">
        <f t="shared" si="26"/>
        <v>315</v>
      </c>
      <c r="C192" s="10">
        <v>5</v>
      </c>
      <c r="D192" s="10">
        <v>10</v>
      </c>
      <c r="E192" s="10">
        <v>6</v>
      </c>
      <c r="F192" s="10">
        <v>5</v>
      </c>
      <c r="G192" s="10">
        <v>5</v>
      </c>
      <c r="H192" s="10">
        <v>5</v>
      </c>
      <c r="I192" s="10">
        <v>5</v>
      </c>
      <c r="J192" s="10">
        <v>9</v>
      </c>
      <c r="K192" s="10">
        <v>6</v>
      </c>
      <c r="L192" s="10">
        <v>85</v>
      </c>
      <c r="M192" s="10">
        <v>5</v>
      </c>
      <c r="N192" s="10">
        <v>5</v>
      </c>
      <c r="O192" s="10">
        <v>146</v>
      </c>
      <c r="P192" s="10">
        <v>13</v>
      </c>
      <c r="Q192" s="10">
        <v>5</v>
      </c>
      <c r="R192" s="11"/>
    </row>
    <row r="193" spans="1:18" x14ac:dyDescent="0.2">
      <c r="A193" s="14" t="s">
        <v>43</v>
      </c>
      <c r="B193" s="9">
        <f t="shared" si="26"/>
        <v>266</v>
      </c>
      <c r="C193" s="1">
        <v>9</v>
      </c>
      <c r="D193" s="1">
        <v>5</v>
      </c>
      <c r="E193" s="1">
        <v>14</v>
      </c>
      <c r="F193" s="1">
        <v>9</v>
      </c>
      <c r="G193" s="1">
        <v>9</v>
      </c>
      <c r="H193" s="1">
        <v>9</v>
      </c>
      <c r="I193" s="1">
        <v>9</v>
      </c>
      <c r="J193" s="1">
        <v>9</v>
      </c>
      <c r="K193" s="1">
        <v>10</v>
      </c>
      <c r="L193" s="1">
        <v>31</v>
      </c>
      <c r="M193" s="1">
        <v>9</v>
      </c>
      <c r="N193" s="1">
        <v>9</v>
      </c>
      <c r="O193" s="1">
        <v>102</v>
      </c>
      <c r="P193" s="1">
        <v>23</v>
      </c>
      <c r="Q193" s="1">
        <v>9</v>
      </c>
      <c r="R193" s="11"/>
    </row>
    <row r="194" spans="1:18" x14ac:dyDescent="0.2">
      <c r="A194" s="12" t="s">
        <v>44</v>
      </c>
      <c r="B194" s="9">
        <f t="shared" si="26"/>
        <v>230</v>
      </c>
      <c r="C194" s="10">
        <v>1</v>
      </c>
      <c r="D194" s="10">
        <v>202</v>
      </c>
      <c r="E194" s="10">
        <v>1</v>
      </c>
      <c r="F194" s="10">
        <v>1</v>
      </c>
      <c r="G194" s="10">
        <v>1</v>
      </c>
      <c r="H194" s="10">
        <v>1</v>
      </c>
      <c r="I194" s="10">
        <v>1</v>
      </c>
      <c r="J194" s="10">
        <v>1</v>
      </c>
      <c r="K194" s="10">
        <v>1</v>
      </c>
      <c r="L194" s="10">
        <v>3</v>
      </c>
      <c r="M194" s="10">
        <v>1</v>
      </c>
      <c r="N194" s="10">
        <v>1</v>
      </c>
      <c r="O194" s="10">
        <v>11</v>
      </c>
      <c r="P194" s="10">
        <v>3</v>
      </c>
      <c r="Q194" s="10">
        <v>1</v>
      </c>
      <c r="R194" s="11"/>
    </row>
    <row r="195" spans="1:18" x14ac:dyDescent="0.2">
      <c r="A195" s="12" t="s">
        <v>45</v>
      </c>
      <c r="B195" s="9">
        <f t="shared" si="26"/>
        <v>167</v>
      </c>
      <c r="C195" s="10">
        <v>2</v>
      </c>
      <c r="D195" s="10">
        <v>1</v>
      </c>
      <c r="E195" s="10">
        <v>7</v>
      </c>
      <c r="F195" s="10">
        <v>2</v>
      </c>
      <c r="G195" s="10">
        <v>2</v>
      </c>
      <c r="H195" s="10">
        <v>2</v>
      </c>
      <c r="I195" s="10">
        <v>2</v>
      </c>
      <c r="J195" s="10">
        <v>3</v>
      </c>
      <c r="K195" s="10">
        <v>2</v>
      </c>
      <c r="L195" s="10">
        <v>38</v>
      </c>
      <c r="M195" s="10">
        <v>4</v>
      </c>
      <c r="N195" s="10">
        <v>2</v>
      </c>
      <c r="O195" s="10">
        <v>92</v>
      </c>
      <c r="P195" s="10">
        <v>5</v>
      </c>
      <c r="Q195" s="10">
        <v>3</v>
      </c>
      <c r="R195" s="11"/>
    </row>
    <row r="196" spans="1:18" x14ac:dyDescent="0.2">
      <c r="A196" s="14" t="s">
        <v>46</v>
      </c>
      <c r="B196" s="9">
        <f t="shared" si="26"/>
        <v>146</v>
      </c>
      <c r="C196" s="1">
        <v>4</v>
      </c>
      <c r="D196" s="1">
        <v>0</v>
      </c>
      <c r="E196" s="1">
        <v>4</v>
      </c>
      <c r="F196" s="1">
        <v>4</v>
      </c>
      <c r="G196" s="1">
        <v>4</v>
      </c>
      <c r="H196" s="1">
        <v>4</v>
      </c>
      <c r="I196" s="1">
        <v>5</v>
      </c>
      <c r="J196" s="1">
        <v>5</v>
      </c>
      <c r="K196" s="1">
        <v>4</v>
      </c>
      <c r="L196" s="1">
        <v>17</v>
      </c>
      <c r="M196" s="1">
        <v>4</v>
      </c>
      <c r="N196" s="1">
        <v>4</v>
      </c>
      <c r="O196" s="1">
        <v>71</v>
      </c>
      <c r="P196" s="1">
        <v>12</v>
      </c>
      <c r="Q196" s="1">
        <v>4</v>
      </c>
      <c r="R196" s="11"/>
    </row>
    <row r="197" spans="1:18" x14ac:dyDescent="0.2">
      <c r="A197" s="14" t="s">
        <v>47</v>
      </c>
      <c r="B197" s="9">
        <f t="shared" si="26"/>
        <v>102</v>
      </c>
      <c r="C197" s="1">
        <v>3</v>
      </c>
      <c r="D197" s="1">
        <v>0</v>
      </c>
      <c r="E197" s="1">
        <v>3</v>
      </c>
      <c r="F197" s="1">
        <v>3</v>
      </c>
      <c r="G197" s="1">
        <v>3</v>
      </c>
      <c r="H197" s="1">
        <v>3</v>
      </c>
      <c r="I197" s="1">
        <v>3</v>
      </c>
      <c r="J197" s="1">
        <v>3</v>
      </c>
      <c r="K197" s="1">
        <v>3</v>
      </c>
      <c r="L197" s="1">
        <v>22</v>
      </c>
      <c r="M197" s="1">
        <v>3</v>
      </c>
      <c r="N197" s="1">
        <v>3</v>
      </c>
      <c r="O197" s="1">
        <v>40</v>
      </c>
      <c r="P197" s="1">
        <v>7</v>
      </c>
      <c r="Q197" s="1">
        <v>3</v>
      </c>
      <c r="R197" s="11"/>
    </row>
    <row r="198" spans="1:18" x14ac:dyDescent="0.2">
      <c r="A198" s="14" t="s">
        <v>48</v>
      </c>
      <c r="B198" s="9">
        <f t="shared" si="26"/>
        <v>92</v>
      </c>
      <c r="C198" s="1">
        <v>1</v>
      </c>
      <c r="D198" s="1">
        <v>30</v>
      </c>
      <c r="E198" s="1">
        <v>1</v>
      </c>
      <c r="F198" s="1">
        <v>1</v>
      </c>
      <c r="G198" s="1">
        <v>1</v>
      </c>
      <c r="H198" s="1">
        <v>1</v>
      </c>
      <c r="I198" s="1">
        <v>3</v>
      </c>
      <c r="J198" s="1">
        <v>1</v>
      </c>
      <c r="K198" s="1">
        <v>1</v>
      </c>
      <c r="L198" s="1">
        <v>7</v>
      </c>
      <c r="M198" s="1">
        <v>1</v>
      </c>
      <c r="N198" s="1">
        <v>1</v>
      </c>
      <c r="O198" s="1">
        <v>39</v>
      </c>
      <c r="P198" s="1">
        <v>3</v>
      </c>
      <c r="Q198" s="1">
        <v>1</v>
      </c>
      <c r="R198" s="11"/>
    </row>
    <row r="199" spans="1:18" x14ac:dyDescent="0.2">
      <c r="A199" s="14" t="s">
        <v>49</v>
      </c>
      <c r="B199" s="9">
        <f t="shared" si="26"/>
        <v>78</v>
      </c>
      <c r="C199" s="1">
        <v>3</v>
      </c>
      <c r="D199" s="1">
        <v>0</v>
      </c>
      <c r="E199" s="1">
        <v>4</v>
      </c>
      <c r="F199" s="1">
        <v>2</v>
      </c>
      <c r="G199" s="1">
        <v>2</v>
      </c>
      <c r="H199" s="1">
        <v>2</v>
      </c>
      <c r="I199" s="1">
        <v>2</v>
      </c>
      <c r="J199" s="1">
        <v>3</v>
      </c>
      <c r="K199" s="1">
        <v>2</v>
      </c>
      <c r="L199" s="1">
        <v>11</v>
      </c>
      <c r="M199" s="1">
        <v>2</v>
      </c>
      <c r="N199" s="1">
        <v>2</v>
      </c>
      <c r="O199" s="1">
        <v>36</v>
      </c>
      <c r="P199" s="1">
        <v>5</v>
      </c>
      <c r="Q199" s="1">
        <v>2</v>
      </c>
      <c r="R199" s="7"/>
    </row>
    <row r="200" spans="1:18" x14ac:dyDescent="0.2">
      <c r="A200" s="12" t="s">
        <v>50</v>
      </c>
      <c r="B200" s="9">
        <f t="shared" si="26"/>
        <v>42</v>
      </c>
      <c r="C200" s="10">
        <v>1</v>
      </c>
      <c r="D200" s="10">
        <v>0</v>
      </c>
      <c r="E200" s="10">
        <v>1</v>
      </c>
      <c r="F200" s="10">
        <v>1</v>
      </c>
      <c r="G200" s="10">
        <v>1</v>
      </c>
      <c r="H200" s="10">
        <v>1</v>
      </c>
      <c r="I200" s="10">
        <v>1</v>
      </c>
      <c r="J200" s="10">
        <v>1</v>
      </c>
      <c r="K200" s="10">
        <v>1</v>
      </c>
      <c r="L200" s="10">
        <v>8</v>
      </c>
      <c r="M200" s="10">
        <v>1</v>
      </c>
      <c r="N200" s="10">
        <v>1</v>
      </c>
      <c r="O200" s="10">
        <v>22</v>
      </c>
      <c r="P200" s="10">
        <v>1</v>
      </c>
      <c r="Q200" s="10">
        <v>1</v>
      </c>
    </row>
    <row r="201" spans="1:18" x14ac:dyDescent="0.2">
      <c r="A201" s="12" t="s">
        <v>29</v>
      </c>
      <c r="B201" s="9">
        <v>335</v>
      </c>
      <c r="C201" s="9">
        <v>9</v>
      </c>
      <c r="D201" s="9">
        <v>22</v>
      </c>
      <c r="E201" s="9">
        <v>12</v>
      </c>
      <c r="F201" s="9">
        <v>9</v>
      </c>
      <c r="G201" s="9">
        <v>9</v>
      </c>
      <c r="H201" s="9">
        <v>9</v>
      </c>
      <c r="I201" s="9">
        <v>9</v>
      </c>
      <c r="J201" s="9">
        <v>10</v>
      </c>
      <c r="K201" s="9">
        <v>11</v>
      </c>
      <c r="L201" s="9">
        <v>37</v>
      </c>
      <c r="M201" s="9">
        <v>12</v>
      </c>
      <c r="N201" s="9">
        <v>9</v>
      </c>
      <c r="O201" s="9">
        <v>136</v>
      </c>
      <c r="P201" s="9">
        <v>30</v>
      </c>
      <c r="Q201" s="9">
        <v>11</v>
      </c>
    </row>
    <row r="202" spans="1:18" x14ac:dyDescent="0.2">
      <c r="A202" s="5" t="s">
        <v>51</v>
      </c>
      <c r="B202" s="6">
        <f t="shared" ref="B202:Q202" si="27">SUM(B203:B208)</f>
        <v>220</v>
      </c>
      <c r="C202" s="6">
        <f t="shared" si="27"/>
        <v>7</v>
      </c>
      <c r="D202" s="6">
        <f t="shared" si="27"/>
        <v>2</v>
      </c>
      <c r="E202" s="6">
        <f t="shared" si="27"/>
        <v>12</v>
      </c>
      <c r="F202" s="6">
        <f t="shared" si="27"/>
        <v>8</v>
      </c>
      <c r="G202" s="6">
        <f t="shared" si="27"/>
        <v>7</v>
      </c>
      <c r="H202" s="6">
        <f t="shared" si="27"/>
        <v>7</v>
      </c>
      <c r="I202" s="6">
        <f t="shared" si="27"/>
        <v>7</v>
      </c>
      <c r="J202" s="6">
        <f t="shared" si="27"/>
        <v>8</v>
      </c>
      <c r="K202" s="6">
        <f t="shared" si="27"/>
        <v>8</v>
      </c>
      <c r="L202" s="6">
        <f t="shared" si="27"/>
        <v>19</v>
      </c>
      <c r="M202" s="6">
        <f t="shared" si="27"/>
        <v>7</v>
      </c>
      <c r="N202" s="6">
        <f t="shared" si="27"/>
        <v>7</v>
      </c>
      <c r="O202" s="6">
        <f t="shared" si="27"/>
        <v>65</v>
      </c>
      <c r="P202" s="6">
        <f t="shared" si="27"/>
        <v>49</v>
      </c>
      <c r="Q202" s="6">
        <f t="shared" si="27"/>
        <v>7</v>
      </c>
    </row>
    <row r="203" spans="1:18" x14ac:dyDescent="0.2">
      <c r="A203" s="14" t="s">
        <v>52</v>
      </c>
      <c r="B203" s="1">
        <f>SUM(C203:Q203)</f>
        <v>144</v>
      </c>
      <c r="C203" s="1">
        <v>7</v>
      </c>
      <c r="D203" s="1">
        <v>1</v>
      </c>
      <c r="E203" s="1">
        <v>12</v>
      </c>
      <c r="F203" s="1">
        <v>8</v>
      </c>
      <c r="G203" s="1">
        <v>7</v>
      </c>
      <c r="H203" s="1">
        <v>7</v>
      </c>
      <c r="I203" s="1">
        <v>7</v>
      </c>
      <c r="J203" s="1">
        <v>7</v>
      </c>
      <c r="K203" s="1">
        <v>8</v>
      </c>
      <c r="L203" s="1">
        <v>10</v>
      </c>
      <c r="M203" s="1">
        <v>7</v>
      </c>
      <c r="N203" s="1">
        <v>7</v>
      </c>
      <c r="O203" s="1">
        <v>27</v>
      </c>
      <c r="P203" s="1">
        <v>22</v>
      </c>
      <c r="Q203" s="1">
        <v>7</v>
      </c>
    </row>
    <row r="204" spans="1:18" x14ac:dyDescent="0.2">
      <c r="A204" s="14" t="s">
        <v>53</v>
      </c>
      <c r="B204" s="1">
        <f>SUM(C204:Q204)</f>
        <v>45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5</v>
      </c>
      <c r="M204" s="1">
        <v>0</v>
      </c>
      <c r="N204" s="1">
        <v>0</v>
      </c>
      <c r="O204" s="1">
        <v>14</v>
      </c>
      <c r="P204" s="1">
        <v>26</v>
      </c>
      <c r="Q204" s="1">
        <v>0</v>
      </c>
    </row>
    <row r="205" spans="1:18" x14ac:dyDescent="0.2">
      <c r="A205" s="14" t="s">
        <v>54</v>
      </c>
      <c r="B205" s="1">
        <f>SUM(C205:Q205)</f>
        <v>6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6</v>
      </c>
      <c r="P205" s="1">
        <v>0</v>
      </c>
      <c r="Q205" s="1">
        <v>0</v>
      </c>
      <c r="R205" s="11"/>
    </row>
    <row r="206" spans="1:18" x14ac:dyDescent="0.2">
      <c r="A206" s="14" t="s">
        <v>55</v>
      </c>
      <c r="B206" s="1">
        <f>SUM(C206:Q206)</f>
        <v>6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2</v>
      </c>
      <c r="M206" s="1">
        <v>0</v>
      </c>
      <c r="N206" s="1">
        <v>0</v>
      </c>
      <c r="O206" s="1">
        <v>4</v>
      </c>
      <c r="P206" s="1">
        <v>0</v>
      </c>
      <c r="Q206" s="1">
        <v>0</v>
      </c>
      <c r="R206" s="7"/>
    </row>
    <row r="207" spans="1:18" x14ac:dyDescent="0.2">
      <c r="A207" s="14" t="s">
        <v>56</v>
      </c>
      <c r="B207" s="1">
        <f>SUM(C207:Q207)</f>
        <v>4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4</v>
      </c>
      <c r="P207" s="1">
        <v>0</v>
      </c>
      <c r="Q207" s="1">
        <v>0</v>
      </c>
    </row>
    <row r="208" spans="1:18" x14ac:dyDescent="0.2">
      <c r="A208" s="12" t="s">
        <v>29</v>
      </c>
      <c r="B208" s="9">
        <v>15</v>
      </c>
      <c r="C208" s="9">
        <v>0</v>
      </c>
      <c r="D208" s="9">
        <v>1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1</v>
      </c>
      <c r="K208" s="9">
        <v>0</v>
      </c>
      <c r="L208" s="9">
        <v>2</v>
      </c>
      <c r="M208" s="9">
        <v>0</v>
      </c>
      <c r="N208" s="9">
        <v>0</v>
      </c>
      <c r="O208" s="9">
        <v>10</v>
      </c>
      <c r="P208" s="9">
        <v>1</v>
      </c>
      <c r="Q208" s="9">
        <v>0</v>
      </c>
    </row>
    <row r="209" spans="1:17" x14ac:dyDescent="0.2">
      <c r="A209" s="5" t="s">
        <v>57</v>
      </c>
      <c r="B209" s="6">
        <f t="shared" ref="B209:Q209" si="28">SUM(B210:B212)</f>
        <v>74</v>
      </c>
      <c r="C209" s="6">
        <f t="shared" si="28"/>
        <v>0</v>
      </c>
      <c r="D209" s="6">
        <f t="shared" si="28"/>
        <v>3</v>
      </c>
      <c r="E209" s="6">
        <f t="shared" si="28"/>
        <v>0</v>
      </c>
      <c r="F209" s="6">
        <f t="shared" si="28"/>
        <v>0</v>
      </c>
      <c r="G209" s="6">
        <f t="shared" si="28"/>
        <v>0</v>
      </c>
      <c r="H209" s="6">
        <f t="shared" si="28"/>
        <v>0</v>
      </c>
      <c r="I209" s="6">
        <f t="shared" si="28"/>
        <v>0</v>
      </c>
      <c r="J209" s="6">
        <f t="shared" si="28"/>
        <v>0</v>
      </c>
      <c r="K209" s="6">
        <f t="shared" si="28"/>
        <v>0</v>
      </c>
      <c r="L209" s="6">
        <f t="shared" si="28"/>
        <v>0</v>
      </c>
      <c r="M209" s="6">
        <f t="shared" si="28"/>
        <v>0</v>
      </c>
      <c r="N209" s="6">
        <f t="shared" si="28"/>
        <v>0</v>
      </c>
      <c r="O209" s="6">
        <f t="shared" si="28"/>
        <v>65</v>
      </c>
      <c r="P209" s="6">
        <f t="shared" si="28"/>
        <v>5</v>
      </c>
      <c r="Q209" s="6">
        <f t="shared" si="28"/>
        <v>1</v>
      </c>
    </row>
    <row r="210" spans="1:17" x14ac:dyDescent="0.2">
      <c r="A210" s="14" t="s">
        <v>58</v>
      </c>
      <c r="B210" s="1">
        <f>SUM(C210:Q210)</f>
        <v>61</v>
      </c>
      <c r="C210" s="1">
        <v>0</v>
      </c>
      <c r="D210" s="1">
        <v>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53</v>
      </c>
      <c r="P210" s="1">
        <v>4</v>
      </c>
      <c r="Q210" s="1">
        <v>1</v>
      </c>
    </row>
    <row r="211" spans="1:17" x14ac:dyDescent="0.2">
      <c r="A211" s="14" t="s">
        <v>59</v>
      </c>
      <c r="B211" s="1">
        <f>SUM(C211:Q211)</f>
        <v>10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9</v>
      </c>
      <c r="P211" s="1">
        <v>1</v>
      </c>
      <c r="Q211" s="1">
        <v>0</v>
      </c>
    </row>
    <row r="212" spans="1:17" x14ac:dyDescent="0.2">
      <c r="A212" s="15" t="s">
        <v>29</v>
      </c>
      <c r="B212" s="16">
        <v>3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3</v>
      </c>
      <c r="P212" s="16">
        <v>0</v>
      </c>
      <c r="Q212" s="16">
        <v>0</v>
      </c>
    </row>
    <row r="213" spans="1:17" x14ac:dyDescent="0.2">
      <c r="A213" s="24" t="s">
        <v>63</v>
      </c>
    </row>
  </sheetData>
  <mergeCells count="8">
    <mergeCell ref="A162:Q162"/>
    <mergeCell ref="A163:Q163"/>
    <mergeCell ref="A3:Q3"/>
    <mergeCell ref="A2:Q2"/>
    <mergeCell ref="A57:Q57"/>
    <mergeCell ref="A58:Q58"/>
    <mergeCell ref="A106:Q106"/>
    <mergeCell ref="A107:Q107"/>
  </mergeCells>
  <pageMargins left="0.7" right="0.7" top="0.75" bottom="0.75" header="0.3" footer="0.3"/>
  <pageSetup paperSize="9" scale="57" orientation="landscape" horizontalDpi="4294967295" verticalDpi="4294967295" r:id="rId1"/>
  <rowBreaks count="3" manualBreakCount="3">
    <brk id="53" max="16" man="1"/>
    <brk id="104" max="16383" man="1"/>
    <brk id="158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5.10</vt:lpstr>
      <vt:lpstr>'5.10'!Print_Area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2017-11-08T07:32:17Z</cp:lastPrinted>
  <dcterms:created xsi:type="dcterms:W3CDTF">2013-03-26T05:45:33Z</dcterms:created>
  <dcterms:modified xsi:type="dcterms:W3CDTF">2017-11-08T07:32:23Z</dcterms:modified>
</cp:coreProperties>
</file>