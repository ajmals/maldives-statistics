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4000" windowHeight="9735" tabRatio="834"/>
  </bookViews>
  <sheets>
    <sheet name="5.2" sheetId="10" r:id="rId1"/>
  </sheets>
  <externalReferences>
    <externalReference r:id="rId2"/>
  </externalReferences>
  <definedNames>
    <definedName name="_xlnm.Print_Area" localSheetId="0">'5.2'!$A$1:$M$56</definedName>
  </definedNames>
  <calcPr calcId="144525"/>
</workbook>
</file>

<file path=xl/calcChain.xml><?xml version="1.0" encoding="utf-8"?>
<calcChain xmlns="http://schemas.openxmlformats.org/spreadsheetml/2006/main">
  <c r="G11" i="10" l="1"/>
  <c r="H10" i="10"/>
  <c r="AX27" i="10" s="1"/>
  <c r="D11" i="10"/>
  <c r="E11" i="10"/>
  <c r="D12" i="10"/>
  <c r="E12" i="10"/>
  <c r="D13" i="10"/>
  <c r="E13" i="10"/>
  <c r="D14" i="10"/>
  <c r="E14" i="10"/>
  <c r="D15" i="10"/>
  <c r="E15" i="10"/>
  <c r="D16" i="10"/>
  <c r="E16" i="10"/>
  <c r="D17" i="10"/>
  <c r="E17" i="10"/>
  <c r="D18" i="10"/>
  <c r="E18" i="10"/>
  <c r="D19" i="10"/>
  <c r="E19" i="10"/>
  <c r="D20" i="10"/>
  <c r="E20" i="10"/>
  <c r="D21" i="10"/>
  <c r="E21" i="10"/>
  <c r="I10" i="10"/>
  <c r="AY27" i="10" s="1"/>
  <c r="G21" i="10"/>
  <c r="G20" i="10"/>
  <c r="G19" i="10"/>
  <c r="G18" i="10"/>
  <c r="G17" i="10"/>
  <c r="G16" i="10"/>
  <c r="G15" i="10"/>
  <c r="G14" i="10"/>
  <c r="G13" i="10"/>
  <c r="G12" i="10"/>
  <c r="K11" i="10"/>
  <c r="K12" i="10"/>
  <c r="K13" i="10"/>
  <c r="K14" i="10"/>
  <c r="K15" i="10"/>
  <c r="K16" i="10"/>
  <c r="K17" i="10"/>
  <c r="K18" i="10"/>
  <c r="K19" i="10"/>
  <c r="K20" i="10"/>
  <c r="K21" i="10"/>
  <c r="M10" i="10"/>
  <c r="BB27" i="10" s="1"/>
  <c r="L10" i="10"/>
  <c r="K10" i="10" s="1"/>
  <c r="AZ27" i="10" s="1"/>
  <c r="C16" i="10" l="1"/>
  <c r="C12" i="10"/>
  <c r="C20" i="10"/>
  <c r="C15" i="10"/>
  <c r="C19" i="10"/>
  <c r="C13" i="10"/>
  <c r="C17" i="10"/>
  <c r="C21" i="10"/>
  <c r="C14" i="10"/>
  <c r="C18" i="10"/>
  <c r="C11" i="10"/>
  <c r="E10" i="10"/>
  <c r="AV27" i="10" s="1"/>
  <c r="D10" i="10"/>
  <c r="AU27" i="10" s="1"/>
  <c r="G10" i="10"/>
  <c r="BA27" i="10"/>
  <c r="C10" i="10" l="1"/>
  <c r="AT27" i="10" s="1"/>
  <c r="AW27" i="10"/>
</calcChain>
</file>

<file path=xl/sharedStrings.xml><?xml version="1.0" encoding="utf-8"?>
<sst xmlns="http://schemas.openxmlformats.org/spreadsheetml/2006/main" count="70" uniqueCount="32">
  <si>
    <t>Republic</t>
  </si>
  <si>
    <t>Male'</t>
  </si>
  <si>
    <t>Atolls</t>
  </si>
  <si>
    <t>ފިރިހެން</t>
  </si>
  <si>
    <t>އަންހެން</t>
  </si>
  <si>
    <t>Male</t>
  </si>
  <si>
    <t>Female</t>
  </si>
  <si>
    <t>މާލެ</t>
  </si>
  <si>
    <t xml:space="preserve"> މުޅިރާއްޖެ</t>
  </si>
  <si>
    <t>އަތޮޅުތައް</t>
  </si>
  <si>
    <t>Age groups</t>
  </si>
  <si>
    <t>Both sexes</t>
  </si>
  <si>
    <t xml:space="preserve">     Total</t>
  </si>
  <si>
    <t xml:space="preserve">     15-19</t>
  </si>
  <si>
    <t xml:space="preserve">     20-24</t>
  </si>
  <si>
    <t xml:space="preserve">     25-29</t>
  </si>
  <si>
    <t xml:space="preserve">     30-34</t>
  </si>
  <si>
    <t xml:space="preserve">     35-39</t>
  </si>
  <si>
    <t xml:space="preserve">     40-44</t>
  </si>
  <si>
    <t xml:space="preserve">     45-49</t>
  </si>
  <si>
    <t xml:space="preserve">     50-54</t>
  </si>
  <si>
    <t xml:space="preserve">     55-59</t>
  </si>
  <si>
    <t xml:space="preserve">     60-64</t>
  </si>
  <si>
    <t xml:space="preserve">     65+</t>
  </si>
  <si>
    <t>Source: Civil Service Commision</t>
  </si>
  <si>
    <t>ދެޖިންސް</t>
  </si>
  <si>
    <t>އުމުރުފުރާ</t>
  </si>
  <si>
    <t>މަޢުލޫމާތު ދެއްވި ފަރާތް: ސިވިލް ސަރވިސް ކޮމިޝަން</t>
  </si>
  <si>
    <t>ނޯޓް: އަތޮޅުތަކުގެ ޖުމްލައިގެ ތެރޭގައި ރާއްޖޭން ބޭރުގައި މަސައްކަތްކުރާ 1 މުވައްޒަފު ހިމެނިފައި</t>
  </si>
  <si>
    <t>Note:  Atoll total includes 1 person who are working abroad</t>
  </si>
  <si>
    <t>ތާވަލް 5.2: ސިވިލް ސަރވަންޓުން ބެހިފައިވާ ގޮތް، ޖިންސް އަދި އުމުރުފުރާއިން، 2016</t>
  </si>
  <si>
    <t>Table 5.2 :  CIVIL SERVANTS CLASSIFIED BY AGE AND SEX,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</si>
</sst>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\ _ރ_._-;_-* #,##0\ _ރ_.\-;_-* &quot;-&quot;??\ _ރ_._-;_-@_-"/>
    <numFmt numFmtId="166" formatCode="_(* #,##0_);_(* \(#,##0\);_(* &quot;-&quot;??_);_(@_)"/>
    <numFmt numFmtId="167" formatCode="General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i/>
      <sz val="10"/>
      <name val="Calibri"/>
      <family val="2"/>
      <scheme val="minor"/>
    </font>
    <font>
      <sz val="9"/>
      <name val="Faruma"/>
    </font>
    <font>
      <b/>
      <sz val="10"/>
      <name val="Faruma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1"/>
      <color theme="1"/>
      <name val="Faruma"/>
    </font>
    <font>
      <b/>
      <sz val="10"/>
      <color theme="1"/>
      <name val="Faruma"/>
    </font>
    <font>
      <b/>
      <sz val="11"/>
      <name val="A_Reethi"/>
    </font>
    <font>
      <sz val="10"/>
      <name val="MS Sans Serif"/>
      <family val="2"/>
    </font>
    <font>
      <sz val="10"/>
      <color theme="5"/>
      <name val="Arial"/>
      <family val="2"/>
    </font>
    <font>
      <sz val="9"/>
      <color theme="1"/>
      <name val="Faruma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theme="1" tint="4.9989318521683403E-2"/>
      </bottom>
      <diagonal/>
    </border>
  </borders>
  <cellStyleXfs count="522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6" fontId="5" fillId="0" borderId="0" applyFont="0" applyFill="0" applyBorder="0" applyAlignment="0" applyProtection="0"/>
    <xf numFmtId="0" fontId="3" fillId="0" borderId="0"/>
    <xf numFmtId="0" fontId="3" fillId="0" borderId="0"/>
    <xf numFmtId="9" fontId="5" fillId="0" borderId="0" applyFont="0" applyFill="0" applyBorder="0" applyAlignment="0" applyProtection="0"/>
    <xf numFmtId="0" fontId="13" fillId="0" borderId="0"/>
    <xf numFmtId="0" fontId="3" fillId="0" borderId="0"/>
    <xf numFmtId="0" fontId="18" fillId="0" borderId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54">
    <xf numFmtId="0" fontId="0" fillId="0" borderId="0" xfId="0"/>
    <xf numFmtId="3" fontId="7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3" fontId="10" fillId="2" borderId="0" xfId="0" applyNumberFormat="1" applyFont="1" applyFill="1"/>
    <xf numFmtId="0" fontId="10" fillId="2" borderId="0" xfId="0" applyFont="1" applyFill="1"/>
    <xf numFmtId="3" fontId="10" fillId="2" borderId="0" xfId="1" applyNumberFormat="1" applyFont="1" applyFill="1" applyBorder="1" applyAlignment="1">
      <alignment horizontal="right" vertical="center"/>
    </xf>
    <xf numFmtId="3" fontId="11" fillId="2" borderId="0" xfId="1" applyNumberFormat="1" applyFont="1" applyFill="1" applyBorder="1" applyAlignment="1">
      <alignment horizontal="right" vertical="center"/>
    </xf>
    <xf numFmtId="0" fontId="11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15" fillId="2" borderId="0" xfId="0" applyFont="1" applyFill="1" applyBorder="1" applyAlignment="1">
      <alignment horizontal="center" readingOrder="2"/>
    </xf>
    <xf numFmtId="0" fontId="8" fillId="2" borderId="1" xfId="2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/>
    </xf>
    <xf numFmtId="0" fontId="11" fillId="2" borderId="0" xfId="0" applyFont="1" applyFill="1" applyBorder="1"/>
    <xf numFmtId="3" fontId="10" fillId="2" borderId="0" xfId="0" applyNumberFormat="1" applyFont="1" applyFill="1" applyBorder="1" applyProtection="1">
      <protection locked="0"/>
    </xf>
    <xf numFmtId="3" fontId="10" fillId="2" borderId="3" xfId="0" applyNumberFormat="1" applyFont="1" applyFill="1" applyBorder="1" applyProtection="1">
      <protection locked="0"/>
    </xf>
    <xf numFmtId="167" fontId="4" fillId="2" borderId="1" xfId="7" applyNumberFormat="1" applyFont="1" applyFill="1" applyBorder="1" applyAlignment="1" applyProtection="1">
      <alignment horizontal="center" vertical="center"/>
    </xf>
    <xf numFmtId="0" fontId="16" fillId="2" borderId="3" xfId="0" applyFont="1" applyFill="1" applyBorder="1" applyAlignment="1">
      <alignment horizontal="center" readingOrder="2"/>
    </xf>
    <xf numFmtId="0" fontId="6" fillId="2" borderId="0" xfId="8" applyFont="1" applyFill="1" applyBorder="1"/>
    <xf numFmtId="3" fontId="0" fillId="2" borderId="0" xfId="0" applyNumberFormat="1" applyFill="1"/>
    <xf numFmtId="0" fontId="11" fillId="2" borderId="1" xfId="0" applyFont="1" applyFill="1" applyBorder="1"/>
    <xf numFmtId="0" fontId="12" fillId="2" borderId="4" xfId="8" applyFont="1" applyFill="1" applyBorder="1" applyAlignment="1">
      <alignment vertical="center"/>
    </xf>
    <xf numFmtId="1" fontId="0" fillId="2" borderId="0" xfId="0" applyNumberFormat="1" applyFill="1"/>
    <xf numFmtId="0" fontId="19" fillId="2" borderId="0" xfId="4" applyFont="1" applyFill="1" applyBorder="1" applyAlignment="1">
      <alignment vertical="center"/>
    </xf>
    <xf numFmtId="166" fontId="0" fillId="2" borderId="0" xfId="1" applyNumberFormat="1" applyFont="1" applyFill="1"/>
    <xf numFmtId="3" fontId="11" fillId="2" borderId="0" xfId="0" applyNumberFormat="1" applyFont="1" applyFill="1" applyBorder="1" applyAlignment="1">
      <alignment horizontal="right" vertical="center"/>
    </xf>
    <xf numFmtId="3" fontId="10" fillId="2" borderId="0" xfId="0" applyNumberFormat="1" applyFont="1" applyFill="1" applyBorder="1" applyAlignment="1" applyProtection="1">
      <alignment horizontal="right" vertical="center"/>
      <protection locked="0"/>
    </xf>
    <xf numFmtId="3" fontId="10" fillId="2" borderId="3" xfId="0" applyNumberFormat="1" applyFont="1" applyFill="1" applyBorder="1" applyAlignment="1" applyProtection="1">
      <alignment horizontal="right" vertical="center"/>
      <protection locked="0"/>
    </xf>
    <xf numFmtId="0" fontId="10" fillId="2" borderId="0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0" fillId="2" borderId="0" xfId="0" applyFill="1"/>
    <xf numFmtId="0" fontId="9" fillId="2" borderId="0" xfId="0" applyFont="1" applyFill="1" applyBorder="1" applyAlignment="1">
      <alignment horizontal="left" vertical="center"/>
    </xf>
    <xf numFmtId="3" fontId="20" fillId="2" borderId="0" xfId="1" applyNumberFormat="1" applyFont="1" applyFill="1" applyBorder="1" applyAlignment="1">
      <alignment horizontal="right" vertical="center"/>
    </xf>
    <xf numFmtId="3" fontId="10" fillId="2" borderId="0" xfId="0" applyNumberFormat="1" applyFont="1" applyFill="1" applyBorder="1" applyAlignment="1">
      <alignment horizontal="right" vertical="center"/>
    </xf>
    <xf numFmtId="3" fontId="10" fillId="2" borderId="3" xfId="0" applyNumberFormat="1" applyFont="1" applyFill="1" applyBorder="1" applyAlignment="1">
      <alignment horizontal="right" vertical="center"/>
    </xf>
    <xf numFmtId="3" fontId="11" fillId="2" borderId="3" xfId="0" applyNumberFormat="1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167" fontId="4" fillId="2" borderId="0" xfId="7" applyNumberFormat="1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67" fontId="4" fillId="2" borderId="0" xfId="7" applyNumberFormat="1" applyFont="1" applyFill="1" applyBorder="1" applyAlignment="1" applyProtection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167" fontId="14" fillId="2" borderId="0" xfId="7" applyNumberFormat="1" applyFont="1" applyFill="1" applyBorder="1" applyAlignment="1" applyProtection="1">
      <alignment horizontal="center" vertical="center"/>
    </xf>
    <xf numFmtId="164" fontId="11" fillId="2" borderId="5" xfId="1" applyNumberFormat="1" applyFont="1" applyFill="1" applyBorder="1" applyAlignment="1">
      <alignment horizontal="center" vertical="center"/>
    </xf>
    <xf numFmtId="0" fontId="17" fillId="2" borderId="0" xfId="5" applyFont="1" applyFill="1" applyBorder="1" applyAlignment="1">
      <alignment horizontal="center" vertical="center"/>
    </xf>
    <xf numFmtId="167" fontId="4" fillId="2" borderId="0" xfId="7" applyNumberFormat="1" applyFont="1" applyFill="1" applyBorder="1" applyAlignment="1" applyProtection="1">
      <alignment horizontal="center" vertical="center"/>
    </xf>
    <xf numFmtId="167" fontId="8" fillId="2" borderId="1" xfId="7" applyNumberFormat="1" applyFont="1" applyFill="1" applyBorder="1" applyAlignment="1" applyProtection="1">
      <alignment horizontal="center" vertical="center"/>
    </xf>
    <xf numFmtId="167" fontId="8" fillId="2" borderId="0" xfId="7" applyNumberFormat="1" applyFont="1" applyFill="1" applyBorder="1" applyAlignment="1" applyProtection="1">
      <alignment horizontal="center" vertical="center"/>
    </xf>
    <xf numFmtId="0" fontId="8" fillId="2" borderId="1" xfId="2" applyFont="1" applyFill="1" applyBorder="1" applyAlignment="1">
      <alignment horizontal="center" vertical="top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/>
    </xf>
  </cellXfs>
  <cellStyles count="522">
    <cellStyle name="Comma" xfId="1" builtinId="3"/>
    <cellStyle name="Comma 3" xfId="3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Normal" xfId="0" builtinId="0"/>
    <cellStyle name="Normal 2" xfId="4"/>
    <cellStyle name="Normal 4" xfId="9"/>
    <cellStyle name="Normal_5 Employment_done" xfId="5"/>
    <cellStyle name="Normal_II-16(Populaion)" xfId="2"/>
    <cellStyle name="Normal_po" xfId="8"/>
    <cellStyle name="Normal_Population - II 2" xfId="7"/>
    <cellStyle name="Percent 3" xfId="6"/>
  </cellStyles>
  <dxfs count="0"/>
  <tableStyles count="0" defaultTableStyle="TableStyleMedium9" defaultPivotStyle="PivotStyleLight16"/>
  <colors>
    <mruColors>
      <color rgb="FFFDEADA"/>
      <color rgb="FFFCD3B2"/>
      <color rgb="FFFABF8E"/>
      <color rgb="FFF79747"/>
      <color rgb="FF953735"/>
      <color rgb="FFFBC497"/>
      <color rgb="FFFDDFC7"/>
      <color rgb="FFFF3399"/>
      <color rgb="FFFFD9EC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GB"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Figure</a:t>
            </a:r>
            <a:r>
              <a:rPr lang="en-US" sz="1050" baseline="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 5.2: </a:t>
            </a:r>
            <a:r>
              <a:rPr lang="en-US" sz="1050" baseline="0">
                <a:latin typeface="Consolas" pitchFamily="49" charset="0"/>
                <a:cs typeface="Consolas" pitchFamily="49" charset="0"/>
              </a:rPr>
              <a:t>Number of civil servants by locaity &amp; sex, 2015 - 2016</a:t>
            </a:r>
            <a:endParaRPr lang="en-US" sz="105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4992412746585734"/>
          <c:y val="2.41149988701743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304155265872494"/>
          <c:y val="0.14420086562027432"/>
          <c:w val="0.86275252937781122"/>
          <c:h val="0.6649114390502511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'5.2'!$AS$26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F79747"/>
            </a:solidFill>
          </c:spPr>
          <c:invertIfNegative val="0"/>
          <c:cat>
            <c:multiLvlStrRef>
              <c:f>'5.2'!$AT$20:$BB$21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Republic</c:v>
                  </c:pt>
                  <c:pt idx="3">
                    <c:v>Male'</c:v>
                  </c:pt>
                  <c:pt idx="6">
                    <c:v>Atolls</c:v>
                  </c:pt>
                </c:lvl>
              </c:multiLvlStrCache>
            </c:multiLvlStrRef>
          </c:cat>
          <c:val>
            <c:numRef>
              <c:f>'5.2'!$AT$26:$BB$26</c:f>
              <c:numCache>
                <c:formatCode>#,##0</c:formatCode>
                <c:ptCount val="9"/>
                <c:pt idx="0">
                  <c:v>24696</c:v>
                </c:pt>
                <c:pt idx="1">
                  <c:v>11191</c:v>
                </c:pt>
                <c:pt idx="2">
                  <c:v>13505</c:v>
                </c:pt>
                <c:pt idx="3">
                  <c:v>8549</c:v>
                </c:pt>
                <c:pt idx="4">
                  <c:v>3692</c:v>
                </c:pt>
                <c:pt idx="5">
                  <c:v>4857</c:v>
                </c:pt>
                <c:pt idx="6">
                  <c:v>16147</c:v>
                </c:pt>
                <c:pt idx="7">
                  <c:v>7499</c:v>
                </c:pt>
                <c:pt idx="8">
                  <c:v>8648</c:v>
                </c:pt>
              </c:numCache>
            </c:numRef>
          </c:val>
        </c:ser>
        <c:ser>
          <c:idx val="3"/>
          <c:order val="1"/>
          <c:tx>
            <c:strRef>
              <c:f>'5.2'!$AS$27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multiLvlStrRef>
              <c:f>'5.2'!$AT$20:$BB$21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Republic</c:v>
                  </c:pt>
                  <c:pt idx="3">
                    <c:v>Male'</c:v>
                  </c:pt>
                  <c:pt idx="6">
                    <c:v>Atolls</c:v>
                  </c:pt>
                </c:lvl>
              </c:multiLvlStrCache>
            </c:multiLvlStrRef>
          </c:cat>
          <c:val>
            <c:numRef>
              <c:f>'5.2'!$AT$27:$BB$27</c:f>
              <c:numCache>
                <c:formatCode>#,##0</c:formatCode>
                <c:ptCount val="9"/>
                <c:pt idx="0">
                  <c:v>24501</c:v>
                </c:pt>
                <c:pt idx="1">
                  <c:v>10881</c:v>
                </c:pt>
                <c:pt idx="2">
                  <c:v>13620</c:v>
                </c:pt>
                <c:pt idx="3">
                  <c:v>9500</c:v>
                </c:pt>
                <c:pt idx="4">
                  <c:v>4500</c:v>
                </c:pt>
                <c:pt idx="5">
                  <c:v>5000</c:v>
                </c:pt>
                <c:pt idx="6">
                  <c:v>15001</c:v>
                </c:pt>
                <c:pt idx="7">
                  <c:v>6381</c:v>
                </c:pt>
                <c:pt idx="8">
                  <c:v>8620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118022144"/>
        <c:axId val="118023680"/>
      </c:barChart>
      <c:catAx>
        <c:axId val="1180221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en-GB" b="0"/>
            </a:pPr>
            <a:endParaRPr lang="en-US"/>
          </a:p>
        </c:txPr>
        <c:crossAx val="118023680"/>
        <c:crosses val="autoZero"/>
        <c:auto val="1"/>
        <c:lblAlgn val="ctr"/>
        <c:lblOffset val="100"/>
        <c:noMultiLvlLbl val="0"/>
      </c:catAx>
      <c:valAx>
        <c:axId val="118023680"/>
        <c:scaling>
          <c:orientation val="minMax"/>
          <c:max val="30000"/>
        </c:scaling>
        <c:delete val="0"/>
        <c:axPos val="l"/>
        <c:majorGridlines>
          <c:spPr>
            <a:ln>
              <a:solidFill>
                <a:srgbClr val="FBC49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8.0712939928152226E-3"/>
              <c:y val="0.31101203728844368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lang="en-GB" sz="900"/>
            </a:pPr>
            <a:endParaRPr lang="en-US"/>
          </a:p>
        </c:txPr>
        <c:crossAx val="118022144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6676647589005846"/>
          <c:y val="0.26051485286193532"/>
          <c:w val="0.19881535293672509"/>
          <c:h val="8.9032347777719831E-2"/>
        </c:manualLayout>
      </c:layout>
      <c:overlay val="0"/>
      <c:txPr>
        <a:bodyPr/>
        <a:lstStyle/>
        <a:p>
          <a:pPr>
            <a:defRPr lang="en-GB" sz="1000" b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15805930481005"/>
          <c:y val="0.1558727102370504"/>
          <c:w val="0.87558990658188318"/>
          <c:h val="0.693288927454825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'5.2'!$D$7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'5.2'!$A$11:$A$21</c:f>
              <c:strCache>
                <c:ptCount val="11"/>
                <c:pt idx="0">
                  <c:v>     15-19</c:v>
                </c:pt>
                <c:pt idx="1">
                  <c:v>     20-24</c:v>
                </c:pt>
                <c:pt idx="2">
                  <c:v>     25-29</c:v>
                </c:pt>
                <c:pt idx="3">
                  <c:v>     30-34</c:v>
                </c:pt>
                <c:pt idx="4">
                  <c:v>     35-39</c:v>
                </c:pt>
                <c:pt idx="5">
                  <c:v>     40-44</c:v>
                </c:pt>
                <c:pt idx="6">
                  <c:v>     45-49</c:v>
                </c:pt>
                <c:pt idx="7">
                  <c:v>     50-54</c:v>
                </c:pt>
                <c:pt idx="8">
                  <c:v>     55-59</c:v>
                </c:pt>
                <c:pt idx="9">
                  <c:v>     60-64</c:v>
                </c:pt>
                <c:pt idx="10">
                  <c:v>     65+</c:v>
                </c:pt>
              </c:strCache>
            </c:strRef>
          </c:cat>
          <c:val>
            <c:numRef>
              <c:f>'5.2'!$D$11:$D$21</c:f>
              <c:numCache>
                <c:formatCode>#,##0</c:formatCode>
                <c:ptCount val="11"/>
                <c:pt idx="0">
                  <c:v>43</c:v>
                </c:pt>
                <c:pt idx="1">
                  <c:v>603</c:v>
                </c:pt>
                <c:pt idx="2">
                  <c:v>1457</c:v>
                </c:pt>
                <c:pt idx="3">
                  <c:v>2073</c:v>
                </c:pt>
                <c:pt idx="4">
                  <c:v>1643</c:v>
                </c:pt>
                <c:pt idx="5">
                  <c:v>1501</c:v>
                </c:pt>
                <c:pt idx="6">
                  <c:v>1259</c:v>
                </c:pt>
                <c:pt idx="7">
                  <c:v>1028</c:v>
                </c:pt>
                <c:pt idx="8">
                  <c:v>796</c:v>
                </c:pt>
                <c:pt idx="9">
                  <c:v>438</c:v>
                </c:pt>
                <c:pt idx="10">
                  <c:v>40</c:v>
                </c:pt>
              </c:numCache>
            </c:numRef>
          </c:val>
        </c:ser>
        <c:ser>
          <c:idx val="1"/>
          <c:order val="1"/>
          <c:tx>
            <c:strRef>
              <c:f>'5.2'!$E$7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79747"/>
            </a:solidFill>
          </c:spPr>
          <c:invertIfNegative val="0"/>
          <c:cat>
            <c:strRef>
              <c:f>'5.2'!$A$11:$A$21</c:f>
              <c:strCache>
                <c:ptCount val="11"/>
                <c:pt idx="0">
                  <c:v>     15-19</c:v>
                </c:pt>
                <c:pt idx="1">
                  <c:v>     20-24</c:v>
                </c:pt>
                <c:pt idx="2">
                  <c:v>     25-29</c:v>
                </c:pt>
                <c:pt idx="3">
                  <c:v>     30-34</c:v>
                </c:pt>
                <c:pt idx="4">
                  <c:v>     35-39</c:v>
                </c:pt>
                <c:pt idx="5">
                  <c:v>     40-44</c:v>
                </c:pt>
                <c:pt idx="6">
                  <c:v>     45-49</c:v>
                </c:pt>
                <c:pt idx="7">
                  <c:v>     50-54</c:v>
                </c:pt>
                <c:pt idx="8">
                  <c:v>     55-59</c:v>
                </c:pt>
                <c:pt idx="9">
                  <c:v>     60-64</c:v>
                </c:pt>
                <c:pt idx="10">
                  <c:v>     65+</c:v>
                </c:pt>
              </c:strCache>
            </c:strRef>
          </c:cat>
          <c:val>
            <c:numRef>
              <c:f>'5.2'!$E$11:$E$21</c:f>
              <c:numCache>
                <c:formatCode>#,##0</c:formatCode>
                <c:ptCount val="11"/>
                <c:pt idx="0">
                  <c:v>52</c:v>
                </c:pt>
                <c:pt idx="1">
                  <c:v>1267</c:v>
                </c:pt>
                <c:pt idx="2">
                  <c:v>2916</c:v>
                </c:pt>
                <c:pt idx="3">
                  <c:v>2945</c:v>
                </c:pt>
                <c:pt idx="4">
                  <c:v>2028</c:v>
                </c:pt>
                <c:pt idx="5">
                  <c:v>1739</c:v>
                </c:pt>
                <c:pt idx="6">
                  <c:v>1207</c:v>
                </c:pt>
                <c:pt idx="7">
                  <c:v>827</c:v>
                </c:pt>
                <c:pt idx="8">
                  <c:v>433</c:v>
                </c:pt>
                <c:pt idx="9">
                  <c:v>193</c:v>
                </c:pt>
                <c:pt idx="10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18167040"/>
        <c:axId val="118190080"/>
      </c:barChart>
      <c:catAx>
        <c:axId val="118167040"/>
        <c:scaling>
          <c:orientation val="minMax"/>
        </c:scaling>
        <c:delete val="0"/>
        <c:axPos val="b"/>
        <c:majorTickMark val="none"/>
        <c:minorTickMark val="none"/>
        <c:tickLblPos val="nextTo"/>
        <c:crossAx val="118190080"/>
        <c:crosses val="autoZero"/>
        <c:auto val="1"/>
        <c:lblAlgn val="ctr"/>
        <c:lblOffset val="100"/>
        <c:noMultiLvlLbl val="0"/>
      </c:catAx>
      <c:valAx>
        <c:axId val="118190080"/>
        <c:scaling>
          <c:orientation val="minMax"/>
        </c:scaling>
        <c:delete val="0"/>
        <c:axPos val="l"/>
        <c:majorGridlines>
          <c:spPr>
            <a:ln>
              <a:solidFill>
                <a:srgbClr val="FBC497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crossAx val="118167040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7563943519470628"/>
          <c:y val="0.27267772673484786"/>
          <c:w val="0.25469989155547174"/>
          <c:h val="6.5582531350247872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23</xdr:row>
      <xdr:rowOff>114300</xdr:rowOff>
    </xdr:from>
    <xdr:to>
      <xdr:col>12</xdr:col>
      <xdr:colOff>523875</xdr:colOff>
      <xdr:row>38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257175</xdr:colOff>
      <xdr:row>25</xdr:row>
      <xdr:rowOff>28575</xdr:rowOff>
    </xdr:from>
    <xdr:to>
      <xdr:col>12</xdr:col>
      <xdr:colOff>145047</xdr:colOff>
      <xdr:row>25</xdr:row>
      <xdr:rowOff>28575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1066800" y="4657725"/>
          <a:ext cx="4993272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0</xdr:col>
      <xdr:colOff>168449</xdr:colOff>
      <xdr:row>39</xdr:row>
      <xdr:rowOff>91466</xdr:rowOff>
    </xdr:from>
    <xdr:to>
      <xdr:col>12</xdr:col>
      <xdr:colOff>549449</xdr:colOff>
      <xdr:row>54</xdr:row>
      <xdr:rowOff>148616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311756</xdr:colOff>
      <xdr:row>41</xdr:row>
      <xdr:rowOff>5351</xdr:rowOff>
    </xdr:from>
    <xdr:to>
      <xdr:col>11</xdr:col>
      <xdr:colOff>599326</xdr:colOff>
      <xdr:row>41</xdr:row>
      <xdr:rowOff>5351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119776" y="7753778"/>
          <a:ext cx="4782513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0</xdr:col>
      <xdr:colOff>187762</xdr:colOff>
      <xdr:row>44</xdr:row>
      <xdr:rowOff>185715</xdr:rowOff>
    </xdr:from>
    <xdr:to>
      <xdr:col>0</xdr:col>
      <xdr:colOff>395983</xdr:colOff>
      <xdr:row>48</xdr:row>
      <xdr:rowOff>114549</xdr:rowOff>
    </xdr:to>
    <xdr:sp macro="" textlink="">
      <xdr:nvSpPr>
        <xdr:cNvPr id="7" name="TextBox 6"/>
        <xdr:cNvSpPr txBox="1"/>
      </xdr:nvSpPr>
      <xdr:spPr>
        <a:xfrm rot="16200000">
          <a:off x="-57825" y="8757650"/>
          <a:ext cx="699396" cy="208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Number</a:t>
          </a:r>
        </a:p>
      </xdr:txBody>
    </xdr:sp>
    <xdr:clientData/>
  </xdr:twoCellAnchor>
  <xdr:twoCellAnchor>
    <xdr:from>
      <xdr:col>6</xdr:col>
      <xdr:colOff>191826</xdr:colOff>
      <xdr:row>53</xdr:row>
      <xdr:rowOff>96027</xdr:rowOff>
    </xdr:from>
    <xdr:to>
      <xdr:col>7</xdr:col>
      <xdr:colOff>401444</xdr:colOff>
      <xdr:row>54</xdr:row>
      <xdr:rowOff>122122</xdr:rowOff>
    </xdr:to>
    <xdr:sp macro="" textlink="">
      <xdr:nvSpPr>
        <xdr:cNvPr id="8" name="TextBox 7"/>
        <xdr:cNvSpPr txBox="1"/>
      </xdr:nvSpPr>
      <xdr:spPr>
        <a:xfrm>
          <a:off x="2942304" y="10156139"/>
          <a:ext cx="819646" cy="2187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Age Group</a:t>
          </a:r>
        </a:p>
      </xdr:txBody>
    </xdr:sp>
    <xdr:clientData/>
  </xdr:twoCellAnchor>
  <xdr:twoCellAnchor>
    <xdr:from>
      <xdr:col>2</xdr:col>
      <xdr:colOff>294311</xdr:colOff>
      <xdr:row>39</xdr:row>
      <xdr:rowOff>160536</xdr:rowOff>
    </xdr:from>
    <xdr:to>
      <xdr:col>12</xdr:col>
      <xdr:colOff>133777</xdr:colOff>
      <xdr:row>41</xdr:row>
      <xdr:rowOff>1</xdr:rowOff>
    </xdr:to>
    <xdr:sp macro="" textlink="">
      <xdr:nvSpPr>
        <xdr:cNvPr id="9" name="TextBox 8"/>
        <xdr:cNvSpPr txBox="1"/>
      </xdr:nvSpPr>
      <xdr:spPr>
        <a:xfrm>
          <a:off x="1102331" y="7523682"/>
          <a:ext cx="4944438" cy="2247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5.3: Number of civil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servants by sex and age group, 2016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5.%20EMPLOYMENT%20_%20P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9"/>
    </sheetNames>
    <sheetDataSet>
      <sheetData sheetId="0">
        <row r="114">
          <cell r="BB114" t="str">
            <v>Male</v>
          </cell>
          <cell r="BD114">
            <v>74.512743628185902</v>
          </cell>
        </row>
        <row r="115">
          <cell r="BB115" t="str">
            <v>Female</v>
          </cell>
          <cell r="BD115">
            <v>25.487256371814095</v>
          </cell>
        </row>
        <row r="119">
          <cell r="BB119" t="str">
            <v>Both sexes</v>
          </cell>
          <cell r="BC119" t="str">
            <v>Male</v>
          </cell>
          <cell r="BD119" t="str">
            <v>Female</v>
          </cell>
        </row>
        <row r="120">
          <cell r="BA120">
            <v>2011</v>
          </cell>
          <cell r="BB120">
            <v>544</v>
          </cell>
          <cell r="BC120">
            <v>390</v>
          </cell>
          <cell r="BD120">
            <v>154</v>
          </cell>
        </row>
        <row r="121">
          <cell r="BA121">
            <v>2012</v>
          </cell>
          <cell r="BB121">
            <v>446</v>
          </cell>
          <cell r="BC121">
            <v>301</v>
          </cell>
          <cell r="BD121">
            <v>145</v>
          </cell>
        </row>
        <row r="122">
          <cell r="BA122">
            <v>2013</v>
          </cell>
          <cell r="BB122">
            <v>473</v>
          </cell>
          <cell r="BC122">
            <v>342</v>
          </cell>
          <cell r="BD122">
            <v>131</v>
          </cell>
        </row>
        <row r="123">
          <cell r="BA123">
            <v>2014</v>
          </cell>
          <cell r="BB123">
            <v>526</v>
          </cell>
          <cell r="BC123">
            <v>367</v>
          </cell>
          <cell r="BD123">
            <v>159</v>
          </cell>
        </row>
        <row r="124">
          <cell r="BA124">
            <v>2015</v>
          </cell>
          <cell r="BB124">
            <v>0</v>
          </cell>
          <cell r="BC124">
            <v>0</v>
          </cell>
          <cell r="BD12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2:BC38"/>
  <sheetViews>
    <sheetView tabSelected="1" zoomScaleNormal="100" workbookViewId="0">
      <selection activeCell="P20" sqref="P20"/>
    </sheetView>
  </sheetViews>
  <sheetFormatPr defaultRowHeight="15" x14ac:dyDescent="0.25"/>
  <cols>
    <col min="1" max="1" width="10.28515625" style="32" customWidth="1"/>
    <col min="2" max="2" width="1.85546875" style="32" customWidth="1"/>
    <col min="3" max="5" width="9.140625" style="32"/>
    <col min="6" max="6" width="1.7109375" style="32" customWidth="1"/>
    <col min="7" max="9" width="9.140625" style="32"/>
    <col min="10" max="10" width="1.7109375" style="32" customWidth="1"/>
    <col min="11" max="13" width="9.140625" style="32"/>
    <col min="14" max="39" width="7.28515625" style="32" customWidth="1"/>
    <col min="40" max="16384" width="9.140625" style="32"/>
  </cols>
  <sheetData>
    <row r="2" spans="1:46" ht="21" x14ac:dyDescent="0.25">
      <c r="A2" s="47" t="s">
        <v>30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46" x14ac:dyDescent="0.25">
      <c r="A3" s="45" t="s">
        <v>31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46" ht="1.1499999999999999" customHeight="1" x14ac:dyDescent="0.25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0"/>
      <c r="P4" s="40"/>
      <c r="Q4" s="40"/>
      <c r="R4" s="40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0"/>
    </row>
    <row r="5" spans="1:46" ht="13.5" customHeight="1" x14ac:dyDescent="0.25">
      <c r="A5" s="49" t="s">
        <v>26</v>
      </c>
      <c r="B5" s="18"/>
      <c r="C5" s="51" t="s">
        <v>8</v>
      </c>
      <c r="D5" s="51"/>
      <c r="E5" s="51"/>
      <c r="F5" s="13"/>
      <c r="G5" s="51" t="s">
        <v>7</v>
      </c>
      <c r="H5" s="51"/>
      <c r="I5" s="51"/>
      <c r="J5" s="13"/>
      <c r="K5" s="51" t="s">
        <v>9</v>
      </c>
      <c r="L5" s="51"/>
      <c r="M5" s="51"/>
    </row>
    <row r="6" spans="1:46" ht="12" customHeight="1" x14ac:dyDescent="0.25">
      <c r="A6" s="50"/>
      <c r="B6" s="8"/>
      <c r="C6" s="52" t="s">
        <v>0</v>
      </c>
      <c r="D6" s="52"/>
      <c r="E6" s="52"/>
      <c r="F6" s="8"/>
      <c r="G6" s="53" t="s">
        <v>1</v>
      </c>
      <c r="H6" s="53"/>
      <c r="I6" s="53"/>
      <c r="J6" s="8"/>
      <c r="K6" s="53" t="s">
        <v>2</v>
      </c>
      <c r="L6" s="53"/>
      <c r="M6" s="53"/>
    </row>
    <row r="7" spans="1:46" x14ac:dyDescent="0.25">
      <c r="A7" s="43" t="s">
        <v>10</v>
      </c>
      <c r="B7" s="8"/>
      <c r="C7" s="9" t="s">
        <v>11</v>
      </c>
      <c r="D7" s="9" t="s">
        <v>5</v>
      </c>
      <c r="E7" s="9" t="s">
        <v>6</v>
      </c>
      <c r="F7" s="38"/>
      <c r="G7" s="9" t="s">
        <v>11</v>
      </c>
      <c r="H7" s="9" t="s">
        <v>5</v>
      </c>
      <c r="I7" s="9" t="s">
        <v>6</v>
      </c>
      <c r="J7" s="38"/>
      <c r="K7" s="9" t="s">
        <v>11</v>
      </c>
      <c r="L7" s="9" t="s">
        <v>5</v>
      </c>
      <c r="M7" s="9" t="s">
        <v>6</v>
      </c>
    </row>
    <row r="8" spans="1:46" ht="18.75" x14ac:dyDescent="0.5">
      <c r="A8" s="44"/>
      <c r="B8" s="14"/>
      <c r="C8" s="19" t="s">
        <v>25</v>
      </c>
      <c r="D8" s="19" t="s">
        <v>3</v>
      </c>
      <c r="E8" s="19" t="s">
        <v>4</v>
      </c>
      <c r="F8" s="39"/>
      <c r="G8" s="19" t="s">
        <v>25</v>
      </c>
      <c r="H8" s="19" t="s">
        <v>3</v>
      </c>
      <c r="I8" s="19" t="s">
        <v>4</v>
      </c>
      <c r="J8" s="39"/>
      <c r="K8" s="19" t="s">
        <v>25</v>
      </c>
      <c r="L8" s="19" t="s">
        <v>3</v>
      </c>
      <c r="M8" s="19" t="s">
        <v>4</v>
      </c>
    </row>
    <row r="9" spans="1:46" s="2" customFormat="1" ht="9.6" customHeight="1" x14ac:dyDescent="0.55000000000000004">
      <c r="A9" s="38"/>
      <c r="B9" s="8"/>
      <c r="C9" s="12"/>
      <c r="D9" s="12"/>
      <c r="E9" s="12"/>
      <c r="F9" s="41"/>
      <c r="G9" s="12"/>
      <c r="H9" s="12"/>
      <c r="I9" s="12"/>
      <c r="J9" s="41"/>
      <c r="K9" s="12"/>
      <c r="L9" s="12"/>
      <c r="M9" s="12"/>
    </row>
    <row r="10" spans="1:46" x14ac:dyDescent="0.25">
      <c r="A10" s="7" t="s">
        <v>12</v>
      </c>
      <c r="B10" s="15"/>
      <c r="C10" s="27">
        <f>G10+K10</f>
        <v>24501</v>
      </c>
      <c r="D10" s="27">
        <f>H10+L10</f>
        <v>10881</v>
      </c>
      <c r="E10" s="27">
        <f t="shared" ref="E10" si="0">I10+M10</f>
        <v>13620</v>
      </c>
      <c r="F10" s="27"/>
      <c r="G10" s="27">
        <f>H10+I10</f>
        <v>9500</v>
      </c>
      <c r="H10" s="27">
        <f>SUM(H11:H21)</f>
        <v>4500</v>
      </c>
      <c r="I10" s="27">
        <f>SUM(I11:I21)</f>
        <v>5000</v>
      </c>
      <c r="J10" s="27"/>
      <c r="K10" s="27">
        <f>L10+M10</f>
        <v>15001</v>
      </c>
      <c r="L10" s="27">
        <f>SUM(L11:L21)</f>
        <v>6381</v>
      </c>
      <c r="M10" s="27">
        <f>SUM(M11:M21)</f>
        <v>8620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6" x14ac:dyDescent="0.25">
      <c r="A11" s="30" t="s">
        <v>13</v>
      </c>
      <c r="B11" s="10"/>
      <c r="C11" s="27">
        <f t="shared" ref="C11:C21" si="1">G11+K11</f>
        <v>95</v>
      </c>
      <c r="D11" s="35">
        <f t="shared" ref="D11:D21" si="2">H11+L11</f>
        <v>43</v>
      </c>
      <c r="E11" s="35">
        <f t="shared" ref="E11:E21" si="3">I11+M11</f>
        <v>52</v>
      </c>
      <c r="F11" s="28"/>
      <c r="G11" s="27">
        <f>H11+I11</f>
        <v>46</v>
      </c>
      <c r="H11" s="28">
        <v>21</v>
      </c>
      <c r="I11" s="28">
        <v>25</v>
      </c>
      <c r="J11" s="28"/>
      <c r="K11" s="27">
        <f t="shared" ref="K11:K21" si="4">L11+M11</f>
        <v>49</v>
      </c>
      <c r="L11" s="28">
        <v>22</v>
      </c>
      <c r="M11" s="28">
        <v>27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6" x14ac:dyDescent="0.25">
      <c r="A12" s="30" t="s">
        <v>14</v>
      </c>
      <c r="B12" s="10"/>
      <c r="C12" s="27">
        <f t="shared" si="1"/>
        <v>1870</v>
      </c>
      <c r="D12" s="35">
        <f t="shared" si="2"/>
        <v>603</v>
      </c>
      <c r="E12" s="35">
        <f t="shared" si="3"/>
        <v>1267</v>
      </c>
      <c r="F12" s="28"/>
      <c r="G12" s="27">
        <f t="shared" ref="G12:G21" si="5">H12+I12</f>
        <v>803</v>
      </c>
      <c r="H12" s="28">
        <v>326</v>
      </c>
      <c r="I12" s="28">
        <v>477</v>
      </c>
      <c r="J12" s="28"/>
      <c r="K12" s="27">
        <f t="shared" si="4"/>
        <v>1067</v>
      </c>
      <c r="L12" s="28">
        <v>277</v>
      </c>
      <c r="M12" s="28">
        <v>790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6" x14ac:dyDescent="0.25">
      <c r="A13" s="30" t="s">
        <v>15</v>
      </c>
      <c r="B13" s="10"/>
      <c r="C13" s="27">
        <f t="shared" si="1"/>
        <v>4373</v>
      </c>
      <c r="D13" s="35">
        <f t="shared" si="2"/>
        <v>1457</v>
      </c>
      <c r="E13" s="35">
        <f t="shared" si="3"/>
        <v>2916</v>
      </c>
      <c r="F13" s="28"/>
      <c r="G13" s="27">
        <f t="shared" si="5"/>
        <v>1508</v>
      </c>
      <c r="H13" s="28">
        <v>542</v>
      </c>
      <c r="I13" s="28">
        <v>966</v>
      </c>
      <c r="J13" s="28"/>
      <c r="K13" s="27">
        <f t="shared" si="4"/>
        <v>2865</v>
      </c>
      <c r="L13" s="28">
        <v>915</v>
      </c>
      <c r="M13" s="28">
        <v>1950</v>
      </c>
      <c r="N13" s="24"/>
      <c r="P13" s="5"/>
      <c r="Q13" s="6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6"/>
      <c r="AP13" s="5"/>
      <c r="AQ13" s="5"/>
      <c r="AR13" s="5"/>
      <c r="AS13" s="6"/>
      <c r="AT13" s="5"/>
    </row>
    <row r="14" spans="1:46" x14ac:dyDescent="0.25">
      <c r="A14" s="30" t="s">
        <v>16</v>
      </c>
      <c r="B14" s="10"/>
      <c r="C14" s="27">
        <f t="shared" si="1"/>
        <v>5018</v>
      </c>
      <c r="D14" s="35">
        <f t="shared" si="2"/>
        <v>2073</v>
      </c>
      <c r="E14" s="35">
        <f t="shared" si="3"/>
        <v>2945</v>
      </c>
      <c r="F14" s="28"/>
      <c r="G14" s="27">
        <f t="shared" si="5"/>
        <v>1769</v>
      </c>
      <c r="H14" s="28">
        <v>802</v>
      </c>
      <c r="I14" s="28">
        <v>967</v>
      </c>
      <c r="J14" s="28"/>
      <c r="K14" s="27">
        <f t="shared" si="4"/>
        <v>3249</v>
      </c>
      <c r="L14" s="28">
        <v>1271</v>
      </c>
      <c r="M14" s="28">
        <v>1978</v>
      </c>
      <c r="N14" s="24"/>
      <c r="O14" s="24"/>
      <c r="P14" s="9"/>
      <c r="Q14" s="9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6" x14ac:dyDescent="0.25">
      <c r="A15" s="30" t="s">
        <v>17</v>
      </c>
      <c r="B15" s="10"/>
      <c r="C15" s="27">
        <f t="shared" si="1"/>
        <v>3671</v>
      </c>
      <c r="D15" s="35">
        <f t="shared" si="2"/>
        <v>1643</v>
      </c>
      <c r="E15" s="35">
        <f t="shared" si="3"/>
        <v>2028</v>
      </c>
      <c r="F15" s="28"/>
      <c r="G15" s="27">
        <f t="shared" si="5"/>
        <v>1369</v>
      </c>
      <c r="H15" s="28">
        <v>616</v>
      </c>
      <c r="I15" s="28">
        <v>753</v>
      </c>
      <c r="J15" s="28"/>
      <c r="K15" s="27">
        <f t="shared" si="4"/>
        <v>2302</v>
      </c>
      <c r="L15" s="28">
        <v>1027</v>
      </c>
      <c r="M15" s="28">
        <v>1275</v>
      </c>
      <c r="N15" s="24"/>
      <c r="O15" s="24"/>
      <c r="P15" s="27"/>
      <c r="Q15" s="27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6" x14ac:dyDescent="0.25">
      <c r="A16" s="30" t="s">
        <v>18</v>
      </c>
      <c r="B16" s="10"/>
      <c r="C16" s="27">
        <f t="shared" si="1"/>
        <v>3240</v>
      </c>
      <c r="D16" s="35">
        <f t="shared" si="2"/>
        <v>1501</v>
      </c>
      <c r="E16" s="35">
        <f t="shared" si="3"/>
        <v>1739</v>
      </c>
      <c r="F16" s="28"/>
      <c r="G16" s="27">
        <f t="shared" si="5"/>
        <v>1298</v>
      </c>
      <c r="H16" s="28">
        <v>630</v>
      </c>
      <c r="I16" s="28">
        <v>668</v>
      </c>
      <c r="J16" s="28"/>
      <c r="K16" s="27">
        <f t="shared" si="4"/>
        <v>1942</v>
      </c>
      <c r="L16" s="28">
        <v>871</v>
      </c>
      <c r="M16" s="28">
        <v>1071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55" x14ac:dyDescent="0.25">
      <c r="A17" s="30" t="s">
        <v>19</v>
      </c>
      <c r="B17" s="10"/>
      <c r="C17" s="27">
        <f t="shared" si="1"/>
        <v>2466</v>
      </c>
      <c r="D17" s="35">
        <f t="shared" si="2"/>
        <v>1259</v>
      </c>
      <c r="E17" s="35">
        <f t="shared" si="3"/>
        <v>1207</v>
      </c>
      <c r="F17" s="28"/>
      <c r="G17" s="27">
        <f t="shared" si="5"/>
        <v>989</v>
      </c>
      <c r="H17" s="28">
        <v>520</v>
      </c>
      <c r="I17" s="28">
        <v>469</v>
      </c>
      <c r="J17" s="28"/>
      <c r="K17" s="27">
        <f t="shared" si="4"/>
        <v>1477</v>
      </c>
      <c r="L17" s="28">
        <v>739</v>
      </c>
      <c r="M17" s="28">
        <v>738</v>
      </c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55" x14ac:dyDescent="0.25">
      <c r="A18" s="30" t="s">
        <v>20</v>
      </c>
      <c r="B18" s="10"/>
      <c r="C18" s="27">
        <f t="shared" si="1"/>
        <v>1855</v>
      </c>
      <c r="D18" s="35">
        <f t="shared" si="2"/>
        <v>1028</v>
      </c>
      <c r="E18" s="35">
        <f t="shared" si="3"/>
        <v>827</v>
      </c>
      <c r="F18" s="28"/>
      <c r="G18" s="27">
        <f t="shared" si="5"/>
        <v>821</v>
      </c>
      <c r="H18" s="28">
        <v>454</v>
      </c>
      <c r="I18" s="28">
        <v>367</v>
      </c>
      <c r="J18" s="28"/>
      <c r="K18" s="27">
        <f t="shared" si="4"/>
        <v>1034</v>
      </c>
      <c r="L18" s="28">
        <v>574</v>
      </c>
      <c r="M18" s="28">
        <v>460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55" x14ac:dyDescent="0.25">
      <c r="A19" s="30" t="s">
        <v>21</v>
      </c>
      <c r="B19" s="10"/>
      <c r="C19" s="27">
        <f t="shared" si="1"/>
        <v>1229</v>
      </c>
      <c r="D19" s="35">
        <f t="shared" si="2"/>
        <v>796</v>
      </c>
      <c r="E19" s="35">
        <f t="shared" si="3"/>
        <v>433</v>
      </c>
      <c r="F19" s="28"/>
      <c r="G19" s="27">
        <f t="shared" si="5"/>
        <v>562</v>
      </c>
      <c r="H19" s="28">
        <v>354</v>
      </c>
      <c r="I19" s="28">
        <v>208</v>
      </c>
      <c r="J19" s="28"/>
      <c r="K19" s="27">
        <f t="shared" si="4"/>
        <v>667</v>
      </c>
      <c r="L19" s="28">
        <v>442</v>
      </c>
      <c r="M19" s="28">
        <v>225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55" x14ac:dyDescent="0.25">
      <c r="A20" s="30" t="s">
        <v>22</v>
      </c>
      <c r="B20" s="10"/>
      <c r="C20" s="27">
        <f t="shared" si="1"/>
        <v>631</v>
      </c>
      <c r="D20" s="35">
        <f t="shared" si="2"/>
        <v>438</v>
      </c>
      <c r="E20" s="35">
        <f t="shared" si="3"/>
        <v>193</v>
      </c>
      <c r="F20" s="28"/>
      <c r="G20" s="27">
        <f t="shared" si="5"/>
        <v>309</v>
      </c>
      <c r="H20" s="28">
        <v>218</v>
      </c>
      <c r="I20" s="28">
        <v>91</v>
      </c>
      <c r="J20" s="28"/>
      <c r="K20" s="27">
        <f t="shared" si="4"/>
        <v>322</v>
      </c>
      <c r="L20" s="28">
        <v>220</v>
      </c>
      <c r="M20" s="28">
        <v>102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T20" s="46" t="s">
        <v>0</v>
      </c>
      <c r="AU20" s="46"/>
      <c r="AV20" s="46"/>
      <c r="AW20" s="46" t="s">
        <v>1</v>
      </c>
      <c r="AX20" s="46"/>
      <c r="AY20" s="46"/>
      <c r="AZ20" s="46" t="s">
        <v>2</v>
      </c>
      <c r="BA20" s="46"/>
      <c r="BB20" s="46"/>
    </row>
    <row r="21" spans="1:55" x14ac:dyDescent="0.25">
      <c r="A21" s="31" t="s">
        <v>23</v>
      </c>
      <c r="B21" s="11"/>
      <c r="C21" s="37">
        <f t="shared" si="1"/>
        <v>53</v>
      </c>
      <c r="D21" s="36">
        <f t="shared" si="2"/>
        <v>40</v>
      </c>
      <c r="E21" s="36">
        <f t="shared" si="3"/>
        <v>13</v>
      </c>
      <c r="F21" s="29"/>
      <c r="G21" s="37">
        <f t="shared" si="5"/>
        <v>26</v>
      </c>
      <c r="H21" s="29">
        <v>17</v>
      </c>
      <c r="I21" s="29">
        <v>9</v>
      </c>
      <c r="J21" s="29"/>
      <c r="K21" s="37">
        <f t="shared" si="4"/>
        <v>27</v>
      </c>
      <c r="L21" s="29">
        <v>23</v>
      </c>
      <c r="M21" s="29">
        <v>4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S21" s="8"/>
      <c r="AT21" s="9" t="s">
        <v>11</v>
      </c>
      <c r="AU21" s="9" t="s">
        <v>5</v>
      </c>
      <c r="AV21" s="9" t="s">
        <v>6</v>
      </c>
      <c r="AW21" s="9" t="s">
        <v>11</v>
      </c>
      <c r="AX21" s="9" t="s">
        <v>5</v>
      </c>
      <c r="AY21" s="9" t="s">
        <v>6</v>
      </c>
      <c r="AZ21" s="9" t="s">
        <v>11</v>
      </c>
      <c r="BA21" s="9" t="s">
        <v>5</v>
      </c>
      <c r="BB21" s="9" t="s">
        <v>6</v>
      </c>
    </row>
    <row r="22" spans="1:55" s="4" customFormat="1" ht="17.25" x14ac:dyDescent="0.25">
      <c r="A22" s="33" t="s">
        <v>29</v>
      </c>
      <c r="B22" s="5"/>
      <c r="C22" s="6"/>
      <c r="D22" s="5"/>
      <c r="E22" s="5"/>
      <c r="F22" s="5"/>
      <c r="G22" s="6"/>
      <c r="H22" s="5"/>
      <c r="I22" s="5"/>
      <c r="J22" s="5"/>
      <c r="K22" s="6"/>
      <c r="L22" s="5"/>
      <c r="M22" s="34" t="s">
        <v>28</v>
      </c>
      <c r="AS22" s="22">
        <v>2011</v>
      </c>
      <c r="AT22" s="26">
        <v>19125</v>
      </c>
      <c r="AU22" s="26">
        <v>9728</v>
      </c>
      <c r="AV22" s="26">
        <v>9397</v>
      </c>
      <c r="AW22" s="26">
        <v>6842</v>
      </c>
      <c r="AX22" s="26">
        <v>3309</v>
      </c>
      <c r="AY22" s="26">
        <v>3533</v>
      </c>
      <c r="AZ22" s="26">
        <v>12283</v>
      </c>
      <c r="BA22" s="26">
        <v>6419</v>
      </c>
      <c r="BB22" s="26">
        <v>5864</v>
      </c>
      <c r="BC22" s="32"/>
    </row>
    <row r="23" spans="1:55" ht="17.25" x14ac:dyDescent="0.25">
      <c r="A23" s="23" t="s">
        <v>24</v>
      </c>
      <c r="B23" s="20"/>
      <c r="C23" s="3"/>
      <c r="D23" s="3"/>
      <c r="E23" s="3"/>
      <c r="F23" s="3"/>
      <c r="G23" s="3"/>
      <c r="H23" s="3"/>
      <c r="I23" s="3"/>
      <c r="J23" s="4"/>
      <c r="K23" s="4"/>
      <c r="L23" s="4"/>
      <c r="M23" s="1" t="s">
        <v>27</v>
      </c>
      <c r="AS23" s="32">
        <v>2012</v>
      </c>
      <c r="AT23" s="26">
        <v>17657</v>
      </c>
      <c r="AU23" s="26">
        <v>8603</v>
      </c>
      <c r="AV23" s="26">
        <v>9054</v>
      </c>
      <c r="AW23" s="26">
        <v>7540</v>
      </c>
      <c r="AX23" s="26">
        <v>3549</v>
      </c>
      <c r="AY23" s="26">
        <v>3991</v>
      </c>
      <c r="AZ23" s="26">
        <v>10117</v>
      </c>
      <c r="BA23" s="26">
        <v>5054</v>
      </c>
      <c r="BB23" s="26">
        <v>5063</v>
      </c>
    </row>
    <row r="24" spans="1:55" x14ac:dyDescent="0.25">
      <c r="AS24" s="32">
        <v>2013</v>
      </c>
      <c r="AT24" s="32">
        <v>24207</v>
      </c>
      <c r="AU24" s="32">
        <v>11219</v>
      </c>
      <c r="AV24" s="32">
        <v>12988</v>
      </c>
      <c r="AW24" s="32">
        <v>8522</v>
      </c>
      <c r="AX24" s="32">
        <v>3837</v>
      </c>
      <c r="AY24" s="32">
        <v>4685</v>
      </c>
      <c r="AZ24" s="32">
        <v>15685</v>
      </c>
      <c r="BA24" s="32">
        <v>7382</v>
      </c>
      <c r="BB24" s="32">
        <v>8303</v>
      </c>
    </row>
    <row r="25" spans="1:55" x14ac:dyDescent="0.25">
      <c r="AS25" s="22">
        <v>2014</v>
      </c>
      <c r="AT25" s="21">
        <v>24883</v>
      </c>
      <c r="AU25" s="21">
        <v>11547</v>
      </c>
      <c r="AV25" s="21">
        <v>13336</v>
      </c>
      <c r="AW25" s="21">
        <v>8749</v>
      </c>
      <c r="AX25" s="21">
        <v>3839</v>
      </c>
      <c r="AY25" s="21">
        <v>4910</v>
      </c>
      <c r="AZ25" s="21">
        <v>16134</v>
      </c>
      <c r="BA25" s="21">
        <v>7708</v>
      </c>
      <c r="BB25" s="21">
        <v>8426</v>
      </c>
    </row>
    <row r="26" spans="1:55" x14ac:dyDescent="0.25">
      <c r="AS26" s="32">
        <v>2015</v>
      </c>
      <c r="AT26" s="21">
        <v>24696</v>
      </c>
      <c r="AU26" s="21">
        <v>11191</v>
      </c>
      <c r="AV26" s="21">
        <v>13505</v>
      </c>
      <c r="AW26" s="21">
        <v>8549</v>
      </c>
      <c r="AX26" s="21">
        <v>3692</v>
      </c>
      <c r="AY26" s="21">
        <v>4857</v>
      </c>
      <c r="AZ26" s="21">
        <v>16147</v>
      </c>
      <c r="BA26" s="21">
        <v>7499</v>
      </c>
      <c r="BB26" s="21">
        <v>8648</v>
      </c>
    </row>
    <row r="27" spans="1:55" x14ac:dyDescent="0.25">
      <c r="C27" s="8" t="s">
        <v>10</v>
      </c>
      <c r="D27" s="32" t="s">
        <v>5</v>
      </c>
      <c r="E27" s="32" t="s">
        <v>6</v>
      </c>
      <c r="AS27" s="32">
        <v>2016</v>
      </c>
      <c r="AT27" s="21">
        <f>C10</f>
        <v>24501</v>
      </c>
      <c r="AU27" s="21">
        <f t="shared" ref="AU27:AV27" si="6">D10</f>
        <v>10881</v>
      </c>
      <c r="AV27" s="21">
        <f t="shared" si="6"/>
        <v>13620</v>
      </c>
      <c r="AW27" s="21">
        <f>G10</f>
        <v>9500</v>
      </c>
      <c r="AX27" s="21">
        <f t="shared" ref="AX27:AY27" si="7">H10</f>
        <v>4500</v>
      </c>
      <c r="AY27" s="21">
        <f t="shared" si="7"/>
        <v>5000</v>
      </c>
      <c r="AZ27" s="21">
        <f>K10</f>
        <v>15001</v>
      </c>
      <c r="BA27" s="21">
        <f t="shared" ref="BA27:BB27" si="8">L10</f>
        <v>6381</v>
      </c>
      <c r="BB27" s="21">
        <f t="shared" si="8"/>
        <v>8620</v>
      </c>
    </row>
    <row r="28" spans="1:55" x14ac:dyDescent="0.25">
      <c r="C28" s="10" t="s">
        <v>13</v>
      </c>
      <c r="D28" s="16">
        <v>8</v>
      </c>
      <c r="E28" s="16">
        <v>12</v>
      </c>
      <c r="AS28" s="25"/>
    </row>
    <row r="29" spans="1:55" x14ac:dyDescent="0.25">
      <c r="C29" s="10" t="s">
        <v>14</v>
      </c>
      <c r="D29" s="16">
        <v>554</v>
      </c>
      <c r="E29" s="16">
        <v>736</v>
      </c>
      <c r="AZ29" s="21"/>
    </row>
    <row r="30" spans="1:55" x14ac:dyDescent="0.25">
      <c r="C30" s="10" t="s">
        <v>15</v>
      </c>
      <c r="D30" s="16">
        <v>1534</v>
      </c>
      <c r="E30" s="16">
        <v>2232</v>
      </c>
    </row>
    <row r="31" spans="1:55" x14ac:dyDescent="0.25">
      <c r="C31" s="10" t="s">
        <v>16</v>
      </c>
      <c r="D31" s="16">
        <v>1451</v>
      </c>
      <c r="E31" s="16">
        <v>1873</v>
      </c>
    </row>
    <row r="32" spans="1:55" x14ac:dyDescent="0.25">
      <c r="C32" s="10" t="s">
        <v>17</v>
      </c>
      <c r="D32" s="16">
        <v>1208</v>
      </c>
      <c r="E32" s="16">
        <v>1440</v>
      </c>
    </row>
    <row r="33" spans="3:5" x14ac:dyDescent="0.25">
      <c r="C33" s="10" t="s">
        <v>18</v>
      </c>
      <c r="D33" s="16">
        <v>1108</v>
      </c>
      <c r="E33" s="16">
        <v>1123</v>
      </c>
    </row>
    <row r="34" spans="3:5" x14ac:dyDescent="0.25">
      <c r="C34" s="10" t="s">
        <v>19</v>
      </c>
      <c r="D34" s="16">
        <v>954</v>
      </c>
      <c r="E34" s="16">
        <v>776</v>
      </c>
    </row>
    <row r="35" spans="3:5" x14ac:dyDescent="0.25">
      <c r="C35" s="10" t="s">
        <v>20</v>
      </c>
      <c r="D35" s="16">
        <v>781</v>
      </c>
      <c r="E35" s="16">
        <v>448</v>
      </c>
    </row>
    <row r="36" spans="3:5" x14ac:dyDescent="0.25">
      <c r="C36" s="10" t="s">
        <v>21</v>
      </c>
      <c r="D36" s="16">
        <v>611</v>
      </c>
      <c r="E36" s="16">
        <v>282</v>
      </c>
    </row>
    <row r="37" spans="3:5" x14ac:dyDescent="0.25">
      <c r="C37" s="10" t="s">
        <v>22</v>
      </c>
      <c r="D37" s="16">
        <v>327</v>
      </c>
      <c r="E37" s="16">
        <v>114</v>
      </c>
    </row>
    <row r="38" spans="3:5" x14ac:dyDescent="0.25">
      <c r="C38" s="11" t="s">
        <v>23</v>
      </c>
      <c r="D38" s="17">
        <v>67</v>
      </c>
      <c r="E38" s="17">
        <v>18</v>
      </c>
    </row>
  </sheetData>
  <mergeCells count="14">
    <mergeCell ref="AZ20:BB20"/>
    <mergeCell ref="A7:A8"/>
    <mergeCell ref="A2:M2"/>
    <mergeCell ref="A3:M3"/>
    <mergeCell ref="A4:N4"/>
    <mergeCell ref="A5:A6"/>
    <mergeCell ref="C5:E5"/>
    <mergeCell ref="G5:I5"/>
    <mergeCell ref="K5:M5"/>
    <mergeCell ref="C6:E6"/>
    <mergeCell ref="G6:I6"/>
    <mergeCell ref="K6:M6"/>
    <mergeCell ref="AT20:AV20"/>
    <mergeCell ref="AW20:AY20"/>
  </mergeCells>
  <pageMargins left="0.28999999999999998" right="0.22" top="0.75" bottom="0.75" header="0.3" footer="0.3"/>
  <pageSetup paperSize="9" scale="91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5.2</vt:lpstr>
      <vt:lpstr>'5.2'!Print_Area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2017-06-07T08:05:52Z</cp:lastPrinted>
  <dcterms:created xsi:type="dcterms:W3CDTF">2013-03-26T05:45:33Z</dcterms:created>
  <dcterms:modified xsi:type="dcterms:W3CDTF">2017-06-07T08:05:58Z</dcterms:modified>
</cp:coreProperties>
</file>