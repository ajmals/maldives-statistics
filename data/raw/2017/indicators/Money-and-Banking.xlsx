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Money &amp; banking" sheetId="26" r:id="rId1"/>
  </sheets>
  <externalReferences>
    <externalReference r:id="rId2"/>
    <externalReference r:id="rId3"/>
  </externalReferences>
  <definedNames>
    <definedName name="_xlnm.Print_Area" localSheetId="0">'Money &amp; banking'!$A$1:$L$42</definedName>
  </definedNames>
  <calcPr calcId="162913"/>
</workbook>
</file>

<file path=xl/calcChain.xml><?xml version="1.0" encoding="utf-8"?>
<calcChain xmlns="http://schemas.openxmlformats.org/spreadsheetml/2006/main">
  <c r="K12" i="26" l="1"/>
  <c r="AV17" i="26" l="1"/>
  <c r="AV18" i="26"/>
  <c r="AV19" i="26"/>
  <c r="AV20" i="26"/>
  <c r="AU18" i="26"/>
  <c r="AU19" i="26"/>
  <c r="AU20" i="26"/>
  <c r="AU17" i="26"/>
  <c r="AV14" i="26"/>
  <c r="AU14" i="26"/>
  <c r="AV13" i="26"/>
  <c r="AU13" i="26"/>
  <c r="AM17" i="26" l="1"/>
  <c r="AN17" i="26"/>
  <c r="AO17" i="26"/>
  <c r="AP17" i="26"/>
  <c r="AQ17" i="26"/>
  <c r="AR17" i="26"/>
  <c r="AS17" i="26"/>
  <c r="AT17" i="26"/>
  <c r="AM18" i="26"/>
  <c r="AN18" i="26"/>
  <c r="AO18" i="26"/>
  <c r="AP18" i="26"/>
  <c r="AQ18" i="26"/>
  <c r="AR18" i="26"/>
  <c r="AS18" i="26"/>
  <c r="AT18" i="26"/>
  <c r="AM19" i="26"/>
  <c r="AN19" i="26"/>
  <c r="AO19" i="26"/>
  <c r="AP19" i="26"/>
  <c r="AQ19" i="26"/>
  <c r="AR19" i="26"/>
  <c r="AS19" i="26"/>
  <c r="AT19" i="26"/>
  <c r="AM20" i="26"/>
  <c r="AN20" i="26"/>
  <c r="AO20" i="26"/>
  <c r="AP20" i="26"/>
  <c r="AQ20" i="26"/>
  <c r="AR20" i="26"/>
  <c r="AS20" i="26"/>
  <c r="AT20" i="26"/>
  <c r="AL18" i="26"/>
  <c r="AL19" i="26"/>
  <c r="AL20" i="26"/>
  <c r="AL17" i="26"/>
  <c r="AM13" i="26"/>
  <c r="AN13" i="26"/>
  <c r="AO13" i="26"/>
  <c r="AP13" i="26"/>
  <c r="AQ13" i="26"/>
  <c r="AR13" i="26"/>
  <c r="AS13" i="26"/>
  <c r="AT13" i="26"/>
  <c r="AM14" i="26"/>
  <c r="AN14" i="26"/>
  <c r="AO14" i="26"/>
  <c r="AP14" i="26"/>
  <c r="AQ14" i="26"/>
  <c r="AR14" i="26"/>
  <c r="AS14" i="26"/>
  <c r="AT14" i="26"/>
  <c r="AL14" i="26"/>
  <c r="AL13" i="26"/>
</calcChain>
</file>

<file path=xl/sharedStrings.xml><?xml version="1.0" encoding="utf-8"?>
<sst xmlns="http://schemas.openxmlformats.org/spreadsheetml/2006/main" count="67" uniqueCount="42">
  <si>
    <t>MONEY AND BANKING</t>
  </si>
  <si>
    <t>(In million Rufiyaa, end of period)</t>
  </si>
  <si>
    <t>Tourism</t>
  </si>
  <si>
    <t>Commerce</t>
  </si>
  <si>
    <t xml:space="preserve">Fishing </t>
  </si>
  <si>
    <t>Construction</t>
  </si>
  <si>
    <t xml:space="preserve">Net foreign assets </t>
  </si>
  <si>
    <t xml:space="preserve">     Central bank</t>
  </si>
  <si>
    <t xml:space="preserve">     Other depository corporations</t>
  </si>
  <si>
    <t>Domestic claims</t>
  </si>
  <si>
    <t>Broad money</t>
  </si>
  <si>
    <t>Private sector loans and Advances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</si>
  <si>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</si>
  <si>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</si>
  <si>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</si>
  <si>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</si>
  <si>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</si>
  <si>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</si>
  <si>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</si>
  <si>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</si>
  <si>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</si>
  <si>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Central bank</t>
  </si>
  <si>
    <t>Other depository corporations</t>
  </si>
  <si>
    <t>Net claims on central government</t>
  </si>
  <si>
    <t>Claims on other sectors</t>
  </si>
  <si>
    <t>Narrow money</t>
  </si>
  <si>
    <t>Quasi money</t>
  </si>
  <si>
    <t>Agriculture</t>
  </si>
  <si>
    <t>Fishing</t>
  </si>
  <si>
    <t>Manufacturing</t>
  </si>
  <si>
    <t>Transport and Communication</t>
  </si>
  <si>
    <t>of which Claims on private sector</t>
  </si>
  <si>
    <t xml:space="preserve">     of which Claims on private sector</t>
  </si>
  <si>
    <t>2012</t>
  </si>
  <si>
    <t xml:space="preserve">                              </t>
  </si>
  <si>
    <t xml:space="preserve">                                                                    </t>
  </si>
  <si>
    <t>2011</t>
  </si>
  <si>
    <t>2013</t>
  </si>
  <si>
    <t>2014</t>
  </si>
  <si>
    <t>2015</t>
  </si>
  <si>
    <t>2016</t>
  </si>
  <si>
    <t>Note: 2015  Broad money data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</si>
</sst>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20"/>
      <color theme="0"/>
      <name val="Candara"/>
      <family val="2"/>
    </font>
    <font>
      <b/>
      <sz val="12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20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8" fillId="0" borderId="0"/>
    <xf numFmtId="0" fontId="21" fillId="0" borderId="0"/>
    <xf numFmtId="164" fontId="21" fillId="0" borderId="0"/>
    <xf numFmtId="164" fontId="21" fillId="0" borderId="0"/>
    <xf numFmtId="0" fontId="27" fillId="0" borderId="0"/>
    <xf numFmtId="0" fontId="14" fillId="0" borderId="0"/>
    <xf numFmtId="166" fontId="21" fillId="0" borderId="0" applyFont="0" applyFill="0" applyBorder="0" applyAlignment="0" applyProtection="0"/>
    <xf numFmtId="166" fontId="21" fillId="0" borderId="0"/>
    <xf numFmtId="0" fontId="13" fillId="0" borderId="0"/>
    <xf numFmtId="0" fontId="18" fillId="0" borderId="0"/>
    <xf numFmtId="0" fontId="31" fillId="0" borderId="0"/>
    <xf numFmtId="43" fontId="31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0"/>
    <xf numFmtId="0" fontId="11" fillId="0" borderId="0"/>
    <xf numFmtId="165" fontId="21" fillId="0" borderId="0"/>
    <xf numFmtId="171" fontId="31" fillId="0" borderId="0" applyFont="0" applyFill="0" applyBorder="0" applyAlignment="0" applyProtection="0"/>
    <xf numFmtId="0" fontId="31" fillId="0" borderId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6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20" borderId="0" applyNumberFormat="0" applyBorder="0" applyAlignment="0" applyProtection="0"/>
    <xf numFmtId="0" fontId="44" fillId="4" borderId="0" applyNumberFormat="0" applyBorder="0" applyAlignment="0" applyProtection="0"/>
    <xf numFmtId="0" fontId="45" fillId="21" borderId="1" applyNumberFormat="0" applyAlignment="0" applyProtection="0"/>
    <xf numFmtId="0" fontId="46" fillId="22" borderId="2" applyNumberFormat="0" applyAlignment="0" applyProtection="0"/>
    <xf numFmtId="40" fontId="4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5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8" borderId="1" applyNumberFormat="0" applyAlignment="0" applyProtection="0"/>
    <xf numFmtId="0" fontId="53" fillId="0" borderId="6" applyNumberFormat="0" applyFill="0" applyAlignment="0" applyProtection="0"/>
    <xf numFmtId="0" fontId="54" fillId="23" borderId="0" applyNumberFormat="0" applyBorder="0" applyAlignment="0" applyProtection="0"/>
    <xf numFmtId="172" fontId="41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165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42" fillId="24" borderId="7" applyNumberFormat="0" applyFont="0" applyAlignment="0" applyProtection="0"/>
    <xf numFmtId="0" fontId="55" fillId="21" borderId="8" applyNumberFormat="0" applyAlignment="0" applyProtection="0"/>
    <xf numFmtId="9" fontId="4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57" fillId="0" borderId="0" applyNumberFormat="0" applyFill="0" applyBorder="0" applyAlignment="0" applyProtection="0"/>
    <xf numFmtId="165" fontId="21" fillId="0" borderId="0"/>
    <xf numFmtId="165" fontId="21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8" fillId="0" borderId="0" applyNumberFormat="0" applyFill="0" applyBorder="0" applyAlignment="0" applyProtection="0"/>
    <xf numFmtId="0" fontId="59" fillId="0" borderId="10" applyNumberFormat="0" applyFill="0" applyAlignment="0" applyProtection="0"/>
    <xf numFmtId="0" fontId="60" fillId="0" borderId="11" applyNumberFormat="0" applyFill="0" applyAlignment="0" applyProtection="0"/>
    <xf numFmtId="0" fontId="61" fillId="0" borderId="12" applyNumberFormat="0" applyFill="0" applyAlignment="0" applyProtection="0"/>
    <xf numFmtId="0" fontId="61" fillId="0" borderId="0" applyNumberFormat="0" applyFill="0" applyBorder="0" applyAlignment="0" applyProtection="0"/>
    <xf numFmtId="0" fontId="62" fillId="25" borderId="0" applyNumberFormat="0" applyBorder="0" applyAlignment="0" applyProtection="0"/>
    <xf numFmtId="0" fontId="63" fillId="26" borderId="0" applyNumberFormat="0" applyBorder="0" applyAlignment="0" applyProtection="0"/>
    <xf numFmtId="0" fontId="64" fillId="27" borderId="0" applyNumberFormat="0" applyBorder="0" applyAlignment="0" applyProtection="0"/>
    <xf numFmtId="0" fontId="65" fillId="28" borderId="13" applyNumberFormat="0" applyAlignment="0" applyProtection="0"/>
    <xf numFmtId="0" fontId="66" fillId="29" borderId="14" applyNumberFormat="0" applyAlignment="0" applyProtection="0"/>
    <xf numFmtId="0" fontId="67" fillId="29" borderId="13" applyNumberFormat="0" applyAlignment="0" applyProtection="0"/>
    <xf numFmtId="0" fontId="68" fillId="0" borderId="15" applyNumberFormat="0" applyFill="0" applyAlignment="0" applyProtection="0"/>
    <xf numFmtId="0" fontId="69" fillId="30" borderId="16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72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2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3" fillId="0" borderId="10" applyNumberFormat="0" applyFill="0" applyAlignment="0" applyProtection="0"/>
    <xf numFmtId="173" fontId="4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4" fillId="0" borderId="0"/>
    <xf numFmtId="0" fontId="5" fillId="0" borderId="0"/>
    <xf numFmtId="165" fontId="21" fillId="0" borderId="0"/>
    <xf numFmtId="0" fontId="76" fillId="0" borderId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0" fillId="0" borderId="0" applyFont="0" applyFill="0" applyBorder="0" applyAlignment="0" applyProtection="0"/>
    <xf numFmtId="178" fontId="21" fillId="0" borderId="0"/>
    <xf numFmtId="178" fontId="21" fillId="0" borderId="0"/>
    <xf numFmtId="0" fontId="1" fillId="0" borderId="0"/>
    <xf numFmtId="0" fontId="78" fillId="0" borderId="0" applyNumberFormat="0" applyFill="0" applyBorder="0" applyAlignment="0" applyProtection="0"/>
    <xf numFmtId="0" fontId="79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4">
    <xf numFmtId="0" fontId="0" fillId="0" borderId="0" xfId="0"/>
    <xf numFmtId="0" fontId="18" fillId="2" borderId="0" xfId="12" applyFont="1" applyFill="1"/>
    <xf numFmtId="49" fontId="17" fillId="2" borderId="0" xfId="4" applyNumberFormat="1" applyFont="1" applyFill="1" applyAlignment="1">
      <alignment vertical="center"/>
    </xf>
    <xf numFmtId="0" fontId="23" fillId="2" borderId="0" xfId="0" applyFont="1" applyFill="1"/>
    <xf numFmtId="0" fontId="23" fillId="2" borderId="0" xfId="12" applyFont="1" applyFill="1"/>
    <xf numFmtId="0" fontId="0" fillId="2" borderId="0" xfId="0" applyFill="1"/>
    <xf numFmtId="164" fontId="25" fillId="2" borderId="0" xfId="0" applyNumberFormat="1" applyFont="1" applyFill="1" applyAlignment="1">
      <alignment horizontal="right" vertical="center"/>
    </xf>
    <xf numFmtId="0" fontId="23" fillId="2" borderId="0" xfId="12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2" fontId="0" fillId="2" borderId="0" xfId="1" applyNumberFormat="1" applyFont="1" applyFill="1"/>
    <xf numFmtId="0" fontId="14" fillId="2" borderId="0" xfId="0" applyFont="1" applyFill="1"/>
    <xf numFmtId="0" fontId="26" fillId="2" borderId="0" xfId="12" applyFont="1" applyFill="1" applyAlignment="1">
      <alignment horizontal="right" vertical="center"/>
    </xf>
    <xf numFmtId="0" fontId="15" fillId="2" borderId="0" xfId="12" applyFont="1" applyFill="1"/>
    <xf numFmtId="2" fontId="18" fillId="2" borderId="0" xfId="12" applyNumberFormat="1" applyFont="1" applyFill="1"/>
    <xf numFmtId="0" fontId="17" fillId="2" borderId="0" xfId="1" applyFont="1" applyFill="1" applyBorder="1" applyAlignment="1" applyProtection="1">
      <alignment horizontal="right" vertical="center"/>
    </xf>
    <xf numFmtId="1" fontId="0" fillId="2" borderId="0" xfId="1" applyNumberFormat="1" applyFont="1" applyFill="1" applyBorder="1"/>
    <xf numFmtId="164" fontId="30" fillId="2" borderId="0" xfId="14" applyNumberFormat="1" applyFont="1" applyFill="1" applyAlignment="1">
      <alignment horizontal="right" vertical="center"/>
    </xf>
    <xf numFmtId="166" fontId="16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164" fontId="29" fillId="2" borderId="0" xfId="14" applyNumberFormat="1" applyFont="1" applyFill="1" applyAlignment="1">
      <alignment horizontal="right" vertical="center"/>
    </xf>
    <xf numFmtId="164" fontId="30" fillId="2" borderId="0" xfId="14" applyNumberFormat="1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0" fontId="28" fillId="2" borderId="0" xfId="0" applyFont="1" applyFill="1"/>
    <xf numFmtId="166" fontId="17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0" fontId="24" fillId="2" borderId="0" xfId="1" applyFont="1" applyFill="1"/>
    <xf numFmtId="0" fontId="24" fillId="2" borderId="0" xfId="12" applyFont="1" applyFill="1" applyAlignment="1">
      <alignment horizontal="right" vertical="center"/>
    </xf>
    <xf numFmtId="164" fontId="32" fillId="2" borderId="0" xfId="0" applyNumberFormat="1" applyFont="1" applyFill="1" applyAlignment="1">
      <alignment horizontal="right" vertical="center"/>
    </xf>
    <xf numFmtId="166" fontId="24" fillId="2" borderId="0" xfId="0" applyNumberFormat="1" applyFont="1" applyFill="1" applyAlignment="1">
      <alignment horizontal="left" vertical="center" indent="2"/>
    </xf>
    <xf numFmtId="164" fontId="24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vertical="center"/>
    </xf>
    <xf numFmtId="166" fontId="24" fillId="2" borderId="0" xfId="0" applyNumberFormat="1" applyFont="1" applyFill="1" applyBorder="1" applyAlignment="1">
      <alignment horizontal="left" vertical="center" indent="2"/>
    </xf>
    <xf numFmtId="164" fontId="24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49" fontId="17" fillId="2" borderId="0" xfId="4" applyNumberFormat="1" applyFont="1" applyFill="1" applyAlignment="1">
      <alignment horizontal="right" vertical="center"/>
    </xf>
    <xf numFmtId="0" fontId="75" fillId="57" borderId="0" xfId="1" applyFont="1" applyFill="1"/>
    <xf numFmtId="0" fontId="34" fillId="57" borderId="0" xfId="12" applyFont="1" applyFill="1" applyAlignment="1">
      <alignment horizontal="right"/>
    </xf>
    <xf numFmtId="166" fontId="32" fillId="57" borderId="0" xfId="0" applyNumberFormat="1" applyFont="1" applyFill="1" applyAlignment="1">
      <alignment vertical="center"/>
    </xf>
    <xf numFmtId="164" fontId="32" fillId="57" borderId="0" xfId="0" applyNumberFormat="1" applyFont="1" applyFill="1" applyAlignment="1">
      <alignment horizontal="right" vertical="center"/>
    </xf>
    <xf numFmtId="166" fontId="24" fillId="57" borderId="0" xfId="0" applyNumberFormat="1" applyFont="1" applyFill="1" applyAlignment="1">
      <alignment horizontal="left" vertical="center" indent="2"/>
    </xf>
    <xf numFmtId="164" fontId="24" fillId="57" borderId="0" xfId="0" applyNumberFormat="1" applyFont="1" applyFill="1" applyAlignment="1">
      <alignment horizontal="right" vertical="center"/>
    </xf>
    <xf numFmtId="0" fontId="35" fillId="57" borderId="0" xfId="0" applyFont="1" applyFill="1" applyAlignment="1">
      <alignment horizontal="right" vertical="center"/>
    </xf>
    <xf numFmtId="0" fontId="19" fillId="57" borderId="0" xfId="0" applyFont="1" applyFill="1" applyAlignment="1">
      <alignment vertical="center"/>
    </xf>
    <xf numFmtId="0" fontId="33" fillId="56" borderId="0" xfId="1" applyFont="1" applyFill="1" applyAlignment="1">
      <alignment horizontal="left" vertical="center"/>
    </xf>
  </cellXfs>
  <cellStyles count="878">
    <cellStyle name="1" xfId="1"/>
    <cellStyle name="1 2" xfId="16"/>
    <cellStyle name="1 3" xfId="782"/>
    <cellStyle name="1 4" xfId="797"/>
    <cellStyle name="1 5" xfId="800"/>
    <cellStyle name="1_Indicators 2007" xfId="2"/>
    <cellStyle name="1_Indicators2007" xfId="3"/>
    <cellStyle name="1_Indicators2007 2" xfId="791"/>
    <cellStyle name="20% - Accent1" xfId="747" builtinId="30" customBuiltin="1"/>
    <cellStyle name="20% - Accent1 2" xfId="668"/>
    <cellStyle name="20% - Accent1 3" xfId="860"/>
    <cellStyle name="20% - Accent2" xfId="751" builtinId="34" customBuiltin="1"/>
    <cellStyle name="20% - Accent2 2" xfId="669"/>
    <cellStyle name="20% - Accent2 3" xfId="863"/>
    <cellStyle name="20% - Accent3" xfId="755" builtinId="38" customBuiltin="1"/>
    <cellStyle name="20% - Accent3 2" xfId="670"/>
    <cellStyle name="20% - Accent3 3" xfId="866"/>
    <cellStyle name="20% - Accent4" xfId="759" builtinId="42" customBuiltin="1"/>
    <cellStyle name="20% - Accent4 2" xfId="671"/>
    <cellStyle name="20% - Accent4 3" xfId="869"/>
    <cellStyle name="20% - Accent5" xfId="763" builtinId="46" customBuiltin="1"/>
    <cellStyle name="20% - Accent5 2" xfId="672"/>
    <cellStyle name="20% - Accent5 3" xfId="872"/>
    <cellStyle name="20% - Accent6" xfId="767" builtinId="50" customBuiltin="1"/>
    <cellStyle name="20% - Accent6 2" xfId="673"/>
    <cellStyle name="20% - Accent6 3" xfId="875"/>
    <cellStyle name="40% - Accent1" xfId="748" builtinId="31" customBuiltin="1"/>
    <cellStyle name="40% - Accent1 2" xfId="674"/>
    <cellStyle name="40% - Accent1 3" xfId="861"/>
    <cellStyle name="40% - Accent2" xfId="752" builtinId="35" customBuiltin="1"/>
    <cellStyle name="40% - Accent2 2" xfId="675"/>
    <cellStyle name="40% - Accent2 3" xfId="864"/>
    <cellStyle name="40% - Accent3" xfId="756" builtinId="39" customBuiltin="1"/>
    <cellStyle name="40% - Accent3 2" xfId="676"/>
    <cellStyle name="40% - Accent3 3" xfId="867"/>
    <cellStyle name="40% - Accent4" xfId="760" builtinId="43" customBuiltin="1"/>
    <cellStyle name="40% - Accent4 2" xfId="677"/>
    <cellStyle name="40% - Accent4 3" xfId="870"/>
    <cellStyle name="40% - Accent5" xfId="764" builtinId="47" customBuiltin="1"/>
    <cellStyle name="40% - Accent5 2" xfId="678"/>
    <cellStyle name="40% - Accent5 3" xfId="873"/>
    <cellStyle name="40% - Accent6" xfId="768" builtinId="51" customBuiltin="1"/>
    <cellStyle name="40% - Accent6 2" xfId="679"/>
    <cellStyle name="40% - Accent6 3" xfId="876"/>
    <cellStyle name="60% - Accent1" xfId="749" builtinId="32" customBuiltin="1"/>
    <cellStyle name="60% - Accent1 2" xfId="680"/>
    <cellStyle name="60% - Accent1 3" xfId="862"/>
    <cellStyle name="60% - Accent2" xfId="753" builtinId="36" customBuiltin="1"/>
    <cellStyle name="60% - Accent2 2" xfId="681"/>
    <cellStyle name="60% - Accent2 3" xfId="865"/>
    <cellStyle name="60% - Accent3" xfId="757" builtinId="40" customBuiltin="1"/>
    <cellStyle name="60% - Accent3 2" xfId="682"/>
    <cellStyle name="60% - Accent3 3" xfId="868"/>
    <cellStyle name="60% - Accent4" xfId="761" builtinId="44" customBuiltin="1"/>
    <cellStyle name="60% - Accent4 2" xfId="683"/>
    <cellStyle name="60% - Accent4 3" xfId="871"/>
    <cellStyle name="60% - Accent5" xfId="765" builtinId="48" customBuiltin="1"/>
    <cellStyle name="60% - Accent5 2" xfId="684"/>
    <cellStyle name="60% - Accent5 3" xfId="874"/>
    <cellStyle name="60% - Accent6" xfId="769" builtinId="52" customBuiltin="1"/>
    <cellStyle name="60% - Accent6 2" xfId="685"/>
    <cellStyle name="60% - Accent6 3" xfId="877"/>
    <cellStyle name="Accent1" xfId="746" builtinId="29" customBuiltin="1"/>
    <cellStyle name="Accent1 2" xfId="686"/>
    <cellStyle name="Accent2" xfId="750" builtinId="33" customBuiltin="1"/>
    <cellStyle name="Accent2 2" xfId="687"/>
    <cellStyle name="Accent3" xfId="754" builtinId="37" customBuiltin="1"/>
    <cellStyle name="Accent3 2" xfId="688"/>
    <cellStyle name="Accent4" xfId="758" builtinId="41" customBuiltin="1"/>
    <cellStyle name="Accent4 2" xfId="689"/>
    <cellStyle name="Accent5" xfId="762" builtinId="45" customBuiltin="1"/>
    <cellStyle name="Accent5 2" xfId="690"/>
    <cellStyle name="Accent6" xfId="766" builtinId="49" customBuiltin="1"/>
    <cellStyle name="Accent6 2" xfId="691"/>
    <cellStyle name="Bad" xfId="736" builtinId="27" customBuiltin="1"/>
    <cellStyle name="Bad 2" xfId="692"/>
    <cellStyle name="Calculation" xfId="740" builtinId="22" customBuiltin="1"/>
    <cellStyle name="Calculation 2" xfId="693"/>
    <cellStyle name="Check Cell" xfId="742" builtinId="23" customBuiltin="1"/>
    <cellStyle name="Check Cell 2" xfId="694"/>
    <cellStyle name="Comma" xfId="4" builtinId="3"/>
    <cellStyle name="Comma 10" xfId="793"/>
    <cellStyle name="Comma 11" xfId="801"/>
    <cellStyle name="Comma 2" xfId="5"/>
    <cellStyle name="Comma 2 2" xfId="666"/>
    <cellStyle name="Comma 2 2 2" xfId="803"/>
    <cellStyle name="Comma 2 3" xfId="776"/>
    <cellStyle name="Comma 2 4" xfId="783"/>
    <cellStyle name="Comma 2 5" xfId="802"/>
    <cellStyle name="Comma 2 6" xfId="853"/>
    <cellStyle name="Comma 3" xfId="6"/>
    <cellStyle name="Comma 3 2" xfId="695"/>
    <cellStyle name="Comma 3 3" xfId="804"/>
    <cellStyle name="Comma 4" xfId="13"/>
    <cellStyle name="Comma 4 2" xfId="805"/>
    <cellStyle name="Comma 5" xfId="18"/>
    <cellStyle name="Comma 5 2" xfId="806"/>
    <cellStyle name="Comma 6" xfId="21"/>
    <cellStyle name="Comma 6 2" xfId="807"/>
    <cellStyle name="Comma 7" xfId="726"/>
    <cellStyle name="Comma 8" xfId="771"/>
    <cellStyle name="Comma 9" xfId="790"/>
    <cellStyle name="Explanatory Text" xfId="744" builtinId="53" customBuiltin="1"/>
    <cellStyle name="Explanatory Text 2" xfId="696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Good" xfId="735" builtinId="26" customBuiltin="1"/>
    <cellStyle name="Good 2" xfId="697"/>
    <cellStyle name="Heading 1" xfId="731" builtinId="16" customBuiltin="1"/>
    <cellStyle name="Heading 1 2" xfId="698"/>
    <cellStyle name="Heading 1 2 2" xfId="775"/>
    <cellStyle name="Heading 2" xfId="732" builtinId="17" customBuiltin="1"/>
    <cellStyle name="Heading 2 2" xfId="699"/>
    <cellStyle name="Heading 3" xfId="733" builtinId="18" customBuiltin="1"/>
    <cellStyle name="Heading 3 2" xfId="700"/>
    <cellStyle name="Heading 4" xfId="734" builtinId="19" customBuiltin="1"/>
    <cellStyle name="Heading 4 2" xfId="70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Input" xfId="738" builtinId="20" customBuiltin="1"/>
    <cellStyle name="Input 2" xfId="702"/>
    <cellStyle name="Linked Cell" xfId="741" builtinId="24" customBuiltin="1"/>
    <cellStyle name="Linked Cell 2" xfId="703"/>
    <cellStyle name="Neutral" xfId="737" builtinId="28" customBuiltin="1"/>
    <cellStyle name="Neutral 2" xfId="704"/>
    <cellStyle name="Neutral 3" xfId="858"/>
    <cellStyle name="Normal" xfId="0" builtinId="0"/>
    <cellStyle name="Normal - Style1" xfId="705"/>
    <cellStyle name="Normal 10" xfId="706"/>
    <cellStyle name="Normal 10 2" xfId="808"/>
    <cellStyle name="Normal 11" xfId="707"/>
    <cellStyle name="Normal 12" xfId="708"/>
    <cellStyle name="Normal 12 2" xfId="809"/>
    <cellStyle name="Normal 13" xfId="667"/>
    <cellStyle name="Normal 13 2" xfId="810"/>
    <cellStyle name="Normal 14" xfId="723"/>
    <cellStyle name="Normal 14 2" xfId="811"/>
    <cellStyle name="Normal 15" xfId="724"/>
    <cellStyle name="Normal 15 2" xfId="812"/>
    <cellStyle name="Normal 16" xfId="663"/>
    <cellStyle name="Normal 16 2" xfId="813"/>
    <cellStyle name="Normal 17" xfId="725"/>
    <cellStyle name="Normal 17 2" xfId="814"/>
    <cellStyle name="Normal 18" xfId="727"/>
    <cellStyle name="Normal 18 2" xfId="815"/>
    <cellStyle name="Normal 19" xfId="728"/>
    <cellStyle name="Normal 19 2" xfId="816"/>
    <cellStyle name="Normal 2" xfId="7"/>
    <cellStyle name="Normal 2 2" xfId="19"/>
    <cellStyle name="Normal 2 2 2" xfId="8"/>
    <cellStyle name="Normal 2 2 3" xfId="709"/>
    <cellStyle name="Normal 2 2 4" xfId="779"/>
    <cellStyle name="Normal 2 2 5" xfId="817"/>
    <cellStyle name="Normal 2 3" xfId="22"/>
    <cellStyle name="Normal 2 3 2" xfId="818"/>
    <cellStyle name="Normal 2 4" xfId="664"/>
    <cellStyle name="Normal 2 5" xfId="795"/>
    <cellStyle name="Normal 20" xfId="729"/>
    <cellStyle name="Normal 20 2" xfId="819"/>
    <cellStyle name="Normal 21" xfId="770"/>
    <cellStyle name="Normal 21 2" xfId="820"/>
    <cellStyle name="Normal 22" xfId="772"/>
    <cellStyle name="Normal 22 2" xfId="821"/>
    <cellStyle name="Normal 23" xfId="773"/>
    <cellStyle name="Normal 23 2" xfId="822"/>
    <cellStyle name="Normal 24" xfId="774"/>
    <cellStyle name="Normal 24 2" xfId="823"/>
    <cellStyle name="Normal 25" xfId="780"/>
    <cellStyle name="Normal 25 2" xfId="824"/>
    <cellStyle name="Normal 26" xfId="781"/>
    <cellStyle name="Normal 26 2" xfId="825"/>
    <cellStyle name="Normal 27" xfId="784"/>
    <cellStyle name="Normal 27 2" xfId="826"/>
    <cellStyle name="Normal 28" xfId="785"/>
    <cellStyle name="Normal 28 2" xfId="827"/>
    <cellStyle name="Normal 29" xfId="786"/>
    <cellStyle name="Normal 29 2" xfId="828"/>
    <cellStyle name="Normal 3" xfId="9"/>
    <cellStyle name="Normal 3 2" xfId="710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7"/>
    <cellStyle name="Normal 30 2" xfId="832"/>
    <cellStyle name="Normal 31" xfId="789"/>
    <cellStyle name="Normal 31 2" xfId="833"/>
    <cellStyle name="Normal 32" xfId="792"/>
    <cellStyle name="Normal 32 2" xfId="834"/>
    <cellStyle name="Normal 33" xfId="796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1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2"/>
    <cellStyle name="Normal 6" xfId="15"/>
    <cellStyle name="Normal 6 2" xfId="713"/>
    <cellStyle name="Normal 7" xfId="17"/>
    <cellStyle name="Normal 7 2" xfId="714"/>
    <cellStyle name="Normal 8" xfId="20"/>
    <cellStyle name="Normal 8 2" xfId="715"/>
    <cellStyle name="Normal 9" xfId="665"/>
    <cellStyle name="Normal 9 2" xfId="716"/>
    <cellStyle name="Normal 9 3" xfId="848"/>
    <cellStyle name="Normal_Finance - XI" xfId="14"/>
    <cellStyle name="Normal_Indicators" xfId="12"/>
    <cellStyle name="Note 2" xfId="717"/>
    <cellStyle name="Note 3" xfId="778"/>
    <cellStyle name="Note 4" xfId="859"/>
    <cellStyle name="Output" xfId="739" builtinId="21" customBuiltin="1"/>
    <cellStyle name="Output 2" xfId="718"/>
    <cellStyle name="Percent 2" xfId="719"/>
    <cellStyle name="Percent 2 2" xfId="777"/>
    <cellStyle name="Percent 3" xfId="788"/>
    <cellStyle name="Percent 4" xfId="794"/>
    <cellStyle name="Title" xfId="730" builtinId="15" customBuiltin="1"/>
    <cellStyle name="Title 2" xfId="720"/>
    <cellStyle name="Title 3" xfId="857"/>
    <cellStyle name="Total" xfId="745" builtinId="25" customBuiltin="1"/>
    <cellStyle name="Total 2" xfId="721"/>
    <cellStyle name="Warning Text" xfId="743" builtinId="11" customBuiltin="1"/>
    <cellStyle name="Warning Text 2" xfId="7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918986190555971E-2"/>
          <c:y val="0.16558355811059947"/>
          <c:w val="0.89229638848335446"/>
          <c:h val="0.70115469800509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'Money &amp; banking'!$AG$13</c:f>
              <c:strCache>
                <c:ptCount val="1"/>
                <c:pt idx="0">
                  <c:v>     Central bank</c:v>
                </c:pt>
              </c:strCache>
            </c:strRef>
          </c:tx>
          <c:spPr>
            <a:solidFill>
              <a:srgbClr val="FFC757"/>
            </a:solidFill>
            <a:ln>
              <a:noFill/>
            </a:ln>
          </c:spPr>
          <c:invertIfNegative val="0"/>
          <c:cat>
            <c:strRef>
              <c:f>'Money &amp; banking'!$AL$12:$AV$12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banking'!$AL$13:$AV$13</c:f>
              <c:numCache>
                <c:formatCode>#,##0.0</c:formatCode>
                <c:ptCount val="11"/>
                <c:pt idx="0">
                  <c:v>2814.00604467208</c:v>
                </c:pt>
                <c:pt idx="1">
                  <c:v>3856.9985322000002</c:v>
                </c:pt>
                <c:pt idx="2">
                  <c:v>3021.9568956100002</c:v>
                </c:pt>
                <c:pt idx="3">
                  <c:v>3071.7005852392481</c:v>
                </c:pt>
                <c:pt idx="4">
                  <c:v>4067.6</c:v>
                </c:pt>
                <c:pt idx="5">
                  <c:v>4725.5</c:v>
                </c:pt>
                <c:pt idx="6">
                  <c:v>4241.0012864494929</c:v>
                </c:pt>
                <c:pt idx="7">
                  <c:v>5307.9996879543987</c:v>
                </c:pt>
                <c:pt idx="8">
                  <c:v>9109.9707099532352</c:v>
                </c:pt>
                <c:pt idx="9">
                  <c:v>8227.2591845509269</c:v>
                </c:pt>
                <c:pt idx="10">
                  <c:v>5247.4675122478448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2-4C8A-B42C-11FE9C907077}"/>
            </c:ext>
          </c:extLst>
        </c:ser>
        <c:ser>
          <c:idx val="1"/>
          <c:order val="1"/>
          <c:tx>
            <c:strRef>
              <c:f>'Money &amp; banking'!$AG$14</c:f>
              <c:strCache>
                <c:ptCount val="1"/>
                <c:pt idx="0">
                  <c:v>     Other depository corporations</c:v>
                </c:pt>
              </c:strCache>
            </c:strRef>
          </c:tx>
          <c:spPr>
            <a:solidFill>
              <a:srgbClr val="CC6600"/>
            </a:solidFill>
          </c:spPr>
          <c:invertIfNegative val="0"/>
          <c:cat>
            <c:strRef>
              <c:f>'Money &amp; banking'!$AL$12:$AV$12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banking'!$AL$14:$AU$14</c:f>
              <c:numCache>
                <c:formatCode>#,##0.0</c:formatCode>
                <c:ptCount val="10"/>
                <c:pt idx="0">
                  <c:v>-1861.94260983</c:v>
                </c:pt>
                <c:pt idx="1">
                  <c:v>-4367.5009999999993</c:v>
                </c:pt>
                <c:pt idx="2">
                  <c:v>-4754.1630000000005</c:v>
                </c:pt>
                <c:pt idx="3">
                  <c:v>-4410.3559999999998</c:v>
                </c:pt>
                <c:pt idx="4">
                  <c:v>-3382</c:v>
                </c:pt>
                <c:pt idx="5">
                  <c:v>-1852.5</c:v>
                </c:pt>
                <c:pt idx="6">
                  <c:v>1017.2629999999997</c:v>
                </c:pt>
                <c:pt idx="7">
                  <c:v>3505.4119999999998</c:v>
                </c:pt>
                <c:pt idx="8">
                  <c:v>3431.0683296110001</c:v>
                </c:pt>
                <c:pt idx="9">
                  <c:v>4070.1390000000001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2-4C8A-B42C-11FE9C90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25600"/>
        <c:axId val="118031488"/>
      </c:barChart>
      <c:catAx>
        <c:axId val="11802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31488"/>
        <c:crosses val="autoZero"/>
        <c:auto val="1"/>
        <c:lblAlgn val="ctr"/>
        <c:lblOffset val="100"/>
        <c:noMultiLvlLbl val="0"/>
      </c:catAx>
      <c:valAx>
        <c:axId val="118031488"/>
        <c:scaling>
          <c:orientation val="minMax"/>
        </c:scaling>
        <c:delete val="0"/>
        <c:axPos val="l"/>
        <c:majorGridlines>
          <c:spPr>
            <a:ln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millions MVR</a:t>
                </a:r>
              </a:p>
            </c:rich>
          </c:tx>
          <c:layout>
            <c:manualLayout>
              <c:xMode val="edge"/>
              <c:yMode val="edge"/>
              <c:x val="1.3997795863328246E-2"/>
              <c:y val="7.037255964738246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5600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699833918552876"/>
          <c:y val="0.26676219113571165"/>
          <c:w val="0.53034261115110004"/>
          <c:h val="5.321252911915604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&amp;Ldfdf</c:oddFooter>
    </c:headerFooter>
    <c:pageMargins b="0.75" l="0.7" r="0.7" t="0.75" header="0.3" footer="0.3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577687696706214E-2"/>
          <c:y val="0.16819763365275639"/>
          <c:w val="0.86974658555975382"/>
          <c:h val="0.73038016574660058"/>
        </c:manualLayout>
      </c:layout>
      <c:lineChart>
        <c:grouping val="standard"/>
        <c:varyColors val="0"/>
        <c:ser>
          <c:idx val="0"/>
          <c:order val="0"/>
          <c:tx>
            <c:strRef>
              <c:f>'Money &amp; banking'!$AG$17</c:f>
              <c:strCache>
                <c:ptCount val="1"/>
                <c:pt idx="0">
                  <c:v>Domestic claims</c:v>
                </c:pt>
              </c:strCache>
            </c:strRef>
          </c:tx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  <c:marker>
            <c:symbol val="diamond"/>
            <c:size val="4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strRef>
              <c:f>'Money &amp; banking'!$AL$16:$AV$16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banking'!$AL$17:$AV$17</c:f>
              <c:numCache>
                <c:formatCode>#,##0.0</c:formatCode>
                <c:ptCount val="11"/>
                <c:pt idx="0">
                  <c:v>9503.5062378125986</c:v>
                </c:pt>
                <c:pt idx="1">
                  <c:v>13748.406648349999</c:v>
                </c:pt>
                <c:pt idx="2">
                  <c:v>18590.094967060002</c:v>
                </c:pt>
                <c:pt idx="3">
                  <c:v>21187.43514157</c:v>
                </c:pt>
                <c:pt idx="4">
                  <c:v>22181.200000000001</c:v>
                </c:pt>
                <c:pt idx="5">
                  <c:v>24688.358379099998</c:v>
                </c:pt>
                <c:pt idx="6">
                  <c:v>23893.58283711</c:v>
                </c:pt>
                <c:pt idx="7">
                  <c:v>24959.243716829998</c:v>
                </c:pt>
                <c:pt idx="8">
                  <c:v>25984.443621570001</c:v>
                </c:pt>
                <c:pt idx="9">
                  <c:v>29993.831403969998</c:v>
                </c:pt>
                <c:pt idx="10">
                  <c:v>35998.528935850001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8-43DD-831D-30EB8128AEBB}"/>
            </c:ext>
          </c:extLst>
        </c:ser>
        <c:ser>
          <c:idx val="1"/>
          <c:order val="1"/>
          <c:tx>
            <c:strRef>
              <c:f>'Money &amp; banking'!$AG$18</c:f>
              <c:strCache>
                <c:ptCount val="1"/>
                <c:pt idx="0">
                  <c:v>Net claims on central government</c:v>
                </c:pt>
              </c:strCache>
            </c:strRef>
          </c:tx>
          <c:spPr>
            <a:ln>
              <a:solidFill>
                <a:srgbClr val="CC6600"/>
              </a:solidFill>
            </a:ln>
          </c:spPr>
          <c:marker>
            <c:symbol val="square"/>
            <c:size val="3"/>
            <c:spPr>
              <a:solidFill>
                <a:srgbClr val="FFE7B7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'Money &amp; banking'!$AL$16:$AV$16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banking'!$AL$18:$AV$18</c:f>
              <c:numCache>
                <c:formatCode>#,##0.0</c:formatCode>
                <c:ptCount val="11"/>
                <c:pt idx="0">
                  <c:v>552.88334160259819</c:v>
                </c:pt>
                <c:pt idx="1">
                  <c:v>216.36137672999985</c:v>
                </c:pt>
                <c:pt idx="2">
                  <c:v>896.31084553999972</c:v>
                </c:pt>
                <c:pt idx="3">
                  <c:v>4062.7082169100008</c:v>
                </c:pt>
                <c:pt idx="4">
                  <c:v>5380.7</c:v>
                </c:pt>
                <c:pt idx="5">
                  <c:v>6830.8823623200005</c:v>
                </c:pt>
                <c:pt idx="6">
                  <c:v>7649.5534109199998</c:v>
                </c:pt>
                <c:pt idx="7">
                  <c:v>8637.6978205899995</c:v>
                </c:pt>
                <c:pt idx="8">
                  <c:v>9265.3814145899996</c:v>
                </c:pt>
                <c:pt idx="9">
                  <c:v>11379.973560689999</c:v>
                </c:pt>
                <c:pt idx="10">
                  <c:v>13427.21511089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8-43DD-831D-30EB8128AEBB}"/>
            </c:ext>
          </c:extLst>
        </c:ser>
        <c:ser>
          <c:idx val="2"/>
          <c:order val="2"/>
          <c:tx>
            <c:strRef>
              <c:f>'Money &amp; banking'!$AG$19</c:f>
              <c:strCache>
                <c:ptCount val="1"/>
                <c:pt idx="0">
                  <c:v>Claims on other sectors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triangle"/>
            <c:size val="4"/>
            <c:spPr>
              <a:solidFill>
                <a:srgbClr val="FFC757"/>
              </a:solidFill>
              <a:ln w="3175"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strRef>
              <c:f>'Money &amp; banking'!$AL$16:$AV$16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banking'!$AL$19:$AV$19</c:f>
              <c:numCache>
                <c:formatCode>#,##0.0</c:formatCode>
                <c:ptCount val="11"/>
                <c:pt idx="0">
                  <c:v>8950.6228962099995</c:v>
                </c:pt>
                <c:pt idx="1">
                  <c:v>13532.04527162</c:v>
                </c:pt>
                <c:pt idx="2">
                  <c:v>17693.784121520002</c:v>
                </c:pt>
                <c:pt idx="3">
                  <c:v>17124.726924660001</c:v>
                </c:pt>
                <c:pt idx="4">
                  <c:v>16800.5</c:v>
                </c:pt>
                <c:pt idx="5">
                  <c:v>17857.476016779998</c:v>
                </c:pt>
                <c:pt idx="6">
                  <c:v>16244.02942619</c:v>
                </c:pt>
                <c:pt idx="7">
                  <c:v>16321.545896240001</c:v>
                </c:pt>
                <c:pt idx="8">
                  <c:v>16719.062206980001</c:v>
                </c:pt>
                <c:pt idx="9">
                  <c:v>18613.857843279999</c:v>
                </c:pt>
                <c:pt idx="10">
                  <c:v>22571.313824960005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8-43DD-831D-30EB8128AEBB}"/>
            </c:ext>
          </c:extLst>
        </c:ser>
        <c:ser>
          <c:idx val="3"/>
          <c:order val="3"/>
          <c:tx>
            <c:strRef>
              <c:f>'Money &amp; banking'!$AG$20</c:f>
              <c:strCache>
                <c:ptCount val="1"/>
                <c:pt idx="0">
                  <c:v>of which Claims on private sector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'Money &amp; banking'!$AL$16:$AV$16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'Money &amp; banking'!$AL$20:$AV$20</c:f>
              <c:numCache>
                <c:formatCode>#,##0.0</c:formatCode>
                <c:ptCount val="11"/>
                <c:pt idx="0">
                  <c:v>8371.6978962100002</c:v>
                </c:pt>
                <c:pt idx="1">
                  <c:v>12509.10727162</c:v>
                </c:pt>
                <c:pt idx="2">
                  <c:v>16218.546976720003</c:v>
                </c:pt>
                <c:pt idx="3">
                  <c:v>15553.849924660002</c:v>
                </c:pt>
                <c:pt idx="4">
                  <c:v>15191</c:v>
                </c:pt>
                <c:pt idx="5">
                  <c:v>16090.537016779999</c:v>
                </c:pt>
                <c:pt idx="6">
                  <c:v>14505.446426189999</c:v>
                </c:pt>
                <c:pt idx="7">
                  <c:v>14637.885896240001</c:v>
                </c:pt>
                <c:pt idx="8">
                  <c:v>15096.818206980002</c:v>
                </c:pt>
                <c:pt idx="9">
                  <c:v>16817.04084328</c:v>
                </c:pt>
                <c:pt idx="10">
                  <c:v>18590.777226790004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8-43DD-831D-30EB8128A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76928"/>
        <c:axId val="118078848"/>
      </c:lineChart>
      <c:catAx>
        <c:axId val="11807692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8848"/>
        <c:crosses val="autoZero"/>
        <c:auto val="1"/>
        <c:lblAlgn val="ctr"/>
        <c:lblOffset val="100"/>
        <c:noMultiLvlLbl val="0"/>
      </c:catAx>
      <c:valAx>
        <c:axId val="118078848"/>
        <c:scaling>
          <c:orientation val="minMax"/>
        </c:scaling>
        <c:delete val="0"/>
        <c:axPos val="l"/>
        <c:majorGridlines>
          <c:spPr>
            <a:ln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millions MVR</a:t>
                </a:r>
              </a:p>
            </c:rich>
          </c:tx>
          <c:layout>
            <c:manualLayout>
              <c:xMode val="edge"/>
              <c:yMode val="edge"/>
              <c:x val="2.7778055350548239E-2"/>
              <c:y val="8.76817420623002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6928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9.8252925840441943E-2"/>
          <c:y val="0.25663725269701554"/>
          <c:w val="0.68695338142602125"/>
          <c:h val="9.8935158440015936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127741</xdr:colOff>
      <xdr:row>24</xdr:row>
      <xdr:rowOff>74111</xdr:rowOff>
    </xdr:from>
    <xdr:to>
      <xdr:col>4</xdr:col>
      <xdr:colOff>333375</xdr:colOff>
      <xdr:row>41</xdr:row>
      <xdr:rowOff>66675</xdr:rowOff>
    </xdr:to>
    <xdr:graphicFrame macro="">
      <xdr:nvGraphicFramePr>
        <xdr:cNvPr id="539635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726256</xdr:colOff>
      <xdr:row>24</xdr:row>
      <xdr:rowOff>55371</xdr:rowOff>
    </xdr:from>
    <xdr:to>
      <xdr:col>11</xdr:col>
      <xdr:colOff>129326</xdr:colOff>
      <xdr:row>41</xdr:row>
      <xdr:rowOff>49369</xdr:rowOff>
    </xdr:to>
    <xdr:graphicFrame macro="">
      <xdr:nvGraphicFramePr>
        <xdr:cNvPr id="539635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199292</xdr:colOff>
      <xdr:row>25</xdr:row>
      <xdr:rowOff>8721</xdr:rowOff>
    </xdr:from>
    <xdr:ext cx="2357056" cy="257506"/>
    <xdr:sp macro="" textlink="">
      <xdr:nvSpPr>
        <xdr:cNvPr id="4" name="TextBox 3"/>
        <xdr:cNvSpPr txBox="1"/>
      </xdr:nvSpPr>
      <xdr:spPr>
        <a:xfrm>
          <a:off x="8087602" y="5857876"/>
          <a:ext cx="2357056" cy="257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Domestic Claims,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2006-  2016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0.48726</cdr:x>
      <cdr:y>0.094</cdr:y>
    </cdr:from>
    <cdr:to>
      <cdr:x>0.68643</cdr:x>
      <cdr:y>0.4247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37014" y="25989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0.29094</cdr:x>
      <cdr:y>0.02401</cdr:y>
    </cdr:from>
    <cdr:to>
      <cdr:x>0.80676</cdr:x>
      <cdr:y>0.11701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6158" y="65914"/>
          <a:ext cx="2847626" cy="255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200" b="1">
              <a:latin typeface="Consolas" pitchFamily="49" charset="0"/>
              <a:cs typeface="Consolas" pitchFamily="49" charset="0"/>
            </a:rPr>
            <a:t>Net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Foreign Assets, 2006 - 2016</a:t>
          </a:r>
          <a:endParaRPr lang="en-US" sz="12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60"/>
  <sheetViews>
    <sheetView tabSelected="1" zoomScaleNormal="100" zoomScaleSheetLayoutView="71" workbookViewId="0">
      <selection activeCell="R13" sqref="R13"/>
    </sheetView>
  </sheetViews>
  <sheetFormatPr defaultRowHeight="12.75"/>
  <cols>
    <col min="1" max="1" width="41.140625" style="5" customWidth="1"/>
    <col min="2" max="7" width="12.85546875" style="5" customWidth="1"/>
    <col min="8" max="8" width="14.140625" style="5" customWidth="1"/>
    <col min="9" max="10" width="12.85546875" style="5" customWidth="1"/>
    <col min="11" max="12" width="13.85546875" style="5" customWidth="1"/>
    <col min="13" max="32" width="9.5703125" style="5" customWidth="1"/>
    <col min="33" max="33" width="17" style="5" customWidth="1"/>
    <col min="34" max="16384" width="9.140625" style="5"/>
  </cols>
  <sheetData>
    <row r="1" spans="1:48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48" s="1" customFormat="1" ht="15" customHeight="1">
      <c r="A2" s="4"/>
      <c r="B2" s="4"/>
      <c r="C2" s="4"/>
      <c r="D2" s="4"/>
      <c r="E2" s="4"/>
      <c r="F2" s="4"/>
      <c r="G2" s="4"/>
    </row>
    <row r="3" spans="1:48" s="1" customFormat="1" ht="15" customHeight="1">
      <c r="A3" s="35" t="s">
        <v>1</v>
      </c>
      <c r="B3" s="36">
        <v>2006</v>
      </c>
      <c r="C3" s="36">
        <v>2007</v>
      </c>
      <c r="D3" s="36">
        <v>2008</v>
      </c>
      <c r="E3" s="36">
        <v>2009</v>
      </c>
      <c r="F3" s="36">
        <v>2010</v>
      </c>
      <c r="G3" s="36">
        <v>2011</v>
      </c>
      <c r="H3" s="36">
        <v>2012</v>
      </c>
      <c r="I3" s="36">
        <v>2013</v>
      </c>
      <c r="J3" s="36">
        <v>2014</v>
      </c>
      <c r="K3" s="36">
        <v>2015</v>
      </c>
      <c r="L3" s="36">
        <v>2016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H3" s="12"/>
      <c r="AM3" s="1" t="s">
        <v>2</v>
      </c>
      <c r="AN3" s="1" t="s">
        <v>3</v>
      </c>
      <c r="AO3" s="1" t="s">
        <v>4</v>
      </c>
      <c r="AP3" s="1" t="s">
        <v>5</v>
      </c>
    </row>
    <row r="4" spans="1:48" s="1" customFormat="1" ht="15" customHeight="1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9"/>
      <c r="N4" s="29"/>
      <c r="O4" s="29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P4" s="13">
        <v>29.875</v>
      </c>
    </row>
    <row r="5" spans="1:48" s="1" customFormat="1" ht="18.75" customHeight="1">
      <c r="A5" s="37" t="s">
        <v>6</v>
      </c>
      <c r="B5" s="38">
        <v>952.06343484207991</v>
      </c>
      <c r="C5" s="38">
        <v>-510.50246779999907</v>
      </c>
      <c r="D5" s="38">
        <v>-1732.2061043900003</v>
      </c>
      <c r="E5" s="38">
        <v>-1338.6554147607517</v>
      </c>
      <c r="F5" s="38">
        <v>685.6</v>
      </c>
      <c r="G5" s="38">
        <v>2873</v>
      </c>
      <c r="H5" s="38">
        <v>5258.2642864494928</v>
      </c>
      <c r="I5" s="38">
        <v>8813.4116879543999</v>
      </c>
      <c r="J5" s="38">
        <v>12541.039039564235</v>
      </c>
      <c r="K5" s="38">
        <v>12297.398184550926</v>
      </c>
      <c r="L5" s="38">
        <v>7789.5105122478453</v>
      </c>
      <c r="M5" s="29"/>
      <c r="O5" s="2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K5" s="1" t="s">
        <v>2</v>
      </c>
      <c r="AL5" s="1" t="s">
        <v>3</v>
      </c>
      <c r="AM5" s="1" t="s">
        <v>4</v>
      </c>
      <c r="AN5" s="1" t="s">
        <v>5</v>
      </c>
      <c r="AP5" s="13">
        <v>49.248000000000005</v>
      </c>
    </row>
    <row r="6" spans="1:48" s="1" customFormat="1" ht="18.75" customHeight="1">
      <c r="A6" s="28" t="s">
        <v>21</v>
      </c>
      <c r="B6" s="29">
        <v>2814.00604467208</v>
      </c>
      <c r="C6" s="29">
        <v>3856.9985322000002</v>
      </c>
      <c r="D6" s="29">
        <v>3021.9568956100002</v>
      </c>
      <c r="E6" s="29">
        <v>3071.7005852392481</v>
      </c>
      <c r="F6" s="29">
        <v>4067.6</v>
      </c>
      <c r="G6" s="29">
        <v>4725.5</v>
      </c>
      <c r="H6" s="29">
        <v>4241.0012864494929</v>
      </c>
      <c r="I6" s="29">
        <v>5307.9996879543987</v>
      </c>
      <c r="J6" s="29">
        <v>9109.9707099532352</v>
      </c>
      <c r="K6" s="29">
        <v>8227.2591845509269</v>
      </c>
      <c r="L6" s="29">
        <v>5247.4675122478448</v>
      </c>
      <c r="O6" s="2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4">
        <v>1995</v>
      </c>
      <c r="AH6" s="15">
        <v>627.33799999999997</v>
      </c>
      <c r="AJ6" s="14">
        <v>1995</v>
      </c>
      <c r="AK6" s="9">
        <v>285.24299999999999</v>
      </c>
      <c r="AL6" s="13">
        <v>244.024</v>
      </c>
      <c r="AM6" s="13">
        <v>26.552</v>
      </c>
      <c r="AN6" s="13">
        <v>29.875</v>
      </c>
      <c r="AP6" s="13">
        <v>59.207999999999998</v>
      </c>
    </row>
    <row r="7" spans="1:48" s="1" customFormat="1" ht="18.75" customHeight="1">
      <c r="A7" s="39" t="s">
        <v>22</v>
      </c>
      <c r="B7" s="40">
        <v>-1861.94260983</v>
      </c>
      <c r="C7" s="40">
        <v>-4367.5009999999993</v>
      </c>
      <c r="D7" s="40">
        <v>-4754.1630000000005</v>
      </c>
      <c r="E7" s="40">
        <v>-4410.3559999999998</v>
      </c>
      <c r="F7" s="40">
        <v>-3382</v>
      </c>
      <c r="G7" s="40">
        <v>-1852.5</v>
      </c>
      <c r="H7" s="40">
        <v>1017.2629999999997</v>
      </c>
      <c r="I7" s="40">
        <v>3505.4119999999998</v>
      </c>
      <c r="J7" s="40">
        <v>3431.0683296110001</v>
      </c>
      <c r="K7" s="40">
        <v>4070.1390000000001</v>
      </c>
      <c r="L7" s="40">
        <v>2542.0430000000001</v>
      </c>
      <c r="O7" s="2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14">
        <v>1996</v>
      </c>
      <c r="AH7" s="15">
        <v>691.42599999999993</v>
      </c>
      <c r="AJ7" s="14">
        <v>1996</v>
      </c>
      <c r="AK7" s="9">
        <v>236.703</v>
      </c>
      <c r="AL7" s="13">
        <v>314.46899999999999</v>
      </c>
      <c r="AM7" s="13">
        <v>42.921999999999997</v>
      </c>
      <c r="AN7" s="13">
        <v>49.248000000000005</v>
      </c>
      <c r="AP7" s="13">
        <v>74.096000000000004</v>
      </c>
    </row>
    <row r="8" spans="1:48" ht="18.75" customHeight="1">
      <c r="A8" s="30" t="s">
        <v>9</v>
      </c>
      <c r="B8" s="27">
        <v>9503.5062378125986</v>
      </c>
      <c r="C8" s="27">
        <v>13748.406648349999</v>
      </c>
      <c r="D8" s="27">
        <v>18590.094967060002</v>
      </c>
      <c r="E8" s="27">
        <v>21187.43514157</v>
      </c>
      <c r="F8" s="27">
        <v>22181.200000000001</v>
      </c>
      <c r="G8" s="27">
        <v>24688.358379099998</v>
      </c>
      <c r="H8" s="27">
        <v>23893.58283711</v>
      </c>
      <c r="I8" s="27">
        <v>24959.243716829998</v>
      </c>
      <c r="J8" s="27">
        <v>25984.443621570001</v>
      </c>
      <c r="K8" s="27">
        <v>29993.831403969998</v>
      </c>
      <c r="L8" s="27">
        <v>35998.528935850001</v>
      </c>
      <c r="N8" s="8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14">
        <v>1997</v>
      </c>
      <c r="AH8" s="15">
        <v>993.23700000000008</v>
      </c>
      <c r="AI8" s="1"/>
      <c r="AJ8" s="14">
        <v>1997</v>
      </c>
      <c r="AK8" s="9">
        <v>406.71800000000002</v>
      </c>
      <c r="AL8" s="13">
        <v>411.93599999999998</v>
      </c>
      <c r="AM8" s="13">
        <v>47.039000000000001</v>
      </c>
      <c r="AN8" s="13">
        <v>59.207999999999998</v>
      </c>
      <c r="AO8" s="1"/>
    </row>
    <row r="9" spans="1:48" ht="18.75" customHeight="1">
      <c r="A9" s="39" t="s">
        <v>23</v>
      </c>
      <c r="B9" s="40">
        <v>552.88334160259819</v>
      </c>
      <c r="C9" s="40">
        <v>216.36137672999985</v>
      </c>
      <c r="D9" s="40">
        <v>896.31084553999972</v>
      </c>
      <c r="E9" s="40">
        <v>4062.7082169100008</v>
      </c>
      <c r="F9" s="40">
        <v>5380.7</v>
      </c>
      <c r="G9" s="40">
        <v>6830.8823623200005</v>
      </c>
      <c r="H9" s="40">
        <v>7649.5534109199998</v>
      </c>
      <c r="I9" s="40">
        <v>8637.6978205899995</v>
      </c>
      <c r="J9" s="40">
        <v>9265.3814145899996</v>
      </c>
      <c r="K9" s="40">
        <v>11379.973560689999</v>
      </c>
      <c r="L9" s="40">
        <v>13427.21511089</v>
      </c>
      <c r="N9" s="29"/>
      <c r="O9" s="2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4">
        <v>1998</v>
      </c>
      <c r="AH9" s="15">
        <v>1256.6210000000001</v>
      </c>
      <c r="AI9" s="1"/>
      <c r="AJ9" s="14">
        <v>1998</v>
      </c>
      <c r="AK9" s="9">
        <v>609.45900000000006</v>
      </c>
      <c r="AL9" s="13">
        <v>406.23599999999999</v>
      </c>
      <c r="AM9" s="13">
        <v>58.48</v>
      </c>
      <c r="AN9" s="13">
        <v>74.096000000000004</v>
      </c>
      <c r="AO9" s="1"/>
    </row>
    <row r="10" spans="1:48" ht="18.75" customHeight="1">
      <c r="A10" s="28" t="s">
        <v>24</v>
      </c>
      <c r="B10" s="29">
        <v>8950.6228962099995</v>
      </c>
      <c r="C10" s="29">
        <v>13532.04527162</v>
      </c>
      <c r="D10" s="29">
        <v>17693.784121520002</v>
      </c>
      <c r="E10" s="29">
        <v>17124.726924660001</v>
      </c>
      <c r="F10" s="29">
        <v>16800.5</v>
      </c>
      <c r="G10" s="29">
        <v>17857.476016779998</v>
      </c>
      <c r="H10" s="29">
        <v>16244.02942619</v>
      </c>
      <c r="I10" s="29">
        <v>16321.545896240001</v>
      </c>
      <c r="J10" s="29">
        <v>16719.062206980001</v>
      </c>
      <c r="K10" s="29">
        <v>18613.857843279999</v>
      </c>
      <c r="L10" s="29">
        <v>22571.313824960005</v>
      </c>
      <c r="N10" s="29"/>
      <c r="O10" s="2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48" ht="18.75" customHeight="1">
      <c r="A11" s="39" t="s">
        <v>32</v>
      </c>
      <c r="B11" s="40">
        <v>8371.6978962100002</v>
      </c>
      <c r="C11" s="40">
        <v>12509.10727162</v>
      </c>
      <c r="D11" s="40">
        <v>16218.546976720003</v>
      </c>
      <c r="E11" s="40">
        <v>15553.849924660002</v>
      </c>
      <c r="F11" s="40">
        <v>15191</v>
      </c>
      <c r="G11" s="40">
        <v>16090.537016779999</v>
      </c>
      <c r="H11" s="40">
        <v>14505.446426189999</v>
      </c>
      <c r="I11" s="40">
        <v>14637.885896240001</v>
      </c>
      <c r="J11" s="40">
        <v>15096.818206980002</v>
      </c>
      <c r="K11" s="40">
        <v>16817.04084328</v>
      </c>
      <c r="L11" s="40">
        <v>18590.777226790004</v>
      </c>
      <c r="N11" s="29"/>
      <c r="O11" s="2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48" ht="18.75" customHeight="1">
      <c r="A12" s="30" t="s">
        <v>10</v>
      </c>
      <c r="B12" s="27">
        <v>8008.6519399925974</v>
      </c>
      <c r="C12" s="27">
        <v>9938.7567146399997</v>
      </c>
      <c r="D12" s="27">
        <v>12110.064374310001</v>
      </c>
      <c r="E12" s="27">
        <v>13615.47839068</v>
      </c>
      <c r="F12" s="27">
        <v>15884</v>
      </c>
      <c r="G12" s="27">
        <v>19062.239077370003</v>
      </c>
      <c r="H12" s="27">
        <v>20001.611515550001</v>
      </c>
      <c r="I12" s="27">
        <v>23676.728450850002</v>
      </c>
      <c r="J12" s="27">
        <v>27161.23975429</v>
      </c>
      <c r="K12" s="27">
        <f>SUM(K13:K14)</f>
        <v>30491.924283619999</v>
      </c>
      <c r="L12" s="27">
        <v>30525.686609069999</v>
      </c>
      <c r="O12" s="29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H12" s="34" t="s">
        <v>12</v>
      </c>
      <c r="AI12" s="34" t="s">
        <v>13</v>
      </c>
      <c r="AJ12" s="34" t="s">
        <v>14</v>
      </c>
      <c r="AK12" s="34" t="s">
        <v>15</v>
      </c>
      <c r="AL12" s="34" t="s">
        <v>16</v>
      </c>
      <c r="AM12" s="34" t="s">
        <v>17</v>
      </c>
      <c r="AN12" s="34" t="s">
        <v>18</v>
      </c>
      <c r="AO12" s="34" t="s">
        <v>19</v>
      </c>
      <c r="AP12" s="34" t="s">
        <v>20</v>
      </c>
      <c r="AQ12" s="34" t="s">
        <v>36</v>
      </c>
      <c r="AR12" s="34" t="s">
        <v>33</v>
      </c>
      <c r="AS12" s="34" t="s">
        <v>37</v>
      </c>
      <c r="AT12" s="34" t="s">
        <v>38</v>
      </c>
      <c r="AU12" s="34" t="s">
        <v>39</v>
      </c>
      <c r="AV12" s="34" t="s">
        <v>40</v>
      </c>
    </row>
    <row r="13" spans="1:48" ht="18.75" customHeight="1">
      <c r="A13" s="39" t="s">
        <v>25</v>
      </c>
      <c r="B13" s="40">
        <v>3707.5963386599997</v>
      </c>
      <c r="C13" s="40">
        <v>4448.7638793599999</v>
      </c>
      <c r="D13" s="40">
        <v>6097.5141422199995</v>
      </c>
      <c r="E13" s="40">
        <v>7439.9621585900004</v>
      </c>
      <c r="F13" s="40">
        <v>7538.7</v>
      </c>
      <c r="G13" s="40">
        <v>8192.3727477400007</v>
      </c>
      <c r="H13" s="40">
        <v>8428.2895155499991</v>
      </c>
      <c r="I13" s="40">
        <v>10415.840450850001</v>
      </c>
      <c r="J13" s="40">
        <v>11196.708754289999</v>
      </c>
      <c r="K13" s="40">
        <v>13337.884283619998</v>
      </c>
      <c r="L13" s="40">
        <v>13467.472609069999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7" t="s">
        <v>7</v>
      </c>
      <c r="AH13" s="18">
        <v>1686.489534967568</v>
      </c>
      <c r="AI13" s="18">
        <v>2035.2701812216162</v>
      </c>
      <c r="AJ13" s="18">
        <v>2599.6007043197437</v>
      </c>
      <c r="AK13" s="18">
        <v>2304.1500160027681</v>
      </c>
      <c r="AL13" s="33">
        <f t="shared" ref="AL13:AT14" si="0">B6</f>
        <v>2814.00604467208</v>
      </c>
      <c r="AM13" s="33">
        <f t="shared" si="0"/>
        <v>3856.9985322000002</v>
      </c>
      <c r="AN13" s="33">
        <f t="shared" si="0"/>
        <v>3021.9568956100002</v>
      </c>
      <c r="AO13" s="33">
        <f t="shared" si="0"/>
        <v>3071.7005852392481</v>
      </c>
      <c r="AP13" s="33">
        <f t="shared" si="0"/>
        <v>4067.6</v>
      </c>
      <c r="AQ13" s="33">
        <f t="shared" si="0"/>
        <v>4725.5</v>
      </c>
      <c r="AR13" s="33">
        <f t="shared" si="0"/>
        <v>4241.0012864494929</v>
      </c>
      <c r="AS13" s="33">
        <f t="shared" si="0"/>
        <v>5307.9996879543987</v>
      </c>
      <c r="AT13" s="33">
        <f t="shared" si="0"/>
        <v>9109.9707099532352</v>
      </c>
      <c r="AU13" s="33">
        <f>K6</f>
        <v>8227.2591845509269</v>
      </c>
      <c r="AV13" s="33">
        <f>L6</f>
        <v>5247.4675122478448</v>
      </c>
    </row>
    <row r="14" spans="1:48" ht="18.75" customHeight="1">
      <c r="A14" s="28" t="s">
        <v>26</v>
      </c>
      <c r="B14" s="29">
        <v>4301.0556013325977</v>
      </c>
      <c r="C14" s="29">
        <v>5489.9928352799998</v>
      </c>
      <c r="D14" s="29">
        <v>6012.5502320900005</v>
      </c>
      <c r="E14" s="29">
        <v>6175.5162320899999</v>
      </c>
      <c r="F14" s="29">
        <v>8345.2000000000007</v>
      </c>
      <c r="G14" s="29">
        <v>10869.86632963</v>
      </c>
      <c r="H14" s="29">
        <v>11573.322</v>
      </c>
      <c r="I14" s="29">
        <v>13260.888000000001</v>
      </c>
      <c r="J14" s="29">
        <v>15964.531000000001</v>
      </c>
      <c r="K14" s="29">
        <v>17154.04</v>
      </c>
      <c r="L14" s="29">
        <v>17058.214</v>
      </c>
      <c r="O14" s="2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7" t="s">
        <v>8</v>
      </c>
      <c r="AH14" s="18">
        <v>-40.455000000000041</v>
      </c>
      <c r="AI14" s="18">
        <v>593.19699999999989</v>
      </c>
      <c r="AJ14" s="18">
        <v>745.00099999999998</v>
      </c>
      <c r="AK14" s="18">
        <v>-517.67499999999995</v>
      </c>
      <c r="AL14" s="33">
        <f t="shared" si="0"/>
        <v>-1861.94260983</v>
      </c>
      <c r="AM14" s="33">
        <f t="shared" si="0"/>
        <v>-4367.5009999999993</v>
      </c>
      <c r="AN14" s="33">
        <f t="shared" si="0"/>
        <v>-4754.1630000000005</v>
      </c>
      <c r="AO14" s="33">
        <f t="shared" si="0"/>
        <v>-4410.3559999999998</v>
      </c>
      <c r="AP14" s="33">
        <f t="shared" si="0"/>
        <v>-3382</v>
      </c>
      <c r="AQ14" s="33">
        <f t="shared" si="0"/>
        <v>-1852.5</v>
      </c>
      <c r="AR14" s="33">
        <f t="shared" si="0"/>
        <v>1017.2629999999997</v>
      </c>
      <c r="AS14" s="33">
        <f t="shared" si="0"/>
        <v>3505.4119999999998</v>
      </c>
      <c r="AT14" s="33">
        <f t="shared" si="0"/>
        <v>3431.0683296110001</v>
      </c>
      <c r="AU14" s="33">
        <f>K7</f>
        <v>4070.1390000000001</v>
      </c>
      <c r="AV14" s="33">
        <f>L7</f>
        <v>2542.0430000000001</v>
      </c>
    </row>
    <row r="15" spans="1:48" s="22" customFormat="1" ht="18.75" customHeight="1">
      <c r="A15" s="37" t="s">
        <v>11</v>
      </c>
      <c r="B15" s="38">
        <v>8184.8329999999987</v>
      </c>
      <c r="C15" s="38">
        <v>12486.425999999999</v>
      </c>
      <c r="D15" s="38">
        <v>16121.84</v>
      </c>
      <c r="E15" s="38">
        <v>15403.58</v>
      </c>
      <c r="F15" s="38">
        <v>15045.2</v>
      </c>
      <c r="G15" s="38">
        <v>15970.3</v>
      </c>
      <c r="H15" s="38">
        <v>14520</v>
      </c>
      <c r="I15" s="38">
        <v>14533.5</v>
      </c>
      <c r="J15" s="38">
        <v>14927.8</v>
      </c>
      <c r="K15" s="38">
        <v>16759.404000000002</v>
      </c>
      <c r="L15" s="38">
        <v>18513.334999999999</v>
      </c>
      <c r="M15" s="29"/>
      <c r="N15" s="29"/>
      <c r="O15" s="2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/>
    </row>
    <row r="16" spans="1:48" ht="18.75" customHeight="1">
      <c r="A16" s="28" t="s">
        <v>27</v>
      </c>
      <c r="B16" s="29">
        <v>17.184000000000001</v>
      </c>
      <c r="C16" s="29">
        <v>37.991</v>
      </c>
      <c r="D16" s="29">
        <v>38.798000000000002</v>
      </c>
      <c r="E16" s="29">
        <v>31.306999999999999</v>
      </c>
      <c r="F16" s="29">
        <v>28.7</v>
      </c>
      <c r="G16" s="29">
        <v>25</v>
      </c>
      <c r="H16" s="29">
        <v>15.909000000000001</v>
      </c>
      <c r="I16" s="29">
        <v>10.3</v>
      </c>
      <c r="J16" s="29">
        <v>7.85</v>
      </c>
      <c r="K16" s="29">
        <v>4.1970000000000001</v>
      </c>
      <c r="L16" s="29">
        <v>1.859</v>
      </c>
      <c r="N16" s="29"/>
      <c r="O16" s="2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8"/>
      <c r="AH16" s="2" t="s">
        <v>12</v>
      </c>
      <c r="AI16" s="2" t="s">
        <v>13</v>
      </c>
      <c r="AJ16" s="34" t="s">
        <v>14</v>
      </c>
      <c r="AK16" s="34" t="s">
        <v>15</v>
      </c>
      <c r="AL16" s="34" t="s">
        <v>16</v>
      </c>
      <c r="AM16" s="34" t="s">
        <v>17</v>
      </c>
      <c r="AN16" s="34" t="s">
        <v>18</v>
      </c>
      <c r="AO16" s="34" t="s">
        <v>19</v>
      </c>
      <c r="AP16" s="34" t="s">
        <v>20</v>
      </c>
      <c r="AQ16" s="34" t="s">
        <v>36</v>
      </c>
      <c r="AR16" s="34" t="s">
        <v>33</v>
      </c>
      <c r="AS16" s="34" t="s">
        <v>37</v>
      </c>
      <c r="AT16" s="34" t="s">
        <v>38</v>
      </c>
      <c r="AU16" s="34" t="s">
        <v>39</v>
      </c>
      <c r="AV16" s="34" t="s">
        <v>40</v>
      </c>
    </row>
    <row r="17" spans="1:48" ht="18.75" customHeight="1">
      <c r="A17" s="39" t="s">
        <v>28</v>
      </c>
      <c r="B17" s="40">
        <v>641.32500000000005</v>
      </c>
      <c r="C17" s="40">
        <v>1182.9059999999999</v>
      </c>
      <c r="D17" s="40">
        <v>1088.7629999999999</v>
      </c>
      <c r="E17" s="40">
        <v>960.52099999999996</v>
      </c>
      <c r="F17" s="40">
        <v>896</v>
      </c>
      <c r="G17" s="40">
        <v>772.3</v>
      </c>
      <c r="H17" s="40">
        <v>551.89200000000005</v>
      </c>
      <c r="I17" s="40">
        <v>546.6</v>
      </c>
      <c r="J17" s="40">
        <v>399.83100000000002</v>
      </c>
      <c r="K17" s="40">
        <v>450.85899999999998</v>
      </c>
      <c r="L17" s="40">
        <v>520.00400000000002</v>
      </c>
      <c r="N17" s="29"/>
      <c r="O17" s="2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3" t="s">
        <v>9</v>
      </c>
      <c r="AH17" s="21">
        <v>3380.7334705900003</v>
      </c>
      <c r="AI17" s="21">
        <v>3126.3360251500003</v>
      </c>
      <c r="AJ17" s="21">
        <v>4218.6228012000001</v>
      </c>
      <c r="AK17" s="21">
        <v>6858.3315231590186</v>
      </c>
      <c r="AL17" s="33">
        <f t="shared" ref="AL17:AT20" si="1">B8</f>
        <v>9503.5062378125986</v>
      </c>
      <c r="AM17" s="33">
        <f t="shared" si="1"/>
        <v>13748.406648349999</v>
      </c>
      <c r="AN17" s="33">
        <f t="shared" si="1"/>
        <v>18590.094967060002</v>
      </c>
      <c r="AO17" s="33">
        <f t="shared" si="1"/>
        <v>21187.43514157</v>
      </c>
      <c r="AP17" s="33">
        <f t="shared" si="1"/>
        <v>22181.200000000001</v>
      </c>
      <c r="AQ17" s="33">
        <f t="shared" si="1"/>
        <v>24688.358379099998</v>
      </c>
      <c r="AR17" s="33">
        <f t="shared" si="1"/>
        <v>23893.58283711</v>
      </c>
      <c r="AS17" s="33">
        <f t="shared" si="1"/>
        <v>24959.243716829998</v>
      </c>
      <c r="AT17" s="33">
        <f t="shared" si="1"/>
        <v>25984.443621570001</v>
      </c>
      <c r="AU17" s="33">
        <f>K8</f>
        <v>29993.831403969998</v>
      </c>
      <c r="AV17" s="33">
        <f>L8</f>
        <v>35998.528935850001</v>
      </c>
    </row>
    <row r="18" spans="1:48" ht="18.75" customHeight="1">
      <c r="A18" s="28" t="s">
        <v>29</v>
      </c>
      <c r="B18" s="29">
        <v>139.96600000000001</v>
      </c>
      <c r="C18" s="29">
        <v>490.78399999999999</v>
      </c>
      <c r="D18" s="29">
        <v>581.02800000000002</v>
      </c>
      <c r="E18" s="29">
        <v>532.00900000000001</v>
      </c>
      <c r="F18" s="29">
        <v>493.1</v>
      </c>
      <c r="G18" s="29">
        <v>492</v>
      </c>
      <c r="H18" s="29">
        <v>324.09899999999999</v>
      </c>
      <c r="I18" s="29">
        <v>316.5</v>
      </c>
      <c r="J18" s="29">
        <v>199.191</v>
      </c>
      <c r="K18" s="29">
        <v>170.82</v>
      </c>
      <c r="L18" s="29">
        <v>171.88800000000001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7" t="s">
        <v>23</v>
      </c>
      <c r="AH18" s="18">
        <v>1074.19425523</v>
      </c>
      <c r="AI18" s="18">
        <v>796.8162097899999</v>
      </c>
      <c r="AJ18" s="18">
        <v>432.53413983999997</v>
      </c>
      <c r="AK18" s="18">
        <v>729.68899408901825</v>
      </c>
      <c r="AL18" s="33">
        <f t="shared" si="1"/>
        <v>552.88334160259819</v>
      </c>
      <c r="AM18" s="33">
        <f t="shared" si="1"/>
        <v>216.36137672999985</v>
      </c>
      <c r="AN18" s="33">
        <f t="shared" si="1"/>
        <v>896.31084553999972</v>
      </c>
      <c r="AO18" s="33">
        <f t="shared" si="1"/>
        <v>4062.7082169100008</v>
      </c>
      <c r="AP18" s="33">
        <f t="shared" si="1"/>
        <v>5380.7</v>
      </c>
      <c r="AQ18" s="33">
        <f t="shared" si="1"/>
        <v>6830.8823623200005</v>
      </c>
      <c r="AR18" s="33">
        <f t="shared" si="1"/>
        <v>7649.5534109199998</v>
      </c>
      <c r="AS18" s="33">
        <f t="shared" si="1"/>
        <v>8637.6978205899995</v>
      </c>
      <c r="AT18" s="33">
        <f t="shared" si="1"/>
        <v>9265.3814145899996</v>
      </c>
      <c r="AU18" s="33">
        <f t="shared" ref="AU18:AV20" si="2">K9</f>
        <v>11379.973560689999</v>
      </c>
      <c r="AV18" s="33">
        <f t="shared" si="2"/>
        <v>13427.21511089</v>
      </c>
    </row>
    <row r="19" spans="1:48" ht="18.75" customHeight="1">
      <c r="A19" s="39" t="s">
        <v>5</v>
      </c>
      <c r="B19" s="40">
        <v>525.90700000000004</v>
      </c>
      <c r="C19" s="40">
        <v>1053.7360000000001</v>
      </c>
      <c r="D19" s="40">
        <v>1368.9380000000001</v>
      </c>
      <c r="E19" s="40">
        <v>1263.98</v>
      </c>
      <c r="F19" s="40">
        <v>1119.7</v>
      </c>
      <c r="G19" s="40">
        <v>1187.4000000000001</v>
      </c>
      <c r="H19" s="40">
        <v>1205.817</v>
      </c>
      <c r="I19" s="40">
        <v>1320.739</v>
      </c>
      <c r="J19" s="40">
        <v>1735.5219999999999</v>
      </c>
      <c r="K19" s="40">
        <v>2441.692</v>
      </c>
      <c r="L19" s="40">
        <v>3345.201</v>
      </c>
      <c r="N19" s="29"/>
      <c r="O19" s="2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7" t="s">
        <v>24</v>
      </c>
      <c r="AH19" s="18">
        <v>2306.5392153600001</v>
      </c>
      <c r="AI19" s="18">
        <v>2329.5198153600004</v>
      </c>
      <c r="AJ19" s="18">
        <v>3786.0886613600001</v>
      </c>
      <c r="AK19" s="18">
        <v>6128.6425290699999</v>
      </c>
      <c r="AL19" s="33">
        <f t="shared" si="1"/>
        <v>8950.6228962099995</v>
      </c>
      <c r="AM19" s="33">
        <f t="shared" si="1"/>
        <v>13532.04527162</v>
      </c>
      <c r="AN19" s="33">
        <f t="shared" si="1"/>
        <v>17693.784121520002</v>
      </c>
      <c r="AO19" s="33">
        <f t="shared" si="1"/>
        <v>17124.726924660001</v>
      </c>
      <c r="AP19" s="33">
        <f t="shared" si="1"/>
        <v>16800.5</v>
      </c>
      <c r="AQ19" s="33">
        <f t="shared" si="1"/>
        <v>17857.476016779998</v>
      </c>
      <c r="AR19" s="33">
        <f t="shared" si="1"/>
        <v>16244.02942619</v>
      </c>
      <c r="AS19" s="33">
        <f t="shared" si="1"/>
        <v>16321.545896240001</v>
      </c>
      <c r="AT19" s="33">
        <f t="shared" si="1"/>
        <v>16719.062206980001</v>
      </c>
      <c r="AU19" s="33">
        <f t="shared" si="2"/>
        <v>18613.857843279999</v>
      </c>
      <c r="AV19" s="33">
        <f t="shared" si="2"/>
        <v>22571.313824960005</v>
      </c>
    </row>
    <row r="20" spans="1:48" ht="18.75" customHeight="1">
      <c r="A20" s="28" t="s">
        <v>2</v>
      </c>
      <c r="B20" s="29">
        <v>4297.9049999999997</v>
      </c>
      <c r="C20" s="29">
        <v>6536.143</v>
      </c>
      <c r="D20" s="29">
        <v>9317.0249999999996</v>
      </c>
      <c r="E20" s="29">
        <v>9148.8870000000006</v>
      </c>
      <c r="F20" s="29">
        <v>8698.2999999999993</v>
      </c>
      <c r="G20" s="29">
        <v>9170.2999999999993</v>
      </c>
      <c r="H20" s="29">
        <v>8326.7520000000004</v>
      </c>
      <c r="I20" s="29">
        <v>7430.1</v>
      </c>
      <c r="J20" s="29">
        <v>6475.9759999999997</v>
      </c>
      <c r="K20" s="29">
        <v>6628.0360000000001</v>
      </c>
      <c r="L20" s="29">
        <v>7257</v>
      </c>
      <c r="N20" s="2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7" t="s">
        <v>31</v>
      </c>
      <c r="AH20" s="18">
        <v>2089.0830620199999</v>
      </c>
      <c r="AI20" s="18">
        <v>2232.7276620200005</v>
      </c>
      <c r="AJ20" s="18">
        <v>3529.6675080200002</v>
      </c>
      <c r="AK20" s="18">
        <v>5634.2935290699997</v>
      </c>
      <c r="AL20" s="33">
        <f t="shared" si="1"/>
        <v>8371.6978962100002</v>
      </c>
      <c r="AM20" s="33">
        <f t="shared" si="1"/>
        <v>12509.10727162</v>
      </c>
      <c r="AN20" s="33">
        <f t="shared" si="1"/>
        <v>16218.546976720003</v>
      </c>
      <c r="AO20" s="33">
        <f t="shared" si="1"/>
        <v>15553.849924660002</v>
      </c>
      <c r="AP20" s="33">
        <f t="shared" si="1"/>
        <v>15191</v>
      </c>
      <c r="AQ20" s="33">
        <f t="shared" si="1"/>
        <v>16090.537016779999</v>
      </c>
      <c r="AR20" s="33">
        <f t="shared" si="1"/>
        <v>14505.446426189999</v>
      </c>
      <c r="AS20" s="33">
        <f t="shared" si="1"/>
        <v>14637.885896240001</v>
      </c>
      <c r="AT20" s="33">
        <f t="shared" si="1"/>
        <v>15096.818206980002</v>
      </c>
      <c r="AU20" s="33">
        <f t="shared" si="2"/>
        <v>16817.04084328</v>
      </c>
      <c r="AV20" s="33">
        <f t="shared" si="2"/>
        <v>18590.777226790004</v>
      </c>
    </row>
    <row r="21" spans="1:48" ht="18.75" customHeight="1">
      <c r="A21" s="39" t="s">
        <v>3</v>
      </c>
      <c r="B21" s="40">
        <v>1655.355</v>
      </c>
      <c r="C21" s="40">
        <v>1299.345</v>
      </c>
      <c r="D21" s="40">
        <v>1837.2849999999999</v>
      </c>
      <c r="E21" s="40">
        <v>1587.8989999999999</v>
      </c>
      <c r="F21" s="40">
        <v>1774.3</v>
      </c>
      <c r="G21" s="40">
        <v>2131.1</v>
      </c>
      <c r="H21" s="40">
        <v>2144.2919999999999</v>
      </c>
      <c r="I21" s="40">
        <v>2551.6999999999998</v>
      </c>
      <c r="J21" s="40">
        <v>2515.5010000000002</v>
      </c>
      <c r="K21" s="40">
        <v>2964.2629999999999</v>
      </c>
      <c r="L21" s="40">
        <v>3178.0709999999999</v>
      </c>
      <c r="N21" s="2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8"/>
      <c r="AH21" s="18"/>
    </row>
    <row r="22" spans="1:48" ht="18.75" customHeight="1">
      <c r="A22" s="31" t="s">
        <v>30</v>
      </c>
      <c r="B22" s="32">
        <v>367.25700000000001</v>
      </c>
      <c r="C22" s="32">
        <v>550.63100000000009</v>
      </c>
      <c r="D22" s="32">
        <v>786.70100000000002</v>
      </c>
      <c r="E22" s="32">
        <v>814.49700000000007</v>
      </c>
      <c r="F22" s="29">
        <v>677.7</v>
      </c>
      <c r="G22" s="29">
        <v>614</v>
      </c>
      <c r="H22" s="29">
        <v>480.03699999999998</v>
      </c>
      <c r="I22" s="29">
        <v>520</v>
      </c>
      <c r="J22" s="29">
        <v>613.14300000000003</v>
      </c>
      <c r="K22" s="29">
        <v>894.28700000000003</v>
      </c>
      <c r="L22" s="29">
        <v>1069.778</v>
      </c>
      <c r="N22" s="2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8"/>
      <c r="AH22" s="18"/>
    </row>
    <row r="23" spans="1:48" ht="18.75" customHeight="1">
      <c r="A23" s="42" t="s">
        <v>41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N23" s="29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17" t="s">
        <v>34</v>
      </c>
    </row>
    <row r="44" spans="6:6">
      <c r="F44" s="10" t="s">
        <v>35</v>
      </c>
    </row>
    <row r="49" spans="9:9">
      <c r="I49" s="10"/>
    </row>
    <row r="52" spans="9:9">
      <c r="I52" s="10"/>
    </row>
    <row r="57" spans="9:9">
      <c r="I57" s="10"/>
    </row>
    <row r="58" spans="9:9">
      <c r="I58" s="10"/>
    </row>
    <row r="59" spans="9:9">
      <c r="I59" s="10"/>
    </row>
    <row r="60" spans="9:9">
      <c r="I60" s="10"/>
    </row>
  </sheetData>
  <mergeCells count="1">
    <mergeCell ref="A1:L1"/>
  </mergeCells>
  <pageMargins left="0.25" right="0.25" top="0.75" bottom="0.75" header="0.3" footer="0.3"/>
  <pageSetup paperSize="9" scale="70" orientation="landscape" horizontalDpi="1200" verticalDpi="1200" r:id="rId1"/>
  <rowBreaks count="2" manualBreakCount="2">
    <brk id="42" max="14" man="1"/>
    <brk id="47" max="14" man="1"/>
  </rowBreaks>
  <ignoredErrors>
    <ignoredError sqref="K12" formulaRange="1"/>
  </ignoredErrors>
  <drawing r:id="rId2"/>
  <webPublishItems count="2">
    <webPublishItem id="21603" divId="Indicators 2010_21603" sourceType="sheet" destinationFile="\\Server\dp unit\Publications\Statistical  Year Book\Yearbook 2011\Indicators\Indicators 2011\money &amp; banking.htm"/>
    <webPublishItem id="5719" divId="Indicators   2011_5719" sourceType="range" sourceRef="A1:F43" destinationFile="\\Server\dp unit\Publications\Statistical  Year Book\Yearbook 2011\YRB 2011 CD\final chapters\CD WEB\Indicators\Money &amp; banking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Money &amp; banking</vt:lpstr>
      <vt:lpstr>'Money &amp; banking'!Print_Area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2017-11-16T08:32:39Z</dcterms:modified>
</cp:coreProperties>
</file>