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INDICATOR\"/>
    </mc:Choice>
  </mc:AlternateContent>
  <bookViews>
    <workbookView xWindow="15795" yWindow="30" windowWidth="10650" windowHeight="10665" tabRatio="927"/>
  </bookViews>
  <sheets>
    <sheet name="Law &amp; Ord" sheetId="20" r:id="rId1"/>
  </sheets>
  <externalReferences>
    <externalReference r:id="rId2"/>
    <externalReference r:id="rId3"/>
  </externalReferences>
  <definedNames>
    <definedName name="_xlnm.Print_Area" localSheetId="0">'Law &amp; Ord'!$A$1:$M$54</definedName>
  </definedNames>
  <calcPr calcId="162913"/>
</workbook>
</file>

<file path=xl/calcChain.xml><?xml version="1.0" encoding="utf-8"?>
<calcChain xmlns="http://schemas.openxmlformats.org/spreadsheetml/2006/main">
  <c r="AZ42" i="20" l="1"/>
  <c r="AZ41" i="20"/>
  <c r="AZ40" i="20"/>
  <c r="AY40" i="20"/>
  <c r="AY41" i="20" l="1"/>
  <c r="AY42" i="20"/>
  <c r="AX41" i="20"/>
  <c r="AX42" i="20"/>
  <c r="AX40" i="20"/>
</calcChain>
</file>

<file path=xl/sharedStrings.xml><?xml version="1.0" encoding="utf-8"?>
<sst xmlns="http://schemas.openxmlformats.org/spreadsheetml/2006/main" count="33" uniqueCount="13">
  <si>
    <t>Both Sexes</t>
  </si>
  <si>
    <t>Male</t>
  </si>
  <si>
    <t>Female</t>
  </si>
  <si>
    <t>LAW AND ORDER</t>
  </si>
  <si>
    <t>Cases handled by the High Court</t>
  </si>
  <si>
    <t>Cases dealt</t>
  </si>
  <si>
    <t>Cases awaiting trial</t>
  </si>
  <si>
    <t>na</t>
  </si>
  <si>
    <t>Cases logged</t>
  </si>
  <si>
    <t>No. of cases logged with Police</t>
  </si>
  <si>
    <t>No. of Cases dealt by Judicial Courts</t>
  </si>
  <si>
    <t>Number of Detainees</t>
  </si>
  <si>
    <t>Persons sentenced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</si>
</sst>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71" formatCode="_-* #,##0.00\ _ރ_._-;_-* #,##0.00\ _ރ_.\-;_-* &quot;-&quot;??\ _ރ_._-;_-@_-"/>
    <numFmt numFmtId="172" formatCode="0.00_)"/>
    <numFmt numFmtId="173" formatCode="_-* #,##0_-;\-* #,##0_-;_-* &quot;-&quot;??_-;_-@_-"/>
    <numFmt numFmtId="174" formatCode="[$-409]mmm\-yy;@"/>
    <numFmt numFmtId="177" formatCode="_-* #,##0.00_-;\-* #,##0.00_-;_-* &quot;-&quot;??_-;_-@_-"/>
    <numFmt numFmtId="178" formatCode="[$-409]mmmm\ d\,\ yyyy;@"/>
  </numFmts>
  <fonts count="7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i/>
      <vertAlign val="superscript"/>
      <sz val="9"/>
      <name val="Arial"/>
      <family val="2"/>
    </font>
    <font>
      <sz val="9"/>
      <name val="Calibri"/>
      <family val="2"/>
    </font>
    <font>
      <sz val="10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20"/>
      <color theme="0"/>
      <name val="Candara"/>
      <family val="2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sz val="11"/>
      <color theme="1"/>
      <name val="Courier"/>
      <family val="3"/>
    </font>
    <font>
      <b/>
      <i/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6F00"/>
        <bgColor indexed="64"/>
      </patternFill>
    </fill>
    <fill>
      <patternFill patternType="solid">
        <fgColor rgb="FFFFE7B7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7">
    <xf numFmtId="0" fontId="0" fillId="0" borderId="0"/>
    <xf numFmtId="0" fontId="17" fillId="0" borderId="0"/>
    <xf numFmtId="0" fontId="15" fillId="0" borderId="0"/>
    <xf numFmtId="0" fontId="15" fillId="0" borderId="0"/>
    <xf numFmtId="43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5" fillId="0" borderId="0"/>
    <xf numFmtId="0" fontId="18" fillId="0" borderId="0"/>
    <xf numFmtId="164" fontId="18" fillId="0" borderId="0"/>
    <xf numFmtId="164" fontId="18" fillId="0" borderId="0"/>
    <xf numFmtId="0" fontId="24" fillId="0" borderId="0"/>
    <xf numFmtId="0" fontId="14" fillId="0" borderId="0"/>
    <xf numFmtId="166" fontId="18" fillId="0" borderId="0" applyFont="0" applyFill="0" applyBorder="0" applyAlignment="0" applyProtection="0"/>
    <xf numFmtId="0" fontId="13" fillId="0" borderId="0"/>
    <xf numFmtId="0" fontId="15" fillId="0" borderId="0"/>
    <xf numFmtId="0" fontId="31" fillId="0" borderId="0"/>
    <xf numFmtId="43" fontId="31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1" fillId="0" borderId="0"/>
    <xf numFmtId="0" fontId="11" fillId="0" borderId="0"/>
    <xf numFmtId="165" fontId="18" fillId="0" borderId="0"/>
    <xf numFmtId="171" fontId="31" fillId="0" borderId="0" applyFont="0" applyFill="0" applyBorder="0" applyAlignment="0" applyProtection="0"/>
    <xf numFmtId="0" fontId="31" fillId="0" borderId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6" borderId="0" applyNumberFormat="0" applyBorder="0" applyAlignment="0" applyProtection="0"/>
    <xf numFmtId="0" fontId="40" fillId="9" borderId="0" applyNumberFormat="0" applyBorder="0" applyAlignment="0" applyProtection="0"/>
    <xf numFmtId="0" fontId="40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20" borderId="0" applyNumberFormat="0" applyBorder="0" applyAlignment="0" applyProtection="0"/>
    <xf numFmtId="0" fontId="42" fillId="4" borderId="0" applyNumberFormat="0" applyBorder="0" applyAlignment="0" applyProtection="0"/>
    <xf numFmtId="0" fontId="43" fillId="21" borderId="1" applyNumberFormat="0" applyAlignment="0" applyProtection="0"/>
    <xf numFmtId="0" fontId="44" fillId="22" borderId="2" applyNumberFormat="0" applyAlignment="0" applyProtection="0"/>
    <xf numFmtId="40" fontId="38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5" borderId="0" applyNumberFormat="0" applyBorder="0" applyAlignment="0" applyProtection="0"/>
    <xf numFmtId="0" fontId="47" fillId="0" borderId="3" applyNumberFormat="0" applyFill="0" applyAlignment="0" applyProtection="0"/>
    <xf numFmtId="0" fontId="48" fillId="0" borderId="4" applyNumberFormat="0" applyFill="0" applyAlignment="0" applyProtection="0"/>
    <xf numFmtId="0" fontId="49" fillId="0" borderId="5" applyNumberFormat="0" applyFill="0" applyAlignment="0" applyProtection="0"/>
    <xf numFmtId="0" fontId="49" fillId="0" borderId="0" applyNumberFormat="0" applyFill="0" applyBorder="0" applyAlignment="0" applyProtection="0"/>
    <xf numFmtId="0" fontId="50" fillId="8" borderId="1" applyNumberFormat="0" applyAlignment="0" applyProtection="0"/>
    <xf numFmtId="0" fontId="51" fillId="0" borderId="6" applyNumberFormat="0" applyFill="0" applyAlignment="0" applyProtection="0"/>
    <xf numFmtId="0" fontId="52" fillId="23" borderId="0" applyNumberFormat="0" applyBorder="0" applyAlignment="0" applyProtection="0"/>
    <xf numFmtId="172" fontId="39" fillId="0" borderId="0"/>
    <xf numFmtId="0" fontId="31" fillId="0" borderId="0"/>
    <xf numFmtId="0" fontId="31" fillId="0" borderId="0"/>
    <xf numFmtId="0" fontId="31" fillId="0" borderId="0"/>
    <xf numFmtId="0" fontId="14" fillId="0" borderId="0"/>
    <xf numFmtId="165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/>
    <xf numFmtId="0" fontId="40" fillId="24" borderId="7" applyNumberFormat="0" applyFont="0" applyAlignment="0" applyProtection="0"/>
    <xf numFmtId="0" fontId="53" fillId="21" borderId="8" applyNumberFormat="0" applyAlignment="0" applyProtection="0"/>
    <xf numFmtId="9" fontId="38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55" fillId="0" borderId="0" applyNumberFormat="0" applyFill="0" applyBorder="0" applyAlignment="0" applyProtection="0"/>
    <xf numFmtId="165" fontId="18" fillId="0" borderId="0"/>
    <xf numFmtId="165" fontId="18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6" fillId="0" borderId="0" applyNumberFormat="0" applyFill="0" applyBorder="0" applyAlignment="0" applyProtection="0"/>
    <xf numFmtId="0" fontId="57" fillId="0" borderId="10" applyNumberFormat="0" applyFill="0" applyAlignment="0" applyProtection="0"/>
    <xf numFmtId="0" fontId="58" fillId="0" borderId="11" applyNumberFormat="0" applyFill="0" applyAlignment="0" applyProtection="0"/>
    <xf numFmtId="0" fontId="59" fillId="0" borderId="12" applyNumberFormat="0" applyFill="0" applyAlignment="0" applyProtection="0"/>
    <xf numFmtId="0" fontId="59" fillId="0" borderId="0" applyNumberFormat="0" applyFill="0" applyBorder="0" applyAlignment="0" applyProtection="0"/>
    <xf numFmtId="0" fontId="60" fillId="25" borderId="0" applyNumberFormat="0" applyBorder="0" applyAlignment="0" applyProtection="0"/>
    <xf numFmtId="0" fontId="61" fillId="26" borderId="0" applyNumberFormat="0" applyBorder="0" applyAlignment="0" applyProtection="0"/>
    <xf numFmtId="0" fontId="62" fillId="27" borderId="0" applyNumberFormat="0" applyBorder="0" applyAlignment="0" applyProtection="0"/>
    <xf numFmtId="0" fontId="63" fillId="28" borderId="13" applyNumberFormat="0" applyAlignment="0" applyProtection="0"/>
    <xf numFmtId="0" fontId="64" fillId="29" borderId="14" applyNumberFormat="0" applyAlignment="0" applyProtection="0"/>
    <xf numFmtId="0" fontId="65" fillId="29" borderId="13" applyNumberFormat="0" applyAlignment="0" applyProtection="0"/>
    <xf numFmtId="0" fontId="66" fillId="0" borderId="15" applyNumberFormat="0" applyFill="0" applyAlignment="0" applyProtection="0"/>
    <xf numFmtId="0" fontId="67" fillId="30" borderId="16" applyNumberFormat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33" fillId="0" borderId="18" applyNumberFormat="0" applyFill="0" applyAlignment="0" applyProtection="0"/>
    <xf numFmtId="0" fontId="70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70" fillId="35" borderId="0" applyNumberFormat="0" applyBorder="0" applyAlignment="0" applyProtection="0"/>
    <xf numFmtId="0" fontId="70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70" fillId="39" borderId="0" applyNumberFormat="0" applyBorder="0" applyAlignment="0" applyProtection="0"/>
    <xf numFmtId="0" fontId="70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70" fillId="43" borderId="0" applyNumberFormat="0" applyBorder="0" applyAlignment="0" applyProtection="0"/>
    <xf numFmtId="0" fontId="70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70" fillId="47" borderId="0" applyNumberFormat="0" applyBorder="0" applyAlignment="0" applyProtection="0"/>
    <xf numFmtId="0" fontId="70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70" fillId="51" borderId="0" applyNumberFormat="0" applyBorder="0" applyAlignment="0" applyProtection="0"/>
    <xf numFmtId="0" fontId="70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70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71" fillId="0" borderId="10" applyNumberFormat="0" applyFill="0" applyAlignment="0" applyProtection="0"/>
    <xf numFmtId="173" fontId="40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9" fillId="3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4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72" fillId="0" borderId="0"/>
    <xf numFmtId="0" fontId="5" fillId="0" borderId="0"/>
    <xf numFmtId="165" fontId="18" fillId="0" borderId="0"/>
    <xf numFmtId="0" fontId="75" fillId="0" borderId="0"/>
    <xf numFmtId="43" fontId="75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3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31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38" fillId="0" borderId="0" applyFont="0" applyFill="0" applyBorder="0" applyAlignment="0" applyProtection="0"/>
    <xf numFmtId="178" fontId="18" fillId="0" borderId="0"/>
    <xf numFmtId="178" fontId="18" fillId="0" borderId="0"/>
    <xf numFmtId="0" fontId="1" fillId="0" borderId="0"/>
    <xf numFmtId="0" fontId="77" fillId="0" borderId="0" applyNumberFormat="0" applyFill="0" applyBorder="0" applyAlignment="0" applyProtection="0"/>
    <xf numFmtId="0" fontId="78" fillId="27" borderId="0" applyNumberFormat="0" applyBorder="0" applyAlignment="0" applyProtection="0"/>
    <xf numFmtId="0" fontId="1" fillId="31" borderId="17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</cellStyleXfs>
  <cellXfs count="45">
    <xf numFmtId="0" fontId="0" fillId="0" borderId="0" xfId="0"/>
    <xf numFmtId="0" fontId="0" fillId="0" borderId="0" xfId="0" applyFill="1"/>
    <xf numFmtId="0" fontId="21" fillId="2" borderId="0" xfId="0" applyFont="1" applyFill="1"/>
    <xf numFmtId="0" fontId="0" fillId="0" borderId="0" xfId="0" applyFill="1" applyAlignment="1">
      <alignment vertical="center"/>
    </xf>
    <xf numFmtId="0" fontId="0" fillId="2" borderId="0" xfId="0" applyFill="1"/>
    <xf numFmtId="167" fontId="20" fillId="2" borderId="0" xfId="4" applyNumberFormat="1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0" fontId="25" fillId="2" borderId="0" xfId="0" applyFont="1" applyFill="1" applyAlignment="1">
      <alignment horizontal="left" vertical="center"/>
    </xf>
    <xf numFmtId="167" fontId="25" fillId="2" borderId="0" xfId="4" applyNumberFormat="1" applyFont="1" applyFill="1" applyAlignment="1">
      <alignment horizontal="right" vertical="center"/>
    </xf>
    <xf numFmtId="167" fontId="21" fillId="2" borderId="0" xfId="4" applyNumberFormat="1" applyFont="1" applyFill="1" applyAlignment="1">
      <alignment vertical="center"/>
    </xf>
    <xf numFmtId="167" fontId="21" fillId="2" borderId="0" xfId="4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right" vertical="center"/>
    </xf>
    <xf numFmtId="0" fontId="26" fillId="2" borderId="0" xfId="0" applyFont="1" applyFill="1" applyAlignment="1">
      <alignment vertical="center"/>
    </xf>
    <xf numFmtId="0" fontId="23" fillId="2" borderId="0" xfId="1" applyFont="1" applyFill="1" applyAlignment="1">
      <alignment vertical="center"/>
    </xf>
    <xf numFmtId="0" fontId="0" fillId="2" borderId="0" xfId="0" applyFill="1" applyAlignment="1">
      <alignment vertical="center"/>
    </xf>
    <xf numFmtId="0" fontId="29" fillId="2" borderId="0" xfId="0" applyFont="1" applyFill="1"/>
    <xf numFmtId="0" fontId="28" fillId="2" borderId="0" xfId="0" applyFont="1" applyFill="1" applyAlignment="1">
      <alignment vertical="center"/>
    </xf>
    <xf numFmtId="0" fontId="27" fillId="2" borderId="0" xfId="1" applyFont="1" applyFill="1" applyAlignment="1">
      <alignment horizontal="left" vertical="center" indent="1"/>
    </xf>
    <xf numFmtId="0" fontId="30" fillId="2" borderId="0" xfId="1" applyFont="1" applyFill="1" applyAlignment="1">
      <alignment horizontal="left" vertical="center" indent="1"/>
    </xf>
    <xf numFmtId="167" fontId="27" fillId="2" borderId="0" xfId="4" applyNumberFormat="1" applyFont="1" applyFill="1" applyAlignment="1">
      <alignment horizontal="right" vertical="center" indent="1"/>
    </xf>
    <xf numFmtId="37" fontId="27" fillId="2" borderId="0" xfId="4" applyNumberFormat="1" applyFont="1" applyFill="1" applyAlignment="1">
      <alignment horizontal="right" vertical="center" indent="1"/>
    </xf>
    <xf numFmtId="167" fontId="0" fillId="2" borderId="0" xfId="0" applyNumberFormat="1" applyFill="1"/>
    <xf numFmtId="167" fontId="20" fillId="2" borderId="0" xfId="4" applyNumberFormat="1" applyFont="1" applyFill="1" applyAlignment="1">
      <alignment vertical="center"/>
    </xf>
    <xf numFmtId="0" fontId="19" fillId="2" borderId="0" xfId="12" applyFont="1" applyFill="1" applyAlignment="1">
      <alignment horizontal="left" vertical="center" indent="1"/>
    </xf>
    <xf numFmtId="0" fontId="30" fillId="57" borderId="0" xfId="1" applyFont="1" applyFill="1" applyAlignment="1">
      <alignment horizontal="left" vertical="center" indent="1"/>
    </xf>
    <xf numFmtId="0" fontId="27" fillId="57" borderId="0" xfId="1" applyFont="1" applyFill="1" applyAlignment="1">
      <alignment horizontal="left" vertical="center" indent="1"/>
    </xf>
    <xf numFmtId="165" fontId="0" fillId="2" borderId="0" xfId="0" applyNumberFormat="1" applyFont="1" applyFill="1"/>
    <xf numFmtId="165" fontId="73" fillId="2" borderId="0" xfId="0" applyNumberFormat="1" applyFont="1" applyFill="1"/>
    <xf numFmtId="0" fontId="30" fillId="57" borderId="0" xfId="1" applyFont="1" applyFill="1" applyAlignment="1">
      <alignment horizontal="right" vertical="center" indent="1"/>
    </xf>
    <xf numFmtId="1" fontId="30" fillId="57" borderId="0" xfId="1" applyNumberFormat="1" applyFont="1" applyFill="1" applyAlignment="1">
      <alignment horizontal="right" vertical="center"/>
    </xf>
    <xf numFmtId="0" fontId="25" fillId="57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right" vertical="center"/>
    </xf>
    <xf numFmtId="0" fontId="20" fillId="2" borderId="0" xfId="781" applyFont="1" applyFill="1" applyAlignment="1">
      <alignment vertical="center"/>
    </xf>
    <xf numFmtId="0" fontId="20" fillId="57" borderId="0" xfId="781" applyFont="1" applyFill="1" applyAlignment="1">
      <alignment vertical="center"/>
    </xf>
    <xf numFmtId="0" fontId="34" fillId="2" borderId="0" xfId="1" applyFont="1" applyFill="1" applyAlignment="1">
      <alignment horizontal="left" vertical="center" indent="2"/>
    </xf>
    <xf numFmtId="0" fontId="34" fillId="57" borderId="0" xfId="1" applyFont="1" applyFill="1" applyAlignment="1">
      <alignment horizontal="left" vertical="center" indent="2"/>
    </xf>
    <xf numFmtId="167" fontId="23" fillId="2" borderId="0" xfId="4" applyNumberFormat="1" applyFont="1" applyFill="1" applyAlignment="1">
      <alignment horizontal="right" vertical="center"/>
    </xf>
    <xf numFmtId="0" fontId="74" fillId="57" borderId="0" xfId="1" applyFont="1" applyFill="1" applyAlignment="1">
      <alignment horizontal="left" vertical="center" indent="2"/>
    </xf>
    <xf numFmtId="3" fontId="30" fillId="57" borderId="0" xfId="1" applyNumberFormat="1" applyFont="1" applyFill="1" applyAlignment="1">
      <alignment horizontal="right" vertical="center"/>
    </xf>
    <xf numFmtId="3" fontId="27" fillId="2" borderId="0" xfId="1" applyNumberFormat="1" applyFont="1" applyFill="1" applyAlignment="1">
      <alignment horizontal="right" vertical="center"/>
    </xf>
    <xf numFmtId="3" fontId="27" fillId="57" borderId="0" xfId="1" applyNumberFormat="1" applyFont="1" applyFill="1" applyAlignment="1">
      <alignment horizontal="right" vertical="center"/>
    </xf>
    <xf numFmtId="1" fontId="27" fillId="57" borderId="0" xfId="1" applyNumberFormat="1" applyFont="1" applyFill="1" applyAlignment="1">
      <alignment horizontal="right" vertical="center"/>
    </xf>
    <xf numFmtId="1" fontId="27" fillId="2" borderId="0" xfId="1" applyNumberFormat="1" applyFont="1" applyFill="1" applyAlignment="1">
      <alignment horizontal="right" vertical="center"/>
    </xf>
    <xf numFmtId="0" fontId="22" fillId="2" borderId="0" xfId="781" applyFont="1" applyFill="1" applyAlignment="1">
      <alignment vertical="center"/>
    </xf>
    <xf numFmtId="0" fontId="32" fillId="56" borderId="0" xfId="1" applyFont="1" applyFill="1" applyAlignment="1">
      <alignment horizontal="left" vertical="center"/>
    </xf>
  </cellXfs>
  <cellStyles count="877">
    <cellStyle name="1" xfId="1"/>
    <cellStyle name="1 2" xfId="15"/>
    <cellStyle name="1 3" xfId="781"/>
    <cellStyle name="1 4" xfId="796"/>
    <cellStyle name="1 5" xfId="799"/>
    <cellStyle name="1_Indicators 2007" xfId="2"/>
    <cellStyle name="1_Indicators2007" xfId="3"/>
    <cellStyle name="1_Indicators2007 2" xfId="790"/>
    <cellStyle name="20% - Accent1" xfId="746" builtinId="30" customBuiltin="1"/>
    <cellStyle name="20% - Accent1 2" xfId="667"/>
    <cellStyle name="20% - Accent1 3" xfId="859"/>
    <cellStyle name="20% - Accent2" xfId="750" builtinId="34" customBuiltin="1"/>
    <cellStyle name="20% - Accent2 2" xfId="668"/>
    <cellStyle name="20% - Accent2 3" xfId="862"/>
    <cellStyle name="20% - Accent3" xfId="754" builtinId="38" customBuiltin="1"/>
    <cellStyle name="20% - Accent3 2" xfId="669"/>
    <cellStyle name="20% - Accent3 3" xfId="865"/>
    <cellStyle name="20% - Accent4" xfId="758" builtinId="42" customBuiltin="1"/>
    <cellStyle name="20% - Accent4 2" xfId="670"/>
    <cellStyle name="20% - Accent4 3" xfId="868"/>
    <cellStyle name="20% - Accent5" xfId="762" builtinId="46" customBuiltin="1"/>
    <cellStyle name="20% - Accent5 2" xfId="671"/>
    <cellStyle name="20% - Accent5 3" xfId="871"/>
    <cellStyle name="20% - Accent6" xfId="766" builtinId="50" customBuiltin="1"/>
    <cellStyle name="20% - Accent6 2" xfId="672"/>
    <cellStyle name="20% - Accent6 3" xfId="874"/>
    <cellStyle name="40% - Accent1" xfId="747" builtinId="31" customBuiltin="1"/>
    <cellStyle name="40% - Accent1 2" xfId="673"/>
    <cellStyle name="40% - Accent1 3" xfId="860"/>
    <cellStyle name="40% - Accent2" xfId="751" builtinId="35" customBuiltin="1"/>
    <cellStyle name="40% - Accent2 2" xfId="674"/>
    <cellStyle name="40% - Accent2 3" xfId="863"/>
    <cellStyle name="40% - Accent3" xfId="755" builtinId="39" customBuiltin="1"/>
    <cellStyle name="40% - Accent3 2" xfId="675"/>
    <cellStyle name="40% - Accent3 3" xfId="866"/>
    <cellStyle name="40% - Accent4" xfId="759" builtinId="43" customBuiltin="1"/>
    <cellStyle name="40% - Accent4 2" xfId="676"/>
    <cellStyle name="40% - Accent4 3" xfId="869"/>
    <cellStyle name="40% - Accent5" xfId="763" builtinId="47" customBuiltin="1"/>
    <cellStyle name="40% - Accent5 2" xfId="677"/>
    <cellStyle name="40% - Accent5 3" xfId="872"/>
    <cellStyle name="40% - Accent6" xfId="767" builtinId="51" customBuiltin="1"/>
    <cellStyle name="40% - Accent6 2" xfId="678"/>
    <cellStyle name="40% - Accent6 3" xfId="875"/>
    <cellStyle name="60% - Accent1" xfId="748" builtinId="32" customBuiltin="1"/>
    <cellStyle name="60% - Accent1 2" xfId="679"/>
    <cellStyle name="60% - Accent1 3" xfId="861"/>
    <cellStyle name="60% - Accent2" xfId="752" builtinId="36" customBuiltin="1"/>
    <cellStyle name="60% - Accent2 2" xfId="680"/>
    <cellStyle name="60% - Accent2 3" xfId="864"/>
    <cellStyle name="60% - Accent3" xfId="756" builtinId="40" customBuiltin="1"/>
    <cellStyle name="60% - Accent3 2" xfId="681"/>
    <cellStyle name="60% - Accent3 3" xfId="867"/>
    <cellStyle name="60% - Accent4" xfId="760" builtinId="44" customBuiltin="1"/>
    <cellStyle name="60% - Accent4 2" xfId="682"/>
    <cellStyle name="60% - Accent4 3" xfId="870"/>
    <cellStyle name="60% - Accent5" xfId="764" builtinId="48" customBuiltin="1"/>
    <cellStyle name="60% - Accent5 2" xfId="683"/>
    <cellStyle name="60% - Accent5 3" xfId="873"/>
    <cellStyle name="60% - Accent6" xfId="768" builtinId="52" customBuiltin="1"/>
    <cellStyle name="60% - Accent6 2" xfId="684"/>
    <cellStyle name="60% - Accent6 3" xfId="876"/>
    <cellStyle name="Accent1" xfId="745" builtinId="29" customBuiltin="1"/>
    <cellStyle name="Accent1 2" xfId="685"/>
    <cellStyle name="Accent2" xfId="749" builtinId="33" customBuiltin="1"/>
    <cellStyle name="Accent2 2" xfId="686"/>
    <cellStyle name="Accent3" xfId="753" builtinId="37" customBuiltin="1"/>
    <cellStyle name="Accent3 2" xfId="687"/>
    <cellStyle name="Accent4" xfId="757" builtinId="41" customBuiltin="1"/>
    <cellStyle name="Accent4 2" xfId="688"/>
    <cellStyle name="Accent5" xfId="761" builtinId="45" customBuiltin="1"/>
    <cellStyle name="Accent5 2" xfId="689"/>
    <cellStyle name="Accent6" xfId="765" builtinId="49" customBuiltin="1"/>
    <cellStyle name="Accent6 2" xfId="690"/>
    <cellStyle name="Bad" xfId="735" builtinId="27" customBuiltin="1"/>
    <cellStyle name="Bad 2" xfId="691"/>
    <cellStyle name="Calculation" xfId="739" builtinId="22" customBuiltin="1"/>
    <cellStyle name="Calculation 2" xfId="692"/>
    <cellStyle name="Check Cell" xfId="741" builtinId="23" customBuiltin="1"/>
    <cellStyle name="Check Cell 2" xfId="693"/>
    <cellStyle name="Comma" xfId="4" builtinId="3"/>
    <cellStyle name="Comma 10" xfId="792"/>
    <cellStyle name="Comma 11" xfId="800"/>
    <cellStyle name="Comma 2" xfId="5"/>
    <cellStyle name="Comma 2 2" xfId="665"/>
    <cellStyle name="Comma 2 2 2" xfId="802"/>
    <cellStyle name="Comma 2 3" xfId="775"/>
    <cellStyle name="Comma 2 4" xfId="782"/>
    <cellStyle name="Comma 2 5" xfId="801"/>
    <cellStyle name="Comma 2 6" xfId="852"/>
    <cellStyle name="Comma 3" xfId="6"/>
    <cellStyle name="Comma 3 2" xfId="694"/>
    <cellStyle name="Comma 3 3" xfId="803"/>
    <cellStyle name="Comma 4" xfId="13"/>
    <cellStyle name="Comma 4 2" xfId="804"/>
    <cellStyle name="Comma 5" xfId="17"/>
    <cellStyle name="Comma 5 2" xfId="805"/>
    <cellStyle name="Comma 6" xfId="20"/>
    <cellStyle name="Comma 6 2" xfId="806"/>
    <cellStyle name="Comma 7" xfId="725"/>
    <cellStyle name="Comma 8" xfId="770"/>
    <cellStyle name="Comma 9" xfId="789"/>
    <cellStyle name="Explanatory Text" xfId="743" builtinId="53" customBuiltin="1"/>
    <cellStyle name="Explanatory Text 2" xfId="695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Good" xfId="734" builtinId="26" customBuiltin="1"/>
    <cellStyle name="Good 2" xfId="696"/>
    <cellStyle name="Heading 1" xfId="730" builtinId="16" customBuiltin="1"/>
    <cellStyle name="Heading 1 2" xfId="697"/>
    <cellStyle name="Heading 1 2 2" xfId="774"/>
    <cellStyle name="Heading 2" xfId="731" builtinId="17" customBuiltin="1"/>
    <cellStyle name="Heading 2 2" xfId="698"/>
    <cellStyle name="Heading 3" xfId="732" builtinId="18" customBuiltin="1"/>
    <cellStyle name="Heading 3 2" xfId="699"/>
    <cellStyle name="Heading 4" xfId="733" builtinId="19" customBuiltin="1"/>
    <cellStyle name="Heading 4 2" xfId="700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Input" xfId="737" builtinId="20" customBuiltin="1"/>
    <cellStyle name="Input 2" xfId="701"/>
    <cellStyle name="Linked Cell" xfId="740" builtinId="24" customBuiltin="1"/>
    <cellStyle name="Linked Cell 2" xfId="702"/>
    <cellStyle name="Neutral" xfId="736" builtinId="28" customBuiltin="1"/>
    <cellStyle name="Neutral 2" xfId="703"/>
    <cellStyle name="Neutral 3" xfId="857"/>
    <cellStyle name="Normal" xfId="0" builtinId="0"/>
    <cellStyle name="Normal - Style1" xfId="704"/>
    <cellStyle name="Normal 10" xfId="705"/>
    <cellStyle name="Normal 10 2" xfId="807"/>
    <cellStyle name="Normal 11" xfId="706"/>
    <cellStyle name="Normal 12" xfId="707"/>
    <cellStyle name="Normal 12 2" xfId="808"/>
    <cellStyle name="Normal 13" xfId="666"/>
    <cellStyle name="Normal 13 2" xfId="809"/>
    <cellStyle name="Normal 14" xfId="722"/>
    <cellStyle name="Normal 14 2" xfId="810"/>
    <cellStyle name="Normal 15" xfId="723"/>
    <cellStyle name="Normal 15 2" xfId="811"/>
    <cellStyle name="Normal 16" xfId="662"/>
    <cellStyle name="Normal 16 2" xfId="812"/>
    <cellStyle name="Normal 17" xfId="724"/>
    <cellStyle name="Normal 17 2" xfId="813"/>
    <cellStyle name="Normal 18" xfId="726"/>
    <cellStyle name="Normal 18 2" xfId="814"/>
    <cellStyle name="Normal 19" xfId="727"/>
    <cellStyle name="Normal 19 2" xfId="815"/>
    <cellStyle name="Normal 2" xfId="7"/>
    <cellStyle name="Normal 2 2" xfId="18"/>
    <cellStyle name="Normal 2 2 2" xfId="8"/>
    <cellStyle name="Normal 2 2 3" xfId="708"/>
    <cellStyle name="Normal 2 2 4" xfId="778"/>
    <cellStyle name="Normal 2 2 5" xfId="816"/>
    <cellStyle name="Normal 2 3" xfId="21"/>
    <cellStyle name="Normal 2 3 2" xfId="817"/>
    <cellStyle name="Normal 2 4" xfId="663"/>
    <cellStyle name="Normal 2 5" xfId="794"/>
    <cellStyle name="Normal 20" xfId="728"/>
    <cellStyle name="Normal 20 2" xfId="818"/>
    <cellStyle name="Normal 21" xfId="769"/>
    <cellStyle name="Normal 21 2" xfId="819"/>
    <cellStyle name="Normal 22" xfId="771"/>
    <cellStyle name="Normal 22 2" xfId="820"/>
    <cellStyle name="Normal 23" xfId="772"/>
    <cellStyle name="Normal 23 2" xfId="821"/>
    <cellStyle name="Normal 24" xfId="773"/>
    <cellStyle name="Normal 24 2" xfId="822"/>
    <cellStyle name="Normal 25" xfId="779"/>
    <cellStyle name="Normal 25 2" xfId="823"/>
    <cellStyle name="Normal 26" xfId="780"/>
    <cellStyle name="Normal 26 2" xfId="824"/>
    <cellStyle name="Normal 27" xfId="783"/>
    <cellStyle name="Normal 27 2" xfId="825"/>
    <cellStyle name="Normal 28" xfId="784"/>
    <cellStyle name="Normal 28 2" xfId="826"/>
    <cellStyle name="Normal 29" xfId="785"/>
    <cellStyle name="Normal 29 2" xfId="827"/>
    <cellStyle name="Normal 3" xfId="9"/>
    <cellStyle name="Normal 3 2" xfId="709"/>
    <cellStyle name="Normal 3 2 2" xfId="829"/>
    <cellStyle name="Normal 3 3" xfId="797"/>
    <cellStyle name="Normal 3 3 2" xfId="830"/>
    <cellStyle name="Normal 3 4" xfId="828"/>
    <cellStyle name="Normal 3_agri planning 2009 year book(final)" xfId="854"/>
    <cellStyle name="Normal 30" xfId="786"/>
    <cellStyle name="Normal 30 2" xfId="831"/>
    <cellStyle name="Normal 31" xfId="788"/>
    <cellStyle name="Normal 31 2" xfId="832"/>
    <cellStyle name="Normal 32" xfId="791"/>
    <cellStyle name="Normal 32 2" xfId="833"/>
    <cellStyle name="Normal 33" xfId="795"/>
    <cellStyle name="Normal 33 2" xfId="834"/>
    <cellStyle name="Normal 34" xfId="835"/>
    <cellStyle name="Normal 35" xfId="836"/>
    <cellStyle name="Normal 36" xfId="837"/>
    <cellStyle name="Normal 37" xfId="838"/>
    <cellStyle name="Normal 38" xfId="839"/>
    <cellStyle name="Normal 39" xfId="840"/>
    <cellStyle name="Normal 4" xfId="10"/>
    <cellStyle name="Normal 4 2" xfId="710"/>
    <cellStyle name="Normal 4 2 2" xfId="841"/>
    <cellStyle name="Normal 4 3" xfId="798"/>
    <cellStyle name="Normal 4_agri planning 2009 year book(final)" xfId="853"/>
    <cellStyle name="Normal 40" xfId="842"/>
    <cellStyle name="Normal 41" xfId="843"/>
    <cellStyle name="Normal 42" xfId="844"/>
    <cellStyle name="Normal 43" xfId="845"/>
    <cellStyle name="Normal 44" xfId="846"/>
    <cellStyle name="Normal 45" xfId="848"/>
    <cellStyle name="Normal 46" xfId="849"/>
    <cellStyle name="Normal 47" xfId="850"/>
    <cellStyle name="Normal 48" xfId="851"/>
    <cellStyle name="Normal 49" xfId="855"/>
    <cellStyle name="Normal 5" xfId="11"/>
    <cellStyle name="Normal 5 2" xfId="711"/>
    <cellStyle name="Normal 6" xfId="14"/>
    <cellStyle name="Normal 6 2" xfId="712"/>
    <cellStyle name="Normal 7" xfId="16"/>
    <cellStyle name="Normal 7 2" xfId="713"/>
    <cellStyle name="Normal 8" xfId="19"/>
    <cellStyle name="Normal 8 2" xfId="714"/>
    <cellStyle name="Normal 9" xfId="664"/>
    <cellStyle name="Normal 9 2" xfId="715"/>
    <cellStyle name="Normal 9 3" xfId="847"/>
    <cellStyle name="Normal_Indicators" xfId="12"/>
    <cellStyle name="Note 2" xfId="716"/>
    <cellStyle name="Note 3" xfId="777"/>
    <cellStyle name="Note 4" xfId="858"/>
    <cellStyle name="Output" xfId="738" builtinId="21" customBuiltin="1"/>
    <cellStyle name="Output 2" xfId="717"/>
    <cellStyle name="Percent 2" xfId="718"/>
    <cellStyle name="Percent 2 2" xfId="776"/>
    <cellStyle name="Percent 3" xfId="787"/>
    <cellStyle name="Percent 4" xfId="793"/>
    <cellStyle name="Title" xfId="729" builtinId="15" customBuiltin="1"/>
    <cellStyle name="Title 2" xfId="719"/>
    <cellStyle name="Title 3" xfId="856"/>
    <cellStyle name="Total" xfId="744" builtinId="25" customBuiltin="1"/>
    <cellStyle name="Total 2" xfId="720"/>
    <cellStyle name="Warning Text" xfId="742" builtinId="11" customBuiltin="1"/>
    <cellStyle name="Warning Text 2" xfId="7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E7B7"/>
      <color rgb="FFFFC757"/>
      <color rgb="FFCC6600"/>
      <color rgb="FFDE6F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200">
                <a:latin typeface="Candara" pitchFamily="34" charset="0"/>
              </a:rPr>
              <a:t>Cases handled by high court, 2010 - 2016</a:t>
            </a:r>
          </a:p>
        </c:rich>
      </c:tx>
      <c:layout>
        <c:manualLayout>
          <c:xMode val="edge"/>
          <c:yMode val="edge"/>
          <c:x val="0.33188111742243137"/>
          <c:y val="3.7630312550116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7086773158777452E-2"/>
          <c:y val="0.17403053415238806"/>
          <c:w val="0.91752713180626977"/>
          <c:h val="0.706194667977307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'Law &amp; Ord'!$AH$40:$AI$40</c:f>
              <c:strCache>
                <c:ptCount val="2"/>
                <c:pt idx="0">
                  <c:v>Cases logged</c:v>
                </c:pt>
              </c:strCache>
            </c:strRef>
          </c:tx>
          <c:spPr>
            <a:solidFill>
              <a:srgbClr val="DE6F00"/>
            </a:solidFill>
          </c:spPr>
          <c:invertIfNegative val="0"/>
          <c:cat>
            <c:numRef>
              <c:f>'Law &amp; Ord'!$AT$39:$AZ$39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'Law &amp; Ord'!$AT$40:$AZ$40</c:f>
              <c:numCache>
                <c:formatCode>General</c:formatCode>
                <c:ptCount val="7"/>
                <c:pt idx="0">
                  <c:v>280</c:v>
                </c:pt>
                <c:pt idx="1">
                  <c:v>342</c:v>
                </c:pt>
                <c:pt idx="2">
                  <c:v>371</c:v>
                </c:pt>
                <c:pt idx="3" formatCode="_(* #,##0_);_(* \(#,##0\);_(* &quot;-&quot;??_);_(@_)">
                  <c:v>401</c:v>
                </c:pt>
                <c:pt idx="4" formatCode="_(* #,##0_);_(* \(#,##0\);_(* &quot;-&quot;??_);_(@_)">
                  <c:v>365</c:v>
                </c:pt>
                <c:pt idx="5" formatCode="_(* #,##0_);_(* \(#,##0\);_(* &quot;-&quot;??_);_(@_)">
                  <c:v>413</c:v>
                </c:pt>
                <c:pt idx="6" formatCode="_(* #,##0_);_(* \(#,##0\);_(* &quot;-&quot;??_);_(@_)">
                  <c:v>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0-4906-A4C5-8B3412890F04}"/>
            </c:ext>
          </c:extLst>
        </c:ser>
        <c:ser>
          <c:idx val="1"/>
          <c:order val="1"/>
          <c:tx>
            <c:strRef>
              <c:f>'Law &amp; Ord'!$AH$41:$AI$41</c:f>
              <c:strCache>
                <c:ptCount val="2"/>
                <c:pt idx="0">
                  <c:v>Cases dealt</c:v>
                </c:pt>
              </c:strCache>
            </c:strRef>
          </c:tx>
          <c:spPr>
            <a:solidFill>
              <a:srgbClr val="FFC757"/>
            </a:solidFill>
          </c:spPr>
          <c:invertIfNegative val="0"/>
          <c:cat>
            <c:numRef>
              <c:f>'Law &amp; Ord'!$AT$39:$AZ$39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'Law &amp; Ord'!$AT$41:$AZ$41</c:f>
              <c:numCache>
                <c:formatCode>General</c:formatCode>
                <c:ptCount val="7"/>
                <c:pt idx="0">
                  <c:v>180</c:v>
                </c:pt>
                <c:pt idx="1">
                  <c:v>328</c:v>
                </c:pt>
                <c:pt idx="2">
                  <c:v>560</c:v>
                </c:pt>
                <c:pt idx="3" formatCode="_(* #,##0_);_(* \(#,##0\);_(* &quot;-&quot;??_);_(@_)">
                  <c:v>389</c:v>
                </c:pt>
                <c:pt idx="4" formatCode="_(* #,##0_);_(* \(#,##0\);_(* &quot;-&quot;??_);_(@_)">
                  <c:v>414</c:v>
                </c:pt>
                <c:pt idx="5" formatCode="_(* #,##0_);_(* \(#,##0\);_(* &quot;-&quot;??_);_(@_)">
                  <c:v>329</c:v>
                </c:pt>
                <c:pt idx="6" formatCode="_(* #,##0_);_(* \(#,##0\);_(* &quot;-&quot;??_);_(@_)">
                  <c:v>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D0-4906-A4C5-8B3412890F04}"/>
            </c:ext>
          </c:extLst>
        </c:ser>
        <c:ser>
          <c:idx val="2"/>
          <c:order val="2"/>
          <c:tx>
            <c:strRef>
              <c:f>'Law &amp; Ord'!$AH$42:$AI$42</c:f>
              <c:strCache>
                <c:ptCount val="2"/>
                <c:pt idx="0">
                  <c:v>Cases awaiting trial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</c:spPr>
          <c:invertIfNegative val="0"/>
          <c:cat>
            <c:numRef>
              <c:f>'Law &amp; Ord'!$AT$39:$AZ$39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'Law &amp; Ord'!$AT$42:$AZ$42</c:f>
              <c:numCache>
                <c:formatCode>General</c:formatCode>
                <c:ptCount val="7"/>
                <c:pt idx="0">
                  <c:v>451</c:v>
                </c:pt>
                <c:pt idx="1">
                  <c:v>465</c:v>
                </c:pt>
                <c:pt idx="2">
                  <c:v>277</c:v>
                </c:pt>
                <c:pt idx="3" formatCode="_(* #,##0_);_(* \(#,##0\);_(* &quot;-&quot;??_);_(@_)">
                  <c:v>289</c:v>
                </c:pt>
                <c:pt idx="4" formatCode="_(* #,##0_);_(* \(#,##0\);_(* &quot;-&quot;??_);_(@_)">
                  <c:v>238</c:v>
                </c:pt>
                <c:pt idx="5" formatCode="_(* #,##0_);_(* \(#,##0\);_(* &quot;-&quot;??_);_(@_)">
                  <c:v>323</c:v>
                </c:pt>
                <c:pt idx="6" formatCode="_(* #,##0_);_(* \(#,##0\);_(* &quot;-&quot;??_);_(@_)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D0-4906-A4C5-8B3412890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063680"/>
        <c:axId val="99065216"/>
      </c:barChart>
      <c:catAx>
        <c:axId val="99063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65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9065216"/>
        <c:scaling>
          <c:orientation val="minMax"/>
        </c:scaling>
        <c:delete val="0"/>
        <c:axPos val="l"/>
        <c:majorGridlines>
          <c:spPr>
            <a:ln>
              <a:solidFill>
                <a:srgbClr val="FFC757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4.1585000550427888E-2"/>
              <c:y val="8.855760567242528E-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63680"/>
        <c:crosses val="autoZero"/>
        <c:crossBetween val="between"/>
      </c:valAx>
      <c:spPr>
        <a:solidFill>
          <a:srgbClr val="FFFAEF"/>
        </a:solidFill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5701475534188722"/>
          <c:y val="0.20758164975181004"/>
          <c:w val="0.58380946324129646"/>
          <c:h val="5.8213989362019665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andara" pitchFamily="34" charset="0"/>
                <a:cs typeface="Consolas" pitchFamily="49" charset="0"/>
              </a:rPr>
              <a:t>Number of cases logged with police, 2010 - 2016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566260273464214"/>
          <c:y val="0.15362683767990432"/>
          <c:w val="0.86282454645536133"/>
          <c:h val="0.735629931400709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DE6F00"/>
            </a:solidFill>
          </c:spPr>
          <c:invertIfNegative val="0"/>
          <c:cat>
            <c:numRef>
              <c:f>'Law &amp; Ord'!$G$3:$M$3</c:f>
              <c:numCache>
                <c:formatCode>0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'Law &amp; Ord'!$G$4:$M$4</c:f>
              <c:numCache>
                <c:formatCode>#,##0</c:formatCode>
                <c:ptCount val="7"/>
                <c:pt idx="0">
                  <c:v>16994</c:v>
                </c:pt>
                <c:pt idx="1">
                  <c:v>17803</c:v>
                </c:pt>
                <c:pt idx="2">
                  <c:v>20512</c:v>
                </c:pt>
                <c:pt idx="3">
                  <c:v>21885</c:v>
                </c:pt>
                <c:pt idx="4">
                  <c:v>18193</c:v>
                </c:pt>
                <c:pt idx="5">
                  <c:v>16363</c:v>
                </c:pt>
                <c:pt idx="6">
                  <c:v>16293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1-4C53-B42B-668B95059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086720"/>
        <c:axId val="99088256"/>
      </c:barChart>
      <c:catAx>
        <c:axId val="9908672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99088256"/>
        <c:crosses val="autoZero"/>
        <c:auto val="1"/>
        <c:lblAlgn val="ctr"/>
        <c:lblOffset val="100"/>
        <c:noMultiLvlLbl val="0"/>
      </c:catAx>
      <c:valAx>
        <c:axId val="9908825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crossAx val="990867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1343024</xdr:colOff>
      <xdr:row>36</xdr:row>
      <xdr:rowOff>27735</xdr:rowOff>
    </xdr:from>
    <xdr:to>
      <xdr:col>9</xdr:col>
      <xdr:colOff>561975</xdr:colOff>
      <xdr:row>52</xdr:row>
      <xdr:rowOff>117836</xdr:rowOff>
    </xdr:to>
    <xdr:graphicFrame macro="">
      <xdr:nvGraphicFramePr>
        <xdr:cNvPr id="5233724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11782</xdr:colOff>
      <xdr:row>19</xdr:row>
      <xdr:rowOff>52240</xdr:rowOff>
    </xdr:from>
    <xdr:to>
      <xdr:col>9</xdr:col>
      <xdr:colOff>552450</xdr:colOff>
      <xdr:row>34</xdr:row>
      <xdr:rowOff>134331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64239</xdr:colOff>
      <xdr:row>24</xdr:row>
      <xdr:rowOff>10310</xdr:rowOff>
    </xdr:from>
    <xdr:to>
      <xdr:col>1</xdr:col>
      <xdr:colOff>255034</xdr:colOff>
      <xdr:row>28</xdr:row>
      <xdr:rowOff>84145</xdr:rowOff>
    </xdr:to>
    <xdr:sp macro="" textlink="">
      <xdr:nvSpPr>
        <xdr:cNvPr id="3" name="TextBox 2"/>
        <xdr:cNvSpPr txBox="1"/>
      </xdr:nvSpPr>
      <xdr:spPr>
        <a:xfrm rot="16200000">
          <a:off x="1107839" y="5079672"/>
          <a:ext cx="791472" cy="190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/>
            <a:t>in numbers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%20request\STAFF\Niyaf(ST2)\yearbook%202010\df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issemination\Publications\Statistical%20%20Year%20Book\YEARBOOK%202015\FINAL%20TABLES\20.%20POLITICAL%20PARTIES%20AND%20ELECTIONS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Health"/>
      <sheetName val="6edu"/>
      <sheetName val="Law &amp; Ord"/>
      <sheetName val="Fisher"/>
      <sheetName val="Touri"/>
      <sheetName val="Electri"/>
      <sheetName val="11Transp"/>
      <sheetName val="Finance"/>
      <sheetName val="Money &amp; banking"/>
      <sheetName val="Foerign trade &amp; BOP"/>
      <sheetName val="NA (2)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N2">
            <v>2002</v>
          </cell>
          <cell r="O2">
            <v>2003</v>
          </cell>
          <cell r="P2">
            <v>2004</v>
          </cell>
          <cell r="Q2">
            <v>2005</v>
          </cell>
          <cell r="R2">
            <v>2006</v>
          </cell>
          <cell r="S2">
            <v>2007</v>
          </cell>
          <cell r="T2">
            <v>2008</v>
          </cell>
          <cell r="U2">
            <v>2009</v>
          </cell>
        </row>
        <row r="13">
          <cell r="N13">
            <v>-2.4054278619519698</v>
          </cell>
          <cell r="O13">
            <v>-3.0436506791225892</v>
          </cell>
          <cell r="P13">
            <v>3.25290202078381</v>
          </cell>
          <cell r="Q13">
            <v>4.5754348602195627</v>
          </cell>
          <cell r="R13">
            <v>5.1062145261893122</v>
          </cell>
          <cell r="S13">
            <v>11.491055549930307</v>
          </cell>
          <cell r="T13">
            <v>13.234218095589867</v>
          </cell>
          <cell r="U13">
            <v>-7.3809540681446517E-2</v>
          </cell>
          <cell r="V13" t="str">
            <v>Overall</v>
          </cell>
        </row>
        <row r="14">
          <cell r="N14">
            <v>-5.9857814362243467</v>
          </cell>
          <cell r="O14">
            <v>-1.7776814712484823</v>
          </cell>
          <cell r="P14">
            <v>5.1486626520646395</v>
          </cell>
          <cell r="Q14">
            <v>-2.005175416383842</v>
          </cell>
          <cell r="R14">
            <v>9.3225845762368031</v>
          </cell>
          <cell r="S14">
            <v>6.8068055598896171</v>
          </cell>
          <cell r="T14">
            <v>8.8486419027872021</v>
          </cell>
          <cell r="U14">
            <v>9.8956340530212739</v>
          </cell>
          <cell r="V14" t="str">
            <v>Resorts and hotels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 "/>
      <sheetName val="20.2"/>
      <sheetName val="20.3"/>
      <sheetName val="20.4"/>
      <sheetName val="20.5"/>
      <sheetName val="20.6"/>
      <sheetName val="20.7"/>
      <sheetName val="20.8"/>
      <sheetName val="20.9"/>
    </sheetNames>
    <sheetDataSet>
      <sheetData sheetId="0"/>
      <sheetData sheetId="1">
        <row r="16">
          <cell r="I16" t="str">
            <v>Presidential election, 2008</v>
          </cell>
          <cell r="K16">
            <v>61599484.75</v>
          </cell>
        </row>
        <row r="17">
          <cell r="I17" t="str">
            <v>Parliamentary election,2009</v>
          </cell>
          <cell r="K17">
            <v>22069176.829999998</v>
          </cell>
        </row>
        <row r="18">
          <cell r="I18" t="str">
            <v>No election in 2010</v>
          </cell>
        </row>
        <row r="19">
          <cell r="I19" t="str">
            <v>Local Council elections ,2011</v>
          </cell>
          <cell r="K19">
            <v>45434174.030000001</v>
          </cell>
        </row>
        <row r="20">
          <cell r="I20" t="str">
            <v>Presidential election, 2013</v>
          </cell>
          <cell r="K20">
            <v>76487272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Z195"/>
  <sheetViews>
    <sheetView tabSelected="1" zoomScaleNormal="100" zoomScaleSheetLayoutView="55" workbookViewId="0">
      <selection activeCell="R30" sqref="R30"/>
    </sheetView>
  </sheetViews>
  <sheetFormatPr defaultRowHeight="12.75"/>
  <cols>
    <col min="1" max="1" width="22.5703125" customWidth="1"/>
    <col min="2" max="2" width="12.7109375" customWidth="1"/>
    <col min="3" max="5" width="11" customWidth="1"/>
    <col min="6" max="10" width="11" style="1" customWidth="1"/>
    <col min="11" max="13" width="11" style="4" customWidth="1"/>
    <col min="14" max="32" width="8" style="4" customWidth="1"/>
    <col min="33" max="51" width="9.140625" style="4"/>
    <col min="52" max="16384" width="9.140625" style="1"/>
  </cols>
  <sheetData>
    <row r="1" spans="1:51" ht="30" customHeight="1">
      <c r="A1" s="44" t="s">
        <v>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51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51" s="3" customFormat="1" ht="15" customHeight="1">
      <c r="A3" s="24"/>
      <c r="B3" s="28"/>
      <c r="C3" s="29">
        <v>2006</v>
      </c>
      <c r="D3" s="29">
        <v>2007</v>
      </c>
      <c r="E3" s="29">
        <v>2008</v>
      </c>
      <c r="F3" s="29">
        <v>2009</v>
      </c>
      <c r="G3" s="29">
        <v>2010</v>
      </c>
      <c r="H3" s="29">
        <v>2011</v>
      </c>
      <c r="I3" s="29">
        <v>2012</v>
      </c>
      <c r="J3" s="29">
        <v>2013</v>
      </c>
      <c r="K3" s="29">
        <v>2014</v>
      </c>
      <c r="L3" s="29">
        <v>2015</v>
      </c>
      <c r="M3" s="29">
        <v>2016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6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</row>
    <row r="4" spans="1:51" s="3" customFormat="1" ht="15" customHeight="1">
      <c r="A4" s="17" t="s">
        <v>9</v>
      </c>
      <c r="B4" s="17"/>
      <c r="C4" s="39">
        <v>8560</v>
      </c>
      <c r="D4" s="39">
        <v>11452</v>
      </c>
      <c r="E4" s="39">
        <v>17674</v>
      </c>
      <c r="F4" s="39">
        <v>19259</v>
      </c>
      <c r="G4" s="39">
        <v>16994</v>
      </c>
      <c r="H4" s="39">
        <v>17803</v>
      </c>
      <c r="I4" s="39">
        <v>20512</v>
      </c>
      <c r="J4" s="39">
        <v>21885</v>
      </c>
      <c r="K4" s="39">
        <v>18193</v>
      </c>
      <c r="L4" s="39">
        <v>16363</v>
      </c>
      <c r="M4" s="39">
        <v>16293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2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</row>
    <row r="5" spans="1:51" s="3" customFormat="1" ht="15" customHeight="1">
      <c r="A5" s="25" t="s">
        <v>10</v>
      </c>
      <c r="B5" s="25"/>
      <c r="C5" s="40">
        <v>14084</v>
      </c>
      <c r="D5" s="40">
        <v>13820</v>
      </c>
      <c r="E5" s="40">
        <v>12921</v>
      </c>
      <c r="F5" s="40">
        <v>15997</v>
      </c>
      <c r="G5" s="40">
        <v>15036</v>
      </c>
      <c r="H5" s="40">
        <v>14710</v>
      </c>
      <c r="I5" s="40">
        <v>14329</v>
      </c>
      <c r="J5" s="40">
        <v>16654</v>
      </c>
      <c r="K5" s="40">
        <v>19579</v>
      </c>
      <c r="L5" s="40">
        <v>19372</v>
      </c>
      <c r="M5" s="40">
        <v>20698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</row>
    <row r="6" spans="1:51" s="3" customFormat="1" ht="15" customHeight="1">
      <c r="A6" s="18" t="s">
        <v>4</v>
      </c>
      <c r="B6" s="17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2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</row>
    <row r="7" spans="1:51" s="3" customFormat="1" ht="15" customHeight="1">
      <c r="A7" s="35" t="s">
        <v>8</v>
      </c>
      <c r="B7" s="24"/>
      <c r="C7" s="41">
        <v>269</v>
      </c>
      <c r="D7" s="41">
        <v>263</v>
      </c>
      <c r="E7" s="41">
        <v>340</v>
      </c>
      <c r="F7" s="41">
        <v>415</v>
      </c>
      <c r="G7" s="41">
        <v>280</v>
      </c>
      <c r="H7" s="41">
        <v>342</v>
      </c>
      <c r="I7" s="41">
        <v>371</v>
      </c>
      <c r="J7" s="41">
        <v>401</v>
      </c>
      <c r="K7" s="41">
        <v>365</v>
      </c>
      <c r="L7" s="41">
        <v>413</v>
      </c>
      <c r="M7" s="41">
        <v>615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2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</row>
    <row r="8" spans="1:51" s="3" customFormat="1" ht="15" customHeight="1">
      <c r="A8" s="34" t="s">
        <v>5</v>
      </c>
      <c r="B8" s="17"/>
      <c r="C8" s="42">
        <v>176</v>
      </c>
      <c r="D8" s="42">
        <v>227</v>
      </c>
      <c r="E8" s="42">
        <v>227</v>
      </c>
      <c r="F8" s="42">
        <v>401</v>
      </c>
      <c r="G8" s="42">
        <v>180</v>
      </c>
      <c r="H8" s="42">
        <v>328</v>
      </c>
      <c r="I8" s="42">
        <v>560</v>
      </c>
      <c r="J8" s="42">
        <v>389</v>
      </c>
      <c r="K8" s="42">
        <v>414</v>
      </c>
      <c r="L8" s="42">
        <v>329</v>
      </c>
      <c r="M8" s="42">
        <v>373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2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</row>
    <row r="9" spans="1:51" s="3" customFormat="1" ht="15" customHeight="1">
      <c r="A9" s="35" t="s">
        <v>6</v>
      </c>
      <c r="B9" s="25"/>
      <c r="C9" s="41">
        <v>187</v>
      </c>
      <c r="D9" s="41">
        <v>223</v>
      </c>
      <c r="E9" s="41">
        <v>337</v>
      </c>
      <c r="F9" s="41">
        <v>351</v>
      </c>
      <c r="G9" s="41">
        <v>452</v>
      </c>
      <c r="H9" s="41">
        <v>466</v>
      </c>
      <c r="I9" s="41">
        <v>277</v>
      </c>
      <c r="J9" s="41">
        <v>289</v>
      </c>
      <c r="K9" s="41">
        <v>238</v>
      </c>
      <c r="L9" s="41">
        <v>323</v>
      </c>
      <c r="M9" s="41">
        <v>563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2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</row>
    <row r="10" spans="1:51" s="3" customFormat="1" ht="15" customHeight="1">
      <c r="A10" s="18" t="s">
        <v>11</v>
      </c>
      <c r="B10" s="17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1"/>
      <c r="O10" s="10"/>
      <c r="P10" s="10"/>
      <c r="Q10" s="10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</row>
    <row r="11" spans="1:51" s="3" customFormat="1" ht="15" customHeight="1">
      <c r="A11" s="37" t="s">
        <v>0</v>
      </c>
      <c r="B11" s="24"/>
      <c r="C11" s="38" t="s">
        <v>7</v>
      </c>
      <c r="D11" s="38" t="s">
        <v>7</v>
      </c>
      <c r="E11" s="38">
        <v>5556</v>
      </c>
      <c r="F11" s="38">
        <v>5081</v>
      </c>
      <c r="G11" s="38">
        <v>4141</v>
      </c>
      <c r="H11" s="38">
        <v>5279</v>
      </c>
      <c r="I11" s="38">
        <v>6339</v>
      </c>
      <c r="J11" s="38">
        <v>6981</v>
      </c>
      <c r="K11" s="38">
        <v>6983</v>
      </c>
      <c r="L11" s="38">
        <v>5831</v>
      </c>
      <c r="M11" s="38">
        <v>5511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</row>
    <row r="12" spans="1:51" s="3" customFormat="1" ht="15" customHeight="1">
      <c r="A12" s="34" t="s">
        <v>1</v>
      </c>
      <c r="B12" s="17"/>
      <c r="C12" s="39" t="s">
        <v>7</v>
      </c>
      <c r="D12" s="39" t="s">
        <v>7</v>
      </c>
      <c r="E12" s="39">
        <v>5353</v>
      </c>
      <c r="F12" s="39">
        <v>4913</v>
      </c>
      <c r="G12" s="39">
        <v>4002</v>
      </c>
      <c r="H12" s="39">
        <v>5110</v>
      </c>
      <c r="I12" s="39">
        <v>6115</v>
      </c>
      <c r="J12" s="39">
        <v>6706</v>
      </c>
      <c r="K12" s="39">
        <v>6709</v>
      </c>
      <c r="L12" s="39">
        <v>5552</v>
      </c>
      <c r="M12" s="39">
        <v>5279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</row>
    <row r="13" spans="1:51" s="3" customFormat="1" ht="15" customHeight="1">
      <c r="A13" s="35" t="s">
        <v>2</v>
      </c>
      <c r="B13" s="30"/>
      <c r="C13" s="40" t="s">
        <v>7</v>
      </c>
      <c r="D13" s="40" t="s">
        <v>7</v>
      </c>
      <c r="E13" s="40">
        <v>203</v>
      </c>
      <c r="F13" s="40">
        <v>168</v>
      </c>
      <c r="G13" s="40">
        <v>139</v>
      </c>
      <c r="H13" s="40">
        <v>169</v>
      </c>
      <c r="I13" s="40">
        <v>224</v>
      </c>
      <c r="J13" s="40">
        <v>275</v>
      </c>
      <c r="K13" s="40">
        <v>274</v>
      </c>
      <c r="L13" s="40">
        <v>279</v>
      </c>
      <c r="M13" s="40">
        <v>232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</row>
    <row r="14" spans="1:51" s="3" customFormat="1" ht="15" customHeight="1">
      <c r="A14" s="18" t="s">
        <v>12</v>
      </c>
      <c r="B14" s="3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</row>
    <row r="15" spans="1:51" s="3" customFormat="1" ht="15" customHeight="1">
      <c r="A15" s="37" t="s">
        <v>0</v>
      </c>
      <c r="B15" s="33"/>
      <c r="C15" s="38">
        <v>1489</v>
      </c>
      <c r="D15" s="38">
        <v>1371</v>
      </c>
      <c r="E15" s="38">
        <v>1002</v>
      </c>
      <c r="F15" s="38">
        <v>2039</v>
      </c>
      <c r="G15" s="38">
        <v>954</v>
      </c>
      <c r="H15" s="38" t="s">
        <v>7</v>
      </c>
      <c r="I15" s="38" t="s">
        <v>7</v>
      </c>
      <c r="J15" s="38" t="s">
        <v>7</v>
      </c>
      <c r="K15" s="38">
        <v>401</v>
      </c>
      <c r="L15" s="38">
        <v>358</v>
      </c>
      <c r="M15" s="38">
        <v>828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</row>
    <row r="16" spans="1:51" s="3" customFormat="1" ht="15" customHeight="1">
      <c r="A16" s="34" t="s">
        <v>1</v>
      </c>
      <c r="B16" s="43"/>
      <c r="C16" s="39">
        <v>1256</v>
      </c>
      <c r="D16" s="39">
        <v>1168</v>
      </c>
      <c r="E16" s="39">
        <v>883</v>
      </c>
      <c r="F16" s="39">
        <v>1809</v>
      </c>
      <c r="G16" s="39">
        <v>831</v>
      </c>
      <c r="H16" s="39" t="s">
        <v>7</v>
      </c>
      <c r="I16" s="39" t="s">
        <v>7</v>
      </c>
      <c r="J16" s="39" t="s">
        <v>7</v>
      </c>
      <c r="K16" s="39">
        <v>342</v>
      </c>
      <c r="L16" s="39">
        <v>302</v>
      </c>
      <c r="M16" s="39">
        <v>752</v>
      </c>
      <c r="N16" s="36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</row>
    <row r="17" spans="1:51" s="3" customFormat="1" ht="15" customHeight="1">
      <c r="A17" s="35" t="s">
        <v>2</v>
      </c>
      <c r="B17" s="33"/>
      <c r="C17" s="41">
        <v>233</v>
      </c>
      <c r="D17" s="41">
        <v>203</v>
      </c>
      <c r="E17" s="41">
        <v>119</v>
      </c>
      <c r="F17" s="41">
        <v>228</v>
      </c>
      <c r="G17" s="41">
        <v>123</v>
      </c>
      <c r="H17" s="41" t="s">
        <v>7</v>
      </c>
      <c r="I17" s="41" t="s">
        <v>7</v>
      </c>
      <c r="J17" s="41" t="s">
        <v>7</v>
      </c>
      <c r="K17" s="41">
        <v>59</v>
      </c>
      <c r="L17" s="41">
        <v>56</v>
      </c>
      <c r="M17" s="41">
        <v>76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</row>
    <row r="18" spans="1:51" s="14" customFormat="1" ht="10.5" customHeight="1">
      <c r="A18" s="17"/>
      <c r="B18" s="7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6"/>
      <c r="O18" s="10"/>
      <c r="P18" s="10"/>
      <c r="Q18" s="10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51" s="4" customFormat="1" ht="15" hidden="1">
      <c r="A19" s="17"/>
      <c r="B19" s="7"/>
      <c r="C19" s="8"/>
      <c r="D19" s="8"/>
      <c r="E19" s="8"/>
      <c r="F19" s="8"/>
      <c r="G19" s="8"/>
      <c r="H19" s="20"/>
      <c r="I19" s="15"/>
      <c r="J19" s="15"/>
      <c r="K19" s="15"/>
      <c r="L19" s="15"/>
      <c r="M19" s="15"/>
      <c r="N19" s="15"/>
      <c r="O19" s="10"/>
      <c r="P19" s="10"/>
      <c r="Q19" s="10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0" spans="1:51" s="4" customFormat="1" ht="15">
      <c r="A20" s="17"/>
      <c r="B20" s="7"/>
      <c r="C20" s="8"/>
      <c r="D20" s="8"/>
      <c r="E20" s="8"/>
      <c r="F20" s="8"/>
      <c r="G20" s="8"/>
      <c r="H20" s="20"/>
      <c r="O20" s="10"/>
      <c r="P20" s="10"/>
      <c r="Q20" s="10"/>
    </row>
    <row r="21" spans="1:51" s="4" customFormat="1" ht="15">
      <c r="A21" s="17"/>
      <c r="B21" s="7"/>
      <c r="C21" s="8"/>
      <c r="D21" s="8"/>
      <c r="E21" s="8"/>
      <c r="F21" s="8"/>
      <c r="G21" s="8"/>
      <c r="H21" s="20"/>
      <c r="P21" s="10"/>
    </row>
    <row r="22" spans="1:51" s="4" customFormat="1" ht="13.5">
      <c r="A22" s="23"/>
      <c r="B22" s="6"/>
      <c r="C22" s="31"/>
      <c r="D22" s="31"/>
      <c r="E22" s="6"/>
      <c r="F22" s="6"/>
      <c r="G22" s="6"/>
      <c r="H22" s="6"/>
      <c r="N22" s="27"/>
      <c r="O22" s="10"/>
      <c r="P22" s="10"/>
      <c r="Q22" s="10"/>
    </row>
    <row r="23" spans="1:51" s="4" customFormat="1">
      <c r="A23" s="15"/>
      <c r="B23" s="15"/>
      <c r="C23" s="15"/>
      <c r="D23" s="15"/>
      <c r="E23" s="15"/>
      <c r="F23" s="15"/>
      <c r="G23" s="15"/>
      <c r="H23" s="15"/>
      <c r="N23" s="26"/>
      <c r="O23" s="10"/>
      <c r="P23" s="10"/>
      <c r="Q23" s="10"/>
    </row>
    <row r="24" spans="1:51" s="4" customFormat="1" ht="21" customHeight="1">
      <c r="N24" s="26"/>
    </row>
    <row r="25" spans="1:51" s="4" customFormat="1" ht="14.25" customHeight="1"/>
    <row r="26" spans="1:51" s="4" customFormat="1" ht="14.25" customHeight="1"/>
    <row r="27" spans="1:51" s="4" customFormat="1" ht="14.25" customHeight="1"/>
    <row r="28" spans="1:51" s="4" customFormat="1" ht="14.25" customHeight="1"/>
    <row r="29" spans="1:51" s="4" customFormat="1" ht="14.25" customHeight="1"/>
    <row r="30" spans="1:51" s="4" customFormat="1" ht="14.25" customHeight="1"/>
    <row r="31" spans="1:51" s="4" customFormat="1" ht="14.25" customHeight="1"/>
    <row r="32" spans="1:51" s="4" customFormat="1" ht="14.25" customHeight="1"/>
    <row r="33" spans="34:52" s="4" customFormat="1" ht="14.25" customHeight="1"/>
    <row r="34" spans="34:52" s="4" customFormat="1" ht="14.25" customHeight="1"/>
    <row r="35" spans="34:52" s="4" customFormat="1" ht="14.25" customHeight="1"/>
    <row r="36" spans="34:52" s="4" customFormat="1" ht="12" customHeight="1"/>
    <row r="37" spans="34:52" s="4" customFormat="1" ht="14.25" hidden="1" customHeight="1"/>
    <row r="38" spans="34:52" s="4" customFormat="1"/>
    <row r="39" spans="34:52" s="4" customFormat="1">
      <c r="AJ39" s="4">
        <v>2000</v>
      </c>
      <c r="AK39" s="4">
        <v>2001</v>
      </c>
      <c r="AL39" s="4">
        <v>2002</v>
      </c>
      <c r="AM39" s="4">
        <v>2003</v>
      </c>
      <c r="AN39" s="4">
        <v>2004</v>
      </c>
      <c r="AO39" s="4">
        <v>2005</v>
      </c>
      <c r="AP39" s="4">
        <v>2006</v>
      </c>
      <c r="AQ39" s="4">
        <v>2007</v>
      </c>
      <c r="AR39" s="4">
        <v>2008</v>
      </c>
      <c r="AS39" s="4">
        <v>2009</v>
      </c>
      <c r="AT39" s="4">
        <v>2010</v>
      </c>
      <c r="AU39" s="4">
        <v>2011</v>
      </c>
      <c r="AV39" s="4">
        <v>2012</v>
      </c>
      <c r="AW39" s="4">
        <v>2013</v>
      </c>
      <c r="AX39" s="4">
        <v>2014</v>
      </c>
      <c r="AY39" s="4">
        <v>2015</v>
      </c>
      <c r="AZ39" s="4">
        <v>2016</v>
      </c>
    </row>
    <row r="40" spans="34:52" s="4" customFormat="1">
      <c r="AH40" s="4" t="s">
        <v>8</v>
      </c>
      <c r="AJ40" s="4">
        <v>213</v>
      </c>
      <c r="AK40" s="4">
        <v>197</v>
      </c>
      <c r="AL40" s="4">
        <v>194</v>
      </c>
      <c r="AM40" s="4">
        <v>205</v>
      </c>
      <c r="AN40" s="4">
        <v>194</v>
      </c>
      <c r="AO40" s="4">
        <v>195</v>
      </c>
      <c r="AP40" s="4">
        <v>269</v>
      </c>
      <c r="AQ40" s="4">
        <v>263</v>
      </c>
      <c r="AR40" s="4">
        <v>340</v>
      </c>
      <c r="AS40" s="4">
        <v>415</v>
      </c>
      <c r="AT40" s="4">
        <v>280</v>
      </c>
      <c r="AU40" s="4">
        <v>342</v>
      </c>
      <c r="AV40" s="4">
        <v>371</v>
      </c>
      <c r="AW40" s="5">
        <v>401</v>
      </c>
      <c r="AX40" s="21">
        <f>K7</f>
        <v>365</v>
      </c>
      <c r="AY40" s="21">
        <f>L7</f>
        <v>413</v>
      </c>
      <c r="AZ40" s="21">
        <f>M7</f>
        <v>615</v>
      </c>
    </row>
    <row r="41" spans="34:52" s="4" customFormat="1">
      <c r="AH41" s="4" t="s">
        <v>5</v>
      </c>
      <c r="AJ41" s="4">
        <v>254</v>
      </c>
      <c r="AK41" s="4">
        <v>205</v>
      </c>
      <c r="AL41" s="4">
        <v>213</v>
      </c>
      <c r="AM41" s="4">
        <v>162</v>
      </c>
      <c r="AN41" s="4">
        <v>219</v>
      </c>
      <c r="AO41" s="4">
        <v>187</v>
      </c>
      <c r="AP41" s="4">
        <v>176</v>
      </c>
      <c r="AQ41" s="4">
        <v>227</v>
      </c>
      <c r="AR41" s="4">
        <v>227</v>
      </c>
      <c r="AS41" s="4">
        <v>401</v>
      </c>
      <c r="AT41" s="4">
        <v>180</v>
      </c>
      <c r="AU41" s="4">
        <v>328</v>
      </c>
      <c r="AV41" s="4">
        <v>560</v>
      </c>
      <c r="AW41" s="5">
        <v>389</v>
      </c>
      <c r="AX41" s="21">
        <f t="shared" ref="AX41:AZ42" si="0">K8</f>
        <v>414</v>
      </c>
      <c r="AY41" s="21">
        <f t="shared" si="0"/>
        <v>329</v>
      </c>
      <c r="AZ41" s="21">
        <f t="shared" si="0"/>
        <v>373</v>
      </c>
    </row>
    <row r="42" spans="34:52" s="4" customFormat="1">
      <c r="AH42" s="4" t="s">
        <v>6</v>
      </c>
      <c r="AJ42" s="4">
        <v>95</v>
      </c>
      <c r="AK42" s="4">
        <v>87</v>
      </c>
      <c r="AL42" s="4">
        <v>68</v>
      </c>
      <c r="AM42" s="4">
        <v>111</v>
      </c>
      <c r="AN42" s="4">
        <v>86</v>
      </c>
      <c r="AO42" s="4">
        <v>94</v>
      </c>
      <c r="AP42" s="4">
        <v>187</v>
      </c>
      <c r="AQ42" s="4">
        <v>223</v>
      </c>
      <c r="AR42" s="4">
        <v>337</v>
      </c>
      <c r="AS42" s="4">
        <v>351</v>
      </c>
      <c r="AT42" s="4">
        <v>451</v>
      </c>
      <c r="AU42" s="4">
        <v>465</v>
      </c>
      <c r="AV42" s="4">
        <v>277</v>
      </c>
      <c r="AW42" s="5">
        <v>289</v>
      </c>
      <c r="AX42" s="21">
        <f t="shared" si="0"/>
        <v>238</v>
      </c>
      <c r="AY42" s="21">
        <f t="shared" si="0"/>
        <v>323</v>
      </c>
      <c r="AZ42" s="21">
        <f t="shared" si="0"/>
        <v>563</v>
      </c>
    </row>
    <row r="43" spans="34:52" s="4" customFormat="1"/>
    <row r="44" spans="34:52" s="4" customFormat="1"/>
    <row r="45" spans="34:52" s="4" customFormat="1"/>
    <row r="46" spans="34:52" s="4" customFormat="1"/>
    <row r="47" spans="34:52" s="4" customFormat="1"/>
    <row r="48" spans="34:52" s="4" customFormat="1"/>
    <row r="49" s="4" customFormat="1"/>
    <row r="50" s="4" customFormat="1"/>
    <row r="51" s="4" customFormat="1"/>
    <row r="52" s="4" customFormat="1"/>
    <row r="53" s="4" customFormat="1"/>
    <row r="54" s="4" customFormat="1"/>
    <row r="55" s="4" customFormat="1"/>
    <row r="56" s="4" customFormat="1"/>
    <row r="57" s="4" customFormat="1"/>
    <row r="58" s="4" customFormat="1"/>
    <row r="59" s="4" customFormat="1"/>
    <row r="60" s="4" customFormat="1"/>
    <row r="61" s="4" customFormat="1"/>
    <row r="62" s="4" customFormat="1"/>
    <row r="63" s="4" customFormat="1"/>
    <row r="64" s="4" customFormat="1"/>
    <row r="65" s="4" customFormat="1"/>
    <row r="66" s="4" customFormat="1"/>
    <row r="67" s="4" customFormat="1"/>
    <row r="68" s="4" customFormat="1"/>
    <row r="69" s="4" customFormat="1"/>
    <row r="70" s="4" customFormat="1"/>
    <row r="71" s="4" customFormat="1"/>
    <row r="72" s="4" customFormat="1"/>
    <row r="73" s="4" customFormat="1"/>
    <row r="74" s="4" customFormat="1"/>
    <row r="75" s="4" customFormat="1"/>
    <row r="76" s="4" customFormat="1"/>
    <row r="77" s="4" customFormat="1"/>
    <row r="78" s="4" customFormat="1"/>
    <row r="79" s="4" customFormat="1"/>
    <row r="80" s="4" customFormat="1"/>
    <row r="81" s="4" customFormat="1"/>
    <row r="82" s="4" customFormat="1"/>
    <row r="83" s="4" customFormat="1"/>
    <row r="84" s="4" customFormat="1"/>
    <row r="85" s="4" customFormat="1"/>
    <row r="86" s="4" customFormat="1"/>
    <row r="87" s="4" customFormat="1"/>
    <row r="88" s="4" customFormat="1"/>
    <row r="89" s="4" customFormat="1"/>
    <row r="90" s="4" customFormat="1"/>
    <row r="91" s="4" customFormat="1"/>
    <row r="92" s="4" customFormat="1"/>
    <row r="93" s="4" customFormat="1"/>
    <row r="94" s="4" customFormat="1"/>
    <row r="95" s="4" customFormat="1"/>
    <row r="96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  <row r="109" s="4" customFormat="1"/>
    <row r="110" s="4" customFormat="1"/>
    <row r="111" s="4" customFormat="1"/>
    <row r="112" s="4" customFormat="1"/>
    <row r="113" s="4" customFormat="1"/>
    <row r="114" s="4" customFormat="1"/>
    <row r="115" s="4" customFormat="1"/>
    <row r="116" s="4" customFormat="1"/>
    <row r="117" s="4" customFormat="1"/>
    <row r="118" s="4" customFormat="1"/>
    <row r="119" s="4" customFormat="1"/>
    <row r="120" s="4" customFormat="1"/>
    <row r="121" s="4" customFormat="1"/>
    <row r="122" s="4" customFormat="1"/>
    <row r="123" s="4" customFormat="1"/>
    <row r="124" s="4" customFormat="1"/>
    <row r="125" s="4" customFormat="1"/>
    <row r="126" s="4" customFormat="1"/>
    <row r="127" s="4" customFormat="1"/>
    <row r="128" s="4" customFormat="1"/>
    <row r="129" s="4" customFormat="1"/>
    <row r="130" s="4" customFormat="1"/>
    <row r="131" s="4" customFormat="1"/>
    <row r="132" s="4" customFormat="1"/>
    <row r="133" s="4" customFormat="1"/>
    <row r="134" s="4" customFormat="1"/>
    <row r="135" s="4" customFormat="1"/>
    <row r="136" s="4" customFormat="1"/>
    <row r="137" s="4" customFormat="1"/>
    <row r="138" s="4" customFormat="1"/>
    <row r="139" s="4" customFormat="1"/>
    <row r="140" s="4" customFormat="1"/>
    <row r="141" s="4" customFormat="1"/>
    <row r="142" s="4" customFormat="1"/>
    <row r="143" s="4" customFormat="1"/>
    <row r="144" s="4" customFormat="1"/>
    <row r="145" s="4" customFormat="1"/>
    <row r="146" s="4" customFormat="1"/>
    <row r="147" s="4" customFormat="1"/>
    <row r="148" s="4" customFormat="1"/>
    <row r="149" s="4" customFormat="1"/>
    <row r="150" s="4" customFormat="1"/>
    <row r="151" s="4" customFormat="1"/>
    <row r="152" s="4" customFormat="1"/>
    <row r="153" s="4" customFormat="1"/>
    <row r="154" s="4" customFormat="1"/>
    <row r="155" s="4" customFormat="1"/>
    <row r="156" s="4" customFormat="1"/>
    <row r="157" s="4" customFormat="1"/>
    <row r="158" s="4" customFormat="1"/>
    <row r="159" s="4" customFormat="1"/>
    <row r="160" s="4" customFormat="1"/>
    <row r="161" s="4" customFormat="1"/>
    <row r="162" s="4" customFormat="1"/>
    <row r="163" s="4" customFormat="1"/>
    <row r="164" s="4" customFormat="1"/>
    <row r="165" s="4" customFormat="1"/>
    <row r="166" s="4" customFormat="1"/>
    <row r="167" s="4" customFormat="1"/>
    <row r="168" s="4" customFormat="1"/>
    <row r="169" s="4" customFormat="1"/>
    <row r="170" s="4" customFormat="1"/>
    <row r="171" s="4" customFormat="1"/>
    <row r="172" s="4" customFormat="1"/>
    <row r="173" s="4" customFormat="1"/>
    <row r="174" s="4" customFormat="1"/>
    <row r="175" s="4" customFormat="1"/>
    <row r="176" s="4" customFormat="1"/>
    <row r="177" spans="1:8" s="4" customFormat="1"/>
    <row r="178" spans="1:8" s="4" customFormat="1"/>
    <row r="179" spans="1:8" s="4" customFormat="1"/>
    <row r="180" spans="1:8" s="4" customFormat="1"/>
    <row r="181" spans="1:8" s="4" customFormat="1"/>
    <row r="182" spans="1:8" s="4" customFormat="1"/>
    <row r="183" spans="1:8" s="4" customFormat="1"/>
    <row r="184" spans="1:8" s="4" customFormat="1"/>
    <row r="185" spans="1:8" s="4" customFormat="1"/>
    <row r="186" spans="1:8" s="4" customFormat="1"/>
    <row r="187" spans="1:8" s="4" customFormat="1"/>
    <row r="188" spans="1:8" s="4" customFormat="1"/>
    <row r="189" spans="1:8" s="4" customFormat="1"/>
    <row r="190" spans="1:8" s="4" customFormat="1"/>
    <row r="191" spans="1:8" s="4" customFormat="1"/>
    <row r="192" spans="1:8">
      <c r="A192" s="4"/>
      <c r="B192" s="4"/>
      <c r="C192" s="4"/>
      <c r="D192" s="4"/>
      <c r="E192" s="4"/>
      <c r="F192" s="4"/>
      <c r="G192" s="4"/>
      <c r="H192" s="4"/>
    </row>
    <row r="193" spans="1:8">
      <c r="A193" s="4"/>
      <c r="B193" s="4"/>
      <c r="C193" s="4"/>
      <c r="D193" s="4"/>
      <c r="E193" s="4"/>
      <c r="F193" s="4"/>
      <c r="G193" s="4"/>
      <c r="H193" s="4"/>
    </row>
    <row r="194" spans="1:8">
      <c r="A194" s="4"/>
      <c r="B194" s="4"/>
      <c r="C194" s="4"/>
      <c r="D194" s="4"/>
      <c r="E194" s="4"/>
      <c r="F194" s="4"/>
      <c r="G194" s="4"/>
      <c r="H194" s="4"/>
    </row>
    <row r="195" spans="1:8">
      <c r="A195" s="4"/>
      <c r="B195" s="4"/>
      <c r="C195" s="4"/>
      <c r="D195" s="4"/>
      <c r="E195" s="4"/>
      <c r="F195" s="4"/>
      <c r="G195" s="4"/>
      <c r="H195" s="4"/>
    </row>
  </sheetData>
  <mergeCells count="1">
    <mergeCell ref="A1:M1"/>
  </mergeCells>
  <phoneticPr fontId="16" type="noConversion"/>
  <printOptions horizontalCentered="1" verticalCentered="1"/>
  <pageMargins left="0.511811023622047" right="0.511811023622047" top="0.43307086614173201" bottom="0.35433070866141703" header="0.35433070866141703" footer="0.31496062992126"/>
  <pageSetup paperSize="9" scale="74" orientation="landscape" horizontalDpi="4294967295" verticalDpi="4294967295" r:id="rId1"/>
  <headerFooter alignWithMargins="0"/>
  <drawing r:id="rId2"/>
  <webPublishItems count="2">
    <webPublishItem id="11877" divId="Indicators2009_11877" sourceType="range" sourceRef="A1:E37" destinationFile="\\Server04\mpnd\IT\Information for MPND Website\Statistical Yearbook 2009\Key Indicators 2009\Law &amp; Order.htm"/>
    <webPublishItem id="20157" divId="Indicators   2011_20157" sourceType="range" sourceRef="A1:G38" destinationFile="\\Server\dp unit\Publications\Statistical  Year Book\Yearbook 2011\YRB 2011 CD\final chapters\CD WEB\Indicators\Law&amp;Ord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Law &amp; Ord</vt:lpstr>
      <vt:lpstr>'Law &amp; Ord'!Print_Area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2017-11-16T08:11:55Z</cp:lastPrinted>
  <dcterms:created xsi:type="dcterms:W3CDTF">2005-04-13T08:56:22Z</dcterms:created>
  <dcterms:modified xsi:type="dcterms:W3CDTF">2017-11-16T08:31:44Z</dcterms:modified>
</cp:coreProperties>
</file>