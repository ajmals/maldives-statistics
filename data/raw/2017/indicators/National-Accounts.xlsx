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INDICATOR\"/>
    </mc:Choice>
  </mc:AlternateContent>
  <bookViews>
    <workbookView xWindow="15795" yWindow="30" windowWidth="10650" windowHeight="10665" tabRatio="927"/>
  </bookViews>
  <sheets>
    <sheet name="Annual nationa accounts" sheetId="41" r:id="rId1"/>
  </sheets>
  <externalReferences>
    <externalReference r:id="rId2"/>
    <externalReference r:id="rId3"/>
  </externalReferences>
  <definedNames>
    <definedName name="_xlnm.Print_Area" localSheetId="0">'Annual nationa accounts'!$A$1:$X$34</definedName>
  </definedNames>
  <calcPr calcId="162913"/>
</workbook>
</file>

<file path=xl/calcChain.xml><?xml version="1.0" encoding="utf-8"?>
<calcChain xmlns="http://schemas.openxmlformats.org/spreadsheetml/2006/main">
  <c r="BB7" i="41" l="1"/>
  <c r="BB8" i="41" s="1"/>
  <c r="BA7" i="41"/>
  <c r="AZ7" i="41"/>
  <c r="AY7" i="41"/>
  <c r="AX7" i="41"/>
  <c r="AW7" i="41"/>
  <c r="AW8" i="41" s="1"/>
  <c r="AV7" i="41"/>
  <c r="AV8" i="41" s="1"/>
  <c r="AU7" i="41"/>
  <c r="AT7" i="41"/>
  <c r="AS7" i="41"/>
  <c r="AR7" i="41"/>
  <c r="AQ7" i="41"/>
  <c r="AP7" i="41"/>
  <c r="AP8" i="41" s="1"/>
  <c r="AO7" i="41"/>
  <c r="AX8" i="41" l="1"/>
  <c r="AQ8" i="41"/>
  <c r="AY8" i="41"/>
  <c r="AR8" i="41"/>
  <c r="AZ8" i="41"/>
  <c r="AS8" i="41"/>
  <c r="BA8" i="41"/>
  <c r="AU8" i="41"/>
  <c r="AT8" i="41"/>
</calcChain>
</file>

<file path=xl/sharedStrings.xml><?xml version="1.0" encoding="utf-8"?>
<sst xmlns="http://schemas.openxmlformats.org/spreadsheetml/2006/main" count="15" uniqueCount="15">
  <si>
    <t>G.D.P Growth Rates</t>
  </si>
  <si>
    <t xml:space="preserve"> Growth Rates</t>
  </si>
  <si>
    <t xml:space="preserve">G.D.P  </t>
  </si>
  <si>
    <t xml:space="preserve">NATIONAL ACCOUNTS </t>
  </si>
  <si>
    <t>GDP per Capita at Current Prices (US$)</t>
  </si>
  <si>
    <t>GDP at  Current Prices (million MVR)</t>
  </si>
  <si>
    <t>GDP per Capita at Current Prices (MVR)</t>
  </si>
  <si>
    <t>(Gross Domestic Product - G.D.P at market prices)</t>
  </si>
  <si>
    <r>
      <t>GDP at  Current Prices (million US$)</t>
    </r>
    <r>
      <rPr>
        <vertAlign val="superscript"/>
        <sz val="11"/>
        <rFont val="Calibri"/>
        <family val="2"/>
        <scheme val="minor"/>
      </rPr>
      <t xml:space="preserve"> </t>
    </r>
  </si>
  <si>
    <t>G.D.P at 2014 Constant Prices ( million MVR)</t>
  </si>
  <si>
    <t>G.D.P at 2014 Constant Prices (million US$)</t>
  </si>
  <si>
    <t>GDP per Capita at 2014 Constant prices (MVR)</t>
  </si>
  <si>
    <t>GDP per Capita at 2014 Constant Prices (US$)</t>
  </si>
  <si>
    <t>Note: Published in November 2017</t>
  </si>
  <si>
    <t xml:space="preserve">          GDP estimates have been rebased to 2014 and published in November 2017 for the period 2003 onwards.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</si>
</sst>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(* #,##0.0_);_(* \(#,##0.0\);_(* &quot;-&quot;??_);_(@_)"/>
    <numFmt numFmtId="171" formatCode="_-* #,##0.00\ _ރ_._-;_-* #,##0.00\ _ރ_.\-;_-* &quot;-&quot;??\ _ރ_._-;_-@_-"/>
    <numFmt numFmtId="172" formatCode="0.00_)"/>
    <numFmt numFmtId="173" formatCode="_-* #,##0_-;\-* #,##0_-;_-* &quot;-&quot;??_-;_-@_-"/>
    <numFmt numFmtId="174" formatCode="[$-409]mmm\-yy;@"/>
    <numFmt numFmtId="177" formatCode="_-* #,##0.00_-;\-* #,##0.00_-;_-* &quot;-&quot;??_-;_-@_-"/>
    <numFmt numFmtId="178" formatCode="[$-409]mmmm\ d\,\ yyyy;@"/>
  </numFmts>
  <fonts count="7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9"/>
      <name val="Calibri"/>
      <family val="2"/>
    </font>
    <font>
      <sz val="10"/>
      <name val="Calibri"/>
      <family val="2"/>
    </font>
    <font>
      <b/>
      <sz val="9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ndara"/>
      <family val="2"/>
    </font>
    <font>
      <sz val="11"/>
      <color theme="1"/>
      <name val="Calibri"/>
      <family val="2"/>
      <charset val="1"/>
      <scheme val="minor"/>
    </font>
    <font>
      <b/>
      <sz val="20"/>
      <color theme="0"/>
      <name val="Candara"/>
      <family val="2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vertAlign val="superscript"/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9"/>
      <color rgb="FFFF0000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6F00"/>
        <bgColor indexed="64"/>
      </patternFill>
    </fill>
    <fill>
      <patternFill patternType="solid">
        <fgColor rgb="FFFFE7B7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7">
    <xf numFmtId="0" fontId="0" fillId="0" borderId="0"/>
    <xf numFmtId="0" fontId="19" fillId="0" borderId="0"/>
    <xf numFmtId="0" fontId="18" fillId="0" borderId="0"/>
    <xf numFmtId="0" fontId="18" fillId="0" borderId="0"/>
    <xf numFmtId="43" fontId="1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8" fillId="0" borderId="0"/>
    <xf numFmtId="0" fontId="20" fillId="0" borderId="0"/>
    <xf numFmtId="164" fontId="20" fillId="0" borderId="0"/>
    <xf numFmtId="164" fontId="20" fillId="0" borderId="0"/>
    <xf numFmtId="0" fontId="24" fillId="0" borderId="0"/>
    <xf numFmtId="165" fontId="20" fillId="0" borderId="0"/>
    <xf numFmtId="166" fontId="20" fillId="0" borderId="0" applyFont="0" applyFill="0" applyBorder="0" applyAlignment="0" applyProtection="0"/>
    <xf numFmtId="0" fontId="14" fillId="0" borderId="0"/>
    <xf numFmtId="0" fontId="18" fillId="0" borderId="0"/>
    <xf numFmtId="0" fontId="28" fillId="0" borderId="0"/>
    <xf numFmtId="43" fontId="28" fillId="0" borderId="0" applyFont="0" applyFill="0" applyBorder="0" applyAlignment="0" applyProtection="0"/>
    <xf numFmtId="0" fontId="13" fillId="0" borderId="0"/>
    <xf numFmtId="0" fontId="12" fillId="0" borderId="0"/>
    <xf numFmtId="43" fontId="12" fillId="0" borderId="0" applyFont="0" applyFill="0" applyBorder="0" applyAlignment="0" applyProtection="0"/>
    <xf numFmtId="0" fontId="15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" fillId="0" borderId="0"/>
    <xf numFmtId="0" fontId="12" fillId="0" borderId="0"/>
    <xf numFmtId="165" fontId="20" fillId="0" borderId="0"/>
    <xf numFmtId="171" fontId="28" fillId="0" borderId="0" applyFont="0" applyFill="0" applyBorder="0" applyAlignment="0" applyProtection="0"/>
    <xf numFmtId="0" fontId="28" fillId="0" borderId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8" borderId="0" applyNumberFormat="0" applyBorder="0" applyAlignment="0" applyProtection="0"/>
    <xf numFmtId="0" fontId="37" fillId="11" borderId="0" applyNumberFormat="0" applyBorder="0" applyAlignment="0" applyProtection="0"/>
    <xf numFmtId="0" fontId="37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38" fillId="22" borderId="0" applyNumberFormat="0" applyBorder="0" applyAlignment="0" applyProtection="0"/>
    <xf numFmtId="0" fontId="39" fillId="6" borderId="0" applyNumberFormat="0" applyBorder="0" applyAlignment="0" applyProtection="0"/>
    <xf numFmtId="0" fontId="40" fillId="23" borderId="1" applyNumberFormat="0" applyAlignment="0" applyProtection="0"/>
    <xf numFmtId="0" fontId="41" fillId="24" borderId="2" applyNumberFormat="0" applyAlignment="0" applyProtection="0"/>
    <xf numFmtId="40" fontId="35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3" fillId="7" borderId="0" applyNumberFormat="0" applyBorder="0" applyAlignment="0" applyProtection="0"/>
    <xf numFmtId="0" fontId="44" fillId="0" borderId="3" applyNumberFormat="0" applyFill="0" applyAlignment="0" applyProtection="0"/>
    <xf numFmtId="0" fontId="45" fillId="0" borderId="4" applyNumberFormat="0" applyFill="0" applyAlignment="0" applyProtection="0"/>
    <xf numFmtId="0" fontId="46" fillId="0" borderId="5" applyNumberFormat="0" applyFill="0" applyAlignment="0" applyProtection="0"/>
    <xf numFmtId="0" fontId="46" fillId="0" borderId="0" applyNumberFormat="0" applyFill="0" applyBorder="0" applyAlignment="0" applyProtection="0"/>
    <xf numFmtId="0" fontId="47" fillId="10" borderId="1" applyNumberFormat="0" applyAlignment="0" applyProtection="0"/>
    <xf numFmtId="0" fontId="48" fillId="0" borderId="6" applyNumberFormat="0" applyFill="0" applyAlignment="0" applyProtection="0"/>
    <xf numFmtId="0" fontId="49" fillId="25" borderId="0" applyNumberFormat="0" applyBorder="0" applyAlignment="0" applyProtection="0"/>
    <xf numFmtId="172" fontId="36" fillId="0" borderId="0"/>
    <xf numFmtId="0" fontId="28" fillId="0" borderId="0"/>
    <xf numFmtId="0" fontId="28" fillId="0" borderId="0"/>
    <xf numFmtId="0" fontId="28" fillId="0" borderId="0"/>
    <xf numFmtId="0" fontId="15" fillId="0" borderId="0"/>
    <xf numFmtId="165" fontId="2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37" fillId="26" borderId="7" applyNumberFormat="0" applyFont="0" applyAlignment="0" applyProtection="0"/>
    <xf numFmtId="0" fontId="50" fillId="23" borderId="8" applyNumberFormat="0" applyAlignment="0" applyProtection="0"/>
    <xf numFmtId="9" fontId="35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34" fillId="0" borderId="9" applyNumberFormat="0" applyFill="0" applyAlignment="0" applyProtection="0"/>
    <xf numFmtId="0" fontId="52" fillId="0" borderId="0" applyNumberFormat="0" applyFill="0" applyBorder="0" applyAlignment="0" applyProtection="0"/>
    <xf numFmtId="165" fontId="20" fillId="0" borderId="0"/>
    <xf numFmtId="165" fontId="20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53" fillId="0" borderId="0" applyNumberFormat="0" applyFill="0" applyBorder="0" applyAlignment="0" applyProtection="0"/>
    <xf numFmtId="0" fontId="54" fillId="0" borderId="10" applyNumberFormat="0" applyFill="0" applyAlignment="0" applyProtection="0"/>
    <xf numFmtId="0" fontId="55" fillId="0" borderId="11" applyNumberFormat="0" applyFill="0" applyAlignment="0" applyProtection="0"/>
    <xf numFmtId="0" fontId="56" fillId="0" borderId="12" applyNumberFormat="0" applyFill="0" applyAlignment="0" applyProtection="0"/>
    <xf numFmtId="0" fontId="56" fillId="0" borderId="0" applyNumberFormat="0" applyFill="0" applyBorder="0" applyAlignment="0" applyProtection="0"/>
    <xf numFmtId="0" fontId="57" fillId="27" borderId="0" applyNumberFormat="0" applyBorder="0" applyAlignment="0" applyProtection="0"/>
    <xf numFmtId="0" fontId="58" fillId="28" borderId="0" applyNumberFormat="0" applyBorder="0" applyAlignment="0" applyProtection="0"/>
    <xf numFmtId="0" fontId="59" fillId="29" borderId="0" applyNumberFormat="0" applyBorder="0" applyAlignment="0" applyProtection="0"/>
    <xf numFmtId="0" fontId="60" fillId="30" borderId="13" applyNumberFormat="0" applyAlignment="0" applyProtection="0"/>
    <xf numFmtId="0" fontId="61" fillId="31" borderId="14" applyNumberFormat="0" applyAlignment="0" applyProtection="0"/>
    <xf numFmtId="0" fontId="62" fillId="31" borderId="13" applyNumberFormat="0" applyAlignment="0" applyProtection="0"/>
    <xf numFmtId="0" fontId="63" fillId="0" borderId="15" applyNumberFormat="0" applyFill="0" applyAlignment="0" applyProtection="0"/>
    <xf numFmtId="0" fontId="64" fillId="32" borderId="16" applyNumberFormat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31" fillId="0" borderId="18" applyNumberFormat="0" applyFill="0" applyAlignment="0" applyProtection="0"/>
    <xf numFmtId="0" fontId="67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67" fillId="37" borderId="0" applyNumberFormat="0" applyBorder="0" applyAlignment="0" applyProtection="0"/>
    <xf numFmtId="0" fontId="67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67" fillId="41" borderId="0" applyNumberFormat="0" applyBorder="0" applyAlignment="0" applyProtection="0"/>
    <xf numFmtId="0" fontId="67" fillId="42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67" fillId="45" borderId="0" applyNumberFormat="0" applyBorder="0" applyAlignment="0" applyProtection="0"/>
    <xf numFmtId="0" fontId="67" fillId="46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67" fillId="49" borderId="0" applyNumberFormat="0" applyBorder="0" applyAlignment="0" applyProtection="0"/>
    <xf numFmtId="0" fontId="67" fillId="50" borderId="0" applyNumberFormat="0" applyBorder="0" applyAlignment="0" applyProtection="0"/>
    <xf numFmtId="0" fontId="10" fillId="51" borderId="0" applyNumberFormat="0" applyBorder="0" applyAlignment="0" applyProtection="0"/>
    <xf numFmtId="0" fontId="10" fillId="52" borderId="0" applyNumberFormat="0" applyBorder="0" applyAlignment="0" applyProtection="0"/>
    <xf numFmtId="0" fontId="67" fillId="53" borderId="0" applyNumberFormat="0" applyBorder="0" applyAlignment="0" applyProtection="0"/>
    <xf numFmtId="0" fontId="67" fillId="54" borderId="0" applyNumberFormat="0" applyBorder="0" applyAlignment="0" applyProtection="0"/>
    <xf numFmtId="0" fontId="10" fillId="55" borderId="0" applyNumberFormat="0" applyBorder="0" applyAlignment="0" applyProtection="0"/>
    <xf numFmtId="0" fontId="10" fillId="56" borderId="0" applyNumberFormat="0" applyBorder="0" applyAlignment="0" applyProtection="0"/>
    <xf numFmtId="0" fontId="67" fillId="57" borderId="0" applyNumberFormat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68" fillId="0" borderId="10" applyNumberFormat="0" applyFill="0" applyAlignment="0" applyProtection="0"/>
    <xf numFmtId="173" fontId="37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0" fillId="33" borderId="17" applyNumberFormat="0" applyFont="0" applyAlignment="0" applyProtection="0"/>
    <xf numFmtId="0" fontId="10" fillId="0" borderId="0"/>
    <xf numFmtId="0" fontId="10" fillId="0" borderId="0"/>
    <xf numFmtId="0" fontId="10" fillId="0" borderId="0"/>
    <xf numFmtId="0" fontId="15" fillId="0" borderId="0"/>
    <xf numFmtId="43" fontId="15" fillId="0" borderId="0" applyFont="0" applyFill="0" applyBorder="0" applyAlignment="0" applyProtection="0"/>
    <xf numFmtId="0" fontId="10" fillId="0" borderId="0"/>
    <xf numFmtId="0" fontId="10" fillId="0" borderId="0"/>
    <xf numFmtId="0" fontId="9" fillId="0" borderId="0"/>
    <xf numFmtId="174" fontId="8" fillId="0" borderId="0"/>
    <xf numFmtId="9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5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69" fillId="0" borderId="0"/>
    <xf numFmtId="0" fontId="6" fillId="0" borderId="0"/>
    <xf numFmtId="165" fontId="20" fillId="0" borderId="0"/>
    <xf numFmtId="0" fontId="71" fillId="0" borderId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167" fontId="2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28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2" fillId="0" borderId="0"/>
    <xf numFmtId="40" fontId="35" fillId="0" borderId="0" applyFont="0" applyFill="0" applyBorder="0" applyAlignment="0" applyProtection="0"/>
    <xf numFmtId="178" fontId="20" fillId="0" borderId="0"/>
    <xf numFmtId="178" fontId="20" fillId="0" borderId="0"/>
    <xf numFmtId="0" fontId="1" fillId="0" borderId="0"/>
    <xf numFmtId="0" fontId="74" fillId="0" borderId="0" applyNumberFormat="0" applyFill="0" applyBorder="0" applyAlignment="0" applyProtection="0"/>
    <xf numFmtId="0" fontId="75" fillId="29" borderId="0" applyNumberFormat="0" applyBorder="0" applyAlignment="0" applyProtection="0"/>
    <xf numFmtId="0" fontId="1" fillId="33" borderId="17" applyNumberFormat="0" applyFont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</cellStyleXfs>
  <cellXfs count="70">
    <xf numFmtId="0" fontId="0" fillId="0" borderId="0" xfId="0"/>
    <xf numFmtId="3" fontId="21" fillId="3" borderId="0" xfId="4" applyNumberFormat="1" applyFont="1" applyFill="1" applyBorder="1" applyAlignment="1">
      <alignment horizontal="right" vertical="center"/>
    </xf>
    <xf numFmtId="0" fontId="15" fillId="3" borderId="0" xfId="790" applyFont="1" applyFill="1"/>
    <xf numFmtId="0" fontId="15" fillId="0" borderId="0" xfId="790" applyFont="1" applyFill="1"/>
    <xf numFmtId="0" fontId="27" fillId="3" borderId="0" xfId="790" applyFont="1" applyFill="1" applyAlignment="1">
      <alignment vertical="center"/>
    </xf>
    <xf numFmtId="0" fontId="23" fillId="3" borderId="0" xfId="790" applyFont="1" applyFill="1" applyBorder="1"/>
    <xf numFmtId="0" fontId="23" fillId="3" borderId="0" xfId="790" applyFont="1" applyFill="1" applyAlignment="1">
      <alignment horizontal="right"/>
    </xf>
    <xf numFmtId="0" fontId="23" fillId="3" borderId="0" xfId="790" applyFont="1" applyFill="1" applyAlignment="1">
      <alignment horizontal="right" vertical="center"/>
    </xf>
    <xf numFmtId="0" fontId="22" fillId="3" borderId="0" xfId="790" applyFont="1" applyFill="1" applyAlignment="1">
      <alignment horizontal="right"/>
    </xf>
    <xf numFmtId="0" fontId="15" fillId="2" borderId="0" xfId="790" applyFont="1" applyFill="1"/>
    <xf numFmtId="3" fontId="21" fillId="3" borderId="0" xfId="790" applyNumberFormat="1" applyFont="1" applyFill="1" applyBorder="1" applyAlignment="1">
      <alignment horizontal="right" vertical="center"/>
    </xf>
    <xf numFmtId="0" fontId="16" fillId="3" borderId="0" xfId="790" applyFont="1" applyFill="1"/>
    <xf numFmtId="0" fontId="16" fillId="2" borderId="0" xfId="790" applyFont="1" applyFill="1"/>
    <xf numFmtId="0" fontId="16" fillId="0" borderId="0" xfId="790" applyFont="1" applyFill="1"/>
    <xf numFmtId="164" fontId="21" fillId="3" borderId="0" xfId="790" applyNumberFormat="1" applyFont="1" applyFill="1" applyBorder="1" applyAlignment="1">
      <alignment horizontal="right" vertical="center"/>
    </xf>
    <xf numFmtId="166" fontId="16" fillId="3" borderId="0" xfId="790" applyNumberFormat="1" applyFont="1" applyFill="1"/>
    <xf numFmtId="0" fontId="16" fillId="4" borderId="0" xfId="790" applyFont="1" applyFill="1"/>
    <xf numFmtId="3" fontId="16" fillId="3" borderId="0" xfId="790" applyNumberFormat="1" applyFont="1" applyFill="1"/>
    <xf numFmtId="0" fontId="22" fillId="3" borderId="0" xfId="708" applyFont="1" applyFill="1"/>
    <xf numFmtId="166" fontId="22" fillId="3" borderId="0" xfId="708" applyNumberFormat="1" applyFont="1" applyFill="1"/>
    <xf numFmtId="166" fontId="22" fillId="3" borderId="0" xfId="708" applyNumberFormat="1" applyFont="1" applyFill="1" applyAlignment="1">
      <alignment horizontal="right"/>
    </xf>
    <xf numFmtId="0" fontId="15" fillId="3" borderId="0" xfId="708" applyFill="1"/>
    <xf numFmtId="0" fontId="15" fillId="0" borderId="0" xfId="708" applyFill="1"/>
    <xf numFmtId="0" fontId="15" fillId="0" borderId="0" xfId="708"/>
    <xf numFmtId="0" fontId="15" fillId="0" borderId="0" xfId="708" applyAlignment="1">
      <alignment horizontal="right"/>
    </xf>
    <xf numFmtId="0" fontId="15" fillId="0" borderId="0" xfId="708" applyFill="1" applyAlignment="1">
      <alignment horizontal="right"/>
    </xf>
    <xf numFmtId="0" fontId="26" fillId="59" borderId="0" xfId="790" applyFont="1" applyFill="1" applyAlignment="1">
      <alignment vertical="center"/>
    </xf>
    <xf numFmtId="0" fontId="25" fillId="59" borderId="0" xfId="790" applyFont="1" applyFill="1" applyBorder="1"/>
    <xf numFmtId="3" fontId="25" fillId="59" borderId="0" xfId="790" applyNumberFormat="1" applyFont="1" applyFill="1" applyBorder="1"/>
    <xf numFmtId="3" fontId="25" fillId="59" borderId="0" xfId="790" applyNumberFormat="1" applyFont="1" applyFill="1" applyBorder="1" applyAlignment="1">
      <alignment horizontal="right"/>
    </xf>
    <xf numFmtId="0" fontId="25" fillId="59" borderId="0" xfId="790" applyFont="1" applyFill="1" applyAlignment="1">
      <alignment horizontal="right"/>
    </xf>
    <xf numFmtId="0" fontId="25" fillId="3" borderId="0" xfId="790" applyFont="1" applyFill="1" applyAlignment="1">
      <alignment vertical="center"/>
    </xf>
    <xf numFmtId="0" fontId="26" fillId="3" borderId="0" xfId="790" applyFont="1" applyFill="1" applyBorder="1"/>
    <xf numFmtId="0" fontId="26" fillId="3" borderId="0" xfId="790" applyFont="1" applyFill="1" applyAlignment="1">
      <alignment horizontal="right"/>
    </xf>
    <xf numFmtId="0" fontId="26" fillId="3" borderId="0" xfId="790" applyFont="1" applyFill="1" applyAlignment="1">
      <alignment horizontal="right" vertical="center"/>
    </xf>
    <xf numFmtId="0" fontId="25" fillId="59" borderId="0" xfId="790" applyFont="1" applyFill="1" applyAlignment="1">
      <alignment vertical="center"/>
    </xf>
    <xf numFmtId="168" fontId="25" fillId="59" borderId="0" xfId="4" applyNumberFormat="1" applyFont="1" applyFill="1" applyBorder="1"/>
    <xf numFmtId="164" fontId="25" fillId="59" borderId="0" xfId="790" applyNumberFormat="1" applyFont="1" applyFill="1" applyBorder="1"/>
    <xf numFmtId="3" fontId="25" fillId="59" borderId="0" xfId="790" applyNumberFormat="1" applyFont="1" applyFill="1" applyBorder="1" applyAlignment="1">
      <alignment horizontal="right" vertical="center"/>
    </xf>
    <xf numFmtId="167" fontId="25" fillId="3" borderId="0" xfId="4" applyNumberFormat="1" applyFont="1" applyFill="1" applyBorder="1"/>
    <xf numFmtId="1" fontId="25" fillId="3" borderId="0" xfId="790" applyNumberFormat="1" applyFont="1" applyFill="1" applyBorder="1"/>
    <xf numFmtId="3" fontId="25" fillId="3" borderId="0" xfId="790" applyNumberFormat="1" applyFont="1" applyFill="1" applyBorder="1" applyAlignment="1">
      <alignment horizontal="right" vertical="center"/>
    </xf>
    <xf numFmtId="167" fontId="25" fillId="59" borderId="0" xfId="4" applyNumberFormat="1" applyFont="1" applyFill="1" applyBorder="1"/>
    <xf numFmtId="4" fontId="25" fillId="59" borderId="0" xfId="790" applyNumberFormat="1" applyFont="1" applyFill="1" applyBorder="1" applyAlignment="1">
      <alignment horizontal="right" vertical="center"/>
    </xf>
    <xf numFmtId="164" fontId="25" fillId="59" borderId="0" xfId="790" applyNumberFormat="1" applyFont="1" applyFill="1" applyBorder="1" applyAlignment="1">
      <alignment horizontal="right" vertical="center"/>
    </xf>
    <xf numFmtId="167" fontId="25" fillId="4" borderId="0" xfId="4" applyNumberFormat="1" applyFont="1" applyFill="1" applyBorder="1"/>
    <xf numFmtId="3" fontId="25" fillId="4" borderId="0" xfId="790" applyNumberFormat="1" applyFont="1" applyFill="1" applyBorder="1"/>
    <xf numFmtId="3" fontId="25" fillId="3" borderId="0" xfId="4" applyNumberFormat="1" applyFont="1" applyFill="1" applyBorder="1" applyAlignment="1">
      <alignment horizontal="right" vertical="center"/>
    </xf>
    <xf numFmtId="166" fontId="25" fillId="4" borderId="0" xfId="790" applyNumberFormat="1" applyFont="1" applyFill="1"/>
    <xf numFmtId="3" fontId="25" fillId="59" borderId="0" xfId="790" applyNumberFormat="1" applyFont="1" applyFill="1"/>
    <xf numFmtId="3" fontId="25" fillId="59" borderId="0" xfId="12" applyNumberFormat="1" applyFont="1" applyFill="1" applyBorder="1" applyAlignment="1">
      <alignment horizontal="right"/>
    </xf>
    <xf numFmtId="167" fontId="25" fillId="4" borderId="0" xfId="4" applyNumberFormat="1" applyFont="1" applyFill="1"/>
    <xf numFmtId="3" fontId="25" fillId="4" borderId="0" xfId="790" applyNumberFormat="1" applyFont="1" applyFill="1"/>
    <xf numFmtId="167" fontId="25" fillId="59" borderId="0" xfId="4" applyNumberFormat="1" applyFont="1" applyFill="1"/>
    <xf numFmtId="3" fontId="3" fillId="59" borderId="0" xfId="790" applyNumberFormat="1" applyFont="1" applyFill="1" applyBorder="1" applyAlignment="1">
      <alignment horizontal="right" vertical="center"/>
    </xf>
    <xf numFmtId="3" fontId="3" fillId="3" borderId="0" xfId="790" applyNumberFormat="1" applyFont="1" applyFill="1" applyBorder="1" applyAlignment="1">
      <alignment horizontal="right" vertical="center"/>
    </xf>
    <xf numFmtId="0" fontId="17" fillId="3" borderId="0" xfId="790" applyFont="1" applyFill="1"/>
    <xf numFmtId="164" fontId="3" fillId="59" borderId="0" xfId="790" applyNumberFormat="1" applyFont="1" applyFill="1" applyBorder="1" applyAlignment="1">
      <alignment horizontal="right" vertical="center"/>
    </xf>
    <xf numFmtId="0" fontId="17" fillId="3" borderId="0" xfId="790" applyFont="1" applyFill="1" applyAlignment="1">
      <alignment horizontal="right" vertical="center"/>
    </xf>
    <xf numFmtId="3" fontId="73" fillId="3" borderId="0" xfId="790" applyNumberFormat="1" applyFont="1" applyFill="1" applyAlignment="1">
      <alignment vertical="center"/>
    </xf>
    <xf numFmtId="3" fontId="3" fillId="3" borderId="0" xfId="4" applyNumberFormat="1" applyFont="1" applyFill="1" applyBorder="1" applyAlignment="1">
      <alignment horizontal="right" vertical="center"/>
    </xf>
    <xf numFmtId="164" fontId="73" fillId="3" borderId="0" xfId="790" applyNumberFormat="1" applyFont="1" applyFill="1" applyAlignment="1">
      <alignment vertical="center"/>
    </xf>
    <xf numFmtId="3" fontId="3" fillId="59" borderId="0" xfId="4" applyNumberFormat="1" applyFont="1" applyFill="1" applyBorder="1" applyAlignment="1">
      <alignment horizontal="right" vertical="center"/>
    </xf>
    <xf numFmtId="165" fontId="30" fillId="3" borderId="0" xfId="12" applyFont="1" applyFill="1" applyAlignment="1">
      <alignment horizontal="left" vertical="center"/>
    </xf>
    <xf numFmtId="1" fontId="15" fillId="0" borderId="0" xfId="708" applyNumberFormat="1" applyAlignment="1">
      <alignment horizontal="right"/>
    </xf>
    <xf numFmtId="1" fontId="15" fillId="0" borderId="0" xfId="708" applyNumberFormat="1" applyFill="1" applyAlignment="1">
      <alignment horizontal="right"/>
    </xf>
    <xf numFmtId="1" fontId="15" fillId="0" borderId="0" xfId="708" applyNumberFormat="1" applyFill="1"/>
    <xf numFmtId="1" fontId="15" fillId="3" borderId="0" xfId="708" applyNumberFormat="1" applyFill="1"/>
    <xf numFmtId="3" fontId="15" fillId="0" borderId="0" xfId="708" applyNumberFormat="1" applyAlignment="1">
      <alignment horizontal="right"/>
    </xf>
    <xf numFmtId="0" fontId="29" fillId="58" borderId="0" xfId="781" applyFont="1" applyFill="1" applyAlignment="1">
      <alignment horizontal="left" vertical="center"/>
    </xf>
  </cellXfs>
  <cellStyles count="877">
    <cellStyle name="1" xfId="1"/>
    <cellStyle name="1 2" xfId="15"/>
    <cellStyle name="1 3" xfId="781"/>
    <cellStyle name="1 4" xfId="796"/>
    <cellStyle name="1 5" xfId="799"/>
    <cellStyle name="1_Indicators 2007" xfId="2"/>
    <cellStyle name="1_Indicators2007" xfId="3"/>
    <cellStyle name="1_Indicators2007 2" xfId="790"/>
    <cellStyle name="20% - Accent1" xfId="746" builtinId="30" customBuiltin="1"/>
    <cellStyle name="20% - Accent1 2" xfId="667"/>
    <cellStyle name="20% - Accent1 3" xfId="859"/>
    <cellStyle name="20% - Accent2" xfId="750" builtinId="34" customBuiltin="1"/>
    <cellStyle name="20% - Accent2 2" xfId="668"/>
    <cellStyle name="20% - Accent2 3" xfId="862"/>
    <cellStyle name="20% - Accent3" xfId="754" builtinId="38" customBuiltin="1"/>
    <cellStyle name="20% - Accent3 2" xfId="669"/>
    <cellStyle name="20% - Accent3 3" xfId="865"/>
    <cellStyle name="20% - Accent4" xfId="758" builtinId="42" customBuiltin="1"/>
    <cellStyle name="20% - Accent4 2" xfId="670"/>
    <cellStyle name="20% - Accent4 3" xfId="868"/>
    <cellStyle name="20% - Accent5" xfId="762" builtinId="46" customBuiltin="1"/>
    <cellStyle name="20% - Accent5 2" xfId="671"/>
    <cellStyle name="20% - Accent5 3" xfId="871"/>
    <cellStyle name="20% - Accent6" xfId="766" builtinId="50" customBuiltin="1"/>
    <cellStyle name="20% - Accent6 2" xfId="672"/>
    <cellStyle name="20% - Accent6 3" xfId="874"/>
    <cellStyle name="40% - Accent1" xfId="747" builtinId="31" customBuiltin="1"/>
    <cellStyle name="40% - Accent1 2" xfId="673"/>
    <cellStyle name="40% - Accent1 3" xfId="860"/>
    <cellStyle name="40% - Accent2" xfId="751" builtinId="35" customBuiltin="1"/>
    <cellStyle name="40% - Accent2 2" xfId="674"/>
    <cellStyle name="40% - Accent2 3" xfId="863"/>
    <cellStyle name="40% - Accent3" xfId="755" builtinId="39" customBuiltin="1"/>
    <cellStyle name="40% - Accent3 2" xfId="675"/>
    <cellStyle name="40% - Accent3 3" xfId="866"/>
    <cellStyle name="40% - Accent4" xfId="759" builtinId="43" customBuiltin="1"/>
    <cellStyle name="40% - Accent4 2" xfId="676"/>
    <cellStyle name="40% - Accent4 3" xfId="869"/>
    <cellStyle name="40% - Accent5" xfId="763" builtinId="47" customBuiltin="1"/>
    <cellStyle name="40% - Accent5 2" xfId="677"/>
    <cellStyle name="40% - Accent5 3" xfId="872"/>
    <cellStyle name="40% - Accent6" xfId="767" builtinId="51" customBuiltin="1"/>
    <cellStyle name="40% - Accent6 2" xfId="678"/>
    <cellStyle name="40% - Accent6 3" xfId="875"/>
    <cellStyle name="60% - Accent1" xfId="748" builtinId="32" customBuiltin="1"/>
    <cellStyle name="60% - Accent1 2" xfId="679"/>
    <cellStyle name="60% - Accent1 3" xfId="861"/>
    <cellStyle name="60% - Accent2" xfId="752" builtinId="36" customBuiltin="1"/>
    <cellStyle name="60% - Accent2 2" xfId="680"/>
    <cellStyle name="60% - Accent2 3" xfId="864"/>
    <cellStyle name="60% - Accent3" xfId="756" builtinId="40" customBuiltin="1"/>
    <cellStyle name="60% - Accent3 2" xfId="681"/>
    <cellStyle name="60% - Accent3 3" xfId="867"/>
    <cellStyle name="60% - Accent4" xfId="760" builtinId="44" customBuiltin="1"/>
    <cellStyle name="60% - Accent4 2" xfId="682"/>
    <cellStyle name="60% - Accent4 3" xfId="870"/>
    <cellStyle name="60% - Accent5" xfId="764" builtinId="48" customBuiltin="1"/>
    <cellStyle name="60% - Accent5 2" xfId="683"/>
    <cellStyle name="60% - Accent5 3" xfId="873"/>
    <cellStyle name="60% - Accent6" xfId="768" builtinId="52" customBuiltin="1"/>
    <cellStyle name="60% - Accent6 2" xfId="684"/>
    <cellStyle name="60% - Accent6 3" xfId="876"/>
    <cellStyle name="Accent1" xfId="745" builtinId="29" customBuiltin="1"/>
    <cellStyle name="Accent1 2" xfId="685"/>
    <cellStyle name="Accent2" xfId="749" builtinId="33" customBuiltin="1"/>
    <cellStyle name="Accent2 2" xfId="686"/>
    <cellStyle name="Accent3" xfId="753" builtinId="37" customBuiltin="1"/>
    <cellStyle name="Accent3 2" xfId="687"/>
    <cellStyle name="Accent4" xfId="757" builtinId="41" customBuiltin="1"/>
    <cellStyle name="Accent4 2" xfId="688"/>
    <cellStyle name="Accent5" xfId="761" builtinId="45" customBuiltin="1"/>
    <cellStyle name="Accent5 2" xfId="689"/>
    <cellStyle name="Accent6" xfId="765" builtinId="49" customBuiltin="1"/>
    <cellStyle name="Accent6 2" xfId="690"/>
    <cellStyle name="Bad" xfId="735" builtinId="27" customBuiltin="1"/>
    <cellStyle name="Bad 2" xfId="691"/>
    <cellStyle name="Calculation" xfId="739" builtinId="22" customBuiltin="1"/>
    <cellStyle name="Calculation 2" xfId="692"/>
    <cellStyle name="Check Cell" xfId="741" builtinId="23" customBuiltin="1"/>
    <cellStyle name="Check Cell 2" xfId="693"/>
    <cellStyle name="Comma" xfId="4" builtinId="3"/>
    <cellStyle name="Comma 10" xfId="792"/>
    <cellStyle name="Comma 11" xfId="800"/>
    <cellStyle name="Comma 2" xfId="5"/>
    <cellStyle name="Comma 2 2" xfId="665"/>
    <cellStyle name="Comma 2 2 2" xfId="802"/>
    <cellStyle name="Comma 2 3" xfId="775"/>
    <cellStyle name="Comma 2 4" xfId="782"/>
    <cellStyle name="Comma 2 5" xfId="801"/>
    <cellStyle name="Comma 2 6" xfId="852"/>
    <cellStyle name="Comma 3" xfId="6"/>
    <cellStyle name="Comma 3 2" xfId="694"/>
    <cellStyle name="Comma 3 3" xfId="803"/>
    <cellStyle name="Comma 4" xfId="13"/>
    <cellStyle name="Comma 4 2" xfId="804"/>
    <cellStyle name="Comma 5" xfId="17"/>
    <cellStyle name="Comma 5 2" xfId="805"/>
    <cellStyle name="Comma 6" xfId="20"/>
    <cellStyle name="Comma 6 2" xfId="806"/>
    <cellStyle name="Comma 7" xfId="725"/>
    <cellStyle name="Comma 8" xfId="770"/>
    <cellStyle name="Comma 9" xfId="789"/>
    <cellStyle name="Explanatory Text" xfId="743" builtinId="53" customBuiltin="1"/>
    <cellStyle name="Explanatory Text 2" xfId="695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Good" xfId="734" builtinId="26" customBuiltin="1"/>
    <cellStyle name="Good 2" xfId="696"/>
    <cellStyle name="Heading 1" xfId="730" builtinId="16" customBuiltin="1"/>
    <cellStyle name="Heading 1 2" xfId="697"/>
    <cellStyle name="Heading 1 2 2" xfId="774"/>
    <cellStyle name="Heading 2" xfId="731" builtinId="17" customBuiltin="1"/>
    <cellStyle name="Heading 2 2" xfId="698"/>
    <cellStyle name="Heading 3" xfId="732" builtinId="18" customBuiltin="1"/>
    <cellStyle name="Heading 3 2" xfId="699"/>
    <cellStyle name="Heading 4" xfId="733" builtinId="19" customBuiltin="1"/>
    <cellStyle name="Heading 4 2" xfId="700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Input" xfId="737" builtinId="20" customBuiltin="1"/>
    <cellStyle name="Input 2" xfId="701"/>
    <cellStyle name="Linked Cell" xfId="740" builtinId="24" customBuiltin="1"/>
    <cellStyle name="Linked Cell 2" xfId="702"/>
    <cellStyle name="Neutral" xfId="736" builtinId="28" customBuiltin="1"/>
    <cellStyle name="Neutral 2" xfId="703"/>
    <cellStyle name="Neutral 3" xfId="857"/>
    <cellStyle name="Normal" xfId="0" builtinId="0"/>
    <cellStyle name="Normal - Style1" xfId="704"/>
    <cellStyle name="Normal 10" xfId="705"/>
    <cellStyle name="Normal 10 2" xfId="807"/>
    <cellStyle name="Normal 11" xfId="706"/>
    <cellStyle name="Normal 12" xfId="707"/>
    <cellStyle name="Normal 12 2" xfId="808"/>
    <cellStyle name="Normal 13" xfId="666"/>
    <cellStyle name="Normal 13 2" xfId="809"/>
    <cellStyle name="Normal 14" xfId="722"/>
    <cellStyle name="Normal 14 2" xfId="810"/>
    <cellStyle name="Normal 15" xfId="723"/>
    <cellStyle name="Normal 15 2" xfId="811"/>
    <cellStyle name="Normal 16" xfId="662"/>
    <cellStyle name="Normal 16 2" xfId="812"/>
    <cellStyle name="Normal 17" xfId="724"/>
    <cellStyle name="Normal 17 2" xfId="813"/>
    <cellStyle name="Normal 18" xfId="726"/>
    <cellStyle name="Normal 18 2" xfId="814"/>
    <cellStyle name="Normal 19" xfId="727"/>
    <cellStyle name="Normal 19 2" xfId="815"/>
    <cellStyle name="Normal 2" xfId="7"/>
    <cellStyle name="Normal 2 2" xfId="18"/>
    <cellStyle name="Normal 2 2 2" xfId="8"/>
    <cellStyle name="Normal 2 2 3" xfId="708"/>
    <cellStyle name="Normal 2 2 4" xfId="778"/>
    <cellStyle name="Normal 2 2 5" xfId="816"/>
    <cellStyle name="Normal 2 3" xfId="21"/>
    <cellStyle name="Normal 2 3 2" xfId="817"/>
    <cellStyle name="Normal 2 4" xfId="663"/>
    <cellStyle name="Normal 2 5" xfId="794"/>
    <cellStyle name="Normal 20" xfId="728"/>
    <cellStyle name="Normal 20 2" xfId="818"/>
    <cellStyle name="Normal 21" xfId="769"/>
    <cellStyle name="Normal 21 2" xfId="819"/>
    <cellStyle name="Normal 22" xfId="771"/>
    <cellStyle name="Normal 22 2" xfId="820"/>
    <cellStyle name="Normal 23" xfId="772"/>
    <cellStyle name="Normal 23 2" xfId="821"/>
    <cellStyle name="Normal 24" xfId="773"/>
    <cellStyle name="Normal 24 2" xfId="822"/>
    <cellStyle name="Normal 25" xfId="779"/>
    <cellStyle name="Normal 25 2" xfId="823"/>
    <cellStyle name="Normal 26" xfId="780"/>
    <cellStyle name="Normal 26 2" xfId="824"/>
    <cellStyle name="Normal 27" xfId="783"/>
    <cellStyle name="Normal 27 2" xfId="825"/>
    <cellStyle name="Normal 28" xfId="784"/>
    <cellStyle name="Normal 28 2" xfId="826"/>
    <cellStyle name="Normal 29" xfId="785"/>
    <cellStyle name="Normal 29 2" xfId="827"/>
    <cellStyle name="Normal 3" xfId="9"/>
    <cellStyle name="Normal 3 2" xfId="709"/>
    <cellStyle name="Normal 3 2 2" xfId="829"/>
    <cellStyle name="Normal 3 3" xfId="797"/>
    <cellStyle name="Normal 3 3 2" xfId="830"/>
    <cellStyle name="Normal 3 4" xfId="828"/>
    <cellStyle name="Normal 3_agri planning 2009 year book(final)" xfId="854"/>
    <cellStyle name="Normal 30" xfId="786"/>
    <cellStyle name="Normal 30 2" xfId="831"/>
    <cellStyle name="Normal 31" xfId="788"/>
    <cellStyle name="Normal 31 2" xfId="832"/>
    <cellStyle name="Normal 32" xfId="791"/>
    <cellStyle name="Normal 32 2" xfId="833"/>
    <cellStyle name="Normal 33" xfId="795"/>
    <cellStyle name="Normal 33 2" xfId="834"/>
    <cellStyle name="Normal 34" xfId="835"/>
    <cellStyle name="Normal 35" xfId="836"/>
    <cellStyle name="Normal 36" xfId="837"/>
    <cellStyle name="Normal 37" xfId="838"/>
    <cellStyle name="Normal 38" xfId="839"/>
    <cellStyle name="Normal 39" xfId="840"/>
    <cellStyle name="Normal 4" xfId="10"/>
    <cellStyle name="Normal 4 2" xfId="710"/>
    <cellStyle name="Normal 4 2 2" xfId="841"/>
    <cellStyle name="Normal 4 3" xfId="798"/>
    <cellStyle name="Normal 4_agri planning 2009 year book(final)" xfId="853"/>
    <cellStyle name="Normal 40" xfId="842"/>
    <cellStyle name="Normal 41" xfId="843"/>
    <cellStyle name="Normal 42" xfId="844"/>
    <cellStyle name="Normal 43" xfId="845"/>
    <cellStyle name="Normal 44" xfId="846"/>
    <cellStyle name="Normal 45" xfId="848"/>
    <cellStyle name="Normal 46" xfId="849"/>
    <cellStyle name="Normal 47" xfId="850"/>
    <cellStyle name="Normal 48" xfId="851"/>
    <cellStyle name="Normal 49" xfId="855"/>
    <cellStyle name="Normal 5" xfId="11"/>
    <cellStyle name="Normal 5 2" xfId="711"/>
    <cellStyle name="Normal 6" xfId="14"/>
    <cellStyle name="Normal 6 2" xfId="712"/>
    <cellStyle name="Normal 7" xfId="16"/>
    <cellStyle name="Normal 7 2" xfId="713"/>
    <cellStyle name="Normal 8" xfId="19"/>
    <cellStyle name="Normal 8 2" xfId="714"/>
    <cellStyle name="Normal 9" xfId="664"/>
    <cellStyle name="Normal 9 2" xfId="715"/>
    <cellStyle name="Normal 9 3" xfId="847"/>
    <cellStyle name="Normal_XII-1 (Commerce)" xfId="12"/>
    <cellStyle name="Note 2" xfId="716"/>
    <cellStyle name="Note 3" xfId="777"/>
    <cellStyle name="Note 4" xfId="858"/>
    <cellStyle name="Output" xfId="738" builtinId="21" customBuiltin="1"/>
    <cellStyle name="Output 2" xfId="717"/>
    <cellStyle name="Percent 2" xfId="718"/>
    <cellStyle name="Percent 2 2" xfId="776"/>
    <cellStyle name="Percent 3" xfId="787"/>
    <cellStyle name="Percent 4" xfId="793"/>
    <cellStyle name="Title" xfId="729" builtinId="15" customBuiltin="1"/>
    <cellStyle name="Title 2" xfId="719"/>
    <cellStyle name="Title 3" xfId="856"/>
    <cellStyle name="Total" xfId="744" builtinId="25" customBuiltin="1"/>
    <cellStyle name="Total 2" xfId="720"/>
    <cellStyle name="Warning Text" xfId="742" builtinId="11" customBuiltin="1"/>
    <cellStyle name="Warning Text 2" xfId="7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E7B7"/>
      <color rgb="FFFFC757"/>
      <color rgb="FFCC6600"/>
      <color rgb="FFDE6F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0"/>
    </mc:Choice>
    <mc:Fallback>
      <c:style val="20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51858487748911E-2"/>
          <c:y val="0.15703787026621674"/>
          <c:w val="0.8828898109293225"/>
          <c:h val="0.717377587735307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'Annual nationa accounts'!$A$13</c:f>
              <c:strCache>
                <c:ptCount val="1"/>
                <c:pt idx="0">
                  <c:v>GDP per Capita at Current Prices (US$)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numRef>
              <c:f>'Annual nationa accounts'!$K$4:$X$4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'Annual nationa accounts'!$B$13:$X$13</c:f>
              <c:numCache>
                <c:formatCode>#,##0</c:formatCode>
                <c:ptCount val="14"/>
                <c:pt idx="0">
                  <c:v>3299.9333690023182</c:v>
                </c:pt>
                <c:pt idx="1">
                  <c:v>3741.5546071902831</c:v>
                </c:pt>
                <c:pt idx="2">
                  <c:v>3435.8929632733366</c:v>
                </c:pt>
                <c:pt idx="3">
                  <c:v>4445.1102696777498</c:v>
                </c:pt>
                <c:pt idx="4">
                  <c:v>4983.1000358546089</c:v>
                </c:pt>
                <c:pt idx="5">
                  <c:v>5818.5571935041798</c:v>
                </c:pt>
                <c:pt idx="6">
                  <c:v>6094.8253218367518</c:v>
                </c:pt>
                <c:pt idx="7">
                  <c:v>6576.0181168954159</c:v>
                </c:pt>
                <c:pt idx="8">
                  <c:v>6842.3365773095393</c:v>
                </c:pt>
                <c:pt idx="9">
                  <c:v>6891.4401854373828</c:v>
                </c:pt>
                <c:pt idx="10">
                  <c:v>7660.0081178787968</c:v>
                </c:pt>
                <c:pt idx="11">
                  <c:v>8428.7118745966709</c:v>
                </c:pt>
                <c:pt idx="12">
                  <c:v>8785.8269459938601</c:v>
                </c:pt>
                <c:pt idx="13">
                  <c:v>8932.801714079671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D-49C4-B0E4-CB4B9B381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8449504"/>
        <c:axId val="948450048"/>
      </c:barChart>
      <c:catAx>
        <c:axId val="948449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9484500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48450048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US$</a:t>
                </a:r>
              </a:p>
            </c:rich>
          </c:tx>
          <c:layout>
            <c:manualLayout>
              <c:xMode val="edge"/>
              <c:yMode val="edge"/>
              <c:x val="2.3741123412872885E-2"/>
              <c:y val="5.1788085312865301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94844950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967632694060005"/>
          <c:y val="0.21605463352770676"/>
          <c:w val="0.40711696062146824"/>
          <c:h val="0.13802711860742869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0"/>
    </mc:Choice>
    <mc:Fallback>
      <c:style val="20"/>
    </mc:Fallback>
  </mc:AlternateContent>
  <c:chart>
    <c:title>
      <c:tx>
        <c:rich>
          <a:bodyPr/>
          <a:lstStyle/>
          <a:p>
            <a:pPr>
              <a:defRPr sz="1200">
                <a:latin typeface="Candara" pitchFamily="34" charset="0"/>
              </a:defRPr>
            </a:pPr>
            <a:r>
              <a:rPr lang="en-US" sz="1200">
                <a:latin typeface="Candara" pitchFamily="34" charset="0"/>
              </a:rPr>
              <a:t>GDP and GDP growth rates, 2003 - 2016</a:t>
            </a:r>
          </a:p>
        </c:rich>
      </c:tx>
      <c:layout>
        <c:manualLayout>
          <c:xMode val="edge"/>
          <c:yMode val="edge"/>
          <c:x val="0.28246401851920377"/>
          <c:y val="4.835385267563203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5505975287720234E-2"/>
          <c:y val="0.19302720637228407"/>
          <c:w val="0.84514858056536035"/>
          <c:h val="0.668134322715833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'Annual nationa accounts'!$AN$7</c:f>
              <c:strCache>
                <c:ptCount val="1"/>
                <c:pt idx="0">
                  <c:v>G.D.P  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numRef>
              <c:f>'Annual nationa accounts'!$AO$6:$BB$6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'Annual nationa accounts'!$AO$7:$BB$7</c:f>
              <c:numCache>
                <c:formatCode>#,##0</c:formatCode>
                <c:ptCount val="14"/>
                <c:pt idx="0">
                  <c:v>32549.843486576756</c:v>
                </c:pt>
                <c:pt idx="1">
                  <c:v>34513.82099843047</c:v>
                </c:pt>
                <c:pt idx="2">
                  <c:v>29982.483038952345</c:v>
                </c:pt>
                <c:pt idx="3">
                  <c:v>37811.357063575881</c:v>
                </c:pt>
                <c:pt idx="4">
                  <c:v>40728.07496956081</c:v>
                </c:pt>
                <c:pt idx="5">
                  <c:v>44591.268440077329</c:v>
                </c:pt>
                <c:pt idx="6">
                  <c:v>41367.83626223584</c:v>
                </c:pt>
                <c:pt idx="7">
                  <c:v>44373.263009045702</c:v>
                </c:pt>
                <c:pt idx="8">
                  <c:v>48174.602246722294</c:v>
                </c:pt>
                <c:pt idx="9">
                  <c:v>49387.341903578039</c:v>
                </c:pt>
                <c:pt idx="10">
                  <c:v>52983.270832843715</c:v>
                </c:pt>
                <c:pt idx="11">
                  <c:v>56866.735960734506</c:v>
                </c:pt>
                <c:pt idx="12">
                  <c:v>58143.91986324871</c:v>
                </c:pt>
                <c:pt idx="13">
                  <c:v>61727.421711638759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4-4AFC-9B22-574794A4E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8451680"/>
        <c:axId val="948455488"/>
      </c:barChart>
      <c:lineChart>
        <c:grouping val="standard"/>
        <c:varyColors val="0"/>
        <c:ser>
          <c:idx val="0"/>
          <c:order val="1"/>
          <c:tx>
            <c:strRef>
              <c:f>'Annual nationa accounts'!$AN$8</c:f>
              <c:strCache>
                <c:ptCount val="1"/>
                <c:pt idx="0">
                  <c:v> Growth Rates</c:v>
                </c:pt>
              </c:strCache>
            </c:strRef>
          </c:tx>
          <c:spPr>
            <a:ln w="19050">
              <a:solidFill>
                <a:srgbClr val="CC6600"/>
              </a:solidFill>
            </a:ln>
          </c:spPr>
          <c:marker>
            <c:symbol val="diamond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12700">
                <a:solidFill>
                  <a:schemeClr val="accent6">
                    <a:lumMod val="50000"/>
                  </a:schemeClr>
                </a:solidFill>
              </a:ln>
            </c:spPr>
          </c:marker>
          <c:cat>
            <c:numRef>
              <c:f>'Annual nationa accounts'!$AO$6:$BB$6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'Annual nationa accounts'!$AO$8:$BB$8</c:f>
              <c:numCache>
                <c:formatCode>#,##0.0</c:formatCode>
                <c:ptCount val="14"/>
                <c:pt idx="0">
                  <c:v>0</c:v>
                </c:pt>
                <c:pt idx="1">
                  <c:v>6.0337540875231577</c:v>
                </c:pt>
                <c:pt idx="2">
                  <c:v>-13.129053313697693</c:v>
                </c:pt>
                <c:pt idx="3">
                  <c:v>26.11149321573032</c:v>
                </c:pt>
                <c:pt idx="4">
                  <c:v>7.7138672941063025</c:v>
                </c:pt>
                <c:pt idx="5">
                  <c:v>9.4853328408076578</c:v>
                </c:pt>
                <c:pt idx="6">
                  <c:v>-7.2288416333641692</c:v>
                </c:pt>
                <c:pt idx="7">
                  <c:v>7.2651291881888458</c:v>
                </c:pt>
                <c:pt idx="8">
                  <c:v>8.5667336136665782</c:v>
                </c:pt>
                <c:pt idx="9">
                  <c:v>2.5173838501972412</c:v>
                </c:pt>
                <c:pt idx="10">
                  <c:v>7.2810740377285965</c:v>
                </c:pt>
                <c:pt idx="11">
                  <c:v>7.3296062452291588</c:v>
                </c:pt>
                <c:pt idx="12">
                  <c:v>2.2459244071896034</c:v>
                </c:pt>
                <c:pt idx="13">
                  <c:v>6.1631583436724702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4-4AFC-9B22-574794A4E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8462016"/>
        <c:axId val="948456576"/>
      </c:lineChart>
      <c:catAx>
        <c:axId val="94845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9484554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948455488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million MVR</a:t>
                </a:r>
              </a:p>
            </c:rich>
          </c:tx>
          <c:layout>
            <c:manualLayout>
              <c:xMode val="edge"/>
              <c:yMode val="edge"/>
              <c:x val="5.9961186886249044E-3"/>
              <c:y val="8.2080255431988533E-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948451680"/>
        <c:crosses val="autoZero"/>
        <c:crossBetween val="between"/>
      </c:valAx>
      <c:catAx>
        <c:axId val="94846201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0.89463264766322814"/>
              <c:y val="8.3856431526306119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48456576"/>
        <c:crosses val="autoZero"/>
        <c:auto val="0"/>
        <c:lblAlgn val="ctr"/>
        <c:lblOffset val="100"/>
        <c:noMultiLvlLbl val="0"/>
      </c:catAx>
      <c:valAx>
        <c:axId val="948456576"/>
        <c:scaling>
          <c:orientation val="minMax"/>
        </c:scaling>
        <c:delete val="0"/>
        <c:axPos val="r"/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948462016"/>
        <c:crosses val="max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5953212153303782"/>
          <c:y val="0.23746480143590298"/>
          <c:w val="0.40109351198403537"/>
          <c:h val="7.3529601903210368E-2"/>
        </c:manualLayout>
      </c:layout>
      <c:overlay val="0"/>
    </c:legend>
    <c:plotVisOnly val="1"/>
    <c:dispBlanksAs val="gap"/>
    <c:showDLblsOverMax val="0"/>
  </c:chart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409574</xdr:colOff>
      <xdr:row>15</xdr:row>
      <xdr:rowOff>73219</xdr:rowOff>
    </xdr:from>
    <xdr:to>
      <xdr:col>23</xdr:col>
      <xdr:colOff>457199</xdr:colOff>
      <xdr:row>32</xdr:row>
      <xdr:rowOff>96079</xdr:rowOff>
    </xdr:to>
    <xdr:graphicFrame macro="">
      <xdr:nvGraphicFramePr>
        <xdr:cNvPr id="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110492</xdr:colOff>
      <xdr:row>15</xdr:row>
      <xdr:rowOff>57149</xdr:rowOff>
    </xdr:from>
    <xdr:to>
      <xdr:col>13</xdr:col>
      <xdr:colOff>266700</xdr:colOff>
      <xdr:row>32</xdr:row>
      <xdr:rowOff>76199</xdr:rowOff>
    </xdr:to>
    <xdr:graphicFrame macro="">
      <xdr:nvGraphicFramePr>
        <xdr:cNvPr id="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0.18782</cdr:x>
      <cdr:y>0.08235</cdr:y>
    </cdr:from>
    <cdr:to>
      <cdr:x>0.83883</cdr:x>
      <cdr:y>0.21681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27760" y="186690"/>
          <a:ext cx="390906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0.30994</cdr:x>
      <cdr:y>0.03198</cdr:y>
    </cdr:from>
    <cdr:to>
      <cdr:x>0.81804</cdr:x>
      <cdr:y>0.13295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833303" y="88763"/>
          <a:ext cx="3005398" cy="2802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latin typeface="Candara" pitchFamily="34" charset="0"/>
            </a:rPr>
            <a:t>GDP per capita (at current price),  2003 - 2016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%20request\STAFF\Niyaf(ST2)\yearbook%202010\df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issemination\Publications\Statistical%20%20Year%20Book\YEARBOOK%202015\FINAL%20TABLES\20.%20POLITICAL%20PARTIES%20AND%20ELECTIONS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Health"/>
      <sheetName val="6edu"/>
      <sheetName val="Law &amp; Ord"/>
      <sheetName val="Fisher"/>
      <sheetName val="Touri"/>
      <sheetName val="Electri"/>
      <sheetName val="11Transp"/>
      <sheetName val="Finance"/>
      <sheetName val="Money &amp; banking"/>
      <sheetName val="Foerign trade &amp; BOP"/>
      <sheetName val="NA (2)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N2">
            <v>2002</v>
          </cell>
          <cell r="O2">
            <v>2003</v>
          </cell>
          <cell r="P2">
            <v>2004</v>
          </cell>
          <cell r="Q2">
            <v>2005</v>
          </cell>
          <cell r="R2">
            <v>2006</v>
          </cell>
          <cell r="S2">
            <v>2007</v>
          </cell>
          <cell r="T2">
            <v>2008</v>
          </cell>
          <cell r="U2">
            <v>2009</v>
          </cell>
        </row>
        <row r="13">
          <cell r="N13">
            <v>-2.4054278619519698</v>
          </cell>
          <cell r="O13">
            <v>-3.0436506791225892</v>
          </cell>
          <cell r="P13">
            <v>3.25290202078381</v>
          </cell>
          <cell r="Q13">
            <v>4.5754348602195627</v>
          </cell>
          <cell r="R13">
            <v>5.1062145261893122</v>
          </cell>
          <cell r="S13">
            <v>11.491055549930307</v>
          </cell>
          <cell r="T13">
            <v>13.234218095589867</v>
          </cell>
          <cell r="U13">
            <v>-7.3809540681446517E-2</v>
          </cell>
          <cell r="V13" t="str">
            <v>Overall</v>
          </cell>
        </row>
        <row r="14">
          <cell r="N14">
            <v>-5.9857814362243467</v>
          </cell>
          <cell r="O14">
            <v>-1.7776814712484823</v>
          </cell>
          <cell r="P14">
            <v>5.1486626520646395</v>
          </cell>
          <cell r="Q14">
            <v>-2.005175416383842</v>
          </cell>
          <cell r="R14">
            <v>9.3225845762368031</v>
          </cell>
          <cell r="S14">
            <v>6.8068055598896171</v>
          </cell>
          <cell r="T14">
            <v>8.8486419027872021</v>
          </cell>
          <cell r="U14">
            <v>9.8956340530212739</v>
          </cell>
          <cell r="V14" t="str">
            <v>Resorts and hotels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 "/>
      <sheetName val="20.2"/>
      <sheetName val="20.3"/>
      <sheetName val="20.4"/>
      <sheetName val="20.5"/>
      <sheetName val="20.6"/>
      <sheetName val="20.7"/>
      <sheetName val="20.8"/>
      <sheetName val="20.9"/>
    </sheetNames>
    <sheetDataSet>
      <sheetData sheetId="0"/>
      <sheetData sheetId="1">
        <row r="16">
          <cell r="I16" t="str">
            <v>Presidential election, 2008</v>
          </cell>
          <cell r="K16">
            <v>61599484.75</v>
          </cell>
        </row>
        <row r="17">
          <cell r="I17" t="str">
            <v>Parliamentary election,2009</v>
          </cell>
          <cell r="K17">
            <v>22069176.829999998</v>
          </cell>
        </row>
        <row r="18">
          <cell r="I18" t="str">
            <v>No election in 2010</v>
          </cell>
        </row>
        <row r="19">
          <cell r="I19" t="str">
            <v>Local Council elections ,2011</v>
          </cell>
          <cell r="K19">
            <v>45434174.030000001</v>
          </cell>
        </row>
        <row r="20">
          <cell r="I20" t="str">
            <v>Presidential election, 2013</v>
          </cell>
          <cell r="K20">
            <v>76487272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FZ83"/>
  <sheetViews>
    <sheetView showGridLines="0" tabSelected="1" zoomScaleNormal="100" zoomScaleSheetLayoutView="100" workbookViewId="0">
      <selection activeCell="Y28" sqref="Y28"/>
    </sheetView>
  </sheetViews>
  <sheetFormatPr defaultRowHeight="12.75"/>
  <cols>
    <col min="1" max="1" width="48.5703125" style="23" customWidth="1"/>
    <col min="2" max="3" width="9.7109375" style="23" hidden="1" customWidth="1"/>
    <col min="4" max="4" width="8.85546875" style="23" hidden="1" customWidth="1"/>
    <col min="5" max="8" width="9.7109375" style="23" hidden="1" customWidth="1"/>
    <col min="9" max="9" width="8.7109375" style="24" hidden="1" customWidth="1"/>
    <col min="10" max="10" width="5.5703125" style="24" hidden="1" customWidth="1"/>
    <col min="11" max="11" width="8.140625" style="24" bestFit="1" customWidth="1"/>
    <col min="12" max="12" width="10.85546875" style="24" customWidth="1"/>
    <col min="13" max="16" width="8.7109375" style="24" customWidth="1"/>
    <col min="17" max="19" width="8.7109375" style="25" customWidth="1"/>
    <col min="20" max="21" width="8.7109375" style="22" customWidth="1"/>
    <col min="22" max="22" width="9.140625" style="21"/>
    <col min="23" max="23" width="9.140625" style="21" customWidth="1"/>
    <col min="24" max="24" width="9.140625" style="21"/>
    <col min="25" max="25" width="13.28515625" style="21" customWidth="1"/>
    <col min="26" max="26" width="13.140625" style="21" customWidth="1"/>
    <col min="27" max="100" width="9.140625" style="21"/>
    <col min="101" max="182" width="9.140625" style="22"/>
    <col min="183" max="16384" width="9.140625" style="23"/>
  </cols>
  <sheetData>
    <row r="1" spans="1:100" s="3" customFormat="1" ht="30.75" customHeight="1">
      <c r="A1" s="69" t="s">
        <v>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</row>
    <row r="2" spans="1:100" s="3" customFormat="1">
      <c r="A2" s="4"/>
      <c r="B2" s="5"/>
      <c r="C2" s="6"/>
      <c r="D2" s="6"/>
      <c r="E2" s="6"/>
      <c r="F2" s="6"/>
      <c r="G2" s="6"/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0" s="9" customFormat="1" ht="21" customHeight="1">
      <c r="A3" s="26" t="s">
        <v>7</v>
      </c>
      <c r="B3" s="27"/>
      <c r="C3" s="28"/>
      <c r="D3" s="28"/>
      <c r="E3" s="28"/>
      <c r="F3" s="28"/>
      <c r="G3" s="28"/>
      <c r="H3" s="28"/>
      <c r="I3" s="29"/>
      <c r="J3" s="29"/>
      <c r="K3" s="29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spans="1:100" s="3" customFormat="1" ht="15.75" customHeight="1">
      <c r="A4" s="31"/>
      <c r="B4" s="32">
        <v>1990</v>
      </c>
      <c r="C4" s="33">
        <v>1995</v>
      </c>
      <c r="D4" s="33">
        <v>1996</v>
      </c>
      <c r="E4" s="33">
        <v>1997</v>
      </c>
      <c r="F4" s="33">
        <v>1998</v>
      </c>
      <c r="G4" s="33">
        <v>1999</v>
      </c>
      <c r="H4" s="33">
        <v>2000</v>
      </c>
      <c r="I4" s="34">
        <v>2001</v>
      </c>
      <c r="J4" s="34">
        <v>2002</v>
      </c>
      <c r="K4" s="34">
        <v>2003</v>
      </c>
      <c r="L4" s="34">
        <v>2004</v>
      </c>
      <c r="M4" s="34">
        <v>2005</v>
      </c>
      <c r="N4" s="34">
        <v>2006</v>
      </c>
      <c r="O4" s="34">
        <v>2007</v>
      </c>
      <c r="P4" s="34">
        <v>2008</v>
      </c>
      <c r="Q4" s="34">
        <v>2009</v>
      </c>
      <c r="R4" s="34">
        <v>2010</v>
      </c>
      <c r="S4" s="34">
        <v>2011</v>
      </c>
      <c r="T4" s="34">
        <v>2012</v>
      </c>
      <c r="U4" s="34">
        <v>2013</v>
      </c>
      <c r="V4" s="34">
        <v>2014</v>
      </c>
      <c r="W4" s="34">
        <v>2015</v>
      </c>
      <c r="X4" s="34">
        <v>2016</v>
      </c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</row>
    <row r="5" spans="1:100" s="12" customFormat="1" ht="20.25" customHeight="1">
      <c r="A5" s="35" t="s">
        <v>9</v>
      </c>
      <c r="B5" s="36">
        <v>3084.5</v>
      </c>
      <c r="C5" s="37">
        <v>7079.6545810114758</v>
      </c>
      <c r="D5" s="37">
        <v>7679.7779494458464</v>
      </c>
      <c r="E5" s="37">
        <v>8438.6984268402302</v>
      </c>
      <c r="F5" s="37">
        <v>9245.205634802136</v>
      </c>
      <c r="G5" s="37">
        <v>9868.1534419767759</v>
      </c>
      <c r="H5" s="37">
        <v>10263.834905379899</v>
      </c>
      <c r="I5" s="38">
        <v>10038.695913926229</v>
      </c>
      <c r="J5" s="38">
        <v>10650.84990509053</v>
      </c>
      <c r="K5" s="54">
        <v>32549.843486576756</v>
      </c>
      <c r="L5" s="54">
        <v>34513.82099843047</v>
      </c>
      <c r="M5" s="54">
        <v>29982.483038952345</v>
      </c>
      <c r="N5" s="54">
        <v>37811.357063575881</v>
      </c>
      <c r="O5" s="54">
        <v>40728.07496956081</v>
      </c>
      <c r="P5" s="54">
        <v>44591.268440077329</v>
      </c>
      <c r="Q5" s="54">
        <v>41367.83626223584</v>
      </c>
      <c r="R5" s="54">
        <v>44373.263009045702</v>
      </c>
      <c r="S5" s="54">
        <v>48174.602246722294</v>
      </c>
      <c r="T5" s="54">
        <v>49387.341903578039</v>
      </c>
      <c r="U5" s="54">
        <v>52983.270832843715</v>
      </c>
      <c r="V5" s="54">
        <v>56866.735960734506</v>
      </c>
      <c r="W5" s="54">
        <v>58143.91986324871</v>
      </c>
      <c r="X5" s="54">
        <v>61727.421711638759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</row>
    <row r="6" spans="1:100" s="13" customFormat="1" ht="20.25" customHeight="1">
      <c r="A6" s="31" t="s">
        <v>10</v>
      </c>
      <c r="B6" s="39">
        <v>262.10000000000002</v>
      </c>
      <c r="C6" s="40">
        <v>553.0980141415215</v>
      </c>
      <c r="D6" s="40">
        <v>599.98265230045672</v>
      </c>
      <c r="E6" s="40">
        <v>659.27331459689299</v>
      </c>
      <c r="F6" s="40">
        <v>722.28169021891688</v>
      </c>
      <c r="G6" s="40">
        <v>770.94948765443553</v>
      </c>
      <c r="H6" s="40">
        <v>801.86210198280457</v>
      </c>
      <c r="I6" s="41">
        <v>820.15489492861343</v>
      </c>
      <c r="J6" s="41">
        <v>832.09764883519767</v>
      </c>
      <c r="K6" s="55">
        <v>2110.8847916067934</v>
      </c>
      <c r="L6" s="55">
        <v>2238.2503890032731</v>
      </c>
      <c r="M6" s="55">
        <v>1944.3893021369875</v>
      </c>
      <c r="N6" s="55">
        <v>2452.0983828518729</v>
      </c>
      <c r="O6" s="55">
        <v>2641.2499980259927</v>
      </c>
      <c r="P6" s="55">
        <v>2891.7813514965842</v>
      </c>
      <c r="Q6" s="55">
        <v>2682.7390572137379</v>
      </c>
      <c r="R6" s="55">
        <v>2877.6435155023155</v>
      </c>
      <c r="S6" s="55">
        <v>3124.1635698263485</v>
      </c>
      <c r="T6" s="55">
        <v>3202.8107589869028</v>
      </c>
      <c r="U6" s="55">
        <v>3436.0097816370762</v>
      </c>
      <c r="V6" s="55">
        <v>3687.8557691786323</v>
      </c>
      <c r="W6" s="55">
        <v>3770.6822220005647</v>
      </c>
      <c r="X6" s="55">
        <v>4003.0753379791672</v>
      </c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11"/>
      <c r="AN6" s="11"/>
      <c r="AO6" s="56">
        <v>2003</v>
      </c>
      <c r="AP6" s="56">
        <v>2004</v>
      </c>
      <c r="AQ6" s="56">
        <v>2005</v>
      </c>
      <c r="AR6" s="56">
        <v>2006</v>
      </c>
      <c r="AS6" s="56">
        <v>2007</v>
      </c>
      <c r="AT6" s="56">
        <v>2008</v>
      </c>
      <c r="AU6" s="56">
        <v>2009</v>
      </c>
      <c r="AV6" s="56">
        <v>2010</v>
      </c>
      <c r="AW6" s="56">
        <v>2011</v>
      </c>
      <c r="AX6" s="56">
        <v>2012</v>
      </c>
      <c r="AY6" s="56">
        <v>2013</v>
      </c>
      <c r="AZ6" s="56">
        <v>2014</v>
      </c>
      <c r="BA6" s="56">
        <v>2015</v>
      </c>
      <c r="BB6" s="56">
        <v>2016</v>
      </c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</row>
    <row r="7" spans="1:100" s="12" customFormat="1" ht="20.25" customHeight="1">
      <c r="A7" s="35" t="s">
        <v>0</v>
      </c>
      <c r="B7" s="42">
        <v>16.899999999999999</v>
      </c>
      <c r="C7" s="37">
        <v>7.8146062734455457</v>
      </c>
      <c r="D7" s="37">
        <v>9.1</v>
      </c>
      <c r="E7" s="37">
        <v>10.4</v>
      </c>
      <c r="F7" s="37">
        <v>9.8000000000000007</v>
      </c>
      <c r="G7" s="37">
        <v>7.2</v>
      </c>
      <c r="H7" s="37">
        <v>4.8</v>
      </c>
      <c r="I7" s="43">
        <v>-2.2000000000000002</v>
      </c>
      <c r="J7" s="44">
        <v>6.1</v>
      </c>
      <c r="K7" s="57">
        <v>0</v>
      </c>
      <c r="L7" s="57">
        <v>6.0337540875231577</v>
      </c>
      <c r="M7" s="57">
        <v>-13.129053313697693</v>
      </c>
      <c r="N7" s="57">
        <v>26.11149321573032</v>
      </c>
      <c r="O7" s="57">
        <v>7.7138672941063025</v>
      </c>
      <c r="P7" s="57">
        <v>9.4853328408076578</v>
      </c>
      <c r="Q7" s="57">
        <v>-7.2288416333641692</v>
      </c>
      <c r="R7" s="57">
        <v>7.2651291881888458</v>
      </c>
      <c r="S7" s="57">
        <v>8.5667336136665782</v>
      </c>
      <c r="T7" s="57">
        <v>2.5173838501972412</v>
      </c>
      <c r="U7" s="57">
        <v>7.2810740377285965</v>
      </c>
      <c r="V7" s="57">
        <v>7.3296062452291588</v>
      </c>
      <c r="W7" s="57">
        <v>2.2459244071896034</v>
      </c>
      <c r="X7" s="57">
        <v>6.1631583436724702</v>
      </c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1"/>
      <c r="AN7" s="58" t="s">
        <v>2</v>
      </c>
      <c r="AO7" s="59">
        <f t="shared" ref="AO7:BB7" si="0">K5</f>
        <v>32549.843486576756</v>
      </c>
      <c r="AP7" s="59">
        <f t="shared" si="0"/>
        <v>34513.82099843047</v>
      </c>
      <c r="AQ7" s="59">
        <f t="shared" si="0"/>
        <v>29982.483038952345</v>
      </c>
      <c r="AR7" s="59">
        <f t="shared" si="0"/>
        <v>37811.357063575881</v>
      </c>
      <c r="AS7" s="59">
        <f t="shared" si="0"/>
        <v>40728.07496956081</v>
      </c>
      <c r="AT7" s="59">
        <f t="shared" si="0"/>
        <v>44591.268440077329</v>
      </c>
      <c r="AU7" s="59">
        <f t="shared" si="0"/>
        <v>41367.83626223584</v>
      </c>
      <c r="AV7" s="59">
        <f t="shared" si="0"/>
        <v>44373.263009045702</v>
      </c>
      <c r="AW7" s="59">
        <f t="shared" si="0"/>
        <v>48174.602246722294</v>
      </c>
      <c r="AX7" s="59">
        <f t="shared" si="0"/>
        <v>49387.341903578039</v>
      </c>
      <c r="AY7" s="59">
        <f t="shared" si="0"/>
        <v>52983.270832843715</v>
      </c>
      <c r="AZ7" s="59">
        <f t="shared" si="0"/>
        <v>56866.735960734506</v>
      </c>
      <c r="BA7" s="59">
        <f t="shared" si="0"/>
        <v>58143.91986324871</v>
      </c>
      <c r="BB7" s="59">
        <f t="shared" si="0"/>
        <v>61727.421711638759</v>
      </c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</row>
    <row r="8" spans="1:100" s="16" customFormat="1" ht="20.25" customHeight="1">
      <c r="A8" s="31" t="s">
        <v>11</v>
      </c>
      <c r="B8" s="45">
        <v>14466</v>
      </c>
      <c r="C8" s="46">
        <v>26885.717143182832</v>
      </c>
      <c r="D8" s="46">
        <v>28305.971145672513</v>
      </c>
      <c r="E8" s="46">
        <v>31001.375537612341</v>
      </c>
      <c r="F8" s="46">
        <v>32857.589364976382</v>
      </c>
      <c r="G8" s="46">
        <v>33730.242383560268</v>
      </c>
      <c r="H8" s="46">
        <v>34312.747488950808</v>
      </c>
      <c r="I8" s="47">
        <v>32894.775191778615</v>
      </c>
      <c r="J8" s="47">
        <v>34223.666444173381</v>
      </c>
      <c r="K8" s="60">
        <v>102091.212857522</v>
      </c>
      <c r="L8" s="60">
        <v>105259.40169027845</v>
      </c>
      <c r="M8" s="60">
        <v>88550.73832131493</v>
      </c>
      <c r="N8" s="60">
        <v>106701.12359101123</v>
      </c>
      <c r="O8" s="60">
        <v>108624.42116572289</v>
      </c>
      <c r="P8" s="60">
        <v>114215.34176560609</v>
      </c>
      <c r="Q8" s="60">
        <v>107504.49261367782</v>
      </c>
      <c r="R8" s="60">
        <v>112743.25040791331</v>
      </c>
      <c r="S8" s="60">
        <v>118551.82793225275</v>
      </c>
      <c r="T8" s="60">
        <v>118348.05140349398</v>
      </c>
      <c r="U8" s="60">
        <v>123598.96587524535</v>
      </c>
      <c r="V8" s="60">
        <v>129717.82065370063</v>
      </c>
      <c r="W8" s="60">
        <v>127682.75995601172</v>
      </c>
      <c r="X8" s="60">
        <v>130371.1587828699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1"/>
      <c r="AN8" s="58" t="s">
        <v>1</v>
      </c>
      <c r="AO8" s="61">
        <v>0</v>
      </c>
      <c r="AP8" s="61">
        <f>(AP7/AO7-1)*100</f>
        <v>6.0337540875231577</v>
      </c>
      <c r="AQ8" s="61">
        <f t="shared" ref="AQ8:BB8" si="1">(AQ7/AP7-1)*100</f>
        <v>-13.129053313697693</v>
      </c>
      <c r="AR8" s="61">
        <f t="shared" si="1"/>
        <v>26.11149321573032</v>
      </c>
      <c r="AS8" s="61">
        <f t="shared" si="1"/>
        <v>7.7138672941063025</v>
      </c>
      <c r="AT8" s="61">
        <f t="shared" si="1"/>
        <v>9.4853328408076578</v>
      </c>
      <c r="AU8" s="61">
        <f t="shared" si="1"/>
        <v>-7.2288416333641692</v>
      </c>
      <c r="AV8" s="61">
        <f t="shared" si="1"/>
        <v>7.2651291881888458</v>
      </c>
      <c r="AW8" s="61">
        <f t="shared" si="1"/>
        <v>8.5667336136665782</v>
      </c>
      <c r="AX8" s="61">
        <f t="shared" si="1"/>
        <v>2.5173838501972412</v>
      </c>
      <c r="AY8" s="61">
        <f t="shared" si="1"/>
        <v>7.2810740377285965</v>
      </c>
      <c r="AZ8" s="61">
        <f t="shared" si="1"/>
        <v>7.3296062452291588</v>
      </c>
      <c r="BA8" s="61">
        <f t="shared" si="1"/>
        <v>2.2459244071896034</v>
      </c>
      <c r="BB8" s="61">
        <f t="shared" si="1"/>
        <v>6.1631583436724702</v>
      </c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</row>
    <row r="9" spans="1:100" s="12" customFormat="1" ht="20.25" customHeight="1">
      <c r="A9" s="35" t="s">
        <v>12</v>
      </c>
      <c r="B9" s="42">
        <v>1229</v>
      </c>
      <c r="C9" s="28">
        <v>2100.4466518111585</v>
      </c>
      <c r="D9" s="28">
        <v>2211.4039957556647</v>
      </c>
      <c r="E9" s="28">
        <v>2421.9824638759642</v>
      </c>
      <c r="F9" s="28">
        <v>2566.9991691387795</v>
      </c>
      <c r="G9" s="28">
        <v>2635.1751862156457</v>
      </c>
      <c r="H9" s="28">
        <v>2680.6833975742816</v>
      </c>
      <c r="I9" s="38">
        <v>2687.4816333152462</v>
      </c>
      <c r="J9" s="38">
        <v>2673.7239409510453</v>
      </c>
      <c r="K9" s="62">
        <v>6620.7012229262</v>
      </c>
      <c r="L9" s="62">
        <v>6826.1609397067741</v>
      </c>
      <c r="M9" s="62">
        <v>5742.5900338077126</v>
      </c>
      <c r="N9" s="62">
        <v>6919.6578204287434</v>
      </c>
      <c r="O9" s="62">
        <v>7044.3852896058943</v>
      </c>
      <c r="P9" s="62">
        <v>7406.9612039952071</v>
      </c>
      <c r="Q9" s="62">
        <v>6971.7569788377314</v>
      </c>
      <c r="R9" s="62">
        <v>7311.4948383860774</v>
      </c>
      <c r="S9" s="62">
        <v>7688.1859878244331</v>
      </c>
      <c r="T9" s="62">
        <v>7674.9709081383908</v>
      </c>
      <c r="U9" s="62">
        <v>8015.4971384724613</v>
      </c>
      <c r="V9" s="62">
        <v>8412.310029422868</v>
      </c>
      <c r="W9" s="62">
        <v>8280.3346274975174</v>
      </c>
      <c r="X9" s="62">
        <v>8454.679557903366</v>
      </c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1"/>
      <c r="AN9" s="11"/>
      <c r="AO9" s="17"/>
      <c r="AP9" s="17"/>
      <c r="AQ9" s="17"/>
      <c r="AR9" s="17"/>
      <c r="AS9" s="17"/>
      <c r="AT9" s="17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</row>
    <row r="10" spans="1:100" s="16" customFormat="1" ht="20.25" customHeight="1">
      <c r="A10" s="31" t="s">
        <v>8</v>
      </c>
      <c r="B10" s="48">
        <v>216</v>
      </c>
      <c r="C10" s="48">
        <v>398.98895497026342</v>
      </c>
      <c r="D10" s="48">
        <v>450.38232795242141</v>
      </c>
      <c r="E10" s="48">
        <v>508.22429906542061</v>
      </c>
      <c r="F10" s="48">
        <v>540.09345794392527</v>
      </c>
      <c r="G10" s="48">
        <v>589.24384027187762</v>
      </c>
      <c r="H10" s="48">
        <v>624.33305012744268</v>
      </c>
      <c r="I10" s="47">
        <v>802.44183127192252</v>
      </c>
      <c r="J10" s="47">
        <v>828.24088249234876</v>
      </c>
      <c r="K10" s="60">
        <v>1052.1210559723779</v>
      </c>
      <c r="L10" s="60">
        <v>1226.8295648154435</v>
      </c>
      <c r="M10" s="60">
        <v>1163.3624343276822</v>
      </c>
      <c r="N10" s="60">
        <v>1575.200390934895</v>
      </c>
      <c r="O10" s="60">
        <v>1868.3834598434698</v>
      </c>
      <c r="P10" s="60">
        <v>2271.6461881447417</v>
      </c>
      <c r="Q10" s="60">
        <v>2345.294878668104</v>
      </c>
      <c r="R10" s="60">
        <v>2588.1760584114645</v>
      </c>
      <c r="S10" s="60">
        <v>2780.4450492189267</v>
      </c>
      <c r="T10" s="60">
        <v>2875.8387536594887</v>
      </c>
      <c r="U10" s="60">
        <v>3283.622009434941</v>
      </c>
      <c r="V10" s="60">
        <v>3687.8564500516541</v>
      </c>
      <c r="W10" s="60">
        <v>3992.5784823757726</v>
      </c>
      <c r="X10" s="60">
        <v>4210.0741118543192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</row>
    <row r="11" spans="1:100" s="12" customFormat="1" ht="20.25" customHeight="1">
      <c r="A11" s="35" t="s">
        <v>5</v>
      </c>
      <c r="B11" s="49">
        <v>2054</v>
      </c>
      <c r="C11" s="49">
        <v>4696</v>
      </c>
      <c r="D11" s="49">
        <v>5301</v>
      </c>
      <c r="E11" s="49">
        <v>5982</v>
      </c>
      <c r="F11" s="49">
        <v>6357</v>
      </c>
      <c r="G11" s="50">
        <v>6935</v>
      </c>
      <c r="H11" s="50">
        <v>7348</v>
      </c>
      <c r="I11" s="38">
        <v>9821.888014768334</v>
      </c>
      <c r="J11" s="38">
        <v>10601.483295902068</v>
      </c>
      <c r="K11" s="62">
        <v>13467.149516446438</v>
      </c>
      <c r="L11" s="62">
        <v>15703.418429637677</v>
      </c>
      <c r="M11" s="62">
        <v>14891.039159394333</v>
      </c>
      <c r="N11" s="62">
        <v>20162.565003966658</v>
      </c>
      <c r="O11" s="62">
        <v>23915.308285996416</v>
      </c>
      <c r="P11" s="62">
        <v>29077.071208252695</v>
      </c>
      <c r="Q11" s="62">
        <v>30019.774446951735</v>
      </c>
      <c r="R11" s="62">
        <v>33128.653547666749</v>
      </c>
      <c r="S11" s="62">
        <v>40511.084367119765</v>
      </c>
      <c r="T11" s="62">
        <v>44345.433581429315</v>
      </c>
      <c r="U11" s="62">
        <v>50633.451385486791</v>
      </c>
      <c r="V11" s="62">
        <v>56866.746459796508</v>
      </c>
      <c r="W11" s="62">
        <v>61565.560198234416</v>
      </c>
      <c r="X11" s="62">
        <v>64919.342804793596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1"/>
      <c r="AN11" s="11"/>
      <c r="AO11" s="11"/>
      <c r="AP11" s="11"/>
      <c r="AQ11" s="15"/>
      <c r="AR11" s="15"/>
      <c r="AS11" s="15"/>
      <c r="AT11" s="15"/>
      <c r="AU11" s="15"/>
      <c r="AV11" s="15"/>
      <c r="AW11" s="15"/>
      <c r="AX11" s="15"/>
      <c r="AY11" s="15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</row>
    <row r="12" spans="1:100" s="16" customFormat="1" ht="20.25" customHeight="1">
      <c r="A12" s="31" t="s">
        <v>6</v>
      </c>
      <c r="B12" s="51">
        <v>9634</v>
      </c>
      <c r="C12" s="52">
        <v>19182.099999999999</v>
      </c>
      <c r="D12" s="52">
        <v>21191.8</v>
      </c>
      <c r="E12" s="52">
        <v>23415.8</v>
      </c>
      <c r="F12" s="52">
        <v>24376.9</v>
      </c>
      <c r="G12" s="52">
        <v>26063.599999999999</v>
      </c>
      <c r="H12" s="52">
        <v>27074.9</v>
      </c>
      <c r="I12" s="47">
        <v>32184.339577058261</v>
      </c>
      <c r="J12" s="47">
        <v>34065.040007654097</v>
      </c>
      <c r="K12" s="60">
        <v>42239.147123229675</v>
      </c>
      <c r="L12" s="60">
        <v>47891.898972035626</v>
      </c>
      <c r="M12" s="60">
        <v>43979.42992989871</v>
      </c>
      <c r="N12" s="60">
        <v>56897.411451875196</v>
      </c>
      <c r="O12" s="60">
        <v>63783.680458938994</v>
      </c>
      <c r="P12" s="60">
        <v>74477.532076853502</v>
      </c>
      <c r="Q12" s="60">
        <v>78013.764119510422</v>
      </c>
      <c r="R12" s="60">
        <v>84173.031896261324</v>
      </c>
      <c r="S12" s="60">
        <v>99692.843931399984</v>
      </c>
      <c r="T12" s="60">
        <v>106266.00765944444</v>
      </c>
      <c r="U12" s="60">
        <v>118117.32517769105</v>
      </c>
      <c r="V12" s="60">
        <v>129717.84460294653</v>
      </c>
      <c r="W12" s="60">
        <v>135196.60633195812</v>
      </c>
      <c r="X12" s="60">
        <v>137112.64320128717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</row>
    <row r="13" spans="1:100" s="12" customFormat="1" ht="20.25" customHeight="1">
      <c r="A13" s="35" t="s">
        <v>4</v>
      </c>
      <c r="B13" s="53">
        <v>1013</v>
      </c>
      <c r="C13" s="49">
        <v>1629.7451146983856</v>
      </c>
      <c r="D13" s="49">
        <v>1800.4927782497875</v>
      </c>
      <c r="E13" s="49">
        <v>1989.447748513169</v>
      </c>
      <c r="F13" s="49">
        <v>2071.104502973662</v>
      </c>
      <c r="G13" s="49">
        <v>2214.4095157179268</v>
      </c>
      <c r="H13" s="49">
        <v>2300.3313508920987</v>
      </c>
      <c r="I13" s="38">
        <v>2629.4395079295964</v>
      </c>
      <c r="J13" s="38">
        <v>2661.3312505979784</v>
      </c>
      <c r="K13" s="54">
        <v>3299.9333690023182</v>
      </c>
      <c r="L13" s="54">
        <v>3741.5546071902831</v>
      </c>
      <c r="M13" s="54">
        <v>3435.8929632733366</v>
      </c>
      <c r="N13" s="54">
        <v>4445.1102696777498</v>
      </c>
      <c r="O13" s="54">
        <v>4983.1000358546089</v>
      </c>
      <c r="P13" s="54">
        <v>5818.5571935041798</v>
      </c>
      <c r="Q13" s="54">
        <v>6094.8253218367518</v>
      </c>
      <c r="R13" s="54">
        <v>6576.0181168954159</v>
      </c>
      <c r="S13" s="54">
        <v>6842.3365773095393</v>
      </c>
      <c r="T13" s="54">
        <v>6891.4401854373828</v>
      </c>
      <c r="U13" s="54">
        <v>7660.0081178787968</v>
      </c>
      <c r="V13" s="54">
        <v>8428.7118745966709</v>
      </c>
      <c r="W13" s="54">
        <v>8785.8269459938601</v>
      </c>
      <c r="X13" s="54">
        <v>8932.801714079671</v>
      </c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</row>
    <row r="14" spans="1:100" ht="18" customHeight="1">
      <c r="A14" s="63" t="s">
        <v>13</v>
      </c>
      <c r="B14" s="18"/>
      <c r="C14" s="18"/>
      <c r="D14" s="19"/>
      <c r="E14" s="19"/>
      <c r="F14" s="19"/>
      <c r="G14" s="19"/>
      <c r="H14" s="19"/>
      <c r="I14" s="20"/>
      <c r="J14" s="20"/>
    </row>
    <row r="15" spans="1:100" ht="15.75" customHeight="1">
      <c r="A15" s="63" t="s">
        <v>14</v>
      </c>
      <c r="B15" s="18"/>
      <c r="C15" s="18"/>
      <c r="D15" s="19"/>
      <c r="E15" s="19"/>
      <c r="F15" s="19"/>
      <c r="G15" s="19"/>
      <c r="H15" s="19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9" spans="177:182">
      <c r="FU19" s="23"/>
      <c r="FV19" s="23"/>
      <c r="FW19" s="23"/>
      <c r="FX19" s="23"/>
      <c r="FY19" s="23"/>
      <c r="FZ19" s="23"/>
    </row>
    <row r="20" spans="177:182">
      <c r="FU20" s="23"/>
      <c r="FV20" s="23"/>
      <c r="FW20" s="23"/>
      <c r="FX20" s="23"/>
      <c r="FY20" s="23"/>
      <c r="FZ20" s="23"/>
    </row>
    <row r="21" spans="177:182">
      <c r="FU21" s="23"/>
      <c r="FV21" s="23"/>
      <c r="FW21" s="23"/>
      <c r="FX21" s="23"/>
      <c r="FY21" s="23"/>
      <c r="FZ21" s="23"/>
    </row>
    <row r="22" spans="177:182">
      <c r="FU22" s="23"/>
      <c r="FV22" s="23"/>
      <c r="FW22" s="23"/>
      <c r="FX22" s="23"/>
      <c r="FY22" s="23"/>
      <c r="FZ22" s="23"/>
    </row>
    <row r="59" spans="11:24">
      <c r="K59" s="64"/>
      <c r="L59" s="64"/>
      <c r="M59" s="64"/>
      <c r="N59" s="64"/>
      <c r="O59" s="64"/>
      <c r="P59" s="64"/>
      <c r="Q59" s="65"/>
      <c r="R59" s="65"/>
      <c r="S59" s="65"/>
      <c r="T59" s="66"/>
      <c r="U59" s="66"/>
      <c r="V59" s="67"/>
      <c r="W59" s="67"/>
      <c r="X59" s="67"/>
    </row>
    <row r="60" spans="11:24">
      <c r="K60" s="64"/>
      <c r="L60" s="64"/>
      <c r="M60" s="64"/>
      <c r="N60" s="64"/>
      <c r="O60" s="64"/>
      <c r="P60" s="64"/>
      <c r="Q60" s="65"/>
      <c r="R60" s="65"/>
      <c r="S60" s="65"/>
      <c r="T60" s="66"/>
      <c r="U60" s="66"/>
      <c r="V60" s="67"/>
      <c r="W60" s="67"/>
      <c r="X60" s="67"/>
    </row>
    <row r="61" spans="11:24">
      <c r="K61" s="64"/>
      <c r="L61" s="64"/>
      <c r="M61" s="64"/>
      <c r="N61" s="64"/>
      <c r="O61" s="64"/>
      <c r="P61" s="64"/>
      <c r="Q61" s="65"/>
      <c r="R61" s="65"/>
      <c r="S61" s="65"/>
      <c r="T61" s="66"/>
      <c r="U61" s="66"/>
      <c r="V61" s="67"/>
      <c r="W61" s="67"/>
      <c r="X61" s="67"/>
    </row>
    <row r="62" spans="11:24">
      <c r="K62" s="64"/>
      <c r="L62" s="64"/>
      <c r="M62" s="64"/>
      <c r="N62" s="64"/>
      <c r="O62" s="64"/>
      <c r="P62" s="64"/>
      <c r="Q62" s="65"/>
      <c r="R62" s="65"/>
      <c r="S62" s="65"/>
      <c r="T62" s="66"/>
      <c r="U62" s="66"/>
      <c r="V62" s="67"/>
      <c r="W62" s="67"/>
      <c r="X62" s="67"/>
    </row>
    <row r="63" spans="11:24">
      <c r="K63" s="64"/>
      <c r="L63" s="64"/>
      <c r="M63" s="64"/>
      <c r="N63" s="64"/>
      <c r="O63" s="64"/>
      <c r="P63" s="64"/>
      <c r="Q63" s="65"/>
      <c r="R63" s="65"/>
      <c r="S63" s="65"/>
      <c r="T63" s="66"/>
      <c r="U63" s="66"/>
      <c r="V63" s="67"/>
      <c r="W63" s="67"/>
      <c r="X63" s="67"/>
    </row>
    <row r="64" spans="11:24">
      <c r="K64" s="64"/>
      <c r="L64" s="64"/>
      <c r="M64" s="64"/>
      <c r="N64" s="64"/>
      <c r="O64" s="64"/>
      <c r="P64" s="64"/>
      <c r="Q64" s="65"/>
      <c r="R64" s="65"/>
      <c r="S64" s="65"/>
      <c r="T64" s="66"/>
      <c r="U64" s="66"/>
      <c r="V64" s="67"/>
      <c r="W64" s="67"/>
      <c r="X64" s="67"/>
    </row>
    <row r="65" spans="11:24">
      <c r="K65" s="64"/>
      <c r="L65" s="64"/>
      <c r="M65" s="64"/>
      <c r="N65" s="64"/>
      <c r="O65" s="64"/>
      <c r="P65" s="64"/>
      <c r="Q65" s="65"/>
      <c r="R65" s="65"/>
      <c r="S65" s="65"/>
      <c r="T65" s="66"/>
      <c r="U65" s="66"/>
      <c r="V65" s="67"/>
      <c r="W65" s="67"/>
      <c r="X65" s="67"/>
    </row>
    <row r="66" spans="11:24">
      <c r="K66" s="64"/>
      <c r="L66" s="64"/>
      <c r="M66" s="64"/>
      <c r="N66" s="64"/>
      <c r="O66" s="64"/>
      <c r="P66" s="64"/>
      <c r="Q66" s="65"/>
      <c r="R66" s="65"/>
      <c r="S66" s="65"/>
      <c r="T66" s="66"/>
      <c r="U66" s="66"/>
      <c r="V66" s="67"/>
      <c r="W66" s="67"/>
      <c r="X66" s="67"/>
    </row>
    <row r="67" spans="11:24">
      <c r="K67" s="64"/>
      <c r="L67" s="64"/>
      <c r="M67" s="64"/>
      <c r="N67" s="64"/>
      <c r="O67" s="64"/>
      <c r="P67" s="64"/>
      <c r="Q67" s="65"/>
      <c r="R67" s="65"/>
      <c r="S67" s="65"/>
      <c r="T67" s="66"/>
      <c r="U67" s="66"/>
      <c r="V67" s="67"/>
      <c r="W67" s="67"/>
      <c r="X67" s="67"/>
    </row>
    <row r="69" spans="11:24"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</row>
    <row r="70" spans="11:24"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</row>
    <row r="71" spans="11:24"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</row>
    <row r="72" spans="11:24"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</row>
    <row r="73" spans="11:24"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</row>
    <row r="74" spans="11:24"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</row>
    <row r="75" spans="11:24"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</row>
    <row r="76" spans="11:24"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</row>
    <row r="77" spans="11:24"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</row>
    <row r="78" spans="11:24"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</row>
    <row r="79" spans="11:24"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</row>
    <row r="80" spans="11:24"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</row>
    <row r="81" spans="11:24"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</row>
    <row r="82" spans="11:24"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</row>
    <row r="83" spans="11:24"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</row>
  </sheetData>
  <mergeCells count="1">
    <mergeCell ref="A1:X1"/>
  </mergeCells>
  <printOptions horizontalCentered="1" verticalCentered="1"/>
  <pageMargins left="0.511811023622047" right="0.511811023622047" top="0.43307086614173201" bottom="0.35433070866141703" header="0.35433070866141703" footer="0.31496062992126"/>
  <pageSetup paperSize="9" scale="80" orientation="landscape" r:id="rId1"/>
  <headerFooter alignWithMargins="0"/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Annual nationa accounts</vt:lpstr>
      <vt:lpstr>'Annual nationa accounts'!Print_Area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2017-11-16T08:11:55Z</cp:lastPrinted>
  <dcterms:created xsi:type="dcterms:W3CDTF">2005-04-13T08:56:22Z</dcterms:created>
  <dcterms:modified xsi:type="dcterms:W3CDTF">2017-11-16T08:33:09Z</dcterms:modified>
</cp:coreProperties>
</file>