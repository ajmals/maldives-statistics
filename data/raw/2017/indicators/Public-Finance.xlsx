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FINAL TABLES\WEB\INDICATOR\"/>
    </mc:Choice>
  </mc:AlternateContent>
  <bookViews>
    <workbookView xWindow="15795" yWindow="30" windowWidth="10650" windowHeight="10665" tabRatio="927"/>
  </bookViews>
  <sheets>
    <sheet name="Finance" sheetId="23" r:id="rId1"/>
  </sheets>
  <externalReferences>
    <externalReference r:id="rId2"/>
    <externalReference r:id="rId3"/>
    <externalReference r:id="rId4"/>
  </externalReferences>
  <definedNames>
    <definedName name="_xlnm.Print_Area" localSheetId="0">Finance!$A$1:$M$52</definedName>
  </definedNames>
  <calcPr calcId="162913"/>
</workbook>
</file>

<file path=xl/calcChain.xml><?xml version="1.0" encoding="utf-8"?>
<calcChain xmlns="http://schemas.openxmlformats.org/spreadsheetml/2006/main">
  <c r="H32" i="23" l="1"/>
  <c r="G32" i="23"/>
  <c r="G29" i="23" s="1"/>
  <c r="F32" i="23"/>
  <c r="E32" i="23"/>
  <c r="E31" i="23" s="1"/>
  <c r="D32" i="23"/>
  <c r="D29" i="23" s="1"/>
  <c r="C32" i="23"/>
  <c r="C29" i="23" s="1"/>
  <c r="M31" i="23"/>
  <c r="L31" i="23"/>
  <c r="K31" i="23"/>
  <c r="J31" i="23"/>
  <c r="I31" i="23"/>
  <c r="H31" i="23"/>
  <c r="F31" i="23"/>
  <c r="M30" i="23"/>
  <c r="L30" i="23"/>
  <c r="K30" i="23"/>
  <c r="J30" i="23"/>
  <c r="I30" i="23"/>
  <c r="H30" i="23"/>
  <c r="G30" i="23"/>
  <c r="F30" i="23"/>
  <c r="E30" i="23"/>
  <c r="M29" i="23"/>
  <c r="L29" i="23"/>
  <c r="K29" i="23"/>
  <c r="J29" i="23"/>
  <c r="I29" i="23"/>
  <c r="H29" i="23"/>
  <c r="F29" i="23"/>
  <c r="E29" i="23"/>
  <c r="M28" i="23"/>
  <c r="L28" i="23"/>
  <c r="K28" i="23"/>
  <c r="J28" i="23"/>
  <c r="I28" i="23"/>
  <c r="M27" i="23"/>
  <c r="L27" i="23"/>
  <c r="K27" i="23"/>
  <c r="J27" i="23"/>
  <c r="I27" i="23"/>
  <c r="M26" i="23"/>
  <c r="L26" i="23"/>
  <c r="K26" i="23"/>
  <c r="J26" i="23"/>
  <c r="I26" i="23"/>
  <c r="H26" i="23"/>
  <c r="F26" i="23"/>
  <c r="E26" i="23"/>
  <c r="M25" i="23"/>
  <c r="L25" i="23"/>
  <c r="K25" i="23"/>
  <c r="J25" i="23"/>
  <c r="I25" i="23"/>
  <c r="H25" i="23"/>
  <c r="F25" i="23"/>
  <c r="E25" i="23"/>
  <c r="G31" i="23" l="1"/>
  <c r="G26" i="23"/>
  <c r="G25" i="23"/>
  <c r="C30" i="23"/>
  <c r="C26" i="23"/>
  <c r="C31" i="23"/>
  <c r="C25" i="23"/>
  <c r="D31" i="23"/>
  <c r="D25" i="23"/>
  <c r="D26" i="23"/>
  <c r="D30" i="23"/>
</calcChain>
</file>

<file path=xl/sharedStrings.xml><?xml version="1.0" encoding="utf-8"?>
<sst xmlns="http://schemas.openxmlformats.org/spreadsheetml/2006/main" count="35" uniqueCount="35">
  <si>
    <t>Revenue as percent of GDP</t>
  </si>
  <si>
    <t>Total Expenditure as pecent of GDP</t>
  </si>
  <si>
    <t>(In million rufiyaa)</t>
  </si>
  <si>
    <t>Revenue and Grants</t>
  </si>
  <si>
    <t xml:space="preserve">Revenue </t>
  </si>
  <si>
    <t>Tax Revenue</t>
  </si>
  <si>
    <t>Expenditure and Net Lending</t>
  </si>
  <si>
    <t>Total Expenditure</t>
  </si>
  <si>
    <t>Current Expenditure</t>
  </si>
  <si>
    <t xml:space="preserve">Capital Expenditure </t>
  </si>
  <si>
    <t>Net Lending</t>
  </si>
  <si>
    <t>Financing</t>
  </si>
  <si>
    <t>Foreign financing</t>
  </si>
  <si>
    <t xml:space="preserve">PUBLIC FINANCE </t>
  </si>
  <si>
    <r>
      <t xml:space="preserve">Non-tax Revenue </t>
    </r>
    <r>
      <rPr>
        <vertAlign val="superscript"/>
        <sz val="11"/>
        <rFont val="Calibri"/>
        <family val="2"/>
        <scheme val="minor"/>
      </rPr>
      <t>1_/</t>
    </r>
  </si>
  <si>
    <r>
      <t xml:space="preserve"> Grants </t>
    </r>
    <r>
      <rPr>
        <b/>
        <vertAlign val="superscript"/>
        <sz val="11"/>
        <rFont val="Calibri"/>
        <family val="2"/>
        <scheme val="minor"/>
      </rPr>
      <t>2_/</t>
    </r>
  </si>
  <si>
    <t>actual</t>
  </si>
  <si>
    <r>
      <t xml:space="preserve">Overall Balance </t>
    </r>
    <r>
      <rPr>
        <b/>
        <vertAlign val="superscript"/>
        <sz val="11"/>
        <rFont val="Calibri"/>
        <family val="2"/>
        <scheme val="minor"/>
      </rPr>
      <t>3</t>
    </r>
  </si>
  <si>
    <r>
      <t xml:space="preserve">Primary Balance </t>
    </r>
    <r>
      <rPr>
        <vertAlign val="superscript"/>
        <sz val="11"/>
        <rFont val="Calibri"/>
        <family val="2"/>
        <scheme val="minor"/>
      </rPr>
      <t>4</t>
    </r>
  </si>
  <si>
    <t xml:space="preserve">Domestic financing </t>
  </si>
  <si>
    <t xml:space="preserve">Total Debt </t>
  </si>
  <si>
    <t>Foreign Debt</t>
  </si>
  <si>
    <t xml:space="preserve">Domestic Debt </t>
  </si>
  <si>
    <t>Overall Balance as pecent of GDP</t>
  </si>
  <si>
    <t>Primary Balance as pecent of GDP</t>
  </si>
  <si>
    <t>Total Debt as pecent of GDP</t>
  </si>
  <si>
    <t>Foreign debt as pecent of GDP</t>
  </si>
  <si>
    <t>Domestic debt as pecent of GDP</t>
  </si>
  <si>
    <r>
      <t xml:space="preserve">GDP (at 2014 current prices in millions MVR ) </t>
    </r>
    <r>
      <rPr>
        <i/>
        <sz val="8"/>
        <color theme="1"/>
        <rFont val="Calibri"/>
        <family val="2"/>
        <scheme val="minor"/>
      </rPr>
      <t>5_/</t>
    </r>
  </si>
  <si>
    <r>
      <rPr>
        <vertAlign val="superscript"/>
        <sz val="9"/>
        <rFont val="Calibri"/>
        <family val="2"/>
      </rPr>
      <t>1_/</t>
    </r>
    <r>
      <rPr>
        <i/>
        <vertAlign val="superscript"/>
        <sz val="9"/>
        <rFont val="Calibri"/>
        <family val="2"/>
      </rPr>
      <t xml:space="preserve">    </t>
    </r>
    <r>
      <rPr>
        <i/>
        <sz val="9"/>
        <rFont val="Calibri"/>
        <family val="2"/>
      </rPr>
      <t>Includes capital revenue</t>
    </r>
  </si>
  <si>
    <r>
      <rPr>
        <vertAlign val="superscript"/>
        <sz val="9"/>
        <rFont val="Calibri"/>
        <family val="2"/>
      </rPr>
      <t>4_/</t>
    </r>
    <r>
      <rPr>
        <i/>
        <vertAlign val="superscript"/>
        <sz val="9"/>
        <rFont val="Calibri"/>
        <family val="2"/>
      </rPr>
      <t xml:space="preserve">    </t>
    </r>
    <r>
      <rPr>
        <i/>
        <sz val="9"/>
        <rFont val="Calibri"/>
        <family val="2"/>
      </rPr>
      <t>Primary Balance is excluding Loan repayment</t>
    </r>
  </si>
  <si>
    <r>
      <rPr>
        <vertAlign val="superscript"/>
        <sz val="9"/>
        <rFont val="Calibri"/>
        <family val="2"/>
      </rPr>
      <t>2_/</t>
    </r>
    <r>
      <rPr>
        <i/>
        <vertAlign val="superscript"/>
        <sz val="9"/>
        <rFont val="Calibri"/>
        <family val="2"/>
      </rPr>
      <t xml:space="preserve">    </t>
    </r>
    <r>
      <rPr>
        <i/>
        <sz val="9"/>
        <rFont val="Calibri"/>
        <family val="2"/>
      </rPr>
      <t>Excludes grants for direct expenditure by donors</t>
    </r>
  </si>
  <si>
    <r>
      <rPr>
        <vertAlign val="superscript"/>
        <sz val="9"/>
        <color theme="1"/>
        <rFont val="Calibri"/>
        <family val="2"/>
      </rPr>
      <t>5_/</t>
    </r>
    <r>
      <rPr>
        <i/>
        <vertAlign val="superscript"/>
        <sz val="9"/>
        <color theme="1"/>
        <rFont val="Calibri"/>
        <family val="2"/>
      </rPr>
      <t xml:space="preserve">    </t>
    </r>
    <r>
      <rPr>
        <i/>
        <sz val="9"/>
        <color theme="1"/>
        <rFont val="Calibri"/>
        <family val="2"/>
      </rPr>
      <t>Published in  November 2017</t>
    </r>
  </si>
  <si>
    <r>
      <rPr>
        <vertAlign val="superscript"/>
        <sz val="9"/>
        <rFont val="Calibri"/>
        <family val="2"/>
      </rPr>
      <t>3_/</t>
    </r>
    <r>
      <rPr>
        <i/>
        <vertAlign val="superscript"/>
        <sz val="9"/>
        <rFont val="Calibri"/>
        <family val="2"/>
      </rPr>
      <t xml:space="preserve">    </t>
    </r>
    <r>
      <rPr>
        <i/>
        <sz val="9"/>
        <rFont val="Calibri"/>
        <family val="2"/>
      </rPr>
      <t xml:space="preserve">Overall Balance including Grants </t>
    </r>
  </si>
  <si>
    <t>Revised January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</si>
</sst>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70" formatCode="_(* #,##0.0_);_(* \(#,##0.0\);_(* &quot;-&quot;_);_(@_)"/>
    <numFmt numFmtId="171" formatCode="_-* #,##0.00\ _ރ_._-;_-* #,##0.00\ _ރ_.\-;_-* &quot;-&quot;??\ _ރ_._-;_-@_-"/>
    <numFmt numFmtId="172" formatCode="0.00_)"/>
    <numFmt numFmtId="173" formatCode="_-* #,##0_-;\-* #,##0_-;_-* &quot;-&quot;??_-;_-@_-"/>
    <numFmt numFmtId="174" formatCode="[$-409]mmm\-yy;@"/>
    <numFmt numFmtId="177" formatCode="_-* #,##0.00_-;\-* #,##0.00_-;_-* &quot;-&quot;??_-;_-@_-"/>
    <numFmt numFmtId="178" formatCode="[$-409]mmmm\ d\,\ yyyy;@"/>
  </numFmts>
  <fonts count="9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9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i/>
      <sz val="9"/>
      <name val="Calibri"/>
      <family val="2"/>
    </font>
    <font>
      <i/>
      <sz val="1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name val="Candara"/>
      <family val="2"/>
    </font>
    <font>
      <b/>
      <sz val="14"/>
      <name val="Candara"/>
      <family val="2"/>
    </font>
    <font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</font>
    <font>
      <b/>
      <sz val="20"/>
      <color theme="0"/>
      <name val="Candara"/>
      <family val="2"/>
    </font>
    <font>
      <sz val="11"/>
      <name val="Candara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i/>
      <sz val="8"/>
      <color theme="1"/>
      <name val="Calibri"/>
      <family val="2"/>
      <scheme val="minor"/>
    </font>
    <font>
      <i/>
      <sz val="9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i/>
      <sz val="11"/>
      <color theme="1"/>
      <name val="Calibri"/>
      <family val="2"/>
    </font>
    <font>
      <vertAlign val="superscript"/>
      <sz val="9"/>
      <name val="Calibri"/>
      <family val="2"/>
    </font>
    <font>
      <i/>
      <vertAlign val="superscript"/>
      <sz val="9"/>
      <name val="Calibri"/>
      <family val="2"/>
    </font>
    <font>
      <i/>
      <sz val="9"/>
      <color theme="1"/>
      <name val="Calibri"/>
      <family val="2"/>
    </font>
    <font>
      <vertAlign val="superscript"/>
      <sz val="9"/>
      <color theme="1"/>
      <name val="Calibri"/>
      <family val="2"/>
    </font>
    <font>
      <i/>
      <vertAlign val="superscript"/>
      <sz val="9"/>
      <color theme="1"/>
      <name val="Calibri"/>
      <family val="2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6F00"/>
        <bgColor indexed="64"/>
      </patternFill>
    </fill>
    <fill>
      <patternFill patternType="solid">
        <fgColor rgb="FFFFE7B7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8">
    <xf numFmtId="0" fontId="0" fillId="0" borderId="0"/>
    <xf numFmtId="0" fontId="20" fillId="0" borderId="0"/>
    <xf numFmtId="0" fontId="18" fillId="0" borderId="0"/>
    <xf numFmtId="0" fontId="18" fillId="0" borderId="0"/>
    <xf numFmtId="43" fontId="1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8" fillId="0" borderId="0"/>
    <xf numFmtId="0" fontId="21" fillId="0" borderId="0"/>
    <xf numFmtId="164" fontId="21" fillId="0" borderId="0"/>
    <xf numFmtId="164" fontId="21" fillId="0" borderId="0"/>
    <xf numFmtId="0" fontId="28" fillId="0" borderId="0"/>
    <xf numFmtId="0" fontId="15" fillId="0" borderId="0"/>
    <xf numFmtId="165" fontId="21" fillId="0" borderId="0"/>
    <xf numFmtId="166" fontId="21" fillId="0" borderId="0" applyFont="0" applyFill="0" applyBorder="0" applyAlignment="0" applyProtection="0"/>
    <xf numFmtId="0" fontId="14" fillId="0" borderId="0"/>
    <xf numFmtId="0" fontId="18" fillId="0" borderId="0"/>
    <xf numFmtId="0" fontId="36" fillId="0" borderId="0"/>
    <xf numFmtId="43" fontId="36" fillId="0" borderId="0" applyFont="0" applyFill="0" applyBorder="0" applyAlignment="0" applyProtection="0"/>
    <xf numFmtId="0" fontId="13" fillId="0" borderId="0"/>
    <xf numFmtId="0" fontId="12" fillId="0" borderId="0"/>
    <xf numFmtId="43" fontId="12" fillId="0" borderId="0" applyFont="0" applyFill="0" applyBorder="0" applyAlignment="0" applyProtection="0"/>
    <xf numFmtId="0" fontId="15" fillId="0" borderId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2" fillId="0" borderId="0"/>
    <xf numFmtId="0" fontId="12" fillId="0" borderId="0"/>
    <xf numFmtId="165" fontId="21" fillId="0" borderId="0"/>
    <xf numFmtId="171" fontId="36" fillId="0" borderId="0" applyFont="0" applyFill="0" applyBorder="0" applyAlignment="0" applyProtection="0"/>
    <xf numFmtId="0" fontId="36" fillId="0" borderId="0"/>
    <xf numFmtId="0" fontId="47" fillId="3" borderId="0" applyNumberFormat="0" applyBorder="0" applyAlignment="0" applyProtection="0"/>
    <xf numFmtId="0" fontId="47" fillId="4" borderId="0" applyNumberFormat="0" applyBorder="0" applyAlignment="0" applyProtection="0"/>
    <xf numFmtId="0" fontId="47" fillId="5" borderId="0" applyNumberFormat="0" applyBorder="0" applyAlignment="0" applyProtection="0"/>
    <xf numFmtId="0" fontId="47" fillId="6" borderId="0" applyNumberFormat="0" applyBorder="0" applyAlignment="0" applyProtection="0"/>
    <xf numFmtId="0" fontId="47" fillId="7" borderId="0" applyNumberFormat="0" applyBorder="0" applyAlignment="0" applyProtection="0"/>
    <xf numFmtId="0" fontId="47" fillId="8" borderId="0" applyNumberFormat="0" applyBorder="0" applyAlignment="0" applyProtection="0"/>
    <xf numFmtId="0" fontId="47" fillId="9" borderId="0" applyNumberFormat="0" applyBorder="0" applyAlignment="0" applyProtection="0"/>
    <xf numFmtId="0" fontId="47" fillId="10" borderId="0" applyNumberFormat="0" applyBorder="0" applyAlignment="0" applyProtection="0"/>
    <xf numFmtId="0" fontId="47" fillId="11" borderId="0" applyNumberFormat="0" applyBorder="0" applyAlignment="0" applyProtection="0"/>
    <xf numFmtId="0" fontId="47" fillId="6" borderId="0" applyNumberFormat="0" applyBorder="0" applyAlignment="0" applyProtection="0"/>
    <xf numFmtId="0" fontId="47" fillId="9" borderId="0" applyNumberFormat="0" applyBorder="0" applyAlignment="0" applyProtection="0"/>
    <xf numFmtId="0" fontId="47" fillId="12" borderId="0" applyNumberFormat="0" applyBorder="0" applyAlignment="0" applyProtection="0"/>
    <xf numFmtId="0" fontId="48" fillId="13" borderId="0" applyNumberFormat="0" applyBorder="0" applyAlignment="0" applyProtection="0"/>
    <xf numFmtId="0" fontId="48" fillId="10" borderId="0" applyNumberFormat="0" applyBorder="0" applyAlignment="0" applyProtection="0"/>
    <xf numFmtId="0" fontId="48" fillId="11" borderId="0" applyNumberFormat="0" applyBorder="0" applyAlignment="0" applyProtection="0"/>
    <xf numFmtId="0" fontId="48" fillId="14" borderId="0" applyNumberFormat="0" applyBorder="0" applyAlignment="0" applyProtection="0"/>
    <xf numFmtId="0" fontId="48" fillId="15" borderId="0" applyNumberFormat="0" applyBorder="0" applyAlignment="0" applyProtection="0"/>
    <xf numFmtId="0" fontId="48" fillId="16" borderId="0" applyNumberFormat="0" applyBorder="0" applyAlignment="0" applyProtection="0"/>
    <xf numFmtId="0" fontId="48" fillId="17" borderId="0" applyNumberFormat="0" applyBorder="0" applyAlignment="0" applyProtection="0"/>
    <xf numFmtId="0" fontId="48" fillId="18" borderId="0" applyNumberFormat="0" applyBorder="0" applyAlignment="0" applyProtection="0"/>
    <xf numFmtId="0" fontId="48" fillId="19" borderId="0" applyNumberFormat="0" applyBorder="0" applyAlignment="0" applyProtection="0"/>
    <xf numFmtId="0" fontId="48" fillId="14" borderId="0" applyNumberFormat="0" applyBorder="0" applyAlignment="0" applyProtection="0"/>
    <xf numFmtId="0" fontId="48" fillId="15" borderId="0" applyNumberFormat="0" applyBorder="0" applyAlignment="0" applyProtection="0"/>
    <xf numFmtId="0" fontId="48" fillId="20" borderId="0" applyNumberFormat="0" applyBorder="0" applyAlignment="0" applyProtection="0"/>
    <xf numFmtId="0" fontId="49" fillId="4" borderId="0" applyNumberFormat="0" applyBorder="0" applyAlignment="0" applyProtection="0"/>
    <xf numFmtId="0" fontId="50" fillId="21" borderId="1" applyNumberFormat="0" applyAlignment="0" applyProtection="0"/>
    <xf numFmtId="0" fontId="51" fillId="22" borderId="2" applyNumberFormat="0" applyAlignment="0" applyProtection="0"/>
    <xf numFmtId="40" fontId="45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3" fillId="5" borderId="0" applyNumberFormat="0" applyBorder="0" applyAlignment="0" applyProtection="0"/>
    <xf numFmtId="0" fontId="54" fillId="0" borderId="3" applyNumberFormat="0" applyFill="0" applyAlignment="0" applyProtection="0"/>
    <xf numFmtId="0" fontId="55" fillId="0" borderId="4" applyNumberFormat="0" applyFill="0" applyAlignment="0" applyProtection="0"/>
    <xf numFmtId="0" fontId="56" fillId="0" borderId="5" applyNumberFormat="0" applyFill="0" applyAlignment="0" applyProtection="0"/>
    <xf numFmtId="0" fontId="56" fillId="0" borderId="0" applyNumberFormat="0" applyFill="0" applyBorder="0" applyAlignment="0" applyProtection="0"/>
    <xf numFmtId="0" fontId="57" fillId="8" borderId="1" applyNumberFormat="0" applyAlignment="0" applyProtection="0"/>
    <xf numFmtId="0" fontId="58" fillId="0" borderId="6" applyNumberFormat="0" applyFill="0" applyAlignment="0" applyProtection="0"/>
    <xf numFmtId="0" fontId="59" fillId="23" borderId="0" applyNumberFormat="0" applyBorder="0" applyAlignment="0" applyProtection="0"/>
    <xf numFmtId="172" fontId="46" fillId="0" borderId="0"/>
    <xf numFmtId="0" fontId="36" fillId="0" borderId="0"/>
    <xf numFmtId="0" fontId="36" fillId="0" borderId="0"/>
    <xf numFmtId="0" fontId="36" fillId="0" borderId="0"/>
    <xf numFmtId="0" fontId="15" fillId="0" borderId="0"/>
    <xf numFmtId="165" fontId="2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6" fillId="0" borderId="0"/>
    <xf numFmtId="0" fontId="47" fillId="24" borderId="7" applyNumberFormat="0" applyFont="0" applyAlignment="0" applyProtection="0"/>
    <xf numFmtId="0" fontId="60" fillId="21" borderId="8" applyNumberFormat="0" applyAlignment="0" applyProtection="0"/>
    <xf numFmtId="9" fontId="45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44" fillId="0" borderId="9" applyNumberFormat="0" applyFill="0" applyAlignment="0" applyProtection="0"/>
    <xf numFmtId="0" fontId="62" fillId="0" borderId="0" applyNumberFormat="0" applyFill="0" applyBorder="0" applyAlignment="0" applyProtection="0"/>
    <xf numFmtId="165" fontId="21" fillId="0" borderId="0"/>
    <xf numFmtId="165" fontId="2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63" fillId="0" borderId="0" applyNumberFormat="0" applyFill="0" applyBorder="0" applyAlignment="0" applyProtection="0"/>
    <xf numFmtId="0" fontId="64" fillId="0" borderId="10" applyNumberFormat="0" applyFill="0" applyAlignment="0" applyProtection="0"/>
    <xf numFmtId="0" fontId="65" fillId="0" borderId="11" applyNumberFormat="0" applyFill="0" applyAlignment="0" applyProtection="0"/>
    <xf numFmtId="0" fontId="66" fillId="0" borderId="12" applyNumberFormat="0" applyFill="0" applyAlignment="0" applyProtection="0"/>
    <xf numFmtId="0" fontId="66" fillId="0" borderId="0" applyNumberFormat="0" applyFill="0" applyBorder="0" applyAlignment="0" applyProtection="0"/>
    <xf numFmtId="0" fontId="67" fillId="25" borderId="0" applyNumberFormat="0" applyBorder="0" applyAlignment="0" applyProtection="0"/>
    <xf numFmtId="0" fontId="68" fillId="26" borderId="0" applyNumberFormat="0" applyBorder="0" applyAlignment="0" applyProtection="0"/>
    <xf numFmtId="0" fontId="69" fillId="27" borderId="0" applyNumberFormat="0" applyBorder="0" applyAlignment="0" applyProtection="0"/>
    <xf numFmtId="0" fontId="70" fillId="28" borderId="13" applyNumberFormat="0" applyAlignment="0" applyProtection="0"/>
    <xf numFmtId="0" fontId="71" fillId="29" borderId="14" applyNumberFormat="0" applyAlignment="0" applyProtection="0"/>
    <xf numFmtId="0" fontId="72" fillId="29" borderId="13" applyNumberFormat="0" applyAlignment="0" applyProtection="0"/>
    <xf numFmtId="0" fontId="73" fillId="0" borderId="15" applyNumberFormat="0" applyFill="0" applyAlignment="0" applyProtection="0"/>
    <xf numFmtId="0" fontId="74" fillId="30" borderId="16" applyNumberFormat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1" fillId="0" borderId="18" applyNumberFormat="0" applyFill="0" applyAlignment="0" applyProtection="0"/>
    <xf numFmtId="0" fontId="77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77" fillId="39" borderId="0" applyNumberFormat="0" applyBorder="0" applyAlignment="0" applyProtection="0"/>
    <xf numFmtId="0" fontId="77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2" borderId="0" applyNumberFormat="0" applyBorder="0" applyAlignment="0" applyProtection="0"/>
    <xf numFmtId="0" fontId="77" fillId="43" borderId="0" applyNumberFormat="0" applyBorder="0" applyAlignment="0" applyProtection="0"/>
    <xf numFmtId="0" fontId="77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6" borderId="0" applyNumberFormat="0" applyBorder="0" applyAlignment="0" applyProtection="0"/>
    <xf numFmtId="0" fontId="77" fillId="47" borderId="0" applyNumberFormat="0" applyBorder="0" applyAlignment="0" applyProtection="0"/>
    <xf numFmtId="0" fontId="77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50" borderId="0" applyNumberFormat="0" applyBorder="0" applyAlignment="0" applyProtection="0"/>
    <xf numFmtId="0" fontId="77" fillId="51" borderId="0" applyNumberFormat="0" applyBorder="0" applyAlignment="0" applyProtection="0"/>
    <xf numFmtId="0" fontId="77" fillId="52" borderId="0" applyNumberFormat="0" applyBorder="0" applyAlignment="0" applyProtection="0"/>
    <xf numFmtId="0" fontId="10" fillId="53" borderId="0" applyNumberFormat="0" applyBorder="0" applyAlignment="0" applyProtection="0"/>
    <xf numFmtId="0" fontId="10" fillId="54" borderId="0" applyNumberFormat="0" applyBorder="0" applyAlignment="0" applyProtection="0"/>
    <xf numFmtId="0" fontId="77" fillId="55" borderId="0" applyNumberFormat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78" fillId="0" borderId="10" applyNumberFormat="0" applyFill="0" applyAlignment="0" applyProtection="0"/>
    <xf numFmtId="173" fontId="47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0" fillId="31" borderId="17" applyNumberFormat="0" applyFont="0" applyAlignment="0" applyProtection="0"/>
    <xf numFmtId="0" fontId="10" fillId="0" borderId="0"/>
    <xf numFmtId="0" fontId="10" fillId="0" borderId="0"/>
    <xf numFmtId="0" fontId="10" fillId="0" borderId="0"/>
    <xf numFmtId="0" fontId="15" fillId="0" borderId="0"/>
    <xf numFmtId="43" fontId="15" fillId="0" borderId="0" applyFont="0" applyFill="0" applyBorder="0" applyAlignment="0" applyProtection="0"/>
    <xf numFmtId="0" fontId="10" fillId="0" borderId="0"/>
    <xf numFmtId="0" fontId="10" fillId="0" borderId="0"/>
    <xf numFmtId="0" fontId="9" fillId="0" borderId="0"/>
    <xf numFmtId="174" fontId="8" fillId="0" borderId="0"/>
    <xf numFmtId="9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5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9" fillId="0" borderId="0"/>
    <xf numFmtId="0" fontId="6" fillId="0" borderId="0"/>
    <xf numFmtId="165" fontId="21" fillId="0" borderId="0"/>
    <xf numFmtId="0" fontId="82" fillId="0" borderId="0"/>
    <xf numFmtId="43" fontId="82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167" fontId="2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3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36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3" fillId="0" borderId="0"/>
    <xf numFmtId="40" fontId="45" fillId="0" borderId="0" applyFont="0" applyFill="0" applyBorder="0" applyAlignment="0" applyProtection="0"/>
    <xf numFmtId="178" fontId="21" fillId="0" borderId="0"/>
    <xf numFmtId="178" fontId="21" fillId="0" borderId="0"/>
    <xf numFmtId="0" fontId="2" fillId="0" borderId="0"/>
    <xf numFmtId="0" fontId="87" fillId="0" borderId="0" applyNumberFormat="0" applyFill="0" applyBorder="0" applyAlignment="0" applyProtection="0"/>
    <xf numFmtId="0" fontId="88" fillId="27" borderId="0" applyNumberFormat="0" applyBorder="0" applyAlignment="0" applyProtection="0"/>
    <xf numFmtId="0" fontId="2" fillId="31" borderId="17" applyNumberFormat="0" applyFont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3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</cellStyleXfs>
  <cellXfs count="76">
    <xf numFmtId="0" fontId="0" fillId="0" borderId="0" xfId="0"/>
    <xf numFmtId="0" fontId="23" fillId="2" borderId="0" xfId="0" applyFont="1" applyFill="1"/>
    <xf numFmtId="0" fontId="23" fillId="2" borderId="0" xfId="12" applyFont="1" applyFill="1"/>
    <xf numFmtId="0" fontId="0" fillId="2" borderId="0" xfId="0" applyFill="1"/>
    <xf numFmtId="0" fontId="0" fillId="2" borderId="0" xfId="0" applyFill="1" applyBorder="1"/>
    <xf numFmtId="0" fontId="23" fillId="2" borderId="0" xfId="0" applyFont="1" applyFill="1" applyAlignment="1">
      <alignment vertical="center"/>
    </xf>
    <xf numFmtId="0" fontId="33" fillId="2" borderId="0" xfId="12" applyFont="1" applyFill="1"/>
    <xf numFmtId="170" fontId="25" fillId="2" borderId="0" xfId="12" applyNumberFormat="1" applyFont="1" applyFill="1" applyAlignment="1">
      <alignment vertical="center"/>
    </xf>
    <xf numFmtId="170" fontId="23" fillId="2" borderId="0" xfId="12" applyNumberFormat="1" applyFont="1" applyFill="1" applyAlignment="1">
      <alignment vertical="center"/>
    </xf>
    <xf numFmtId="170" fontId="23" fillId="2" borderId="0" xfId="4" applyNumberFormat="1" applyFont="1" applyFill="1" applyAlignment="1">
      <alignment vertical="center"/>
    </xf>
    <xf numFmtId="170" fontId="23" fillId="2" borderId="0" xfId="0" applyNumberFormat="1" applyFont="1" applyFill="1" applyBorder="1" applyAlignment="1">
      <alignment vertical="center"/>
    </xf>
    <xf numFmtId="170" fontId="25" fillId="2" borderId="0" xfId="12" applyNumberFormat="1" applyFont="1" applyFill="1" applyAlignment="1">
      <alignment horizontal="right" vertical="center"/>
    </xf>
    <xf numFmtId="170" fontId="25" fillId="2" borderId="0" xfId="4" applyNumberFormat="1" applyFont="1" applyFill="1" applyAlignment="1">
      <alignment horizontal="right" vertical="center"/>
    </xf>
    <xf numFmtId="170" fontId="23" fillId="2" borderId="0" xfId="12" applyNumberFormat="1" applyFont="1" applyFill="1" applyBorder="1" applyAlignment="1">
      <alignment horizontal="right" vertical="center"/>
    </xf>
    <xf numFmtId="170" fontId="23" fillId="2" borderId="0" xfId="0" applyNumberFormat="1" applyFont="1" applyFill="1" applyAlignment="1">
      <alignment vertical="center"/>
    </xf>
    <xf numFmtId="0" fontId="27" fillId="2" borderId="0" xfId="0" applyFont="1" applyFill="1" applyAlignment="1">
      <alignment horizontal="right" vertical="center"/>
    </xf>
    <xf numFmtId="0" fontId="25" fillId="2" borderId="0" xfId="12" applyFont="1" applyFill="1" applyAlignment="1">
      <alignment horizontal="right" vertical="center"/>
    </xf>
    <xf numFmtId="0" fontId="24" fillId="2" borderId="0" xfId="12" applyFont="1" applyFill="1" applyAlignment="1">
      <alignment vertical="center"/>
    </xf>
    <xf numFmtId="0" fontId="24" fillId="2" borderId="0" xfId="0" applyFont="1" applyFill="1" applyAlignment="1">
      <alignment vertical="center"/>
    </xf>
    <xf numFmtId="170" fontId="24" fillId="2" borderId="0" xfId="0" applyNumberFormat="1" applyFont="1" applyFill="1" applyBorder="1" applyAlignment="1">
      <alignment vertical="center"/>
    </xf>
    <xf numFmtId="170" fontId="24" fillId="2" borderId="0" xfId="12" applyNumberFormat="1" applyFont="1" applyFill="1" applyBorder="1" applyAlignment="1">
      <alignment vertical="center"/>
    </xf>
    <xf numFmtId="0" fontId="29" fillId="57" borderId="0" xfId="12" applyFont="1" applyFill="1" applyBorder="1" applyAlignment="1">
      <alignment vertical="center"/>
    </xf>
    <xf numFmtId="0" fontId="29" fillId="2" borderId="0" xfId="12" applyFont="1" applyFill="1" applyBorder="1" applyAlignment="1">
      <alignment vertical="center"/>
    </xf>
    <xf numFmtId="170" fontId="30" fillId="57" borderId="0" xfId="12" applyNumberFormat="1" applyFont="1" applyFill="1" applyBorder="1" applyAlignment="1">
      <alignment vertical="center"/>
    </xf>
    <xf numFmtId="170" fontId="35" fillId="2" borderId="0" xfId="12" applyNumberFormat="1" applyFont="1" applyFill="1" applyBorder="1" applyAlignment="1">
      <alignment vertical="center"/>
    </xf>
    <xf numFmtId="0" fontId="31" fillId="2" borderId="0" xfId="12" applyFont="1" applyFill="1" applyBorder="1" applyAlignment="1">
      <alignment vertical="center"/>
    </xf>
    <xf numFmtId="170" fontId="30" fillId="2" borderId="0" xfId="12" applyNumberFormat="1" applyFont="1" applyFill="1" applyBorder="1" applyAlignment="1">
      <alignment vertical="center"/>
    </xf>
    <xf numFmtId="170" fontId="35" fillId="2" borderId="0" xfId="13" applyNumberFormat="1" applyFont="1" applyFill="1" applyBorder="1" applyAlignment="1">
      <alignment horizontal="right" vertical="center"/>
    </xf>
    <xf numFmtId="170" fontId="23" fillId="57" borderId="0" xfId="13" applyNumberFormat="1" applyFont="1" applyFill="1" applyBorder="1" applyAlignment="1">
      <alignment horizontal="right" vertical="center"/>
    </xf>
    <xf numFmtId="0" fontId="89" fillId="2" borderId="0" xfId="12" applyFont="1" applyFill="1" applyAlignment="1">
      <alignment vertical="center"/>
    </xf>
    <xf numFmtId="0" fontId="15" fillId="2" borderId="0" xfId="12" applyFont="1" applyFill="1"/>
    <xf numFmtId="0" fontId="34" fillId="2" borderId="0" xfId="782" applyFont="1" applyFill="1"/>
    <xf numFmtId="0" fontId="39" fillId="57" borderId="0" xfId="12" applyFont="1" applyFill="1" applyBorder="1" applyAlignment="1">
      <alignment vertical="center"/>
    </xf>
    <xf numFmtId="0" fontId="40" fillId="57" borderId="0" xfId="12" applyFont="1" applyFill="1" applyBorder="1" applyAlignment="1">
      <alignment vertical="center"/>
    </xf>
    <xf numFmtId="0" fontId="40" fillId="57" borderId="0" xfId="12" applyFont="1" applyFill="1" applyBorder="1" applyAlignment="1">
      <alignment horizontal="right" vertical="center"/>
    </xf>
    <xf numFmtId="0" fontId="15" fillId="2" borderId="0" xfId="12" applyFont="1" applyFill="1" applyAlignment="1">
      <alignment vertical="center"/>
    </xf>
    <xf numFmtId="0" fontId="24" fillId="2" borderId="0" xfId="12" applyFont="1" applyFill="1" applyBorder="1" applyAlignment="1">
      <alignment vertical="center"/>
    </xf>
    <xf numFmtId="0" fontId="24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horizontal="right" vertical="center"/>
    </xf>
    <xf numFmtId="0" fontId="32" fillId="57" borderId="0" xfId="12" applyFont="1" applyFill="1" applyBorder="1" applyAlignment="1">
      <alignment vertical="center"/>
    </xf>
    <xf numFmtId="170" fontId="37" fillId="57" borderId="0" xfId="12" applyNumberFormat="1" applyFont="1" applyFill="1" applyBorder="1" applyAlignment="1">
      <alignment vertical="center"/>
    </xf>
    <xf numFmtId="170" fontId="37" fillId="2" borderId="0" xfId="12" applyNumberFormat="1" applyFont="1" applyFill="1" applyBorder="1" applyAlignment="1">
      <alignment vertical="center"/>
    </xf>
    <xf numFmtId="170" fontId="24" fillId="57" borderId="0" xfId="4" applyNumberFormat="1" applyFont="1" applyFill="1" applyBorder="1" applyAlignment="1">
      <alignment vertical="center"/>
    </xf>
    <xf numFmtId="170" fontId="24" fillId="2" borderId="0" xfId="4" applyNumberFormat="1" applyFont="1" applyFill="1" applyBorder="1" applyAlignment="1">
      <alignment horizontal="right" vertical="center"/>
    </xf>
    <xf numFmtId="170" fontId="37" fillId="57" borderId="0" xfId="4" applyNumberFormat="1" applyFont="1" applyFill="1" applyBorder="1" applyAlignment="1">
      <alignment vertical="center"/>
    </xf>
    <xf numFmtId="0" fontId="32" fillId="2" borderId="0" xfId="12" applyFont="1" applyFill="1" applyBorder="1" applyAlignment="1">
      <alignment vertical="center"/>
    </xf>
    <xf numFmtId="170" fontId="37" fillId="2" borderId="0" xfId="12" applyNumberFormat="1" applyFont="1" applyFill="1" applyBorder="1" applyAlignment="1">
      <alignment horizontal="right" vertical="center"/>
    </xf>
    <xf numFmtId="170" fontId="37" fillId="57" borderId="0" xfId="4" applyNumberFormat="1" applyFont="1" applyFill="1" applyBorder="1" applyAlignment="1">
      <alignment horizontal="right" vertical="center"/>
    </xf>
    <xf numFmtId="170" fontId="24" fillId="2" borderId="0" xfId="4" applyNumberFormat="1" applyFont="1" applyFill="1" applyBorder="1" applyAlignment="1">
      <alignment vertical="center"/>
    </xf>
    <xf numFmtId="43" fontId="15" fillId="2" borderId="0" xfId="12" applyNumberFormat="1" applyFont="1" applyFill="1" applyAlignment="1">
      <alignment vertical="center"/>
    </xf>
    <xf numFmtId="170" fontId="24" fillId="57" borderId="0" xfId="12" applyNumberFormat="1" applyFont="1" applyFill="1" applyBorder="1" applyAlignment="1">
      <alignment horizontal="right" vertical="center"/>
    </xf>
    <xf numFmtId="0" fontId="15" fillId="2" borderId="0" xfId="12" applyFont="1" applyFill="1" applyBorder="1" applyAlignment="1">
      <alignment vertical="center"/>
    </xf>
    <xf numFmtId="170" fontId="24" fillId="57" borderId="0" xfId="12" applyNumberFormat="1" applyFont="1" applyFill="1" applyBorder="1" applyAlignment="1">
      <alignment vertical="center"/>
    </xf>
    <xf numFmtId="43" fontId="15" fillId="2" borderId="0" xfId="12" applyNumberFormat="1" applyFont="1" applyFill="1" applyBorder="1" applyAlignment="1">
      <alignment vertical="center"/>
    </xf>
    <xf numFmtId="0" fontId="29" fillId="2" borderId="0" xfId="12" applyFont="1" applyFill="1" applyBorder="1" applyAlignment="1">
      <alignment horizontal="left" vertical="center" indent="8"/>
    </xf>
    <xf numFmtId="0" fontId="29" fillId="57" borderId="0" xfId="12" applyFont="1" applyFill="1" applyBorder="1" applyAlignment="1">
      <alignment horizontal="left" vertical="center" indent="8"/>
    </xf>
    <xf numFmtId="0" fontId="41" fillId="57" borderId="0" xfId="12" applyFont="1" applyFill="1" applyBorder="1" applyAlignment="1">
      <alignment vertical="center"/>
    </xf>
    <xf numFmtId="0" fontId="41" fillId="2" borderId="0" xfId="12" applyFont="1" applyFill="1" applyBorder="1" applyAlignment="1">
      <alignment vertical="center"/>
    </xf>
    <xf numFmtId="0" fontId="1" fillId="2" borderId="0" xfId="12" applyFont="1" applyFill="1" applyBorder="1" applyAlignment="1">
      <alignment vertical="center"/>
    </xf>
    <xf numFmtId="0" fontId="0" fillId="2" borderId="0" xfId="12" applyFont="1" applyFill="1" applyBorder="1" applyAlignment="1">
      <alignment horizontal="left" vertical="center" indent="1"/>
    </xf>
    <xf numFmtId="0" fontId="86" fillId="57" borderId="0" xfId="782" applyFont="1" applyFill="1" applyBorder="1" applyAlignment="1" applyProtection="1">
      <alignment horizontal="left" vertical="center" indent="1"/>
    </xf>
    <xf numFmtId="0" fontId="1" fillId="57" borderId="0" xfId="12" applyFont="1" applyFill="1" applyBorder="1" applyAlignment="1">
      <alignment vertical="center"/>
    </xf>
    <xf numFmtId="0" fontId="15" fillId="2" borderId="0" xfId="782" applyFont="1" applyFill="1" applyBorder="1" applyAlignment="1">
      <alignment horizontal="left"/>
    </xf>
    <xf numFmtId="0" fontId="17" fillId="2" borderId="0" xfId="782" applyNumberFormat="1" applyFont="1" applyFill="1" applyBorder="1" applyAlignment="1" applyProtection="1">
      <alignment horizontal="right"/>
    </xf>
    <xf numFmtId="0" fontId="15" fillId="2" borderId="0" xfId="782" applyFont="1" applyFill="1"/>
    <xf numFmtId="0" fontId="15" fillId="2" borderId="0" xfId="782" applyFont="1" applyFill="1" applyBorder="1"/>
    <xf numFmtId="0" fontId="26" fillId="2" borderId="0" xfId="12" applyFont="1" applyFill="1" applyAlignment="1">
      <alignment vertical="center"/>
    </xf>
    <xf numFmtId="0" fontId="22" fillId="2" borderId="0" xfId="12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26" fillId="2" borderId="0" xfId="0" applyFont="1" applyFill="1" applyAlignment="1">
      <alignment vertical="center"/>
    </xf>
    <xf numFmtId="0" fontId="16" fillId="2" borderId="0" xfId="12" applyFont="1" applyFill="1" applyAlignment="1">
      <alignment vertical="center"/>
    </xf>
    <xf numFmtId="0" fontId="92" fillId="2" borderId="0" xfId="12" applyFont="1" applyFill="1" applyAlignment="1">
      <alignment vertical="center"/>
    </xf>
    <xf numFmtId="0" fontId="38" fillId="56" borderId="0" xfId="782" applyFont="1" applyFill="1" applyAlignment="1">
      <alignment horizontal="left" vertical="center"/>
    </xf>
    <xf numFmtId="0" fontId="32" fillId="2" borderId="0" xfId="12" applyFont="1" applyFill="1" applyBorder="1" applyAlignment="1">
      <alignment horizontal="left" vertical="center"/>
    </xf>
    <xf numFmtId="0" fontId="32" fillId="57" borderId="0" xfId="12" applyFont="1" applyFill="1" applyBorder="1" applyAlignment="1">
      <alignment horizontal="left" vertical="center"/>
    </xf>
    <xf numFmtId="0" fontId="85" fillId="2" borderId="0" xfId="12" applyFont="1" applyFill="1" applyAlignment="1">
      <alignment vertical="center"/>
    </xf>
  </cellXfs>
  <cellStyles count="878">
    <cellStyle name="1" xfId="1"/>
    <cellStyle name="1 2" xfId="16"/>
    <cellStyle name="1 3" xfId="782"/>
    <cellStyle name="1 4" xfId="797"/>
    <cellStyle name="1 5" xfId="800"/>
    <cellStyle name="1_Indicators 2007" xfId="2"/>
    <cellStyle name="1_Indicators2007" xfId="3"/>
    <cellStyle name="1_Indicators2007 2" xfId="791"/>
    <cellStyle name="20% - Accent1" xfId="747" builtinId="30" customBuiltin="1"/>
    <cellStyle name="20% - Accent1 2" xfId="668"/>
    <cellStyle name="20% - Accent1 3" xfId="860"/>
    <cellStyle name="20% - Accent2" xfId="751" builtinId="34" customBuiltin="1"/>
    <cellStyle name="20% - Accent2 2" xfId="669"/>
    <cellStyle name="20% - Accent2 3" xfId="863"/>
    <cellStyle name="20% - Accent3" xfId="755" builtinId="38" customBuiltin="1"/>
    <cellStyle name="20% - Accent3 2" xfId="670"/>
    <cellStyle name="20% - Accent3 3" xfId="866"/>
    <cellStyle name="20% - Accent4" xfId="759" builtinId="42" customBuiltin="1"/>
    <cellStyle name="20% - Accent4 2" xfId="671"/>
    <cellStyle name="20% - Accent4 3" xfId="869"/>
    <cellStyle name="20% - Accent5" xfId="763" builtinId="46" customBuiltin="1"/>
    <cellStyle name="20% - Accent5 2" xfId="672"/>
    <cellStyle name="20% - Accent5 3" xfId="872"/>
    <cellStyle name="20% - Accent6" xfId="767" builtinId="50" customBuiltin="1"/>
    <cellStyle name="20% - Accent6 2" xfId="673"/>
    <cellStyle name="20% - Accent6 3" xfId="875"/>
    <cellStyle name="40% - Accent1" xfId="748" builtinId="31" customBuiltin="1"/>
    <cellStyle name="40% - Accent1 2" xfId="674"/>
    <cellStyle name="40% - Accent1 3" xfId="861"/>
    <cellStyle name="40% - Accent2" xfId="752" builtinId="35" customBuiltin="1"/>
    <cellStyle name="40% - Accent2 2" xfId="675"/>
    <cellStyle name="40% - Accent2 3" xfId="864"/>
    <cellStyle name="40% - Accent3" xfId="756" builtinId="39" customBuiltin="1"/>
    <cellStyle name="40% - Accent3 2" xfId="676"/>
    <cellStyle name="40% - Accent3 3" xfId="867"/>
    <cellStyle name="40% - Accent4" xfId="760" builtinId="43" customBuiltin="1"/>
    <cellStyle name="40% - Accent4 2" xfId="677"/>
    <cellStyle name="40% - Accent4 3" xfId="870"/>
    <cellStyle name="40% - Accent5" xfId="764" builtinId="47" customBuiltin="1"/>
    <cellStyle name="40% - Accent5 2" xfId="678"/>
    <cellStyle name="40% - Accent5 3" xfId="873"/>
    <cellStyle name="40% - Accent6" xfId="768" builtinId="51" customBuiltin="1"/>
    <cellStyle name="40% - Accent6 2" xfId="679"/>
    <cellStyle name="40% - Accent6 3" xfId="876"/>
    <cellStyle name="60% - Accent1" xfId="749" builtinId="32" customBuiltin="1"/>
    <cellStyle name="60% - Accent1 2" xfId="680"/>
    <cellStyle name="60% - Accent1 3" xfId="862"/>
    <cellStyle name="60% - Accent2" xfId="753" builtinId="36" customBuiltin="1"/>
    <cellStyle name="60% - Accent2 2" xfId="681"/>
    <cellStyle name="60% - Accent2 3" xfId="865"/>
    <cellStyle name="60% - Accent3" xfId="757" builtinId="40" customBuiltin="1"/>
    <cellStyle name="60% - Accent3 2" xfId="682"/>
    <cellStyle name="60% - Accent3 3" xfId="868"/>
    <cellStyle name="60% - Accent4" xfId="761" builtinId="44" customBuiltin="1"/>
    <cellStyle name="60% - Accent4 2" xfId="683"/>
    <cellStyle name="60% - Accent4 3" xfId="871"/>
    <cellStyle name="60% - Accent5" xfId="765" builtinId="48" customBuiltin="1"/>
    <cellStyle name="60% - Accent5 2" xfId="684"/>
    <cellStyle name="60% - Accent5 3" xfId="874"/>
    <cellStyle name="60% - Accent6" xfId="769" builtinId="52" customBuiltin="1"/>
    <cellStyle name="60% - Accent6 2" xfId="685"/>
    <cellStyle name="60% - Accent6 3" xfId="877"/>
    <cellStyle name="Accent1" xfId="746" builtinId="29" customBuiltin="1"/>
    <cellStyle name="Accent1 2" xfId="686"/>
    <cellStyle name="Accent2" xfId="750" builtinId="33" customBuiltin="1"/>
    <cellStyle name="Accent2 2" xfId="687"/>
    <cellStyle name="Accent3" xfId="754" builtinId="37" customBuiltin="1"/>
    <cellStyle name="Accent3 2" xfId="688"/>
    <cellStyle name="Accent4" xfId="758" builtinId="41" customBuiltin="1"/>
    <cellStyle name="Accent4 2" xfId="689"/>
    <cellStyle name="Accent5" xfId="762" builtinId="45" customBuiltin="1"/>
    <cellStyle name="Accent5 2" xfId="690"/>
    <cellStyle name="Accent6" xfId="766" builtinId="49" customBuiltin="1"/>
    <cellStyle name="Accent6 2" xfId="691"/>
    <cellStyle name="Bad" xfId="736" builtinId="27" customBuiltin="1"/>
    <cellStyle name="Bad 2" xfId="692"/>
    <cellStyle name="Calculation" xfId="740" builtinId="22" customBuiltin="1"/>
    <cellStyle name="Calculation 2" xfId="693"/>
    <cellStyle name="Check Cell" xfId="742" builtinId="23" customBuiltin="1"/>
    <cellStyle name="Check Cell 2" xfId="694"/>
    <cellStyle name="Comma" xfId="4" builtinId="3"/>
    <cellStyle name="Comma 10" xfId="793"/>
    <cellStyle name="Comma 11" xfId="801"/>
    <cellStyle name="Comma 2" xfId="5"/>
    <cellStyle name="Comma 2 2" xfId="666"/>
    <cellStyle name="Comma 2 2 2" xfId="803"/>
    <cellStyle name="Comma 2 3" xfId="776"/>
    <cellStyle name="Comma 2 4" xfId="783"/>
    <cellStyle name="Comma 2 5" xfId="802"/>
    <cellStyle name="Comma 2 6" xfId="853"/>
    <cellStyle name="Comma 3" xfId="6"/>
    <cellStyle name="Comma 3 2" xfId="695"/>
    <cellStyle name="Comma 3 3" xfId="804"/>
    <cellStyle name="Comma 4" xfId="14"/>
    <cellStyle name="Comma 4 2" xfId="805"/>
    <cellStyle name="Comma 5" xfId="18"/>
    <cellStyle name="Comma 5 2" xfId="806"/>
    <cellStyle name="Comma 6" xfId="21"/>
    <cellStyle name="Comma 6 2" xfId="807"/>
    <cellStyle name="Comma 7" xfId="726"/>
    <cellStyle name="Comma 8" xfId="771"/>
    <cellStyle name="Comma 9" xfId="790"/>
    <cellStyle name="Explanatory Text" xfId="744" builtinId="53" customBuiltin="1"/>
    <cellStyle name="Explanatory Text 2" xfId="696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Good" xfId="735" builtinId="26" customBuiltin="1"/>
    <cellStyle name="Good 2" xfId="697"/>
    <cellStyle name="Heading 1" xfId="731" builtinId="16" customBuiltin="1"/>
    <cellStyle name="Heading 1 2" xfId="698"/>
    <cellStyle name="Heading 1 2 2" xfId="775"/>
    <cellStyle name="Heading 2" xfId="732" builtinId="17" customBuiltin="1"/>
    <cellStyle name="Heading 2 2" xfId="699"/>
    <cellStyle name="Heading 3" xfId="733" builtinId="18" customBuiltin="1"/>
    <cellStyle name="Heading 3 2" xfId="700"/>
    <cellStyle name="Heading 4" xfId="734" builtinId="19" customBuiltin="1"/>
    <cellStyle name="Heading 4 2" xfId="70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Input" xfId="738" builtinId="20" customBuiltin="1"/>
    <cellStyle name="Input 2" xfId="702"/>
    <cellStyle name="Linked Cell" xfId="741" builtinId="24" customBuiltin="1"/>
    <cellStyle name="Linked Cell 2" xfId="703"/>
    <cellStyle name="Neutral" xfId="737" builtinId="28" customBuiltin="1"/>
    <cellStyle name="Neutral 2" xfId="704"/>
    <cellStyle name="Neutral 3" xfId="858"/>
    <cellStyle name="Normal" xfId="0" builtinId="0"/>
    <cellStyle name="Normal - Style1" xfId="705"/>
    <cellStyle name="Normal 10" xfId="706"/>
    <cellStyle name="Normal 10 2" xfId="808"/>
    <cellStyle name="Normal 11" xfId="707"/>
    <cellStyle name="Normal 12" xfId="708"/>
    <cellStyle name="Normal 12 2" xfId="809"/>
    <cellStyle name="Normal 13" xfId="667"/>
    <cellStyle name="Normal 13 2" xfId="810"/>
    <cellStyle name="Normal 14" xfId="723"/>
    <cellStyle name="Normal 14 2" xfId="811"/>
    <cellStyle name="Normal 15" xfId="724"/>
    <cellStyle name="Normal 15 2" xfId="812"/>
    <cellStyle name="Normal 16" xfId="663"/>
    <cellStyle name="Normal 16 2" xfId="813"/>
    <cellStyle name="Normal 17" xfId="725"/>
    <cellStyle name="Normal 17 2" xfId="814"/>
    <cellStyle name="Normal 18" xfId="727"/>
    <cellStyle name="Normal 18 2" xfId="815"/>
    <cellStyle name="Normal 19" xfId="728"/>
    <cellStyle name="Normal 19 2" xfId="816"/>
    <cellStyle name="Normal 2" xfId="7"/>
    <cellStyle name="Normal 2 2" xfId="19"/>
    <cellStyle name="Normal 2 2 2" xfId="8"/>
    <cellStyle name="Normal 2 2 3" xfId="709"/>
    <cellStyle name="Normal 2 2 4" xfId="779"/>
    <cellStyle name="Normal 2 2 5" xfId="817"/>
    <cellStyle name="Normal 2 3" xfId="22"/>
    <cellStyle name="Normal 2 3 2" xfId="818"/>
    <cellStyle name="Normal 2 4" xfId="664"/>
    <cellStyle name="Normal 2 5" xfId="795"/>
    <cellStyle name="Normal 20" xfId="729"/>
    <cellStyle name="Normal 20 2" xfId="819"/>
    <cellStyle name="Normal 21" xfId="770"/>
    <cellStyle name="Normal 21 2" xfId="820"/>
    <cellStyle name="Normal 22" xfId="772"/>
    <cellStyle name="Normal 22 2" xfId="821"/>
    <cellStyle name="Normal 23" xfId="773"/>
    <cellStyle name="Normal 23 2" xfId="822"/>
    <cellStyle name="Normal 24" xfId="774"/>
    <cellStyle name="Normal 24 2" xfId="823"/>
    <cellStyle name="Normal 25" xfId="780"/>
    <cellStyle name="Normal 25 2" xfId="824"/>
    <cellStyle name="Normal 26" xfId="781"/>
    <cellStyle name="Normal 26 2" xfId="825"/>
    <cellStyle name="Normal 27" xfId="784"/>
    <cellStyle name="Normal 27 2" xfId="826"/>
    <cellStyle name="Normal 28" xfId="785"/>
    <cellStyle name="Normal 28 2" xfId="827"/>
    <cellStyle name="Normal 29" xfId="786"/>
    <cellStyle name="Normal 29 2" xfId="828"/>
    <cellStyle name="Normal 3" xfId="9"/>
    <cellStyle name="Normal 3 2" xfId="710"/>
    <cellStyle name="Normal 3 2 2" xfId="830"/>
    <cellStyle name="Normal 3 3" xfId="798"/>
    <cellStyle name="Normal 3 3 2" xfId="831"/>
    <cellStyle name="Normal 3 4" xfId="829"/>
    <cellStyle name="Normal 3_agri planning 2009 year book(final)" xfId="855"/>
    <cellStyle name="Normal 30" xfId="787"/>
    <cellStyle name="Normal 30 2" xfId="832"/>
    <cellStyle name="Normal 31" xfId="789"/>
    <cellStyle name="Normal 31 2" xfId="833"/>
    <cellStyle name="Normal 32" xfId="792"/>
    <cellStyle name="Normal 32 2" xfId="834"/>
    <cellStyle name="Normal 33" xfId="796"/>
    <cellStyle name="Normal 33 2" xfId="835"/>
    <cellStyle name="Normal 34" xfId="836"/>
    <cellStyle name="Normal 35" xfId="837"/>
    <cellStyle name="Normal 36" xfId="838"/>
    <cellStyle name="Normal 37" xfId="839"/>
    <cellStyle name="Normal 38" xfId="840"/>
    <cellStyle name="Normal 39" xfId="841"/>
    <cellStyle name="Normal 4" xfId="10"/>
    <cellStyle name="Normal 4 2" xfId="711"/>
    <cellStyle name="Normal 4 2 2" xfId="842"/>
    <cellStyle name="Normal 4 3" xfId="799"/>
    <cellStyle name="Normal 4_agri planning 2009 year book(final)" xfId="854"/>
    <cellStyle name="Normal 40" xfId="843"/>
    <cellStyle name="Normal 41" xfId="844"/>
    <cellStyle name="Normal 42" xfId="845"/>
    <cellStyle name="Normal 43" xfId="846"/>
    <cellStyle name="Normal 44" xfId="847"/>
    <cellStyle name="Normal 45" xfId="849"/>
    <cellStyle name="Normal 46" xfId="850"/>
    <cellStyle name="Normal 47" xfId="851"/>
    <cellStyle name="Normal 48" xfId="852"/>
    <cellStyle name="Normal 49" xfId="856"/>
    <cellStyle name="Normal 5" xfId="11"/>
    <cellStyle name="Normal 5 2" xfId="712"/>
    <cellStyle name="Normal 6" xfId="15"/>
    <cellStyle name="Normal 6 2" xfId="713"/>
    <cellStyle name="Normal 7" xfId="17"/>
    <cellStyle name="Normal 7 2" xfId="714"/>
    <cellStyle name="Normal 8" xfId="20"/>
    <cellStyle name="Normal 8 2" xfId="715"/>
    <cellStyle name="Normal 9" xfId="665"/>
    <cellStyle name="Normal 9 2" xfId="716"/>
    <cellStyle name="Normal 9 3" xfId="848"/>
    <cellStyle name="Normal_Indicators" xfId="12"/>
    <cellStyle name="Normal_XII-1 (Commerce)" xfId="13"/>
    <cellStyle name="Note 2" xfId="717"/>
    <cellStyle name="Note 3" xfId="778"/>
    <cellStyle name="Note 4" xfId="859"/>
    <cellStyle name="Output" xfId="739" builtinId="21" customBuiltin="1"/>
    <cellStyle name="Output 2" xfId="718"/>
    <cellStyle name="Percent 2" xfId="719"/>
    <cellStyle name="Percent 2 2" xfId="777"/>
    <cellStyle name="Percent 3" xfId="788"/>
    <cellStyle name="Percent 4" xfId="794"/>
    <cellStyle name="Title" xfId="730" builtinId="15" customBuiltin="1"/>
    <cellStyle name="Title 2" xfId="720"/>
    <cellStyle name="Title 3" xfId="857"/>
    <cellStyle name="Total" xfId="745" builtinId="25" customBuiltin="1"/>
    <cellStyle name="Total 2" xfId="721"/>
    <cellStyle name="Warning Text" xfId="743" builtinId="11" customBuiltin="1"/>
    <cellStyle name="Warning Text 2" xfId="72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DE6F00"/>
      <color rgb="FFFFE7B7"/>
      <color rgb="FFFFC757"/>
      <color rgb="FFCC66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onsolas" pitchFamily="49" charset="0"/>
                <a:ea typeface="Calibri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Government Finance, 2006 - 2016</a:t>
            </a:r>
          </a:p>
        </c:rich>
      </c:tx>
      <c:layout>
        <c:manualLayout>
          <c:xMode val="edge"/>
          <c:yMode val="edge"/>
          <c:x val="0.30563890040060776"/>
          <c:y val="4.9978560159869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3603416679341939E-2"/>
          <c:y val="0.17161738116068825"/>
          <c:w val="0.8875350205339313"/>
          <c:h val="0.6914704094101165"/>
        </c:manualLayout>
      </c:layout>
      <c:lineChart>
        <c:grouping val="standard"/>
        <c:varyColors val="0"/>
        <c:ser>
          <c:idx val="0"/>
          <c:order val="0"/>
          <c:tx>
            <c:strRef>
              <c:f>Finance!$A$5</c:f>
              <c:strCache>
                <c:ptCount val="1"/>
                <c:pt idx="0">
                  <c:v>Revenue and Grants</c:v>
                </c:pt>
              </c:strCache>
            </c:strRef>
          </c:tx>
          <c:spPr>
            <a:ln>
              <a:solidFill>
                <a:srgbClr val="DE6F00"/>
              </a:solidFill>
            </a:ln>
          </c:spPr>
          <c:marker>
            <c:symbol val="square"/>
            <c:size val="5"/>
            <c:spPr>
              <a:solidFill>
                <a:srgbClr val="FFC000"/>
              </a:solidFill>
              <a:ln w="6350">
                <a:solidFill>
                  <a:schemeClr val="accent6">
                    <a:lumMod val="50000"/>
                  </a:schemeClr>
                </a:solidFill>
              </a:ln>
            </c:spPr>
          </c:marker>
          <c:cat>
            <c:numRef>
              <c:f>Finance!$C$3:$M$3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Finance!$C$5:$M$5</c:f>
              <c:numCache>
                <c:formatCode>_(* #,##0.0_);_(* \(#,##0.0\);_(* "-"_);_(@_)</c:formatCode>
                <c:ptCount val="11"/>
                <c:pt idx="0">
                  <c:v>6154.1</c:v>
                </c:pt>
                <c:pt idx="1">
                  <c:v>7571.2000000000007</c:v>
                </c:pt>
                <c:pt idx="2">
                  <c:v>7456.54</c:v>
                </c:pt>
                <c:pt idx="3">
                  <c:v>5734.8352960000002</c:v>
                </c:pt>
                <c:pt idx="4">
                  <c:v>6546.9287702799966</c:v>
                </c:pt>
                <c:pt idx="5">
                  <c:v>9904.5614829999995</c:v>
                </c:pt>
                <c:pt idx="6">
                  <c:v>10138.11294952</c:v>
                </c:pt>
                <c:pt idx="7">
                  <c:v>11900.748051729999</c:v>
                </c:pt>
                <c:pt idx="8">
                  <c:v>15164.227912</c:v>
                </c:pt>
                <c:pt idx="9">
                  <c:v>17306.201467370003</c:v>
                </c:pt>
                <c:pt idx="10">
                  <c:v>18578.118781009995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CF-410D-83C8-7E3C3ACB4220}"/>
            </c:ext>
          </c:extLst>
        </c:ser>
        <c:ser>
          <c:idx val="1"/>
          <c:order val="1"/>
          <c:tx>
            <c:strRef>
              <c:f>Finance!$A$10</c:f>
              <c:strCache>
                <c:ptCount val="1"/>
                <c:pt idx="0">
                  <c:v>Expenditure and Net Lending</c:v>
                </c:pt>
              </c:strCache>
            </c:strRef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diamond"/>
            <c:size val="8"/>
            <c:spPr>
              <a:solidFill>
                <a:srgbClr val="DE6F00"/>
              </a:solidFill>
              <a:ln>
                <a:solidFill>
                  <a:schemeClr val="accent6">
                    <a:lumMod val="50000"/>
                  </a:schemeClr>
                </a:solidFill>
              </a:ln>
            </c:spPr>
          </c:marker>
          <c:cat>
            <c:numRef>
              <c:f>Finance!$C$3:$M$3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Finance!$C$10:$M$10</c:f>
              <c:numCache>
                <c:formatCode>_(* #,##0.0_);_(* \(#,##0.0\);_(* "-"_);_(@_)</c:formatCode>
                <c:ptCount val="11"/>
                <c:pt idx="0">
                  <c:v>6957.4163090000002</c:v>
                </c:pt>
                <c:pt idx="1">
                  <c:v>8283.2000000000007</c:v>
                </c:pt>
                <c:pt idx="2">
                  <c:v>10176.000000000002</c:v>
                </c:pt>
                <c:pt idx="3">
                  <c:v>10953.434156000003</c:v>
                </c:pt>
                <c:pt idx="4">
                  <c:v>10815.062102899999</c:v>
                </c:pt>
                <c:pt idx="5">
                  <c:v>12264.726665999999</c:v>
                </c:pt>
                <c:pt idx="6">
                  <c:v>13110.002924999999</c:v>
                </c:pt>
                <c:pt idx="7">
                  <c:v>13530.771002489999</c:v>
                </c:pt>
                <c:pt idx="8">
                  <c:v>16417.211596000001</c:v>
                </c:pt>
                <c:pt idx="9">
                  <c:v>21336.878134909999</c:v>
                </c:pt>
                <c:pt idx="10">
                  <c:v>25262.973192969996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CF-410D-83C8-7E3C3ACB4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39336"/>
        <c:axId val="31535808"/>
      </c:lineChart>
      <c:catAx>
        <c:axId val="31539336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1535808"/>
        <c:crosses val="autoZero"/>
        <c:auto val="1"/>
        <c:lblAlgn val="ctr"/>
        <c:lblOffset val="100"/>
        <c:noMultiLvlLbl val="0"/>
      </c:catAx>
      <c:valAx>
        <c:axId val="31535808"/>
        <c:scaling>
          <c:orientation val="minMax"/>
        </c:scaling>
        <c:delete val="0"/>
        <c:axPos val="l"/>
        <c:majorGridlines>
          <c:spPr>
            <a:ln>
              <a:solidFill>
                <a:srgbClr val="FFC000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million MVR</a:t>
                </a:r>
              </a:p>
            </c:rich>
          </c:tx>
          <c:layout>
            <c:manualLayout>
              <c:xMode val="edge"/>
              <c:yMode val="edge"/>
              <c:x val="1.0461066731725088E-2"/>
              <c:y val="6.1265221114438821E-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1539336"/>
        <c:crosses val="autoZero"/>
        <c:crossBetween val="between"/>
      </c:valAx>
      <c:spPr>
        <a:solidFill>
          <a:srgbClr val="FFFAE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2655778511557023"/>
          <c:y val="0.19215004187405924"/>
          <c:w val="0.67346289160663431"/>
          <c:h val="9.8130543900990463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488" l="0.70000000000000062" r="0.70000000000000062" t="0.75000000000000488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onsolas" pitchFamily="49" charset="0"/>
                <a:ea typeface="Calibri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Government Revenue,</a:t>
            </a:r>
            <a:r>
              <a:rPr lang="en-US" sz="1200" baseline="0">
                <a:latin typeface="Consolas" pitchFamily="49" charset="0"/>
                <a:cs typeface="Consolas" pitchFamily="49" charset="0"/>
              </a:rPr>
              <a:t> </a:t>
            </a:r>
            <a:r>
              <a:rPr lang="en-US" sz="1200">
                <a:latin typeface="Consolas" pitchFamily="49" charset="0"/>
                <a:cs typeface="Consolas" pitchFamily="49" charset="0"/>
              </a:rPr>
              <a:t>2006</a:t>
            </a:r>
            <a:r>
              <a:rPr lang="en-US" sz="1200" baseline="0">
                <a:latin typeface="Consolas" pitchFamily="49" charset="0"/>
                <a:cs typeface="Consolas" pitchFamily="49" charset="0"/>
              </a:rPr>
              <a:t> - </a:t>
            </a:r>
            <a:r>
              <a:rPr lang="en-US" sz="1200">
                <a:latin typeface="Consolas" pitchFamily="49" charset="0"/>
                <a:cs typeface="Consolas" pitchFamily="49" charset="0"/>
              </a:rPr>
              <a:t>2016</a:t>
            </a:r>
          </a:p>
        </c:rich>
      </c:tx>
      <c:layout>
        <c:manualLayout>
          <c:xMode val="edge"/>
          <c:yMode val="edge"/>
          <c:x val="0.31683708957867868"/>
          <c:y val="5.7049630840985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006781696666615"/>
          <c:y val="0.19113120516298504"/>
          <c:w val="0.87789092957606407"/>
          <c:h val="0.638699933198180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Finance!$B$7</c:f>
              <c:strCache>
                <c:ptCount val="1"/>
                <c:pt idx="0">
                  <c:v>Tax Revenue</c:v>
                </c:pt>
              </c:strCache>
            </c:strRef>
          </c:tx>
          <c:spPr>
            <a:solidFill>
              <a:srgbClr val="DE6F00"/>
            </a:solidFill>
          </c:spPr>
          <c:invertIfNegative val="0"/>
          <c:cat>
            <c:numRef>
              <c:f>Finance!$C$3:$M$3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Finance!$C$7:$M$7</c:f>
              <c:numCache>
                <c:formatCode>_(* #,##0.0_);_(* \(#,##0.0\);_(* "-"_);_(@_)</c:formatCode>
                <c:ptCount val="11"/>
                <c:pt idx="0">
                  <c:v>2370.3000000000002</c:v>
                </c:pt>
                <c:pt idx="1">
                  <c:v>2905.1000000000004</c:v>
                </c:pt>
                <c:pt idx="2">
                  <c:v>3366.8</c:v>
                </c:pt>
                <c:pt idx="3">
                  <c:v>2731.9902730000003</c:v>
                </c:pt>
                <c:pt idx="4">
                  <c:v>2931.0472653899988</c:v>
                </c:pt>
                <c:pt idx="5">
                  <c:v>4892.9547389999998</c:v>
                </c:pt>
                <c:pt idx="6">
                  <c:v>6880.0618489999988</c:v>
                </c:pt>
                <c:pt idx="7">
                  <c:v>8872.8437029999986</c:v>
                </c:pt>
                <c:pt idx="8">
                  <c:v>10837.855577</c:v>
                </c:pt>
                <c:pt idx="9">
                  <c:v>12270.646260000001</c:v>
                </c:pt>
                <c:pt idx="10">
                  <c:v>13293.027889009998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C-4BA8-9817-FB8B2E39147A}"/>
            </c:ext>
          </c:extLst>
        </c:ser>
        <c:ser>
          <c:idx val="1"/>
          <c:order val="1"/>
          <c:tx>
            <c:v>Non-tax Revenue</c:v>
          </c:tx>
          <c:spPr>
            <a:solidFill>
              <a:srgbClr val="FFC757"/>
            </a:solidFill>
          </c:spPr>
          <c:invertIfNegative val="0"/>
          <c:cat>
            <c:numRef>
              <c:f>Finance!$C$3:$M$3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Finance!$C$8:$M$8</c:f>
              <c:numCache>
                <c:formatCode>_(* #,##0.0_);_(* \(#,##0.0\);_(* "-"_);_(@_)</c:formatCode>
                <c:ptCount val="11"/>
                <c:pt idx="0">
                  <c:v>2866.9</c:v>
                </c:pt>
                <c:pt idx="1">
                  <c:v>3585.6000000000004</c:v>
                </c:pt>
                <c:pt idx="2">
                  <c:v>3530.4399999999996</c:v>
                </c:pt>
                <c:pt idx="3">
                  <c:v>2567.4414229999993</c:v>
                </c:pt>
                <c:pt idx="4">
                  <c:v>3411.9841732599989</c:v>
                </c:pt>
                <c:pt idx="5">
                  <c:v>3744.7069500000007</c:v>
                </c:pt>
                <c:pt idx="6">
                  <c:v>2843.3084127999996</c:v>
                </c:pt>
                <c:pt idx="7">
                  <c:v>2642.1310951999999</c:v>
                </c:pt>
                <c:pt idx="8">
                  <c:v>4036.9878939999999</c:v>
                </c:pt>
                <c:pt idx="9">
                  <c:v>4278.3316969999996</c:v>
                </c:pt>
                <c:pt idx="10">
                  <c:v>4162.6040857599965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1C-4BA8-9817-FB8B2E391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199744"/>
        <c:axId val="326205232"/>
      </c:barChart>
      <c:catAx>
        <c:axId val="32619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6205232"/>
        <c:crosses val="autoZero"/>
        <c:auto val="1"/>
        <c:lblAlgn val="ctr"/>
        <c:lblOffset val="100"/>
        <c:noMultiLvlLbl val="0"/>
      </c:catAx>
      <c:valAx>
        <c:axId val="326205232"/>
        <c:scaling>
          <c:orientation val="minMax"/>
        </c:scaling>
        <c:delete val="0"/>
        <c:axPos val="l"/>
        <c:majorGridlines>
          <c:spPr>
            <a:ln>
              <a:solidFill>
                <a:srgbClr val="FFD9B3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million MVR</a:t>
                </a:r>
              </a:p>
            </c:rich>
          </c:tx>
          <c:layout>
            <c:manualLayout>
              <c:xMode val="edge"/>
              <c:yMode val="edge"/>
              <c:x val="2.1039061293808864E-2"/>
              <c:y val="7.8929600466608338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6199744"/>
        <c:crosses val="autoZero"/>
        <c:crossBetween val="between"/>
      </c:valAx>
      <c:spPr>
        <a:solidFill>
          <a:srgbClr val="FFFAE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5030377887256072"/>
          <c:y val="0.28188651711055818"/>
          <c:w val="0.463083448842385"/>
          <c:h val="8.2443966989588738E-2"/>
        </c:manualLayout>
      </c:layout>
      <c:overlay val="0"/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885825</xdr:colOff>
      <xdr:row>35</xdr:row>
      <xdr:rowOff>38101</xdr:rowOff>
    </xdr:from>
    <xdr:to>
      <xdr:col>12</xdr:col>
      <xdr:colOff>695325</xdr:colOff>
      <xdr:row>51</xdr:row>
      <xdr:rowOff>9526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400050</xdr:colOff>
      <xdr:row>35</xdr:row>
      <xdr:rowOff>54850</xdr:rowOff>
    </xdr:from>
    <xdr:to>
      <xdr:col>5</xdr:col>
      <xdr:colOff>666750</xdr:colOff>
      <xdr:row>51</xdr:row>
      <xdr:rowOff>0</xdr:rowOff>
    </xdr:to>
    <xdr:graphicFrame macro="">
      <xdr:nvGraphicFramePr>
        <xdr:cNvPr id="5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16.%20NATIONAL%20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%20request\STAFF\Niyaf(ST2)\yearbook%202010\df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issemination\Publications\Statistical%20%20Year%20Book\YEARBOOK%202015\FINAL%20TABLES\20.%20POLITICAL%20PARTIES%20AND%20ELECTIONS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fig16.1 &amp; fig 16.2"/>
      <sheetName val="Fig 16.3"/>
    </sheetNames>
    <sheetDataSet>
      <sheetData sheetId="0"/>
      <sheetData sheetId="1"/>
      <sheetData sheetId="2"/>
      <sheetData sheetId="3">
        <row r="10">
          <cell r="C10">
            <v>13467.149516446438</v>
          </cell>
          <cell r="F10">
            <v>20162.565003966658</v>
          </cell>
          <cell r="G10">
            <v>23915.308285996416</v>
          </cell>
          <cell r="H10">
            <v>29077.071208252695</v>
          </cell>
          <cell r="I10">
            <v>30019.774446951735</v>
          </cell>
          <cell r="J10">
            <v>33128.653547666749</v>
          </cell>
          <cell r="K10">
            <v>40511.084367119765</v>
          </cell>
        </row>
      </sheetData>
      <sheetData sheetId="4"/>
      <sheetData sheetId="5">
        <row r="25">
          <cell r="C25">
            <v>28.078517934617697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Health"/>
      <sheetName val="6edu"/>
      <sheetName val="Law &amp; Ord"/>
      <sheetName val="Fisher"/>
      <sheetName val="Touri"/>
      <sheetName val="Electri"/>
      <sheetName val="11Transp"/>
      <sheetName val="Finance"/>
      <sheetName val="Money &amp; banking"/>
      <sheetName val="Foerign trade &amp; BOP"/>
      <sheetName val="NA (2)"/>
      <sheetName val="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N2">
            <v>2002</v>
          </cell>
          <cell r="O2">
            <v>2003</v>
          </cell>
          <cell r="P2">
            <v>2004</v>
          </cell>
          <cell r="Q2">
            <v>2005</v>
          </cell>
          <cell r="R2">
            <v>2006</v>
          </cell>
          <cell r="S2">
            <v>2007</v>
          </cell>
          <cell r="T2">
            <v>2008</v>
          </cell>
          <cell r="U2">
            <v>2009</v>
          </cell>
        </row>
        <row r="13">
          <cell r="N13">
            <v>-2.4054278619519698</v>
          </cell>
          <cell r="O13">
            <v>-3.0436506791225892</v>
          </cell>
          <cell r="P13">
            <v>3.25290202078381</v>
          </cell>
          <cell r="Q13">
            <v>4.5754348602195627</v>
          </cell>
          <cell r="R13">
            <v>5.1062145261893122</v>
          </cell>
          <cell r="S13">
            <v>11.491055549930307</v>
          </cell>
          <cell r="T13">
            <v>13.234218095589867</v>
          </cell>
          <cell r="U13">
            <v>-7.3809540681446517E-2</v>
          </cell>
          <cell r="V13" t="str">
            <v>Overall</v>
          </cell>
        </row>
        <row r="14">
          <cell r="N14">
            <v>-5.9857814362243467</v>
          </cell>
          <cell r="O14">
            <v>-1.7776814712484823</v>
          </cell>
          <cell r="P14">
            <v>5.1486626520646395</v>
          </cell>
          <cell r="Q14">
            <v>-2.005175416383842</v>
          </cell>
          <cell r="R14">
            <v>9.3225845762368031</v>
          </cell>
          <cell r="S14">
            <v>6.8068055598896171</v>
          </cell>
          <cell r="T14">
            <v>8.8486419027872021</v>
          </cell>
          <cell r="U14">
            <v>9.8956340530212739</v>
          </cell>
          <cell r="V14" t="str">
            <v>Resorts and hotels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 "/>
      <sheetName val="20.2"/>
      <sheetName val="20.3"/>
      <sheetName val="20.4"/>
      <sheetName val="20.5"/>
      <sheetName val="20.6"/>
      <sheetName val="20.7"/>
      <sheetName val="20.8"/>
      <sheetName val="20.9"/>
    </sheetNames>
    <sheetDataSet>
      <sheetData sheetId="0"/>
      <sheetData sheetId="1">
        <row r="16">
          <cell r="I16" t="str">
            <v>Presidential election, 2008</v>
          </cell>
          <cell r="K16">
            <v>61599484.75</v>
          </cell>
        </row>
        <row r="17">
          <cell r="I17" t="str">
            <v>Parliamentary election,2009</v>
          </cell>
          <cell r="K17">
            <v>22069176.829999998</v>
          </cell>
        </row>
        <row r="18">
          <cell r="I18" t="str">
            <v>No election in 2010</v>
          </cell>
        </row>
        <row r="19">
          <cell r="I19" t="str">
            <v>Local Council elections ,2011</v>
          </cell>
          <cell r="K19">
            <v>45434174.030000001</v>
          </cell>
        </row>
        <row r="20">
          <cell r="I20" t="str">
            <v>Presidential election, 2013</v>
          </cell>
          <cell r="K20">
            <v>76487272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R71"/>
  <sheetViews>
    <sheetView tabSelected="1" zoomScaleNormal="100" workbookViewId="0">
      <selection activeCell="P16" sqref="P16"/>
    </sheetView>
  </sheetViews>
  <sheetFormatPr defaultColWidth="9.140625" defaultRowHeight="12.75"/>
  <cols>
    <col min="1" max="1" width="10.140625" style="3" customWidth="1"/>
    <col min="2" max="2" width="34.28515625" style="3" customWidth="1"/>
    <col min="3" max="13" width="13.42578125" style="3" customWidth="1"/>
    <col min="14" max="14" width="12.140625" style="3" customWidth="1"/>
    <col min="15" max="15" width="9.140625" style="3" customWidth="1"/>
    <col min="16" max="18" width="13.42578125" style="3" customWidth="1"/>
    <col min="19" max="16384" width="9.140625" style="3"/>
  </cols>
  <sheetData>
    <row r="1" spans="1:18" s="30" customFormat="1" ht="30" customHeight="1">
      <c r="A1" s="72" t="s">
        <v>13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1"/>
      <c r="O1" s="1"/>
      <c r="P1" s="1"/>
      <c r="Q1" s="1"/>
      <c r="R1" s="1"/>
    </row>
    <row r="2" spans="1:18" s="30" customFormat="1" ht="15" customHeight="1">
      <c r="A2" s="31"/>
      <c r="B2" s="6"/>
      <c r="C2" s="2"/>
      <c r="D2" s="2"/>
      <c r="E2" s="2"/>
      <c r="F2" s="2"/>
      <c r="G2" s="1"/>
      <c r="H2" s="1"/>
      <c r="I2" s="1"/>
      <c r="L2" s="15"/>
      <c r="M2" s="15"/>
      <c r="N2" s="1"/>
      <c r="O2" s="1"/>
      <c r="P2" s="1"/>
      <c r="Q2" s="1"/>
      <c r="R2" s="1"/>
    </row>
    <row r="3" spans="1:18" s="35" customFormat="1" ht="16.5" customHeight="1">
      <c r="A3" s="32"/>
      <c r="B3" s="32"/>
      <c r="C3" s="33">
        <v>2006</v>
      </c>
      <c r="D3" s="33">
        <v>2007</v>
      </c>
      <c r="E3" s="33">
        <v>2008</v>
      </c>
      <c r="F3" s="34">
        <v>2009</v>
      </c>
      <c r="G3" s="34">
        <v>2010</v>
      </c>
      <c r="H3" s="34">
        <v>2011</v>
      </c>
      <c r="I3" s="34">
        <v>2012</v>
      </c>
      <c r="J3" s="34">
        <v>2013</v>
      </c>
      <c r="K3" s="34">
        <v>2014</v>
      </c>
      <c r="L3" s="34">
        <v>2015</v>
      </c>
      <c r="M3" s="34">
        <v>2016</v>
      </c>
      <c r="N3" s="16"/>
      <c r="O3" s="16"/>
      <c r="P3" s="16"/>
      <c r="Q3" s="16"/>
      <c r="R3" s="16"/>
    </row>
    <row r="4" spans="1:18" s="35" customFormat="1" ht="16.5" customHeight="1">
      <c r="A4" s="22" t="s">
        <v>2</v>
      </c>
      <c r="B4" s="22"/>
      <c r="C4" s="36"/>
      <c r="D4" s="36"/>
      <c r="E4" s="36"/>
      <c r="F4" s="36"/>
      <c r="G4" s="37"/>
      <c r="H4" s="37"/>
      <c r="I4" s="37"/>
      <c r="J4" s="37"/>
      <c r="K4" s="37"/>
      <c r="L4" s="38"/>
      <c r="M4" s="38" t="s">
        <v>16</v>
      </c>
      <c r="N4" s="5"/>
      <c r="O4" s="5"/>
      <c r="P4" s="5"/>
      <c r="Q4" s="5"/>
      <c r="R4" s="5"/>
    </row>
    <row r="5" spans="1:18" s="35" customFormat="1" ht="16.5" customHeight="1">
      <c r="A5" s="39" t="s">
        <v>3</v>
      </c>
      <c r="B5" s="21"/>
      <c r="C5" s="40">
        <v>6154.1</v>
      </c>
      <c r="D5" s="40">
        <v>7571.2000000000007</v>
      </c>
      <c r="E5" s="40">
        <v>7456.54</v>
      </c>
      <c r="F5" s="40">
        <v>5734.8352960000002</v>
      </c>
      <c r="G5" s="40">
        <v>6546.9287702799966</v>
      </c>
      <c r="H5" s="40">
        <v>9904.5614829999995</v>
      </c>
      <c r="I5" s="40">
        <v>10138.11294952</v>
      </c>
      <c r="J5" s="40">
        <v>11900.748051729999</v>
      </c>
      <c r="K5" s="40">
        <v>15164.227912</v>
      </c>
      <c r="L5" s="40">
        <v>17306.201467370003</v>
      </c>
      <c r="M5" s="40">
        <v>18578.118781009995</v>
      </c>
      <c r="N5" s="7"/>
      <c r="O5" s="7"/>
      <c r="P5" s="7"/>
      <c r="Q5" s="7"/>
      <c r="R5" s="7"/>
    </row>
    <row r="6" spans="1:18" s="35" customFormat="1" ht="16.5" customHeight="1">
      <c r="A6" s="73" t="s">
        <v>4</v>
      </c>
      <c r="B6" s="73"/>
      <c r="C6" s="41">
        <v>5286.7</v>
      </c>
      <c r="D6" s="41">
        <v>6527.2000000000007</v>
      </c>
      <c r="E6" s="41">
        <v>6939.54</v>
      </c>
      <c r="F6" s="41">
        <v>5313.319469</v>
      </c>
      <c r="G6" s="41">
        <v>6392.3855347199969</v>
      </c>
      <c r="H6" s="41">
        <v>9172.1262260000003</v>
      </c>
      <c r="I6" s="41">
        <v>9771.4430765199995</v>
      </c>
      <c r="J6" s="41">
        <v>11783.092824199999</v>
      </c>
      <c r="K6" s="41">
        <v>14998.954087</v>
      </c>
      <c r="L6" s="41">
        <v>16669.260271000003</v>
      </c>
      <c r="M6" s="41">
        <v>18324.993013089996</v>
      </c>
      <c r="N6" s="7"/>
      <c r="O6" s="7"/>
      <c r="P6" s="7"/>
      <c r="Q6" s="7"/>
      <c r="R6" s="7"/>
    </row>
    <row r="7" spans="1:18" s="35" customFormat="1" ht="16.5" customHeight="1">
      <c r="A7" s="21"/>
      <c r="B7" s="21" t="s">
        <v>5</v>
      </c>
      <c r="C7" s="42">
        <v>2370.3000000000002</v>
      </c>
      <c r="D7" s="42">
        <v>2905.1000000000004</v>
      </c>
      <c r="E7" s="42">
        <v>3366.8</v>
      </c>
      <c r="F7" s="42">
        <v>2731.9902730000003</v>
      </c>
      <c r="G7" s="42">
        <v>2931.0472653899988</v>
      </c>
      <c r="H7" s="42">
        <v>4892.9547389999998</v>
      </c>
      <c r="I7" s="42">
        <v>6880.0618489999988</v>
      </c>
      <c r="J7" s="42">
        <v>8872.8437029999986</v>
      </c>
      <c r="K7" s="42">
        <v>10837.855577</v>
      </c>
      <c r="L7" s="42">
        <v>12270.646260000001</v>
      </c>
      <c r="M7" s="42">
        <v>13293.027889009998</v>
      </c>
      <c r="P7" s="9"/>
      <c r="Q7" s="9"/>
      <c r="R7" s="9"/>
    </row>
    <row r="8" spans="1:18" s="35" customFormat="1" ht="16.5" customHeight="1">
      <c r="A8" s="22"/>
      <c r="B8" s="22" t="s">
        <v>14</v>
      </c>
      <c r="C8" s="43">
        <v>2866.9</v>
      </c>
      <c r="D8" s="43">
        <v>3585.6000000000004</v>
      </c>
      <c r="E8" s="43">
        <v>3530.4399999999996</v>
      </c>
      <c r="F8" s="43">
        <v>2567.4414229999993</v>
      </c>
      <c r="G8" s="19">
        <v>3411.9841732599989</v>
      </c>
      <c r="H8" s="19">
        <v>3744.7069500000007</v>
      </c>
      <c r="I8" s="19">
        <v>2843.3084127999996</v>
      </c>
      <c r="J8" s="19">
        <v>2642.1310951999999</v>
      </c>
      <c r="K8" s="19">
        <v>4036.9878939999999</v>
      </c>
      <c r="L8" s="19">
        <v>4278.3316969999996</v>
      </c>
      <c r="M8" s="19">
        <v>4162.6040857599965</v>
      </c>
      <c r="P8" s="10"/>
      <c r="Q8" s="10"/>
      <c r="R8" s="10"/>
    </row>
    <row r="9" spans="1:18" s="35" customFormat="1" ht="16.5" customHeight="1">
      <c r="A9" s="74" t="s">
        <v>15</v>
      </c>
      <c r="B9" s="74"/>
      <c r="C9" s="44">
        <v>867.40000000000009</v>
      </c>
      <c r="D9" s="44">
        <v>1044</v>
      </c>
      <c r="E9" s="44">
        <v>517</v>
      </c>
      <c r="F9" s="44">
        <v>421.515827</v>
      </c>
      <c r="G9" s="40">
        <v>154.54323556</v>
      </c>
      <c r="H9" s="40">
        <v>732.43525699999998</v>
      </c>
      <c r="I9" s="40">
        <v>366.669873</v>
      </c>
      <c r="J9" s="40">
        <v>117.65522752999999</v>
      </c>
      <c r="K9" s="40">
        <v>165.27382499999999</v>
      </c>
      <c r="L9" s="40">
        <v>636.94119636999983</v>
      </c>
      <c r="M9" s="40">
        <v>253.12576791999993</v>
      </c>
      <c r="N9" s="7"/>
      <c r="O9" s="7"/>
      <c r="P9" s="7"/>
      <c r="Q9" s="7"/>
      <c r="R9" s="7"/>
    </row>
    <row r="10" spans="1:18" s="35" customFormat="1" ht="16.5" customHeight="1">
      <c r="A10" s="45" t="s">
        <v>6</v>
      </c>
      <c r="B10" s="22"/>
      <c r="C10" s="46">
        <v>6957.4163090000002</v>
      </c>
      <c r="D10" s="46">
        <v>8283.2000000000007</v>
      </c>
      <c r="E10" s="46">
        <v>10176.000000000002</v>
      </c>
      <c r="F10" s="46">
        <v>10953.434156000003</v>
      </c>
      <c r="G10" s="46">
        <v>10815.062102899999</v>
      </c>
      <c r="H10" s="46">
        <v>12264.726665999999</v>
      </c>
      <c r="I10" s="46">
        <v>13110.002924999999</v>
      </c>
      <c r="J10" s="46">
        <v>13530.771002489999</v>
      </c>
      <c r="K10" s="46">
        <v>16417.211596000001</v>
      </c>
      <c r="L10" s="46">
        <v>21336.878134909999</v>
      </c>
      <c r="M10" s="46">
        <v>25262.973192969996</v>
      </c>
      <c r="O10" s="11"/>
      <c r="P10" s="11"/>
      <c r="Q10" s="11"/>
      <c r="R10" s="11"/>
    </row>
    <row r="11" spans="1:18" s="35" customFormat="1" ht="16.5" customHeight="1">
      <c r="A11" s="21"/>
      <c r="B11" s="39" t="s">
        <v>7</v>
      </c>
      <c r="C11" s="47">
        <v>7066.2000000000007</v>
      </c>
      <c r="D11" s="47">
        <v>8325.4000000000015</v>
      </c>
      <c r="E11" s="47">
        <v>10342.400000000001</v>
      </c>
      <c r="F11" s="47">
        <v>11104.270489000002</v>
      </c>
      <c r="G11" s="47">
        <v>10996.362102899999</v>
      </c>
      <c r="H11" s="47">
        <v>12663.726665999999</v>
      </c>
      <c r="I11" s="47">
        <v>13200.234560999999</v>
      </c>
      <c r="J11" s="47">
        <v>13666.256009489998</v>
      </c>
      <c r="K11" s="47">
        <v>16539.373646</v>
      </c>
      <c r="L11" s="47">
        <v>21440.896380909999</v>
      </c>
      <c r="M11" s="47">
        <v>25306.509388119997</v>
      </c>
      <c r="O11" s="12"/>
      <c r="P11" s="12"/>
      <c r="Q11" s="12"/>
      <c r="R11" s="12"/>
    </row>
    <row r="12" spans="1:18" s="35" customFormat="1" ht="16.5" customHeight="1">
      <c r="A12" s="22"/>
      <c r="B12" s="22" t="s">
        <v>8</v>
      </c>
      <c r="C12" s="48">
        <v>5607.8000000000011</v>
      </c>
      <c r="D12" s="48">
        <v>6560.1</v>
      </c>
      <c r="E12" s="48">
        <v>7463.2000000000007</v>
      </c>
      <c r="F12" s="48">
        <v>8764.9308290000008</v>
      </c>
      <c r="G12" s="48">
        <v>8428.0733739999996</v>
      </c>
      <c r="H12" s="48">
        <v>9075.7434510000003</v>
      </c>
      <c r="I12" s="48">
        <v>10316.485255</v>
      </c>
      <c r="J12" s="48">
        <v>11573.214585849999</v>
      </c>
      <c r="K12" s="48">
        <v>13959.968519999999</v>
      </c>
      <c r="L12" s="48">
        <v>16733.74419112</v>
      </c>
      <c r="M12" s="48">
        <v>16141.004692499997</v>
      </c>
      <c r="O12" s="9"/>
      <c r="P12" s="9"/>
      <c r="Q12" s="9"/>
      <c r="R12" s="9"/>
    </row>
    <row r="13" spans="1:18" s="35" customFormat="1" ht="16.5" customHeight="1">
      <c r="A13" s="21"/>
      <c r="B13" s="21" t="s">
        <v>9</v>
      </c>
      <c r="C13" s="42">
        <v>1458.4</v>
      </c>
      <c r="D13" s="42">
        <v>1765.3000000000002</v>
      </c>
      <c r="E13" s="42">
        <v>2879.2</v>
      </c>
      <c r="F13" s="42">
        <v>2339.3396600000005</v>
      </c>
      <c r="G13" s="42">
        <v>2568.2887288999996</v>
      </c>
      <c r="H13" s="42">
        <v>3587.9832149999993</v>
      </c>
      <c r="I13" s="42">
        <v>2883.7493059999997</v>
      </c>
      <c r="J13" s="42">
        <v>2093.0414236399993</v>
      </c>
      <c r="K13" s="42">
        <v>2579.4051260000006</v>
      </c>
      <c r="L13" s="42">
        <v>4707.1521897899993</v>
      </c>
      <c r="M13" s="42">
        <v>9165.5046956200003</v>
      </c>
      <c r="N13" s="49"/>
      <c r="O13" s="49"/>
      <c r="P13" s="49"/>
      <c r="Q13" s="49"/>
      <c r="R13" s="49"/>
    </row>
    <row r="14" spans="1:18" s="35" customFormat="1" ht="16.5" customHeight="1">
      <c r="A14" s="73" t="s">
        <v>10</v>
      </c>
      <c r="B14" s="73"/>
      <c r="C14" s="20">
        <v>-108.783691</v>
      </c>
      <c r="D14" s="20">
        <v>-42.2</v>
      </c>
      <c r="E14" s="20">
        <v>-166.4</v>
      </c>
      <c r="F14" s="20">
        <v>-150.836333</v>
      </c>
      <c r="G14" s="20">
        <v>-181.3</v>
      </c>
      <c r="H14" s="20">
        <v>-399</v>
      </c>
      <c r="I14" s="20">
        <v>-90.231635999999995</v>
      </c>
      <c r="J14" s="20">
        <v>-135.485007</v>
      </c>
      <c r="K14" s="20">
        <v>-122.16204999999999</v>
      </c>
      <c r="L14" s="20">
        <v>-104.018246</v>
      </c>
      <c r="M14" s="20">
        <v>-43.536195150000012</v>
      </c>
      <c r="O14" s="8"/>
      <c r="P14" s="8"/>
      <c r="Q14" s="8"/>
      <c r="R14" s="8"/>
    </row>
    <row r="15" spans="1:18" s="51" customFormat="1" ht="16.5" customHeight="1">
      <c r="A15" s="39" t="s">
        <v>17</v>
      </c>
      <c r="B15" s="21"/>
      <c r="C15" s="50">
        <v>-803.31630900000073</v>
      </c>
      <c r="D15" s="50">
        <v>-712</v>
      </c>
      <c r="E15" s="50">
        <v>-2719.4600000000019</v>
      </c>
      <c r="F15" s="50">
        <v>-5218.5988600000028</v>
      </c>
      <c r="G15" s="50">
        <v>-4268.1333326200029</v>
      </c>
      <c r="H15" s="50">
        <v>-2360.1651829999992</v>
      </c>
      <c r="I15" s="50">
        <v>-2971.8899754799986</v>
      </c>
      <c r="J15" s="50">
        <v>-1765.507957759999</v>
      </c>
      <c r="K15" s="50">
        <v>-1375.1457339999997</v>
      </c>
      <c r="L15" s="50">
        <v>-4134.6949135399955</v>
      </c>
      <c r="M15" s="50">
        <v>-6728.3906071100027</v>
      </c>
      <c r="O15" s="13"/>
      <c r="P15" s="13"/>
      <c r="Q15" s="13"/>
      <c r="R15" s="13"/>
    </row>
    <row r="16" spans="1:18" s="51" customFormat="1" ht="16.5" customHeight="1">
      <c r="A16" s="22" t="s">
        <v>18</v>
      </c>
      <c r="B16" s="22"/>
      <c r="C16" s="20">
        <v>-604.51630900000077</v>
      </c>
      <c r="D16" s="20">
        <v>-477.7</v>
      </c>
      <c r="E16" s="20">
        <v>-2439.4600000000019</v>
      </c>
      <c r="F16" s="20">
        <v>-4600.7200820000025</v>
      </c>
      <c r="G16" s="19">
        <v>-3592.3513126200028</v>
      </c>
      <c r="H16" s="19">
        <v>-1634.3804499999992</v>
      </c>
      <c r="I16" s="19">
        <v>-1864.8087464799987</v>
      </c>
      <c r="J16" s="19">
        <v>-808.78176075999909</v>
      </c>
      <c r="K16" s="19">
        <v>-396.79836499999976</v>
      </c>
      <c r="L16" s="19">
        <v>-2787.0450525399956</v>
      </c>
      <c r="M16" s="19">
        <v>-5546.1014912900027</v>
      </c>
      <c r="N16" s="14"/>
      <c r="O16" s="14"/>
      <c r="P16" s="14"/>
      <c r="Q16" s="14"/>
      <c r="R16" s="14"/>
    </row>
    <row r="17" spans="1:18" s="51" customFormat="1" ht="16.5" customHeight="1">
      <c r="A17" s="39" t="s">
        <v>11</v>
      </c>
      <c r="B17" s="21"/>
      <c r="C17" s="50">
        <v>803.31717099999992</v>
      </c>
      <c r="D17" s="50">
        <v>712</v>
      </c>
      <c r="E17" s="50">
        <v>2719.5</v>
      </c>
      <c r="F17" s="50">
        <v>5218.5999999999995</v>
      </c>
      <c r="G17" s="50">
        <v>4268.1000000000004</v>
      </c>
      <c r="H17" s="50">
        <v>2360.1515939999999</v>
      </c>
      <c r="I17" s="50">
        <v>2971.889975</v>
      </c>
      <c r="J17" s="50">
        <v>1765.5079579999997</v>
      </c>
      <c r="K17" s="50">
        <v>1375.1457340000004</v>
      </c>
      <c r="L17" s="50">
        <v>4134.694913360001</v>
      </c>
      <c r="M17" s="50">
        <v>6728.4460148500111</v>
      </c>
      <c r="O17" s="13"/>
      <c r="P17" s="13"/>
      <c r="Q17" s="13"/>
      <c r="R17" s="13"/>
    </row>
    <row r="18" spans="1:18" s="51" customFormat="1" ht="16.5" customHeight="1">
      <c r="A18" s="22"/>
      <c r="B18" s="22" t="s">
        <v>12</v>
      </c>
      <c r="C18" s="20">
        <v>538.51717099999996</v>
      </c>
      <c r="D18" s="20">
        <v>697.4</v>
      </c>
      <c r="E18" s="20">
        <v>747.7</v>
      </c>
      <c r="F18" s="20">
        <v>1006.2</v>
      </c>
      <c r="G18" s="19">
        <v>1228.3</v>
      </c>
      <c r="H18" s="19">
        <v>968.02961600000003</v>
      </c>
      <c r="I18" s="19">
        <v>772.15054499999997</v>
      </c>
      <c r="J18" s="19">
        <v>472.55445400000008</v>
      </c>
      <c r="K18" s="19">
        <v>-370.60431500000004</v>
      </c>
      <c r="L18" s="19">
        <v>-297.77568000000008</v>
      </c>
      <c r="M18" s="19">
        <v>1931.9270714199997</v>
      </c>
      <c r="N18" s="14"/>
      <c r="O18" s="14"/>
      <c r="P18" s="14"/>
      <c r="Q18" s="14"/>
      <c r="R18" s="14"/>
    </row>
    <row r="19" spans="1:18" s="51" customFormat="1" ht="16.5" customHeight="1">
      <c r="A19" s="21"/>
      <c r="B19" s="21" t="s">
        <v>19</v>
      </c>
      <c r="C19" s="52">
        <v>264.8</v>
      </c>
      <c r="D19" s="52">
        <v>14.6</v>
      </c>
      <c r="E19" s="52">
        <v>1971.8</v>
      </c>
      <c r="F19" s="52">
        <v>4212.3999999999996</v>
      </c>
      <c r="G19" s="42">
        <v>3039.8</v>
      </c>
      <c r="H19" s="42">
        <v>1392.1219780000001</v>
      </c>
      <c r="I19" s="42">
        <v>2199.7394300000001</v>
      </c>
      <c r="J19" s="42">
        <v>1292.9535039999996</v>
      </c>
      <c r="K19" s="42">
        <v>1745.7500490000004</v>
      </c>
      <c r="L19" s="42">
        <v>4432.4705933600007</v>
      </c>
      <c r="M19" s="42">
        <v>4796.5189434300109</v>
      </c>
      <c r="N19" s="53"/>
      <c r="O19" s="53"/>
      <c r="P19" s="53"/>
      <c r="Q19" s="53"/>
      <c r="R19" s="53"/>
    </row>
    <row r="20" spans="1:18" s="35" customFormat="1" ht="8.25" customHeight="1">
      <c r="A20" s="54"/>
      <c r="B20" s="22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9"/>
      <c r="Q20" s="9"/>
      <c r="R20" s="9"/>
    </row>
    <row r="21" spans="1:18" s="51" customFormat="1" ht="16.5" customHeight="1">
      <c r="A21" s="39" t="s">
        <v>20</v>
      </c>
      <c r="B21" s="21"/>
      <c r="C21" s="50">
        <v>6344.9561400000002</v>
      </c>
      <c r="D21" s="50">
        <v>7336.4472139999998</v>
      </c>
      <c r="E21" s="50">
        <v>9710.6553260000001</v>
      </c>
      <c r="F21" s="50">
        <v>14222.172291999999</v>
      </c>
      <c r="G21" s="50">
        <v>17016.995846000002</v>
      </c>
      <c r="H21" s="50">
        <v>23132.6</v>
      </c>
      <c r="I21" s="50">
        <v>25533.800000000003</v>
      </c>
      <c r="J21" s="50">
        <v>28425.399999999998</v>
      </c>
      <c r="K21" s="50">
        <v>31393.5</v>
      </c>
      <c r="L21" s="50">
        <v>33313.5</v>
      </c>
      <c r="M21" s="50">
        <v>38201.9</v>
      </c>
      <c r="O21" s="13"/>
      <c r="P21" s="13"/>
      <c r="Q21" s="13"/>
      <c r="R21" s="13"/>
    </row>
    <row r="22" spans="1:18" s="51" customFormat="1" ht="16.5" customHeight="1">
      <c r="A22" s="54" t="s">
        <v>21</v>
      </c>
      <c r="B22" s="22"/>
      <c r="C22" s="20">
        <v>4368.7</v>
      </c>
      <c r="D22" s="20">
        <v>4966.6000000000004</v>
      </c>
      <c r="E22" s="20">
        <v>5616.5</v>
      </c>
      <c r="F22" s="20">
        <v>6612.8</v>
      </c>
      <c r="G22" s="19">
        <v>7859.3</v>
      </c>
      <c r="H22" s="19">
        <v>10349.700000000001</v>
      </c>
      <c r="I22" s="19">
        <v>11081.6</v>
      </c>
      <c r="J22" s="19">
        <v>11517.8</v>
      </c>
      <c r="K22" s="19">
        <v>10749.2</v>
      </c>
      <c r="L22" s="19">
        <v>10204.200000000001</v>
      </c>
      <c r="M22" s="19">
        <v>11725.9</v>
      </c>
      <c r="N22" s="14"/>
      <c r="O22" s="14"/>
      <c r="P22" s="14"/>
      <c r="Q22" s="14"/>
      <c r="R22" s="14"/>
    </row>
    <row r="23" spans="1:18" s="51" customFormat="1" ht="16.5" customHeight="1">
      <c r="A23" s="55" t="s">
        <v>22</v>
      </c>
      <c r="B23" s="21"/>
      <c r="C23" s="52">
        <v>1976.25614</v>
      </c>
      <c r="D23" s="52">
        <v>2369.8472139999999</v>
      </c>
      <c r="E23" s="52">
        <v>4094.1553260000001</v>
      </c>
      <c r="F23" s="52">
        <v>7609.372292</v>
      </c>
      <c r="G23" s="42">
        <v>9157.6958460000005</v>
      </c>
      <c r="H23" s="42">
        <v>12782.9</v>
      </c>
      <c r="I23" s="42">
        <v>14452.2</v>
      </c>
      <c r="J23" s="42">
        <v>16907.599999999999</v>
      </c>
      <c r="K23" s="42">
        <v>20644.3</v>
      </c>
      <c r="L23" s="42">
        <v>23109.3</v>
      </c>
      <c r="M23" s="42">
        <v>26476</v>
      </c>
      <c r="N23" s="53"/>
      <c r="O23" s="53"/>
      <c r="P23" s="53"/>
      <c r="Q23" s="53"/>
      <c r="R23" s="53"/>
    </row>
    <row r="24" spans="1:18" s="35" customFormat="1" ht="16.5" customHeight="1">
      <c r="A24" s="54"/>
      <c r="B24" s="22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9"/>
      <c r="Q24" s="9"/>
      <c r="R24" s="9"/>
    </row>
    <row r="25" spans="1:18" s="25" customFormat="1" ht="16.5" customHeight="1">
      <c r="A25" s="56" t="s">
        <v>0</v>
      </c>
      <c r="B25" s="56"/>
      <c r="C25" s="23">
        <f t="shared" ref="C25:M25" si="0">C6/C32*100</f>
        <v>26.220374237900423</v>
      </c>
      <c r="D25" s="23">
        <f t="shared" si="0"/>
        <v>27.292978714483041</v>
      </c>
      <c r="E25" s="23">
        <f t="shared" si="0"/>
        <v>23.866021272563415</v>
      </c>
      <c r="F25" s="23">
        <f t="shared" si="0"/>
        <v>17.699398369528804</v>
      </c>
      <c r="G25" s="23">
        <f t="shared" si="0"/>
        <v>19.295639424410631</v>
      </c>
      <c r="H25" s="23">
        <f t="shared" si="0"/>
        <v>22.641028669784074</v>
      </c>
      <c r="I25" s="23">
        <f t="shared" si="0"/>
        <v>22.034834902622354</v>
      </c>
      <c r="J25" s="23">
        <f t="shared" si="0"/>
        <v>23.271360141918787</v>
      </c>
      <c r="K25" s="23">
        <f t="shared" si="0"/>
        <v>26.375614960852239</v>
      </c>
      <c r="L25" s="23">
        <f t="shared" si="0"/>
        <v>27.075625101642526</v>
      </c>
      <c r="M25" s="23">
        <f t="shared" si="0"/>
        <v>28.227323662520025</v>
      </c>
      <c r="N25" s="24"/>
      <c r="O25" s="24"/>
      <c r="P25" s="24"/>
      <c r="Q25" s="24"/>
      <c r="R25" s="24"/>
    </row>
    <row r="26" spans="1:18" s="25" customFormat="1" ht="16.5" customHeight="1">
      <c r="A26" s="57" t="s">
        <v>1</v>
      </c>
      <c r="B26" s="58"/>
      <c r="C26" s="26">
        <f t="shared" ref="C26:M26" si="1">C11/C32*100</f>
        <v>35.046136236187415</v>
      </c>
      <c r="D26" s="26">
        <f t="shared" si="1"/>
        <v>34.812012040317001</v>
      </c>
      <c r="E26" s="26">
        <f t="shared" si="1"/>
        <v>35.568919324531585</v>
      </c>
      <c r="F26" s="26">
        <f t="shared" si="1"/>
        <v>36.989853167026546</v>
      </c>
      <c r="G26" s="26">
        <f t="shared" si="1"/>
        <v>33.192903801773951</v>
      </c>
      <c r="H26" s="26">
        <f t="shared" si="1"/>
        <v>31.259905440295565</v>
      </c>
      <c r="I26" s="26">
        <f t="shared" si="1"/>
        <v>29.766840675401372</v>
      </c>
      <c r="J26" s="26">
        <f t="shared" si="1"/>
        <v>26.990567768025382</v>
      </c>
      <c r="K26" s="26">
        <f t="shared" si="1"/>
        <v>29.084438051494573</v>
      </c>
      <c r="L26" s="26">
        <f t="shared" si="1"/>
        <v>34.826120824487973</v>
      </c>
      <c r="M26" s="26">
        <f t="shared" si="1"/>
        <v>38.981462680875111</v>
      </c>
      <c r="N26" s="24"/>
      <c r="O26" s="24"/>
      <c r="P26" s="24"/>
      <c r="Q26" s="24"/>
      <c r="R26" s="24"/>
    </row>
    <row r="27" spans="1:18" s="25" customFormat="1" ht="16.5" customHeight="1">
      <c r="A27" s="56" t="s">
        <v>23</v>
      </c>
      <c r="B27" s="56"/>
      <c r="C27" s="23">
        <v>35.046136236187415</v>
      </c>
      <c r="D27" s="23">
        <v>34.812012040317001</v>
      </c>
      <c r="E27" s="23">
        <v>35.568919324531571</v>
      </c>
      <c r="F27" s="23">
        <v>37.077010727274818</v>
      </c>
      <c r="G27" s="23">
        <v>33.370863618085757</v>
      </c>
      <c r="H27" s="23">
        <v>31.259905440295565</v>
      </c>
      <c r="I27" s="23">
        <f t="shared" ref="I27:M27" si="2">I15/I32*100</f>
        <v>-6.7016820796731311</v>
      </c>
      <c r="J27" s="23">
        <f t="shared" si="2"/>
        <v>-3.4868410298928421</v>
      </c>
      <c r="K27" s="23">
        <f t="shared" si="2"/>
        <v>-2.4181895740636334</v>
      </c>
      <c r="L27" s="23">
        <f t="shared" si="2"/>
        <v>-6.7159218566788415</v>
      </c>
      <c r="M27" s="23">
        <f t="shared" si="2"/>
        <v>-10.364230930897815</v>
      </c>
      <c r="N27" s="24"/>
      <c r="O27" s="24"/>
      <c r="P27" s="24"/>
      <c r="Q27" s="24"/>
      <c r="R27" s="24"/>
    </row>
    <row r="28" spans="1:18" s="25" customFormat="1" ht="16.5" customHeight="1">
      <c r="A28" s="57" t="s">
        <v>24</v>
      </c>
      <c r="B28" s="58"/>
      <c r="C28" s="26">
        <v>35.046136236187415</v>
      </c>
      <c r="D28" s="26">
        <v>34.812012040317001</v>
      </c>
      <c r="E28" s="26">
        <v>35.568919324531571</v>
      </c>
      <c r="F28" s="26">
        <v>37.077010727274818</v>
      </c>
      <c r="G28" s="26">
        <v>33.370863618085757</v>
      </c>
      <c r="H28" s="26">
        <v>31.259905440295565</v>
      </c>
      <c r="I28" s="26">
        <f t="shared" ref="I28:M28" si="3">I16/I32*100</f>
        <v>-4.2051877631453154</v>
      </c>
      <c r="J28" s="26">
        <f t="shared" si="3"/>
        <v>-1.5973269422274117</v>
      </c>
      <c r="K28" s="26">
        <f t="shared" si="3"/>
        <v>-0.69776871318025391</v>
      </c>
      <c r="L28" s="26">
        <f t="shared" si="3"/>
        <v>-4.5269547512700488</v>
      </c>
      <c r="M28" s="26">
        <f t="shared" si="3"/>
        <v>-8.543064750311185</v>
      </c>
      <c r="N28" s="24"/>
      <c r="O28" s="24"/>
      <c r="P28" s="24"/>
      <c r="Q28" s="24"/>
      <c r="R28" s="24"/>
    </row>
    <row r="29" spans="1:18" s="25" customFormat="1" ht="16.5" customHeight="1">
      <c r="A29" s="56" t="s">
        <v>25</v>
      </c>
      <c r="B29" s="56"/>
      <c r="C29" s="23">
        <f t="shared" ref="C29:M29" si="4">C21/C32*100</f>
        <v>31.468992852604483</v>
      </c>
      <c r="D29" s="23">
        <f t="shared" si="4"/>
        <v>30.676782946995708</v>
      </c>
      <c r="E29" s="23">
        <f t="shared" si="4"/>
        <v>33.396263524793753</v>
      </c>
      <c r="F29" s="23">
        <f t="shared" si="4"/>
        <v>47.376013158034056</v>
      </c>
      <c r="G29" s="23">
        <f t="shared" si="4"/>
        <v>51.36639743452087</v>
      </c>
      <c r="H29" s="23">
        <f t="shared" si="4"/>
        <v>57.101902754237898</v>
      </c>
      <c r="I29" s="23">
        <f t="shared" si="4"/>
        <v>57.579322013197952</v>
      </c>
      <c r="J29" s="23">
        <f t="shared" si="4"/>
        <v>56.139566279196309</v>
      </c>
      <c r="K29" s="23">
        <f t="shared" si="4"/>
        <v>55.205373886115474</v>
      </c>
      <c r="L29" s="23">
        <f t="shared" si="4"/>
        <v>54.110609718703351</v>
      </c>
      <c r="M29" s="23">
        <f t="shared" si="4"/>
        <v>58.845173640881654</v>
      </c>
      <c r="N29" s="24"/>
      <c r="O29" s="24"/>
      <c r="P29" s="24"/>
      <c r="Q29" s="24"/>
      <c r="R29" s="24"/>
    </row>
    <row r="30" spans="1:18" s="25" customFormat="1" ht="16.5" customHeight="1">
      <c r="A30" s="59" t="s">
        <v>26</v>
      </c>
      <c r="B30" s="58"/>
      <c r="C30" s="26">
        <f t="shared" ref="C30:M30" si="5">C22/C32*100</f>
        <v>21.667382097171313</v>
      </c>
      <c r="D30" s="26">
        <f t="shared" si="5"/>
        <v>20.767451293564079</v>
      </c>
      <c r="E30" s="26">
        <f t="shared" si="5"/>
        <v>19.315906886818496</v>
      </c>
      <c r="F30" s="26">
        <f t="shared" si="5"/>
        <v>22.028146852620594</v>
      </c>
      <c r="G30" s="26">
        <f t="shared" si="5"/>
        <v>23.723572069392272</v>
      </c>
      <c r="H30" s="26">
        <f t="shared" si="5"/>
        <v>25.547822680353093</v>
      </c>
      <c r="I30" s="26">
        <f t="shared" si="5"/>
        <v>24.989269706093665</v>
      </c>
      <c r="J30" s="26">
        <f t="shared" si="5"/>
        <v>22.747412401954843</v>
      </c>
      <c r="K30" s="26">
        <f t="shared" si="5"/>
        <v>18.90243537600562</v>
      </c>
      <c r="L30" s="26">
        <f t="shared" si="5"/>
        <v>16.57452635392837</v>
      </c>
      <c r="M30" s="26">
        <f t="shared" si="5"/>
        <v>18.062259248770719</v>
      </c>
      <c r="N30" s="24"/>
      <c r="O30" s="24"/>
      <c r="P30" s="24"/>
      <c r="Q30" s="24"/>
      <c r="R30" s="24"/>
    </row>
    <row r="31" spans="1:18" s="25" customFormat="1" ht="16.5" customHeight="1">
      <c r="A31" s="59" t="s">
        <v>27</v>
      </c>
      <c r="B31" s="58"/>
      <c r="C31" s="26">
        <f t="shared" ref="C31:M31" si="6">C23/C32*100</f>
        <v>9.8016107554331686</v>
      </c>
      <c r="D31" s="26">
        <f t="shared" si="6"/>
        <v>9.9093316534316287</v>
      </c>
      <c r="E31" s="26">
        <f t="shared" si="6"/>
        <v>14.080356637975255</v>
      </c>
      <c r="F31" s="26">
        <f t="shared" si="6"/>
        <v>25.347866305413465</v>
      </c>
      <c r="G31" s="26">
        <f t="shared" si="6"/>
        <v>27.642825365128605</v>
      </c>
      <c r="H31" s="26">
        <f t="shared" si="6"/>
        <v>31.554080073884805</v>
      </c>
      <c r="I31" s="26">
        <f t="shared" si="6"/>
        <v>32.590052307104287</v>
      </c>
      <c r="J31" s="26">
        <f t="shared" si="6"/>
        <v>33.392153877241462</v>
      </c>
      <c r="K31" s="26">
        <f t="shared" si="6"/>
        <v>36.302938510109847</v>
      </c>
      <c r="L31" s="26">
        <f t="shared" si="6"/>
        <v>37.536083364774981</v>
      </c>
      <c r="M31" s="26">
        <f t="shared" si="6"/>
        <v>40.782914392110932</v>
      </c>
      <c r="N31" s="24"/>
      <c r="O31" s="24"/>
      <c r="P31" s="24"/>
      <c r="Q31" s="24"/>
      <c r="R31" s="24"/>
    </row>
    <row r="32" spans="1:18" s="25" customFormat="1" ht="16.5" customHeight="1">
      <c r="A32" s="60" t="s">
        <v>28</v>
      </c>
      <c r="B32" s="61"/>
      <c r="C32" s="28">
        <f>'[1]16.4'!F10</f>
        <v>20162.565003966658</v>
      </c>
      <c r="D32" s="28">
        <f>'[1]16.4'!G10</f>
        <v>23915.308285996416</v>
      </c>
      <c r="E32" s="28">
        <f>'[1]16.4'!H10</f>
        <v>29077.071208252695</v>
      </c>
      <c r="F32" s="28">
        <f>'[1]16.4'!I10</f>
        <v>30019.774446951735</v>
      </c>
      <c r="G32" s="28">
        <f>'[1]16.4'!J10</f>
        <v>33128.653547666749</v>
      </c>
      <c r="H32" s="28">
        <f>'[1]16.4'!K10</f>
        <v>40511.084367119765</v>
      </c>
      <c r="I32" s="28">
        <v>44345.433581429308</v>
      </c>
      <c r="J32" s="28">
        <v>50633.451385486791</v>
      </c>
      <c r="K32" s="28">
        <v>56866.746459796515</v>
      </c>
      <c r="L32" s="28">
        <v>61565.560198234431</v>
      </c>
      <c r="M32" s="28">
        <v>64919.342804793596</v>
      </c>
      <c r="N32" s="27"/>
      <c r="O32" s="27"/>
      <c r="P32" s="27"/>
      <c r="Q32" s="27"/>
      <c r="R32" s="27"/>
    </row>
    <row r="33" spans="1:18" s="70" customFormat="1" ht="16.5" customHeight="1">
      <c r="A33" s="66" t="s">
        <v>29</v>
      </c>
      <c r="B33" s="67"/>
      <c r="C33" s="67"/>
      <c r="D33" s="67"/>
      <c r="E33" s="66" t="s">
        <v>30</v>
      </c>
      <c r="F33" s="67"/>
      <c r="G33" s="68"/>
      <c r="H33" s="68"/>
      <c r="I33" s="68"/>
      <c r="J33" s="68"/>
      <c r="K33" s="69"/>
      <c r="L33" s="68"/>
      <c r="M33" s="68"/>
      <c r="N33" s="68"/>
      <c r="O33" s="68"/>
      <c r="P33" s="68"/>
      <c r="Q33" s="68"/>
      <c r="R33" s="68"/>
    </row>
    <row r="34" spans="1:18" s="70" customFormat="1" ht="16.5" customHeight="1">
      <c r="A34" s="66" t="s">
        <v>31</v>
      </c>
      <c r="B34" s="67"/>
      <c r="C34" s="67"/>
      <c r="D34" s="67"/>
      <c r="E34" s="71" t="s">
        <v>32</v>
      </c>
      <c r="F34" s="67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</row>
    <row r="35" spans="1:18" s="70" customFormat="1" ht="16.5" customHeight="1">
      <c r="A35" s="66" t="s">
        <v>33</v>
      </c>
      <c r="B35" s="67"/>
      <c r="C35" s="67"/>
      <c r="D35" s="67"/>
      <c r="E35" s="75" t="s">
        <v>34</v>
      </c>
      <c r="F35" s="67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</row>
    <row r="36" spans="1:18" s="35" customFormat="1" ht="16.5" customHeight="1">
      <c r="B36" s="17"/>
      <c r="C36" s="17"/>
      <c r="D36" s="17"/>
      <c r="E36" s="29"/>
      <c r="F36" s="17"/>
      <c r="G36" s="18"/>
      <c r="H36" s="18"/>
      <c r="I36" s="18"/>
      <c r="J36" s="18"/>
      <c r="K36" s="18"/>
      <c r="L36" s="18"/>
      <c r="M36" s="18"/>
      <c r="N36" s="5"/>
      <c r="O36" s="5"/>
      <c r="P36" s="5"/>
      <c r="Q36" s="5"/>
      <c r="R36" s="5"/>
    </row>
    <row r="53" spans="1:2" ht="5.25" customHeight="1"/>
    <row r="54" spans="1:2" ht="37.9" customHeight="1"/>
    <row r="61" spans="1:2">
      <c r="A61" s="4"/>
      <c r="B61" s="4"/>
    </row>
    <row r="62" spans="1:2">
      <c r="A62" s="4"/>
      <c r="B62" s="4"/>
    </row>
    <row r="63" spans="1:2" s="64" customFormat="1">
      <c r="A63" s="62"/>
      <c r="B63" s="63"/>
    </row>
    <row r="64" spans="1:2" s="64" customFormat="1">
      <c r="A64" s="62"/>
      <c r="B64" s="63"/>
    </row>
    <row r="65" spans="1:2" s="64" customFormat="1">
      <c r="A65" s="62"/>
      <c r="B65" s="65"/>
    </row>
    <row r="66" spans="1:2" s="64" customFormat="1">
      <c r="A66" s="62"/>
      <c r="B66" s="65"/>
    </row>
    <row r="67" spans="1:2" s="64" customFormat="1">
      <c r="A67" s="62"/>
      <c r="B67" s="65"/>
    </row>
    <row r="68" spans="1:2">
      <c r="A68" s="4"/>
      <c r="B68" s="4"/>
    </row>
    <row r="69" spans="1:2">
      <c r="A69" s="4"/>
      <c r="B69" s="4"/>
    </row>
    <row r="70" spans="1:2">
      <c r="A70" s="4"/>
      <c r="B70" s="4"/>
    </row>
    <row r="71" spans="1:2">
      <c r="A71" s="4"/>
      <c r="B71" s="4"/>
    </row>
  </sheetData>
  <mergeCells count="4">
    <mergeCell ref="A6:B6"/>
    <mergeCell ref="A9:B9"/>
    <mergeCell ref="A14:B14"/>
    <mergeCell ref="A1:M1"/>
  </mergeCells>
  <phoneticPr fontId="19" type="noConversion"/>
  <printOptions horizontalCentered="1" verticalCentered="1"/>
  <pageMargins left="7.8740157480315001E-2" right="0.511811023622047" top="0.196850393700787" bottom="0.27559055118110198" header="0.15748031496063" footer="0.27559055118110198"/>
  <pageSetup paperSize="9" scale="72" orientation="landscape" r:id="rId1"/>
  <headerFooter alignWithMargins="0"/>
  <drawing r:id="rId2"/>
  <webPublishItems count="2">
    <webPublishItem id="889" divId="Indicators2009_889" sourceType="range" sourceRef="A1:E50" destinationFile="\\Server04\mpnd\IT\Information for MPND Website\Statistical Yearbook 2009\Key Indicators 2009\Finance.htm"/>
    <webPublishItem id="10525" divId="Indicators 2010_10525" sourceType="range" sourceRef="A1:G48" destinationFile="\\Server\dp unit\Publications\Statistical  Year Book\Yearbook 2011\YRB 2011 CD\final chapters\CD WEB\Indicators\Finance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Finance</vt:lpstr>
      <vt:lpstr>Finance!Print_Area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2018-02-22T03:54:32Z</cp:lastPrinted>
  <dcterms:created xsi:type="dcterms:W3CDTF">2005-04-13T08:56:22Z</dcterms:created>
  <dcterms:modified xsi:type="dcterms:W3CDTF">2018-02-22T03:55:01Z</dcterms:modified>
</cp:coreProperties>
</file>