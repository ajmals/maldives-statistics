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3 Emp" sheetId="31" r:id="rId1"/>
  </sheets>
  <externalReferences>
    <externalReference r:id="rId2"/>
    <externalReference r:id="rId3"/>
  </externalReferences>
  <definedNames>
    <definedName name="_xlnm.Print_Area" localSheetId="0">'3 Emp'!$A$1:$N$56</definedName>
  </definedNames>
  <calcPr calcId="162913"/>
</workbook>
</file>

<file path=xl/calcChain.xml><?xml version="1.0" encoding="utf-8"?>
<calcChain xmlns="http://schemas.openxmlformats.org/spreadsheetml/2006/main">
  <c r="G8" i="31" l="1"/>
  <c r="J8" i="31"/>
  <c r="K8" i="31"/>
  <c r="L8" i="31"/>
  <c r="M5" i="31" l="1"/>
  <c r="H5" i="31"/>
  <c r="E5" i="31"/>
  <c r="D5" i="31"/>
  <c r="E8" i="31" l="1"/>
  <c r="F8" i="31"/>
  <c r="H8" i="31"/>
  <c r="I8" i="31"/>
  <c r="M8" i="31"/>
  <c r="N8" i="31"/>
  <c r="Z16" i="31" l="1"/>
</calcChain>
</file>

<file path=xl/sharedStrings.xml><?xml version="1.0" encoding="utf-8"?>
<sst xmlns="http://schemas.openxmlformats.org/spreadsheetml/2006/main" count="31" uniqueCount="20">
  <si>
    <t>EMPLOYMENT</t>
  </si>
  <si>
    <t>Both Sexes</t>
  </si>
  <si>
    <t>Male</t>
  </si>
  <si>
    <t>Female</t>
  </si>
  <si>
    <t>na</t>
  </si>
  <si>
    <t>Percent change over previous year</t>
  </si>
  <si>
    <t>Expatriate Employment</t>
  </si>
  <si>
    <t>15+ Population</t>
  </si>
  <si>
    <t>Employed Population</t>
  </si>
  <si>
    <t>Census 2006</t>
  </si>
  <si>
    <t>Census 2014</t>
  </si>
  <si>
    <t>Unemployment Rate (ILO definition) (%)</t>
  </si>
  <si>
    <t>Employment (Resident Maldivian population)</t>
  </si>
  <si>
    <r>
      <t xml:space="preserve">Expatriate Employment (Immigration) </t>
    </r>
    <r>
      <rPr>
        <sz val="8"/>
        <rFont val="Calibri"/>
        <family val="2"/>
        <scheme val="minor"/>
      </rPr>
      <t xml:space="preserve">2_/ </t>
    </r>
  </si>
  <si>
    <r>
      <t>Employment Approvals Issued</t>
    </r>
    <r>
      <rPr>
        <sz val="8"/>
        <rFont val="Calibri"/>
        <family val="2"/>
        <scheme val="minor"/>
      </rPr>
      <t xml:space="preserve"> 3_/</t>
    </r>
  </si>
  <si>
    <t>Unemployed Population (ILO defintion)/Seeking and available</t>
  </si>
  <si>
    <r>
      <rPr>
        <sz val="10"/>
        <rFont val="Calibri"/>
        <family val="2"/>
        <scheme val="minor"/>
      </rPr>
      <t xml:space="preserve">2_/ </t>
    </r>
    <r>
      <rPr>
        <i/>
        <sz val="10"/>
        <rFont val="Calibri"/>
        <family val="2"/>
        <scheme val="minor"/>
      </rPr>
      <t xml:space="preserve">Due to change in the border control system used to generate the immigration data with new system established in November 2012, there is a discontinuity in consistent records. </t>
    </r>
  </si>
  <si>
    <r>
      <rPr>
        <sz val="10"/>
        <rFont val="Calibri"/>
        <family val="2"/>
        <scheme val="minor"/>
      </rPr>
      <t xml:space="preserve">3_/ </t>
    </r>
    <r>
      <rPr>
        <i/>
        <sz val="10"/>
        <rFont val="Calibri"/>
        <family val="2"/>
        <scheme val="minor"/>
      </rPr>
      <t>Employment Approval (EA) is a written statement by immigration, giving permission for foreigners to work in Maldives. Resident permit/work visa is issued based on this EA for those who apply for work visa.</t>
    </r>
  </si>
  <si>
    <r>
      <t xml:space="preserve">Government Employees </t>
    </r>
    <r>
      <rPr>
        <b/>
        <vertAlign val="superscript"/>
        <sz val="11"/>
        <rFont val="Calibri"/>
        <family val="2"/>
        <scheme val="minor"/>
      </rPr>
      <t>1_/</t>
    </r>
  </si>
  <si>
    <r>
      <rPr>
        <sz val="10"/>
        <rFont val="Calibri"/>
        <family val="2"/>
        <scheme val="minor"/>
      </rPr>
      <t xml:space="preserve">1_/ </t>
    </r>
    <r>
      <rPr>
        <i/>
        <sz val="10"/>
        <rFont val="Calibri"/>
        <family val="2"/>
        <scheme val="minor"/>
      </rPr>
      <t>With the formation of civil service in 2008, government employees figures includes civil servants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</si>
</sst>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20"/>
      <color theme="0"/>
      <name val="Candara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vertAlign val="superscript"/>
      <sz val="1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19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0" fontId="20" fillId="0" borderId="0"/>
    <xf numFmtId="164" fontId="20" fillId="0" borderId="0"/>
    <xf numFmtId="164" fontId="20" fillId="0" borderId="0"/>
    <xf numFmtId="0" fontId="22" fillId="0" borderId="0"/>
    <xf numFmtId="165" fontId="20" fillId="0" borderId="0"/>
    <xf numFmtId="166" fontId="20" fillId="0" borderId="0" applyFont="0" applyFill="0" applyBorder="0" applyAlignment="0" applyProtection="0"/>
    <xf numFmtId="0" fontId="13" fillId="0" borderId="0"/>
    <xf numFmtId="0" fontId="18" fillId="0" borderId="0"/>
    <xf numFmtId="0" fontId="28" fillId="0" borderId="0"/>
    <xf numFmtId="43" fontId="28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11" fillId="0" borderId="0"/>
    <xf numFmtId="165" fontId="20" fillId="0" borderId="0"/>
    <xf numFmtId="171" fontId="28" fillId="0" borderId="0" applyFont="0" applyFill="0" applyBorder="0" applyAlignment="0" applyProtection="0"/>
    <xf numFmtId="0" fontId="28" fillId="0" borderId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6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20" borderId="0" applyNumberFormat="0" applyBorder="0" applyAlignment="0" applyProtection="0"/>
    <xf numFmtId="0" fontId="41" fillId="4" borderId="0" applyNumberFormat="0" applyBorder="0" applyAlignment="0" applyProtection="0"/>
    <xf numFmtId="0" fontId="42" fillId="21" borderId="1" applyNumberFormat="0" applyAlignment="0" applyProtection="0"/>
    <xf numFmtId="0" fontId="43" fillId="22" borderId="2" applyNumberFormat="0" applyAlignment="0" applyProtection="0"/>
    <xf numFmtId="40" fontId="3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5" borderId="0" applyNumberFormat="0" applyBorder="0" applyAlignment="0" applyProtection="0"/>
    <xf numFmtId="0" fontId="46" fillId="0" borderId="3" applyNumberFormat="0" applyFill="0" applyAlignment="0" applyProtection="0"/>
    <xf numFmtId="0" fontId="47" fillId="0" borderId="4" applyNumberFormat="0" applyFill="0" applyAlignment="0" applyProtection="0"/>
    <xf numFmtId="0" fontId="48" fillId="0" borderId="5" applyNumberFormat="0" applyFill="0" applyAlignment="0" applyProtection="0"/>
    <xf numFmtId="0" fontId="48" fillId="0" borderId="0" applyNumberFormat="0" applyFill="0" applyBorder="0" applyAlignment="0" applyProtection="0"/>
    <xf numFmtId="0" fontId="49" fillId="8" borderId="1" applyNumberFormat="0" applyAlignment="0" applyProtection="0"/>
    <xf numFmtId="0" fontId="50" fillId="0" borderId="6" applyNumberFormat="0" applyFill="0" applyAlignment="0" applyProtection="0"/>
    <xf numFmtId="0" fontId="51" fillId="23" borderId="0" applyNumberFormat="0" applyBorder="0" applyAlignment="0" applyProtection="0"/>
    <xf numFmtId="172" fontId="38" fillId="0" borderId="0"/>
    <xf numFmtId="0" fontId="28" fillId="0" borderId="0"/>
    <xf numFmtId="0" fontId="28" fillId="0" borderId="0"/>
    <xf numFmtId="0" fontId="28" fillId="0" borderId="0"/>
    <xf numFmtId="0" fontId="14" fillId="0" borderId="0"/>
    <xf numFmtId="165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9" fillId="24" borderId="7" applyNumberFormat="0" applyFont="0" applyAlignment="0" applyProtection="0"/>
    <xf numFmtId="0" fontId="52" fillId="21" borderId="8" applyNumberFormat="0" applyAlignment="0" applyProtection="0"/>
    <xf numFmtId="9" fontId="3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54" fillId="0" borderId="0" applyNumberFormat="0" applyFill="0" applyBorder="0" applyAlignment="0" applyProtection="0"/>
    <xf numFmtId="165" fontId="20" fillId="0" borderId="0"/>
    <xf numFmtId="165" fontId="2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25" borderId="0" applyNumberFormat="0" applyBorder="0" applyAlignment="0" applyProtection="0"/>
    <xf numFmtId="0" fontId="60" fillId="26" borderId="0" applyNumberFormat="0" applyBorder="0" applyAlignment="0" applyProtection="0"/>
    <xf numFmtId="0" fontId="61" fillId="27" borderId="0" applyNumberFormat="0" applyBorder="0" applyAlignment="0" applyProtection="0"/>
    <xf numFmtId="0" fontId="62" fillId="28" borderId="13" applyNumberFormat="0" applyAlignment="0" applyProtection="0"/>
    <xf numFmtId="0" fontId="63" fillId="29" borderId="14" applyNumberFormat="0" applyAlignment="0" applyProtection="0"/>
    <xf numFmtId="0" fontId="64" fillId="29" borderId="13" applyNumberFormat="0" applyAlignment="0" applyProtection="0"/>
    <xf numFmtId="0" fontId="65" fillId="0" borderId="15" applyNumberFormat="0" applyFill="0" applyAlignment="0" applyProtection="0"/>
    <xf numFmtId="0" fontId="66" fillId="30" borderId="16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6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9" fillId="51" borderId="0" applyNumberFormat="0" applyBorder="0" applyAlignment="0" applyProtection="0"/>
    <xf numFmtId="0" fontId="6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9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0" fillId="0" borderId="10" applyNumberFormat="0" applyFill="0" applyAlignment="0" applyProtection="0"/>
    <xf numFmtId="173" fontId="3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1" fillId="0" borderId="0"/>
    <xf numFmtId="0" fontId="5" fillId="0" borderId="0"/>
    <xf numFmtId="165" fontId="20" fillId="0" borderId="0"/>
    <xf numFmtId="0" fontId="74" fillId="0" borderId="0"/>
    <xf numFmtId="43" fontId="74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8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7" fillId="0" borderId="0" applyFont="0" applyFill="0" applyBorder="0" applyAlignment="0" applyProtection="0"/>
    <xf numFmtId="178" fontId="20" fillId="0" borderId="0"/>
    <xf numFmtId="178" fontId="20" fillId="0" borderId="0"/>
    <xf numFmtId="0" fontId="1" fillId="0" borderId="0"/>
    <xf numFmtId="0" fontId="76" fillId="0" borderId="0" applyNumberFormat="0" applyFill="0" applyBorder="0" applyAlignment="0" applyProtection="0"/>
    <xf numFmtId="0" fontId="77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6">
    <xf numFmtId="0" fontId="0" fillId="0" borderId="0" xfId="0"/>
    <xf numFmtId="0" fontId="0" fillId="0" borderId="0" xfId="1" applyFont="1" applyFill="1"/>
    <xf numFmtId="0" fontId="18" fillId="0" borderId="0" xfId="1" applyFont="1" applyFill="1"/>
    <xf numFmtId="0" fontId="0" fillId="0" borderId="0" xfId="0" applyFill="1"/>
    <xf numFmtId="0" fontId="18" fillId="2" borderId="0" xfId="1" applyFont="1" applyFill="1"/>
    <xf numFmtId="0" fontId="16" fillId="2" borderId="0" xfId="1" applyFont="1" applyFill="1"/>
    <xf numFmtId="0" fontId="23" fillId="2" borderId="0" xfId="0" applyFont="1" applyFill="1"/>
    <xf numFmtId="0" fontId="0" fillId="2" borderId="0" xfId="0" applyFill="1"/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0" fillId="2" borderId="0" xfId="1" applyFont="1" applyFill="1"/>
    <xf numFmtId="165" fontId="15" fillId="2" borderId="0" xfId="1" applyNumberFormat="1" applyFont="1" applyFill="1"/>
    <xf numFmtId="2" fontId="0" fillId="2" borderId="0" xfId="1" applyNumberFormat="1" applyFont="1" applyFill="1"/>
    <xf numFmtId="0" fontId="26" fillId="2" borderId="0" xfId="0" applyFont="1" applyFill="1" applyAlignment="1">
      <alignment vertical="center"/>
    </xf>
    <xf numFmtId="0" fontId="15" fillId="0" borderId="0" xfId="0" applyFont="1" applyFill="1"/>
    <xf numFmtId="0" fontId="15" fillId="2" borderId="0" xfId="0" applyFont="1" applyFill="1"/>
    <xf numFmtId="166" fontId="21" fillId="2" borderId="0" xfId="1" applyNumberFormat="1" applyFont="1" applyFill="1" applyAlignment="1">
      <alignment horizontal="right" vertical="center"/>
    </xf>
    <xf numFmtId="3" fontId="15" fillId="2" borderId="0" xfId="1" applyNumberFormat="1" applyFont="1" applyFill="1"/>
    <xf numFmtId="165" fontId="18" fillId="2" borderId="0" xfId="1" applyNumberFormat="1" applyFont="1" applyFill="1"/>
    <xf numFmtId="3" fontId="18" fillId="2" borderId="0" xfId="1" applyNumberFormat="1" applyFont="1" applyFill="1"/>
    <xf numFmtId="3" fontId="15" fillId="2" borderId="0" xfId="1" applyNumberFormat="1" applyFont="1" applyFill="1" applyBorder="1"/>
    <xf numFmtId="3" fontId="17" fillId="2" borderId="0" xfId="12" applyNumberFormat="1" applyFont="1" applyFill="1" applyBorder="1" applyAlignment="1">
      <alignment horizontal="right" vertical="center"/>
    </xf>
    <xf numFmtId="167" fontId="0" fillId="2" borderId="0" xfId="1" applyNumberFormat="1" applyFont="1" applyFill="1"/>
    <xf numFmtId="0" fontId="32" fillId="2" borderId="0" xfId="0" applyFont="1" applyFill="1"/>
    <xf numFmtId="0" fontId="27" fillId="2" borderId="0" xfId="781" applyFont="1" applyFill="1" applyAlignment="1">
      <alignment horizontal="left" vertical="center" indent="1"/>
    </xf>
    <xf numFmtId="0" fontId="23" fillId="2" borderId="0" xfId="781" applyFont="1" applyFill="1" applyAlignment="1">
      <alignment horizontal="left" vertical="center" indent="1"/>
    </xf>
    <xf numFmtId="0" fontId="24" fillId="2" borderId="0" xfId="781" applyFont="1" applyFill="1" applyAlignment="1">
      <alignment horizontal="left" vertical="center" indent="1"/>
    </xf>
    <xf numFmtId="0" fontId="23" fillId="2" borderId="0" xfId="781" applyFont="1" applyFill="1"/>
    <xf numFmtId="0" fontId="16" fillId="2" borderId="0" xfId="781" applyFont="1" applyFill="1"/>
    <xf numFmtId="0" fontId="0" fillId="2" borderId="0" xfId="781" applyFont="1" applyFill="1"/>
    <xf numFmtId="0" fontId="27" fillId="57" borderId="0" xfId="781" applyFont="1" applyFill="1" applyAlignment="1">
      <alignment horizontal="left" vertical="center" indent="1"/>
    </xf>
    <xf numFmtId="0" fontId="31" fillId="56" borderId="0" xfId="781" applyFont="1" applyFill="1" applyAlignment="1">
      <alignment vertical="center"/>
    </xf>
    <xf numFmtId="0" fontId="25" fillId="57" borderId="0" xfId="781" applyFont="1" applyFill="1" applyAlignment="1">
      <alignment horizontal="left" vertical="center" indent="1"/>
    </xf>
    <xf numFmtId="0" fontId="24" fillId="57" borderId="0" xfId="781" applyFont="1" applyFill="1" applyAlignment="1">
      <alignment horizontal="left" vertical="center" indent="1"/>
    </xf>
    <xf numFmtId="0" fontId="23" fillId="57" borderId="0" xfId="781" applyFont="1" applyFill="1" applyAlignment="1">
      <alignment horizontal="left" vertical="center" indent="1"/>
    </xf>
    <xf numFmtId="0" fontId="73" fillId="57" borderId="0" xfId="0" applyFont="1" applyFill="1"/>
    <xf numFmtId="167" fontId="24" fillId="2" borderId="0" xfId="4" applyNumberFormat="1" applyFont="1" applyFill="1" applyAlignment="1">
      <alignment horizontal="left" vertical="center"/>
    </xf>
    <xf numFmtId="167" fontId="24" fillId="57" borderId="0" xfId="4" applyNumberFormat="1" applyFont="1" applyFill="1" applyAlignment="1">
      <alignment horizontal="left" vertical="center"/>
    </xf>
    <xf numFmtId="0" fontId="32" fillId="57" borderId="0" xfId="0" applyFont="1" applyFill="1"/>
    <xf numFmtId="3" fontId="21" fillId="57" borderId="0" xfId="1" applyNumberFormat="1" applyFont="1" applyFill="1" applyAlignment="1">
      <alignment horizontal="right" vertical="center"/>
    </xf>
    <xf numFmtId="3" fontId="21" fillId="2" borderId="0" xfId="1" applyNumberFormat="1" applyFont="1" applyFill="1" applyAlignment="1">
      <alignment horizontal="right" vertical="center"/>
    </xf>
    <xf numFmtId="0" fontId="27" fillId="57" borderId="0" xfId="781" applyFont="1" applyFill="1" applyAlignment="1">
      <alignment horizontal="center" vertical="center"/>
    </xf>
    <xf numFmtId="1" fontId="29" fillId="57" borderId="0" xfId="1" applyNumberFormat="1" applyFont="1" applyFill="1" applyAlignment="1">
      <alignment horizontal="right" vertical="center"/>
    </xf>
    <xf numFmtId="164" fontId="21" fillId="57" borderId="0" xfId="1" applyNumberFormat="1" applyFont="1" applyFill="1" applyAlignment="1">
      <alignment horizontal="right" vertical="center"/>
    </xf>
    <xf numFmtId="164" fontId="24" fillId="57" borderId="0" xfId="4" applyNumberFormat="1" applyFont="1" applyFill="1" applyAlignment="1">
      <alignment horizontal="left" vertical="center"/>
    </xf>
    <xf numFmtId="164" fontId="24" fillId="57" borderId="0" xfId="781" applyNumberFormat="1" applyFont="1" applyFill="1" applyAlignment="1">
      <alignment horizontal="left" vertical="center" indent="1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Population - II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799231082030243E-2"/>
          <c:y val="0.14744983635193112"/>
          <c:w val="0.87289978189346051"/>
          <c:h val="0.686727866746125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 Emp'!$B$6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DE6F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DB6-491B-A587-AB7F74D9CF3A}"/>
              </c:ext>
            </c:extLst>
          </c:dPt>
          <c:cat>
            <c:numRef>
              <c:f>'3 Emp'!$D$3:$N$3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'3 Emp'!$D$6:$N$6</c:f>
              <c:numCache>
                <c:formatCode>#,##0</c:formatCode>
                <c:ptCount val="11"/>
                <c:pt idx="0">
                  <c:v>20909</c:v>
                </c:pt>
                <c:pt idx="1">
                  <c:v>19417</c:v>
                </c:pt>
                <c:pt idx="2">
                  <c:v>11507</c:v>
                </c:pt>
                <c:pt idx="3">
                  <c:v>11456</c:v>
                </c:pt>
                <c:pt idx="4">
                  <c:v>10464</c:v>
                </c:pt>
                <c:pt idx="5">
                  <c:v>9728</c:v>
                </c:pt>
                <c:pt idx="6">
                  <c:v>8603</c:v>
                </c:pt>
                <c:pt idx="7">
                  <c:v>11219</c:v>
                </c:pt>
                <c:pt idx="8">
                  <c:v>11547</c:v>
                </c:pt>
                <c:pt idx="9">
                  <c:v>11191</c:v>
                </c:pt>
                <c:pt idx="10">
                  <c:v>10881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6-491B-A587-AB7F74D9CF3A}"/>
            </c:ext>
          </c:extLst>
        </c:ser>
        <c:ser>
          <c:idx val="1"/>
          <c:order val="1"/>
          <c:tx>
            <c:strRef>
              <c:f>'3 Emp'!$B$7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9B3"/>
            </a:solidFill>
            <a:ln>
              <a:noFill/>
            </a:ln>
          </c:spPr>
          <c:invertIfNegative val="0"/>
          <c:cat>
            <c:numRef>
              <c:f>'3 Emp'!$D$3:$N$3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'3 Emp'!$D$7:$N$7</c:f>
              <c:numCache>
                <c:formatCode>#,##0</c:formatCode>
                <c:ptCount val="11"/>
                <c:pt idx="0">
                  <c:v>13088</c:v>
                </c:pt>
                <c:pt idx="1">
                  <c:v>13380</c:v>
                </c:pt>
                <c:pt idx="2">
                  <c:v>12631</c:v>
                </c:pt>
                <c:pt idx="3">
                  <c:v>12629</c:v>
                </c:pt>
                <c:pt idx="4">
                  <c:v>11381</c:v>
                </c:pt>
                <c:pt idx="5">
                  <c:v>9397</c:v>
                </c:pt>
                <c:pt idx="6">
                  <c:v>9054</c:v>
                </c:pt>
                <c:pt idx="7">
                  <c:v>12988</c:v>
                </c:pt>
                <c:pt idx="8">
                  <c:v>13336</c:v>
                </c:pt>
                <c:pt idx="9">
                  <c:v>13505</c:v>
                </c:pt>
                <c:pt idx="10">
                  <c:v>13620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B6-491B-A587-AB7F74D9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879552"/>
        <c:axId val="95881088"/>
      </c:barChart>
      <c:catAx>
        <c:axId val="958795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1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88108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1.4094118516875531E-2"/>
              <c:y val="6.0626769852739251E-2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9552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943017167496918"/>
          <c:y val="0.1954945245370899"/>
          <c:w val="0.20375265190211295"/>
          <c:h val="6.1449287106693139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379082919017966E-2"/>
          <c:y val="0.1916148886220054"/>
          <c:w val="0.87163737310221978"/>
          <c:h val="0.666183091219847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E6F00"/>
            </a:solidFill>
            <a:ln>
              <a:noFill/>
            </a:ln>
          </c:spPr>
          <c:invertIfNegative val="0"/>
          <c:cat>
            <c:numRef>
              <c:f>'3 Emp'!$K$3:$N$3</c:f>
              <c:numCache>
                <c:formatCode>0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'3 Emp'!$K$10:$N$10</c:f>
              <c:numCache>
                <c:formatCode>#,##0</c:formatCode>
                <c:ptCount val="4"/>
                <c:pt idx="0">
                  <c:v>57424</c:v>
                </c:pt>
                <c:pt idx="1">
                  <c:v>45584</c:v>
                </c:pt>
                <c:pt idx="2">
                  <c:v>58527</c:v>
                </c:pt>
                <c:pt idx="3">
                  <c:v>83136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2-4533-BE2E-B7783C97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98240"/>
        <c:axId val="95912320"/>
      </c:barChart>
      <c:catAx>
        <c:axId val="958982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2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91232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2.4004400237425293E-2"/>
              <c:y val="9.6213560816489629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824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312421</xdr:colOff>
      <xdr:row>19</xdr:row>
      <xdr:rowOff>156210</xdr:rowOff>
    </xdr:from>
    <xdr:to>
      <xdr:col>10</xdr:col>
      <xdr:colOff>95250</xdr:colOff>
      <xdr:row>36</xdr:row>
      <xdr:rowOff>28575</xdr:rowOff>
    </xdr:to>
    <xdr:graphicFrame macro="">
      <xdr:nvGraphicFramePr>
        <xdr:cNvPr id="5853758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328554</xdr:colOff>
      <xdr:row>38</xdr:row>
      <xdr:rowOff>9181</xdr:rowOff>
    </xdr:from>
    <xdr:to>
      <xdr:col>10</xdr:col>
      <xdr:colOff>95250</xdr:colOff>
      <xdr:row>54</xdr:row>
      <xdr:rowOff>95250</xdr:rowOff>
    </xdr:to>
    <xdr:graphicFrame macro="">
      <xdr:nvGraphicFramePr>
        <xdr:cNvPr id="5853758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1779270</xdr:colOff>
      <xdr:row>20</xdr:row>
      <xdr:rowOff>45720</xdr:rowOff>
    </xdr:from>
    <xdr:to>
      <xdr:col>8</xdr:col>
      <xdr:colOff>177165</xdr:colOff>
      <xdr:row>21</xdr:row>
      <xdr:rowOff>80284</xdr:rowOff>
    </xdr:to>
    <xdr:sp macro="" textlink="">
      <xdr:nvSpPr>
        <xdr:cNvPr id="5" name="Text Box 15"/>
        <xdr:cNvSpPr txBox="1">
          <a:spLocks noChangeArrowheads="1"/>
        </xdr:cNvSpPr>
      </xdr:nvSpPr>
      <xdr:spPr bwMode="auto">
        <a:xfrm>
          <a:off x="3179445" y="4046220"/>
          <a:ext cx="4732020" cy="196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Number of male and female employees of the government, 2006 - 2016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0.2223</cdr:x>
      <cdr:y>0.03721</cdr:y>
    </cdr:from>
    <cdr:to>
      <cdr:x>0.83676</cdr:x>
      <cdr:y>0.13095</cdr:y>
    </cdr:to>
    <cdr:sp macro="" textlink="">
      <cdr:nvSpPr>
        <cdr:cNvPr id="286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95496" y="99619"/>
          <a:ext cx="4410076" cy="2509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Employment Approvals Issued, 2013 - 2016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P629"/>
  <sheetViews>
    <sheetView tabSelected="1" zoomScaleNormal="100" zoomScaleSheetLayoutView="100" workbookViewId="0">
      <selection activeCell="R8" sqref="R8"/>
    </sheetView>
  </sheetViews>
  <sheetFormatPr defaultRowHeight="12.75"/>
  <cols>
    <col min="1" max="1" width="12.140625" customWidth="1"/>
    <col min="2" max="2" width="8.85546875"/>
    <col min="3" max="3" width="37.140625" customWidth="1"/>
    <col min="4" max="7" width="11.5703125" customWidth="1"/>
    <col min="8" max="13" width="11.5703125" style="3" customWidth="1"/>
    <col min="14" max="14" width="11.5703125" style="7" customWidth="1"/>
    <col min="15" max="15" width="2.85546875" style="7" customWidth="1"/>
    <col min="16" max="24" width="9.140625" style="7"/>
    <col min="25" max="25" width="9.28515625" style="7" bestFit="1" customWidth="1"/>
    <col min="26" max="26" width="9.7109375" style="7" bestFit="1" customWidth="1"/>
    <col min="27" max="42" width="9.140625" style="7"/>
    <col min="43" max="16384" width="9.140625" style="3"/>
  </cols>
  <sheetData>
    <row r="1" spans="1:42" ht="30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42" ht="16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/>
    </row>
    <row r="3" spans="1:42" ht="18.75" customHeight="1">
      <c r="A3" s="32"/>
      <c r="B3" s="32"/>
      <c r="C3" s="32"/>
      <c r="D3" s="42">
        <v>2006</v>
      </c>
      <c r="E3" s="42">
        <v>2007</v>
      </c>
      <c r="F3" s="42">
        <v>2008</v>
      </c>
      <c r="G3" s="42">
        <v>2009</v>
      </c>
      <c r="H3" s="42">
        <v>2010</v>
      </c>
      <c r="I3" s="42">
        <v>2011</v>
      </c>
      <c r="J3" s="42">
        <v>2012</v>
      </c>
      <c r="K3" s="42">
        <v>2013</v>
      </c>
      <c r="L3" s="42">
        <v>2014</v>
      </c>
      <c r="M3" s="42">
        <v>2015</v>
      </c>
      <c r="N3" s="42">
        <v>2016</v>
      </c>
      <c r="Y3" s="11"/>
      <c r="Z3" s="11" t="s">
        <v>6</v>
      </c>
    </row>
    <row r="4" spans="1:42" ht="18.75" customHeight="1">
      <c r="A4" s="24" t="s">
        <v>18</v>
      </c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3"/>
      <c r="N4" s="23"/>
      <c r="Y4" s="11">
        <v>1995</v>
      </c>
      <c r="Z4" s="17">
        <v>18510</v>
      </c>
    </row>
    <row r="5" spans="1:42" ht="18.75" customHeight="1">
      <c r="A5" s="33"/>
      <c r="B5" s="34" t="s">
        <v>1</v>
      </c>
      <c r="C5" s="34"/>
      <c r="D5" s="39">
        <f t="shared" ref="D5" si="0">SUM(D6:D7)</f>
        <v>33997</v>
      </c>
      <c r="E5" s="39">
        <f>SUM(E6:E7)</f>
        <v>32797</v>
      </c>
      <c r="F5" s="39">
        <v>24138</v>
      </c>
      <c r="G5" s="39">
        <v>24085</v>
      </c>
      <c r="H5" s="39">
        <f>SUM(H6:H7)</f>
        <v>21845</v>
      </c>
      <c r="I5" s="39">
        <v>19125</v>
      </c>
      <c r="J5" s="39">
        <v>17657</v>
      </c>
      <c r="K5" s="39">
        <v>24207</v>
      </c>
      <c r="L5" s="39">
        <v>24883</v>
      </c>
      <c r="M5" s="39">
        <f>SUM(M6:M7)</f>
        <v>24696</v>
      </c>
      <c r="N5" s="39">
        <v>24501</v>
      </c>
      <c r="Y5" s="11">
        <v>1996</v>
      </c>
      <c r="Z5" s="17">
        <v>21169</v>
      </c>
    </row>
    <row r="6" spans="1:42" ht="18.75" customHeight="1">
      <c r="A6" s="26"/>
      <c r="B6" s="25" t="s">
        <v>2</v>
      </c>
      <c r="C6" s="25"/>
      <c r="D6" s="40">
        <v>20909</v>
      </c>
      <c r="E6" s="40">
        <v>19417</v>
      </c>
      <c r="F6" s="40">
        <v>11507</v>
      </c>
      <c r="G6" s="40">
        <v>11456</v>
      </c>
      <c r="H6" s="40">
        <v>10464</v>
      </c>
      <c r="I6" s="40">
        <v>9728</v>
      </c>
      <c r="J6" s="40">
        <v>8603</v>
      </c>
      <c r="K6" s="40">
        <v>11219</v>
      </c>
      <c r="L6" s="40">
        <v>11547</v>
      </c>
      <c r="M6" s="40">
        <v>11191</v>
      </c>
      <c r="N6" s="40">
        <v>10881</v>
      </c>
      <c r="Y6" s="11">
        <v>1997</v>
      </c>
      <c r="Z6" s="17">
        <v>16744</v>
      </c>
    </row>
    <row r="7" spans="1:42" ht="18.75" customHeight="1">
      <c r="A7" s="30"/>
      <c r="B7" s="34" t="s">
        <v>3</v>
      </c>
      <c r="C7" s="34"/>
      <c r="D7" s="39">
        <v>13088</v>
      </c>
      <c r="E7" s="39">
        <v>13380</v>
      </c>
      <c r="F7" s="39">
        <v>12631</v>
      </c>
      <c r="G7" s="39">
        <v>12629</v>
      </c>
      <c r="H7" s="39">
        <v>11381</v>
      </c>
      <c r="I7" s="39">
        <v>9397</v>
      </c>
      <c r="J7" s="39">
        <v>9054</v>
      </c>
      <c r="K7" s="39">
        <v>12988</v>
      </c>
      <c r="L7" s="39">
        <v>13336</v>
      </c>
      <c r="M7" s="39">
        <v>13505</v>
      </c>
      <c r="N7" s="39">
        <v>13620</v>
      </c>
      <c r="Y7" s="11">
        <v>1998</v>
      </c>
      <c r="Z7" s="17">
        <v>20595</v>
      </c>
    </row>
    <row r="8" spans="1:42" s="2" customFormat="1" ht="18.75" customHeight="1">
      <c r="A8" s="26" t="s">
        <v>5</v>
      </c>
      <c r="B8" s="25"/>
      <c r="C8" s="25"/>
      <c r="D8" s="16">
        <v>-0.10577968442394146</v>
      </c>
      <c r="E8" s="16">
        <f t="shared" ref="E8" si="1">(E5-D5)/D5*100</f>
        <v>-3.5297232108715471</v>
      </c>
      <c r="F8" s="16">
        <f t="shared" ref="F8" si="2">(F5-E5)/E5*100</f>
        <v>-26.40180504314419</v>
      </c>
      <c r="G8" s="16">
        <f t="shared" ref="G8" si="3">(G5-F5)/F5*100</f>
        <v>-0.2195708012262822</v>
      </c>
      <c r="H8" s="16">
        <f t="shared" ref="H8" si="4">(H5-G5)/G5*100</f>
        <v>-9.3003944363711852</v>
      </c>
      <c r="I8" s="16">
        <f t="shared" ref="I8" si="5">(I5-H5)/H5*100</f>
        <v>-12.45136186770428</v>
      </c>
      <c r="J8" s="16">
        <f t="shared" ref="J8" si="6">(J5-I5)/I5*100</f>
        <v>-7.6758169934640517</v>
      </c>
      <c r="K8" s="16">
        <f t="shared" ref="K8" si="7">(K5-J5)/J5*100</f>
        <v>37.095769383247443</v>
      </c>
      <c r="L8" s="16">
        <f t="shared" ref="L8" si="8">(L5-K5)/K5*100</f>
        <v>2.7925806584872146</v>
      </c>
      <c r="M8" s="16">
        <f t="shared" ref="M8" si="9">(M5-L5)/L5*100</f>
        <v>-0.75151710002813166</v>
      </c>
      <c r="N8" s="16">
        <f t="shared" ref="N8" si="10">(N5-M5)/M5*100</f>
        <v>-0.78960155490767725</v>
      </c>
      <c r="O8" s="4"/>
      <c r="P8" s="4"/>
      <c r="Q8" s="4"/>
      <c r="R8" s="4"/>
      <c r="S8" s="4"/>
      <c r="T8" s="4"/>
      <c r="U8" s="4"/>
      <c r="V8" s="4"/>
      <c r="W8" s="4"/>
      <c r="X8" s="4"/>
      <c r="Y8" s="18">
        <v>1999</v>
      </c>
      <c r="Z8" s="19">
        <v>26468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ht="18.75" customHeight="1">
      <c r="A9" s="30" t="s">
        <v>13</v>
      </c>
      <c r="B9" s="32"/>
      <c r="C9" s="32"/>
      <c r="D9" s="39">
        <v>53901</v>
      </c>
      <c r="E9" s="39">
        <v>70075</v>
      </c>
      <c r="F9" s="39">
        <v>80839</v>
      </c>
      <c r="G9" s="39">
        <v>70259</v>
      </c>
      <c r="H9" s="39">
        <v>73840</v>
      </c>
      <c r="I9" s="39">
        <v>79777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P9" s="4"/>
      <c r="Y9" s="11">
        <v>2003</v>
      </c>
      <c r="Z9" s="20">
        <v>33765</v>
      </c>
    </row>
    <row r="10" spans="1:42" ht="18.75" customHeight="1">
      <c r="A10" s="24" t="s">
        <v>14</v>
      </c>
      <c r="B10" s="25"/>
      <c r="C10" s="25"/>
      <c r="D10" s="40" t="s">
        <v>4</v>
      </c>
      <c r="E10" s="40" t="s">
        <v>4</v>
      </c>
      <c r="F10" s="40" t="s">
        <v>4</v>
      </c>
      <c r="G10" s="40" t="s">
        <v>4</v>
      </c>
      <c r="H10" s="40" t="s">
        <v>4</v>
      </c>
      <c r="I10" s="40" t="s">
        <v>4</v>
      </c>
      <c r="J10" s="40" t="s">
        <v>4</v>
      </c>
      <c r="K10" s="40">
        <v>57424</v>
      </c>
      <c r="L10" s="40">
        <v>45584</v>
      </c>
      <c r="M10" s="40">
        <v>58527</v>
      </c>
      <c r="N10" s="40">
        <v>83136</v>
      </c>
      <c r="P10" s="4"/>
      <c r="Y10" s="11">
        <v>2004</v>
      </c>
      <c r="Z10" s="21">
        <v>38413</v>
      </c>
    </row>
    <row r="11" spans="1:42" s="14" customFormat="1" ht="18.75" customHeight="1">
      <c r="A11" s="30" t="s">
        <v>12</v>
      </c>
      <c r="B11" s="32"/>
      <c r="C11" s="32"/>
      <c r="D11" s="41" t="s">
        <v>9</v>
      </c>
      <c r="E11" s="30"/>
      <c r="F11" s="30"/>
      <c r="G11" s="30"/>
      <c r="H11" s="30"/>
      <c r="I11" s="30"/>
      <c r="J11" s="30"/>
      <c r="K11" s="30"/>
      <c r="L11" s="41" t="s">
        <v>10</v>
      </c>
      <c r="M11" s="35"/>
      <c r="N11" s="35"/>
      <c r="O11" s="15"/>
      <c r="P11" s="4"/>
      <c r="Q11" s="15"/>
      <c r="R11" s="15"/>
      <c r="S11" s="15"/>
      <c r="T11" s="15"/>
      <c r="U11" s="15"/>
      <c r="V11" s="15"/>
      <c r="W11" s="15"/>
      <c r="X11" s="15"/>
      <c r="Y11" s="11">
        <v>2005</v>
      </c>
      <c r="Z11" s="17">
        <v>44845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ht="18.75" customHeight="1">
      <c r="A12" s="26" t="s">
        <v>7</v>
      </c>
      <c r="B12" s="25"/>
      <c r="C12" s="25"/>
      <c r="D12" s="40">
        <v>188889</v>
      </c>
      <c r="E12" s="36"/>
      <c r="F12" s="36"/>
      <c r="G12" s="36"/>
      <c r="H12" s="36"/>
      <c r="I12" s="26"/>
      <c r="J12" s="26"/>
      <c r="K12" s="26"/>
      <c r="L12" s="40">
        <v>244956</v>
      </c>
      <c r="M12" s="23"/>
      <c r="N12" s="23"/>
      <c r="P12" s="4"/>
      <c r="Y12" s="11">
        <v>2006</v>
      </c>
      <c r="Z12" s="7">
        <v>53901</v>
      </c>
    </row>
    <row r="13" spans="1:42" ht="18.75" customHeight="1">
      <c r="A13" s="33" t="s">
        <v>8</v>
      </c>
      <c r="B13" s="34"/>
      <c r="C13" s="34"/>
      <c r="D13" s="39">
        <v>100602</v>
      </c>
      <c r="E13" s="37"/>
      <c r="F13" s="37"/>
      <c r="G13" s="37"/>
      <c r="H13" s="37"/>
      <c r="I13" s="33"/>
      <c r="J13" s="33"/>
      <c r="K13" s="33"/>
      <c r="L13" s="39">
        <v>145757</v>
      </c>
      <c r="M13" s="38"/>
      <c r="N13" s="38"/>
      <c r="P13" s="4"/>
      <c r="Y13" s="11">
        <v>2007</v>
      </c>
      <c r="Z13" s="7">
        <v>70075</v>
      </c>
    </row>
    <row r="14" spans="1:42" ht="18.75" customHeight="1">
      <c r="A14" s="26" t="s">
        <v>15</v>
      </c>
      <c r="B14" s="25"/>
      <c r="C14" s="25"/>
      <c r="D14" s="40">
        <v>5825</v>
      </c>
      <c r="E14" s="36"/>
      <c r="F14" s="36"/>
      <c r="G14" s="36"/>
      <c r="H14" s="36"/>
      <c r="I14" s="26"/>
      <c r="J14" s="26"/>
      <c r="K14" s="26"/>
      <c r="L14" s="40">
        <v>8005</v>
      </c>
      <c r="M14" s="23"/>
      <c r="N14" s="23"/>
      <c r="P14" s="4"/>
      <c r="Y14" s="11">
        <v>2008</v>
      </c>
      <c r="Z14" s="7">
        <v>80839</v>
      </c>
    </row>
    <row r="15" spans="1:42" ht="18.75" customHeight="1">
      <c r="A15" s="33" t="s">
        <v>11</v>
      </c>
      <c r="B15" s="34"/>
      <c r="C15" s="34"/>
      <c r="D15" s="43">
        <v>5.5</v>
      </c>
      <c r="E15" s="44"/>
      <c r="F15" s="44"/>
      <c r="G15" s="44"/>
      <c r="H15" s="44"/>
      <c r="I15" s="45"/>
      <c r="J15" s="45"/>
      <c r="K15" s="45"/>
      <c r="L15" s="43">
        <v>5.2</v>
      </c>
      <c r="M15" s="38"/>
      <c r="N15" s="38"/>
      <c r="Y15" s="11">
        <v>2010</v>
      </c>
      <c r="Z15" s="7">
        <v>73840</v>
      </c>
    </row>
    <row r="16" spans="1:42" s="1" customFormat="1" ht="15" customHeight="1">
      <c r="A16" s="13" t="s">
        <v>19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27"/>
      <c r="M16" s="2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1">
        <v>2011</v>
      </c>
      <c r="Z16" s="22">
        <f>I9</f>
        <v>79777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spans="1:40" s="7" customFormat="1" ht="15" customHeight="1">
      <c r="A17" s="13" t="s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2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</row>
    <row r="18" spans="1:40" s="10" customFormat="1" ht="15" customHeight="1">
      <c r="A18" s="13" t="s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29"/>
      <c r="M18" s="2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40" s="7" customFormat="1" ht="15" customHeight="1"/>
    <row r="20" spans="1:40" s="7" customFormat="1"/>
    <row r="21" spans="1:40" s="7" customFormat="1"/>
    <row r="22" spans="1:40" s="7" customFormat="1"/>
    <row r="23" spans="1:40" s="7" customFormat="1"/>
    <row r="24" spans="1:40" s="7" customFormat="1"/>
    <row r="25" spans="1:40" s="7" customFormat="1"/>
    <row r="26" spans="1:40" s="7" customFormat="1"/>
    <row r="27" spans="1:40" s="7" customFormat="1">
      <c r="AI27" s="7">
        <v>2001</v>
      </c>
      <c r="AJ27" s="7">
        <v>2002</v>
      </c>
      <c r="AK27" s="7">
        <v>2003</v>
      </c>
      <c r="AL27" s="7">
        <v>2004</v>
      </c>
      <c r="AM27" s="7">
        <v>2005</v>
      </c>
      <c r="AN27" s="7">
        <v>2006</v>
      </c>
    </row>
    <row r="28" spans="1:40" s="7" customFormat="1"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>
        <v>95.620013013252972</v>
      </c>
      <c r="AJ28" s="12">
        <v>95.581137490216534</v>
      </c>
      <c r="AK28" s="12">
        <v>95.741152080556787</v>
      </c>
      <c r="AL28" s="12">
        <v>95.647306901309449</v>
      </c>
      <c r="AM28" s="12">
        <v>96.623926859181637</v>
      </c>
      <c r="AN28" s="12">
        <v>97.122502365447758</v>
      </c>
    </row>
    <row r="29" spans="1:40" s="7" customFormat="1"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0.30820862299236323</v>
      </c>
      <c r="AJ29" s="12">
        <v>0.25436994521262718</v>
      </c>
      <c r="AK29" s="12">
        <v>0.20731526728861249</v>
      </c>
      <c r="AL29" s="12">
        <v>0.67945747533387135</v>
      </c>
      <c r="AM29" s="12">
        <v>0.27873787490244173</v>
      </c>
      <c r="AN29" s="12">
        <v>0.25416968145303426</v>
      </c>
    </row>
    <row r="30" spans="1:40" s="7" customFormat="1"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>
        <v>3.5478237046676484</v>
      </c>
      <c r="AJ30" s="12">
        <v>3.5448734672580224</v>
      </c>
      <c r="AK30" s="12">
        <v>3.4355101436398638</v>
      </c>
      <c r="AL30" s="12">
        <v>2.993778148022805</v>
      </c>
      <c r="AM30" s="12">
        <v>2.5242501951165122</v>
      </c>
      <c r="AN30" s="12">
        <v>2.114988590193132</v>
      </c>
    </row>
    <row r="31" spans="1:40" s="7" customFormat="1"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0.29451046197048042</v>
      </c>
      <c r="AJ31" s="12">
        <v>0.33589877380641797</v>
      </c>
      <c r="AK31" s="12">
        <v>0.34947430771508958</v>
      </c>
      <c r="AL31" s="12">
        <v>0.40350922864655192</v>
      </c>
      <c r="AM31" s="12">
        <v>0.29880700189541759</v>
      </c>
      <c r="AN31" s="12">
        <v>0.25788018775161875</v>
      </c>
    </row>
    <row r="32" spans="1:40" s="7" customFormat="1"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>
        <v>0.2294441971165371</v>
      </c>
      <c r="AJ32" s="12">
        <v>0.28372032350639187</v>
      </c>
      <c r="AK32" s="12">
        <v>0.26654820079964464</v>
      </c>
      <c r="AL32" s="12">
        <v>0.27594824668731938</v>
      </c>
      <c r="AM32" s="12">
        <v>0.27427806890400264</v>
      </c>
      <c r="AN32" s="12">
        <v>0.25045917515444982</v>
      </c>
    </row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  <row r="277" s="7" customFormat="1"/>
    <row r="278" s="7" customFormat="1"/>
    <row r="279" s="7" customFormat="1"/>
    <row r="280" s="7" customFormat="1"/>
    <row r="281" s="7" customFormat="1"/>
    <row r="282" s="7" customFormat="1"/>
    <row r="283" s="7" customFormat="1"/>
    <row r="284" s="7" customFormat="1"/>
    <row r="285" s="7" customFormat="1"/>
    <row r="286" s="7" customFormat="1"/>
    <row r="287" s="7" customFormat="1"/>
    <row r="288" s="7" customFormat="1"/>
    <row r="289" s="7" customFormat="1"/>
    <row r="290" s="7" customFormat="1"/>
    <row r="291" s="7" customFormat="1"/>
    <row r="292" s="7" customFormat="1"/>
    <row r="293" s="7" customFormat="1"/>
    <row r="294" s="7" customFormat="1"/>
    <row r="295" s="7" customFormat="1"/>
    <row r="296" s="7" customFormat="1"/>
    <row r="297" s="7" customFormat="1"/>
    <row r="298" s="7" customFormat="1"/>
    <row r="299" s="7" customFormat="1"/>
    <row r="300" s="7" customFormat="1"/>
    <row r="301" s="7" customFormat="1"/>
    <row r="302" s="7" customFormat="1"/>
    <row r="303" s="7" customFormat="1"/>
    <row r="304" s="7" customFormat="1"/>
    <row r="305" s="7" customFormat="1"/>
    <row r="306" s="7" customFormat="1"/>
    <row r="307" s="7" customFormat="1"/>
    <row r="308" s="7" customFormat="1"/>
    <row r="309" s="7" customFormat="1"/>
    <row r="310" s="7" customFormat="1"/>
    <row r="311" s="7" customFormat="1"/>
    <row r="312" s="7" customFormat="1"/>
    <row r="313" s="7" customFormat="1"/>
    <row r="314" s="7" customFormat="1"/>
    <row r="315" s="7" customFormat="1"/>
    <row r="316" s="7" customFormat="1"/>
    <row r="317" s="7" customFormat="1"/>
    <row r="318" s="7" customFormat="1"/>
    <row r="319" s="7" customFormat="1"/>
    <row r="320" s="7" customFormat="1"/>
    <row r="321" s="7" customFormat="1"/>
    <row r="322" s="7" customFormat="1"/>
    <row r="323" s="7" customFormat="1"/>
    <row r="324" s="7" customFormat="1"/>
    <row r="325" s="7" customFormat="1"/>
    <row r="326" s="7" customFormat="1"/>
    <row r="327" s="7" customFormat="1"/>
    <row r="328" s="7" customFormat="1"/>
    <row r="329" s="7" customFormat="1"/>
    <row r="330" s="7" customFormat="1"/>
    <row r="331" s="7" customFormat="1"/>
    <row r="332" s="7" customFormat="1"/>
    <row r="333" s="7" customFormat="1"/>
    <row r="334" s="7" customFormat="1"/>
    <row r="335" s="7" customFormat="1"/>
    <row r="336" s="7" customFormat="1"/>
    <row r="337" s="7" customFormat="1"/>
    <row r="338" s="7" customFormat="1"/>
    <row r="339" s="7" customFormat="1"/>
    <row r="340" s="7" customFormat="1"/>
    <row r="341" s="7" customFormat="1"/>
    <row r="342" s="7" customFormat="1"/>
    <row r="343" s="7" customFormat="1"/>
    <row r="344" s="7" customFormat="1"/>
    <row r="345" s="7" customFormat="1"/>
    <row r="346" s="7" customFormat="1"/>
    <row r="347" s="7" customFormat="1"/>
    <row r="348" s="7" customFormat="1"/>
    <row r="349" s="7" customFormat="1"/>
    <row r="350" s="7" customFormat="1"/>
    <row r="351" s="7" customFormat="1"/>
    <row r="352" s="7" customFormat="1"/>
    <row r="353" s="7" customFormat="1"/>
    <row r="354" s="7" customFormat="1"/>
    <row r="355" s="7" customFormat="1"/>
    <row r="356" s="7" customFormat="1"/>
    <row r="357" s="7" customFormat="1"/>
    <row r="358" s="7" customFormat="1"/>
    <row r="359" s="7" customFormat="1"/>
    <row r="360" s="7" customFormat="1"/>
    <row r="361" s="7" customFormat="1"/>
    <row r="362" s="7" customFormat="1"/>
    <row r="363" s="7" customFormat="1"/>
    <row r="364" s="7" customFormat="1"/>
    <row r="365" s="7" customFormat="1"/>
    <row r="366" s="7" customFormat="1"/>
    <row r="367" s="7" customFormat="1"/>
    <row r="368" s="7" customFormat="1"/>
    <row r="369" s="7" customFormat="1"/>
    <row r="370" s="7" customFormat="1"/>
    <row r="371" s="7" customFormat="1"/>
    <row r="372" s="7" customFormat="1"/>
    <row r="373" s="7" customFormat="1"/>
    <row r="374" s="7" customFormat="1"/>
    <row r="375" s="7" customFormat="1"/>
    <row r="376" s="7" customFormat="1"/>
    <row r="377" s="7" customFormat="1"/>
    <row r="378" s="7" customFormat="1"/>
    <row r="379" s="7" customFormat="1"/>
    <row r="380" s="7" customFormat="1"/>
    <row r="381" s="7" customFormat="1"/>
    <row r="382" s="7" customFormat="1"/>
    <row r="383" s="7" customFormat="1"/>
    <row r="384" s="7" customFormat="1"/>
    <row r="385" s="7" customFormat="1"/>
    <row r="386" s="7" customFormat="1"/>
    <row r="387" s="7" customFormat="1"/>
    <row r="388" s="7" customFormat="1"/>
    <row r="389" s="7" customFormat="1"/>
    <row r="390" s="7" customFormat="1"/>
    <row r="391" s="7" customFormat="1"/>
    <row r="392" s="7" customFormat="1"/>
    <row r="393" s="7" customFormat="1"/>
    <row r="394" s="7" customFormat="1"/>
    <row r="395" s="7" customFormat="1"/>
    <row r="396" s="7" customFormat="1"/>
    <row r="397" s="7" customFormat="1"/>
    <row r="398" s="7" customFormat="1"/>
    <row r="399" s="7" customFormat="1"/>
    <row r="400" s="7" customFormat="1"/>
    <row r="401" s="7" customFormat="1"/>
    <row r="402" s="7" customFormat="1"/>
    <row r="403" s="7" customFormat="1"/>
    <row r="404" s="7" customFormat="1"/>
    <row r="405" s="7" customFormat="1"/>
    <row r="406" s="7" customFormat="1"/>
    <row r="407" s="7" customFormat="1"/>
    <row r="408" s="7" customFormat="1"/>
    <row r="409" s="7" customFormat="1"/>
    <row r="410" s="7" customFormat="1"/>
    <row r="411" s="7" customFormat="1"/>
    <row r="412" s="7" customFormat="1"/>
    <row r="413" s="7" customFormat="1"/>
    <row r="414" s="7" customFormat="1"/>
    <row r="415" s="7" customFormat="1"/>
    <row r="416" s="7" customFormat="1"/>
    <row r="417" s="7" customFormat="1"/>
    <row r="418" s="7" customFormat="1"/>
    <row r="419" s="7" customFormat="1"/>
    <row r="420" s="7" customFormat="1"/>
    <row r="421" s="7" customFormat="1"/>
    <row r="422" s="7" customFormat="1"/>
    <row r="423" s="7" customFormat="1"/>
    <row r="424" s="7" customFormat="1"/>
    <row r="425" s="7" customFormat="1"/>
    <row r="426" s="7" customFormat="1"/>
    <row r="427" s="7" customFormat="1"/>
    <row r="428" s="7" customFormat="1"/>
    <row r="429" s="7" customFormat="1"/>
    <row r="430" s="7" customFormat="1"/>
    <row r="431" s="7" customFormat="1"/>
    <row r="432" s="7" customFormat="1"/>
    <row r="433" s="7" customFormat="1"/>
    <row r="434" s="7" customFormat="1"/>
    <row r="435" s="7" customFormat="1"/>
    <row r="436" s="7" customFormat="1"/>
    <row r="437" s="7" customFormat="1"/>
    <row r="438" s="7" customFormat="1"/>
    <row r="439" s="7" customFormat="1"/>
    <row r="440" s="7" customFormat="1"/>
    <row r="441" s="7" customFormat="1"/>
    <row r="442" s="7" customFormat="1"/>
    <row r="443" s="7" customFormat="1"/>
    <row r="444" s="7" customFormat="1"/>
    <row r="445" s="7" customFormat="1"/>
    <row r="446" s="7" customFormat="1"/>
    <row r="447" s="7" customFormat="1"/>
    <row r="448" s="7" customFormat="1"/>
    <row r="449" s="7" customFormat="1"/>
    <row r="450" s="7" customFormat="1"/>
    <row r="451" s="7" customFormat="1"/>
    <row r="452" s="7" customFormat="1"/>
    <row r="453" s="7" customFormat="1"/>
    <row r="454" s="7" customFormat="1"/>
    <row r="455" s="7" customFormat="1"/>
    <row r="456" s="7" customFormat="1"/>
    <row r="457" s="7" customFormat="1"/>
    <row r="458" s="7" customFormat="1"/>
    <row r="459" s="7" customFormat="1"/>
    <row r="460" s="7" customFormat="1"/>
    <row r="461" s="7" customFormat="1"/>
    <row r="462" s="7" customFormat="1"/>
    <row r="463" s="7" customFormat="1"/>
    <row r="464" s="7" customFormat="1"/>
    <row r="465" s="7" customFormat="1"/>
    <row r="466" s="7" customFormat="1"/>
    <row r="467" s="7" customFormat="1"/>
    <row r="468" s="7" customFormat="1"/>
    <row r="469" s="7" customFormat="1"/>
    <row r="470" s="7" customFormat="1"/>
    <row r="471" s="7" customFormat="1"/>
    <row r="472" s="7" customFormat="1"/>
    <row r="473" s="7" customFormat="1"/>
    <row r="474" s="7" customFormat="1"/>
    <row r="475" s="7" customFormat="1"/>
    <row r="476" s="7" customFormat="1"/>
    <row r="477" s="7" customFormat="1"/>
    <row r="478" s="7" customFormat="1"/>
    <row r="479" s="7" customFormat="1"/>
    <row r="480" s="7" customFormat="1"/>
    <row r="481" s="7" customFormat="1"/>
    <row r="482" s="7" customFormat="1"/>
    <row r="483" s="7" customFormat="1"/>
    <row r="484" s="7" customFormat="1"/>
    <row r="485" s="7" customFormat="1"/>
    <row r="486" s="7" customFormat="1"/>
    <row r="487" s="7" customFormat="1"/>
    <row r="488" s="7" customFormat="1"/>
    <row r="489" s="7" customFormat="1"/>
    <row r="490" s="7" customFormat="1"/>
    <row r="491" s="7" customFormat="1"/>
    <row r="492" s="7" customFormat="1"/>
    <row r="493" s="7" customFormat="1"/>
    <row r="494" s="7" customFormat="1"/>
    <row r="495" s="7" customFormat="1"/>
    <row r="496" s="7" customFormat="1"/>
    <row r="497" s="7" customFormat="1"/>
    <row r="498" s="7" customFormat="1"/>
    <row r="499" s="7" customFormat="1"/>
    <row r="500" s="7" customFormat="1"/>
    <row r="501" s="7" customFormat="1"/>
    <row r="502" s="7" customFormat="1"/>
    <row r="503" s="7" customFormat="1"/>
    <row r="504" s="7" customFormat="1"/>
    <row r="505" s="7" customFormat="1"/>
    <row r="506" s="7" customFormat="1"/>
    <row r="507" s="7" customFormat="1"/>
    <row r="508" s="7" customFormat="1"/>
    <row r="509" s="7" customFormat="1"/>
    <row r="510" s="7" customFormat="1"/>
    <row r="511" s="7" customFormat="1"/>
    <row r="512" s="7" customFormat="1"/>
    <row r="513" s="7" customFormat="1"/>
    <row r="514" s="7" customFormat="1"/>
    <row r="515" s="7" customFormat="1"/>
    <row r="516" s="7" customFormat="1"/>
    <row r="517" s="7" customFormat="1"/>
    <row r="518" s="7" customFormat="1"/>
    <row r="519" s="7" customFormat="1"/>
    <row r="520" s="7" customFormat="1"/>
    <row r="521" s="7" customFormat="1"/>
    <row r="522" s="7" customFormat="1"/>
    <row r="523" s="7" customFormat="1"/>
    <row r="524" s="7" customFormat="1"/>
    <row r="525" s="7" customFormat="1"/>
    <row r="526" s="7" customFormat="1"/>
    <row r="527" s="7" customFormat="1"/>
    <row r="528" s="7" customFormat="1"/>
    <row r="529" s="7" customFormat="1"/>
    <row r="530" s="7" customFormat="1"/>
    <row r="531" s="7" customFormat="1"/>
    <row r="532" s="7" customFormat="1"/>
    <row r="533" s="7" customFormat="1"/>
    <row r="534" s="7" customFormat="1"/>
    <row r="535" s="7" customFormat="1"/>
    <row r="536" s="7" customFormat="1"/>
    <row r="537" s="7" customFormat="1"/>
    <row r="538" s="7" customFormat="1"/>
    <row r="539" s="7" customFormat="1"/>
    <row r="540" s="7" customFormat="1"/>
    <row r="541" s="7" customFormat="1"/>
    <row r="542" s="7" customFormat="1"/>
    <row r="543" s="7" customFormat="1"/>
    <row r="544" s="7" customFormat="1"/>
    <row r="545" s="7" customFormat="1"/>
    <row r="546" s="7" customFormat="1"/>
    <row r="547" s="7" customFormat="1"/>
    <row r="548" s="7" customFormat="1"/>
    <row r="549" s="7" customFormat="1"/>
    <row r="550" s="7" customFormat="1"/>
    <row r="551" s="7" customFormat="1"/>
    <row r="552" s="7" customFormat="1"/>
    <row r="553" s="7" customFormat="1"/>
    <row r="554" s="7" customFormat="1"/>
    <row r="555" s="7" customFormat="1"/>
    <row r="556" s="7" customFormat="1"/>
    <row r="557" s="7" customFormat="1"/>
    <row r="558" s="7" customFormat="1"/>
    <row r="559" s="7" customFormat="1"/>
    <row r="560" s="7" customFormat="1"/>
    <row r="561" s="7" customFormat="1"/>
    <row r="562" s="7" customFormat="1"/>
    <row r="563" s="7" customFormat="1"/>
    <row r="564" s="7" customFormat="1"/>
    <row r="565" s="7" customFormat="1"/>
    <row r="566" s="7" customFormat="1"/>
    <row r="567" s="7" customFormat="1"/>
    <row r="568" s="7" customFormat="1"/>
    <row r="569" s="7" customFormat="1"/>
    <row r="570" s="7" customFormat="1"/>
    <row r="571" s="7" customFormat="1"/>
    <row r="572" s="7" customFormat="1"/>
    <row r="573" s="7" customFormat="1"/>
    <row r="574" s="7" customFormat="1"/>
    <row r="575" s="7" customFormat="1"/>
    <row r="576" s="7" customFormat="1"/>
    <row r="577" s="7" customFormat="1"/>
    <row r="578" s="7" customFormat="1"/>
    <row r="579" s="7" customFormat="1"/>
    <row r="580" s="7" customFormat="1"/>
    <row r="581" s="7" customFormat="1"/>
    <row r="582" s="7" customFormat="1"/>
    <row r="583" s="7" customFormat="1"/>
    <row r="584" s="7" customFormat="1"/>
    <row r="585" s="7" customFormat="1"/>
    <row r="586" s="7" customFormat="1"/>
    <row r="587" s="7" customFormat="1"/>
    <row r="588" s="7" customFormat="1"/>
    <row r="589" s="7" customFormat="1"/>
    <row r="590" s="7" customFormat="1"/>
    <row r="591" s="7" customFormat="1"/>
    <row r="592" s="7" customFormat="1"/>
    <row r="593" s="7" customFormat="1"/>
    <row r="594" s="7" customFormat="1"/>
    <row r="595" s="7" customFormat="1"/>
    <row r="596" s="7" customFormat="1"/>
    <row r="597" s="7" customFormat="1"/>
    <row r="598" s="7" customFormat="1"/>
    <row r="599" s="7" customFormat="1"/>
    <row r="600" s="7" customFormat="1"/>
    <row r="601" s="7" customFormat="1"/>
    <row r="602" s="7" customFormat="1"/>
    <row r="603" s="7" customFormat="1"/>
    <row r="604" s="7" customFormat="1"/>
    <row r="605" s="7" customFormat="1"/>
    <row r="606" s="7" customFormat="1"/>
    <row r="607" s="7" customFormat="1"/>
    <row r="608" s="7" customFormat="1"/>
    <row r="609" s="7" customFormat="1"/>
    <row r="610" s="7" customFormat="1"/>
    <row r="611" s="7" customFormat="1"/>
    <row r="612" s="7" customFormat="1"/>
    <row r="613" s="7" customFormat="1"/>
    <row r="614" s="7" customFormat="1"/>
    <row r="615" s="7" customFormat="1"/>
    <row r="616" s="7" customFormat="1"/>
    <row r="617" s="7" customFormat="1"/>
    <row r="618" s="7" customFormat="1"/>
    <row r="619" s="7" customFormat="1"/>
    <row r="620" s="7" customFormat="1"/>
    <row r="621" s="7" customFormat="1"/>
    <row r="622" s="7" customFormat="1"/>
    <row r="623" s="7" customFormat="1"/>
    <row r="624" s="7" customFormat="1"/>
    <row r="625" s="7" customFormat="1"/>
    <row r="626" s="7" customFormat="1"/>
    <row r="627" s="7" customFormat="1"/>
    <row r="628" s="7" customFormat="1"/>
    <row r="629" s="7" customFormat="1"/>
  </sheetData>
  <printOptions horizontalCentered="1" verticalCentered="1"/>
  <pageMargins left="0.196850393700787" right="0.15748031496063" top="0.43307086614173201" bottom="0.35433070866141703" header="0.35433070866141703" footer="0.31496062992126"/>
  <pageSetup paperSize="9" scale="67" orientation="landscape" horizontalDpi="4294967295" verticalDpi="4294967295" r:id="rId1"/>
  <headerFooter alignWithMargins="0"/>
  <colBreaks count="1" manualBreakCount="1">
    <brk id="11" max="1048575" man="1"/>
  </colBreaks>
  <ignoredErrors>
    <ignoredError sqref="D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Emp</vt:lpstr>
      <vt:lpstr>'3 Emp'!Print_Area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2017-11-16T08:26:27Z</dcterms:modified>
</cp:coreProperties>
</file>