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er01\ST4\Dissemination\Publications\Statistical Year Book\YEARBOOK 2017\WEB\INDICATOR\"/>
    </mc:Choice>
  </mc:AlternateContent>
  <bookViews>
    <workbookView xWindow="15795" yWindow="30" windowWidth="10650" windowHeight="10665" tabRatio="927"/>
  </bookViews>
  <sheets>
    <sheet name="Foerign trade &amp; BOP" sheetId="16" r:id="rId1"/>
  </sheets>
  <externalReferences>
    <externalReference r:id="rId2"/>
    <externalReference r:id="rId3"/>
    <externalReference r:id="rId4"/>
  </externalReferences>
  <definedNames>
    <definedName name="_xlnm.Print_Area" localSheetId="0">'Foerign trade &amp; BOP'!$A$1:$AA$56</definedName>
  </definedNames>
  <calcPr calcId="162913"/>
</workbook>
</file>

<file path=xl/calcChain.xml><?xml version="1.0" encoding="utf-8"?>
<calcChain xmlns="http://schemas.openxmlformats.org/spreadsheetml/2006/main">
  <c r="AA12" i="16" l="1"/>
  <c r="AA16" i="16"/>
  <c r="Q12" i="16"/>
  <c r="R12" i="16"/>
  <c r="S12" i="16"/>
  <c r="T12" i="16"/>
  <c r="U12" i="16"/>
  <c r="V12" i="16"/>
  <c r="W12" i="16"/>
  <c r="X12" i="16"/>
  <c r="Y12" i="16"/>
  <c r="Z12" i="16"/>
  <c r="Q16" i="16"/>
  <c r="R16" i="16"/>
  <c r="S16" i="16"/>
  <c r="T16" i="16"/>
  <c r="U16" i="16"/>
  <c r="V16" i="16"/>
  <c r="W16" i="16"/>
  <c r="X16" i="16"/>
  <c r="Y16" i="16"/>
  <c r="Z16" i="16"/>
  <c r="AK83" i="16" l="1"/>
  <c r="AK82" i="16"/>
  <c r="AK84" i="16" s="1"/>
  <c r="Z87" i="16" l="1"/>
  <c r="R84" i="16" l="1"/>
  <c r="Q89" i="16" s="1"/>
  <c r="Z69" i="16" l="1"/>
  <c r="AB65" i="16"/>
  <c r="AA65" i="16"/>
  <c r="AA69" i="16" s="1"/>
  <c r="AB64" i="16"/>
  <c r="Z84" i="16"/>
  <c r="Y89" i="16" s="1"/>
  <c r="AB69" i="16" l="1"/>
  <c r="AB66" i="16"/>
  <c r="AB70" i="16" s="1"/>
  <c r="Z88" i="16"/>
  <c r="Z89" i="16" l="1"/>
  <c r="P6" i="16" l="1"/>
  <c r="P8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F32" i="16"/>
  <c r="G32" i="16"/>
  <c r="H32" i="16"/>
  <c r="I32" i="16"/>
  <c r="J32" i="16"/>
  <c r="K32" i="16"/>
  <c r="L32" i="16"/>
  <c r="M32" i="16"/>
  <c r="N32" i="16"/>
  <c r="O32" i="16"/>
  <c r="P32" i="16"/>
  <c r="B33" i="16"/>
  <c r="C33" i="16"/>
  <c r="D33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K64" i="16"/>
  <c r="K69" i="16" s="1"/>
  <c r="L64" i="16"/>
  <c r="L69" i="16" s="1"/>
  <c r="M64" i="16"/>
  <c r="M69" i="16" s="1"/>
  <c r="N64" i="16"/>
  <c r="N69" i="16" s="1"/>
  <c r="O64" i="16"/>
  <c r="O69" i="16" s="1"/>
  <c r="P64" i="16"/>
  <c r="P69" i="16" s="1"/>
  <c r="Q64" i="16"/>
  <c r="Q69" i="16" s="1"/>
  <c r="R64" i="16"/>
  <c r="R69" i="16" s="1"/>
  <c r="S64" i="16"/>
  <c r="S69" i="16" s="1"/>
  <c r="T64" i="16"/>
  <c r="T69" i="16" s="1"/>
  <c r="U64" i="16"/>
  <c r="U70" i="16" s="1"/>
  <c r="V64" i="16"/>
  <c r="V69" i="16" s="1"/>
  <c r="W64" i="16"/>
  <c r="W69" i="16" s="1"/>
  <c r="X64" i="16"/>
  <c r="X69" i="16" s="1"/>
  <c r="Y64" i="16"/>
  <c r="Y69" i="16" s="1"/>
  <c r="Z66" i="16"/>
  <c r="Z70" i="16" s="1"/>
  <c r="AA66" i="16"/>
  <c r="AA70" i="16" s="1"/>
  <c r="Q70" i="16"/>
  <c r="Y70" i="16"/>
  <c r="S80" i="16"/>
  <c r="I84" i="16"/>
  <c r="J84" i="16"/>
  <c r="I89" i="16" s="1"/>
  <c r="K84" i="16"/>
  <c r="J89" i="16" s="1"/>
  <c r="L84" i="16"/>
  <c r="K89" i="16" s="1"/>
  <c r="M84" i="16"/>
  <c r="L89" i="16" s="1"/>
  <c r="N84" i="16"/>
  <c r="M89" i="16" s="1"/>
  <c r="O84" i="16"/>
  <c r="N89" i="16" s="1"/>
  <c r="P84" i="16"/>
  <c r="O89" i="16" s="1"/>
  <c r="Q84" i="16"/>
  <c r="P89" i="16" s="1"/>
  <c r="S84" i="16"/>
  <c r="R89" i="16" s="1"/>
  <c r="T84" i="16"/>
  <c r="S89" i="16" s="1"/>
  <c r="U84" i="16"/>
  <c r="V84" i="16"/>
  <c r="W84" i="16"/>
  <c r="X84" i="16"/>
  <c r="W89" i="16" s="1"/>
  <c r="Y84" i="16"/>
  <c r="X89" i="16" s="1"/>
  <c r="I87" i="16"/>
  <c r="J87" i="16"/>
  <c r="K87" i="16"/>
  <c r="L87" i="16"/>
  <c r="M87" i="16"/>
  <c r="N87" i="16"/>
  <c r="O87" i="16"/>
  <c r="P87" i="16"/>
  <c r="Q87" i="16"/>
  <c r="R87" i="16"/>
  <c r="S87" i="16"/>
  <c r="T87" i="16"/>
  <c r="U87" i="16"/>
  <c r="V87" i="16"/>
  <c r="W87" i="16"/>
  <c r="X87" i="16"/>
  <c r="I88" i="16"/>
  <c r="J88" i="16"/>
  <c r="K88" i="16"/>
  <c r="L88" i="16"/>
  <c r="M88" i="16"/>
  <c r="N88" i="16"/>
  <c r="O88" i="16"/>
  <c r="P88" i="16"/>
  <c r="Q88" i="16"/>
  <c r="R88" i="16"/>
  <c r="P80" i="16" s="1"/>
  <c r="S88" i="16"/>
  <c r="Q80" i="16" s="1"/>
  <c r="T88" i="16"/>
  <c r="R80" i="16" s="1"/>
  <c r="U88" i="16"/>
  <c r="V88" i="16"/>
  <c r="W88" i="16"/>
  <c r="X88" i="16"/>
  <c r="X70" i="16" l="1"/>
  <c r="U69" i="16"/>
  <c r="P70" i="16"/>
  <c r="M70" i="16"/>
  <c r="T70" i="16"/>
  <c r="L70" i="16"/>
  <c r="P16" i="16"/>
  <c r="W70" i="16"/>
  <c r="S70" i="16"/>
  <c r="O70" i="16"/>
  <c r="K70" i="16"/>
  <c r="V70" i="16"/>
  <c r="R70" i="16"/>
  <c r="N70" i="16"/>
</calcChain>
</file>

<file path=xl/sharedStrings.xml><?xml version="1.0" encoding="utf-8"?>
<sst xmlns="http://schemas.openxmlformats.org/spreadsheetml/2006/main" count="86" uniqueCount="78">
  <si>
    <t>Balance on services</t>
  </si>
  <si>
    <t>Balance on goods</t>
  </si>
  <si>
    <t>Financial Account as a percentage of GDP</t>
  </si>
  <si>
    <t>EXPORTS</t>
  </si>
  <si>
    <t>Total exports (f.o.b value in '000 US$)</t>
  </si>
  <si>
    <t xml:space="preserve">  Marine Products</t>
  </si>
  <si>
    <t xml:space="preserve">  Other Products</t>
  </si>
  <si>
    <t>Total (in %)</t>
  </si>
  <si>
    <t xml:space="preserve">  Marine products</t>
  </si>
  <si>
    <t xml:space="preserve">  Other products</t>
  </si>
  <si>
    <t>% Change in exports</t>
  </si>
  <si>
    <t>IMPORTS</t>
  </si>
  <si>
    <t>Total Imports (c.i.f value in '000 US$)</t>
  </si>
  <si>
    <t>% Change in imports</t>
  </si>
  <si>
    <t>EXCHANGE RATE</t>
  </si>
  <si>
    <t>(In million US$)</t>
  </si>
  <si>
    <t>Current Account Balance</t>
  </si>
  <si>
    <r>
      <t>2006</t>
    </r>
    <r>
      <rPr>
        <b/>
        <vertAlign val="superscript"/>
        <sz val="9"/>
        <rFont val="Arial"/>
        <family val="2"/>
      </rPr>
      <t xml:space="preserve"> </t>
    </r>
    <r>
      <rPr>
        <vertAlign val="superscript"/>
        <sz val="9"/>
        <rFont val="Arial"/>
        <family val="2"/>
      </rPr>
      <t>1_/</t>
    </r>
  </si>
  <si>
    <t>Trade Balance</t>
  </si>
  <si>
    <t>Total exports (f.o.b value in million US$)</t>
  </si>
  <si>
    <t>Total Imports (c.i.f value in million US$)</t>
  </si>
  <si>
    <t xml:space="preserve">FOREIGN TRADE </t>
  </si>
  <si>
    <t xml:space="preserve">BALANCE OF PAYMENTS </t>
  </si>
  <si>
    <t>A. Current Account</t>
  </si>
  <si>
    <t xml:space="preserve">     Balance on goods</t>
  </si>
  <si>
    <t xml:space="preserve">          Goods: credit</t>
  </si>
  <si>
    <t xml:space="preserve">             Domestic exports f.o.b.</t>
  </si>
  <si>
    <t xml:space="preserve">             Other</t>
  </si>
  <si>
    <t xml:space="preserve">         Goods: debit</t>
  </si>
  <si>
    <t xml:space="preserve">             Imports f.o.b.</t>
  </si>
  <si>
    <t xml:space="preserve">     Balance on services</t>
  </si>
  <si>
    <t xml:space="preserve">          Services: credit</t>
  </si>
  <si>
    <t xml:space="preserve">             Travel</t>
  </si>
  <si>
    <t xml:space="preserve">          Services: debit</t>
  </si>
  <si>
    <t xml:space="preserve">    Balance on  income</t>
  </si>
  <si>
    <t xml:space="preserve">          Income: credit</t>
  </si>
  <si>
    <t xml:space="preserve">          Income: debit</t>
  </si>
  <si>
    <t xml:space="preserve">    Balance on  current transfers</t>
  </si>
  <si>
    <r>
      <t xml:space="preserve">          Current transfers: credit </t>
    </r>
    <r>
      <rPr>
        <vertAlign val="superscript"/>
        <sz val="9"/>
        <rFont val="Arial"/>
        <family val="2"/>
      </rPr>
      <t xml:space="preserve"> 1_/</t>
    </r>
  </si>
  <si>
    <t xml:space="preserve">          Current transfers: debit</t>
  </si>
  <si>
    <t>B. Capital Account</t>
  </si>
  <si>
    <t>C. Financial Account</t>
  </si>
  <si>
    <t xml:space="preserve">    Direct Investment (net)</t>
  </si>
  <si>
    <t xml:space="preserve">          Direct investment in Maldives</t>
  </si>
  <si>
    <t xml:space="preserve">    Other Investment (net)</t>
  </si>
  <si>
    <t xml:space="preserve">          Other investment assets</t>
  </si>
  <si>
    <t xml:space="preserve">             Banks</t>
  </si>
  <si>
    <t xml:space="preserve">             Other sectors</t>
  </si>
  <si>
    <t xml:space="preserve">          Other investment liabilities</t>
  </si>
  <si>
    <t xml:space="preserve">            Monetary authorities</t>
  </si>
  <si>
    <t xml:space="preserve">            General government</t>
  </si>
  <si>
    <t xml:space="preserve">             o/w  Loans</t>
  </si>
  <si>
    <t xml:space="preserve">                     Disbursements</t>
  </si>
  <si>
    <t xml:space="preserve">                     Amortizations</t>
  </si>
  <si>
    <t xml:space="preserve">          Banks</t>
  </si>
  <si>
    <t xml:space="preserve">          Other sectors</t>
  </si>
  <si>
    <t>D. Net Errors and Omissions (sum of A, B, C &amp; E)</t>
  </si>
  <si>
    <t xml:space="preserve"> Overall balance (A+B+C+D)</t>
  </si>
  <si>
    <t>E. Reserves and Related Items</t>
  </si>
  <si>
    <t xml:space="preserve">    Reserve assets</t>
  </si>
  <si>
    <t xml:space="preserve">          Borrowing from IMF</t>
  </si>
  <si>
    <t>Memorandum Items</t>
  </si>
  <si>
    <t xml:space="preserve">    Goods and Services</t>
  </si>
  <si>
    <t xml:space="preserve">          Exports of Goods &amp; Services (XGS)</t>
  </si>
  <si>
    <t xml:space="preserve">    Current Account as a % of GDP</t>
  </si>
  <si>
    <t>Total exports (f.o.b value '000 in MVR )</t>
  </si>
  <si>
    <t>Total Imports (c.i.f value in '000 MVR)</t>
  </si>
  <si>
    <t>Average Exchange Rate (MVR per US$)</t>
  </si>
  <si>
    <r>
      <t xml:space="preserve">Current Account as a percentage of GDP </t>
    </r>
    <r>
      <rPr>
        <i/>
        <vertAlign val="superscript"/>
        <sz val="11"/>
        <rFont val="Calibri"/>
        <family val="2"/>
        <scheme val="minor"/>
      </rPr>
      <t>2_/</t>
    </r>
  </si>
  <si>
    <t xml:space="preserve">            2_/ Current account as a percentage of GDP for 2016 is based on GDP forcasted by Ministry of Finance and Treasury.</t>
  </si>
  <si>
    <r>
      <t>Financial Account</t>
    </r>
    <r>
      <rPr>
        <vertAlign val="superscript"/>
        <sz val="11"/>
        <rFont val="Calibri"/>
        <family val="2"/>
        <scheme val="minor"/>
      </rPr>
      <t>1_/</t>
    </r>
  </si>
  <si>
    <r>
      <t xml:space="preserve">GDP (  in millions of USD at  2014 current prices) </t>
    </r>
    <r>
      <rPr>
        <i/>
        <vertAlign val="superscript"/>
        <sz val="11"/>
        <rFont val="Calibri"/>
        <family val="2"/>
        <scheme val="minor"/>
      </rPr>
      <t>3_/</t>
    </r>
  </si>
  <si>
    <t xml:space="preserve">            3_/ revised </t>
  </si>
  <si>
    <t>Exports</t>
  </si>
  <si>
    <t>Imports</t>
  </si>
  <si>
    <t>(rvsd est)</t>
  </si>
  <si>
    <t>Note:   1_/:   Positive sign indicates net landing  and negative sign indicates net borrowing.</t>
  </si>
  <si>
    <t xml:space="preserve">             BOP Series has been compiled in accordance with BPM6 methodologies from 2011 onwards based on information available as of 16 April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</si>
</sst>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(* #,##0.0_);_(* \(#,##0.0\);_(* &quot;-&quot;??_);_(@_)"/>
    <numFmt numFmtId="171" formatCode="_-* #,##0.00\ _ރ_._-;_-* #,##0.00\ _ރ_.\-;_-* &quot;-&quot;??\ _ރ_._-;_-@_-"/>
    <numFmt numFmtId="172" formatCode="0.00_)"/>
    <numFmt numFmtId="173" formatCode="_-* #,##0_-;\-* #,##0_-;_-* &quot;-&quot;??_-;_-@_-"/>
    <numFmt numFmtId="174" formatCode="[$-409]mmm\-yy;@"/>
    <numFmt numFmtId="177" formatCode="_-* #,##0.00_-;\-* #,##0.00_-;_-* &quot;-&quot;??_-;_-@_-"/>
    <numFmt numFmtId="178" formatCode="[$-409]mmmm\ d\,\ yyyy;@"/>
  </numFmts>
  <fonts count="9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vertAlign val="superscript"/>
      <sz val="9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vertAlign val="superscript"/>
      <sz val="9"/>
      <name val="Arial"/>
      <family val="2"/>
    </font>
    <font>
      <sz val="9"/>
      <color indexed="8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0"/>
      <name val="Candara"/>
      <family val="2"/>
    </font>
    <font>
      <b/>
      <sz val="14"/>
      <name val="Candara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20"/>
      <color theme="0"/>
      <name val="Candara"/>
      <family val="2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vertAlign val="superscript"/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i/>
      <vertAlign val="superscript"/>
      <sz val="1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80">
    <xf numFmtId="0" fontId="0" fillId="0" borderId="0"/>
    <xf numFmtId="0" fontId="20" fillId="0" borderId="0"/>
    <xf numFmtId="0" fontId="17" fillId="0" borderId="0"/>
    <xf numFmtId="0" fontId="17" fillId="0" borderId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7" fillId="0" borderId="0"/>
    <xf numFmtId="0" fontId="21" fillId="0" borderId="0"/>
    <xf numFmtId="164" fontId="21" fillId="0" borderId="0"/>
    <xf numFmtId="164" fontId="21" fillId="0" borderId="0"/>
    <xf numFmtId="0" fontId="30" fillId="0" borderId="0"/>
    <xf numFmtId="0" fontId="17" fillId="0" borderId="0"/>
    <xf numFmtId="0" fontId="14" fillId="0" borderId="0"/>
    <xf numFmtId="165" fontId="21" fillId="0" borderId="0"/>
    <xf numFmtId="165" fontId="21" fillId="0" borderId="0"/>
    <xf numFmtId="166" fontId="21" fillId="0" borderId="0" applyFont="0" applyFill="0" applyBorder="0" applyAlignment="0" applyProtection="0"/>
    <xf numFmtId="0" fontId="13" fillId="0" borderId="0"/>
    <xf numFmtId="0" fontId="17" fillId="0" borderId="0"/>
    <xf numFmtId="0" fontId="42" fillId="0" borderId="0"/>
    <xf numFmtId="43" fontId="42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1" fillId="0" borderId="0"/>
    <xf numFmtId="0" fontId="11" fillId="0" borderId="0"/>
    <xf numFmtId="165" fontId="21" fillId="0" borderId="0"/>
    <xf numFmtId="171" fontId="42" fillId="0" borderId="0" applyFont="0" applyFill="0" applyBorder="0" applyAlignment="0" applyProtection="0"/>
    <xf numFmtId="0" fontId="42" fillId="0" borderId="0"/>
    <xf numFmtId="0" fontId="51" fillId="3" borderId="0" applyNumberFormat="0" applyBorder="0" applyAlignment="0" applyProtection="0"/>
    <xf numFmtId="0" fontId="51" fillId="4" borderId="0" applyNumberFormat="0" applyBorder="0" applyAlignment="0" applyProtection="0"/>
    <xf numFmtId="0" fontId="51" fillId="5" borderId="0" applyNumberFormat="0" applyBorder="0" applyAlignment="0" applyProtection="0"/>
    <xf numFmtId="0" fontId="51" fillId="6" borderId="0" applyNumberFormat="0" applyBorder="0" applyAlignment="0" applyProtection="0"/>
    <xf numFmtId="0" fontId="51" fillId="7" borderId="0" applyNumberFormat="0" applyBorder="0" applyAlignment="0" applyProtection="0"/>
    <xf numFmtId="0" fontId="51" fillId="8" borderId="0" applyNumberFormat="0" applyBorder="0" applyAlignment="0" applyProtection="0"/>
    <xf numFmtId="0" fontId="51" fillId="9" borderId="0" applyNumberFormat="0" applyBorder="0" applyAlignment="0" applyProtection="0"/>
    <xf numFmtId="0" fontId="51" fillId="10" borderId="0" applyNumberFormat="0" applyBorder="0" applyAlignment="0" applyProtection="0"/>
    <xf numFmtId="0" fontId="51" fillId="11" borderId="0" applyNumberFormat="0" applyBorder="0" applyAlignment="0" applyProtection="0"/>
    <xf numFmtId="0" fontId="51" fillId="6" borderId="0" applyNumberFormat="0" applyBorder="0" applyAlignment="0" applyProtection="0"/>
    <xf numFmtId="0" fontId="51" fillId="9" borderId="0" applyNumberFormat="0" applyBorder="0" applyAlignment="0" applyProtection="0"/>
    <xf numFmtId="0" fontId="51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4" borderId="0" applyNumberFormat="0" applyBorder="0" applyAlignment="0" applyProtection="0"/>
    <xf numFmtId="0" fontId="52" fillId="15" borderId="0" applyNumberFormat="0" applyBorder="0" applyAlignment="0" applyProtection="0"/>
    <xf numFmtId="0" fontId="52" fillId="16" borderId="0" applyNumberFormat="0" applyBorder="0" applyAlignment="0" applyProtection="0"/>
    <xf numFmtId="0" fontId="52" fillId="17" borderId="0" applyNumberFormat="0" applyBorder="0" applyAlignment="0" applyProtection="0"/>
    <xf numFmtId="0" fontId="52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14" borderId="0" applyNumberFormat="0" applyBorder="0" applyAlignment="0" applyProtection="0"/>
    <xf numFmtId="0" fontId="52" fillId="15" borderId="0" applyNumberFormat="0" applyBorder="0" applyAlignment="0" applyProtection="0"/>
    <xf numFmtId="0" fontId="52" fillId="20" borderId="0" applyNumberFormat="0" applyBorder="0" applyAlignment="0" applyProtection="0"/>
    <xf numFmtId="0" fontId="53" fillId="4" borderId="0" applyNumberFormat="0" applyBorder="0" applyAlignment="0" applyProtection="0"/>
    <xf numFmtId="0" fontId="54" fillId="21" borderId="2" applyNumberFormat="0" applyAlignment="0" applyProtection="0"/>
    <xf numFmtId="0" fontId="55" fillId="22" borderId="3" applyNumberFormat="0" applyAlignment="0" applyProtection="0"/>
    <xf numFmtId="40" fontId="49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5" borderId="0" applyNumberFormat="0" applyBorder="0" applyAlignment="0" applyProtection="0"/>
    <xf numFmtId="0" fontId="58" fillId="0" borderId="4" applyNumberFormat="0" applyFill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0" fillId="0" borderId="0" applyNumberFormat="0" applyFill="0" applyBorder="0" applyAlignment="0" applyProtection="0"/>
    <xf numFmtId="0" fontId="61" fillId="8" borderId="2" applyNumberFormat="0" applyAlignment="0" applyProtection="0"/>
    <xf numFmtId="0" fontId="62" fillId="0" borderId="7" applyNumberFormat="0" applyFill="0" applyAlignment="0" applyProtection="0"/>
    <xf numFmtId="0" fontId="63" fillId="23" borderId="0" applyNumberFormat="0" applyBorder="0" applyAlignment="0" applyProtection="0"/>
    <xf numFmtId="172" fontId="50" fillId="0" borderId="0"/>
    <xf numFmtId="0" fontId="42" fillId="0" borderId="0"/>
    <xf numFmtId="0" fontId="42" fillId="0" borderId="0"/>
    <xf numFmtId="0" fontId="42" fillId="0" borderId="0"/>
    <xf numFmtId="0" fontId="14" fillId="0" borderId="0"/>
    <xf numFmtId="165" fontId="2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2" fillId="0" borderId="0"/>
    <xf numFmtId="0" fontId="51" fillId="24" borderId="8" applyNumberFormat="0" applyFont="0" applyAlignment="0" applyProtection="0"/>
    <xf numFmtId="0" fontId="64" fillId="21" borderId="9" applyNumberFormat="0" applyAlignment="0" applyProtection="0"/>
    <xf numFmtId="9" fontId="49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48" fillId="0" borderId="10" applyNumberFormat="0" applyFill="0" applyAlignment="0" applyProtection="0"/>
    <xf numFmtId="0" fontId="66" fillId="0" borderId="0" applyNumberFormat="0" applyFill="0" applyBorder="0" applyAlignment="0" applyProtection="0"/>
    <xf numFmtId="165" fontId="21" fillId="0" borderId="0"/>
    <xf numFmtId="165" fontId="21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67" fillId="0" borderId="0" applyNumberFormat="0" applyFill="0" applyBorder="0" applyAlignment="0" applyProtection="0"/>
    <xf numFmtId="0" fontId="68" fillId="0" borderId="11" applyNumberFormat="0" applyFill="0" applyAlignment="0" applyProtection="0"/>
    <xf numFmtId="0" fontId="69" fillId="0" borderId="12" applyNumberFormat="0" applyFill="0" applyAlignment="0" applyProtection="0"/>
    <xf numFmtId="0" fontId="70" fillId="0" borderId="13" applyNumberFormat="0" applyFill="0" applyAlignment="0" applyProtection="0"/>
    <xf numFmtId="0" fontId="70" fillId="0" borderId="0" applyNumberFormat="0" applyFill="0" applyBorder="0" applyAlignment="0" applyProtection="0"/>
    <xf numFmtId="0" fontId="71" fillId="25" borderId="0" applyNumberFormat="0" applyBorder="0" applyAlignment="0" applyProtection="0"/>
    <xf numFmtId="0" fontId="72" fillId="26" borderId="0" applyNumberFormat="0" applyBorder="0" applyAlignment="0" applyProtection="0"/>
    <xf numFmtId="0" fontId="73" fillId="27" borderId="0" applyNumberFormat="0" applyBorder="0" applyAlignment="0" applyProtection="0"/>
    <xf numFmtId="0" fontId="74" fillId="28" borderId="14" applyNumberFormat="0" applyAlignment="0" applyProtection="0"/>
    <xf numFmtId="0" fontId="75" fillId="29" borderId="15" applyNumberFormat="0" applyAlignment="0" applyProtection="0"/>
    <xf numFmtId="0" fontId="76" fillId="29" borderId="14" applyNumberFormat="0" applyAlignment="0" applyProtection="0"/>
    <xf numFmtId="0" fontId="77" fillId="0" borderId="16" applyNumberFormat="0" applyFill="0" applyAlignment="0" applyProtection="0"/>
    <xf numFmtId="0" fontId="78" fillId="30" borderId="17" applyNumberFormat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44" fillId="0" borderId="19" applyNumberFormat="0" applyFill="0" applyAlignment="0" applyProtection="0"/>
    <xf numFmtId="0" fontId="81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81" fillId="35" borderId="0" applyNumberFormat="0" applyBorder="0" applyAlignment="0" applyProtection="0"/>
    <xf numFmtId="0" fontId="81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81" fillId="39" borderId="0" applyNumberFormat="0" applyBorder="0" applyAlignment="0" applyProtection="0"/>
    <xf numFmtId="0" fontId="81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81" fillId="43" borderId="0" applyNumberFormat="0" applyBorder="0" applyAlignment="0" applyProtection="0"/>
    <xf numFmtId="0" fontId="81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81" fillId="47" borderId="0" applyNumberFormat="0" applyBorder="0" applyAlignment="0" applyProtection="0"/>
    <xf numFmtId="0" fontId="81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81" fillId="51" borderId="0" applyNumberFormat="0" applyBorder="0" applyAlignment="0" applyProtection="0"/>
    <xf numFmtId="0" fontId="81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81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2" fillId="0" borderId="11" applyNumberFormat="0" applyFill="0" applyAlignment="0" applyProtection="0"/>
    <xf numFmtId="173" fontId="5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9" fillId="31" borderId="18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4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83" fillId="0" borderId="0"/>
    <xf numFmtId="0" fontId="5" fillId="0" borderId="0"/>
    <xf numFmtId="165" fontId="21" fillId="0" borderId="0"/>
    <xf numFmtId="0" fontId="85" fillId="0" borderId="0"/>
    <xf numFmtId="43" fontId="85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2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4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2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49" fillId="0" borderId="0" applyFont="0" applyFill="0" applyBorder="0" applyAlignment="0" applyProtection="0"/>
    <xf numFmtId="178" fontId="21" fillId="0" borderId="0"/>
    <xf numFmtId="178" fontId="21" fillId="0" borderId="0"/>
    <xf numFmtId="0" fontId="1" fillId="0" borderId="0"/>
    <xf numFmtId="0" fontId="88" fillId="0" borderId="0" applyNumberFormat="0" applyFill="0" applyBorder="0" applyAlignment="0" applyProtection="0"/>
    <xf numFmtId="0" fontId="89" fillId="27" borderId="0" applyNumberFormat="0" applyBorder="0" applyAlignment="0" applyProtection="0"/>
    <xf numFmtId="0" fontId="1" fillId="31" borderId="18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151">
    <xf numFmtId="0" fontId="0" fillId="0" borderId="0" xfId="0"/>
    <xf numFmtId="0" fontId="17" fillId="2" borderId="0" xfId="13" applyFont="1" applyFill="1"/>
    <xf numFmtId="0" fontId="17" fillId="2" borderId="0" xfId="1" applyFont="1" applyFill="1"/>
    <xf numFmtId="0" fontId="15" fillId="2" borderId="0" xfId="1" applyFont="1" applyFill="1"/>
    <xf numFmtId="167" fontId="15" fillId="2" borderId="0" xfId="5" applyNumberFormat="1" applyFont="1" applyFill="1" applyAlignment="1"/>
    <xf numFmtId="0" fontId="33" fillId="2" borderId="0" xfId="1" applyFont="1" applyFill="1"/>
    <xf numFmtId="0" fontId="33" fillId="2" borderId="0" xfId="1" applyFont="1" applyFill="1" applyBorder="1"/>
    <xf numFmtId="0" fontId="26" fillId="2" borderId="0" xfId="1" applyFont="1" applyFill="1"/>
    <xf numFmtId="166" fontId="25" fillId="2" borderId="0" xfId="1" applyNumberFormat="1" applyFont="1" applyFill="1"/>
    <xf numFmtId="0" fontId="25" fillId="2" borderId="0" xfId="1" applyFont="1" applyFill="1"/>
    <xf numFmtId="0" fontId="28" fillId="2" borderId="0" xfId="1" applyFont="1" applyFill="1"/>
    <xf numFmtId="0" fontId="26" fillId="2" borderId="0" xfId="13" applyFont="1" applyFill="1"/>
    <xf numFmtId="165" fontId="16" fillId="2" borderId="0" xfId="15" applyFont="1" applyFill="1" applyBorder="1" applyAlignment="1">
      <alignment vertical="center"/>
    </xf>
    <xf numFmtId="166" fontId="16" fillId="2" borderId="0" xfId="15" applyNumberFormat="1" applyFont="1" applyFill="1" applyBorder="1" applyAlignment="1">
      <alignment vertical="center"/>
    </xf>
    <xf numFmtId="0" fontId="26" fillId="2" borderId="0" xfId="13" applyFont="1" applyFill="1" applyAlignment="1"/>
    <xf numFmtId="3" fontId="25" fillId="2" borderId="0" xfId="13" applyNumberFormat="1" applyFont="1" applyFill="1"/>
    <xf numFmtId="3" fontId="25" fillId="2" borderId="0" xfId="13" applyNumberFormat="1" applyFont="1" applyFill="1" applyAlignment="1"/>
    <xf numFmtId="1" fontId="26" fillId="2" borderId="0" xfId="13" applyNumberFormat="1" applyFont="1" applyFill="1"/>
    <xf numFmtId="0" fontId="28" fillId="2" borderId="0" xfId="13" applyFont="1" applyFill="1"/>
    <xf numFmtId="0" fontId="26" fillId="2" borderId="0" xfId="1" applyFont="1" applyFill="1" applyAlignment="1">
      <alignment horizontal="right"/>
    </xf>
    <xf numFmtId="0" fontId="26" fillId="2" borderId="0" xfId="1" applyFont="1" applyFill="1" applyAlignment="1"/>
    <xf numFmtId="0" fontId="25" fillId="2" borderId="0" xfId="13" applyFont="1" applyFill="1" applyAlignment="1"/>
    <xf numFmtId="166" fontId="25" fillId="2" borderId="0" xfId="1" applyNumberFormat="1" applyFont="1" applyFill="1" applyProtection="1"/>
    <xf numFmtId="0" fontId="32" fillId="2" borderId="0" xfId="1" applyFont="1" applyFill="1" applyBorder="1"/>
    <xf numFmtId="0" fontId="35" fillId="2" borderId="0" xfId="1" applyFont="1" applyFill="1"/>
    <xf numFmtId="167" fontId="26" fillId="2" borderId="0" xfId="4" applyNumberFormat="1" applyFont="1" applyFill="1"/>
    <xf numFmtId="4" fontId="25" fillId="2" borderId="0" xfId="13" applyNumberFormat="1" applyFont="1" applyFill="1" applyAlignment="1"/>
    <xf numFmtId="3" fontId="25" fillId="2" borderId="0" xfId="4" applyNumberFormat="1" applyFont="1" applyFill="1" applyAlignment="1"/>
    <xf numFmtId="166" fontId="15" fillId="2" borderId="0" xfId="1" applyNumberFormat="1" applyFont="1" applyFill="1"/>
    <xf numFmtId="0" fontId="37" fillId="2" borderId="0" xfId="1" applyFont="1" applyFill="1"/>
    <xf numFmtId="0" fontId="38" fillId="2" borderId="0" xfId="1" applyFont="1" applyFill="1"/>
    <xf numFmtId="0" fontId="37" fillId="2" borderId="0" xfId="13" applyFont="1" applyFill="1"/>
    <xf numFmtId="0" fontId="26" fillId="2" borderId="0" xfId="13" applyFont="1" applyFill="1" applyAlignment="1">
      <alignment vertical="center"/>
    </xf>
    <xf numFmtId="0" fontId="30" fillId="2" borderId="0" xfId="1" applyFont="1" applyFill="1"/>
    <xf numFmtId="165" fontId="15" fillId="2" borderId="0" xfId="15" applyFont="1" applyFill="1" applyBorder="1" applyAlignment="1">
      <alignment vertical="center"/>
    </xf>
    <xf numFmtId="166" fontId="15" fillId="2" borderId="0" xfId="15" applyNumberFormat="1" applyFont="1" applyFill="1" applyBorder="1" applyAlignment="1">
      <alignment vertical="center"/>
    </xf>
    <xf numFmtId="166" fontId="15" fillId="2" borderId="0" xfId="12" applyNumberFormat="1" applyFont="1" applyFill="1" applyBorder="1" applyAlignment="1" applyProtection="1">
      <alignment vertical="center"/>
      <protection locked="0"/>
    </xf>
    <xf numFmtId="0" fontId="40" fillId="2" borderId="0" xfId="1" applyFont="1" applyFill="1"/>
    <xf numFmtId="164" fontId="26" fillId="2" borderId="0" xfId="4" applyNumberFormat="1" applyFont="1" applyFill="1"/>
    <xf numFmtId="164" fontId="26" fillId="2" borderId="0" xfId="4" applyNumberFormat="1" applyFont="1" applyFill="1" applyAlignment="1" applyProtection="1">
      <alignment vertical="center"/>
      <protection locked="0"/>
    </xf>
    <xf numFmtId="164" fontId="26" fillId="2" borderId="0" xfId="4" applyNumberFormat="1" applyFont="1" applyFill="1" applyAlignment="1">
      <alignment horizontal="right"/>
    </xf>
    <xf numFmtId="164" fontId="26" fillId="2" borderId="0" xfId="4" applyNumberFormat="1" applyFont="1" applyFill="1" applyAlignment="1"/>
    <xf numFmtId="164" fontId="39" fillId="2" borderId="0" xfId="4" applyNumberFormat="1" applyFont="1" applyFill="1"/>
    <xf numFmtId="164" fontId="26" fillId="2" borderId="0" xfId="4" applyNumberFormat="1" applyFont="1" applyFill="1" applyProtection="1"/>
    <xf numFmtId="164" fontId="26" fillId="2" borderId="0" xfId="4" applyNumberFormat="1" applyFont="1" applyFill="1" applyAlignment="1" applyProtection="1"/>
    <xf numFmtId="3" fontId="26" fillId="2" borderId="0" xfId="4" applyNumberFormat="1" applyFont="1" applyFill="1" applyAlignment="1">
      <alignment vertical="center"/>
    </xf>
    <xf numFmtId="3" fontId="26" fillId="2" borderId="0" xfId="13" applyNumberFormat="1" applyFont="1" applyFill="1" applyAlignment="1">
      <alignment vertical="center"/>
    </xf>
    <xf numFmtId="4" fontId="26" fillId="2" borderId="0" xfId="13" applyNumberFormat="1" applyFont="1" applyFill="1" applyAlignment="1">
      <alignment vertical="center"/>
    </xf>
    <xf numFmtId="0" fontId="29" fillId="2" borderId="0" xfId="1" applyFont="1" applyFill="1" applyAlignment="1">
      <alignment vertical="center"/>
    </xf>
    <xf numFmtId="0" fontId="16" fillId="2" borderId="0" xfId="1" applyFont="1" applyFill="1"/>
    <xf numFmtId="0" fontId="29" fillId="2" borderId="0" xfId="13" applyFont="1" applyFill="1" applyAlignment="1">
      <alignment horizontal="right" vertical="center"/>
    </xf>
    <xf numFmtId="2" fontId="17" fillId="2" borderId="0" xfId="13" applyNumberFormat="1" applyFont="1" applyFill="1"/>
    <xf numFmtId="0" fontId="16" fillId="2" borderId="0" xfId="1" applyFont="1" applyFill="1" applyAlignment="1"/>
    <xf numFmtId="167" fontId="17" fillId="2" borderId="0" xfId="4" applyNumberFormat="1" applyFont="1" applyFill="1"/>
    <xf numFmtId="167" fontId="15" fillId="2" borderId="0" xfId="4" applyNumberFormat="1" applyFont="1" applyFill="1" applyBorder="1" applyAlignment="1">
      <alignment vertical="center"/>
    </xf>
    <xf numFmtId="166" fontId="15" fillId="2" borderId="0" xfId="12" applyNumberFormat="1" applyFont="1" applyFill="1" applyBorder="1" applyAlignment="1">
      <alignment vertical="center"/>
    </xf>
    <xf numFmtId="0" fontId="29" fillId="2" borderId="0" xfId="1" applyFont="1" applyFill="1" applyAlignment="1">
      <alignment horizontal="right" vertical="center"/>
    </xf>
    <xf numFmtId="0" fontId="41" fillId="2" borderId="0" xfId="1" applyFont="1" applyFill="1" applyAlignment="1">
      <alignment horizontal="right" vertical="center" wrapText="1"/>
    </xf>
    <xf numFmtId="0" fontId="30" fillId="2" borderId="0" xfId="1" applyFont="1" applyFill="1" applyAlignment="1">
      <alignment vertical="center"/>
    </xf>
    <xf numFmtId="166" fontId="30" fillId="2" borderId="0" xfId="1" applyNumberFormat="1" applyFont="1" applyFill="1"/>
    <xf numFmtId="166" fontId="16" fillId="2" borderId="0" xfId="12" applyNumberFormat="1" applyFont="1" applyFill="1" applyBorder="1" applyAlignment="1" applyProtection="1">
      <alignment horizontal="right" vertical="center"/>
      <protection locked="0"/>
    </xf>
    <xf numFmtId="0" fontId="34" fillId="2" borderId="0" xfId="13" applyFont="1" applyFill="1"/>
    <xf numFmtId="164" fontId="24" fillId="2" borderId="0" xfId="1" applyNumberFormat="1" applyFont="1" applyFill="1" applyBorder="1" applyAlignment="1" applyProtection="1">
      <alignment horizontal="right"/>
      <protection locked="0"/>
    </xf>
    <xf numFmtId="164" fontId="23" fillId="2" borderId="0" xfId="1" applyNumberFormat="1" applyFont="1" applyFill="1" applyBorder="1" applyAlignment="1" applyProtection="1">
      <alignment horizontal="right"/>
      <protection locked="0"/>
    </xf>
    <xf numFmtId="0" fontId="17" fillId="2" borderId="0" xfId="13" applyFont="1" applyFill="1" applyAlignment="1"/>
    <xf numFmtId="0" fontId="15" fillId="2" borderId="0" xfId="13" applyFont="1" applyFill="1"/>
    <xf numFmtId="166" fontId="15" fillId="2" borderId="0" xfId="12" applyNumberFormat="1" applyFont="1" applyFill="1" applyBorder="1"/>
    <xf numFmtId="166" fontId="16" fillId="2" borderId="0" xfId="12" applyNumberFormat="1" applyFont="1" applyFill="1" applyBorder="1"/>
    <xf numFmtId="0" fontId="15" fillId="2" borderId="0" xfId="12" applyFont="1" applyFill="1" applyBorder="1"/>
    <xf numFmtId="3" fontId="17" fillId="2" borderId="0" xfId="13" applyNumberFormat="1" applyFont="1" applyFill="1"/>
    <xf numFmtId="166" fontId="17" fillId="2" borderId="0" xfId="13" applyNumberFormat="1" applyFont="1" applyFill="1"/>
    <xf numFmtId="165" fontId="17" fillId="2" borderId="0" xfId="13" applyNumberFormat="1" applyFont="1" applyFill="1"/>
    <xf numFmtId="0" fontId="16" fillId="2" borderId="0" xfId="1" applyFont="1" applyFill="1" applyAlignment="1">
      <alignment horizontal="right"/>
    </xf>
    <xf numFmtId="166" fontId="15" fillId="2" borderId="0" xfId="1" applyNumberFormat="1" applyFont="1" applyFill="1" applyAlignment="1" applyProtection="1">
      <alignment vertical="center"/>
      <protection locked="0"/>
    </xf>
    <xf numFmtId="166" fontId="15" fillId="2" borderId="0" xfId="1" applyNumberFormat="1" applyFont="1" applyFill="1" applyAlignment="1">
      <alignment horizontal="right"/>
    </xf>
    <xf numFmtId="0" fontId="30" fillId="2" borderId="0" xfId="1" applyFont="1" applyFill="1" applyAlignment="1"/>
    <xf numFmtId="165" fontId="19" fillId="2" borderId="0" xfId="15" applyFont="1" applyFill="1" applyBorder="1" applyAlignment="1">
      <alignment vertical="center"/>
    </xf>
    <xf numFmtId="165" fontId="15" fillId="2" borderId="1" xfId="15" applyFont="1" applyFill="1" applyBorder="1" applyAlignment="1">
      <alignment vertical="center"/>
    </xf>
    <xf numFmtId="166" fontId="15" fillId="2" borderId="1" xfId="15" applyNumberFormat="1" applyFont="1" applyFill="1" applyBorder="1" applyAlignment="1">
      <alignment vertical="center"/>
    </xf>
    <xf numFmtId="166" fontId="15" fillId="2" borderId="1" xfId="12" applyNumberFormat="1" applyFont="1" applyFill="1" applyBorder="1"/>
    <xf numFmtId="168" fontId="17" fillId="2" borderId="0" xfId="5" applyNumberFormat="1" applyFill="1"/>
    <xf numFmtId="168" fontId="17" fillId="2" borderId="0" xfId="5" applyNumberFormat="1" applyFill="1" applyAlignment="1"/>
    <xf numFmtId="1" fontId="17" fillId="2" borderId="0" xfId="13" applyNumberFormat="1" applyFont="1" applyFill="1"/>
    <xf numFmtId="167" fontId="17" fillId="2" borderId="0" xfId="5" applyNumberFormat="1" applyFill="1"/>
    <xf numFmtId="0" fontId="30" fillId="2" borderId="0" xfId="13" applyFont="1" applyFill="1"/>
    <xf numFmtId="17" fontId="40" fillId="2" borderId="0" xfId="1" applyNumberFormat="1" applyFont="1" applyFill="1"/>
    <xf numFmtId="164" fontId="26" fillId="57" borderId="0" xfId="4" applyNumberFormat="1" applyFont="1" applyFill="1"/>
    <xf numFmtId="0" fontId="27" fillId="57" borderId="0" xfId="1" applyFont="1" applyFill="1" applyAlignment="1">
      <alignment vertical="center"/>
    </xf>
    <xf numFmtId="0" fontId="26" fillId="57" borderId="0" xfId="1" applyFont="1" applyFill="1" applyAlignment="1">
      <alignment vertical="center"/>
    </xf>
    <xf numFmtId="0" fontId="29" fillId="57" borderId="0" xfId="1" applyFont="1" applyFill="1" applyAlignment="1">
      <alignment vertical="center"/>
    </xf>
    <xf numFmtId="0" fontId="29" fillId="57" borderId="0" xfId="1" applyFont="1" applyFill="1" applyAlignment="1">
      <alignment horizontal="right" vertical="center"/>
    </xf>
    <xf numFmtId="0" fontId="29" fillId="57" borderId="0" xfId="13" applyFont="1" applyFill="1" applyAlignment="1">
      <alignment horizontal="right" vertical="center"/>
    </xf>
    <xf numFmtId="0" fontId="41" fillId="57" borderId="0" xfId="1" applyFont="1" applyFill="1" applyAlignment="1">
      <alignment horizontal="right" vertical="center" wrapText="1"/>
    </xf>
    <xf numFmtId="0" fontId="25" fillId="57" borderId="0" xfId="1" applyFont="1" applyFill="1"/>
    <xf numFmtId="164" fontId="26" fillId="57" borderId="0" xfId="4" applyNumberFormat="1" applyFont="1" applyFill="1" applyAlignment="1">
      <alignment horizontal="right"/>
    </xf>
    <xf numFmtId="164" fontId="26" fillId="57" borderId="0" xfId="4" applyNumberFormat="1" applyFont="1" applyFill="1" applyAlignment="1"/>
    <xf numFmtId="164" fontId="39" fillId="57" borderId="0" xfId="4" applyNumberFormat="1" applyFont="1" applyFill="1"/>
    <xf numFmtId="166" fontId="25" fillId="57" borderId="0" xfId="1" applyNumberFormat="1" applyFont="1" applyFill="1"/>
    <xf numFmtId="164" fontId="31" fillId="57" borderId="0" xfId="14" applyNumberFormat="1" applyFont="1" applyFill="1" applyBorder="1" applyAlignment="1">
      <alignment horizontal="right"/>
    </xf>
    <xf numFmtId="166" fontId="25" fillId="57" borderId="0" xfId="1" applyNumberFormat="1" applyFont="1" applyFill="1" applyProtection="1"/>
    <xf numFmtId="164" fontId="26" fillId="57" borderId="0" xfId="4" applyNumberFormat="1" applyFont="1" applyFill="1" applyProtection="1"/>
    <xf numFmtId="164" fontId="26" fillId="57" borderId="0" xfId="4" applyNumberFormat="1" applyFont="1" applyFill="1" applyAlignment="1" applyProtection="1"/>
    <xf numFmtId="1" fontId="32" fillId="57" borderId="0" xfId="1" applyNumberFormat="1" applyFont="1" applyFill="1" applyBorder="1"/>
    <xf numFmtId="167" fontId="32" fillId="57" borderId="0" xfId="4" applyNumberFormat="1" applyFont="1" applyFill="1" applyBorder="1"/>
    <xf numFmtId="164" fontId="31" fillId="57" borderId="0" xfId="4" applyNumberFormat="1" applyFont="1" applyFill="1" applyBorder="1"/>
    <xf numFmtId="3" fontId="31" fillId="57" borderId="0" xfId="14" applyNumberFormat="1" applyFont="1" applyFill="1" applyBorder="1" applyAlignment="1">
      <alignment horizontal="right"/>
    </xf>
    <xf numFmtId="3" fontId="40" fillId="57" borderId="0" xfId="14" applyNumberFormat="1" applyFont="1" applyFill="1" applyBorder="1" applyAlignment="1">
      <alignment horizontal="right"/>
    </xf>
    <xf numFmtId="1" fontId="26" fillId="57" borderId="0" xfId="13" applyNumberFormat="1" applyFont="1" applyFill="1"/>
    <xf numFmtId="1" fontId="26" fillId="57" borderId="0" xfId="13" applyNumberFormat="1" applyFont="1" applyFill="1" applyAlignment="1">
      <alignment vertical="center"/>
    </xf>
    <xf numFmtId="0" fontId="26" fillId="57" borderId="0" xfId="13" applyFont="1" applyFill="1" applyAlignment="1">
      <alignment vertical="center"/>
    </xf>
    <xf numFmtId="0" fontId="29" fillId="57" borderId="0" xfId="13" applyFont="1" applyFill="1" applyAlignment="1">
      <alignment vertical="center"/>
    </xf>
    <xf numFmtId="0" fontId="26" fillId="57" borderId="0" xfId="13" applyFont="1" applyFill="1"/>
    <xf numFmtId="3" fontId="25" fillId="57" borderId="0" xfId="13" applyNumberFormat="1" applyFont="1" applyFill="1" applyAlignment="1"/>
    <xf numFmtId="3" fontId="26" fillId="57" borderId="0" xfId="13" applyNumberFormat="1" applyFont="1" applyFill="1" applyAlignment="1">
      <alignment vertical="center"/>
    </xf>
    <xf numFmtId="167" fontId="25" fillId="57" borderId="0" xfId="4" applyNumberFormat="1" applyFont="1" applyFill="1"/>
    <xf numFmtId="3" fontId="25" fillId="57" borderId="0" xfId="4" applyNumberFormat="1" applyFont="1" applyFill="1" applyAlignment="1"/>
    <xf numFmtId="3" fontId="26" fillId="57" borderId="0" xfId="4" applyNumberFormat="1" applyFont="1" applyFill="1" applyAlignment="1">
      <alignment vertical="center"/>
    </xf>
    <xf numFmtId="167" fontId="26" fillId="57" borderId="0" xfId="4" applyNumberFormat="1" applyFont="1" applyFill="1"/>
    <xf numFmtId="0" fontId="25" fillId="57" borderId="0" xfId="13" applyFont="1" applyFill="1"/>
    <xf numFmtId="0" fontId="28" fillId="57" borderId="0" xfId="13" applyFont="1" applyFill="1"/>
    <xf numFmtId="1" fontId="17" fillId="2" borderId="0" xfId="13" applyNumberFormat="1" applyFont="1" applyFill="1" applyAlignment="1"/>
    <xf numFmtId="167" fontId="33" fillId="57" borderId="0" xfId="4" applyNumberFormat="1" applyFont="1" applyFill="1"/>
    <xf numFmtId="0" fontId="33" fillId="57" borderId="0" xfId="1" applyFont="1" applyFill="1"/>
    <xf numFmtId="0" fontId="36" fillId="2" borderId="0" xfId="1" applyFont="1" applyFill="1"/>
    <xf numFmtId="167" fontId="33" fillId="2" borderId="0" xfId="4" applyNumberFormat="1" applyFont="1" applyFill="1"/>
    <xf numFmtId="167" fontId="33" fillId="57" borderId="0" xfId="4" applyNumberFormat="1" applyFont="1" applyFill="1" applyAlignment="1">
      <alignment horizontal="left" indent="2"/>
    </xf>
    <xf numFmtId="167" fontId="33" fillId="2" borderId="0" xfId="4" applyNumberFormat="1" applyFont="1" applyFill="1" applyAlignment="1">
      <alignment horizontal="left" indent="2"/>
    </xf>
    <xf numFmtId="0" fontId="33" fillId="2" borderId="0" xfId="1" applyFont="1" applyFill="1" applyAlignment="1">
      <alignment horizontal="left" indent="2"/>
    </xf>
    <xf numFmtId="0" fontId="33" fillId="57" borderId="0" xfId="1" applyFont="1" applyFill="1" applyAlignment="1">
      <alignment horizontal="left" indent="2"/>
    </xf>
    <xf numFmtId="0" fontId="36" fillId="57" borderId="0" xfId="1" applyFont="1" applyFill="1"/>
    <xf numFmtId="0" fontId="36" fillId="57" borderId="0" xfId="1" applyFont="1" applyFill="1" applyBorder="1"/>
    <xf numFmtId="0" fontId="33" fillId="57" borderId="0" xfId="13" applyFont="1" applyFill="1"/>
    <xf numFmtId="165" fontId="45" fillId="57" borderId="0" xfId="1" applyNumberFormat="1" applyFont="1" applyFill="1" applyAlignment="1" applyProtection="1">
      <alignment horizontal="left"/>
    </xf>
    <xf numFmtId="165" fontId="45" fillId="2" borderId="0" xfId="1" applyNumberFormat="1" applyFont="1" applyFill="1" applyAlignment="1" applyProtection="1">
      <alignment horizontal="left"/>
    </xf>
    <xf numFmtId="0" fontId="45" fillId="57" borderId="0" xfId="1" applyFont="1" applyFill="1" applyBorder="1" applyAlignment="1" applyProtection="1">
      <alignment horizontal="left"/>
    </xf>
    <xf numFmtId="43" fontId="17" fillId="2" borderId="0" xfId="4" applyNumberFormat="1" applyFont="1" applyFill="1"/>
    <xf numFmtId="3" fontId="31" fillId="57" borderId="0" xfId="14" applyNumberFormat="1" applyFont="1" applyFill="1" applyBorder="1" applyAlignment="1">
      <alignment horizontal="right" vertical="center"/>
    </xf>
    <xf numFmtId="0" fontId="17" fillId="57" borderId="0" xfId="13" applyFont="1" applyFill="1" applyAlignment="1"/>
    <xf numFmtId="0" fontId="17" fillId="57" borderId="0" xfId="13" applyFont="1" applyFill="1"/>
    <xf numFmtId="0" fontId="34" fillId="2" borderId="0" xfId="13" applyFont="1" applyFill="1" applyAlignment="1">
      <alignment vertical="center"/>
    </xf>
    <xf numFmtId="164" fontId="40" fillId="57" borderId="0" xfId="4" applyNumberFormat="1" applyFont="1" applyFill="1" applyBorder="1" applyAlignment="1">
      <alignment vertical="center"/>
    </xf>
    <xf numFmtId="0" fontId="41" fillId="57" borderId="0" xfId="1" applyFont="1" applyFill="1" applyAlignment="1">
      <alignment horizontal="right" vertical="center"/>
    </xf>
    <xf numFmtId="0" fontId="45" fillId="2" borderId="0" xfId="1" applyFont="1" applyFill="1" applyBorder="1" applyAlignment="1" applyProtection="1">
      <alignment horizontal="left"/>
    </xf>
    <xf numFmtId="1" fontId="32" fillId="2" borderId="0" xfId="1" applyNumberFormat="1" applyFont="1" applyFill="1" applyBorder="1"/>
    <xf numFmtId="167" fontId="32" fillId="2" borderId="0" xfId="4" applyNumberFormat="1" applyFont="1" applyFill="1" applyBorder="1"/>
    <xf numFmtId="164" fontId="31" fillId="2" borderId="0" xfId="4" applyNumberFormat="1" applyFont="1" applyFill="1" applyBorder="1"/>
    <xf numFmtId="3" fontId="31" fillId="2" borderId="0" xfId="14" applyNumberFormat="1" applyFont="1" applyFill="1" applyBorder="1" applyAlignment="1">
      <alignment horizontal="right"/>
    </xf>
    <xf numFmtId="3" fontId="40" fillId="2" borderId="0" xfId="14" applyNumberFormat="1" applyFont="1" applyFill="1" applyBorder="1" applyAlignment="1">
      <alignment horizontal="right"/>
    </xf>
    <xf numFmtId="3" fontId="31" fillId="2" borderId="0" xfId="14" applyNumberFormat="1" applyFont="1" applyFill="1" applyBorder="1" applyAlignment="1">
      <alignment horizontal="right" vertical="center"/>
    </xf>
    <xf numFmtId="0" fontId="43" fillId="56" borderId="0" xfId="1" applyFont="1" applyFill="1" applyAlignment="1">
      <alignment horizontal="left" vertical="center"/>
    </xf>
    <xf numFmtId="0" fontId="36" fillId="57" borderId="0" xfId="1" applyFont="1" applyFill="1" applyAlignment="1">
      <alignment horizontal="left" vertical="center"/>
    </xf>
  </cellXfs>
  <cellStyles count="880">
    <cellStyle name="1" xfId="1"/>
    <cellStyle name="1 2" xfId="18"/>
    <cellStyle name="1 3" xfId="784"/>
    <cellStyle name="1 4" xfId="799"/>
    <cellStyle name="1 5" xfId="802"/>
    <cellStyle name="1_Indicators 2007" xfId="2"/>
    <cellStyle name="1_Indicators2007" xfId="3"/>
    <cellStyle name="1_Indicators2007 2" xfId="793"/>
    <cellStyle name="20% - Accent1" xfId="749" builtinId="30" customBuiltin="1"/>
    <cellStyle name="20% - Accent1 2" xfId="670"/>
    <cellStyle name="20% - Accent1 3" xfId="862"/>
    <cellStyle name="20% - Accent2" xfId="753" builtinId="34" customBuiltin="1"/>
    <cellStyle name="20% - Accent2 2" xfId="671"/>
    <cellStyle name="20% - Accent2 3" xfId="865"/>
    <cellStyle name="20% - Accent3" xfId="757" builtinId="38" customBuiltin="1"/>
    <cellStyle name="20% - Accent3 2" xfId="672"/>
    <cellStyle name="20% - Accent3 3" xfId="868"/>
    <cellStyle name="20% - Accent4" xfId="761" builtinId="42" customBuiltin="1"/>
    <cellStyle name="20% - Accent4 2" xfId="673"/>
    <cellStyle name="20% - Accent4 3" xfId="871"/>
    <cellStyle name="20% - Accent5" xfId="765" builtinId="46" customBuiltin="1"/>
    <cellStyle name="20% - Accent5 2" xfId="674"/>
    <cellStyle name="20% - Accent5 3" xfId="874"/>
    <cellStyle name="20% - Accent6" xfId="769" builtinId="50" customBuiltin="1"/>
    <cellStyle name="20% - Accent6 2" xfId="675"/>
    <cellStyle name="20% - Accent6 3" xfId="877"/>
    <cellStyle name="40% - Accent1" xfId="750" builtinId="31" customBuiltin="1"/>
    <cellStyle name="40% - Accent1 2" xfId="676"/>
    <cellStyle name="40% - Accent1 3" xfId="863"/>
    <cellStyle name="40% - Accent2" xfId="754" builtinId="35" customBuiltin="1"/>
    <cellStyle name="40% - Accent2 2" xfId="677"/>
    <cellStyle name="40% - Accent2 3" xfId="866"/>
    <cellStyle name="40% - Accent3" xfId="758" builtinId="39" customBuiltin="1"/>
    <cellStyle name="40% - Accent3 2" xfId="678"/>
    <cellStyle name="40% - Accent3 3" xfId="869"/>
    <cellStyle name="40% - Accent4" xfId="762" builtinId="43" customBuiltin="1"/>
    <cellStyle name="40% - Accent4 2" xfId="679"/>
    <cellStyle name="40% - Accent4 3" xfId="872"/>
    <cellStyle name="40% - Accent5" xfId="766" builtinId="47" customBuiltin="1"/>
    <cellStyle name="40% - Accent5 2" xfId="680"/>
    <cellStyle name="40% - Accent5 3" xfId="875"/>
    <cellStyle name="40% - Accent6" xfId="770" builtinId="51" customBuiltin="1"/>
    <cellStyle name="40% - Accent6 2" xfId="681"/>
    <cellStyle name="40% - Accent6 3" xfId="878"/>
    <cellStyle name="60% - Accent1" xfId="751" builtinId="32" customBuiltin="1"/>
    <cellStyle name="60% - Accent1 2" xfId="682"/>
    <cellStyle name="60% - Accent1 3" xfId="864"/>
    <cellStyle name="60% - Accent2" xfId="755" builtinId="36" customBuiltin="1"/>
    <cellStyle name="60% - Accent2 2" xfId="683"/>
    <cellStyle name="60% - Accent2 3" xfId="867"/>
    <cellStyle name="60% - Accent3" xfId="759" builtinId="40" customBuiltin="1"/>
    <cellStyle name="60% - Accent3 2" xfId="684"/>
    <cellStyle name="60% - Accent3 3" xfId="870"/>
    <cellStyle name="60% - Accent4" xfId="763" builtinId="44" customBuiltin="1"/>
    <cellStyle name="60% - Accent4 2" xfId="685"/>
    <cellStyle name="60% - Accent4 3" xfId="873"/>
    <cellStyle name="60% - Accent5" xfId="767" builtinId="48" customBuiltin="1"/>
    <cellStyle name="60% - Accent5 2" xfId="686"/>
    <cellStyle name="60% - Accent5 3" xfId="876"/>
    <cellStyle name="60% - Accent6" xfId="771" builtinId="52" customBuiltin="1"/>
    <cellStyle name="60% - Accent6 2" xfId="687"/>
    <cellStyle name="60% - Accent6 3" xfId="879"/>
    <cellStyle name="Accent1" xfId="748" builtinId="29" customBuiltin="1"/>
    <cellStyle name="Accent1 2" xfId="688"/>
    <cellStyle name="Accent2" xfId="752" builtinId="33" customBuiltin="1"/>
    <cellStyle name="Accent2 2" xfId="689"/>
    <cellStyle name="Accent3" xfId="756" builtinId="37" customBuiltin="1"/>
    <cellStyle name="Accent3 2" xfId="690"/>
    <cellStyle name="Accent4" xfId="760" builtinId="41" customBuiltin="1"/>
    <cellStyle name="Accent4 2" xfId="691"/>
    <cellStyle name="Accent5" xfId="764" builtinId="45" customBuiltin="1"/>
    <cellStyle name="Accent5 2" xfId="692"/>
    <cellStyle name="Accent6" xfId="768" builtinId="49" customBuiltin="1"/>
    <cellStyle name="Accent6 2" xfId="693"/>
    <cellStyle name="Bad" xfId="738" builtinId="27" customBuiltin="1"/>
    <cellStyle name="Bad 2" xfId="694"/>
    <cellStyle name="Calculation" xfId="742" builtinId="22" customBuiltin="1"/>
    <cellStyle name="Calculation 2" xfId="695"/>
    <cellStyle name="Check Cell" xfId="744" builtinId="23" customBuiltin="1"/>
    <cellStyle name="Check Cell 2" xfId="696"/>
    <cellStyle name="Comma" xfId="4" builtinId="3"/>
    <cellStyle name="Comma 10" xfId="795"/>
    <cellStyle name="Comma 11" xfId="803"/>
    <cellStyle name="Comma 2" xfId="5"/>
    <cellStyle name="Comma 2 2" xfId="668"/>
    <cellStyle name="Comma 2 2 2" xfId="805"/>
    <cellStyle name="Comma 2 3" xfId="778"/>
    <cellStyle name="Comma 2 4" xfId="785"/>
    <cellStyle name="Comma 2 5" xfId="804"/>
    <cellStyle name="Comma 2 6" xfId="855"/>
    <cellStyle name="Comma 3" xfId="6"/>
    <cellStyle name="Comma 3 2" xfId="697"/>
    <cellStyle name="Comma 3 3" xfId="806"/>
    <cellStyle name="Comma 4" xfId="16"/>
    <cellStyle name="Comma 4 2" xfId="807"/>
    <cellStyle name="Comma 5" xfId="20"/>
    <cellStyle name="Comma 5 2" xfId="808"/>
    <cellStyle name="Comma 6" xfId="23"/>
    <cellStyle name="Comma 6 2" xfId="809"/>
    <cellStyle name="Comma 7" xfId="728"/>
    <cellStyle name="Comma 8" xfId="773"/>
    <cellStyle name="Comma 9" xfId="792"/>
    <cellStyle name="Explanatory Text" xfId="746" builtinId="53" customBuiltin="1"/>
    <cellStyle name="Explanatory Text 2" xfId="698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Good" xfId="737" builtinId="26" customBuiltin="1"/>
    <cellStyle name="Good 2" xfId="699"/>
    <cellStyle name="Heading 1" xfId="733" builtinId="16" customBuiltin="1"/>
    <cellStyle name="Heading 1 2" xfId="700"/>
    <cellStyle name="Heading 1 2 2" xfId="777"/>
    <cellStyle name="Heading 2" xfId="734" builtinId="17" customBuiltin="1"/>
    <cellStyle name="Heading 2 2" xfId="701"/>
    <cellStyle name="Heading 3" xfId="735" builtinId="18" customBuiltin="1"/>
    <cellStyle name="Heading 3 2" xfId="702"/>
    <cellStyle name="Heading 4" xfId="736" builtinId="19" customBuiltin="1"/>
    <cellStyle name="Heading 4 2" xfId="703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Input" xfId="740" builtinId="20" customBuiltin="1"/>
    <cellStyle name="Input 2" xfId="704"/>
    <cellStyle name="Linked Cell" xfId="743" builtinId="24" customBuiltin="1"/>
    <cellStyle name="Linked Cell 2" xfId="705"/>
    <cellStyle name="Neutral" xfId="739" builtinId="28" customBuiltin="1"/>
    <cellStyle name="Neutral 2" xfId="706"/>
    <cellStyle name="Neutral 3" xfId="860"/>
    <cellStyle name="Normal" xfId="0" builtinId="0"/>
    <cellStyle name="Normal - Style1" xfId="707"/>
    <cellStyle name="Normal 10" xfId="708"/>
    <cellStyle name="Normal 10 2" xfId="810"/>
    <cellStyle name="Normal 11" xfId="709"/>
    <cellStyle name="Normal 12" xfId="710"/>
    <cellStyle name="Normal 12 2" xfId="811"/>
    <cellStyle name="Normal 13" xfId="669"/>
    <cellStyle name="Normal 13 2" xfId="812"/>
    <cellStyle name="Normal 14" xfId="725"/>
    <cellStyle name="Normal 14 2" xfId="813"/>
    <cellStyle name="Normal 15" xfId="726"/>
    <cellStyle name="Normal 15 2" xfId="814"/>
    <cellStyle name="Normal 16" xfId="665"/>
    <cellStyle name="Normal 16 2" xfId="815"/>
    <cellStyle name="Normal 17" xfId="727"/>
    <cellStyle name="Normal 17 2" xfId="816"/>
    <cellStyle name="Normal 18" xfId="729"/>
    <cellStyle name="Normal 18 2" xfId="817"/>
    <cellStyle name="Normal 19" xfId="730"/>
    <cellStyle name="Normal 19 2" xfId="818"/>
    <cellStyle name="Normal 2" xfId="7"/>
    <cellStyle name="Normal 2 2" xfId="21"/>
    <cellStyle name="Normal 2 2 2" xfId="8"/>
    <cellStyle name="Normal 2 2 3" xfId="711"/>
    <cellStyle name="Normal 2 2 4" xfId="781"/>
    <cellStyle name="Normal 2 2 5" xfId="819"/>
    <cellStyle name="Normal 2 3" xfId="24"/>
    <cellStyle name="Normal 2 3 2" xfId="820"/>
    <cellStyle name="Normal 2 4" xfId="666"/>
    <cellStyle name="Normal 2 5" xfId="797"/>
    <cellStyle name="Normal 20" xfId="731"/>
    <cellStyle name="Normal 20 2" xfId="821"/>
    <cellStyle name="Normal 21" xfId="772"/>
    <cellStyle name="Normal 21 2" xfId="822"/>
    <cellStyle name="Normal 22" xfId="774"/>
    <cellStyle name="Normal 22 2" xfId="823"/>
    <cellStyle name="Normal 23" xfId="775"/>
    <cellStyle name="Normal 23 2" xfId="824"/>
    <cellStyle name="Normal 24" xfId="776"/>
    <cellStyle name="Normal 24 2" xfId="825"/>
    <cellStyle name="Normal 25" xfId="782"/>
    <cellStyle name="Normal 25 2" xfId="826"/>
    <cellStyle name="Normal 26" xfId="783"/>
    <cellStyle name="Normal 26 2" xfId="827"/>
    <cellStyle name="Normal 27" xfId="786"/>
    <cellStyle name="Normal 27 2" xfId="828"/>
    <cellStyle name="Normal 28" xfId="787"/>
    <cellStyle name="Normal 28 2" xfId="829"/>
    <cellStyle name="Normal 29" xfId="788"/>
    <cellStyle name="Normal 29 2" xfId="830"/>
    <cellStyle name="Normal 3" xfId="9"/>
    <cellStyle name="Normal 3 2" xfId="712"/>
    <cellStyle name="Normal 3 2 2" xfId="832"/>
    <cellStyle name="Normal 3 3" xfId="800"/>
    <cellStyle name="Normal 3 3 2" xfId="833"/>
    <cellStyle name="Normal 3 4" xfId="831"/>
    <cellStyle name="Normal 3_agri planning 2009 year book(final)" xfId="857"/>
    <cellStyle name="Normal 30" xfId="789"/>
    <cellStyle name="Normal 30 2" xfId="834"/>
    <cellStyle name="Normal 31" xfId="791"/>
    <cellStyle name="Normal 31 2" xfId="835"/>
    <cellStyle name="Normal 32" xfId="794"/>
    <cellStyle name="Normal 32 2" xfId="836"/>
    <cellStyle name="Normal 33" xfId="798"/>
    <cellStyle name="Normal 33 2" xfId="837"/>
    <cellStyle name="Normal 34" xfId="838"/>
    <cellStyle name="Normal 35" xfId="839"/>
    <cellStyle name="Normal 36" xfId="840"/>
    <cellStyle name="Normal 37" xfId="841"/>
    <cellStyle name="Normal 38" xfId="842"/>
    <cellStyle name="Normal 39" xfId="843"/>
    <cellStyle name="Normal 4" xfId="10"/>
    <cellStyle name="Normal 4 2" xfId="713"/>
    <cellStyle name="Normal 4 2 2" xfId="844"/>
    <cellStyle name="Normal 4 3" xfId="801"/>
    <cellStyle name="Normal 4_agri planning 2009 year book(final)" xfId="856"/>
    <cellStyle name="Normal 40" xfId="845"/>
    <cellStyle name="Normal 41" xfId="846"/>
    <cellStyle name="Normal 42" xfId="847"/>
    <cellStyle name="Normal 43" xfId="848"/>
    <cellStyle name="Normal 44" xfId="849"/>
    <cellStyle name="Normal 45" xfId="851"/>
    <cellStyle name="Normal 46" xfId="852"/>
    <cellStyle name="Normal 47" xfId="853"/>
    <cellStyle name="Normal 48" xfId="854"/>
    <cellStyle name="Normal 49" xfId="858"/>
    <cellStyle name="Normal 5" xfId="11"/>
    <cellStyle name="Normal 5 2" xfId="714"/>
    <cellStyle name="Normal 6" xfId="17"/>
    <cellStyle name="Normal 6 2" xfId="715"/>
    <cellStyle name="Normal 7" xfId="19"/>
    <cellStyle name="Normal 7 2" xfId="716"/>
    <cellStyle name="Normal 8" xfId="22"/>
    <cellStyle name="Normal 8 2" xfId="717"/>
    <cellStyle name="Normal 9" xfId="667"/>
    <cellStyle name="Normal 9 2" xfId="718"/>
    <cellStyle name="Normal 9 3" xfId="850"/>
    <cellStyle name="Normal_BOP revised 14 April 07" xfId="12"/>
    <cellStyle name="Normal_Indicators" xfId="13"/>
    <cellStyle name="Normal_XII-1 (Commerce)" xfId="14"/>
    <cellStyle name="Normal_XII-13(Commerce)" xfId="15"/>
    <cellStyle name="Note 2" xfId="719"/>
    <cellStyle name="Note 3" xfId="780"/>
    <cellStyle name="Note 4" xfId="861"/>
    <cellStyle name="Output" xfId="741" builtinId="21" customBuiltin="1"/>
    <cellStyle name="Output 2" xfId="720"/>
    <cellStyle name="Percent 2" xfId="721"/>
    <cellStyle name="Percent 2 2" xfId="779"/>
    <cellStyle name="Percent 3" xfId="790"/>
    <cellStyle name="Percent 4" xfId="796"/>
    <cellStyle name="Title" xfId="732" builtinId="15" customBuiltin="1"/>
    <cellStyle name="Title 2" xfId="722"/>
    <cellStyle name="Title 3" xfId="859"/>
    <cellStyle name="Total" xfId="747" builtinId="25" customBuiltin="1"/>
    <cellStyle name="Total 2" xfId="723"/>
    <cellStyle name="Warning Text" xfId="745" builtinId="11" customBuiltin="1"/>
    <cellStyle name="Warning Text 2" xfId="724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E7B7"/>
      <color rgb="FFFFC757"/>
      <color rgb="FFCC6600"/>
      <color rgb="FFDE6F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/>
              <a:t>Total Exports, Imports and Trade Balance 1996 - 2013</a:t>
            </a:r>
          </a:p>
        </c:rich>
      </c:tx>
      <c:layout>
        <c:manualLayout>
          <c:xMode val="edge"/>
          <c:yMode val="edge"/>
          <c:x val="0.19766744966118571"/>
          <c:y val="3.42962050867816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7628811828104E-2"/>
          <c:y val="0.1650341392572767"/>
          <c:w val="0.89577194058324627"/>
          <c:h val="0.69925225300331273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'Foerign trade &amp; BOP'!$D$89:$H$89</c:f>
              <c:strCache>
                <c:ptCount val="5"/>
                <c:pt idx="0">
                  <c:v>Trade Balance</c:v>
                </c:pt>
              </c:strCache>
            </c:strRef>
          </c:tx>
          <c:spPr>
            <a:solidFill>
              <a:srgbClr val="FF434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'Foerign trade &amp; BOP'!$I$86:$AA$86</c:f>
              <c:numCache>
                <c:formatCode>General</c:formatCode>
                <c:ptCount val="1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</c:numCache>
            </c:numRef>
          </c:cat>
          <c:val>
            <c:numRef>
              <c:f>'Foerign trade &amp; BOP'!$I$89:$AA$89</c:f>
              <c:numCache>
                <c:formatCode>0.00</c:formatCode>
                <c:ptCount val="11"/>
                <c:pt idx="0">
                  <c:v>-518.98275562265633</c:v>
                </c:pt>
                <c:pt idx="1">
                  <c:v>-640.64118116562508</c:v>
                </c:pt>
                <c:pt idx="2">
                  <c:v>-790.92178146874221</c:v>
                </c:pt>
                <c:pt idx="3">
                  <c:v>-736.76027315844181</c:v>
                </c:pt>
                <c:pt idx="4">
                  <c:v>-889.9</c:v>
                </c:pt>
                <c:pt idx="5" formatCode="General">
                  <c:v>-687</c:v>
                </c:pt>
                <c:pt idx="6">
                  <c:v>-1020.9133385453123</c:v>
                </c:pt>
                <c:pt idx="7">
                  <c:v>-1230.499</c:v>
                </c:pt>
                <c:pt idx="8">
                  <c:v>-1387.9113883975292</c:v>
                </c:pt>
                <c:pt idx="9">
                  <c:v>-1562.3783257624918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5-4056-9675-A2E7BBAC4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654464"/>
        <c:axId val="118656384"/>
      </c:barChart>
      <c:lineChart>
        <c:grouping val="standard"/>
        <c:varyColors val="0"/>
        <c:ser>
          <c:idx val="0"/>
          <c:order val="0"/>
          <c:tx>
            <c:strRef>
              <c:f>'Foerign trade &amp; BOP'!$D$87:$H$87</c:f>
              <c:strCache>
                <c:ptCount val="5"/>
                <c:pt idx="0">
                  <c:v>Total exports (f.o.b value in million US$)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square"/>
            <c:size val="5"/>
            <c:spPr>
              <a:solidFill>
                <a:schemeClr val="tx1">
                  <a:lumMod val="85000"/>
                  <a:lumOff val="15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'Foerign trade &amp; BOP'!$I$86:$Z$86</c:f>
              <c:numCache>
                <c:formatCode>General</c:formatCode>
                <c:ptCount val="1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</c:numCache>
            </c:numRef>
          </c:cat>
          <c:val>
            <c:numRef>
              <c:f>'Foerign trade &amp; BOP'!$I$87:$Z$87</c:f>
              <c:numCache>
                <c:formatCode>0.00</c:formatCode>
                <c:ptCount val="10"/>
                <c:pt idx="0">
                  <c:v>122.83415265937498</c:v>
                </c:pt>
                <c:pt idx="1">
                  <c:v>104.22340438124998</c:v>
                </c:pt>
                <c:pt idx="2">
                  <c:v>135.60330781249999</c:v>
                </c:pt>
                <c:pt idx="3">
                  <c:v>108.170984375</c:v>
                </c:pt>
                <c:pt idx="4">
                  <c:v>126.36340625</c:v>
                </c:pt>
                <c:pt idx="5">
                  <c:v>76.665000000000006</c:v>
                </c:pt>
                <c:pt idx="6">
                  <c:v>74.202946138281263</c:v>
                </c:pt>
                <c:pt idx="7">
                  <c:v>116.392</c:v>
                </c:pt>
                <c:pt idx="8" formatCode="General">
                  <c:v>161.02000000000001</c:v>
                </c:pt>
                <c:pt idx="9">
                  <c:v>166.03731343283582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35-4056-9675-A2E7BBAC4822}"/>
            </c:ext>
          </c:extLst>
        </c:ser>
        <c:ser>
          <c:idx val="1"/>
          <c:order val="1"/>
          <c:tx>
            <c:strRef>
              <c:f>'Foerign trade &amp; BOP'!$D$88:$H$88</c:f>
              <c:strCache>
                <c:ptCount val="5"/>
                <c:pt idx="0">
                  <c:v>Total Imports (c.i.f value in million US$)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quare"/>
            <c:size val="6"/>
            <c:spPr>
              <a:solidFill>
                <a:srgbClr val="FFAFAF"/>
              </a:solidFill>
              <a:ln>
                <a:solidFill>
                  <a:srgbClr val="FF4343"/>
                </a:solidFill>
              </a:ln>
            </c:spPr>
          </c:marker>
          <c:cat>
            <c:numRef>
              <c:f>'Foerign trade &amp; BOP'!$I$86:$Z$86</c:f>
              <c:numCache>
                <c:formatCode>General</c:formatCode>
                <c:ptCount val="1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</c:numCache>
            </c:numRef>
          </c:cat>
          <c:val>
            <c:numRef>
              <c:f>'Foerign trade &amp; BOP'!$I$88:$Z$88</c:f>
              <c:numCache>
                <c:formatCode>0.00</c:formatCode>
                <c:ptCount val="10"/>
                <c:pt idx="0">
                  <c:v>641.81690828203125</c:v>
                </c:pt>
                <c:pt idx="1">
                  <c:v>744.86458554687499</c:v>
                </c:pt>
                <c:pt idx="2">
                  <c:v>926.52508928124223</c:v>
                </c:pt>
                <c:pt idx="3">
                  <c:v>1096.290078125</c:v>
                </c:pt>
                <c:pt idx="4">
                  <c:v>1387.5089062500001</c:v>
                </c:pt>
                <c:pt idx="5">
                  <c:v>966.29100000000005</c:v>
                </c:pt>
                <c:pt idx="6">
                  <c:v>1095.1162846835934</c:v>
                </c:pt>
                <c:pt idx="7">
                  <c:v>1346.8910000000001</c:v>
                </c:pt>
                <c:pt idx="8" formatCode="General">
                  <c:v>1548.94</c:v>
                </c:pt>
                <c:pt idx="9">
                  <c:v>1728.4156391953277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35-4056-9675-A2E7BBAC4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54464"/>
        <c:axId val="118656384"/>
      </c:lineChart>
      <c:catAx>
        <c:axId val="11865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56384"/>
        <c:crosses val="autoZero"/>
        <c:auto val="1"/>
        <c:lblAlgn val="ctr"/>
        <c:lblOffset val="100"/>
        <c:noMultiLvlLbl val="0"/>
      </c:catAx>
      <c:valAx>
        <c:axId val="1186563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/>
                  <a:t>Million US$</a:t>
                </a:r>
              </a:p>
            </c:rich>
          </c:tx>
          <c:layout>
            <c:manualLayout>
              <c:xMode val="edge"/>
              <c:yMode val="edge"/>
              <c:x val="5.4404584707895744E-3"/>
              <c:y val="8.7389930263452792E-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5446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1358507346537962E-2"/>
          <c:y val="0.79048972935088313"/>
          <c:w val="0.78298016012714644"/>
          <c:h val="8.5612140936901476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Percentage share of marine exports and other exports, 2006 - 2016</a:t>
            </a:r>
          </a:p>
        </c:rich>
      </c:tx>
      <c:layout>
        <c:manualLayout>
          <c:xMode val="edge"/>
          <c:yMode val="edge"/>
          <c:x val="0.14169668859885665"/>
          <c:y val="5.98747542494093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777993273969718E-2"/>
          <c:y val="0.22520605970838792"/>
          <c:w val="0.90737149646952853"/>
          <c:h val="0.62595049643475364"/>
        </c:manualLayout>
      </c:layout>
      <c:lineChart>
        <c:grouping val="standard"/>
        <c:varyColors val="0"/>
        <c:ser>
          <c:idx val="0"/>
          <c:order val="0"/>
          <c:tx>
            <c:strRef>
              <c:f>'Foerign trade &amp; BOP'!$A$10</c:f>
              <c:strCache>
                <c:ptCount val="1"/>
                <c:pt idx="0">
                  <c:v>  Marine products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pPr>
              <a:solidFill>
                <a:schemeClr val="accent6">
                  <a:lumMod val="75000"/>
                </a:schemeClr>
              </a:solidFill>
              <a:ln>
                <a:solidFill>
                  <a:srgbClr val="CC6600"/>
                </a:solidFill>
              </a:ln>
            </c:spPr>
          </c:marker>
          <c:cat>
            <c:numRef>
              <c:f>'Foerign trade &amp; BOP'!$Q$3:$AA$3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'Foerign trade &amp; BOP'!$Q$10:$AA$10</c:f>
              <c:numCache>
                <c:formatCode>#,##0</c:formatCode>
                <c:ptCount val="11"/>
                <c:pt idx="0">
                  <c:v>98.51745297004129</c:v>
                </c:pt>
                <c:pt idx="1">
                  <c:v>98.023498821238292</c:v>
                </c:pt>
                <c:pt idx="2">
                  <c:v>98.422679231947328</c:v>
                </c:pt>
                <c:pt idx="3">
                  <c:v>97.665390688771069</c:v>
                </c:pt>
                <c:pt idx="4">
                  <c:v>96.151242715876606</c:v>
                </c:pt>
                <c:pt idx="5">
                  <c:v>96.994416745898619</c:v>
                </c:pt>
                <c:pt idx="6">
                  <c:v>98.20691702869351</c:v>
                </c:pt>
                <c:pt idx="7">
                  <c:v>98.379995583582655</c:v>
                </c:pt>
                <c:pt idx="8">
                  <c:v>97.729597925635929</c:v>
                </c:pt>
                <c:pt idx="9">
                  <c:v>97.423422407090271</c:v>
                </c:pt>
                <c:pt idx="10">
                  <c:v>98.553170214413228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B2-43D3-A2F7-F1D83FA6D767}"/>
            </c:ext>
          </c:extLst>
        </c:ser>
        <c:ser>
          <c:idx val="1"/>
          <c:order val="1"/>
          <c:tx>
            <c:strRef>
              <c:f>'Foerign trade &amp; BOP'!$A$11</c:f>
              <c:strCache>
                <c:ptCount val="1"/>
                <c:pt idx="0">
                  <c:v>  Other products</c:v>
                </c:pt>
              </c:strCache>
            </c:strRef>
          </c:tx>
          <c:spPr>
            <a:ln>
              <a:solidFill>
                <a:srgbClr val="DE6F00"/>
              </a:solidFill>
            </a:ln>
          </c:spPr>
          <c:marker>
            <c:spPr>
              <a:solidFill>
                <a:schemeClr val="accent6">
                  <a:lumMod val="50000"/>
                </a:schemeClr>
              </a:solidFill>
              <a:ln>
                <a:solidFill>
                  <a:srgbClr val="FFC757"/>
                </a:solidFill>
              </a:ln>
            </c:spPr>
          </c:marker>
          <c:cat>
            <c:numRef>
              <c:f>'Foerign trade &amp; BOP'!$Q$3:$AA$3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'Foerign trade &amp; BOP'!$Q$11:$AA$11</c:f>
              <c:numCache>
                <c:formatCode>#,##0</c:formatCode>
                <c:ptCount val="11"/>
                <c:pt idx="0">
                  <c:v>1.4825470299587205</c:v>
                </c:pt>
                <c:pt idx="1">
                  <c:v>1.9765011787616911</c:v>
                </c:pt>
                <c:pt idx="2">
                  <c:v>1.5773207680526578</c:v>
                </c:pt>
                <c:pt idx="3">
                  <c:v>2.3346093112289323</c:v>
                </c:pt>
                <c:pt idx="4">
                  <c:v>3.8487572841233915</c:v>
                </c:pt>
                <c:pt idx="5">
                  <c:v>3.0055832541013818</c:v>
                </c:pt>
                <c:pt idx="6">
                  <c:v>1.7930829713064904</c:v>
                </c:pt>
                <c:pt idx="7">
                  <c:v>1.6200044164173473</c:v>
                </c:pt>
                <c:pt idx="8">
                  <c:v>2.264059538437357</c:v>
                </c:pt>
                <c:pt idx="9">
                  <c:v>2.5765775929097137</c:v>
                </c:pt>
                <c:pt idx="10">
                  <c:v>1.4468297855867847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B2-43D3-A2F7-F1D83FA6D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24096"/>
        <c:axId val="118726016"/>
      </c:lineChart>
      <c:catAx>
        <c:axId val="11872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18726016"/>
        <c:crossesAt val="0"/>
        <c:auto val="1"/>
        <c:lblAlgn val="ctr"/>
        <c:lblOffset val="100"/>
        <c:noMultiLvlLbl val="0"/>
      </c:catAx>
      <c:valAx>
        <c:axId val="118726016"/>
        <c:scaling>
          <c:orientation val="minMax"/>
          <c:max val="10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4348115461273329E-3"/>
              <c:y val="0.11269104264942999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18724096"/>
        <c:crosses val="autoZero"/>
        <c:crossBetween val="between"/>
      </c:valAx>
      <c:spPr>
        <a:solidFill>
          <a:srgbClr val="FFFAEF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7358921140140863"/>
          <c:y val="0.42145260907809734"/>
          <c:w val="0.48738969466869841"/>
          <c:h val="5.2048010441987383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200"/>
              <a:t>Balance on Goods and Services, 2006 - 2016</a:t>
            </a:r>
          </a:p>
        </c:rich>
      </c:tx>
      <c:layout>
        <c:manualLayout>
          <c:xMode val="edge"/>
          <c:yMode val="edge"/>
          <c:x val="0.27646562017189796"/>
          <c:y val="4.806171275292949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8263878506579584E-2"/>
          <c:y val="0.18160067881349123"/>
          <c:w val="0.87829114688317311"/>
          <c:h val="0.73510011216922566"/>
        </c:manualLayout>
      </c:layout>
      <c:lineChart>
        <c:grouping val="standard"/>
        <c:varyColors val="0"/>
        <c:ser>
          <c:idx val="0"/>
          <c:order val="0"/>
          <c:tx>
            <c:strRef>
              <c:f>'Foerign trade &amp; BOP'!$A$106</c:f>
              <c:strCache>
                <c:ptCount val="1"/>
                <c:pt idx="0">
                  <c:v>Balance on goods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'Foerign trade &amp; BOP'!$B$104:$AA$105</c:f>
              <c:strCach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strCache>
            </c:strRef>
          </c:cat>
          <c:val>
            <c:numRef>
              <c:f>'Foerign trade &amp; BOP'!$B$106:$AA$106</c:f>
              <c:numCache>
                <c:formatCode>0</c:formatCode>
                <c:ptCount val="11"/>
                <c:pt idx="0">
                  <c:v>-590.1</c:v>
                </c:pt>
                <c:pt idx="1">
                  <c:v>-1077.8</c:v>
                </c:pt>
                <c:pt idx="2">
                  <c:v>-1317.6</c:v>
                </c:pt>
                <c:pt idx="3">
                  <c:v>-912.7</c:v>
                </c:pt>
                <c:pt idx="4">
                  <c:v>-1044.3</c:v>
                </c:pt>
                <c:pt idx="5">
                  <c:v>-1370.4497932458348</c:v>
                </c:pt>
                <c:pt idx="6">
                  <c:v>-1261.3818460941536</c:v>
                </c:pt>
                <c:pt idx="7">
                  <c:v>-1372.0279990268523</c:v>
                </c:pt>
                <c:pt idx="8">
                  <c:v>-1659.9839496319867</c:v>
                </c:pt>
                <c:pt idx="9">
                  <c:v>-1654.7584348513501</c:v>
                </c:pt>
                <c:pt idx="10">
                  <c:v>-1839.4548719095881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9-4C4E-B12C-0F8A79CEB35E}"/>
            </c:ext>
          </c:extLst>
        </c:ser>
        <c:ser>
          <c:idx val="1"/>
          <c:order val="1"/>
          <c:tx>
            <c:strRef>
              <c:f>'Foerign trade &amp; BOP'!$A$107</c:f>
              <c:strCache>
                <c:ptCount val="1"/>
                <c:pt idx="0">
                  <c:v>Balance on services</c:v>
                </c:pt>
              </c:strCache>
            </c:strRef>
          </c:tx>
          <c:spPr>
            <a:ln>
              <a:solidFill>
                <a:srgbClr val="DE6F00"/>
              </a:solidFill>
            </a:ln>
          </c:spPr>
          <c:marker>
            <c:symbol val="none"/>
          </c:marker>
          <c:cat>
            <c:strRef>
              <c:f>'Foerign trade &amp; BOP'!$B$104:$AA$105</c:f>
              <c:strCach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strCache>
            </c:strRef>
          </c:cat>
          <c:val>
            <c:numRef>
              <c:f>'Foerign trade &amp; BOP'!$B$107:$AA$107</c:f>
              <c:numCache>
                <c:formatCode>0</c:formatCode>
                <c:ptCount val="11"/>
                <c:pt idx="0">
                  <c:v>320.70550261011971</c:v>
                </c:pt>
                <c:pt idx="1">
                  <c:v>1246</c:v>
                </c:pt>
                <c:pt idx="2">
                  <c:v>1210.5</c:v>
                </c:pt>
                <c:pt idx="3">
                  <c:v>1144.9000000000001</c:v>
                </c:pt>
                <c:pt idx="4">
                  <c:v>1358.5</c:v>
                </c:pt>
                <c:pt idx="5">
                  <c:v>2679.4074919898917</c:v>
                </c:pt>
                <c:pt idx="6">
                  <c:v>2742.1730668283831</c:v>
                </c:pt>
                <c:pt idx="7">
                  <c:v>3273.4959116042137</c:v>
                </c:pt>
                <c:pt idx="8">
                  <c:v>3791.6288966259031</c:v>
                </c:pt>
                <c:pt idx="9">
                  <c:v>3780.0266674700088</c:v>
                </c:pt>
                <c:pt idx="10">
                  <c:v>4210.7719672613021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9-4C4E-B12C-0F8A79CEB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748672"/>
        <c:axId val="118750208"/>
      </c:lineChart>
      <c:catAx>
        <c:axId val="118748672"/>
        <c:scaling>
          <c:orientation val="minMax"/>
        </c:scaling>
        <c:delete val="0"/>
        <c:axPos val="b"/>
        <c:majorGridlines>
          <c:spPr>
            <a:ln>
              <a:solidFill>
                <a:srgbClr val="FFC757"/>
              </a:solidFill>
            </a:ln>
          </c:spPr>
        </c:majorGridlines>
        <c:numFmt formatCode="General" sourceLinked="0"/>
        <c:majorTickMark val="none"/>
        <c:minorTickMark val="out"/>
        <c:tickLblPos val="nextTo"/>
        <c:spPr>
          <a:ln w="25400">
            <a:solidFill>
              <a:schemeClr val="accent6">
                <a:lumMod val="50000"/>
              </a:schemeClr>
            </a:solidFill>
          </a:ln>
        </c:spPr>
        <c:crossAx val="118750208"/>
        <c:crosses val="autoZero"/>
        <c:auto val="1"/>
        <c:lblAlgn val="ctr"/>
        <c:lblOffset val="100"/>
        <c:noMultiLvlLbl val="0"/>
      </c:catAx>
      <c:valAx>
        <c:axId val="118750208"/>
        <c:scaling>
          <c:orientation val="minMax"/>
        </c:scaling>
        <c:delete val="0"/>
        <c:axPos val="l"/>
        <c:majorGridlines>
          <c:spPr>
            <a:ln>
              <a:solidFill>
                <a:srgbClr val="FFC00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18748672"/>
        <c:crosses val="autoZero"/>
        <c:crossBetween val="between"/>
      </c:valAx>
      <c:spPr>
        <a:solidFill>
          <a:srgbClr val="FFFAEF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9901872679173588"/>
          <c:y val="0.9251732113852521"/>
          <c:w val="0.70098907007116718"/>
          <c:h val="5.9456879939570911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75</xdr:row>
      <xdr:rowOff>0</xdr:rowOff>
    </xdr:from>
    <xdr:to>
      <xdr:col>16</xdr:col>
      <xdr:colOff>64366</xdr:colOff>
      <xdr:row>75</xdr:row>
      <xdr:rowOff>28575</xdr:rowOff>
    </xdr:to>
    <xdr:sp macro="" textlink="">
      <xdr:nvSpPr>
        <xdr:cNvPr id="63934102" name="Text Box 5"/>
        <xdr:cNvSpPr txBox="1">
          <a:spLocks noChangeArrowheads="1"/>
        </xdr:cNvSpPr>
      </xdr:nvSpPr>
      <xdr:spPr bwMode="auto">
        <a:xfrm>
          <a:off x="1504950" y="13230225"/>
          <a:ext cx="1619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190500</xdr:colOff>
      <xdr:row>39</xdr:row>
      <xdr:rowOff>47625</xdr:rowOff>
    </xdr:from>
    <xdr:to>
      <xdr:col>18</xdr:col>
      <xdr:colOff>426038</xdr:colOff>
      <xdr:row>39</xdr:row>
      <xdr:rowOff>48768</xdr:rowOff>
    </xdr:to>
    <xdr:sp macro="" textlink="">
      <xdr:nvSpPr>
        <xdr:cNvPr id="10246" name="Text Box 6"/>
        <xdr:cNvSpPr txBox="1">
          <a:spLocks noChangeArrowheads="1"/>
        </xdr:cNvSpPr>
      </xdr:nvSpPr>
      <xdr:spPr bwMode="auto">
        <a:xfrm>
          <a:off x="190500" y="5810250"/>
          <a:ext cx="48958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             Total Imports and Exports, 1995 - 2006</a:t>
          </a:r>
        </a:p>
      </xdr:txBody>
    </xdr:sp>
    <xdr:clientData/>
  </xdr:twoCellAnchor>
  <xdr:twoCellAnchor>
    <xdr:from>
      <xdr:col>38</xdr:col>
      <xdr:colOff>0</xdr:colOff>
      <xdr:row>47</xdr:row>
      <xdr:rowOff>0</xdr:rowOff>
    </xdr:from>
    <xdr:to>
      <xdr:col>38</xdr:col>
      <xdr:colOff>1666875</xdr:colOff>
      <xdr:row>47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7962900"/>
          <a:ext cx="16668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38</xdr:col>
      <xdr:colOff>0</xdr:colOff>
      <xdr:row>30</xdr:row>
      <xdr:rowOff>0</xdr:rowOff>
    </xdr:from>
    <xdr:to>
      <xdr:col>38</xdr:col>
      <xdr:colOff>1552575</xdr:colOff>
      <xdr:row>30</xdr:row>
      <xdr:rowOff>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0" y="4962525"/>
          <a:ext cx="15525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 editAs="oneCell">
    <xdr:from>
      <xdr:col>0</xdr:col>
      <xdr:colOff>1504950</xdr:colOff>
      <xdr:row>75</xdr:row>
      <xdr:rowOff>0</xdr:rowOff>
    </xdr:from>
    <xdr:to>
      <xdr:col>16</xdr:col>
      <xdr:colOff>64366</xdr:colOff>
      <xdr:row>75</xdr:row>
      <xdr:rowOff>28575</xdr:rowOff>
    </xdr:to>
    <xdr:sp macro="" textlink="">
      <xdr:nvSpPr>
        <xdr:cNvPr id="63934107" name="Text Box 5"/>
        <xdr:cNvSpPr txBox="1">
          <a:spLocks noChangeArrowheads="1"/>
        </xdr:cNvSpPr>
      </xdr:nvSpPr>
      <xdr:spPr bwMode="auto">
        <a:xfrm>
          <a:off x="1504950" y="13230225"/>
          <a:ext cx="161925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190500</xdr:colOff>
      <xdr:row>39</xdr:row>
      <xdr:rowOff>47625</xdr:rowOff>
    </xdr:from>
    <xdr:to>
      <xdr:col>18</xdr:col>
      <xdr:colOff>426038</xdr:colOff>
      <xdr:row>39</xdr:row>
      <xdr:rowOff>48768</xdr:rowOff>
    </xdr:to>
    <xdr:sp macro="" textlink="">
      <xdr:nvSpPr>
        <xdr:cNvPr id="12" name="Text Box 6"/>
        <xdr:cNvSpPr txBox="1">
          <a:spLocks noChangeArrowheads="1"/>
        </xdr:cNvSpPr>
      </xdr:nvSpPr>
      <xdr:spPr bwMode="auto">
        <a:xfrm>
          <a:off x="190500" y="5915025"/>
          <a:ext cx="4891412" cy="1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                              Total Imports and Exports, 1995 - 2006</a:t>
          </a:r>
        </a:p>
      </xdr:txBody>
    </xdr:sp>
    <xdr:clientData/>
  </xdr:twoCellAnchor>
  <xdr:twoCellAnchor>
    <xdr:from>
      <xdr:col>18</xdr:col>
      <xdr:colOff>887354</xdr:colOff>
      <xdr:row>192</xdr:row>
      <xdr:rowOff>26031</xdr:rowOff>
    </xdr:from>
    <xdr:to>
      <xdr:col>25</xdr:col>
      <xdr:colOff>800100</xdr:colOff>
      <xdr:row>207</xdr:row>
      <xdr:rowOff>41953</xdr:rowOff>
    </xdr:to>
    <xdr:graphicFrame macro="">
      <xdr:nvGraphicFramePr>
        <xdr:cNvPr id="63934109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0</xdr:colOff>
      <xdr:row>47</xdr:row>
      <xdr:rowOff>0</xdr:rowOff>
    </xdr:from>
    <xdr:to>
      <xdr:col>38</xdr:col>
      <xdr:colOff>1666875</xdr:colOff>
      <xdr:row>47</xdr:row>
      <xdr:rowOff>0</xdr:rowOff>
    </xdr:to>
    <xdr:sp macro="" textlink="">
      <xdr:nvSpPr>
        <xdr:cNvPr id="14" name="Text 1"/>
        <xdr:cNvSpPr txBox="1">
          <a:spLocks noChangeArrowheads="1"/>
        </xdr:cNvSpPr>
      </xdr:nvSpPr>
      <xdr:spPr bwMode="auto">
        <a:xfrm>
          <a:off x="15373350" y="7162800"/>
          <a:ext cx="16668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38</xdr:col>
      <xdr:colOff>0</xdr:colOff>
      <xdr:row>30</xdr:row>
      <xdr:rowOff>0</xdr:rowOff>
    </xdr:from>
    <xdr:to>
      <xdr:col>38</xdr:col>
      <xdr:colOff>1552575</xdr:colOff>
      <xdr:row>30</xdr:row>
      <xdr:rowOff>0</xdr:rowOff>
    </xdr:to>
    <xdr:sp macro="" textlink="">
      <xdr:nvSpPr>
        <xdr:cNvPr id="15" name="Text 1"/>
        <xdr:cNvSpPr txBox="1">
          <a:spLocks noChangeArrowheads="1"/>
        </xdr:cNvSpPr>
      </xdr:nvSpPr>
      <xdr:spPr bwMode="auto">
        <a:xfrm>
          <a:off x="15373350" y="4591050"/>
          <a:ext cx="15525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29</xdr:col>
      <xdr:colOff>873125</xdr:colOff>
      <xdr:row>51</xdr:row>
      <xdr:rowOff>79375</xdr:rowOff>
    </xdr:from>
    <xdr:to>
      <xdr:col>36</xdr:col>
      <xdr:colOff>3175</xdr:colOff>
      <xdr:row>67</xdr:row>
      <xdr:rowOff>101997</xdr:rowOff>
    </xdr:to>
    <xdr:graphicFrame macro="">
      <xdr:nvGraphicFramePr>
        <xdr:cNvPr id="63934112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2205179</xdr:colOff>
      <xdr:row>39</xdr:row>
      <xdr:rowOff>34224</xdr:rowOff>
    </xdr:from>
    <xdr:to>
      <xdr:col>22</xdr:col>
      <xdr:colOff>136525</xdr:colOff>
      <xdr:row>55</xdr:row>
      <xdr:rowOff>94439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Documents%20and%20Settings\Maha\My%20Documents\15%20Foreign%20Trade%20&amp;%20BO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issemination\Publications\Statistical%20%20Year%20Book\YEARBOOK%202015\FINAL%20TABLES\20.%20POLITICAL%20PARTIES%20AND%20ELECTIONS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.1"/>
      <sheetName val="15.2"/>
      <sheetName val="15.3"/>
      <sheetName val="15.4"/>
      <sheetName val="gra 1&amp;2"/>
      <sheetName val="15.5"/>
      <sheetName val="15.6"/>
      <sheetName val="gra 3"/>
    </sheetNames>
    <sheetDataSet>
      <sheetData sheetId="0" refreshError="1"/>
      <sheetData sheetId="1" refreshError="1"/>
      <sheetData sheetId="2" refreshError="1">
        <row r="105">
          <cell r="E105">
            <v>7730.7921699999997</v>
          </cell>
        </row>
        <row r="109">
          <cell r="E109">
            <v>78.353899999999996</v>
          </cell>
        </row>
        <row r="112">
          <cell r="E112">
            <v>13912.663259999999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 "/>
      <sheetName val="20.2"/>
      <sheetName val="20.3"/>
      <sheetName val="20.4"/>
      <sheetName val="20.5"/>
      <sheetName val="20.6"/>
      <sheetName val="20.7"/>
      <sheetName val="20.8"/>
      <sheetName val="20.9"/>
    </sheetNames>
    <sheetDataSet>
      <sheetData sheetId="0"/>
      <sheetData sheetId="1">
        <row r="16">
          <cell r="I16" t="str">
            <v>Presidential election, 2008</v>
          </cell>
          <cell r="K16">
            <v>61599484.75</v>
          </cell>
        </row>
        <row r="17">
          <cell r="I17" t="str">
            <v>Parliamentary election,2009</v>
          </cell>
          <cell r="K17">
            <v>22069176.829999998</v>
          </cell>
        </row>
        <row r="18">
          <cell r="I18" t="str">
            <v>No election in 2010</v>
          </cell>
        </row>
        <row r="19">
          <cell r="I19" t="str">
            <v>Local Council elections ,2011</v>
          </cell>
          <cell r="K19">
            <v>45434174.030000001</v>
          </cell>
        </row>
        <row r="20">
          <cell r="I20" t="str">
            <v>Presidential election, 2013</v>
          </cell>
          <cell r="K20">
            <v>76487272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107"/>
  <sheetViews>
    <sheetView tabSelected="1" topLeftCell="A7" zoomScaleNormal="100" workbookViewId="0">
      <selection activeCell="A21" sqref="A21:AA39"/>
    </sheetView>
  </sheetViews>
  <sheetFormatPr defaultColWidth="8.85546875" defaultRowHeight="12.75"/>
  <cols>
    <col min="1" max="1" width="46.140625" style="1" customWidth="1"/>
    <col min="2" max="4" width="9.7109375" style="1" hidden="1" customWidth="1"/>
    <col min="5" max="5" width="8.140625" style="1" hidden="1" customWidth="1"/>
    <col min="6" max="6" width="10.85546875" style="1" hidden="1" customWidth="1"/>
    <col min="7" max="7" width="7.7109375" style="1" hidden="1" customWidth="1"/>
    <col min="8" max="8" width="6.7109375" style="1" hidden="1" customWidth="1"/>
    <col min="9" max="9" width="7.85546875" style="1" hidden="1" customWidth="1"/>
    <col min="10" max="10" width="8.28515625" style="1" hidden="1" customWidth="1"/>
    <col min="11" max="16" width="15" style="1" hidden="1" customWidth="1"/>
    <col min="17" max="17" width="11.5703125" style="64" customWidth="1"/>
    <col min="18" max="26" width="11.5703125" style="1" customWidth="1"/>
    <col min="27" max="27" width="12.42578125" style="1" customWidth="1"/>
    <col min="28" max="28" width="12.28515625" style="1" customWidth="1"/>
    <col min="29" max="33" width="15" style="1" customWidth="1"/>
    <col min="34" max="36" width="12.28515625" style="1" customWidth="1"/>
    <col min="37" max="37" width="14.5703125" style="1" customWidth="1"/>
    <col min="38" max="38" width="10.28515625" style="1" bestFit="1" customWidth="1"/>
    <col min="39" max="39" width="40.7109375" style="1" bestFit="1" customWidth="1"/>
    <col min="40" max="16384" width="8.85546875" style="1"/>
  </cols>
  <sheetData>
    <row r="1" spans="1:42" ht="30" customHeight="1">
      <c r="A1" s="149" t="s">
        <v>21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</row>
    <row r="2" spans="1:42" ht="15" customHeight="1">
      <c r="A2" s="3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4"/>
      <c r="R2" s="14"/>
      <c r="S2" s="14"/>
      <c r="T2" s="14"/>
      <c r="U2" s="11"/>
      <c r="V2" s="11"/>
    </row>
    <row r="3" spans="1:42" ht="15" customHeight="1">
      <c r="A3" s="122"/>
      <c r="B3" s="118"/>
      <c r="C3" s="118"/>
      <c r="D3" s="118"/>
      <c r="E3" s="118"/>
      <c r="F3" s="119">
        <v>1995</v>
      </c>
      <c r="G3" s="119">
        <v>1996</v>
      </c>
      <c r="H3" s="119">
        <v>1997</v>
      </c>
      <c r="I3" s="119">
        <v>1998</v>
      </c>
      <c r="J3" s="119">
        <v>1999</v>
      </c>
      <c r="K3" s="110">
        <v>2000</v>
      </c>
      <c r="L3" s="110">
        <v>2001</v>
      </c>
      <c r="M3" s="110">
        <v>2002</v>
      </c>
      <c r="N3" s="110">
        <v>2003</v>
      </c>
      <c r="O3" s="110">
        <v>2004</v>
      </c>
      <c r="P3" s="110">
        <v>2005</v>
      </c>
      <c r="Q3" s="110">
        <v>2006</v>
      </c>
      <c r="R3" s="110">
        <v>2007</v>
      </c>
      <c r="S3" s="110">
        <v>2008</v>
      </c>
      <c r="T3" s="110">
        <v>2009</v>
      </c>
      <c r="U3" s="110">
        <v>2010</v>
      </c>
      <c r="V3" s="110">
        <v>2011</v>
      </c>
      <c r="W3" s="110">
        <v>2012</v>
      </c>
      <c r="X3" s="110">
        <v>2013</v>
      </c>
      <c r="Y3" s="110">
        <v>2014</v>
      </c>
      <c r="Z3" s="110">
        <v>2015</v>
      </c>
      <c r="AA3" s="110">
        <v>2016</v>
      </c>
    </row>
    <row r="4" spans="1:42" ht="15" customHeight="1">
      <c r="A4" s="123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:42" s="53" customFormat="1" ht="15" customHeight="1">
      <c r="A5" s="121" t="s">
        <v>65</v>
      </c>
      <c r="B5" s="117"/>
      <c r="C5" s="117"/>
      <c r="D5" s="117"/>
      <c r="E5" s="117"/>
      <c r="F5" s="115">
        <v>586199</v>
      </c>
      <c r="G5" s="115">
        <v>699190</v>
      </c>
      <c r="H5" s="115">
        <v>826422</v>
      </c>
      <c r="I5" s="115">
        <v>878346</v>
      </c>
      <c r="J5" s="115">
        <v>752706</v>
      </c>
      <c r="K5" s="116">
        <v>896824</v>
      </c>
      <c r="L5" s="116">
        <v>937324.92876000004</v>
      </c>
      <c r="M5" s="116">
        <v>1161683</v>
      </c>
      <c r="N5" s="116">
        <v>1445921.95</v>
      </c>
      <c r="O5" s="116">
        <v>1572277.1540399999</v>
      </c>
      <c r="P5" s="116">
        <v>1334059.5760799998</v>
      </c>
      <c r="Q5" s="116">
        <v>1735722.3399999999</v>
      </c>
      <c r="R5" s="116">
        <v>1384588.6</v>
      </c>
      <c r="S5" s="116">
        <v>1617451.6</v>
      </c>
      <c r="T5" s="116">
        <v>981317.94</v>
      </c>
      <c r="U5" s="116">
        <v>949797.71057000011</v>
      </c>
      <c r="V5" s="116">
        <v>1770329.6</v>
      </c>
      <c r="W5" s="116">
        <v>2483060.3319799998</v>
      </c>
      <c r="X5" s="116">
        <v>2558635</v>
      </c>
      <c r="Y5" s="116">
        <v>2227693.0179500002</v>
      </c>
      <c r="Z5" s="116">
        <v>2215411.7713000001</v>
      </c>
      <c r="AA5" s="116">
        <v>2145317.25288</v>
      </c>
      <c r="AB5" s="135"/>
    </row>
    <row r="6" spans="1:42" s="53" customFormat="1" ht="15" customHeight="1">
      <c r="A6" s="124" t="s">
        <v>4</v>
      </c>
      <c r="B6" s="25"/>
      <c r="C6" s="25"/>
      <c r="D6" s="25"/>
      <c r="E6" s="25"/>
      <c r="F6" s="27">
        <v>49804.502973661853</v>
      </c>
      <c r="G6" s="27">
        <v>59404.418011894646</v>
      </c>
      <c r="H6" s="27">
        <v>70214.273576890395</v>
      </c>
      <c r="I6" s="27">
        <v>74625.828377230253</v>
      </c>
      <c r="J6" s="27">
        <v>63951.231945624473</v>
      </c>
      <c r="K6" s="45">
        <v>76195.75191163976</v>
      </c>
      <c r="L6" s="45">
        <v>76578.834049019613</v>
      </c>
      <c r="M6" s="45">
        <v>90756.484375</v>
      </c>
      <c r="N6" s="45">
        <v>112962.65234374999</v>
      </c>
      <c r="O6" s="45">
        <v>122834.15265937499</v>
      </c>
      <c r="P6" s="45">
        <f t="shared" ref="P6" si="0">P5/P18</f>
        <v>104223.40438124997</v>
      </c>
      <c r="Q6" s="45">
        <v>135603.30781249999</v>
      </c>
      <c r="R6" s="45">
        <v>108170.984375</v>
      </c>
      <c r="S6" s="45">
        <v>126363.40625</v>
      </c>
      <c r="T6" s="45">
        <v>76665.464062499988</v>
      </c>
      <c r="U6" s="45">
        <v>74202.946138281259</v>
      </c>
      <c r="V6" s="45">
        <v>114881.86891628813</v>
      </c>
      <c r="W6" s="45">
        <v>161552.39635523746</v>
      </c>
      <c r="X6" s="45">
        <v>166037.31343283583</v>
      </c>
      <c r="Y6" s="45">
        <v>144655.39077597403</v>
      </c>
      <c r="Z6" s="45">
        <v>143857.90722727272</v>
      </c>
      <c r="AA6" s="45">
        <v>139760.0816208469</v>
      </c>
    </row>
    <row r="7" spans="1:42" s="53" customFormat="1" ht="14.25" customHeight="1">
      <c r="A7" s="125" t="s">
        <v>5</v>
      </c>
      <c r="B7" s="117"/>
      <c r="C7" s="117"/>
      <c r="D7" s="117"/>
      <c r="E7" s="117"/>
      <c r="F7" s="115">
        <v>436877</v>
      </c>
      <c r="G7" s="115">
        <v>575822</v>
      </c>
      <c r="H7" s="115">
        <v>653740</v>
      </c>
      <c r="I7" s="115">
        <v>667434</v>
      </c>
      <c r="J7" s="115">
        <v>458427</v>
      </c>
      <c r="K7" s="116">
        <v>481665</v>
      </c>
      <c r="L7" s="116">
        <v>538336.9987600001</v>
      </c>
      <c r="M7" s="116">
        <v>716706</v>
      </c>
      <c r="N7" s="116">
        <v>978777.57</v>
      </c>
      <c r="O7" s="116">
        <v>1155346.8976199999</v>
      </c>
      <c r="P7" s="116">
        <v>1312337.76675</v>
      </c>
      <c r="Q7" s="116">
        <v>1709989.44</v>
      </c>
      <c r="R7" s="116">
        <v>1357222.19</v>
      </c>
      <c r="S7" s="116">
        <v>1591939.2</v>
      </c>
      <c r="T7" s="116">
        <v>958408</v>
      </c>
      <c r="U7" s="116">
        <v>913242.30200000003</v>
      </c>
      <c r="V7" s="116">
        <v>1717120.87</v>
      </c>
      <c r="W7" s="116">
        <v>2438537</v>
      </c>
      <c r="X7" s="116">
        <v>2517185</v>
      </c>
      <c r="Y7" s="116">
        <v>2177115.4294599998</v>
      </c>
      <c r="Z7" s="116">
        <v>2158075</v>
      </c>
      <c r="AA7" s="116">
        <v>2114278.1638700003</v>
      </c>
    </row>
    <row r="8" spans="1:42" s="53" customFormat="1" ht="13.5" customHeight="1">
      <c r="A8" s="126" t="s">
        <v>6</v>
      </c>
      <c r="B8" s="25"/>
      <c r="C8" s="25"/>
      <c r="D8" s="25"/>
      <c r="E8" s="25"/>
      <c r="F8" s="27">
        <v>149322</v>
      </c>
      <c r="G8" s="27">
        <v>123368</v>
      </c>
      <c r="H8" s="27">
        <v>172682</v>
      </c>
      <c r="I8" s="27">
        <v>210912</v>
      </c>
      <c r="J8" s="27">
        <v>294279</v>
      </c>
      <c r="K8" s="45">
        <v>415159</v>
      </c>
      <c r="L8" s="45">
        <v>398987.93</v>
      </c>
      <c r="M8" s="45">
        <v>444977</v>
      </c>
      <c r="N8" s="45">
        <v>467144.38</v>
      </c>
      <c r="O8" s="45">
        <v>416930.25642000005</v>
      </c>
      <c r="P8" s="45">
        <f>'[1]15.3'!$E$112+'[1]15.3'!$E$109+'[1]15.3'!$E$105</f>
        <v>21721.80933</v>
      </c>
      <c r="Q8" s="45">
        <v>25732.9</v>
      </c>
      <c r="R8" s="45">
        <v>27366.41</v>
      </c>
      <c r="S8" s="45">
        <v>25512.400000000001</v>
      </c>
      <c r="T8" s="45">
        <v>22909.939999999944</v>
      </c>
      <c r="U8" s="45">
        <v>36555.408570000087</v>
      </c>
      <c r="V8" s="45">
        <v>53208.729999999981</v>
      </c>
      <c r="W8" s="45">
        <v>44523.331979999784</v>
      </c>
      <c r="X8" s="45">
        <v>41450</v>
      </c>
      <c r="Y8" s="45">
        <v>50436.296260000003</v>
      </c>
      <c r="Z8" s="45">
        <v>57337</v>
      </c>
      <c r="AA8" s="45">
        <v>31039.089010000003</v>
      </c>
    </row>
    <row r="9" spans="1:42" ht="15" customHeight="1">
      <c r="A9" s="122" t="s">
        <v>7</v>
      </c>
      <c r="B9" s="111"/>
      <c r="C9" s="111"/>
      <c r="D9" s="111"/>
      <c r="E9" s="111"/>
      <c r="F9" s="112"/>
      <c r="G9" s="112"/>
      <c r="H9" s="112"/>
      <c r="I9" s="112"/>
      <c r="J9" s="112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E9" s="53"/>
    </row>
    <row r="10" spans="1:42" ht="15" customHeight="1">
      <c r="A10" s="127" t="s">
        <v>8</v>
      </c>
      <c r="B10" s="15" t="e">
        <f t="shared" ref="B10:P10" si="1">(B7/B5)*100</f>
        <v>#DIV/0!</v>
      </c>
      <c r="C10" s="15" t="e">
        <f t="shared" si="1"/>
        <v>#DIV/0!</v>
      </c>
      <c r="D10" s="15" t="e">
        <f t="shared" si="1"/>
        <v>#DIV/0!</v>
      </c>
      <c r="E10" s="15" t="e">
        <f t="shared" si="1"/>
        <v>#DIV/0!</v>
      </c>
      <c r="F10" s="16">
        <f t="shared" si="1"/>
        <v>74.52708039420061</v>
      </c>
      <c r="G10" s="16">
        <f t="shared" si="1"/>
        <v>82.355582888771295</v>
      </c>
      <c r="H10" s="16">
        <f t="shared" si="1"/>
        <v>79.104864100907278</v>
      </c>
      <c r="I10" s="16">
        <f t="shared" si="1"/>
        <v>75.987594865804581</v>
      </c>
      <c r="J10" s="16">
        <f t="shared" si="1"/>
        <v>60.903858877171167</v>
      </c>
      <c r="K10" s="46">
        <f t="shared" si="1"/>
        <v>53.707862412245873</v>
      </c>
      <c r="L10" s="46">
        <f t="shared" si="1"/>
        <v>57.43333845523275</v>
      </c>
      <c r="M10" s="46">
        <f t="shared" si="1"/>
        <v>61.695488356117799</v>
      </c>
      <c r="N10" s="46">
        <f t="shared" si="1"/>
        <v>67.692282422298106</v>
      </c>
      <c r="O10" s="46">
        <f t="shared" si="1"/>
        <v>73.482394287248354</v>
      </c>
      <c r="P10" s="46">
        <f t="shared" si="1"/>
        <v>98.371751178172474</v>
      </c>
      <c r="Q10" s="46">
        <v>98.51745297004129</v>
      </c>
      <c r="R10" s="46">
        <v>98.023498821238292</v>
      </c>
      <c r="S10" s="46">
        <v>98.422679231947328</v>
      </c>
      <c r="T10" s="46">
        <v>97.665390688771069</v>
      </c>
      <c r="U10" s="46">
        <v>96.151242715876606</v>
      </c>
      <c r="V10" s="46">
        <v>96.994416745898619</v>
      </c>
      <c r="W10" s="46">
        <v>98.20691702869351</v>
      </c>
      <c r="X10" s="46">
        <v>98.379995583582655</v>
      </c>
      <c r="Y10" s="46">
        <v>97.729597925635929</v>
      </c>
      <c r="Z10" s="46">
        <v>97.423422407090271</v>
      </c>
      <c r="AA10" s="46">
        <v>98.553170214413228</v>
      </c>
      <c r="AE10" s="53"/>
    </row>
    <row r="11" spans="1:42" ht="15" customHeight="1">
      <c r="A11" s="128" t="s">
        <v>9</v>
      </c>
      <c r="B11" s="111"/>
      <c r="C11" s="111"/>
      <c r="D11" s="111"/>
      <c r="E11" s="111"/>
      <c r="F11" s="112">
        <v>25.472919605799394</v>
      </c>
      <c r="G11" s="112">
        <v>17.644417111228709</v>
      </c>
      <c r="H11" s="112">
        <v>20.895135899092715</v>
      </c>
      <c r="I11" s="112">
        <v>24.012405134195408</v>
      </c>
      <c r="J11" s="112">
        <v>39.096141122828833</v>
      </c>
      <c r="K11" s="113">
        <v>46.292137587754119</v>
      </c>
      <c r="L11" s="113">
        <v>42.566661544767257</v>
      </c>
      <c r="M11" s="113">
        <v>38.304511643882194</v>
      </c>
      <c r="N11" s="113">
        <v>32.307717577701894</v>
      </c>
      <c r="O11" s="113">
        <v>26.517605712751646</v>
      </c>
      <c r="P11" s="113">
        <v>1.6282488218275344</v>
      </c>
      <c r="Q11" s="113">
        <v>1.4825470299587205</v>
      </c>
      <c r="R11" s="113">
        <v>1.9765011787616911</v>
      </c>
      <c r="S11" s="113">
        <v>1.5773207680526578</v>
      </c>
      <c r="T11" s="113">
        <v>2.3346093112289323</v>
      </c>
      <c r="U11" s="113">
        <v>3.8487572841233915</v>
      </c>
      <c r="V11" s="113">
        <v>3.0055832541013818</v>
      </c>
      <c r="W11" s="113">
        <v>1.7930829713064904</v>
      </c>
      <c r="X11" s="113">
        <v>1.6200044164173473</v>
      </c>
      <c r="Y11" s="113">
        <v>2.264059538437357</v>
      </c>
      <c r="Z11" s="113">
        <v>2.5765775929097137</v>
      </c>
      <c r="AA11" s="113">
        <v>1.4468297855867847</v>
      </c>
      <c r="AE11" s="53"/>
      <c r="AN11" s="1">
        <v>2005</v>
      </c>
      <c r="AO11" s="1">
        <v>2006</v>
      </c>
      <c r="AP11" s="1">
        <v>2007</v>
      </c>
    </row>
    <row r="12" spans="1:42" ht="15" customHeight="1">
      <c r="A12" s="5" t="s">
        <v>10</v>
      </c>
      <c r="B12" s="11"/>
      <c r="C12" s="11"/>
      <c r="D12" s="11"/>
      <c r="E12" s="11"/>
      <c r="F12" s="16">
        <v>5.6945706578966346</v>
      </c>
      <c r="G12" s="16">
        <v>19.275194942331868</v>
      </c>
      <c r="H12" s="16">
        <v>18.197056594058839</v>
      </c>
      <c r="I12" s="16">
        <v>6.2829885942048973</v>
      </c>
      <c r="J12" s="16">
        <v>-14.304158042502612</v>
      </c>
      <c r="K12" s="46">
        <v>19.146652212151889</v>
      </c>
      <c r="L12" s="46">
        <v>4.516039798221283</v>
      </c>
      <c r="M12" s="46">
        <v>23.935997470675012</v>
      </c>
      <c r="N12" s="46">
        <v>24.467858271146255</v>
      </c>
      <c r="O12" s="46">
        <v>8.7387292267054946</v>
      </c>
      <c r="P12" s="46">
        <v>-15.151118703715497</v>
      </c>
      <c r="Q12" s="46">
        <f t="shared" ref="Q12:AA12" si="2">(Q5-P5)/P5*100</f>
        <v>30.108307838863226</v>
      </c>
      <c r="R12" s="46">
        <f t="shared" si="2"/>
        <v>-20.22983353431977</v>
      </c>
      <c r="S12" s="46">
        <f t="shared" si="2"/>
        <v>16.818208672236647</v>
      </c>
      <c r="T12" s="46">
        <f t="shared" si="2"/>
        <v>-39.329378387582054</v>
      </c>
      <c r="U12" s="46">
        <f t="shared" si="2"/>
        <v>-3.2120302855158065</v>
      </c>
      <c r="V12" s="46">
        <f t="shared" si="2"/>
        <v>86.390173433622607</v>
      </c>
      <c r="W12" s="46">
        <f t="shared" si="2"/>
        <v>40.25977603153671</v>
      </c>
      <c r="X12" s="46">
        <f t="shared" si="2"/>
        <v>3.0436098167512808</v>
      </c>
      <c r="Y12" s="46">
        <f t="shared" si="2"/>
        <v>-12.934317792494818</v>
      </c>
      <c r="Z12" s="46">
        <f t="shared" si="2"/>
        <v>-0.55129887965002145</v>
      </c>
      <c r="AA12" s="46">
        <f t="shared" si="2"/>
        <v>-3.1639498953672498</v>
      </c>
      <c r="AE12" s="53"/>
      <c r="AM12" s="12" t="s">
        <v>23</v>
      </c>
      <c r="AN12" s="13">
        <v>-273.00939521318088</v>
      </c>
      <c r="AO12" s="13">
        <v>-301.9751130299465</v>
      </c>
      <c r="AP12" s="13">
        <v>-424.47671782128657</v>
      </c>
    </row>
    <row r="13" spans="1:42" ht="15" customHeight="1">
      <c r="A13" s="129" t="s">
        <v>11</v>
      </c>
      <c r="B13" s="111"/>
      <c r="C13" s="111"/>
      <c r="D13" s="111"/>
      <c r="E13" s="111"/>
      <c r="F13" s="112"/>
      <c r="G13" s="112"/>
      <c r="H13" s="112"/>
      <c r="I13" s="112"/>
      <c r="J13" s="112"/>
      <c r="K13" s="113"/>
      <c r="L13" s="113"/>
      <c r="M13" s="113"/>
      <c r="N13" s="113"/>
      <c r="O13" s="113"/>
      <c r="P13" s="113"/>
      <c r="Q13" s="137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E13" s="53"/>
      <c r="AM13" s="12" t="s">
        <v>24</v>
      </c>
      <c r="AN13" s="13">
        <v>-493.84363093042111</v>
      </c>
      <c r="AO13" s="13">
        <v>-590.0955672997593</v>
      </c>
      <c r="AP13" s="13">
        <v>-736.76027315844181</v>
      </c>
    </row>
    <row r="14" spans="1:42" s="53" customFormat="1" ht="15" customHeight="1">
      <c r="A14" s="124" t="s">
        <v>66</v>
      </c>
      <c r="B14" s="25"/>
      <c r="C14" s="25"/>
      <c r="D14" s="25"/>
      <c r="E14" s="25"/>
      <c r="F14" s="27">
        <v>3153336</v>
      </c>
      <c r="G14" s="27">
        <v>3550566</v>
      </c>
      <c r="H14" s="27">
        <v>4105947</v>
      </c>
      <c r="I14" s="27">
        <v>4166248</v>
      </c>
      <c r="J14" s="27">
        <v>4733418</v>
      </c>
      <c r="K14" s="45">
        <v>4573655</v>
      </c>
      <c r="L14" s="45">
        <v>4741042</v>
      </c>
      <c r="M14" s="45">
        <v>5014044.5</v>
      </c>
      <c r="N14" s="45">
        <v>6026026</v>
      </c>
      <c r="O14" s="45">
        <v>8215256.4260100015</v>
      </c>
      <c r="P14" s="45">
        <v>9534266.6950000003</v>
      </c>
      <c r="Q14" s="45">
        <v>11859521.142799901</v>
      </c>
      <c r="R14" s="45">
        <v>14032513</v>
      </c>
      <c r="S14" s="45">
        <v>17760114</v>
      </c>
      <c r="T14" s="45">
        <v>12368528</v>
      </c>
      <c r="U14" s="45">
        <v>14017488.443949997</v>
      </c>
      <c r="V14" s="45">
        <v>20486217</v>
      </c>
      <c r="W14" s="45">
        <v>23884653.941069901</v>
      </c>
      <c r="X14" s="45">
        <v>26634885</v>
      </c>
      <c r="Y14" s="45">
        <v>30649233.308269795</v>
      </c>
      <c r="Z14" s="45">
        <v>29147779.394449871</v>
      </c>
      <c r="AA14" s="45">
        <v>32705613.741919942</v>
      </c>
      <c r="AM14" s="54" t="s">
        <v>25</v>
      </c>
      <c r="AN14" s="54">
        <v>161.63720442095391</v>
      </c>
      <c r="AO14" s="54">
        <v>225.24651126774071</v>
      </c>
      <c r="AP14" s="54">
        <v>227.97502945505835</v>
      </c>
    </row>
    <row r="15" spans="1:42" s="53" customFormat="1" ht="15" customHeight="1">
      <c r="A15" s="121" t="s">
        <v>12</v>
      </c>
      <c r="B15" s="114" t="e">
        <f t="shared" ref="B15:O15" si="3">SUM(B14)/B18</f>
        <v>#DIV/0!</v>
      </c>
      <c r="C15" s="114" t="e">
        <f t="shared" si="3"/>
        <v>#DIV/0!</v>
      </c>
      <c r="D15" s="114" t="e">
        <f t="shared" si="3"/>
        <v>#DIV/0!</v>
      </c>
      <c r="E15" s="114" t="e">
        <f t="shared" si="3"/>
        <v>#DIV/0!</v>
      </c>
      <c r="F15" s="115">
        <f t="shared" si="3"/>
        <v>267912.99915038235</v>
      </c>
      <c r="G15" s="115">
        <f t="shared" si="3"/>
        <v>301662.3619371283</v>
      </c>
      <c r="H15" s="115">
        <f t="shared" si="3"/>
        <v>348848.51316907391</v>
      </c>
      <c r="I15" s="115">
        <f t="shared" si="3"/>
        <v>353971.79269328801</v>
      </c>
      <c r="J15" s="115">
        <f t="shared" si="3"/>
        <v>402159.55819881056</v>
      </c>
      <c r="K15" s="116">
        <f t="shared" si="3"/>
        <v>388585.81138487684</v>
      </c>
      <c r="L15" s="116">
        <f t="shared" si="3"/>
        <v>387340.03267973854</v>
      </c>
      <c r="M15" s="116">
        <f t="shared" si="3"/>
        <v>391722.2265625</v>
      </c>
      <c r="N15" s="116">
        <f t="shared" si="3"/>
        <v>470783.28125</v>
      </c>
      <c r="O15" s="116">
        <f t="shared" si="3"/>
        <v>641816.90828203131</v>
      </c>
      <c r="P15" s="116">
        <f t="shared" ref="P15" si="4">SUM(P14)/P18</f>
        <v>744864.58554687502</v>
      </c>
      <c r="Q15" s="116">
        <v>926525.08928124222</v>
      </c>
      <c r="R15" s="116">
        <v>1096290.078125</v>
      </c>
      <c r="S15" s="116">
        <v>1387508.90625</v>
      </c>
      <c r="T15" s="116">
        <v>966291.25</v>
      </c>
      <c r="U15" s="116">
        <v>1095116.2846835935</v>
      </c>
      <c r="V15" s="116">
        <v>1329410.5775470473</v>
      </c>
      <c r="W15" s="116">
        <v>1553978.7860162591</v>
      </c>
      <c r="X15" s="116">
        <v>1728415.6391953276</v>
      </c>
      <c r="Y15" s="116">
        <v>1990209.9550824543</v>
      </c>
      <c r="Z15" s="116">
        <v>1892712.94769155</v>
      </c>
      <c r="AA15" s="116">
        <v>2130658.8756951103</v>
      </c>
      <c r="AM15" s="54" t="s">
        <v>26</v>
      </c>
      <c r="AN15" s="54">
        <v>103.48872110038911</v>
      </c>
      <c r="AO15" s="54">
        <v>135.07566865836571</v>
      </c>
      <c r="AP15" s="54">
        <v>107.75008570505837</v>
      </c>
    </row>
    <row r="16" spans="1:42" ht="15" customHeight="1">
      <c r="A16" s="6" t="s">
        <v>13</v>
      </c>
      <c r="B16" s="11"/>
      <c r="C16" s="11"/>
      <c r="D16" s="11"/>
      <c r="E16" s="11"/>
      <c r="F16" s="16">
        <v>22.664917720566184</v>
      </c>
      <c r="G16" s="16">
        <v>12.597135224409959</v>
      </c>
      <c r="H16" s="16">
        <v>15.642041297077705</v>
      </c>
      <c r="I16" s="16">
        <v>1.4686258736413305</v>
      </c>
      <c r="J16" s="16">
        <v>13.613447879242907</v>
      </c>
      <c r="K16" s="46">
        <v>-3.3752142743362197</v>
      </c>
      <c r="L16" s="46">
        <v>3.6598081840453642</v>
      </c>
      <c r="M16" s="46">
        <v>5.7582805636398078</v>
      </c>
      <c r="N16" s="46">
        <v>20.182938145044385</v>
      </c>
      <c r="O16" s="46">
        <v>36.329588123416684</v>
      </c>
      <c r="P16" s="46">
        <f>SUM(P15-O15)/O15*100</f>
        <v>16.055618967825922</v>
      </c>
      <c r="Q16" s="46">
        <f t="shared" ref="Q16:AA16" si="5">(Q14-P14)/P14*100</f>
        <v>24.388393173638832</v>
      </c>
      <c r="R16" s="46">
        <f t="shared" si="5"/>
        <v>18.322762201232351</v>
      </c>
      <c r="S16" s="46">
        <f t="shared" si="5"/>
        <v>26.564030263146737</v>
      </c>
      <c r="T16" s="46">
        <f t="shared" si="5"/>
        <v>-30.357834414801616</v>
      </c>
      <c r="U16" s="46">
        <f t="shared" si="5"/>
        <v>13.331905332227064</v>
      </c>
      <c r="V16" s="46">
        <f t="shared" si="5"/>
        <v>46.147557616442555</v>
      </c>
      <c r="W16" s="46">
        <f t="shared" si="5"/>
        <v>16.588894577607476</v>
      </c>
      <c r="X16" s="46">
        <f t="shared" si="5"/>
        <v>11.514636409284746</v>
      </c>
      <c r="Y16" s="46">
        <f t="shared" si="5"/>
        <v>15.071768878558309</v>
      </c>
      <c r="Z16" s="46">
        <f t="shared" si="5"/>
        <v>-4.8988302536585833</v>
      </c>
      <c r="AA16" s="46">
        <f t="shared" si="5"/>
        <v>12.206193478147192</v>
      </c>
      <c r="AE16" s="53"/>
      <c r="AM16" s="34" t="s">
        <v>27</v>
      </c>
      <c r="AN16" s="35">
        <v>58.1484833205648</v>
      </c>
      <c r="AO16" s="55">
        <v>90.170842609375001</v>
      </c>
      <c r="AP16" s="55">
        <v>120.22494374999999</v>
      </c>
    </row>
    <row r="17" spans="1:42" ht="15" customHeight="1">
      <c r="A17" s="130" t="s">
        <v>14</v>
      </c>
      <c r="B17" s="111"/>
      <c r="C17" s="111"/>
      <c r="D17" s="111"/>
      <c r="E17" s="111"/>
      <c r="F17" s="112"/>
      <c r="G17" s="112"/>
      <c r="H17" s="112"/>
      <c r="I17" s="112"/>
      <c r="J17" s="112"/>
      <c r="K17" s="113"/>
      <c r="L17" s="113"/>
      <c r="M17" s="113"/>
      <c r="N17" s="113"/>
      <c r="O17" s="113"/>
      <c r="P17" s="113"/>
      <c r="Q17" s="137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E17" s="53"/>
      <c r="AM17" s="34" t="s">
        <v>28</v>
      </c>
      <c r="AN17" s="35">
        <v>-655.48083535137505</v>
      </c>
      <c r="AO17" s="36">
        <v>-815.34207856750004</v>
      </c>
      <c r="AP17" s="36">
        <v>-964.73530261350015</v>
      </c>
    </row>
    <row r="18" spans="1:42" ht="15" customHeight="1">
      <c r="A18" s="5" t="s">
        <v>67</v>
      </c>
      <c r="B18" s="11"/>
      <c r="C18" s="11"/>
      <c r="D18" s="11"/>
      <c r="E18" s="11"/>
      <c r="F18" s="26">
        <v>11.77</v>
      </c>
      <c r="G18" s="26">
        <v>11.77</v>
      </c>
      <c r="H18" s="26">
        <v>11.77</v>
      </c>
      <c r="I18" s="26">
        <v>11.77</v>
      </c>
      <c r="J18" s="26">
        <v>11.77</v>
      </c>
      <c r="K18" s="47">
        <v>11.77</v>
      </c>
      <c r="L18" s="47">
        <v>12.24</v>
      </c>
      <c r="M18" s="47">
        <v>12.8</v>
      </c>
      <c r="N18" s="47">
        <v>12.8</v>
      </c>
      <c r="O18" s="47">
        <v>12.8</v>
      </c>
      <c r="P18" s="47">
        <v>12.8</v>
      </c>
      <c r="Q18" s="47">
        <v>12.8</v>
      </c>
      <c r="R18" s="47">
        <v>12.8</v>
      </c>
      <c r="S18" s="47">
        <v>12.8</v>
      </c>
      <c r="T18" s="47">
        <v>12.8</v>
      </c>
      <c r="U18" s="47">
        <v>12.8</v>
      </c>
      <c r="V18" s="47">
        <v>15.41</v>
      </c>
      <c r="W18" s="47">
        <v>15.37</v>
      </c>
      <c r="X18" s="47">
        <v>15.41</v>
      </c>
      <c r="Y18" s="47">
        <v>15.4</v>
      </c>
      <c r="Z18" s="47">
        <v>15.41</v>
      </c>
      <c r="AA18" s="47">
        <v>15.35</v>
      </c>
      <c r="AE18" s="53"/>
      <c r="AM18" s="34" t="s">
        <v>29</v>
      </c>
      <c r="AN18" s="35">
        <v>-655.48083535137505</v>
      </c>
      <c r="AO18" s="36">
        <v>-815.34207856750004</v>
      </c>
      <c r="AP18" s="36">
        <v>-964.73530261350015</v>
      </c>
    </row>
    <row r="19" spans="1:42" ht="15" customHeight="1">
      <c r="A19" s="131"/>
      <c r="B19" s="107"/>
      <c r="C19" s="107"/>
      <c r="D19" s="107"/>
      <c r="E19" s="107"/>
      <c r="F19" s="107"/>
      <c r="G19" s="107"/>
      <c r="H19" s="107"/>
      <c r="I19" s="107"/>
      <c r="J19" s="107"/>
      <c r="K19" s="108"/>
      <c r="L19" s="108"/>
      <c r="M19" s="108"/>
      <c r="N19" s="108"/>
      <c r="O19" s="108"/>
      <c r="P19" s="108"/>
      <c r="Q19" s="109"/>
      <c r="R19" s="110"/>
      <c r="S19" s="110"/>
      <c r="T19" s="110"/>
      <c r="U19" s="109"/>
      <c r="V19" s="109"/>
      <c r="W19" s="109"/>
      <c r="X19" s="109"/>
      <c r="Y19" s="109"/>
      <c r="Z19" s="109"/>
      <c r="AA19" s="109"/>
      <c r="AM19" s="12" t="s">
        <v>30</v>
      </c>
      <c r="AN19" s="13">
        <v>109.80823387670199</v>
      </c>
      <c r="AO19" s="13">
        <v>320.70550261011971</v>
      </c>
      <c r="AP19" s="13">
        <v>357.5980715866977</v>
      </c>
    </row>
    <row r="20" spans="1:42" ht="15" customHeight="1">
      <c r="A20" s="31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4"/>
      <c r="R20" s="18"/>
      <c r="S20" s="18"/>
      <c r="T20" s="18"/>
      <c r="U20" s="11"/>
      <c r="V20" s="11"/>
      <c r="W20" s="11"/>
      <c r="X20" s="11"/>
      <c r="Y20" s="11"/>
      <c r="AM20" s="12"/>
      <c r="AN20" s="13"/>
      <c r="AO20" s="13"/>
      <c r="AP20" s="13"/>
    </row>
    <row r="21" spans="1:42" s="33" customFormat="1" ht="30" customHeight="1">
      <c r="A21" s="149" t="s">
        <v>22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M21" s="34" t="s">
        <v>31</v>
      </c>
      <c r="AN21" s="35">
        <v>322.87915633336092</v>
      </c>
      <c r="AO21" s="36">
        <v>551.86851643421869</v>
      </c>
      <c r="AP21" s="36">
        <v>627.67282834958985</v>
      </c>
    </row>
    <row r="22" spans="1:42" s="33" customFormat="1" ht="15" customHeight="1">
      <c r="A22" s="30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19"/>
      <c r="P22" s="7"/>
      <c r="Q22" s="20"/>
      <c r="R22" s="21"/>
      <c r="S22" s="21"/>
      <c r="T22" s="21"/>
      <c r="U22" s="24"/>
      <c r="V22" s="24"/>
      <c r="W22" s="24"/>
      <c r="X22" s="24"/>
      <c r="Y22" s="24"/>
      <c r="AM22" s="34"/>
      <c r="AN22" s="35"/>
      <c r="AO22" s="36"/>
      <c r="AP22" s="36"/>
    </row>
    <row r="23" spans="1:42" s="58" customFormat="1" ht="12" customHeight="1">
      <c r="A23" s="150" t="s">
        <v>15</v>
      </c>
      <c r="B23" s="87"/>
      <c r="C23" s="87"/>
      <c r="D23" s="87"/>
      <c r="E23" s="88"/>
      <c r="F23" s="88"/>
      <c r="G23" s="88"/>
      <c r="H23" s="88"/>
      <c r="I23" s="88"/>
      <c r="J23" s="88"/>
      <c r="K23" s="89">
        <v>2000</v>
      </c>
      <c r="L23" s="90">
        <v>2001</v>
      </c>
      <c r="M23" s="90">
        <v>2002</v>
      </c>
      <c r="N23" s="90">
        <v>2003</v>
      </c>
      <c r="O23" s="90">
        <v>2004</v>
      </c>
      <c r="P23" s="90">
        <v>2005</v>
      </c>
      <c r="Q23" s="90"/>
      <c r="R23" s="91"/>
      <c r="S23" s="90"/>
      <c r="T23" s="91"/>
      <c r="U23" s="90"/>
      <c r="V23" s="92">
        <v>2011</v>
      </c>
      <c r="W23" s="92">
        <v>2012</v>
      </c>
      <c r="X23" s="92">
        <v>2013</v>
      </c>
      <c r="Y23" s="92">
        <v>2014</v>
      </c>
      <c r="Z23" s="92">
        <v>2015</v>
      </c>
      <c r="AA23" s="92">
        <v>2016</v>
      </c>
      <c r="AM23" s="34" t="s">
        <v>32</v>
      </c>
      <c r="AN23" s="35">
        <v>286.64144525</v>
      </c>
      <c r="AO23" s="36">
        <v>512.44825449999996</v>
      </c>
      <c r="AP23" s="36">
        <v>586.2788808250001</v>
      </c>
    </row>
    <row r="24" spans="1:42" s="58" customFormat="1" ht="15" customHeight="1">
      <c r="A24" s="150"/>
      <c r="B24" s="87"/>
      <c r="C24" s="87"/>
      <c r="D24" s="87"/>
      <c r="E24" s="88"/>
      <c r="F24" s="88"/>
      <c r="G24" s="88"/>
      <c r="H24" s="88"/>
      <c r="I24" s="88"/>
      <c r="J24" s="88"/>
      <c r="K24" s="89"/>
      <c r="L24" s="90"/>
      <c r="M24" s="90"/>
      <c r="N24" s="90"/>
      <c r="O24" s="90"/>
      <c r="P24" s="90"/>
      <c r="Q24" s="90"/>
      <c r="R24" s="91"/>
      <c r="S24" s="90"/>
      <c r="T24" s="91"/>
      <c r="U24" s="90"/>
      <c r="V24" s="92"/>
      <c r="W24" s="92"/>
      <c r="X24" s="92"/>
      <c r="Y24" s="92"/>
      <c r="Z24" s="141" t="s">
        <v>75</v>
      </c>
      <c r="AA24" s="141" t="s">
        <v>75</v>
      </c>
      <c r="AM24" s="34"/>
      <c r="AN24" s="35"/>
      <c r="AO24" s="36"/>
      <c r="AP24" s="36"/>
    </row>
    <row r="25" spans="1:42" s="33" customFormat="1" ht="15" customHeight="1">
      <c r="A25" s="5"/>
      <c r="B25" s="10">
        <v>1991</v>
      </c>
      <c r="C25" s="10">
        <v>1992</v>
      </c>
      <c r="D25" s="10">
        <v>1993</v>
      </c>
      <c r="E25" s="10">
        <v>1994</v>
      </c>
      <c r="F25" s="10">
        <v>1995</v>
      </c>
      <c r="G25" s="10">
        <v>1996</v>
      </c>
      <c r="H25" s="10">
        <v>1997</v>
      </c>
      <c r="I25" s="10">
        <v>1998</v>
      </c>
      <c r="J25" s="10">
        <v>1999</v>
      </c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85"/>
      <c r="W25" s="85"/>
      <c r="X25" s="85"/>
      <c r="Y25" s="85"/>
      <c r="Z25" s="85"/>
      <c r="AA25" s="85"/>
      <c r="AM25" s="34" t="s">
        <v>33</v>
      </c>
      <c r="AN25" s="35">
        <v>-213.07092245665893</v>
      </c>
      <c r="AO25" s="36">
        <v>-231.16301382409898</v>
      </c>
      <c r="AP25" s="36">
        <v>-270.07475676289215</v>
      </c>
    </row>
    <row r="26" spans="1:42" s="33" customFormat="1" ht="15" customHeight="1">
      <c r="A26" s="122" t="s">
        <v>1</v>
      </c>
      <c r="B26" s="93">
        <v>-65.599999999999994</v>
      </c>
      <c r="C26" s="93">
        <v>-102.8</v>
      </c>
      <c r="D26" s="93">
        <v>-125.04</v>
      </c>
      <c r="E26" s="93">
        <v>-119.6</v>
      </c>
      <c r="F26" s="93">
        <v>-150.80000000000001</v>
      </c>
      <c r="G26" s="93">
        <v>-185.6</v>
      </c>
      <c r="H26" s="93">
        <v>-217.3</v>
      </c>
      <c r="I26" s="93">
        <v>-215.9</v>
      </c>
      <c r="J26" s="93">
        <v>-262.39999999999998</v>
      </c>
      <c r="K26" s="86">
        <v>-233.3</v>
      </c>
      <c r="L26" s="86">
        <v>-236</v>
      </c>
      <c r="M26" s="86">
        <v>-212.4</v>
      </c>
      <c r="N26" s="86">
        <v>-262.29464925476486</v>
      </c>
      <c r="O26" s="86">
        <v>-383.82636026427031</v>
      </c>
      <c r="P26" s="94">
        <v>-493.84363093042111</v>
      </c>
      <c r="Q26" s="95"/>
      <c r="R26" s="86"/>
      <c r="S26" s="86"/>
      <c r="T26" s="86"/>
      <c r="U26" s="96"/>
      <c r="V26" s="96">
        <v>-1370.4497932458348</v>
      </c>
      <c r="W26" s="96">
        <v>-1261.3818460941536</v>
      </c>
      <c r="X26" s="96">
        <v>-1372.0279990268523</v>
      </c>
      <c r="Y26" s="96">
        <v>-1659.9839496319867</v>
      </c>
      <c r="Z26" s="96">
        <v>-1654.7584348513501</v>
      </c>
      <c r="AA26" s="96">
        <v>-1839.4548719095881</v>
      </c>
      <c r="AM26" s="12" t="s">
        <v>34</v>
      </c>
      <c r="AN26" s="13">
        <v>-30.953107674846773</v>
      </c>
      <c r="AO26" s="13">
        <v>-40.755393430306924</v>
      </c>
      <c r="AP26" s="13">
        <v>-41.326611709542441</v>
      </c>
    </row>
    <row r="27" spans="1:42" s="33" customFormat="1" ht="15" customHeight="1">
      <c r="A27" s="5" t="s">
        <v>16</v>
      </c>
      <c r="B27" s="8">
        <v>-8.9840149265688041</v>
      </c>
      <c r="C27" s="8">
        <v>-19.638629245299118</v>
      </c>
      <c r="D27" s="8">
        <v>-53.805798059999958</v>
      </c>
      <c r="E27" s="9">
        <v>-11.1</v>
      </c>
      <c r="F27" s="9">
        <v>-18.2</v>
      </c>
      <c r="G27" s="9">
        <v>-7.4</v>
      </c>
      <c r="H27" s="9">
        <v>-34.700000000000003</v>
      </c>
      <c r="I27" s="9">
        <v>-21.9</v>
      </c>
      <c r="J27" s="9">
        <v>-78.900000000000006</v>
      </c>
      <c r="K27" s="38">
        <v>-51.5</v>
      </c>
      <c r="L27" s="38">
        <v>-58.7</v>
      </c>
      <c r="M27" s="38">
        <v>-35.700000000000003</v>
      </c>
      <c r="N27" s="39">
        <v>-31.3</v>
      </c>
      <c r="O27" s="40">
        <v>-122.3</v>
      </c>
      <c r="P27" s="40">
        <v>-273.00939521318088</v>
      </c>
      <c r="Q27" s="41"/>
      <c r="R27" s="41"/>
      <c r="S27" s="41"/>
      <c r="T27" s="41"/>
      <c r="U27" s="42"/>
      <c r="V27" s="42">
        <v>-383.43893319959636</v>
      </c>
      <c r="W27" s="42">
        <v>-184.49200425916638</v>
      </c>
      <c r="X27" s="42">
        <v>-127.39386882882224</v>
      </c>
      <c r="Y27" s="42">
        <v>-117.82183397517781</v>
      </c>
      <c r="Z27" s="42">
        <v>-295.50448262967097</v>
      </c>
      <c r="AA27" s="42">
        <v>-839.96709314739417</v>
      </c>
      <c r="AM27" s="34" t="s">
        <v>35</v>
      </c>
      <c r="AN27" s="35">
        <v>10.865289683499999</v>
      </c>
      <c r="AO27" s="36">
        <v>15.568107853745314</v>
      </c>
      <c r="AP27" s="36">
        <v>21.7348782816875</v>
      </c>
    </row>
    <row r="28" spans="1:42" s="33" customFormat="1" ht="15" customHeight="1">
      <c r="A28" s="122" t="s">
        <v>0</v>
      </c>
      <c r="B28" s="97">
        <v>11.35</v>
      </c>
      <c r="C28" s="93">
        <v>1.1000000000000001</v>
      </c>
      <c r="D28" s="93">
        <v>-15.9</v>
      </c>
      <c r="E28" s="93">
        <v>8.1</v>
      </c>
      <c r="F28" s="93">
        <v>156.1</v>
      </c>
      <c r="G28" s="93">
        <v>201.1</v>
      </c>
      <c r="H28" s="93">
        <v>218</v>
      </c>
      <c r="I28" s="93">
        <v>232.4</v>
      </c>
      <c r="J28" s="93">
        <v>234.6</v>
      </c>
      <c r="K28" s="86">
        <v>238.8</v>
      </c>
      <c r="L28" s="86">
        <v>244.2</v>
      </c>
      <c r="M28" s="86">
        <v>251.7</v>
      </c>
      <c r="N28" s="86">
        <v>311.7</v>
      </c>
      <c r="O28" s="94">
        <v>350.2</v>
      </c>
      <c r="P28" s="94">
        <v>109.80823387670199</v>
      </c>
      <c r="Q28" s="98"/>
      <c r="R28" s="98"/>
      <c r="S28" s="98"/>
      <c r="T28" s="98"/>
      <c r="U28" s="98"/>
      <c r="V28" s="140">
        <v>1517.3770387971886</v>
      </c>
      <c r="W28" s="140">
        <v>1600.8817311996886</v>
      </c>
      <c r="X28" s="140">
        <v>1880.361607822555</v>
      </c>
      <c r="Y28" s="140">
        <v>2205.0323957415444</v>
      </c>
      <c r="Z28" s="140">
        <v>2030.6397094299637</v>
      </c>
      <c r="AA28" s="140">
        <v>2009.2801707555423</v>
      </c>
      <c r="AB28" s="3"/>
      <c r="AM28" s="34" t="s">
        <v>36</v>
      </c>
      <c r="AN28" s="35">
        <v>-41.818397358346772</v>
      </c>
      <c r="AO28" s="36">
        <v>-56.323501284052242</v>
      </c>
      <c r="AP28" s="36">
        <v>-63.061489991229941</v>
      </c>
    </row>
    <row r="29" spans="1:42" s="33" customFormat="1" ht="15" customHeight="1">
      <c r="A29" s="127" t="s">
        <v>73</v>
      </c>
      <c r="B29" s="8">
        <v>51.099457073431175</v>
      </c>
      <c r="C29" s="8">
        <v>87.761370754700891</v>
      </c>
      <c r="D29" s="8">
        <v>84.437284000000034</v>
      </c>
      <c r="E29" s="9">
        <v>114.4</v>
      </c>
      <c r="F29" s="22">
        <v>232.81752711441973</v>
      </c>
      <c r="G29" s="22">
        <v>289.02787208872553</v>
      </c>
      <c r="H29" s="22">
        <v>312.17646523361083</v>
      </c>
      <c r="I29" s="22">
        <v>331.30365828591334</v>
      </c>
      <c r="J29" s="22">
        <v>342.77970923936323</v>
      </c>
      <c r="K29" s="43">
        <v>348.481532817774</v>
      </c>
      <c r="L29" s="43">
        <v>354.05436622825863</v>
      </c>
      <c r="M29" s="43">
        <v>362.88941530785848</v>
      </c>
      <c r="N29" s="43">
        <v>431.92473124292286</v>
      </c>
      <c r="O29" s="43">
        <v>507.65785494462312</v>
      </c>
      <c r="P29" s="43">
        <v>322.87915633336092</v>
      </c>
      <c r="Q29" s="44"/>
      <c r="R29" s="44"/>
      <c r="S29" s="44"/>
      <c r="T29" s="44"/>
      <c r="U29" s="42"/>
      <c r="V29" s="44">
        <v>2098.3922653935401</v>
      </c>
      <c r="W29" s="44">
        <v>2171.5273990140358</v>
      </c>
      <c r="X29" s="44">
        <v>2576.9287597133844</v>
      </c>
      <c r="Y29" s="44">
        <v>2998.3306461837237</v>
      </c>
      <c r="Z29" s="44">
        <v>2905.3331884499862</v>
      </c>
      <c r="AA29" s="44">
        <v>3110.0260690084219</v>
      </c>
      <c r="AM29" s="12" t="s">
        <v>37</v>
      </c>
      <c r="AN29" s="13">
        <v>141.97910951538501</v>
      </c>
      <c r="AO29" s="13">
        <v>8.1703450899999979</v>
      </c>
      <c r="AP29" s="13">
        <v>-3.9879045400000166</v>
      </c>
    </row>
    <row r="30" spans="1:42" s="33" customFormat="1" ht="15.75" customHeight="1">
      <c r="A30" s="128" t="s">
        <v>74</v>
      </c>
      <c r="B30" s="97">
        <v>5.516528000000001</v>
      </c>
      <c r="C30" s="97">
        <v>-4.5999999999999996</v>
      </c>
      <c r="D30" s="97">
        <v>-13.20308206</v>
      </c>
      <c r="E30" s="93">
        <v>-5.9</v>
      </c>
      <c r="F30" s="99">
        <v>-76.711212018624124</v>
      </c>
      <c r="G30" s="99">
        <v>-87.938157262987545</v>
      </c>
      <c r="H30" s="99">
        <v>-94.194056324004833</v>
      </c>
      <c r="I30" s="99">
        <v>-98.868922431757198</v>
      </c>
      <c r="J30" s="99">
        <v>-108.12981839689718</v>
      </c>
      <c r="K30" s="100">
        <v>-109.69193451749584</v>
      </c>
      <c r="L30" s="100">
        <v>-109.8135351463302</v>
      </c>
      <c r="M30" s="100">
        <v>-111.14545159649106</v>
      </c>
      <c r="N30" s="100">
        <v>-120.26956316320776</v>
      </c>
      <c r="O30" s="100">
        <v>-157.42961571763473</v>
      </c>
      <c r="P30" s="100">
        <v>-213.07092245665893</v>
      </c>
      <c r="Q30" s="101"/>
      <c r="R30" s="101"/>
      <c r="S30" s="101"/>
      <c r="T30" s="101"/>
      <c r="U30" s="96"/>
      <c r="V30" s="96">
        <v>581.01522659635168</v>
      </c>
      <c r="W30" s="96">
        <v>570.64566781434712</v>
      </c>
      <c r="X30" s="96">
        <v>696.56715189082945</v>
      </c>
      <c r="Y30" s="96">
        <v>793.29825044217944</v>
      </c>
      <c r="Z30" s="96">
        <v>874.69347902002255</v>
      </c>
      <c r="AA30" s="96">
        <v>1100.7458982528797</v>
      </c>
      <c r="AM30" s="34" t="s">
        <v>38</v>
      </c>
      <c r="AN30" s="35">
        <v>211.48957151538502</v>
      </c>
      <c r="AO30" s="36">
        <v>91.321711089999994</v>
      </c>
      <c r="AP30" s="36">
        <v>98.704032470000001</v>
      </c>
    </row>
    <row r="31" spans="1:42" s="33" customFormat="1" ht="15.75" customHeight="1">
      <c r="A31" s="5" t="s">
        <v>70</v>
      </c>
      <c r="B31" s="8">
        <v>20.334014926568805</v>
      </c>
      <c r="C31" s="8">
        <v>20.738629245299119</v>
      </c>
      <c r="D31" s="8">
        <v>37.905798059999952</v>
      </c>
      <c r="E31" s="9">
        <v>19.2</v>
      </c>
      <c r="F31" s="22">
        <v>67.556188049429565</v>
      </c>
      <c r="G31" s="22">
        <v>52.178943031604589</v>
      </c>
      <c r="H31" s="22">
        <v>70.957208037378592</v>
      </c>
      <c r="I31" s="22">
        <v>60.215518658491007</v>
      </c>
      <c r="J31" s="22">
        <v>76.195855394814359</v>
      </c>
      <c r="K31" s="43">
        <v>40.232545298014138</v>
      </c>
      <c r="L31" s="43">
        <v>35.487461395105704</v>
      </c>
      <c r="M31" s="43">
        <v>73.511630980837012</v>
      </c>
      <c r="N31" s="43">
        <v>52.410180618253563</v>
      </c>
      <c r="O31" s="43">
        <v>150.28477093874</v>
      </c>
      <c r="P31" s="43">
        <v>263.77279581391355</v>
      </c>
      <c r="Q31" s="44"/>
      <c r="R31" s="44"/>
      <c r="S31" s="44"/>
      <c r="T31" s="44"/>
      <c r="U31" s="42"/>
      <c r="V31" s="42">
        <v>-416.44516451822949</v>
      </c>
      <c r="W31" s="42">
        <v>-187.69412038217746</v>
      </c>
      <c r="X31" s="42">
        <v>-67.400198894263639</v>
      </c>
      <c r="Y31" s="42">
        <v>-543.88273890864502</v>
      </c>
      <c r="Z31" s="42">
        <v>-491.03246343540076</v>
      </c>
      <c r="AA31" s="42">
        <v>-811.70194758639491</v>
      </c>
      <c r="AM31" s="34" t="s">
        <v>39</v>
      </c>
      <c r="AN31" s="35">
        <v>-69.510462000000004</v>
      </c>
      <c r="AO31" s="36">
        <v>-83.151365999999996</v>
      </c>
      <c r="AP31" s="36">
        <v>-102.69193701000002</v>
      </c>
    </row>
    <row r="32" spans="1:42" s="33" customFormat="1" ht="15.75" customHeight="1">
      <c r="A32" s="132" t="s">
        <v>68</v>
      </c>
      <c r="B32" s="97"/>
      <c r="C32" s="97"/>
      <c r="D32" s="97"/>
      <c r="E32" s="93"/>
      <c r="F32" s="97">
        <f>(-F27/F34)*100</f>
        <v>4.5614035087719298</v>
      </c>
      <c r="G32" s="97">
        <f>(-G27/G34)*100</f>
        <v>1.6444444444444446</v>
      </c>
      <c r="H32" s="97">
        <f>(-H27/H34)*100</f>
        <v>6.8277033502599904</v>
      </c>
      <c r="I32" s="97">
        <f>(-I27/I34)*100</f>
        <v>4.0548316939687474</v>
      </c>
      <c r="J32" s="97">
        <f>(-J27/J34)*100</f>
        <v>13.390135185084587</v>
      </c>
      <c r="K32" s="86">
        <f t="shared" ref="K32:P32" si="6">(K27/K34)*100</f>
        <v>-8.2487483826218142</v>
      </c>
      <c r="L32" s="86">
        <f t="shared" si="6"/>
        <v>-7.3192019950124703</v>
      </c>
      <c r="M32" s="86">
        <f t="shared" si="6"/>
        <v>-4.3115942028985517</v>
      </c>
      <c r="N32" s="86">
        <f t="shared" si="6"/>
        <v>-2.999807699325109</v>
      </c>
      <c r="O32" s="86">
        <f t="shared" si="6"/>
        <v>-10.2728190472048</v>
      </c>
      <c r="P32" s="86">
        <f t="shared" si="6"/>
        <v>-25.090760450980316</v>
      </c>
      <c r="Q32" s="86"/>
      <c r="R32" s="86"/>
      <c r="S32" s="86"/>
      <c r="T32" s="86"/>
      <c r="U32" s="86"/>
      <c r="V32" s="86">
        <v>-15.619141389475166</v>
      </c>
      <c r="W32" s="86">
        <v>-7.3524000035354851</v>
      </c>
      <c r="X32" s="86">
        <v>-4.5734903243144274</v>
      </c>
      <c r="Y32" s="86">
        <v>-3.8176647894946223</v>
      </c>
      <c r="Z32" s="86">
        <v>-8.5903662592025203</v>
      </c>
      <c r="AA32" s="86">
        <v>-22.3062713035972</v>
      </c>
      <c r="AM32" s="34"/>
      <c r="AN32" s="35"/>
      <c r="AO32" s="36"/>
      <c r="AP32" s="36"/>
    </row>
    <row r="33" spans="1:42" s="33" customFormat="1" ht="15.75" customHeight="1">
      <c r="A33" s="133" t="s">
        <v>2</v>
      </c>
      <c r="B33" s="8" t="e">
        <f>B31/B34*100</f>
        <v>#DIV/0!</v>
      </c>
      <c r="C33" s="8" t="e">
        <f>C31/C34*100</f>
        <v>#DIV/0!</v>
      </c>
      <c r="D33" s="8" t="e">
        <f>D31/D34*100</f>
        <v>#DIV/0!</v>
      </c>
      <c r="E33" s="8" t="e">
        <f>E31/E34*100</f>
        <v>#DIV/0!</v>
      </c>
      <c r="F33" s="8">
        <f t="shared" ref="F33:P33" si="7">(F31/F34)*100</f>
        <v>16.931375450984852</v>
      </c>
      <c r="G33" s="8">
        <f t="shared" si="7"/>
        <v>11.595320673689908</v>
      </c>
      <c r="H33" s="8">
        <f t="shared" si="7"/>
        <v>13.961808848469881</v>
      </c>
      <c r="I33" s="8">
        <f t="shared" si="7"/>
        <v>11.149031667818074</v>
      </c>
      <c r="J33" s="8">
        <f t="shared" si="7"/>
        <v>12.931214249426121</v>
      </c>
      <c r="K33" s="38">
        <f t="shared" si="7"/>
        <v>6.4440416107913192</v>
      </c>
      <c r="L33" s="38">
        <f t="shared" si="7"/>
        <v>4.4248704981428553</v>
      </c>
      <c r="M33" s="38">
        <f t="shared" si="7"/>
        <v>8.8782163020334544</v>
      </c>
      <c r="N33" s="38">
        <f t="shared" si="7"/>
        <v>5.0230179981359946</v>
      </c>
      <c r="O33" s="38">
        <f t="shared" si="7"/>
        <v>12.623452636175788</v>
      </c>
      <c r="P33" s="38">
        <f t="shared" si="7"/>
        <v>24.241876467600481</v>
      </c>
      <c r="Q33" s="38"/>
      <c r="R33" s="38"/>
      <c r="S33" s="38"/>
      <c r="T33" s="38"/>
      <c r="U33" s="38"/>
      <c r="V33" s="38">
        <v>16.963629257198047</v>
      </c>
      <c r="W33" s="38">
        <v>7.4800111631013948</v>
      </c>
      <c r="X33" s="38">
        <v>2.2800435423741434</v>
      </c>
      <c r="Y33" s="38">
        <v>17.593788094044875</v>
      </c>
      <c r="Z33" s="38">
        <v>-0.2151583568644303</v>
      </c>
      <c r="AA33" s="38">
        <v>-0.52983084646394607</v>
      </c>
      <c r="AB33" s="59"/>
      <c r="AC33" s="59"/>
      <c r="AD33" s="59"/>
      <c r="AE33" s="59"/>
      <c r="AF33" s="59"/>
      <c r="AG33" s="59"/>
      <c r="AH33" s="59"/>
      <c r="AI33" s="59"/>
      <c r="AJ33" s="59"/>
      <c r="AM33" s="12" t="s">
        <v>40</v>
      </c>
      <c r="AN33" s="60">
        <v>0</v>
      </c>
      <c r="AO33" s="60">
        <v>0</v>
      </c>
      <c r="AP33" s="60">
        <v>0</v>
      </c>
    </row>
    <row r="34" spans="1:42" s="33" customFormat="1" ht="15.75" customHeight="1">
      <c r="A34" s="134" t="s">
        <v>71</v>
      </c>
      <c r="B34" s="102"/>
      <c r="C34" s="102"/>
      <c r="D34" s="102"/>
      <c r="E34" s="102"/>
      <c r="F34" s="103">
        <v>399</v>
      </c>
      <c r="G34" s="103">
        <v>450</v>
      </c>
      <c r="H34" s="103">
        <v>508.2236034563316</v>
      </c>
      <c r="I34" s="103">
        <v>540.096399872147</v>
      </c>
      <c r="J34" s="103">
        <v>589.23975680161584</v>
      </c>
      <c r="K34" s="104">
        <v>624.33714317796955</v>
      </c>
      <c r="L34" s="104">
        <v>802</v>
      </c>
      <c r="M34" s="104">
        <v>828</v>
      </c>
      <c r="N34" s="105">
        <v>1043.4002155218755</v>
      </c>
      <c r="O34" s="105">
        <v>1190.5203375822862</v>
      </c>
      <c r="P34" s="105">
        <v>1088.087368840645</v>
      </c>
      <c r="Q34" s="105"/>
      <c r="R34" s="105"/>
      <c r="S34" s="105"/>
      <c r="T34" s="105"/>
      <c r="U34" s="105"/>
      <c r="V34" s="106">
        <v>2780.4450492189267</v>
      </c>
      <c r="W34" s="105">
        <v>2875.8387536594887</v>
      </c>
      <c r="X34" s="105">
        <v>3283.622009434941</v>
      </c>
      <c r="Y34" s="105">
        <v>3687.8564500516541</v>
      </c>
      <c r="Z34" s="105">
        <v>3992.5784823757726</v>
      </c>
      <c r="AA34" s="136">
        <v>4210.0741118543192</v>
      </c>
      <c r="AM34" s="34"/>
      <c r="AN34" s="35"/>
      <c r="AO34" s="13"/>
      <c r="AP34" s="13"/>
    </row>
    <row r="35" spans="1:42" s="33" customFormat="1" ht="15.75" customHeight="1">
      <c r="A35" s="142"/>
      <c r="B35" s="143"/>
      <c r="C35" s="143"/>
      <c r="D35" s="143"/>
      <c r="E35" s="143"/>
      <c r="F35" s="144"/>
      <c r="G35" s="144"/>
      <c r="H35" s="144"/>
      <c r="I35" s="144"/>
      <c r="J35" s="144"/>
      <c r="K35" s="145"/>
      <c r="L35" s="145"/>
      <c r="M35" s="145"/>
      <c r="N35" s="146"/>
      <c r="O35" s="146"/>
      <c r="P35" s="146"/>
      <c r="Q35" s="146"/>
      <c r="R35" s="146"/>
      <c r="S35" s="146"/>
      <c r="T35" s="146"/>
      <c r="U35" s="146"/>
      <c r="V35" s="147"/>
      <c r="W35" s="146"/>
      <c r="X35" s="146"/>
      <c r="Y35" s="146"/>
      <c r="Z35" s="146"/>
      <c r="AA35" s="148"/>
      <c r="AM35" s="34"/>
      <c r="AN35" s="35"/>
      <c r="AO35" s="13"/>
      <c r="AP35" s="13"/>
    </row>
    <row r="36" spans="1:42" s="33" customFormat="1" ht="18" customHeight="1">
      <c r="A36" s="61" t="s">
        <v>76</v>
      </c>
      <c r="W36" s="59"/>
      <c r="X36" s="59"/>
      <c r="Y36" s="59"/>
      <c r="Z36" s="28"/>
      <c r="AA36" s="28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12" t="s">
        <v>41</v>
      </c>
      <c r="AN36" s="13">
        <v>263.77279581391355</v>
      </c>
      <c r="AO36" s="13">
        <v>294.17035312851186</v>
      </c>
      <c r="AP36" s="13">
        <v>445.13986458882056</v>
      </c>
    </row>
    <row r="37" spans="1:42" s="33" customFormat="1" ht="19.5" hidden="1" customHeight="1">
      <c r="A37" s="139" t="s">
        <v>69</v>
      </c>
      <c r="B37" s="23"/>
      <c r="C37" s="23"/>
      <c r="D37" s="23"/>
      <c r="E37" s="23"/>
      <c r="F37" s="23"/>
      <c r="G37" s="23"/>
      <c r="H37" s="23"/>
      <c r="I37" s="23"/>
      <c r="J37" s="23"/>
      <c r="K37" s="28"/>
      <c r="L37" s="28"/>
      <c r="M37" s="28"/>
      <c r="N37" s="28"/>
      <c r="O37" s="28"/>
      <c r="P37" s="28"/>
      <c r="V37" s="59"/>
      <c r="W37" s="59"/>
      <c r="X37" s="59"/>
      <c r="Y37" s="59"/>
      <c r="Z37" s="59"/>
      <c r="AA37" s="59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12" t="s">
        <v>42</v>
      </c>
      <c r="AN37" s="13">
        <v>9.4922784654760548</v>
      </c>
      <c r="AO37" s="13">
        <v>13.868218838060518</v>
      </c>
      <c r="AP37" s="13">
        <v>14.97767634510536</v>
      </c>
    </row>
    <row r="38" spans="1:42" s="33" customFormat="1" ht="19.5" hidden="1" customHeight="1">
      <c r="A38" s="139" t="s">
        <v>72</v>
      </c>
      <c r="B38" s="23"/>
      <c r="C38" s="23"/>
      <c r="D38" s="23"/>
      <c r="E38" s="23"/>
      <c r="F38" s="23"/>
      <c r="G38" s="23"/>
      <c r="H38" s="23"/>
      <c r="I38" s="23"/>
      <c r="J38" s="23"/>
      <c r="K38" s="28"/>
      <c r="L38" s="28"/>
      <c r="M38" s="28"/>
      <c r="N38" s="28"/>
      <c r="O38" s="28"/>
      <c r="P38" s="28"/>
      <c r="V38" s="59"/>
      <c r="W38" s="59"/>
      <c r="X38" s="59"/>
      <c r="Y38" s="59"/>
      <c r="Z38" s="59"/>
      <c r="AA38" s="59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12"/>
      <c r="AN38" s="13"/>
      <c r="AO38" s="13"/>
      <c r="AP38" s="13"/>
    </row>
    <row r="39" spans="1:42" ht="14.25">
      <c r="A39" s="61" t="s">
        <v>77</v>
      </c>
      <c r="N39" s="62"/>
      <c r="O39" s="62"/>
      <c r="P39" s="62"/>
      <c r="Q39" s="62"/>
      <c r="R39" s="63"/>
      <c r="S39" s="63"/>
      <c r="AM39" s="34" t="s">
        <v>43</v>
      </c>
      <c r="AN39" s="35">
        <v>9.4922784654760548</v>
      </c>
      <c r="AO39" s="35">
        <v>13.868218838060518</v>
      </c>
      <c r="AP39" s="35">
        <v>14.97767634510536</v>
      </c>
    </row>
    <row r="40" spans="1:42">
      <c r="R40" s="65"/>
      <c r="S40" s="65"/>
      <c r="AM40" s="12" t="s">
        <v>44</v>
      </c>
      <c r="AN40" s="13">
        <v>254.28051734843748</v>
      </c>
      <c r="AO40" s="13">
        <v>280.30213429045136</v>
      </c>
      <c r="AP40" s="13">
        <v>430.16218824371521</v>
      </c>
    </row>
    <row r="41" spans="1:42">
      <c r="R41" s="65"/>
      <c r="S41" s="65"/>
      <c r="AM41" s="34" t="s">
        <v>45</v>
      </c>
      <c r="AN41" s="35">
        <v>162.217890625</v>
      </c>
      <c r="AO41" s="35">
        <v>112.97325840607638</v>
      </c>
      <c r="AP41" s="35">
        <v>183.40879010684029</v>
      </c>
    </row>
    <row r="42" spans="1:42">
      <c r="R42" s="65"/>
      <c r="S42" s="65"/>
      <c r="AM42" s="34" t="s">
        <v>46</v>
      </c>
      <c r="AN42" s="35">
        <v>32.217890625000003</v>
      </c>
      <c r="AO42" s="66">
        <v>-20.9266047953125</v>
      </c>
      <c r="AP42" s="66">
        <v>-14.298366079687501</v>
      </c>
    </row>
    <row r="43" spans="1:42">
      <c r="R43" s="65"/>
      <c r="S43" s="65"/>
      <c r="AM43" s="34" t="s">
        <v>47</v>
      </c>
      <c r="AN43" s="35">
        <v>130</v>
      </c>
      <c r="AO43" s="66">
        <v>133.89986320138888</v>
      </c>
      <c r="AP43" s="66">
        <v>197.70715618652778</v>
      </c>
    </row>
    <row r="44" spans="1:42">
      <c r="R44" s="65"/>
      <c r="S44" s="65"/>
      <c r="AM44" s="34" t="s">
        <v>48</v>
      </c>
      <c r="AN44" s="35">
        <v>92.062626723437489</v>
      </c>
      <c r="AO44" s="35">
        <v>167.32887588437498</v>
      </c>
      <c r="AP44" s="35">
        <v>246.75339813687492</v>
      </c>
    </row>
    <row r="45" spans="1:42">
      <c r="AM45" s="34" t="s">
        <v>49</v>
      </c>
      <c r="AN45" s="35">
        <v>6.2850798484375021</v>
      </c>
      <c r="AO45" s="66">
        <v>-3.1309289062493306E-3</v>
      </c>
      <c r="AP45" s="66">
        <v>-3.7718778124998131E-2</v>
      </c>
    </row>
    <row r="46" spans="1:42">
      <c r="AM46" s="34" t="s">
        <v>50</v>
      </c>
      <c r="AN46" s="35">
        <v>18.552</v>
      </c>
      <c r="AO46" s="35">
        <v>42.181370000000001</v>
      </c>
      <c r="AP46" s="35">
        <v>39.172669639999995</v>
      </c>
    </row>
    <row r="47" spans="1:42">
      <c r="AM47" s="34" t="s">
        <v>51</v>
      </c>
      <c r="AN47" s="35">
        <v>18.552</v>
      </c>
      <c r="AO47" s="35">
        <v>42.181370000000001</v>
      </c>
      <c r="AP47" s="35">
        <v>39.172669639999995</v>
      </c>
    </row>
    <row r="48" spans="1:42">
      <c r="AM48" s="34" t="s">
        <v>52</v>
      </c>
      <c r="AN48" s="35">
        <v>42.5</v>
      </c>
      <c r="AO48" s="66">
        <v>62.839979</v>
      </c>
      <c r="AP48" s="66">
        <v>63.180703999999999</v>
      </c>
    </row>
    <row r="49" spans="9:42">
      <c r="AM49" s="34" t="s">
        <v>53</v>
      </c>
      <c r="AN49" s="35">
        <v>-23.948</v>
      </c>
      <c r="AO49" s="66">
        <v>-20.658608999999998</v>
      </c>
      <c r="AP49" s="66">
        <v>-24.00803436</v>
      </c>
    </row>
    <row r="50" spans="9:42">
      <c r="AM50" s="34" t="s">
        <v>54</v>
      </c>
      <c r="AN50" s="35">
        <v>67.225546874999992</v>
      </c>
      <c r="AO50" s="66">
        <v>125.15063681328124</v>
      </c>
      <c r="AP50" s="66">
        <v>207.61844727499991</v>
      </c>
    </row>
    <row r="51" spans="9:42">
      <c r="AM51" s="34" t="s">
        <v>55</v>
      </c>
      <c r="AN51" s="35">
        <v>0</v>
      </c>
      <c r="AO51" s="66">
        <v>0</v>
      </c>
      <c r="AP51" s="66">
        <v>0</v>
      </c>
    </row>
    <row r="52" spans="9:42">
      <c r="AM52" s="34"/>
      <c r="AN52" s="35"/>
      <c r="AO52" s="66"/>
      <c r="AP52" s="66"/>
    </row>
    <row r="53" spans="9:42">
      <c r="AM53" s="12" t="s">
        <v>56</v>
      </c>
      <c r="AN53" s="13">
        <v>-8.0443230106151624</v>
      </c>
      <c r="AO53" s="67">
        <v>52.918626939525907</v>
      </c>
      <c r="AP53" s="67">
        <v>56.21860088055351</v>
      </c>
    </row>
    <row r="54" spans="9:42">
      <c r="AM54" s="34"/>
      <c r="AN54" s="35"/>
      <c r="AO54" s="68"/>
      <c r="AP54" s="68"/>
    </row>
    <row r="55" spans="9:42">
      <c r="AM55" s="12" t="s">
        <v>57</v>
      </c>
      <c r="AN55" s="13">
        <v>-17.280922409882493</v>
      </c>
      <c r="AO55" s="67">
        <v>45.113867038091257</v>
      </c>
      <c r="AP55" s="67">
        <v>76.881747648087526</v>
      </c>
    </row>
    <row r="56" spans="9:42">
      <c r="AM56" s="34"/>
      <c r="AN56" s="35"/>
      <c r="AO56" s="68"/>
      <c r="AP56" s="68"/>
    </row>
    <row r="57" spans="9:42">
      <c r="AM57" s="34"/>
      <c r="AN57" s="35"/>
      <c r="AO57" s="68"/>
      <c r="AP57" s="68"/>
    </row>
    <row r="58" spans="9:42">
      <c r="AM58" s="34"/>
      <c r="AN58" s="35"/>
      <c r="AO58" s="68"/>
      <c r="AP58" s="68"/>
    </row>
    <row r="59" spans="9:42">
      <c r="AM59" s="34"/>
      <c r="AN59" s="35"/>
      <c r="AO59" s="68"/>
      <c r="AP59" s="68"/>
    </row>
    <row r="60" spans="9:42">
      <c r="AM60" s="34"/>
      <c r="AN60" s="35"/>
      <c r="AO60" s="68"/>
      <c r="AP60" s="68"/>
    </row>
    <row r="61" spans="9:42">
      <c r="AM61" s="34"/>
      <c r="AN61" s="35"/>
      <c r="AO61" s="68"/>
      <c r="AP61" s="68"/>
    </row>
    <row r="62" spans="9:42">
      <c r="I62" s="1">
        <v>95</v>
      </c>
      <c r="AM62" s="34"/>
      <c r="AN62" s="35"/>
      <c r="AO62" s="68"/>
      <c r="AP62" s="68"/>
    </row>
    <row r="63" spans="9:42">
      <c r="K63" s="1">
        <v>1996</v>
      </c>
      <c r="L63" s="1">
        <v>1997</v>
      </c>
      <c r="M63" s="1">
        <v>1998</v>
      </c>
      <c r="N63" s="1">
        <v>1999</v>
      </c>
      <c r="O63" s="1">
        <v>2000</v>
      </c>
      <c r="P63" s="1">
        <v>2001</v>
      </c>
      <c r="Q63" s="1">
        <v>2002</v>
      </c>
      <c r="R63" s="1">
        <v>2003</v>
      </c>
      <c r="S63" s="1">
        <v>2004</v>
      </c>
      <c r="T63" s="1">
        <v>2005</v>
      </c>
      <c r="U63" s="1">
        <v>2006</v>
      </c>
      <c r="V63" s="1">
        <v>2007</v>
      </c>
      <c r="W63" s="1">
        <v>2008</v>
      </c>
      <c r="X63" s="1">
        <v>2009</v>
      </c>
      <c r="Y63" s="1">
        <v>2010</v>
      </c>
      <c r="Z63" s="1">
        <v>2011</v>
      </c>
      <c r="AA63" s="34">
        <v>2012</v>
      </c>
      <c r="AB63" s="1">
        <v>2013</v>
      </c>
      <c r="AC63" s="1">
        <v>2014</v>
      </c>
      <c r="AM63" s="35"/>
      <c r="AN63" s="68"/>
      <c r="AO63" s="68"/>
    </row>
    <row r="64" spans="9:42">
      <c r="K64" s="1">
        <f t="shared" ref="K64:W64" si="8">SUM(K65:K66)</f>
        <v>699190</v>
      </c>
      <c r="L64" s="1">
        <f t="shared" si="8"/>
        <v>826422</v>
      </c>
      <c r="M64" s="1">
        <f t="shared" si="8"/>
        <v>878346</v>
      </c>
      <c r="N64" s="1">
        <f t="shared" si="8"/>
        <v>752706</v>
      </c>
      <c r="O64" s="1">
        <f t="shared" si="8"/>
        <v>896824</v>
      </c>
      <c r="P64" s="1">
        <f t="shared" si="8"/>
        <v>937324.92876000004</v>
      </c>
      <c r="Q64" s="1">
        <f t="shared" si="8"/>
        <v>1161683</v>
      </c>
      <c r="R64" s="1">
        <f t="shared" si="8"/>
        <v>1445921.95</v>
      </c>
      <c r="S64" s="1">
        <f t="shared" si="8"/>
        <v>1572277.1540399999</v>
      </c>
      <c r="T64" s="1">
        <f t="shared" si="8"/>
        <v>1334059.57608</v>
      </c>
      <c r="U64" s="1">
        <f t="shared" si="8"/>
        <v>1735722.3399999999</v>
      </c>
      <c r="V64" s="1">
        <f t="shared" si="8"/>
        <v>1384588.5999999999</v>
      </c>
      <c r="W64" s="1">
        <f t="shared" si="8"/>
        <v>1617451.5999999999</v>
      </c>
      <c r="X64" s="1">
        <f>SUM(X65:X66)</f>
        <v>981317.94</v>
      </c>
      <c r="Y64" s="1">
        <f>SUM(Y65:Y66)</f>
        <v>949797.71057000011</v>
      </c>
      <c r="Z64" s="1">
        <v>1770329.6</v>
      </c>
      <c r="AA64" s="34">
        <v>2483060.3319799998</v>
      </c>
      <c r="AB64" s="69">
        <f>X5</f>
        <v>2558635</v>
      </c>
      <c r="AM64" s="35"/>
      <c r="AN64" s="68"/>
      <c r="AO64" s="68"/>
    </row>
    <row r="65" spans="1:42">
      <c r="J65" s="2" t="s">
        <v>5</v>
      </c>
      <c r="K65" s="1">
        <v>575822</v>
      </c>
      <c r="L65" s="1">
        <v>653740</v>
      </c>
      <c r="M65" s="1">
        <v>667434</v>
      </c>
      <c r="N65" s="1">
        <v>458427</v>
      </c>
      <c r="O65" s="1">
        <v>481665</v>
      </c>
      <c r="P65" s="1">
        <v>538336.9987600001</v>
      </c>
      <c r="Q65" s="1">
        <v>716706</v>
      </c>
      <c r="R65" s="1">
        <v>978777.57</v>
      </c>
      <c r="S65" s="64">
        <v>1155346.8976199999</v>
      </c>
      <c r="T65" s="1">
        <v>1312337.76675</v>
      </c>
      <c r="U65" s="1">
        <v>1709989.44</v>
      </c>
      <c r="V65" s="1">
        <v>1357222.19</v>
      </c>
      <c r="W65" s="1">
        <v>1591939.2</v>
      </c>
      <c r="X65" s="1">
        <v>958408</v>
      </c>
      <c r="Y65" s="1">
        <v>913242.30200000003</v>
      </c>
      <c r="Z65" s="1">
        <v>1717120.87</v>
      </c>
      <c r="AA65" s="34">
        <f>W7</f>
        <v>2438537</v>
      </c>
      <c r="AB65" s="34">
        <f>X7</f>
        <v>2517185</v>
      </c>
      <c r="AM65" s="35"/>
      <c r="AN65" s="68"/>
      <c r="AO65" s="68"/>
    </row>
    <row r="66" spans="1:42">
      <c r="J66" s="2" t="s">
        <v>6</v>
      </c>
      <c r="K66" s="1">
        <v>123368</v>
      </c>
      <c r="L66" s="1">
        <v>172682</v>
      </c>
      <c r="M66" s="1">
        <v>210912</v>
      </c>
      <c r="N66" s="1">
        <v>294279</v>
      </c>
      <c r="O66" s="1">
        <v>415159</v>
      </c>
      <c r="P66" s="1">
        <v>398987.93</v>
      </c>
      <c r="Q66" s="1">
        <v>444977</v>
      </c>
      <c r="R66" s="1">
        <v>467144.38</v>
      </c>
      <c r="S66" s="64">
        <v>416930.25642000005</v>
      </c>
      <c r="T66" s="1">
        <v>21721.80933</v>
      </c>
      <c r="U66" s="1">
        <v>25732.9</v>
      </c>
      <c r="V66" s="1">
        <v>27366.41</v>
      </c>
      <c r="W66" s="1">
        <v>25512.400000000001</v>
      </c>
      <c r="X66" s="1">
        <v>22909.939999999944</v>
      </c>
      <c r="Y66" s="1">
        <v>36555.408570000087</v>
      </c>
      <c r="Z66" s="1">
        <f>Z64-Z65</f>
        <v>53208.729999999981</v>
      </c>
      <c r="AA66" s="1">
        <f>AA64-AA65</f>
        <v>44523.331979999784</v>
      </c>
      <c r="AB66" s="69">
        <f>AB64-AB65</f>
        <v>41450</v>
      </c>
      <c r="AM66" s="35"/>
      <c r="AN66" s="68"/>
      <c r="AO66" s="68"/>
    </row>
    <row r="67" spans="1:42">
      <c r="P67" s="64"/>
      <c r="Q67" s="1"/>
      <c r="AA67" s="34"/>
      <c r="AM67" s="35"/>
      <c r="AN67" s="68"/>
      <c r="AO67" s="68"/>
    </row>
    <row r="68" spans="1:42">
      <c r="K68" s="1">
        <v>1996</v>
      </c>
      <c r="L68" s="1">
        <v>1997</v>
      </c>
      <c r="M68" s="1">
        <v>1998</v>
      </c>
      <c r="N68" s="1">
        <v>1999</v>
      </c>
      <c r="O68" s="1">
        <v>2000</v>
      </c>
      <c r="P68" s="1">
        <v>2001</v>
      </c>
      <c r="Q68" s="1">
        <v>2002</v>
      </c>
      <c r="R68" s="1">
        <v>2003</v>
      </c>
      <c r="S68" s="1">
        <v>2004</v>
      </c>
      <c r="T68" s="1">
        <v>2005</v>
      </c>
      <c r="U68" s="1">
        <v>2006</v>
      </c>
      <c r="V68" s="1">
        <v>2007</v>
      </c>
      <c r="W68" s="1">
        <v>2008</v>
      </c>
      <c r="X68" s="1">
        <v>2009</v>
      </c>
      <c r="Y68" s="1">
        <v>2010</v>
      </c>
      <c r="Z68" s="1">
        <v>2011</v>
      </c>
      <c r="AA68" s="1">
        <v>2012</v>
      </c>
      <c r="AB68" s="1">
        <v>2013</v>
      </c>
      <c r="AM68" s="35"/>
      <c r="AN68" s="68"/>
      <c r="AO68" s="68"/>
    </row>
    <row r="69" spans="1:42">
      <c r="J69" s="2" t="s">
        <v>5</v>
      </c>
      <c r="K69" s="70">
        <f t="shared" ref="K69:W69" si="9">K65/K64*100</f>
        <v>82.355582888771295</v>
      </c>
      <c r="L69" s="70">
        <f t="shared" si="9"/>
        <v>79.104864100907278</v>
      </c>
      <c r="M69" s="70">
        <f t="shared" si="9"/>
        <v>75.987594865804581</v>
      </c>
      <c r="N69" s="70">
        <f t="shared" si="9"/>
        <v>60.903858877171167</v>
      </c>
      <c r="O69" s="70">
        <f t="shared" si="9"/>
        <v>53.707862412245873</v>
      </c>
      <c r="P69" s="70">
        <f t="shared" si="9"/>
        <v>57.43333845523275</v>
      </c>
      <c r="Q69" s="70">
        <f t="shared" si="9"/>
        <v>61.695488356117799</v>
      </c>
      <c r="R69" s="70">
        <f t="shared" si="9"/>
        <v>67.692282422298106</v>
      </c>
      <c r="S69" s="70">
        <f t="shared" si="9"/>
        <v>73.482394287248354</v>
      </c>
      <c r="T69" s="70">
        <f t="shared" si="9"/>
        <v>98.37175117817246</v>
      </c>
      <c r="U69" s="70">
        <f t="shared" si="9"/>
        <v>98.51745297004129</v>
      </c>
      <c r="V69" s="70">
        <f t="shared" si="9"/>
        <v>98.02349882123832</v>
      </c>
      <c r="W69" s="70">
        <f t="shared" si="9"/>
        <v>98.422679231947356</v>
      </c>
      <c r="X69" s="70">
        <f>X65/X64*100</f>
        <v>97.665390688771069</v>
      </c>
      <c r="Y69" s="70">
        <f>Y65/Y64*100</f>
        <v>96.151242715876606</v>
      </c>
      <c r="Z69" s="70">
        <f>Z65/Z64*100</f>
        <v>96.994416745898619</v>
      </c>
      <c r="AA69" s="71">
        <f>AA65/AA64*100</f>
        <v>98.20691702869351</v>
      </c>
      <c r="AB69" s="71">
        <f>AB65/AB64*100</f>
        <v>98.379995583582655</v>
      </c>
      <c r="AC69" s="70"/>
      <c r="AD69" s="70"/>
      <c r="AE69" s="70"/>
      <c r="AF69" s="70"/>
      <c r="AG69" s="70"/>
      <c r="AH69" s="70"/>
      <c r="AI69" s="70"/>
      <c r="AJ69" s="70"/>
      <c r="AM69" s="35"/>
      <c r="AN69" s="68"/>
      <c r="AO69" s="68"/>
    </row>
    <row r="70" spans="1:42">
      <c r="J70" s="2" t="s">
        <v>6</v>
      </c>
      <c r="K70" s="70">
        <f t="shared" ref="K70:W70" si="10">K66/K64*100</f>
        <v>17.644417111228709</v>
      </c>
      <c r="L70" s="70">
        <f t="shared" si="10"/>
        <v>20.895135899092715</v>
      </c>
      <c r="M70" s="70">
        <f t="shared" si="10"/>
        <v>24.012405134195408</v>
      </c>
      <c r="N70" s="70">
        <f t="shared" si="10"/>
        <v>39.096141122828833</v>
      </c>
      <c r="O70" s="70">
        <f t="shared" si="10"/>
        <v>46.292137587754119</v>
      </c>
      <c r="P70" s="70">
        <f t="shared" si="10"/>
        <v>42.566661544767257</v>
      </c>
      <c r="Q70" s="70">
        <f t="shared" si="10"/>
        <v>38.304511643882194</v>
      </c>
      <c r="R70" s="70">
        <f t="shared" si="10"/>
        <v>32.307717577701894</v>
      </c>
      <c r="S70" s="70">
        <f t="shared" si="10"/>
        <v>26.517605712751646</v>
      </c>
      <c r="T70" s="70">
        <f t="shared" si="10"/>
        <v>1.6282488218275344</v>
      </c>
      <c r="U70" s="70">
        <f t="shared" si="10"/>
        <v>1.4825470299587205</v>
      </c>
      <c r="V70" s="70">
        <f t="shared" si="10"/>
        <v>1.9765011787616915</v>
      </c>
      <c r="W70" s="70">
        <f t="shared" si="10"/>
        <v>1.577320768052658</v>
      </c>
      <c r="X70" s="70">
        <f>X66/X64*100</f>
        <v>2.3346093112289323</v>
      </c>
      <c r="Y70" s="70">
        <f>Y66/Y64*100</f>
        <v>3.8487572841233915</v>
      </c>
      <c r="Z70" s="70">
        <f>Z66/Z64*100</f>
        <v>3.0055832541013818</v>
      </c>
      <c r="AA70" s="70">
        <f>AA66/AA64*100</f>
        <v>1.7930829713064904</v>
      </c>
      <c r="AB70" s="70">
        <f>AB66/AB64*100</f>
        <v>1.6200044164173473</v>
      </c>
      <c r="AC70" s="70"/>
      <c r="AD70" s="70"/>
      <c r="AE70" s="70"/>
      <c r="AF70" s="70"/>
      <c r="AG70" s="70"/>
      <c r="AH70" s="70"/>
      <c r="AI70" s="70"/>
      <c r="AJ70" s="70"/>
      <c r="AM70" s="35"/>
      <c r="AN70" s="68"/>
      <c r="AO70" s="68"/>
    </row>
    <row r="71" spans="1:42">
      <c r="AM71" s="34"/>
      <c r="AN71" s="35"/>
      <c r="AO71" s="68"/>
      <c r="AP71" s="68"/>
    </row>
    <row r="72" spans="1:42">
      <c r="AM72" s="34"/>
      <c r="AN72" s="35"/>
      <c r="AO72" s="68"/>
      <c r="AP72" s="68"/>
    </row>
    <row r="73" spans="1:42">
      <c r="AM73" s="12" t="s">
        <v>58</v>
      </c>
      <c r="AN73" s="13">
        <v>17.280922409882496</v>
      </c>
      <c r="AO73" s="67">
        <v>-45.113867038091271</v>
      </c>
      <c r="AP73" s="67">
        <v>-76.881747648087497</v>
      </c>
    </row>
    <row r="74" spans="1:42">
      <c r="AM74" s="34" t="s">
        <v>59</v>
      </c>
      <c r="AN74" s="35">
        <v>17.280922409882496</v>
      </c>
      <c r="AO74" s="66">
        <v>-45.113867038091271</v>
      </c>
      <c r="AP74" s="66">
        <v>-76.881747648087497</v>
      </c>
    </row>
    <row r="75" spans="1:42" ht="13.5">
      <c r="B75" s="49">
        <v>1991</v>
      </c>
      <c r="C75" s="49">
        <v>1992</v>
      </c>
      <c r="D75" s="49">
        <v>1993</v>
      </c>
      <c r="E75" s="49">
        <v>1994</v>
      </c>
      <c r="F75" s="49">
        <v>1995</v>
      </c>
      <c r="G75" s="49">
        <v>1996</v>
      </c>
      <c r="H75" s="49">
        <v>1997</v>
      </c>
      <c r="I75" s="49">
        <v>1998</v>
      </c>
      <c r="J75" s="49">
        <v>1999</v>
      </c>
      <c r="K75" s="49">
        <v>2000</v>
      </c>
      <c r="L75" s="72">
        <v>2001</v>
      </c>
      <c r="M75" s="72">
        <v>2002</v>
      </c>
      <c r="N75" s="72">
        <v>2003</v>
      </c>
      <c r="O75" s="72">
        <v>2004</v>
      </c>
      <c r="P75" s="72">
        <v>2005</v>
      </c>
      <c r="Q75" s="52" t="s">
        <v>17</v>
      </c>
      <c r="R75" s="1">
        <v>2007</v>
      </c>
      <c r="S75" s="1">
        <v>2007</v>
      </c>
      <c r="AM75" s="34" t="s">
        <v>60</v>
      </c>
      <c r="AN75" s="35">
        <v>6.2</v>
      </c>
      <c r="AO75" s="66">
        <v>0</v>
      </c>
      <c r="AP75" s="66">
        <v>0</v>
      </c>
    </row>
    <row r="76" spans="1:42">
      <c r="AM76" s="34"/>
      <c r="AN76" s="35"/>
      <c r="AO76" s="68"/>
      <c r="AP76" s="68"/>
    </row>
    <row r="77" spans="1:42" ht="15">
      <c r="A77" s="33" t="s">
        <v>16</v>
      </c>
      <c r="F77" s="3">
        <v>18.2</v>
      </c>
      <c r="G77" s="3">
        <v>7.4</v>
      </c>
      <c r="H77" s="3">
        <v>34.700000000000003</v>
      </c>
      <c r="I77" s="3">
        <v>21.9</v>
      </c>
      <c r="J77" s="3">
        <v>78.900000000000006</v>
      </c>
      <c r="K77" s="3">
        <v>51.5</v>
      </c>
      <c r="L77" s="3">
        <v>58.7</v>
      </c>
      <c r="M77" s="3">
        <v>35.700000000000003</v>
      </c>
      <c r="N77" s="73">
        <v>31.3</v>
      </c>
      <c r="O77" s="74">
        <v>122.3</v>
      </c>
      <c r="P77" s="74">
        <v>-273.00939521318088</v>
      </c>
      <c r="Q77" s="75">
        <v>-301.9751130299465</v>
      </c>
      <c r="R77" s="64">
        <v>-424.47671782128657</v>
      </c>
      <c r="S77" s="64">
        <v>-424.47671782128657</v>
      </c>
      <c r="AM77" s="76" t="s">
        <v>61</v>
      </c>
      <c r="AN77" s="13"/>
      <c r="AO77" s="68"/>
      <c r="AP77" s="68"/>
    </row>
    <row r="78" spans="1:42">
      <c r="AM78" s="34" t="s">
        <v>62</v>
      </c>
      <c r="AN78" s="35">
        <v>-384.03539705371912</v>
      </c>
      <c r="AO78" s="66">
        <v>-269.39006468963959</v>
      </c>
      <c r="AP78" s="66">
        <v>-379.16220157174411</v>
      </c>
    </row>
    <row r="79" spans="1:42">
      <c r="AM79" s="34" t="s">
        <v>63</v>
      </c>
      <c r="AN79" s="35">
        <v>484.51636075431486</v>
      </c>
      <c r="AO79" s="66">
        <v>777.11502770195943</v>
      </c>
      <c r="AP79" s="66">
        <v>855.6478578046482</v>
      </c>
    </row>
    <row r="80" spans="1:42">
      <c r="P80" s="51">
        <f>R88-R87</f>
        <v>640.64118116562497</v>
      </c>
      <c r="Q80" s="51">
        <f>S88-S87</f>
        <v>790.92178146874221</v>
      </c>
      <c r="R80" s="51">
        <f>T88-T87</f>
        <v>988.11909375000005</v>
      </c>
      <c r="S80" s="51">
        <f>V83-V82</f>
        <v>1261145.5</v>
      </c>
      <c r="AM80" s="77" t="s">
        <v>64</v>
      </c>
      <c r="AN80" s="78">
        <v>36.414301906516982</v>
      </c>
      <c r="AO80" s="79">
        <v>32.974702762937987</v>
      </c>
      <c r="AP80" s="79">
        <v>40.119316068666294</v>
      </c>
    </row>
    <row r="81" spans="4:37">
      <c r="U81" s="1">
        <v>2010</v>
      </c>
    </row>
    <row r="82" spans="4:37">
      <c r="I82" s="80">
        <v>49804.502973661853</v>
      </c>
      <c r="J82" s="80">
        <v>59404.418011894646</v>
      </c>
      <c r="K82" s="80">
        <v>70214.273576890395</v>
      </c>
      <c r="L82" s="80">
        <v>74625.828377230253</v>
      </c>
      <c r="M82" s="80">
        <v>63951.231945624473</v>
      </c>
      <c r="N82" s="80">
        <v>76195.75191163976</v>
      </c>
      <c r="O82" s="80">
        <v>76578.834049019613</v>
      </c>
      <c r="P82" s="80">
        <v>90756.484375</v>
      </c>
      <c r="Q82" s="80">
        <v>112962.65234374999</v>
      </c>
      <c r="R82" s="80">
        <v>122834.15265937499</v>
      </c>
      <c r="S82" s="80">
        <v>104223.40438124997</v>
      </c>
      <c r="T82" s="81">
        <v>135603.30781249999</v>
      </c>
      <c r="U82" s="80">
        <v>108170.984375</v>
      </c>
      <c r="V82" s="1">
        <v>126363.40625</v>
      </c>
      <c r="W82" s="1">
        <v>76665</v>
      </c>
      <c r="X82" s="4">
        <v>74202.946138281259</v>
      </c>
      <c r="Y82" s="1">
        <v>116392</v>
      </c>
      <c r="Z82" s="1">
        <v>161028.55590013001</v>
      </c>
      <c r="AK82" s="69">
        <f>X6</f>
        <v>166037.31343283583</v>
      </c>
    </row>
    <row r="83" spans="4:37">
      <c r="I83" s="80">
        <v>267912.99915038235</v>
      </c>
      <c r="J83" s="80">
        <v>301662.3619371283</v>
      </c>
      <c r="K83" s="80">
        <v>348848.51316907391</v>
      </c>
      <c r="L83" s="80">
        <v>353971.79269328801</v>
      </c>
      <c r="M83" s="80">
        <v>402159.55819881056</v>
      </c>
      <c r="N83" s="80">
        <v>388585.81138487684</v>
      </c>
      <c r="O83" s="80">
        <v>387340.03267973854</v>
      </c>
      <c r="P83" s="80">
        <v>391722.2265625</v>
      </c>
      <c r="Q83" s="80">
        <v>470783.28125</v>
      </c>
      <c r="R83" s="80">
        <v>641816.90828203131</v>
      </c>
      <c r="S83" s="80">
        <v>744864.58554687502</v>
      </c>
      <c r="T83" s="81">
        <v>926525.08928124222</v>
      </c>
      <c r="U83" s="80">
        <v>1096290.078125</v>
      </c>
      <c r="V83" s="51">
        <v>1387508.90625</v>
      </c>
      <c r="W83" s="1">
        <v>966291</v>
      </c>
      <c r="X83" s="82">
        <v>1095116.2846835935</v>
      </c>
      <c r="Y83" s="1">
        <v>1346891</v>
      </c>
      <c r="Z83" s="1">
        <v>1548939.944297659</v>
      </c>
      <c r="AK83" s="69">
        <f>X15</f>
        <v>1728415.6391953276</v>
      </c>
    </row>
    <row r="84" spans="4:37">
      <c r="I84" s="80">
        <f>I82-I83</f>
        <v>-218108.49617672051</v>
      </c>
      <c r="J84" s="80">
        <f t="shared" ref="J84:W84" si="11">J82-J83</f>
        <v>-242257.94392523365</v>
      </c>
      <c r="K84" s="80">
        <f t="shared" si="11"/>
        <v>-278634.2395921835</v>
      </c>
      <c r="L84" s="80">
        <f t="shared" si="11"/>
        <v>-279345.96431605774</v>
      </c>
      <c r="M84" s="80">
        <f t="shared" si="11"/>
        <v>-338208.3262531861</v>
      </c>
      <c r="N84" s="80">
        <f t="shared" si="11"/>
        <v>-312390.05947323708</v>
      </c>
      <c r="O84" s="80">
        <f t="shared" si="11"/>
        <v>-310761.19863071892</v>
      </c>
      <c r="P84" s="80">
        <f t="shared" si="11"/>
        <v>-300965.7421875</v>
      </c>
      <c r="Q84" s="80">
        <f t="shared" si="11"/>
        <v>-357820.62890625</v>
      </c>
      <c r="R84" s="80">
        <f>R82-R83</f>
        <v>-518982.75562265632</v>
      </c>
      <c r="S84" s="80">
        <f t="shared" si="11"/>
        <v>-640641.18116562511</v>
      </c>
      <c r="T84" s="80">
        <f t="shared" si="11"/>
        <v>-790921.78146874229</v>
      </c>
      <c r="U84" s="80">
        <f t="shared" si="11"/>
        <v>-988119.09375</v>
      </c>
      <c r="V84" s="80">
        <f t="shared" si="11"/>
        <v>-1261145.5</v>
      </c>
      <c r="W84" s="80">
        <f t="shared" si="11"/>
        <v>-889626</v>
      </c>
      <c r="X84" s="83">
        <f>X82-X83</f>
        <v>-1020913.3385453123</v>
      </c>
      <c r="Y84" s="83">
        <f>Y82-Y83</f>
        <v>-1230499</v>
      </c>
      <c r="Z84" s="83">
        <f>Z82-Z83</f>
        <v>-1387911.388397529</v>
      </c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>
        <f>AK82-AK83</f>
        <v>-1562378.3257624919</v>
      </c>
    </row>
    <row r="85" spans="4:37">
      <c r="Q85" s="1"/>
      <c r="T85" s="64"/>
    </row>
    <row r="86" spans="4:37">
      <c r="I86" s="1">
        <v>1996</v>
      </c>
      <c r="J86" s="1">
        <v>1997</v>
      </c>
      <c r="K86" s="1">
        <v>1998</v>
      </c>
      <c r="L86" s="1">
        <v>1999</v>
      </c>
      <c r="M86" s="1">
        <v>2000</v>
      </c>
      <c r="N86" s="1">
        <v>2001</v>
      </c>
      <c r="O86" s="1">
        <v>2002</v>
      </c>
      <c r="P86" s="1">
        <v>2003</v>
      </c>
      <c r="Q86" s="1">
        <v>2004</v>
      </c>
      <c r="R86" s="1">
        <v>2005</v>
      </c>
      <c r="S86" s="1">
        <v>2006</v>
      </c>
      <c r="T86" s="1">
        <v>2007</v>
      </c>
      <c r="U86" s="1">
        <v>2008</v>
      </c>
      <c r="V86" s="1">
        <v>2009</v>
      </c>
      <c r="W86" s="1">
        <v>2010</v>
      </c>
      <c r="X86" s="1">
        <v>2011</v>
      </c>
      <c r="Y86" s="1">
        <v>2012</v>
      </c>
      <c r="Z86" s="1">
        <v>2013</v>
      </c>
    </row>
    <row r="87" spans="4:37" ht="15">
      <c r="D87" s="33" t="s">
        <v>19</v>
      </c>
      <c r="I87" s="51">
        <f t="shared" ref="I87:V87" si="12">J82*1000/1000000</f>
        <v>59.404418011894641</v>
      </c>
      <c r="J87" s="51">
        <f t="shared" si="12"/>
        <v>70.214273576890392</v>
      </c>
      <c r="K87" s="51">
        <f t="shared" si="12"/>
        <v>74.625828377230263</v>
      </c>
      <c r="L87" s="51">
        <f t="shared" si="12"/>
        <v>63.951231945624471</v>
      </c>
      <c r="M87" s="51">
        <f t="shared" si="12"/>
        <v>76.195751911639761</v>
      </c>
      <c r="N87" s="51">
        <f t="shared" si="12"/>
        <v>76.578834049019619</v>
      </c>
      <c r="O87" s="51">
        <f t="shared" si="12"/>
        <v>90.756484374999999</v>
      </c>
      <c r="P87" s="51">
        <f t="shared" si="12"/>
        <v>112.96265234374998</v>
      </c>
      <c r="Q87" s="51">
        <f t="shared" si="12"/>
        <v>122.83415265937498</v>
      </c>
      <c r="R87" s="51">
        <f t="shared" si="12"/>
        <v>104.22340438124998</v>
      </c>
      <c r="S87" s="51">
        <f t="shared" si="12"/>
        <v>135.60330781249999</v>
      </c>
      <c r="T87" s="51">
        <f t="shared" si="12"/>
        <v>108.170984375</v>
      </c>
      <c r="U87" s="51">
        <f t="shared" si="12"/>
        <v>126.36340625</v>
      </c>
      <c r="V87" s="51">
        <f t="shared" si="12"/>
        <v>76.665000000000006</v>
      </c>
      <c r="W87" s="51">
        <f t="shared" ref="W87:X89" si="13">X82*1000/1000000</f>
        <v>74.202946138281263</v>
      </c>
      <c r="X87" s="51">
        <f t="shared" si="13"/>
        <v>116.392</v>
      </c>
      <c r="Y87" s="1">
        <v>161.02000000000001</v>
      </c>
      <c r="Z87" s="51">
        <f>AK82/1000</f>
        <v>166.03731343283582</v>
      </c>
      <c r="AA87" s="51"/>
      <c r="AB87" s="51"/>
      <c r="AC87" s="51"/>
      <c r="AD87" s="51"/>
      <c r="AE87" s="51"/>
      <c r="AF87" s="51"/>
      <c r="AG87" s="51"/>
      <c r="AH87" s="51"/>
      <c r="AI87" s="51"/>
      <c r="AJ87" s="51"/>
    </row>
    <row r="88" spans="4:37" ht="15">
      <c r="D88" s="33" t="s">
        <v>20</v>
      </c>
      <c r="I88" s="51">
        <f t="shared" ref="I88:V88" si="14">J83*1000/1000000</f>
        <v>301.66236193712831</v>
      </c>
      <c r="J88" s="51">
        <f t="shared" si="14"/>
        <v>348.8485131690739</v>
      </c>
      <c r="K88" s="51">
        <f t="shared" si="14"/>
        <v>353.97179269328802</v>
      </c>
      <c r="L88" s="51">
        <f t="shared" si="14"/>
        <v>402.1595581988106</v>
      </c>
      <c r="M88" s="51">
        <f t="shared" si="14"/>
        <v>388.58581138487682</v>
      </c>
      <c r="N88" s="51">
        <f t="shared" si="14"/>
        <v>387.3400326797385</v>
      </c>
      <c r="O88" s="51">
        <f t="shared" si="14"/>
        <v>391.7222265625</v>
      </c>
      <c r="P88" s="51">
        <f t="shared" si="14"/>
        <v>470.78328125000002</v>
      </c>
      <c r="Q88" s="51">
        <f t="shared" si="14"/>
        <v>641.81690828203125</v>
      </c>
      <c r="R88" s="51">
        <f t="shared" si="14"/>
        <v>744.86458554687499</v>
      </c>
      <c r="S88" s="51">
        <f t="shared" si="14"/>
        <v>926.52508928124223</v>
      </c>
      <c r="T88" s="51">
        <f t="shared" si="14"/>
        <v>1096.290078125</v>
      </c>
      <c r="U88" s="51">
        <f t="shared" si="14"/>
        <v>1387.5089062500001</v>
      </c>
      <c r="V88" s="51">
        <f t="shared" si="14"/>
        <v>966.29100000000005</v>
      </c>
      <c r="W88" s="51">
        <f t="shared" si="13"/>
        <v>1095.1162846835934</v>
      </c>
      <c r="X88" s="51">
        <f t="shared" si="13"/>
        <v>1346.8910000000001</v>
      </c>
      <c r="Y88" s="1">
        <v>1548.94</v>
      </c>
      <c r="Z88" s="51">
        <f>AK83/1000</f>
        <v>1728.4156391953277</v>
      </c>
      <c r="AA88" s="51"/>
      <c r="AB88" s="51"/>
      <c r="AC88" s="51"/>
      <c r="AD88" s="51"/>
      <c r="AE88" s="51"/>
      <c r="AF88" s="51"/>
      <c r="AG88" s="51"/>
      <c r="AH88" s="51"/>
      <c r="AI88" s="51"/>
      <c r="AJ88" s="51"/>
    </row>
    <row r="89" spans="4:37" ht="15">
      <c r="D89" s="84" t="s">
        <v>18</v>
      </c>
      <c r="I89" s="51">
        <f t="shared" ref="I89:S89" si="15">J84*1000/1000000</f>
        <v>-242.25794392523363</v>
      </c>
      <c r="J89" s="51">
        <f t="shared" si="15"/>
        <v>-278.63423959218346</v>
      </c>
      <c r="K89" s="51">
        <f t="shared" si="15"/>
        <v>-279.34596431605775</v>
      </c>
      <c r="L89" s="51">
        <f t="shared" si="15"/>
        <v>-338.2083262531861</v>
      </c>
      <c r="M89" s="51">
        <f t="shared" si="15"/>
        <v>-312.3900594732371</v>
      </c>
      <c r="N89" s="51">
        <f t="shared" si="15"/>
        <v>-310.76119863071892</v>
      </c>
      <c r="O89" s="51">
        <f t="shared" si="15"/>
        <v>-300.96574218749998</v>
      </c>
      <c r="P89" s="51">
        <f t="shared" si="15"/>
        <v>-357.82062890625002</v>
      </c>
      <c r="Q89" s="51">
        <f>R84*1000/1000000</f>
        <v>-518.98275562265633</v>
      </c>
      <c r="R89" s="51">
        <f t="shared" si="15"/>
        <v>-640.64118116562508</v>
      </c>
      <c r="S89" s="51">
        <f t="shared" si="15"/>
        <v>-790.92178146874221</v>
      </c>
      <c r="T89" s="51">
        <v>-736.76027315844181</v>
      </c>
      <c r="U89" s="51">
        <v>-889.9</v>
      </c>
      <c r="V89" s="1">
        <v>-687</v>
      </c>
      <c r="W89" s="51">
        <f t="shared" si="13"/>
        <v>-1020.9133385453123</v>
      </c>
      <c r="X89" s="51">
        <f t="shared" si="13"/>
        <v>-1230.499</v>
      </c>
      <c r="Y89" s="51">
        <f>Z84*1000/1000000</f>
        <v>-1387.9113883975292</v>
      </c>
      <c r="Z89" s="51">
        <f>AK84/1000</f>
        <v>-1562.3783257624918</v>
      </c>
      <c r="AA89" s="51"/>
      <c r="AB89" s="51"/>
      <c r="AC89" s="51"/>
      <c r="AD89" s="51"/>
      <c r="AE89" s="51"/>
      <c r="AF89" s="51"/>
      <c r="AG89" s="51"/>
      <c r="AH89" s="51"/>
      <c r="AI89" s="51"/>
      <c r="AJ89" s="51"/>
    </row>
    <row r="90" spans="4:37">
      <c r="Q90" s="1"/>
      <c r="T90" s="64"/>
    </row>
    <row r="91" spans="4:37">
      <c r="S91" s="1">
        <v>1384588.6</v>
      </c>
      <c r="T91" s="1">
        <v>1617451.6</v>
      </c>
      <c r="U91" s="1">
        <v>1617451.6</v>
      </c>
    </row>
    <row r="92" spans="4:37">
      <c r="P92" s="1">
        <v>-493.84363093042111</v>
      </c>
      <c r="Q92" s="64">
        <v>-590.0955672997593</v>
      </c>
      <c r="R92" s="1">
        <v>-736.76027315844181</v>
      </c>
      <c r="S92" s="1">
        <v>-890.50954132867639</v>
      </c>
      <c r="T92" s="1">
        <v>-651.06798848778499</v>
      </c>
    </row>
    <row r="96" spans="4:37">
      <c r="U96" s="1">
        <v>12.8</v>
      </c>
    </row>
    <row r="98" spans="1:30">
      <c r="R98" s="64"/>
      <c r="S98" s="64"/>
      <c r="T98" s="64"/>
      <c r="U98" s="64"/>
      <c r="V98" s="64"/>
      <c r="AC98" s="64"/>
    </row>
    <row r="102" spans="1:30">
      <c r="R102" s="64"/>
      <c r="S102" s="64"/>
      <c r="T102" s="64"/>
      <c r="U102" s="64"/>
      <c r="V102" s="64"/>
      <c r="AC102" s="64"/>
      <c r="AD102" s="64"/>
    </row>
    <row r="105" spans="1:30">
      <c r="K105" s="48">
        <v>2000</v>
      </c>
      <c r="L105" s="56">
        <v>2001</v>
      </c>
      <c r="M105" s="56">
        <v>2002</v>
      </c>
      <c r="N105" s="56">
        <v>2003</v>
      </c>
      <c r="O105" s="56">
        <v>2004</v>
      </c>
      <c r="P105" s="56">
        <v>2005</v>
      </c>
      <c r="Q105" s="56">
        <v>2006</v>
      </c>
      <c r="R105" s="50">
        <v>2007</v>
      </c>
      <c r="S105" s="56">
        <v>2008</v>
      </c>
      <c r="T105" s="50">
        <v>2009</v>
      </c>
      <c r="U105" s="56">
        <v>2010</v>
      </c>
      <c r="V105" s="57">
        <v>2011</v>
      </c>
      <c r="W105" s="57">
        <v>2012</v>
      </c>
      <c r="X105" s="57">
        <v>2013</v>
      </c>
      <c r="Y105" s="1">
        <v>2014</v>
      </c>
      <c r="Z105" s="1">
        <v>2015</v>
      </c>
      <c r="AA105" s="1">
        <v>2016</v>
      </c>
    </row>
    <row r="106" spans="1:30">
      <c r="A106" s="29" t="s">
        <v>1</v>
      </c>
      <c r="K106" s="38">
        <v>-233.3</v>
      </c>
      <c r="L106" s="38">
        <v>-236</v>
      </c>
      <c r="M106" s="38">
        <v>-212.4</v>
      </c>
      <c r="N106" s="38">
        <v>-262.29464925476486</v>
      </c>
      <c r="O106" s="38">
        <v>-383.82636026427031</v>
      </c>
      <c r="P106" s="40">
        <v>-493.84363093042111</v>
      </c>
      <c r="Q106" s="120">
        <v>-590.1</v>
      </c>
      <c r="R106" s="82">
        <v>-1077.8</v>
      </c>
      <c r="S106" s="82">
        <v>-1317.6</v>
      </c>
      <c r="T106" s="82">
        <v>-912.7</v>
      </c>
      <c r="U106" s="82">
        <v>-1044.3</v>
      </c>
      <c r="V106" s="82">
        <v>-1370.4497932458348</v>
      </c>
      <c r="W106" s="82">
        <v>-1261.3818460941536</v>
      </c>
      <c r="X106" s="82">
        <v>-1372.0279990268523</v>
      </c>
      <c r="Y106" s="82">
        <v>-1659.9839496319867</v>
      </c>
      <c r="Z106" s="82">
        <v>-1654.7584348513501</v>
      </c>
      <c r="AA106" s="82">
        <v>-1839.4548719095881</v>
      </c>
    </row>
    <row r="107" spans="1:30">
      <c r="A107" s="29" t="s">
        <v>0</v>
      </c>
      <c r="K107" s="1">
        <v>238.8</v>
      </c>
      <c r="L107" s="1">
        <v>244.2</v>
      </c>
      <c r="M107" s="1">
        <v>251.7</v>
      </c>
      <c r="N107" s="1">
        <v>311.7</v>
      </c>
      <c r="O107" s="1">
        <v>350.2</v>
      </c>
      <c r="P107" s="1">
        <v>109.80823387670199</v>
      </c>
      <c r="Q107" s="120">
        <v>320.70550261011971</v>
      </c>
      <c r="R107" s="82">
        <v>1246</v>
      </c>
      <c r="S107" s="82">
        <v>1210.5</v>
      </c>
      <c r="T107" s="82">
        <v>1144.9000000000001</v>
      </c>
      <c r="U107" s="82">
        <v>1358.5</v>
      </c>
      <c r="V107" s="82">
        <v>2679.4074919898917</v>
      </c>
      <c r="W107" s="82">
        <v>2742.1730668283831</v>
      </c>
      <c r="X107" s="82">
        <v>3273.4959116042137</v>
      </c>
      <c r="Y107" s="82">
        <v>3791.6288966259031</v>
      </c>
      <c r="Z107" s="82">
        <v>3780.0266674700088</v>
      </c>
      <c r="AA107" s="82">
        <v>4210.7719672613021</v>
      </c>
    </row>
  </sheetData>
  <mergeCells count="3">
    <mergeCell ref="A1:AA1"/>
    <mergeCell ref="A21:AA21"/>
    <mergeCell ref="A23:A24"/>
  </mergeCells>
  <phoneticPr fontId="0" type="noConversion"/>
  <printOptions horizontalCentered="1" verticalCentered="1"/>
  <pageMargins left="0.25" right="0.25" top="0.75" bottom="0.75" header="0.3" footer="0.3"/>
  <pageSetup paperSize="9" scale="65" orientation="landscape" r:id="rId1"/>
  <headerFooter alignWithMargins="0"/>
  <rowBreaks count="1" manualBreakCount="1">
    <brk id="56" max="23" man="1"/>
  </rowBreaks>
  <drawing r:id="rId2"/>
  <webPublishItems count="3">
    <webPublishItem id="16809" divId="Indicators 2010_16809" sourceType="sheet" destinationFile="\\Server\dp unit\Publications\Statistical  Year Book\Yearbook 2011\Indicators\Indicators 2011\foreigntrade &amp; bop.htm"/>
    <webPublishItem id="7282" divId="Indicators2009_7282" sourceType="range" sourceRef="A1:S57" destinationFile="\\Server04\mpnd\IT\Information for MPND Website\Statistical Yearbook 2009\Key Indicators 2009\Foreign Trade &amp; BOP.htm"/>
    <webPublishItem id="8762" divId="Indicators   2011_8762" sourceType="range" sourceRef="A1:U42" destinationFile="\\Server\dp unit\Publications\Statistical  Year Book\Yearbook 2011\YRB 2011 CD\final chapters\CD WEB\Indicators\Foreign &amp;BOP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Foerign trade &amp; BOP</vt:lpstr>
      <vt:lpstr>'Foerign trade &amp; BOP'!Print_Area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Aminath Musfiqa Ibrahim</cp:lastModifiedBy>
  <cp:lastPrinted>2017-12-21T06:00:12Z</cp:lastPrinted>
  <dcterms:created xsi:type="dcterms:W3CDTF">2005-04-13T08:56:22Z</dcterms:created>
  <dcterms:modified xsi:type="dcterms:W3CDTF">2017-12-21T06:51:11Z</dcterms:modified>
</cp:coreProperties>
</file>