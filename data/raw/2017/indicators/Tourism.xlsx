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INDICATOR\"/>
    </mc:Choice>
  </mc:AlternateContent>
  <bookViews>
    <workbookView xWindow="15795" yWindow="30" windowWidth="10650" windowHeight="10665" tabRatio="927"/>
  </bookViews>
  <sheets>
    <sheet name="Touri" sheetId="21" r:id="rId1"/>
  </sheets>
  <externalReferences>
    <externalReference r:id="rId2"/>
    <externalReference r:id="rId3"/>
  </externalReferences>
  <definedNames>
    <definedName name="_xlnm.Print_Area" localSheetId="0">Touri!$A$1:$P$40</definedName>
  </definedNames>
  <calcPr calcId="162913"/>
</workbook>
</file>

<file path=xl/calcChain.xml><?xml version="1.0" encoding="utf-8"?>
<calcChain xmlns="http://schemas.openxmlformats.org/spreadsheetml/2006/main">
  <c r="F6" i="21" l="1"/>
  <c r="G6" i="21"/>
  <c r="H6" i="21"/>
  <c r="I6" i="21"/>
  <c r="J6" i="21"/>
  <c r="K6" i="21"/>
  <c r="L6" i="21"/>
  <c r="M6" i="21"/>
  <c r="N6" i="21"/>
  <c r="O6" i="21"/>
  <c r="P6" i="21"/>
  <c r="P17" i="21" l="1"/>
  <c r="O17" i="21"/>
  <c r="H17" i="21" l="1"/>
  <c r="I17" i="21"/>
  <c r="J17" i="21"/>
  <c r="K17" i="21"/>
  <c r="L17" i="21"/>
  <c r="M17" i="21"/>
  <c r="N17" i="21"/>
  <c r="G17" i="21"/>
  <c r="P14" i="21" l="1"/>
  <c r="N14" i="21"/>
  <c r="O14" i="21"/>
  <c r="H14" i="21"/>
  <c r="I14" i="21"/>
  <c r="J14" i="21"/>
  <c r="K14" i="21"/>
  <c r="L14" i="21"/>
  <c r="M14" i="21"/>
  <c r="G14" i="21"/>
</calcChain>
</file>

<file path=xl/sharedStrings.xml><?xml version="1.0" encoding="utf-8"?>
<sst xmlns="http://schemas.openxmlformats.org/spreadsheetml/2006/main" count="26" uniqueCount="25">
  <si>
    <t>Tourist Arrivals</t>
  </si>
  <si>
    <t>Growth in Tourist Arrivals (%)</t>
  </si>
  <si>
    <t>Hotels</t>
  </si>
  <si>
    <t>Guest Houses</t>
  </si>
  <si>
    <t>Safari Vessels</t>
  </si>
  <si>
    <t>Tourist Bed-nights('000)</t>
  </si>
  <si>
    <t>Average Duration of Stay (days)</t>
  </si>
  <si>
    <t>Tourism Receipts (In million US$)</t>
  </si>
  <si>
    <t>na</t>
  </si>
  <si>
    <t>Beds in operation (annual average)</t>
  </si>
  <si>
    <t>Increase in Tourist Bed-nights</t>
  </si>
  <si>
    <t xml:space="preserve">TOURISM </t>
  </si>
  <si>
    <t>Resorts (including marinas)</t>
  </si>
  <si>
    <t>No. of Tourist Resorts (Including Marinas)</t>
  </si>
  <si>
    <t>Total Bed Capacity (registered)</t>
  </si>
  <si>
    <t>Increase in Bed Capacity  of Resorts % (over previous yr)</t>
  </si>
  <si>
    <r>
      <rPr>
        <sz val="9"/>
        <rFont val="Candara"/>
        <family val="2"/>
      </rPr>
      <t xml:space="preserve">2_/  </t>
    </r>
    <r>
      <rPr>
        <i/>
        <sz val="9"/>
        <rFont val="Candara"/>
        <family val="2"/>
      </rPr>
      <t xml:space="preserve">Tourist tax terminated from end of Nov 2014 with an ammendment to Maldives Tourism Act. </t>
    </r>
  </si>
  <si>
    <r>
      <t>Bed Capacity Utilization Rate (%)</t>
    </r>
    <r>
      <rPr>
        <sz val="12"/>
        <rFont val="Candara"/>
        <family val="2"/>
      </rPr>
      <t xml:space="preserve"> </t>
    </r>
    <r>
      <rPr>
        <vertAlign val="superscript"/>
        <sz val="12"/>
        <rFont val="Candara"/>
        <family val="2"/>
      </rPr>
      <t>1_/</t>
    </r>
  </si>
  <si>
    <t xml:space="preserve">Tourism Tax (In Million MVR) 2_/ </t>
  </si>
  <si>
    <t xml:space="preserve">Tourism Revenue (In Million MVR) </t>
  </si>
  <si>
    <r>
      <rPr>
        <vertAlign val="superscript"/>
        <sz val="10"/>
        <rFont val="Candara"/>
        <family val="2"/>
      </rPr>
      <t>1_/</t>
    </r>
    <r>
      <rPr>
        <i/>
        <vertAlign val="superscript"/>
        <sz val="9"/>
        <rFont val="Candara"/>
        <family val="2"/>
      </rPr>
      <t xml:space="preserve">  </t>
    </r>
    <r>
      <rPr>
        <i/>
        <sz val="9"/>
        <rFont val="Candara"/>
        <family val="2"/>
      </rPr>
      <t xml:space="preserve">From 2010 onwards Includes resorts/hotels/guest houses &amp; safari vessels and prior that only resorts and Hotels </t>
    </r>
  </si>
  <si>
    <r>
      <rPr>
        <sz val="9"/>
        <rFont val="Candara"/>
        <family val="2"/>
      </rPr>
      <t xml:space="preserve">3_/  </t>
    </r>
    <r>
      <rPr>
        <i/>
        <sz val="9"/>
        <rFont val="Candara"/>
        <family val="2"/>
      </rPr>
      <t>2016 data are revised estimates and other years are actuals</t>
    </r>
  </si>
  <si>
    <t>Tourist Arrivals ('000)</t>
  </si>
  <si>
    <r>
      <t xml:space="preserve">Tourism Expenditure (In Million MVR) </t>
    </r>
    <r>
      <rPr>
        <i/>
        <sz val="8"/>
        <rFont val="Candara"/>
        <family val="2"/>
      </rPr>
      <t>(Revised Estimates)</t>
    </r>
    <r>
      <rPr>
        <i/>
        <vertAlign val="superscript"/>
        <sz val="10"/>
        <rFont val="Candara"/>
        <family val="2"/>
      </rPr>
      <t>3_/</t>
    </r>
  </si>
  <si>
    <t>Tourism Contribution to GDP (%) (revised from 2003 onwards)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</si>
</sst>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71" formatCode="_-* #,##0.00\ _ރ_._-;_-* #,##0.00\ _ރ_.\-;_-* &quot;-&quot;??\ _ރ_._-;_-@_-"/>
    <numFmt numFmtId="172" formatCode="0.00_)"/>
    <numFmt numFmtId="173" formatCode="_-* #,##0_-;\-* #,##0_-;_-* &quot;-&quot;??_-;_-@_-"/>
    <numFmt numFmtId="174" formatCode="[$-409]mmm\-yy;@"/>
    <numFmt numFmtId="177" formatCode="_-* #,##0.00_-;\-* #,##0.00_-;_-* &quot;-&quot;??_-;_-@_-"/>
    <numFmt numFmtId="178" formatCode="[$-409]mmmm\ d\,\ yyyy;@"/>
  </numFmts>
  <fonts count="10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9"/>
      <color indexed="10"/>
      <name val="Arial"/>
      <family val="2"/>
    </font>
    <font>
      <sz val="10"/>
      <color indexed="10"/>
      <name val="Arial"/>
      <family val="2"/>
    </font>
    <font>
      <b/>
      <sz val="9"/>
      <color indexed="10"/>
      <name val="Arial"/>
      <family val="2"/>
    </font>
    <font>
      <sz val="9"/>
      <name val="Calibri"/>
      <family val="2"/>
    </font>
    <font>
      <sz val="10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sz val="9"/>
      <color indexed="10"/>
      <name val="Calibri"/>
      <family val="2"/>
    </font>
    <font>
      <sz val="9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9"/>
      <name val="Candara"/>
      <family val="2"/>
    </font>
    <font>
      <b/>
      <sz val="9"/>
      <name val="Candara"/>
      <family val="2"/>
    </font>
    <font>
      <i/>
      <sz val="9"/>
      <name val="Candara"/>
      <family val="2"/>
    </font>
    <font>
      <i/>
      <vertAlign val="superscript"/>
      <sz val="9"/>
      <name val="Candara"/>
      <family val="2"/>
    </font>
    <font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rgb="FFFFFF00"/>
      <name val="Arial"/>
      <family val="2"/>
    </font>
    <font>
      <b/>
      <sz val="20"/>
      <color theme="0"/>
      <name val="Candara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sz val="12"/>
      <name val="Candara"/>
      <family val="2"/>
    </font>
    <font>
      <i/>
      <sz val="8"/>
      <name val="Candara"/>
      <family val="2"/>
    </font>
    <font>
      <vertAlign val="superscript"/>
      <sz val="10"/>
      <name val="Candara"/>
      <family val="2"/>
    </font>
    <font>
      <sz val="10"/>
      <color indexed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vertAlign val="superscript"/>
      <sz val="12"/>
      <name val="Candara"/>
      <family val="2"/>
    </font>
    <font>
      <sz val="9"/>
      <color rgb="FFFF0000"/>
      <name val="Candara"/>
      <family val="2"/>
    </font>
    <font>
      <sz val="9"/>
      <color rgb="FFFF000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i/>
      <vertAlign val="superscript"/>
      <sz val="10"/>
      <name val="Candara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6F00"/>
        <bgColor indexed="64"/>
      </patternFill>
    </fill>
    <fill>
      <patternFill patternType="solid">
        <fgColor rgb="FFFFE7B7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8">
    <xf numFmtId="0" fontId="0" fillId="0" borderId="0"/>
    <xf numFmtId="0" fontId="20" fillId="0" borderId="0"/>
    <xf numFmtId="0" fontId="18" fillId="0" borderId="0"/>
    <xf numFmtId="0" fontId="18" fillId="0" borderId="0"/>
    <xf numFmtId="43" fontId="1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18" fillId="0" borderId="0"/>
    <xf numFmtId="0" fontId="21" fillId="0" borderId="0"/>
    <xf numFmtId="164" fontId="21" fillId="0" borderId="0"/>
    <xf numFmtId="164" fontId="21" fillId="0" borderId="0"/>
    <xf numFmtId="0" fontId="32" fillId="0" borderId="0"/>
    <xf numFmtId="165" fontId="21" fillId="0" borderId="0"/>
    <xf numFmtId="166" fontId="21" fillId="0" borderId="0" applyFont="0" applyFill="0" applyBorder="0" applyAlignment="0" applyProtection="0"/>
    <xf numFmtId="0" fontId="13" fillId="0" borderId="0"/>
    <xf numFmtId="0" fontId="18" fillId="0" borderId="0"/>
    <xf numFmtId="0" fontId="43" fillId="0" borderId="0"/>
    <xf numFmtId="43" fontId="43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1" fillId="0" borderId="0"/>
    <xf numFmtId="0" fontId="11" fillId="0" borderId="0"/>
    <xf numFmtId="165" fontId="21" fillId="0" borderId="0"/>
    <xf numFmtId="171" fontId="43" fillId="0" borderId="0" applyFont="0" applyFill="0" applyBorder="0" applyAlignment="0" applyProtection="0"/>
    <xf numFmtId="0" fontId="43" fillId="0" borderId="0"/>
    <xf numFmtId="0" fontId="52" fillId="5" borderId="0" applyNumberFormat="0" applyBorder="0" applyAlignment="0" applyProtection="0"/>
    <xf numFmtId="0" fontId="52" fillId="6" borderId="0" applyNumberFormat="0" applyBorder="0" applyAlignment="0" applyProtection="0"/>
    <xf numFmtId="0" fontId="52" fillId="7" borderId="0" applyNumberFormat="0" applyBorder="0" applyAlignment="0" applyProtection="0"/>
    <xf numFmtId="0" fontId="52" fillId="8" borderId="0" applyNumberFormat="0" applyBorder="0" applyAlignment="0" applyProtection="0"/>
    <xf numFmtId="0" fontId="52" fillId="9" borderId="0" applyNumberFormat="0" applyBorder="0" applyAlignment="0" applyProtection="0"/>
    <xf numFmtId="0" fontId="52" fillId="10" borderId="0" applyNumberFormat="0" applyBorder="0" applyAlignment="0" applyProtection="0"/>
    <xf numFmtId="0" fontId="52" fillId="11" borderId="0" applyNumberFormat="0" applyBorder="0" applyAlignment="0" applyProtection="0"/>
    <xf numFmtId="0" fontId="52" fillId="12" borderId="0" applyNumberFormat="0" applyBorder="0" applyAlignment="0" applyProtection="0"/>
    <xf numFmtId="0" fontId="52" fillId="13" borderId="0" applyNumberFormat="0" applyBorder="0" applyAlignment="0" applyProtection="0"/>
    <xf numFmtId="0" fontId="52" fillId="8" borderId="0" applyNumberFormat="0" applyBorder="0" applyAlignment="0" applyProtection="0"/>
    <xf numFmtId="0" fontId="52" fillId="11" borderId="0" applyNumberFormat="0" applyBorder="0" applyAlignment="0" applyProtection="0"/>
    <xf numFmtId="0" fontId="52" fillId="14" borderId="0" applyNumberFormat="0" applyBorder="0" applyAlignment="0" applyProtection="0"/>
    <xf numFmtId="0" fontId="53" fillId="15" borderId="0" applyNumberFormat="0" applyBorder="0" applyAlignment="0" applyProtection="0"/>
    <xf numFmtId="0" fontId="53" fillId="12" borderId="0" applyNumberFormat="0" applyBorder="0" applyAlignment="0" applyProtection="0"/>
    <xf numFmtId="0" fontId="53" fillId="13" borderId="0" applyNumberFormat="0" applyBorder="0" applyAlignment="0" applyProtection="0"/>
    <xf numFmtId="0" fontId="53" fillId="16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19" borderId="0" applyNumberFormat="0" applyBorder="0" applyAlignment="0" applyProtection="0"/>
    <xf numFmtId="0" fontId="53" fillId="20" borderId="0" applyNumberFormat="0" applyBorder="0" applyAlignment="0" applyProtection="0"/>
    <xf numFmtId="0" fontId="53" fillId="21" borderId="0" applyNumberFormat="0" applyBorder="0" applyAlignment="0" applyProtection="0"/>
    <xf numFmtId="0" fontId="53" fillId="16" borderId="0" applyNumberFormat="0" applyBorder="0" applyAlignment="0" applyProtection="0"/>
    <xf numFmtId="0" fontId="53" fillId="17" borderId="0" applyNumberFormat="0" applyBorder="0" applyAlignment="0" applyProtection="0"/>
    <xf numFmtId="0" fontId="53" fillId="22" borderId="0" applyNumberFormat="0" applyBorder="0" applyAlignment="0" applyProtection="0"/>
    <xf numFmtId="0" fontId="54" fillId="6" borderId="0" applyNumberFormat="0" applyBorder="0" applyAlignment="0" applyProtection="0"/>
    <xf numFmtId="0" fontId="55" fillId="23" borderId="1" applyNumberFormat="0" applyAlignment="0" applyProtection="0"/>
    <xf numFmtId="0" fontId="56" fillId="24" borderId="2" applyNumberFormat="0" applyAlignment="0" applyProtection="0"/>
    <xf numFmtId="40" fontId="50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8" fillId="7" borderId="0" applyNumberFormat="0" applyBorder="0" applyAlignment="0" applyProtection="0"/>
    <xf numFmtId="0" fontId="59" fillId="0" borderId="3" applyNumberFormat="0" applyFill="0" applyAlignment="0" applyProtection="0"/>
    <xf numFmtId="0" fontId="60" fillId="0" borderId="4" applyNumberFormat="0" applyFill="0" applyAlignment="0" applyProtection="0"/>
    <xf numFmtId="0" fontId="61" fillId="0" borderId="5" applyNumberFormat="0" applyFill="0" applyAlignment="0" applyProtection="0"/>
    <xf numFmtId="0" fontId="61" fillId="0" borderId="0" applyNumberFormat="0" applyFill="0" applyBorder="0" applyAlignment="0" applyProtection="0"/>
    <xf numFmtId="0" fontId="62" fillId="10" borderId="1" applyNumberFormat="0" applyAlignment="0" applyProtection="0"/>
    <xf numFmtId="0" fontId="63" fillId="0" borderId="6" applyNumberFormat="0" applyFill="0" applyAlignment="0" applyProtection="0"/>
    <xf numFmtId="0" fontId="64" fillId="25" borderId="0" applyNumberFormat="0" applyBorder="0" applyAlignment="0" applyProtection="0"/>
    <xf numFmtId="172" fontId="51" fillId="0" borderId="0"/>
    <xf numFmtId="0" fontId="43" fillId="0" borderId="0"/>
    <xf numFmtId="0" fontId="43" fillId="0" borderId="0"/>
    <xf numFmtId="0" fontId="43" fillId="0" borderId="0"/>
    <xf numFmtId="0" fontId="14" fillId="0" borderId="0"/>
    <xf numFmtId="165" fontId="2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3" fillId="0" borderId="0"/>
    <xf numFmtId="0" fontId="52" fillId="26" borderId="7" applyNumberFormat="0" applyFont="0" applyAlignment="0" applyProtection="0"/>
    <xf numFmtId="0" fontId="65" fillId="23" borderId="8" applyNumberFormat="0" applyAlignment="0" applyProtection="0"/>
    <xf numFmtId="9" fontId="50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49" fillId="0" borderId="9" applyNumberFormat="0" applyFill="0" applyAlignment="0" applyProtection="0"/>
    <xf numFmtId="0" fontId="67" fillId="0" borderId="0" applyNumberFormat="0" applyFill="0" applyBorder="0" applyAlignment="0" applyProtection="0"/>
    <xf numFmtId="165" fontId="21" fillId="0" borderId="0"/>
    <xf numFmtId="165" fontId="21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68" fillId="0" borderId="0" applyNumberFormat="0" applyFill="0" applyBorder="0" applyAlignment="0" applyProtection="0"/>
    <xf numFmtId="0" fontId="69" fillId="0" borderId="10" applyNumberFormat="0" applyFill="0" applyAlignment="0" applyProtection="0"/>
    <xf numFmtId="0" fontId="70" fillId="0" borderId="11" applyNumberFormat="0" applyFill="0" applyAlignment="0" applyProtection="0"/>
    <xf numFmtId="0" fontId="71" fillId="0" borderId="12" applyNumberFormat="0" applyFill="0" applyAlignment="0" applyProtection="0"/>
    <xf numFmtId="0" fontId="71" fillId="0" borderId="0" applyNumberFormat="0" applyFill="0" applyBorder="0" applyAlignment="0" applyProtection="0"/>
    <xf numFmtId="0" fontId="72" fillId="27" borderId="0" applyNumberFormat="0" applyBorder="0" applyAlignment="0" applyProtection="0"/>
    <xf numFmtId="0" fontId="73" fillId="28" borderId="0" applyNumberFormat="0" applyBorder="0" applyAlignment="0" applyProtection="0"/>
    <xf numFmtId="0" fontId="74" fillId="29" borderId="0" applyNumberFormat="0" applyBorder="0" applyAlignment="0" applyProtection="0"/>
    <xf numFmtId="0" fontId="75" fillId="30" borderId="13" applyNumberFormat="0" applyAlignment="0" applyProtection="0"/>
    <xf numFmtId="0" fontId="76" fillId="31" borderId="14" applyNumberFormat="0" applyAlignment="0" applyProtection="0"/>
    <xf numFmtId="0" fontId="77" fillId="31" borderId="13" applyNumberFormat="0" applyAlignment="0" applyProtection="0"/>
    <xf numFmtId="0" fontId="78" fillId="0" borderId="15" applyNumberFormat="0" applyFill="0" applyAlignment="0" applyProtection="0"/>
    <xf numFmtId="0" fontId="79" fillId="32" borderId="16" applyNumberFormat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46" fillId="0" borderId="18" applyNumberFormat="0" applyFill="0" applyAlignment="0" applyProtection="0"/>
    <xf numFmtId="0" fontId="82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82" fillId="37" borderId="0" applyNumberFormat="0" applyBorder="0" applyAlignment="0" applyProtection="0"/>
    <xf numFmtId="0" fontId="82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82" fillId="41" borderId="0" applyNumberFormat="0" applyBorder="0" applyAlignment="0" applyProtection="0"/>
    <xf numFmtId="0" fontId="82" fillId="42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82" fillId="45" borderId="0" applyNumberFormat="0" applyBorder="0" applyAlignment="0" applyProtection="0"/>
    <xf numFmtId="0" fontId="82" fillId="46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82" fillId="49" borderId="0" applyNumberFormat="0" applyBorder="0" applyAlignment="0" applyProtection="0"/>
    <xf numFmtId="0" fontId="82" fillId="50" borderId="0" applyNumberFormat="0" applyBorder="0" applyAlignment="0" applyProtection="0"/>
    <xf numFmtId="0" fontId="9" fillId="51" borderId="0" applyNumberFormat="0" applyBorder="0" applyAlignment="0" applyProtection="0"/>
    <xf numFmtId="0" fontId="9" fillId="52" borderId="0" applyNumberFormat="0" applyBorder="0" applyAlignment="0" applyProtection="0"/>
    <xf numFmtId="0" fontId="82" fillId="53" borderId="0" applyNumberFormat="0" applyBorder="0" applyAlignment="0" applyProtection="0"/>
    <xf numFmtId="0" fontId="82" fillId="54" borderId="0" applyNumberFormat="0" applyBorder="0" applyAlignment="0" applyProtection="0"/>
    <xf numFmtId="0" fontId="9" fillId="55" borderId="0" applyNumberFormat="0" applyBorder="0" applyAlignment="0" applyProtection="0"/>
    <xf numFmtId="0" fontId="9" fillId="56" borderId="0" applyNumberFormat="0" applyBorder="0" applyAlignment="0" applyProtection="0"/>
    <xf numFmtId="0" fontId="82" fillId="57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3" fillId="0" borderId="10" applyNumberFormat="0" applyFill="0" applyAlignment="0" applyProtection="0"/>
    <xf numFmtId="173" fontId="52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9" fillId="33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165" fontId="21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4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84" fillId="0" borderId="0"/>
    <xf numFmtId="0" fontId="5" fillId="0" borderId="0"/>
    <xf numFmtId="165" fontId="21" fillId="0" borderId="0"/>
    <xf numFmtId="0" fontId="89" fillId="0" borderId="0"/>
    <xf numFmtId="43" fontId="89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2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4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3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50" fillId="0" borderId="0" applyFont="0" applyFill="0" applyBorder="0" applyAlignment="0" applyProtection="0"/>
    <xf numFmtId="178" fontId="21" fillId="0" borderId="0"/>
    <xf numFmtId="178" fontId="21" fillId="0" borderId="0"/>
    <xf numFmtId="0" fontId="1" fillId="0" borderId="0"/>
    <xf numFmtId="0" fontId="99" fillId="0" borderId="0" applyNumberFormat="0" applyFill="0" applyBorder="0" applyAlignment="0" applyProtection="0"/>
    <xf numFmtId="0" fontId="100" fillId="29" borderId="0" applyNumberFormat="0" applyBorder="0" applyAlignment="0" applyProtection="0"/>
    <xf numFmtId="0" fontId="1" fillId="33" borderId="17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</cellStyleXfs>
  <cellXfs count="102">
    <xf numFmtId="0" fontId="0" fillId="0" borderId="0" xfId="0"/>
    <xf numFmtId="0" fontId="0" fillId="0" borderId="0" xfId="1" applyFont="1" applyFill="1"/>
    <xf numFmtId="0" fontId="18" fillId="0" borderId="0" xfId="1" applyFont="1" applyFill="1"/>
    <xf numFmtId="0" fontId="0" fillId="0" borderId="0" xfId="0" applyFill="1"/>
    <xf numFmtId="0" fontId="18" fillId="3" borderId="0" xfId="1" applyFont="1" applyFill="1"/>
    <xf numFmtId="0" fontId="16" fillId="3" borderId="0" xfId="1" applyFont="1" applyFill="1"/>
    <xf numFmtId="0" fontId="15" fillId="3" borderId="0" xfId="1" applyFont="1" applyFill="1"/>
    <xf numFmtId="3" fontId="16" fillId="3" borderId="0" xfId="1" applyNumberFormat="1" applyFont="1" applyFill="1"/>
    <xf numFmtId="0" fontId="16" fillId="3" borderId="0" xfId="1" applyFont="1" applyFill="1" applyBorder="1" applyAlignment="1">
      <alignment horizontal="right"/>
    </xf>
    <xf numFmtId="167" fontId="25" fillId="3" borderId="0" xfId="4" applyNumberFormat="1" applyFont="1" applyFill="1"/>
    <xf numFmtId="166" fontId="25" fillId="3" borderId="0" xfId="1" applyNumberFormat="1" applyFont="1" applyFill="1"/>
    <xf numFmtId="0" fontId="25" fillId="3" borderId="0" xfId="1" applyFont="1" applyFill="1"/>
    <xf numFmtId="0" fontId="25" fillId="3" borderId="0" xfId="1" applyFont="1" applyFill="1" applyAlignment="1">
      <alignment vertical="center"/>
    </xf>
    <xf numFmtId="0" fontId="0" fillId="3" borderId="0" xfId="0" applyFill="1"/>
    <xf numFmtId="0" fontId="18" fillId="3" borderId="0" xfId="0" applyFont="1" applyFill="1"/>
    <xf numFmtId="0" fontId="0" fillId="3" borderId="0" xfId="0" applyFill="1" applyBorder="1"/>
    <xf numFmtId="0" fontId="38" fillId="3" borderId="0" xfId="1" applyFont="1" applyFill="1" applyAlignment="1">
      <alignment vertical="center"/>
    </xf>
    <xf numFmtId="0" fontId="37" fillId="3" borderId="0" xfId="1" applyFont="1" applyFill="1" applyAlignment="1">
      <alignment vertical="center"/>
    </xf>
    <xf numFmtId="0" fontId="25" fillId="4" borderId="0" xfId="1" applyFont="1" applyFill="1" applyAlignment="1">
      <alignment vertical="center"/>
    </xf>
    <xf numFmtId="0" fontId="37" fillId="4" borderId="0" xfId="1" applyFont="1" applyFill="1" applyAlignment="1">
      <alignment vertical="center"/>
    </xf>
    <xf numFmtId="0" fontId="37" fillId="3" borderId="0" xfId="1" applyFont="1" applyFill="1" applyAlignment="1"/>
    <xf numFmtId="3" fontId="33" fillId="3" borderId="0" xfId="1" applyNumberFormat="1" applyFont="1" applyFill="1" applyAlignment="1">
      <alignment horizontal="right" vertical="center"/>
    </xf>
    <xf numFmtId="167" fontId="26" fillId="3" borderId="0" xfId="4" applyNumberFormat="1" applyFont="1" applyFill="1" applyAlignment="1">
      <alignment horizontal="right" vertical="center"/>
    </xf>
    <xf numFmtId="3" fontId="26" fillId="3" borderId="0" xfId="1" applyNumberFormat="1" applyFont="1" applyFill="1" applyAlignment="1">
      <alignment horizontal="right" vertical="center"/>
    </xf>
    <xf numFmtId="166" fontId="41" fillId="3" borderId="0" xfId="1" applyNumberFormat="1" applyFont="1" applyFill="1" applyAlignment="1">
      <alignment horizontal="right" vertical="center"/>
    </xf>
    <xf numFmtId="4" fontId="26" fillId="3" borderId="0" xfId="1" applyNumberFormat="1" applyFont="1" applyFill="1" applyAlignment="1">
      <alignment horizontal="right" vertical="center"/>
    </xf>
    <xf numFmtId="0" fontId="30" fillId="3" borderId="0" xfId="1" applyFont="1" applyFill="1" applyAlignment="1">
      <alignment vertical="center"/>
    </xf>
    <xf numFmtId="166" fontId="0" fillId="3" borderId="0" xfId="1" applyNumberFormat="1" applyFont="1" applyFill="1"/>
    <xf numFmtId="0" fontId="0" fillId="3" borderId="0" xfId="1" applyFont="1" applyFill="1"/>
    <xf numFmtId="0" fontId="17" fillId="3" borderId="0" xfId="1" applyFont="1" applyFill="1"/>
    <xf numFmtId="0" fontId="16" fillId="3" borderId="0" xfId="1" applyNumberFormat="1" applyFont="1" applyFill="1"/>
    <xf numFmtId="43" fontId="0" fillId="3" borderId="0" xfId="0" applyNumberFormat="1" applyFill="1"/>
    <xf numFmtId="4" fontId="16" fillId="3" borderId="0" xfId="1" applyNumberFormat="1" applyFont="1" applyFill="1" applyAlignment="1">
      <alignment horizontal="right"/>
    </xf>
    <xf numFmtId="2" fontId="0" fillId="3" borderId="0" xfId="1" applyNumberFormat="1" applyFont="1" applyFill="1"/>
    <xf numFmtId="0" fontId="0" fillId="2" borderId="0" xfId="0" applyFill="1"/>
    <xf numFmtId="0" fontId="23" fillId="2" borderId="0" xfId="1" applyFont="1" applyFill="1"/>
    <xf numFmtId="0" fontId="0" fillId="2" borderId="0" xfId="1" applyFont="1" applyFill="1"/>
    <xf numFmtId="1" fontId="27" fillId="3" borderId="0" xfId="1" applyNumberFormat="1" applyFont="1" applyFill="1"/>
    <xf numFmtId="164" fontId="16" fillId="3" borderId="0" xfId="1" applyNumberFormat="1" applyFont="1" applyFill="1" applyAlignment="1">
      <alignment horizontal="right"/>
    </xf>
    <xf numFmtId="43" fontId="0" fillId="3" borderId="0" xfId="1" applyNumberFormat="1" applyFont="1" applyFill="1"/>
    <xf numFmtId="165" fontId="17" fillId="3" borderId="0" xfId="12" applyFont="1" applyFill="1" applyBorder="1" applyAlignment="1">
      <alignment vertical="center"/>
    </xf>
    <xf numFmtId="165" fontId="16" fillId="3" borderId="0" xfId="12" applyFont="1" applyFill="1" applyBorder="1" applyAlignment="1">
      <alignment vertical="center"/>
    </xf>
    <xf numFmtId="165" fontId="0" fillId="3" borderId="0" xfId="1" applyNumberFormat="1" applyFont="1" applyFill="1"/>
    <xf numFmtId="0" fontId="35" fillId="3" borderId="0" xfId="1" applyFont="1" applyFill="1"/>
    <xf numFmtId="0" fontId="23" fillId="3" borderId="0" xfId="1" applyFont="1" applyFill="1"/>
    <xf numFmtId="164" fontId="17" fillId="3" borderId="0" xfId="1" applyNumberFormat="1" applyFont="1" applyFill="1" applyAlignment="1" applyProtection="1">
      <alignment horizontal="right" vertical="center"/>
      <protection locked="0"/>
    </xf>
    <xf numFmtId="166" fontId="16" fillId="3" borderId="0" xfId="1" applyNumberFormat="1" applyFont="1" applyFill="1" applyAlignment="1" applyProtection="1">
      <alignment horizontal="right" vertical="center"/>
      <protection locked="0"/>
    </xf>
    <xf numFmtId="0" fontId="0" fillId="3" borderId="0" xfId="1" applyNumberFormat="1" applyFont="1" applyFill="1"/>
    <xf numFmtId="0" fontId="31" fillId="3" borderId="0" xfId="1" applyFont="1" applyFill="1"/>
    <xf numFmtId="164" fontId="24" fillId="3" borderId="0" xfId="12" applyNumberFormat="1" applyFont="1" applyFill="1" applyBorder="1" applyAlignment="1">
      <alignment horizontal="right" vertical="center"/>
    </xf>
    <xf numFmtId="164" fontId="22" fillId="3" borderId="0" xfId="12" applyNumberFormat="1" applyFont="1" applyFill="1" applyBorder="1" applyAlignment="1">
      <alignment horizontal="right" vertical="center"/>
    </xf>
    <xf numFmtId="0" fontId="23" fillId="3" borderId="0" xfId="1" applyNumberFormat="1" applyFont="1" applyFill="1"/>
    <xf numFmtId="2" fontId="23" fillId="3" borderId="0" xfId="1" applyNumberFormat="1" applyFont="1" applyFill="1"/>
    <xf numFmtId="0" fontId="18" fillId="3" borderId="0" xfId="1" applyNumberFormat="1" applyFont="1" applyFill="1"/>
    <xf numFmtId="164" fontId="17" fillId="3" borderId="0" xfId="12" applyNumberFormat="1" applyFont="1" applyFill="1" applyBorder="1" applyAlignment="1">
      <alignment horizontal="right" vertical="center"/>
    </xf>
    <xf numFmtId="166" fontId="16" fillId="3" borderId="0" xfId="12" applyNumberFormat="1" applyFont="1" applyFill="1" applyBorder="1" applyAlignment="1">
      <alignment horizontal="right" vertical="center"/>
    </xf>
    <xf numFmtId="166" fontId="16" fillId="3" borderId="0" xfId="1" applyNumberFormat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164" fontId="16" fillId="3" borderId="0" xfId="12" applyNumberFormat="1" applyFont="1" applyFill="1" applyBorder="1" applyAlignment="1">
      <alignment horizontal="right" vertical="center"/>
    </xf>
    <xf numFmtId="0" fontId="44" fillId="3" borderId="0" xfId="1" applyFont="1" applyFill="1"/>
    <xf numFmtId="3" fontId="0" fillId="3" borderId="0" xfId="1" applyNumberFormat="1" applyFont="1" applyFill="1"/>
    <xf numFmtId="167" fontId="0" fillId="3" borderId="0" xfId="1" applyNumberFormat="1" applyFont="1" applyFill="1"/>
    <xf numFmtId="166" fontId="25" fillId="3" borderId="0" xfId="782" applyNumberFormat="1" applyFont="1" applyFill="1" applyBorder="1" applyAlignment="1">
      <alignment vertical="center"/>
    </xf>
    <xf numFmtId="0" fontId="16" fillId="3" borderId="0" xfId="1" applyFont="1" applyFill="1" applyBorder="1"/>
    <xf numFmtId="166" fontId="33" fillId="3" borderId="0" xfId="1" applyNumberFormat="1" applyFont="1" applyFill="1" applyAlignment="1">
      <alignment horizontal="right" vertical="center"/>
    </xf>
    <xf numFmtId="166" fontId="0" fillId="3" borderId="0" xfId="1" applyNumberFormat="1" applyFont="1" applyFill="1" applyAlignment="1">
      <alignment vertical="center"/>
    </xf>
    <xf numFmtId="0" fontId="0" fillId="3" borderId="0" xfId="1" applyFont="1" applyFill="1" applyBorder="1"/>
    <xf numFmtId="1" fontId="0" fillId="3" borderId="0" xfId="0" applyNumberFormat="1" applyFill="1"/>
    <xf numFmtId="1" fontId="28" fillId="3" borderId="0" xfId="1" applyNumberFormat="1" applyFont="1" applyFill="1" applyAlignment="1">
      <alignment horizontal="right" vertical="center"/>
    </xf>
    <xf numFmtId="166" fontId="25" fillId="3" borderId="0" xfId="782" applyNumberFormat="1" applyFont="1" applyFill="1" applyBorder="1" applyAlignment="1">
      <alignment vertical="center"/>
    </xf>
    <xf numFmtId="166" fontId="34" fillId="3" borderId="0" xfId="782" applyNumberFormat="1" applyFont="1" applyFill="1" applyBorder="1" applyAlignment="1">
      <alignment vertical="center"/>
    </xf>
    <xf numFmtId="166" fontId="33" fillId="59" borderId="0" xfId="1" applyNumberFormat="1" applyFont="1" applyFill="1" applyAlignment="1">
      <alignment horizontal="right" vertical="center"/>
    </xf>
    <xf numFmtId="167" fontId="42" fillId="3" borderId="0" xfId="4" applyNumberFormat="1" applyFont="1" applyFill="1" applyBorder="1" applyAlignment="1">
      <alignment horizontal="right" vertical="center"/>
    </xf>
    <xf numFmtId="0" fontId="38" fillId="59" borderId="0" xfId="1" applyFont="1" applyFill="1" applyAlignment="1">
      <alignment vertical="center"/>
    </xf>
    <xf numFmtId="0" fontId="27" fillId="59" borderId="0" xfId="1" applyFont="1" applyFill="1" applyAlignment="1">
      <alignment vertical="center"/>
    </xf>
    <xf numFmtId="3" fontId="27" fillId="59" borderId="0" xfId="1" applyNumberFormat="1" applyFont="1" applyFill="1" applyAlignment="1">
      <alignment horizontal="right" vertical="center"/>
    </xf>
    <xf numFmtId="3" fontId="27" fillId="59" borderId="0" xfId="1" applyNumberFormat="1" applyFont="1" applyFill="1" applyAlignment="1">
      <alignment vertical="center"/>
    </xf>
    <xf numFmtId="1" fontId="28" fillId="59" borderId="0" xfId="1" applyNumberFormat="1" applyFont="1" applyFill="1" applyAlignment="1">
      <alignment horizontal="right" vertical="center"/>
    </xf>
    <xf numFmtId="0" fontId="37" fillId="59" borderId="0" xfId="1" applyFont="1" applyFill="1" applyAlignment="1">
      <alignment vertical="center"/>
    </xf>
    <xf numFmtId="0" fontId="25" fillId="59" borderId="0" xfId="1" applyFont="1" applyFill="1" applyAlignment="1">
      <alignment vertical="center"/>
    </xf>
    <xf numFmtId="0" fontId="29" fillId="59" borderId="0" xfId="1" applyFont="1" applyFill="1" applyAlignment="1">
      <alignment vertical="center"/>
    </xf>
    <xf numFmtId="0" fontId="33" fillId="3" borderId="0" xfId="1" applyFont="1" applyFill="1" applyAlignment="1">
      <alignment horizontal="right" vertical="center"/>
    </xf>
    <xf numFmtId="3" fontId="33" fillId="59" borderId="0" xfId="1" applyNumberFormat="1" applyFont="1" applyFill="1" applyAlignment="1">
      <alignment horizontal="right" vertical="center"/>
    </xf>
    <xf numFmtId="166" fontId="88" fillId="3" borderId="0" xfId="1" applyNumberFormat="1" applyFont="1" applyFill="1" applyAlignment="1">
      <alignment horizontal="right" vertical="center"/>
    </xf>
    <xf numFmtId="166" fontId="33" fillId="4" borderId="0" xfId="1" applyNumberFormat="1" applyFont="1" applyFill="1" applyAlignment="1">
      <alignment horizontal="right" vertical="center"/>
    </xf>
    <xf numFmtId="164" fontId="33" fillId="4" borderId="0" xfId="1" applyNumberFormat="1" applyFont="1" applyFill="1" applyAlignment="1">
      <alignment horizontal="right" vertical="center"/>
    </xf>
    <xf numFmtId="0" fontId="33" fillId="4" borderId="0" xfId="1" applyFont="1" applyFill="1" applyAlignment="1">
      <alignment horizontal="right" vertical="center"/>
    </xf>
    <xf numFmtId="167" fontId="33" fillId="4" borderId="0" xfId="4" applyNumberFormat="1" applyFont="1" applyFill="1" applyAlignment="1">
      <alignment horizontal="right" vertical="center"/>
    </xf>
    <xf numFmtId="0" fontId="39" fillId="3" borderId="0" xfId="1" applyFont="1" applyFill="1" applyAlignment="1">
      <alignment vertical="center"/>
    </xf>
    <xf numFmtId="0" fontId="0" fillId="3" borderId="0" xfId="1" applyFont="1" applyFill="1" applyAlignment="1">
      <alignment vertical="center"/>
    </xf>
    <xf numFmtId="164" fontId="33" fillId="59" borderId="0" xfId="1" applyNumberFormat="1" applyFont="1" applyFill="1" applyAlignment="1">
      <alignment horizontal="right" vertical="center"/>
    </xf>
    <xf numFmtId="0" fontId="92" fillId="59" borderId="0" xfId="1" applyFont="1" applyFill="1" applyAlignment="1">
      <alignment vertical="center"/>
    </xf>
    <xf numFmtId="0" fontId="93" fillId="59" borderId="0" xfId="1" applyFont="1" applyFill="1" applyAlignment="1">
      <alignment vertical="center"/>
    </xf>
    <xf numFmtId="3" fontId="94" fillId="59" borderId="0" xfId="1" applyNumberFormat="1" applyFont="1" applyFill="1" applyAlignment="1">
      <alignment horizontal="right" vertical="center"/>
    </xf>
    <xf numFmtId="167" fontId="94" fillId="59" borderId="0" xfId="4" applyNumberFormat="1" applyFont="1" applyFill="1" applyAlignment="1">
      <alignment horizontal="right" vertical="center"/>
    </xf>
    <xf numFmtId="166" fontId="93" fillId="3" borderId="0" xfId="1" applyNumberFormat="1" applyFont="1" applyFill="1"/>
    <xf numFmtId="0" fontId="36" fillId="0" borderId="0" xfId="1" applyFont="1" applyFill="1"/>
    <xf numFmtId="1" fontId="95" fillId="3" borderId="0" xfId="1" applyNumberFormat="1" applyFont="1" applyFill="1" applyAlignment="1">
      <alignment horizontal="right" vertical="center"/>
    </xf>
    <xf numFmtId="0" fontId="96" fillId="3" borderId="0" xfId="1" applyFont="1" applyFill="1"/>
    <xf numFmtId="164" fontId="97" fillId="3" borderId="0" xfId="1" applyNumberFormat="1" applyFont="1" applyFill="1" applyAlignment="1">
      <alignment horizontal="right"/>
    </xf>
    <xf numFmtId="0" fontId="36" fillId="3" borderId="0" xfId="1" applyFont="1" applyFill="1"/>
    <xf numFmtId="0" fontId="45" fillId="58" borderId="0" xfId="1" applyFont="1" applyFill="1" applyAlignment="1">
      <alignment horizontal="left" vertical="center"/>
    </xf>
  </cellXfs>
  <cellStyles count="878">
    <cellStyle name="1" xfId="1"/>
    <cellStyle name="1 2" xfId="15"/>
    <cellStyle name="1 3" xfId="781"/>
    <cellStyle name="1 4" xfId="797"/>
    <cellStyle name="1 5" xfId="800"/>
    <cellStyle name="1_Indicators 2007" xfId="2"/>
    <cellStyle name="1_Indicators2007" xfId="3"/>
    <cellStyle name="1_Indicators2007 2" xfId="791"/>
    <cellStyle name="20% - Accent1" xfId="746" builtinId="30" customBuiltin="1"/>
    <cellStyle name="20% - Accent1 2" xfId="667"/>
    <cellStyle name="20% - Accent1 3" xfId="860"/>
    <cellStyle name="20% - Accent2" xfId="750" builtinId="34" customBuiltin="1"/>
    <cellStyle name="20% - Accent2 2" xfId="668"/>
    <cellStyle name="20% - Accent2 3" xfId="863"/>
    <cellStyle name="20% - Accent3" xfId="754" builtinId="38" customBuiltin="1"/>
    <cellStyle name="20% - Accent3 2" xfId="669"/>
    <cellStyle name="20% - Accent3 3" xfId="866"/>
    <cellStyle name="20% - Accent4" xfId="758" builtinId="42" customBuiltin="1"/>
    <cellStyle name="20% - Accent4 2" xfId="670"/>
    <cellStyle name="20% - Accent4 3" xfId="869"/>
    <cellStyle name="20% - Accent5" xfId="762" builtinId="46" customBuiltin="1"/>
    <cellStyle name="20% - Accent5 2" xfId="671"/>
    <cellStyle name="20% - Accent5 3" xfId="872"/>
    <cellStyle name="20% - Accent6" xfId="766" builtinId="50" customBuiltin="1"/>
    <cellStyle name="20% - Accent6 2" xfId="672"/>
    <cellStyle name="20% - Accent6 3" xfId="875"/>
    <cellStyle name="40% - Accent1" xfId="747" builtinId="31" customBuiltin="1"/>
    <cellStyle name="40% - Accent1 2" xfId="673"/>
    <cellStyle name="40% - Accent1 3" xfId="861"/>
    <cellStyle name="40% - Accent2" xfId="751" builtinId="35" customBuiltin="1"/>
    <cellStyle name="40% - Accent2 2" xfId="674"/>
    <cellStyle name="40% - Accent2 3" xfId="864"/>
    <cellStyle name="40% - Accent3" xfId="755" builtinId="39" customBuiltin="1"/>
    <cellStyle name="40% - Accent3 2" xfId="675"/>
    <cellStyle name="40% - Accent3 3" xfId="867"/>
    <cellStyle name="40% - Accent4" xfId="759" builtinId="43" customBuiltin="1"/>
    <cellStyle name="40% - Accent4 2" xfId="676"/>
    <cellStyle name="40% - Accent4 3" xfId="870"/>
    <cellStyle name="40% - Accent5" xfId="763" builtinId="47" customBuiltin="1"/>
    <cellStyle name="40% - Accent5 2" xfId="677"/>
    <cellStyle name="40% - Accent5 3" xfId="873"/>
    <cellStyle name="40% - Accent6" xfId="767" builtinId="51" customBuiltin="1"/>
    <cellStyle name="40% - Accent6 2" xfId="678"/>
    <cellStyle name="40% - Accent6 3" xfId="876"/>
    <cellStyle name="60% - Accent1" xfId="748" builtinId="32" customBuiltin="1"/>
    <cellStyle name="60% - Accent1 2" xfId="679"/>
    <cellStyle name="60% - Accent1 3" xfId="862"/>
    <cellStyle name="60% - Accent2" xfId="752" builtinId="36" customBuiltin="1"/>
    <cellStyle name="60% - Accent2 2" xfId="680"/>
    <cellStyle name="60% - Accent2 3" xfId="865"/>
    <cellStyle name="60% - Accent3" xfId="756" builtinId="40" customBuiltin="1"/>
    <cellStyle name="60% - Accent3 2" xfId="681"/>
    <cellStyle name="60% - Accent3 3" xfId="868"/>
    <cellStyle name="60% - Accent4" xfId="760" builtinId="44" customBuiltin="1"/>
    <cellStyle name="60% - Accent4 2" xfId="682"/>
    <cellStyle name="60% - Accent4 3" xfId="871"/>
    <cellStyle name="60% - Accent5" xfId="764" builtinId="48" customBuiltin="1"/>
    <cellStyle name="60% - Accent5 2" xfId="683"/>
    <cellStyle name="60% - Accent5 3" xfId="874"/>
    <cellStyle name="60% - Accent6" xfId="768" builtinId="52" customBuiltin="1"/>
    <cellStyle name="60% - Accent6 2" xfId="684"/>
    <cellStyle name="60% - Accent6 3" xfId="877"/>
    <cellStyle name="Accent1" xfId="745" builtinId="29" customBuiltin="1"/>
    <cellStyle name="Accent1 2" xfId="685"/>
    <cellStyle name="Accent2" xfId="749" builtinId="33" customBuiltin="1"/>
    <cellStyle name="Accent2 2" xfId="686"/>
    <cellStyle name="Accent3" xfId="753" builtinId="37" customBuiltin="1"/>
    <cellStyle name="Accent3 2" xfId="687"/>
    <cellStyle name="Accent4" xfId="757" builtinId="41" customBuiltin="1"/>
    <cellStyle name="Accent4 2" xfId="688"/>
    <cellStyle name="Accent5" xfId="761" builtinId="45" customBuiltin="1"/>
    <cellStyle name="Accent5 2" xfId="689"/>
    <cellStyle name="Accent6" xfId="765" builtinId="49" customBuiltin="1"/>
    <cellStyle name="Accent6 2" xfId="690"/>
    <cellStyle name="Bad" xfId="735" builtinId="27" customBuiltin="1"/>
    <cellStyle name="Bad 2" xfId="691"/>
    <cellStyle name="Calculation" xfId="739" builtinId="22" customBuiltin="1"/>
    <cellStyle name="Calculation 2" xfId="692"/>
    <cellStyle name="Check Cell" xfId="741" builtinId="23" customBuiltin="1"/>
    <cellStyle name="Check Cell 2" xfId="693"/>
    <cellStyle name="Comma" xfId="4" builtinId="3"/>
    <cellStyle name="Comma 10" xfId="793"/>
    <cellStyle name="Comma 11" xfId="801"/>
    <cellStyle name="Comma 2" xfId="5"/>
    <cellStyle name="Comma 2 2" xfId="665"/>
    <cellStyle name="Comma 2 2 2" xfId="803"/>
    <cellStyle name="Comma 2 3" xfId="775"/>
    <cellStyle name="Comma 2 4" xfId="783"/>
    <cellStyle name="Comma 2 5" xfId="802"/>
    <cellStyle name="Comma 2 6" xfId="853"/>
    <cellStyle name="Comma 3" xfId="6"/>
    <cellStyle name="Comma 3 2" xfId="694"/>
    <cellStyle name="Comma 3 3" xfId="804"/>
    <cellStyle name="Comma 4" xfId="13"/>
    <cellStyle name="Comma 4 2" xfId="805"/>
    <cellStyle name="Comma 5" xfId="17"/>
    <cellStyle name="Comma 5 2" xfId="806"/>
    <cellStyle name="Comma 6" xfId="20"/>
    <cellStyle name="Comma 6 2" xfId="807"/>
    <cellStyle name="Comma 7" xfId="725"/>
    <cellStyle name="Comma 8" xfId="770"/>
    <cellStyle name="Comma 9" xfId="790"/>
    <cellStyle name="Explanatory Text" xfId="743" builtinId="53" customBuiltin="1"/>
    <cellStyle name="Explanatory Text 2" xfId="695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Good" xfId="734" builtinId="26" customBuiltin="1"/>
    <cellStyle name="Good 2" xfId="696"/>
    <cellStyle name="Heading 1" xfId="730" builtinId="16" customBuiltin="1"/>
    <cellStyle name="Heading 1 2" xfId="697"/>
    <cellStyle name="Heading 1 2 2" xfId="774"/>
    <cellStyle name="Heading 2" xfId="731" builtinId="17" customBuiltin="1"/>
    <cellStyle name="Heading 2 2" xfId="698"/>
    <cellStyle name="Heading 3" xfId="732" builtinId="18" customBuiltin="1"/>
    <cellStyle name="Heading 3 2" xfId="699"/>
    <cellStyle name="Heading 4" xfId="733" builtinId="19" customBuiltin="1"/>
    <cellStyle name="Heading 4 2" xfId="700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Input" xfId="737" builtinId="20" customBuiltin="1"/>
    <cellStyle name="Input 2" xfId="701"/>
    <cellStyle name="Linked Cell" xfId="740" builtinId="24" customBuiltin="1"/>
    <cellStyle name="Linked Cell 2" xfId="702"/>
    <cellStyle name="Neutral" xfId="736" builtinId="28" customBuiltin="1"/>
    <cellStyle name="Neutral 2" xfId="703"/>
    <cellStyle name="Neutral 3" xfId="858"/>
    <cellStyle name="Normal" xfId="0" builtinId="0"/>
    <cellStyle name="Normal - Style1" xfId="704"/>
    <cellStyle name="Normal 10" xfId="705"/>
    <cellStyle name="Normal 10 2" xfId="808"/>
    <cellStyle name="Normal 11" xfId="706"/>
    <cellStyle name="Normal 12" xfId="707"/>
    <cellStyle name="Normal 12 2" xfId="809"/>
    <cellStyle name="Normal 13" xfId="666"/>
    <cellStyle name="Normal 13 2" xfId="810"/>
    <cellStyle name="Normal 14" xfId="722"/>
    <cellStyle name="Normal 14 2" xfId="811"/>
    <cellStyle name="Normal 15" xfId="723"/>
    <cellStyle name="Normal 15 2" xfId="812"/>
    <cellStyle name="Normal 16" xfId="662"/>
    <cellStyle name="Normal 16 2" xfId="813"/>
    <cellStyle name="Normal 17" xfId="724"/>
    <cellStyle name="Normal 17 2" xfId="814"/>
    <cellStyle name="Normal 18" xfId="726"/>
    <cellStyle name="Normal 18 2" xfId="815"/>
    <cellStyle name="Normal 19" xfId="727"/>
    <cellStyle name="Normal 19 2" xfId="816"/>
    <cellStyle name="Normal 2" xfId="7"/>
    <cellStyle name="Normal 2 2" xfId="18"/>
    <cellStyle name="Normal 2 2 2" xfId="8"/>
    <cellStyle name="Normal 2 2 3" xfId="708"/>
    <cellStyle name="Normal 2 2 4" xfId="778"/>
    <cellStyle name="Normal 2 2 5" xfId="817"/>
    <cellStyle name="Normal 2 3" xfId="21"/>
    <cellStyle name="Normal 2 3 2" xfId="818"/>
    <cellStyle name="Normal 2 4" xfId="663"/>
    <cellStyle name="Normal 2 5" xfId="795"/>
    <cellStyle name="Normal 20" xfId="728"/>
    <cellStyle name="Normal 20 2" xfId="819"/>
    <cellStyle name="Normal 21" xfId="769"/>
    <cellStyle name="Normal 21 2" xfId="820"/>
    <cellStyle name="Normal 22" xfId="771"/>
    <cellStyle name="Normal 22 2" xfId="821"/>
    <cellStyle name="Normal 23" xfId="772"/>
    <cellStyle name="Normal 23 2" xfId="822"/>
    <cellStyle name="Normal 24" xfId="773"/>
    <cellStyle name="Normal 24 2" xfId="823"/>
    <cellStyle name="Normal 25" xfId="779"/>
    <cellStyle name="Normal 25 2" xfId="824"/>
    <cellStyle name="Normal 26" xfId="780"/>
    <cellStyle name="Normal 26 2" xfId="825"/>
    <cellStyle name="Normal 27" xfId="784"/>
    <cellStyle name="Normal 27 2" xfId="826"/>
    <cellStyle name="Normal 28" xfId="785"/>
    <cellStyle name="Normal 28 2" xfId="827"/>
    <cellStyle name="Normal 29" xfId="786"/>
    <cellStyle name="Normal 29 2" xfId="828"/>
    <cellStyle name="Normal 3" xfId="9"/>
    <cellStyle name="Normal 3 2" xfId="709"/>
    <cellStyle name="Normal 3 2 2" xfId="830"/>
    <cellStyle name="Normal 3 3" xfId="798"/>
    <cellStyle name="Normal 3 3 2" xfId="831"/>
    <cellStyle name="Normal 3 4" xfId="829"/>
    <cellStyle name="Normal 3_agri planning 2009 year book(final)" xfId="855"/>
    <cellStyle name="Normal 30" xfId="787"/>
    <cellStyle name="Normal 30 2" xfId="832"/>
    <cellStyle name="Normal 31" xfId="789"/>
    <cellStyle name="Normal 31 2" xfId="833"/>
    <cellStyle name="Normal 32" xfId="792"/>
    <cellStyle name="Normal 32 2" xfId="834"/>
    <cellStyle name="Normal 33" xfId="796"/>
    <cellStyle name="Normal 33 2" xfId="835"/>
    <cellStyle name="Normal 34" xfId="836"/>
    <cellStyle name="Normal 35" xfId="837"/>
    <cellStyle name="Normal 36" xfId="838"/>
    <cellStyle name="Normal 37" xfId="839"/>
    <cellStyle name="Normal 38" xfId="840"/>
    <cellStyle name="Normal 39" xfId="841"/>
    <cellStyle name="Normal 4" xfId="10"/>
    <cellStyle name="Normal 4 2" xfId="710"/>
    <cellStyle name="Normal 4 2 2" xfId="842"/>
    <cellStyle name="Normal 4 3" xfId="799"/>
    <cellStyle name="Normal 4_agri planning 2009 year book(final)" xfId="854"/>
    <cellStyle name="Normal 40" xfId="843"/>
    <cellStyle name="Normal 41" xfId="844"/>
    <cellStyle name="Normal 42" xfId="845"/>
    <cellStyle name="Normal 43" xfId="846"/>
    <cellStyle name="Normal 44" xfId="847"/>
    <cellStyle name="Normal 45" xfId="849"/>
    <cellStyle name="Normal 46" xfId="850"/>
    <cellStyle name="Normal 47" xfId="851"/>
    <cellStyle name="Normal 48" xfId="852"/>
    <cellStyle name="Normal 49" xfId="856"/>
    <cellStyle name="Normal 5" xfId="11"/>
    <cellStyle name="Normal 5 2" xfId="711"/>
    <cellStyle name="Normal 6" xfId="14"/>
    <cellStyle name="Normal 6 2" xfId="712"/>
    <cellStyle name="Normal 7" xfId="16"/>
    <cellStyle name="Normal 7 2" xfId="713"/>
    <cellStyle name="Normal 8" xfId="19"/>
    <cellStyle name="Normal 8 2" xfId="714"/>
    <cellStyle name="Normal 9" xfId="664"/>
    <cellStyle name="Normal 9 2" xfId="715"/>
    <cellStyle name="Normal 9 3" xfId="848"/>
    <cellStyle name="Normal_VIII-8 (Tourism)" xfId="12"/>
    <cellStyle name="Normal_XII-3 (Commerce)" xfId="782"/>
    <cellStyle name="Note 2" xfId="716"/>
    <cellStyle name="Note 3" xfId="777"/>
    <cellStyle name="Note 4" xfId="859"/>
    <cellStyle name="Output" xfId="738" builtinId="21" customBuiltin="1"/>
    <cellStyle name="Output 2" xfId="717"/>
    <cellStyle name="Percent 2" xfId="718"/>
    <cellStyle name="Percent 2 2" xfId="776"/>
    <cellStyle name="Percent 3" xfId="788"/>
    <cellStyle name="Percent 4" xfId="794"/>
    <cellStyle name="Title" xfId="729" builtinId="15" customBuiltin="1"/>
    <cellStyle name="Title 2" xfId="719"/>
    <cellStyle name="Title 3" xfId="857"/>
    <cellStyle name="Total" xfId="744" builtinId="25" customBuiltin="1"/>
    <cellStyle name="Total 2" xfId="720"/>
    <cellStyle name="Warning Text" xfId="742" builtinId="11" customBuiltin="1"/>
    <cellStyle name="Warning Text 2" xfId="72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E7B7"/>
      <color rgb="FFFFC757"/>
      <color rgb="FFCC6600"/>
      <color rgb="FFDE6F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ndara" pitchFamily="34" charset="0"/>
                <a:ea typeface="Calibri"/>
                <a:cs typeface="Calibri"/>
              </a:defRPr>
            </a:pPr>
            <a:r>
              <a:rPr lang="en-US">
                <a:latin typeface="Candara" pitchFamily="34" charset="0"/>
              </a:rPr>
              <a:t>Growth in tourist arrivals, 2006 - 2016</a:t>
            </a:r>
          </a:p>
        </c:rich>
      </c:tx>
      <c:layout>
        <c:manualLayout>
          <c:xMode val="edge"/>
          <c:yMode val="edge"/>
          <c:x val="0.26482328833526741"/>
          <c:y val="2.5040922513271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038177162440793E-2"/>
          <c:y val="0.17601392437866653"/>
          <c:w val="0.90483157393886904"/>
          <c:h val="0.70626398210290831"/>
        </c:manualLayout>
      </c:layout>
      <c:lineChart>
        <c:grouping val="standard"/>
        <c:varyColors val="0"/>
        <c:ser>
          <c:idx val="0"/>
          <c:order val="0"/>
          <c:tx>
            <c:strRef>
              <c:f>Touri!$A$7</c:f>
              <c:strCache>
                <c:ptCount val="1"/>
                <c:pt idx="0">
                  <c:v>Growth in Tourist Arrivals (%)</c:v>
                </c:pt>
              </c:strCache>
            </c:strRef>
          </c:tx>
          <c:spPr>
            <a:ln w="22225">
              <a:solidFill>
                <a:srgbClr val="DE6F00"/>
              </a:solidFill>
            </a:ln>
          </c:spPr>
          <c:marker>
            <c:symbol val="circle"/>
            <c:size val="6"/>
            <c:spPr>
              <a:solidFill>
                <a:srgbClr val="FFC757"/>
              </a:solidFill>
              <a:ln>
                <a:solidFill>
                  <a:schemeClr val="accent6">
                    <a:lumMod val="50000"/>
                  </a:schemeClr>
                </a:solidFill>
              </a:ln>
            </c:spPr>
          </c:marker>
          <c:cat>
            <c:numRef>
              <c:f>Touri!$F$3:$P$3</c:f>
              <c:numCache>
                <c:formatCode>0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Touri!$F$7:$P$7</c:f>
              <c:numCache>
                <c:formatCode>0.0</c:formatCode>
                <c:ptCount val="11"/>
                <c:pt idx="0">
                  <c:v>52.262217950015177</c:v>
                </c:pt>
                <c:pt idx="1">
                  <c:v>12.288282720547313</c:v>
                </c:pt>
                <c:pt idx="2">
                  <c:v>1.0538712717620793</c:v>
                </c:pt>
                <c:pt idx="3">
                  <c:v>-4</c:v>
                </c:pt>
                <c:pt idx="4">
                  <c:v>20.746296420533902</c:v>
                </c:pt>
                <c:pt idx="5">
                  <c:v>17.600000000000001</c:v>
                </c:pt>
                <c:pt idx="6">
                  <c:v>2.9</c:v>
                </c:pt>
                <c:pt idx="7">
                  <c:v>17.450170924558336</c:v>
                </c:pt>
                <c:pt idx="8">
                  <c:v>7.1</c:v>
                </c:pt>
                <c:pt idx="9">
                  <c:v>2.4393766231179304</c:v>
                </c:pt>
                <c:pt idx="10">
                  <c:v>4.2039363239802698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66-4418-AD32-DCA5395D0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335936"/>
        <c:axId val="117342208"/>
      </c:lineChart>
      <c:catAx>
        <c:axId val="117335936"/>
        <c:scaling>
          <c:orientation val="minMax"/>
        </c:scaling>
        <c:delete val="0"/>
        <c:axPos val="b"/>
        <c:numFmt formatCode="0" sourceLinked="1"/>
        <c:majorTickMark val="none"/>
        <c:minorTickMark val="out"/>
        <c:tickLblPos val="low"/>
        <c:spPr>
          <a:ln w="22225">
            <a:solidFill>
              <a:srgbClr val="FFC757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3422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7342208"/>
        <c:scaling>
          <c:orientation val="minMax"/>
        </c:scaling>
        <c:delete val="0"/>
        <c:axPos val="l"/>
        <c:majorGridlines>
          <c:spPr>
            <a:ln w="3175">
              <a:solidFill>
                <a:srgbClr val="FFC757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/>
                  <a:t>In percent</a:t>
                </a:r>
              </a:p>
            </c:rich>
          </c:tx>
          <c:layout>
            <c:manualLayout>
              <c:xMode val="edge"/>
              <c:yMode val="edge"/>
              <c:x val="4.5902062956699689E-3"/>
              <c:y val="7.3500502034561113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335936"/>
        <c:crosses val="autoZero"/>
        <c:crossBetween val="between"/>
      </c:valAx>
      <c:spPr>
        <a:solidFill>
          <a:srgbClr val="FFFAE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2698145632203557"/>
          <c:y val="0.29650972642328477"/>
          <c:w val="0.48928542508300116"/>
          <c:h val="5.7447289224679399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ndara" pitchFamily="34" charset="0"/>
                <a:ea typeface="Calibri"/>
                <a:cs typeface="Calibri"/>
              </a:defRPr>
            </a:pPr>
            <a:r>
              <a:rPr lang="en-US">
                <a:latin typeface="Candara" pitchFamily="34" charset="0"/>
              </a:rPr>
              <a:t>Tourism Contribution to GDP (%), 2006 - 2016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6096575150307365E-2"/>
          <c:y val="0.21178025556582744"/>
          <c:w val="0.91633179543068788"/>
          <c:h val="0.66431421207893071"/>
        </c:manualLayout>
      </c:layout>
      <c:lineChart>
        <c:grouping val="standard"/>
        <c:varyColors val="0"/>
        <c:ser>
          <c:idx val="0"/>
          <c:order val="0"/>
          <c:tx>
            <c:strRef>
              <c:f>Touri!$A$23</c:f>
              <c:strCache>
                <c:ptCount val="1"/>
                <c:pt idx="0">
                  <c:v>Tourism Contribution to GDP (%) (revised from 2003 onwards)</c:v>
                </c:pt>
              </c:strCache>
            </c:strRef>
          </c:tx>
          <c:spPr>
            <a:ln w="22225">
              <a:solidFill>
                <a:schemeClr val="accent2">
                  <a:lumMod val="75000"/>
                </a:schemeClr>
              </a:solidFill>
            </a:ln>
          </c:spPr>
          <c:marker>
            <c:symbol val="diamond"/>
            <c:size val="7"/>
            <c:spPr>
              <a:solidFill>
                <a:srgbClr val="FFC757">
                  <a:alpha val="97000"/>
                </a:srgbClr>
              </a:solidFill>
              <a:ln w="9525">
                <a:solidFill>
                  <a:srgbClr val="DE6F00"/>
                </a:solidFill>
                <a:prstDash val="solid"/>
              </a:ln>
            </c:spPr>
          </c:marker>
          <c:cat>
            <c:numRef>
              <c:f>Touri!$F$3:$P$3</c:f>
              <c:numCache>
                <c:formatCode>0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Touri!$F$23:$P$23</c:f>
              <c:numCache>
                <c:formatCode>0.0</c:formatCode>
                <c:ptCount val="11"/>
                <c:pt idx="0">
                  <c:v>27.139337412882558</c:v>
                </c:pt>
                <c:pt idx="1">
                  <c:v>29.503968519282786</c:v>
                </c:pt>
                <c:pt idx="2">
                  <c:v>25.361439681677243</c:v>
                </c:pt>
                <c:pt idx="3">
                  <c:v>25.226395840844063</c:v>
                </c:pt>
                <c:pt idx="4">
                  <c:v>26.145496698869628</c:v>
                </c:pt>
                <c:pt idx="5">
                  <c:v>25.194825660434443</c:v>
                </c:pt>
                <c:pt idx="6">
                  <c:v>24.857456566934687</c:v>
                </c:pt>
                <c:pt idx="7">
                  <c:v>25.562514567993571</c:v>
                </c:pt>
                <c:pt idx="8">
                  <c:v>25.222215686999792</c:v>
                </c:pt>
                <c:pt idx="9">
                  <c:v>23.165834456351099</c:v>
                </c:pt>
                <c:pt idx="10">
                  <c:v>19.637445059556079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71-4EE9-A093-588439BE8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60288"/>
        <c:axId val="97262208"/>
      </c:lineChart>
      <c:catAx>
        <c:axId val="97260288"/>
        <c:scaling>
          <c:orientation val="minMax"/>
        </c:scaling>
        <c:delete val="0"/>
        <c:axPos val="b"/>
        <c:majorGridlines>
          <c:spPr>
            <a:ln>
              <a:solidFill>
                <a:srgbClr val="FFC757"/>
              </a:solidFill>
            </a:ln>
          </c:spPr>
        </c:majorGridlines>
        <c:numFmt formatCode="0" sourceLinked="1"/>
        <c:majorTickMark val="none"/>
        <c:minorTickMark val="out"/>
        <c:tickLblPos val="low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2622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726220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FFD9B3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6.7389994427932039E-3"/>
              <c:y val="8.8259224474682485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260288"/>
        <c:crosses val="autoZero"/>
        <c:crossBetween val="between"/>
        <c:majorUnit val="10"/>
      </c:valAx>
      <c:spPr>
        <a:solidFill>
          <a:srgbClr val="FFFAE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9099376430370361"/>
          <c:y val="0.59874050042661264"/>
          <c:w val="0.41049868766404202"/>
          <c:h val="9.0909303003791186E-2"/>
        </c:manualLayout>
      </c:layout>
      <c:overlay val="0"/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188696</xdr:colOff>
      <xdr:row>26</xdr:row>
      <xdr:rowOff>102981</xdr:rowOff>
    </xdr:from>
    <xdr:to>
      <xdr:col>7</xdr:col>
      <xdr:colOff>170089</xdr:colOff>
      <xdr:row>39</xdr:row>
      <xdr:rowOff>19387</xdr:rowOff>
    </xdr:to>
    <xdr:graphicFrame macro="">
      <xdr:nvGraphicFramePr>
        <xdr:cNvPr id="63525178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306160</xdr:colOff>
      <xdr:row>26</xdr:row>
      <xdr:rowOff>112737</xdr:rowOff>
    </xdr:from>
    <xdr:to>
      <xdr:col>15</xdr:col>
      <xdr:colOff>139889</xdr:colOff>
      <xdr:row>39</xdr:row>
      <xdr:rowOff>28014</xdr:rowOff>
    </xdr:to>
    <xdr:graphicFrame macro="">
      <xdr:nvGraphicFramePr>
        <xdr:cNvPr id="6352518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%20request\STAFF\Niyaf(ST2)\yearbook%202010\df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issemination\Publications\Statistical%20%20Year%20Book\YEARBOOK%202015\FINAL%20TABLES\20.%20POLITICAL%20PARTIES%20AND%20ELECTIONS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Health"/>
      <sheetName val="6edu"/>
      <sheetName val="Law &amp; Ord"/>
      <sheetName val="Fisher"/>
      <sheetName val="Touri"/>
      <sheetName val="Electri"/>
      <sheetName val="11Transp"/>
      <sheetName val="Finance"/>
      <sheetName val="Money &amp; banking"/>
      <sheetName val="Foerign trade &amp; BOP"/>
      <sheetName val="NA (2)"/>
      <sheetName val="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N2">
            <v>2002</v>
          </cell>
          <cell r="O2">
            <v>2003</v>
          </cell>
          <cell r="P2">
            <v>2004</v>
          </cell>
          <cell r="Q2">
            <v>2005</v>
          </cell>
          <cell r="R2">
            <v>2006</v>
          </cell>
          <cell r="S2">
            <v>2007</v>
          </cell>
          <cell r="T2">
            <v>2008</v>
          </cell>
          <cell r="U2">
            <v>2009</v>
          </cell>
        </row>
        <row r="13">
          <cell r="N13">
            <v>-2.4054278619519698</v>
          </cell>
          <cell r="O13">
            <v>-3.0436506791225892</v>
          </cell>
          <cell r="P13">
            <v>3.25290202078381</v>
          </cell>
          <cell r="Q13">
            <v>4.5754348602195627</v>
          </cell>
          <cell r="R13">
            <v>5.1062145261893122</v>
          </cell>
          <cell r="S13">
            <v>11.491055549930307</v>
          </cell>
          <cell r="T13">
            <v>13.234218095589867</v>
          </cell>
          <cell r="U13">
            <v>-7.3809540681446517E-2</v>
          </cell>
          <cell r="V13" t="str">
            <v>Overall</v>
          </cell>
        </row>
        <row r="14">
          <cell r="N14">
            <v>-5.9857814362243467</v>
          </cell>
          <cell r="O14">
            <v>-1.7776814712484823</v>
          </cell>
          <cell r="P14">
            <v>5.1486626520646395</v>
          </cell>
          <cell r="Q14">
            <v>-2.005175416383842</v>
          </cell>
          <cell r="R14">
            <v>9.3225845762368031</v>
          </cell>
          <cell r="S14">
            <v>6.8068055598896171</v>
          </cell>
          <cell r="T14">
            <v>8.8486419027872021</v>
          </cell>
          <cell r="U14">
            <v>9.8956340530212739</v>
          </cell>
          <cell r="V14" t="str">
            <v>Resorts and hotels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 "/>
      <sheetName val="20.2"/>
      <sheetName val="20.3"/>
      <sheetName val="20.4"/>
      <sheetName val="20.5"/>
      <sheetName val="20.6"/>
      <sheetName val="20.7"/>
      <sheetName val="20.8"/>
      <sheetName val="20.9"/>
    </sheetNames>
    <sheetDataSet>
      <sheetData sheetId="0"/>
      <sheetData sheetId="1">
        <row r="16">
          <cell r="I16" t="str">
            <v>Presidential election, 2008</v>
          </cell>
          <cell r="K16">
            <v>61599484.75</v>
          </cell>
        </row>
        <row r="17">
          <cell r="I17" t="str">
            <v>Parliamentary election,2009</v>
          </cell>
          <cell r="K17">
            <v>22069176.829999998</v>
          </cell>
        </row>
        <row r="18">
          <cell r="I18" t="str">
            <v>No election in 2010</v>
          </cell>
        </row>
        <row r="19">
          <cell r="I19" t="str">
            <v>Local Council elections ,2011</v>
          </cell>
          <cell r="K19">
            <v>45434174.030000001</v>
          </cell>
        </row>
        <row r="20">
          <cell r="I20" t="str">
            <v>Presidential election, 2013</v>
          </cell>
          <cell r="K20">
            <v>76487272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GC1487"/>
  <sheetViews>
    <sheetView tabSelected="1" zoomScale="112" zoomScaleNormal="112" zoomScaleSheetLayoutView="70" workbookViewId="0">
      <selection activeCell="S12" sqref="S12"/>
    </sheetView>
  </sheetViews>
  <sheetFormatPr defaultRowHeight="12.75"/>
  <cols>
    <col min="1" max="3" width="8.85546875" customWidth="1"/>
    <col min="4" max="4" width="16.42578125" customWidth="1"/>
    <col min="5" max="5" width="3.5703125" customWidth="1"/>
    <col min="6" max="8" width="10.28515625" customWidth="1"/>
    <col min="9" max="13" width="10.28515625" style="3" customWidth="1"/>
    <col min="14" max="15" width="11.42578125" style="3" customWidth="1"/>
    <col min="16" max="16" width="11.7109375" style="13" customWidth="1"/>
    <col min="17" max="36" width="13.140625" style="13" customWidth="1"/>
    <col min="37" max="37" width="9.140625" style="13"/>
    <col min="38" max="38" width="9.5703125" style="13" bestFit="1" customWidth="1"/>
    <col min="39" max="39" width="9.140625" style="13"/>
    <col min="40" max="40" width="12.5703125" style="13" customWidth="1"/>
    <col min="41" max="41" width="14.140625" style="13" customWidth="1"/>
    <col min="42" max="50" width="9.140625" style="13"/>
    <col min="51" max="51" width="5.85546875" style="13" customWidth="1"/>
    <col min="52" max="185" width="9.140625" style="13"/>
    <col min="186" max="16384" width="9.140625" style="3"/>
  </cols>
  <sheetData>
    <row r="1" spans="1:185" s="1" customFormat="1" ht="30" customHeight="1">
      <c r="A1" s="101" t="s">
        <v>11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8"/>
      <c r="EU1" s="28"/>
      <c r="EV1" s="28"/>
      <c r="EW1" s="28"/>
      <c r="EX1" s="28"/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8"/>
      <c r="GC1" s="28"/>
    </row>
    <row r="2" spans="1:185" s="1" customFormat="1" ht="15" customHeight="1">
      <c r="A2" s="16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</row>
    <row r="3" spans="1:185" s="34" customFormat="1" ht="15" customHeight="1">
      <c r="A3" s="73"/>
      <c r="B3" s="74"/>
      <c r="C3" s="75"/>
      <c r="D3" s="76"/>
      <c r="E3" s="76"/>
      <c r="F3" s="77">
        <v>2006</v>
      </c>
      <c r="G3" s="77">
        <v>2007</v>
      </c>
      <c r="H3" s="77">
        <v>2008</v>
      </c>
      <c r="I3" s="77">
        <v>2009</v>
      </c>
      <c r="J3" s="77">
        <v>2010</v>
      </c>
      <c r="K3" s="77">
        <v>2011</v>
      </c>
      <c r="L3" s="77">
        <v>2012</v>
      </c>
      <c r="M3" s="77">
        <v>2013</v>
      </c>
      <c r="N3" s="77">
        <v>2014</v>
      </c>
      <c r="O3" s="77">
        <v>2015</v>
      </c>
      <c r="P3" s="77">
        <v>2016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5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</row>
    <row r="4" spans="1:185" s="1" customFormat="1" ht="15" customHeight="1">
      <c r="A4" s="17" t="s">
        <v>13</v>
      </c>
      <c r="B4" s="12"/>
      <c r="C4" s="12"/>
      <c r="D4" s="12"/>
      <c r="E4" s="12"/>
      <c r="F4" s="21">
        <v>88</v>
      </c>
      <c r="G4" s="21">
        <v>91</v>
      </c>
      <c r="H4" s="21">
        <v>94</v>
      </c>
      <c r="I4" s="21">
        <v>97</v>
      </c>
      <c r="J4" s="21">
        <v>97</v>
      </c>
      <c r="K4" s="21">
        <v>101</v>
      </c>
      <c r="L4" s="21">
        <v>105</v>
      </c>
      <c r="M4" s="21">
        <v>109</v>
      </c>
      <c r="N4" s="21">
        <v>111</v>
      </c>
      <c r="O4" s="21">
        <v>115</v>
      </c>
      <c r="P4" s="21">
        <v>126</v>
      </c>
      <c r="Q4" s="10"/>
      <c r="S4" s="68"/>
      <c r="T4" s="68"/>
      <c r="U4" s="68"/>
      <c r="V4" s="68"/>
      <c r="W4" s="68"/>
      <c r="X4" s="68"/>
      <c r="Y4" s="68"/>
      <c r="Z4" s="68"/>
      <c r="AA4" s="68"/>
      <c r="AB4" s="10"/>
      <c r="AC4" s="10"/>
      <c r="AD4" s="10"/>
      <c r="AE4" s="10"/>
      <c r="AF4" s="10"/>
      <c r="AG4" s="10"/>
      <c r="AH4" s="10"/>
      <c r="AI4" s="10"/>
      <c r="AJ4" s="10"/>
      <c r="AK4" s="29"/>
      <c r="AL4" s="3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</row>
    <row r="5" spans="1:185" s="96" customFormat="1" ht="15" hidden="1" customHeight="1">
      <c r="A5" s="91" t="s">
        <v>0</v>
      </c>
      <c r="B5" s="92"/>
      <c r="C5" s="92"/>
      <c r="D5" s="92"/>
      <c r="E5" s="92"/>
      <c r="F5" s="93">
        <v>601923</v>
      </c>
      <c r="G5" s="93">
        <v>675889</v>
      </c>
      <c r="H5" s="93">
        <v>683012</v>
      </c>
      <c r="I5" s="93">
        <v>655852</v>
      </c>
      <c r="J5" s="94">
        <v>791917</v>
      </c>
      <c r="K5" s="94">
        <v>931333</v>
      </c>
      <c r="L5" s="94">
        <v>958025</v>
      </c>
      <c r="M5" s="94">
        <v>1125202</v>
      </c>
      <c r="N5" s="94">
        <v>1204857</v>
      </c>
      <c r="O5" s="94">
        <v>1234248</v>
      </c>
      <c r="P5" s="94">
        <v>1286135</v>
      </c>
      <c r="Q5" s="95"/>
      <c r="S5" s="97"/>
      <c r="T5" s="97"/>
      <c r="U5" s="97"/>
      <c r="V5" s="97"/>
      <c r="W5" s="97"/>
      <c r="X5" s="97"/>
      <c r="Y5" s="97"/>
      <c r="Z5" s="97"/>
      <c r="AA5" s="97"/>
      <c r="AB5" s="95"/>
      <c r="AC5" s="95"/>
      <c r="AD5" s="95"/>
      <c r="AE5" s="95"/>
      <c r="AF5" s="95"/>
      <c r="AG5" s="95"/>
      <c r="AH5" s="95"/>
      <c r="AI5" s="95"/>
      <c r="AJ5" s="95"/>
      <c r="AK5" s="98"/>
      <c r="AL5" s="99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  <c r="CD5" s="100"/>
      <c r="CE5" s="100"/>
      <c r="CF5" s="100"/>
      <c r="CG5" s="100"/>
      <c r="CH5" s="100"/>
      <c r="CI5" s="100"/>
      <c r="CJ5" s="100"/>
      <c r="CK5" s="100"/>
      <c r="CL5" s="100"/>
      <c r="CM5" s="100"/>
      <c r="CN5" s="100"/>
      <c r="CO5" s="100"/>
      <c r="CP5" s="100"/>
      <c r="CQ5" s="100"/>
      <c r="CR5" s="100"/>
      <c r="CS5" s="100"/>
      <c r="CT5" s="100"/>
      <c r="CU5" s="100"/>
      <c r="CV5" s="100"/>
      <c r="CW5" s="100"/>
      <c r="CX5" s="100"/>
      <c r="CY5" s="100"/>
      <c r="CZ5" s="100"/>
      <c r="DA5" s="100"/>
      <c r="DB5" s="100"/>
      <c r="DC5" s="100"/>
      <c r="DD5" s="100"/>
      <c r="DE5" s="100"/>
      <c r="DF5" s="100"/>
      <c r="DG5" s="100"/>
      <c r="DH5" s="100"/>
      <c r="DI5" s="100"/>
      <c r="DJ5" s="100"/>
      <c r="DK5" s="100"/>
      <c r="DL5" s="100"/>
      <c r="DM5" s="100"/>
      <c r="DN5" s="100"/>
      <c r="DO5" s="100"/>
      <c r="DP5" s="100"/>
      <c r="DQ5" s="100"/>
      <c r="DR5" s="100"/>
      <c r="DS5" s="100"/>
      <c r="DT5" s="100"/>
      <c r="DU5" s="100"/>
      <c r="DV5" s="100"/>
      <c r="DW5" s="100"/>
      <c r="DX5" s="100"/>
      <c r="DY5" s="100"/>
      <c r="DZ5" s="100"/>
      <c r="EA5" s="100"/>
      <c r="EB5" s="100"/>
      <c r="EC5" s="100"/>
      <c r="ED5" s="100"/>
      <c r="EE5" s="100"/>
      <c r="EF5" s="100"/>
      <c r="EG5" s="100"/>
      <c r="EH5" s="100"/>
      <c r="EI5" s="100"/>
      <c r="EJ5" s="100"/>
      <c r="EK5" s="100"/>
      <c r="EL5" s="100"/>
      <c r="EM5" s="100"/>
      <c r="EN5" s="100"/>
      <c r="EO5" s="100"/>
      <c r="EP5" s="100"/>
      <c r="EQ5" s="100"/>
      <c r="ER5" s="100"/>
      <c r="ES5" s="100"/>
      <c r="ET5" s="100"/>
      <c r="EU5" s="100"/>
      <c r="EV5" s="100"/>
      <c r="EW5" s="100"/>
      <c r="EX5" s="100"/>
      <c r="EY5" s="100"/>
      <c r="EZ5" s="100"/>
      <c r="FA5" s="100"/>
      <c r="FB5" s="100"/>
      <c r="FC5" s="100"/>
      <c r="FD5" s="100"/>
      <c r="FE5" s="100"/>
      <c r="FF5" s="100"/>
      <c r="FG5" s="100"/>
      <c r="FH5" s="100"/>
      <c r="FI5" s="100"/>
      <c r="FJ5" s="100"/>
      <c r="FK5" s="100"/>
      <c r="FL5" s="100"/>
      <c r="FM5" s="100"/>
      <c r="FN5" s="100"/>
      <c r="FO5" s="100"/>
      <c r="FP5" s="100"/>
      <c r="FQ5" s="100"/>
      <c r="FR5" s="100"/>
      <c r="FS5" s="100"/>
      <c r="FT5" s="100"/>
      <c r="FU5" s="100"/>
      <c r="FV5" s="100"/>
      <c r="FW5" s="100"/>
      <c r="FX5" s="100"/>
      <c r="FY5" s="100"/>
      <c r="FZ5" s="100"/>
      <c r="GA5" s="100"/>
      <c r="GB5" s="100"/>
      <c r="GC5" s="100"/>
    </row>
    <row r="6" spans="1:185" s="34" customFormat="1" ht="15" customHeight="1">
      <c r="A6" s="78" t="s">
        <v>22</v>
      </c>
      <c r="B6" s="79"/>
      <c r="C6" s="79"/>
      <c r="D6" s="79"/>
      <c r="E6" s="79"/>
      <c r="F6" s="82">
        <f>F5/1000</f>
        <v>601.923</v>
      </c>
      <c r="G6" s="82">
        <f t="shared" ref="G6:P6" si="0">G5/1000</f>
        <v>675.88900000000001</v>
      </c>
      <c r="H6" s="82">
        <f t="shared" si="0"/>
        <v>683.01199999999994</v>
      </c>
      <c r="I6" s="82">
        <f t="shared" si="0"/>
        <v>655.85199999999998</v>
      </c>
      <c r="J6" s="82">
        <f t="shared" si="0"/>
        <v>791.91700000000003</v>
      </c>
      <c r="K6" s="82">
        <f t="shared" si="0"/>
        <v>931.33299999999997</v>
      </c>
      <c r="L6" s="82">
        <f t="shared" si="0"/>
        <v>958.02499999999998</v>
      </c>
      <c r="M6" s="82">
        <f t="shared" si="0"/>
        <v>1125.202</v>
      </c>
      <c r="N6" s="82">
        <f t="shared" si="0"/>
        <v>1204.857</v>
      </c>
      <c r="O6" s="82">
        <f t="shared" si="0"/>
        <v>1234.248</v>
      </c>
      <c r="P6" s="82">
        <f t="shared" si="0"/>
        <v>1286.135</v>
      </c>
      <c r="Q6" s="17"/>
      <c r="R6" s="23"/>
      <c r="S6" s="23"/>
      <c r="T6" s="23"/>
      <c r="U6" s="23"/>
      <c r="V6" s="22"/>
      <c r="W6" s="22"/>
      <c r="X6" s="22"/>
      <c r="Y6" s="22"/>
      <c r="Z6" s="22"/>
      <c r="AA6" s="22"/>
      <c r="AB6" s="9"/>
      <c r="AC6" s="9"/>
      <c r="AD6" s="9"/>
      <c r="AE6" s="9"/>
      <c r="AF6" s="9"/>
      <c r="AG6" s="9"/>
      <c r="AH6" s="9"/>
      <c r="AI6" s="9"/>
      <c r="AJ6" s="9"/>
      <c r="AK6" s="29"/>
      <c r="AL6" s="38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</row>
    <row r="7" spans="1:185" s="1" customFormat="1" ht="15" customHeight="1">
      <c r="A7" s="17" t="s">
        <v>1</v>
      </c>
      <c r="B7" s="12"/>
      <c r="C7" s="12"/>
      <c r="D7" s="12"/>
      <c r="E7" s="12"/>
      <c r="F7" s="83">
        <v>52.262217950015177</v>
      </c>
      <c r="G7" s="83">
        <v>12.288282720547313</v>
      </c>
      <c r="H7" s="83">
        <v>1.0538712717620793</v>
      </c>
      <c r="I7" s="83">
        <v>-4</v>
      </c>
      <c r="J7" s="83">
        <v>20.746296420533902</v>
      </c>
      <c r="K7" s="83">
        <v>17.600000000000001</v>
      </c>
      <c r="L7" s="83">
        <v>2.9</v>
      </c>
      <c r="M7" s="83">
        <v>17.450170924558336</v>
      </c>
      <c r="N7" s="83">
        <v>7.1</v>
      </c>
      <c r="O7" s="83">
        <v>2.4393766231179304</v>
      </c>
      <c r="P7" s="83">
        <v>4.2039363239802698</v>
      </c>
      <c r="Q7" s="17"/>
      <c r="R7" s="23"/>
      <c r="S7" s="23"/>
      <c r="T7" s="23"/>
      <c r="U7" s="23"/>
      <c r="V7" s="23"/>
      <c r="W7" s="22"/>
      <c r="X7" s="22"/>
      <c r="Y7" s="22"/>
      <c r="Z7" s="22"/>
      <c r="AA7" s="22"/>
      <c r="AB7" s="39"/>
      <c r="AC7" s="39"/>
      <c r="AD7" s="39"/>
      <c r="AE7" s="39"/>
      <c r="AF7" s="39"/>
      <c r="AG7" s="39"/>
      <c r="AH7" s="39"/>
      <c r="AI7" s="39"/>
      <c r="AJ7" s="39"/>
      <c r="AK7" s="29"/>
      <c r="AL7" s="38"/>
      <c r="AM7" s="28"/>
      <c r="AN7" s="40"/>
      <c r="AO7" s="41"/>
      <c r="AP7" s="42"/>
      <c r="AQ7" s="28"/>
      <c r="AR7" s="28"/>
      <c r="AS7" s="28"/>
      <c r="AT7" s="42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/>
      <c r="GB7" s="28"/>
      <c r="GC7" s="28"/>
    </row>
    <row r="8" spans="1:185" s="35" customFormat="1" ht="15" customHeight="1">
      <c r="A8" s="78" t="s">
        <v>9</v>
      </c>
      <c r="B8" s="80"/>
      <c r="C8" s="80"/>
      <c r="D8" s="80"/>
      <c r="E8" s="80"/>
      <c r="F8" s="82">
        <v>16244</v>
      </c>
      <c r="G8" s="82">
        <v>17533</v>
      </c>
      <c r="H8" s="82">
        <v>19081</v>
      </c>
      <c r="I8" s="82">
        <v>20136.75</v>
      </c>
      <c r="J8" s="82">
        <v>21701</v>
      </c>
      <c r="K8" s="82">
        <v>24493</v>
      </c>
      <c r="L8" s="82">
        <v>25062</v>
      </c>
      <c r="M8" s="82">
        <v>26101</v>
      </c>
      <c r="N8" s="82">
        <v>26962.833333333332</v>
      </c>
      <c r="O8" s="82">
        <v>28276</v>
      </c>
      <c r="P8" s="82">
        <v>30544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3"/>
      <c r="AI8" s="43"/>
      <c r="AJ8" s="43"/>
      <c r="AK8" s="29"/>
      <c r="AL8" s="38"/>
      <c r="AM8" s="44"/>
      <c r="AN8" s="45"/>
      <c r="AO8" s="46"/>
      <c r="AP8" s="47"/>
      <c r="AQ8" s="48"/>
      <c r="AR8" s="13"/>
      <c r="AS8" s="13"/>
      <c r="AT8" s="33"/>
      <c r="AU8" s="13"/>
      <c r="AV8" s="13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</row>
    <row r="9" spans="1:185" s="2" customFormat="1" ht="15" customHeight="1">
      <c r="A9" s="17" t="s">
        <v>14</v>
      </c>
      <c r="B9" s="12"/>
      <c r="C9" s="12"/>
      <c r="D9" s="12"/>
      <c r="E9" s="12"/>
      <c r="F9" s="21">
        <v>20505</v>
      </c>
      <c r="G9" s="21">
        <v>22187</v>
      </c>
      <c r="H9" s="21">
        <v>23464</v>
      </c>
      <c r="I9" s="21">
        <v>24978</v>
      </c>
      <c r="J9" s="21">
        <v>25709</v>
      </c>
      <c r="K9" s="21">
        <v>26896</v>
      </c>
      <c r="L9" s="21">
        <v>28120</v>
      </c>
      <c r="M9" s="21">
        <v>30133</v>
      </c>
      <c r="N9" s="21">
        <v>31673</v>
      </c>
      <c r="O9" s="21">
        <v>34105</v>
      </c>
      <c r="P9" s="21">
        <v>37224</v>
      </c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29"/>
      <c r="AL9" s="38"/>
      <c r="AM9" s="44"/>
      <c r="AN9" s="49"/>
      <c r="AO9" s="50"/>
      <c r="AP9" s="51"/>
      <c r="AQ9" s="48"/>
      <c r="AR9" s="44"/>
      <c r="AS9" s="44"/>
      <c r="AT9" s="52"/>
      <c r="AU9" s="52"/>
      <c r="AV9" s="4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</row>
    <row r="10" spans="1:185" s="28" customFormat="1" ht="15" customHeight="1">
      <c r="A10" s="78"/>
      <c r="B10" s="79" t="s">
        <v>12</v>
      </c>
      <c r="C10" s="79"/>
      <c r="D10" s="79"/>
      <c r="E10" s="79"/>
      <c r="F10" s="82">
        <v>17712</v>
      </c>
      <c r="G10" s="82">
        <v>18938</v>
      </c>
      <c r="H10" s="82">
        <v>19860</v>
      </c>
      <c r="I10" s="82">
        <v>20942</v>
      </c>
      <c r="J10" s="82">
        <v>21350</v>
      </c>
      <c r="K10" s="82">
        <v>22120</v>
      </c>
      <c r="L10" s="82">
        <v>22889</v>
      </c>
      <c r="M10" s="82">
        <v>23791</v>
      </c>
      <c r="N10" s="82">
        <v>24031</v>
      </c>
      <c r="O10" s="82">
        <v>24877</v>
      </c>
      <c r="P10" s="82">
        <v>26933</v>
      </c>
      <c r="AA10" s="44"/>
      <c r="AB10" s="44"/>
      <c r="AC10" s="44"/>
      <c r="AD10" s="44"/>
      <c r="AE10" s="44"/>
      <c r="AF10" s="44"/>
      <c r="AG10" s="44"/>
      <c r="AK10" s="29"/>
      <c r="AL10" s="38"/>
      <c r="AN10" s="45"/>
      <c r="AO10" s="46"/>
      <c r="AP10" s="53"/>
      <c r="AQ10" s="48"/>
      <c r="AR10" s="4"/>
      <c r="AS10" s="4"/>
      <c r="AT10" s="52"/>
      <c r="AU10" s="52"/>
      <c r="AV10" s="4"/>
    </row>
    <row r="11" spans="1:185" s="1" customFormat="1" ht="15" customHeight="1">
      <c r="A11" s="17"/>
      <c r="B11" s="12" t="s">
        <v>2</v>
      </c>
      <c r="C11" s="12"/>
      <c r="D11" s="12"/>
      <c r="E11" s="12"/>
      <c r="F11" s="21">
        <v>713</v>
      </c>
      <c r="G11" s="21">
        <v>836</v>
      </c>
      <c r="H11" s="21">
        <v>1110</v>
      </c>
      <c r="I11" s="21">
        <v>1368</v>
      </c>
      <c r="J11" s="21">
        <v>1449</v>
      </c>
      <c r="K11" s="21">
        <v>1603</v>
      </c>
      <c r="L11" s="21">
        <v>1627</v>
      </c>
      <c r="M11" s="21">
        <v>1708</v>
      </c>
      <c r="N11" s="21">
        <v>1704</v>
      </c>
      <c r="O11" s="21">
        <v>1648</v>
      </c>
      <c r="P11" s="21">
        <v>1713</v>
      </c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28"/>
      <c r="AI11" s="28"/>
      <c r="AJ11" s="28"/>
      <c r="AK11" s="29"/>
      <c r="AL11" s="38"/>
      <c r="AM11" s="28"/>
      <c r="AN11" s="54"/>
      <c r="AO11" s="55"/>
      <c r="AP11" s="47"/>
      <c r="AQ11" s="48"/>
      <c r="AR11" s="28"/>
      <c r="AS11" s="28"/>
      <c r="AT11" s="33"/>
      <c r="AU11" s="52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</row>
    <row r="12" spans="1:185" s="36" customFormat="1" ht="15" customHeight="1">
      <c r="A12" s="78"/>
      <c r="B12" s="79" t="s">
        <v>3</v>
      </c>
      <c r="C12" s="79"/>
      <c r="D12" s="79"/>
      <c r="E12" s="79"/>
      <c r="F12" s="82">
        <v>481</v>
      </c>
      <c r="G12" s="82">
        <v>490</v>
      </c>
      <c r="H12" s="82">
        <v>400</v>
      </c>
      <c r="I12" s="82">
        <v>462</v>
      </c>
      <c r="J12" s="82">
        <v>476</v>
      </c>
      <c r="K12" s="82">
        <v>659</v>
      </c>
      <c r="L12" s="82">
        <v>1101</v>
      </c>
      <c r="M12" s="82">
        <v>1918</v>
      </c>
      <c r="N12" s="82">
        <v>3199</v>
      </c>
      <c r="O12" s="82">
        <v>4641</v>
      </c>
      <c r="P12" s="82">
        <v>5884</v>
      </c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28"/>
      <c r="AI12" s="28"/>
      <c r="AJ12" s="28"/>
      <c r="AK12" s="29"/>
      <c r="AL12" s="56"/>
      <c r="AM12" s="28"/>
      <c r="AN12" s="54"/>
      <c r="AO12" s="55"/>
      <c r="AP12" s="53"/>
      <c r="AQ12" s="48"/>
      <c r="AR12" s="4"/>
      <c r="AS12" s="4"/>
      <c r="AT12" s="33"/>
      <c r="AU12" s="52"/>
      <c r="AV12" s="4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</row>
    <row r="13" spans="1:185" s="1" customFormat="1" ht="15" customHeight="1">
      <c r="A13" s="17"/>
      <c r="B13" s="12" t="s">
        <v>4</v>
      </c>
      <c r="C13" s="12"/>
      <c r="D13" s="12"/>
      <c r="E13" s="12"/>
      <c r="F13" s="21">
        <v>1599</v>
      </c>
      <c r="G13" s="21">
        <v>1923</v>
      </c>
      <c r="H13" s="21">
        <v>2094</v>
      </c>
      <c r="I13" s="21">
        <v>2206</v>
      </c>
      <c r="J13" s="21">
        <v>2434</v>
      </c>
      <c r="K13" s="21">
        <v>2514</v>
      </c>
      <c r="L13" s="21">
        <v>2503</v>
      </c>
      <c r="M13" s="21">
        <v>2716</v>
      </c>
      <c r="N13" s="21">
        <v>2739</v>
      </c>
      <c r="O13" s="21">
        <v>2939</v>
      </c>
      <c r="P13" s="21">
        <v>2694</v>
      </c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28"/>
      <c r="AI13" s="28"/>
      <c r="AJ13" s="28"/>
      <c r="AK13" s="29"/>
      <c r="AL13" s="56"/>
      <c r="AM13" s="28"/>
      <c r="AN13" s="54"/>
      <c r="AO13" s="55"/>
      <c r="AP13" s="47"/>
      <c r="AQ13" s="48"/>
      <c r="AR13" s="28"/>
      <c r="AS13" s="28"/>
      <c r="AT13" s="33"/>
      <c r="AU13" s="52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</row>
    <row r="14" spans="1:185" s="36" customFormat="1" ht="15" customHeight="1">
      <c r="A14" s="78" t="s">
        <v>15</v>
      </c>
      <c r="B14" s="79"/>
      <c r="C14" s="79"/>
      <c r="D14" s="79"/>
      <c r="E14" s="79"/>
      <c r="F14" s="90">
        <v>2.3933402705515086</v>
      </c>
      <c r="G14" s="90">
        <f t="shared" ref="G14:P14" si="1">(G10-F10)/(F10)*100</f>
        <v>6.9218608852755201</v>
      </c>
      <c r="H14" s="90">
        <f t="shared" si="1"/>
        <v>4.8685183229485691</v>
      </c>
      <c r="I14" s="90">
        <f t="shared" si="1"/>
        <v>5.4481369587109763</v>
      </c>
      <c r="J14" s="90">
        <f t="shared" si="1"/>
        <v>1.9482379906408176</v>
      </c>
      <c r="K14" s="90">
        <f t="shared" si="1"/>
        <v>3.6065573770491808</v>
      </c>
      <c r="L14" s="90">
        <f t="shared" si="1"/>
        <v>3.4764918625678121</v>
      </c>
      <c r="M14" s="90">
        <f t="shared" si="1"/>
        <v>3.9407575691380141</v>
      </c>
      <c r="N14" s="90">
        <f t="shared" si="1"/>
        <v>1.00878483460132</v>
      </c>
      <c r="O14" s="90">
        <f t="shared" si="1"/>
        <v>3.5204527485331449</v>
      </c>
      <c r="P14" s="90">
        <f t="shared" si="1"/>
        <v>8.264662137717572</v>
      </c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25"/>
      <c r="AI14" s="25"/>
      <c r="AJ14" s="25"/>
      <c r="AK14" s="29"/>
      <c r="AL14" s="57"/>
      <c r="AM14" s="28"/>
      <c r="AN14" s="54"/>
      <c r="AO14" s="55"/>
      <c r="AP14" s="47"/>
      <c r="AQ14" s="48"/>
      <c r="AR14" s="28"/>
      <c r="AS14" s="28"/>
      <c r="AT14" s="33"/>
      <c r="AU14" s="52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</row>
    <row r="15" spans="1:185" s="1" customFormat="1" ht="15" customHeight="1">
      <c r="A15" s="20" t="s">
        <v>17</v>
      </c>
      <c r="B15" s="12"/>
      <c r="C15" s="12"/>
      <c r="D15" s="12"/>
      <c r="E15" s="12"/>
      <c r="F15" s="81">
        <v>81.400000000000006</v>
      </c>
      <c r="G15" s="64">
        <v>82.8</v>
      </c>
      <c r="H15" s="64">
        <v>78.3</v>
      </c>
      <c r="I15" s="64">
        <v>70.2</v>
      </c>
      <c r="J15" s="81">
        <v>75.599999999999994</v>
      </c>
      <c r="K15" s="81">
        <v>73.099999999999994</v>
      </c>
      <c r="L15" s="64">
        <v>70.378540137143531</v>
      </c>
      <c r="M15" s="64">
        <v>74</v>
      </c>
      <c r="N15" s="64">
        <v>74.116873713272412</v>
      </c>
      <c r="O15" s="64">
        <v>68.952318401424179</v>
      </c>
      <c r="P15" s="64">
        <v>67.997365407193129</v>
      </c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5"/>
      <c r="AI15" s="5"/>
      <c r="AJ15" s="5"/>
      <c r="AK15" s="29"/>
      <c r="AL15" s="56"/>
      <c r="AM15" s="5"/>
      <c r="AN15" s="54"/>
      <c r="AO15" s="55"/>
      <c r="AP15" s="47"/>
      <c r="AQ15" s="48"/>
      <c r="AR15" s="28"/>
      <c r="AS15" s="28"/>
      <c r="AT15" s="33"/>
      <c r="AU15" s="52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</row>
    <row r="16" spans="1:185" s="36" customFormat="1" ht="15" customHeight="1">
      <c r="A16" s="78" t="s">
        <v>5</v>
      </c>
      <c r="B16" s="79"/>
      <c r="C16" s="79"/>
      <c r="D16" s="79"/>
      <c r="E16" s="79"/>
      <c r="F16" s="82">
        <v>4826</v>
      </c>
      <c r="G16" s="82">
        <v>5293</v>
      </c>
      <c r="H16" s="82">
        <v>5451</v>
      </c>
      <c r="I16" s="82">
        <v>5147</v>
      </c>
      <c r="J16" s="82">
        <v>5986</v>
      </c>
      <c r="K16" s="82">
        <v>6529</v>
      </c>
      <c r="L16" s="82">
        <v>6451</v>
      </c>
      <c r="M16" s="82">
        <v>7041</v>
      </c>
      <c r="N16" s="82">
        <v>7290.0069999999996</v>
      </c>
      <c r="O16" s="82">
        <v>6976.3333599999996</v>
      </c>
      <c r="P16" s="82">
        <v>7142.8540000000003</v>
      </c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28"/>
      <c r="AI16" s="28"/>
      <c r="AJ16" s="28"/>
      <c r="AK16" s="29"/>
      <c r="AL16" s="28"/>
      <c r="AM16" s="28"/>
      <c r="AN16" s="54"/>
      <c r="AO16" s="58"/>
      <c r="AP16" s="47"/>
      <c r="AQ16" s="48"/>
      <c r="AR16" s="28"/>
      <c r="AS16" s="28"/>
      <c r="AT16" s="33"/>
      <c r="AU16" s="52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</row>
    <row r="17" spans="1:185" s="1" customFormat="1" ht="15" customHeight="1">
      <c r="A17" s="17" t="s">
        <v>10</v>
      </c>
      <c r="B17" s="12"/>
      <c r="C17" s="26"/>
      <c r="D17" s="26"/>
      <c r="E17" s="26"/>
      <c r="F17" s="83">
        <v>46.242424242424242</v>
      </c>
      <c r="G17" s="83">
        <f t="shared" ref="G17:N17" si="2">(G16-F16)/(F16)*100</f>
        <v>9.6767509324492345</v>
      </c>
      <c r="H17" s="83">
        <f t="shared" si="2"/>
        <v>2.9850746268656714</v>
      </c>
      <c r="I17" s="83">
        <f t="shared" si="2"/>
        <v>-5.5769583562649059</v>
      </c>
      <c r="J17" s="83">
        <f t="shared" si="2"/>
        <v>16.300757722945406</v>
      </c>
      <c r="K17" s="83">
        <f t="shared" si="2"/>
        <v>9.0711660541262944</v>
      </c>
      <c r="L17" s="83">
        <f t="shared" si="2"/>
        <v>-1.1946699341399909</v>
      </c>
      <c r="M17" s="83">
        <f t="shared" si="2"/>
        <v>9.1458688575414673</v>
      </c>
      <c r="N17" s="83">
        <f t="shared" si="2"/>
        <v>3.5365289021445765</v>
      </c>
      <c r="O17" s="83">
        <f>(O16-N16)/(N16)*100</f>
        <v>-4.3027892840157769</v>
      </c>
      <c r="P17" s="83">
        <f>(P16-O16)/(O16)*100</f>
        <v>2.3869363949087523</v>
      </c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24"/>
      <c r="AI17" s="24"/>
      <c r="AJ17" s="24"/>
      <c r="AK17" s="28"/>
      <c r="AL17" s="27"/>
      <c r="AM17" s="28"/>
      <c r="AN17" s="54"/>
      <c r="AO17" s="58"/>
      <c r="AP17" s="47"/>
      <c r="AQ17" s="48"/>
      <c r="AR17" s="28"/>
      <c r="AS17" s="28"/>
      <c r="AT17" s="33"/>
      <c r="AU17" s="52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</row>
    <row r="18" spans="1:185" s="36" customFormat="1" ht="15" customHeight="1">
      <c r="A18" s="78" t="s">
        <v>6</v>
      </c>
      <c r="B18" s="79"/>
      <c r="C18" s="79"/>
      <c r="D18" s="79"/>
      <c r="E18" s="79"/>
      <c r="F18" s="71">
        <v>8</v>
      </c>
      <c r="G18" s="71">
        <v>8.5</v>
      </c>
      <c r="H18" s="71">
        <v>8.8000000000000007</v>
      </c>
      <c r="I18" s="71">
        <v>8.6</v>
      </c>
      <c r="J18" s="71">
        <v>7.6</v>
      </c>
      <c r="K18" s="71">
        <v>7</v>
      </c>
      <c r="L18" s="71">
        <v>6.7</v>
      </c>
      <c r="M18" s="71">
        <v>6.3</v>
      </c>
      <c r="N18" s="71">
        <v>6.1</v>
      </c>
      <c r="O18" s="71">
        <v>5.6623346324798476</v>
      </c>
      <c r="P18" s="71">
        <v>5.5511521989216313</v>
      </c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7"/>
      <c r="AM18" s="28"/>
      <c r="AN18" s="54"/>
      <c r="AO18" s="55"/>
      <c r="AP18" s="47"/>
      <c r="AQ18" s="48"/>
      <c r="AR18" s="28"/>
      <c r="AS18" s="28"/>
      <c r="AT18" s="33"/>
      <c r="AU18" s="52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</row>
    <row r="19" spans="1:185" s="1" customFormat="1" ht="15" customHeight="1">
      <c r="A19" s="17" t="s">
        <v>18</v>
      </c>
      <c r="B19" s="12"/>
      <c r="C19" s="12"/>
      <c r="D19" s="12"/>
      <c r="E19" s="12"/>
      <c r="F19" s="64">
        <v>495.7</v>
      </c>
      <c r="G19" s="64">
        <v>547.29999999999995</v>
      </c>
      <c r="H19" s="64">
        <v>566.6</v>
      </c>
      <c r="I19" s="64">
        <v>531.4</v>
      </c>
      <c r="J19" s="64">
        <v>597.29999999999995</v>
      </c>
      <c r="K19" s="64">
        <v>750.73984492149998</v>
      </c>
      <c r="L19" s="64">
        <v>802.90015802599999</v>
      </c>
      <c r="M19" s="64">
        <v>861.64270799999997</v>
      </c>
      <c r="N19" s="64">
        <v>804.70195122000007</v>
      </c>
      <c r="O19" s="64">
        <v>0.63250573999999993</v>
      </c>
      <c r="P19" s="64">
        <v>0.15296662</v>
      </c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28"/>
      <c r="AL19" s="28"/>
      <c r="AM19" s="28"/>
      <c r="AN19" s="54"/>
      <c r="AO19" s="28"/>
      <c r="AP19" s="47"/>
      <c r="AQ19" s="48"/>
      <c r="AR19" s="28"/>
      <c r="AS19" s="28"/>
      <c r="AT19" s="33"/>
      <c r="AU19" s="52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</row>
    <row r="20" spans="1:185" s="36" customFormat="1" ht="15" customHeight="1">
      <c r="A20" s="78" t="s">
        <v>19</v>
      </c>
      <c r="B20" s="79"/>
      <c r="C20" s="79"/>
      <c r="D20" s="79"/>
      <c r="E20" s="79"/>
      <c r="F20" s="82">
        <v>1777</v>
      </c>
      <c r="G20" s="82">
        <v>2216.0705779999998</v>
      </c>
      <c r="H20" s="82">
        <v>1969.8000000000002</v>
      </c>
      <c r="I20" s="82">
        <v>1429.8078089999999</v>
      </c>
      <c r="J20" s="82">
        <v>1703.6</v>
      </c>
      <c r="K20" s="82">
        <v>2568.2981019999997</v>
      </c>
      <c r="L20" s="82">
        <v>3389.5097959999998</v>
      </c>
      <c r="M20" s="82">
        <v>4122.6634639999993</v>
      </c>
      <c r="N20" s="82">
        <v>5621.5076369999997</v>
      </c>
      <c r="O20" s="82">
        <v>6532.7918000000009</v>
      </c>
      <c r="P20" s="82">
        <v>6394.5514360000006</v>
      </c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28"/>
      <c r="AL20" s="28"/>
      <c r="AM20" s="28"/>
      <c r="AN20" s="28"/>
      <c r="AO20" s="60"/>
      <c r="AP20" s="47"/>
      <c r="AQ20" s="28"/>
      <c r="AR20" s="28"/>
      <c r="AS20" s="28"/>
      <c r="AT20" s="33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</row>
    <row r="21" spans="1:185" s="1" customFormat="1" ht="15" customHeight="1">
      <c r="A21" s="17" t="s">
        <v>23</v>
      </c>
      <c r="B21" s="12"/>
      <c r="C21" s="12"/>
      <c r="D21" s="12"/>
      <c r="E21" s="12"/>
      <c r="F21" s="21">
        <v>100.8</v>
      </c>
      <c r="G21" s="21">
        <v>108.2</v>
      </c>
      <c r="H21" s="21">
        <v>93.3</v>
      </c>
      <c r="I21" s="21">
        <v>56.6</v>
      </c>
      <c r="J21" s="21">
        <v>46.9</v>
      </c>
      <c r="K21" s="21">
        <v>33.700000000000003</v>
      </c>
      <c r="L21" s="21">
        <v>52.6</v>
      </c>
      <c r="M21" s="21">
        <v>33.124519409999998</v>
      </c>
      <c r="N21" s="21">
        <v>49.642775</v>
      </c>
      <c r="O21" s="21">
        <v>103.70914999999999</v>
      </c>
      <c r="P21" s="21">
        <v>146.29904588333332</v>
      </c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61"/>
      <c r="AL21" s="28"/>
      <c r="AM21" s="28"/>
      <c r="AN21" s="28"/>
      <c r="AO21" s="28"/>
      <c r="AP21" s="47"/>
      <c r="AQ21" s="28"/>
      <c r="AR21" s="28"/>
      <c r="AS21" s="28"/>
      <c r="AT21" s="33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  <c r="FS21" s="28"/>
      <c r="FT21" s="28"/>
      <c r="FU21" s="28"/>
      <c r="FV21" s="28"/>
      <c r="FW21" s="28"/>
      <c r="FX21" s="28"/>
      <c r="FY21" s="28"/>
      <c r="FZ21" s="28"/>
      <c r="GA21" s="28"/>
      <c r="GB21" s="28"/>
      <c r="GC21" s="28"/>
    </row>
    <row r="22" spans="1:185" s="1" customFormat="1" ht="15" hidden="1" customHeight="1">
      <c r="A22" s="19" t="s">
        <v>7</v>
      </c>
      <c r="B22" s="18"/>
      <c r="C22" s="18"/>
      <c r="D22" s="18"/>
      <c r="E22" s="18"/>
      <c r="F22" s="84">
        <v>512.44825449999996</v>
      </c>
      <c r="G22" s="84">
        <v>602.36511637500007</v>
      </c>
      <c r="H22" s="85">
        <v>663.6</v>
      </c>
      <c r="I22" s="85">
        <v>608.4</v>
      </c>
      <c r="J22" s="86">
        <v>713.6</v>
      </c>
      <c r="K22" s="87" t="s">
        <v>8</v>
      </c>
      <c r="L22" s="87" t="s">
        <v>8</v>
      </c>
      <c r="M22" s="87"/>
      <c r="N22" s="87"/>
      <c r="O22" s="87"/>
      <c r="P22" s="87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28"/>
      <c r="AL22" s="28"/>
      <c r="AM22" s="28"/>
      <c r="AN22" s="28"/>
      <c r="AO22" s="28"/>
      <c r="AP22" s="47"/>
      <c r="AQ22" s="28"/>
      <c r="AR22" s="28"/>
      <c r="AS22" s="28"/>
      <c r="AT22" s="33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  <c r="FS22" s="28"/>
      <c r="FT22" s="28"/>
      <c r="FU22" s="28"/>
      <c r="FV22" s="28"/>
      <c r="FW22" s="28"/>
      <c r="FX22" s="28"/>
      <c r="FY22" s="28"/>
      <c r="FZ22" s="28"/>
      <c r="GA22" s="28"/>
      <c r="GB22" s="28"/>
      <c r="GC22" s="28"/>
    </row>
    <row r="23" spans="1:185" s="36" customFormat="1" ht="17.25" customHeight="1">
      <c r="A23" s="78" t="s">
        <v>24</v>
      </c>
      <c r="B23" s="79"/>
      <c r="C23" s="79"/>
      <c r="D23" s="79"/>
      <c r="E23" s="79"/>
      <c r="F23" s="71">
        <v>27.139337412882558</v>
      </c>
      <c r="G23" s="71">
        <v>29.503968519282786</v>
      </c>
      <c r="H23" s="71">
        <v>25.361439681677243</v>
      </c>
      <c r="I23" s="71">
        <v>25.226395840844063</v>
      </c>
      <c r="J23" s="71">
        <v>26.145496698869628</v>
      </c>
      <c r="K23" s="71">
        <v>25.194825660434443</v>
      </c>
      <c r="L23" s="71">
        <v>24.857456566934687</v>
      </c>
      <c r="M23" s="71">
        <v>25.562514567993571</v>
      </c>
      <c r="N23" s="71">
        <v>25.222215686999792</v>
      </c>
      <c r="O23" s="71">
        <v>23.165834456351099</v>
      </c>
      <c r="P23" s="71">
        <v>19.637445059556079</v>
      </c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  <c r="FS23" s="28"/>
      <c r="FT23" s="28"/>
      <c r="FU23" s="28"/>
      <c r="FV23" s="28"/>
      <c r="FW23" s="28"/>
      <c r="FX23" s="28"/>
      <c r="FY23" s="28"/>
      <c r="FZ23" s="28"/>
      <c r="GA23" s="28"/>
      <c r="GB23" s="28"/>
      <c r="GC23" s="28"/>
    </row>
    <row r="24" spans="1:185" s="89" customFormat="1" ht="13.5" customHeight="1">
      <c r="A24" s="88" t="s">
        <v>20</v>
      </c>
      <c r="B24" s="12"/>
      <c r="C24" s="12"/>
      <c r="D24" s="12"/>
      <c r="E24" s="12"/>
      <c r="F24" s="70"/>
    </row>
    <row r="25" spans="1:185" s="89" customFormat="1" ht="13.5" customHeight="1">
      <c r="A25" s="88" t="s">
        <v>16</v>
      </c>
      <c r="B25" s="12"/>
      <c r="C25" s="12"/>
      <c r="D25" s="12"/>
      <c r="E25" s="12"/>
      <c r="N25" s="65"/>
      <c r="O25" s="65"/>
      <c r="P25" s="65"/>
    </row>
    <row r="26" spans="1:185" s="28" customFormat="1" ht="12.75" customHeight="1">
      <c r="A26" s="88" t="s">
        <v>21</v>
      </c>
      <c r="B26" s="12"/>
      <c r="C26" s="12"/>
      <c r="D26" s="12"/>
      <c r="E26" s="12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27"/>
    </row>
    <row r="27" spans="1:185" s="13" customFormat="1">
      <c r="A27" s="30"/>
      <c r="F27" s="72"/>
      <c r="G27" s="72"/>
      <c r="H27" s="72"/>
      <c r="I27" s="72"/>
      <c r="J27" s="72"/>
      <c r="K27" s="72"/>
      <c r="L27" s="72"/>
      <c r="M27" s="72"/>
      <c r="N27" s="72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spans="1:185" s="13" customFormat="1">
      <c r="A28" s="5"/>
    </row>
    <row r="29" spans="1:185" s="13" customFormat="1"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spans="1:185" s="13" customFormat="1"/>
    <row r="31" spans="1:185" s="13" customFormat="1"/>
    <row r="32" spans="1:185" s="13" customFormat="1"/>
    <row r="33" spans="6:58" s="13" customFormat="1">
      <c r="J33" s="14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6:58" s="13" customFormat="1"/>
    <row r="35" spans="6:58" s="13" customFormat="1"/>
    <row r="36" spans="6:58" s="13" customFormat="1"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6:58" s="13" customFormat="1"/>
    <row r="38" spans="6:58" s="13" customFormat="1"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</row>
    <row r="39" spans="6:58" s="15" customFormat="1">
      <c r="AP39" s="63"/>
      <c r="BB39" s="63"/>
      <c r="BC39" s="66"/>
      <c r="BF39" s="66"/>
    </row>
    <row r="40" spans="6:58" s="13" customFormat="1"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9"/>
      <c r="AQ40" s="28"/>
      <c r="AR40" s="28"/>
      <c r="AS40" s="28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28"/>
    </row>
    <row r="41" spans="6:58" s="13" customFormat="1"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AQ41" s="28"/>
      <c r="AR41" s="28"/>
      <c r="AS41" s="28"/>
      <c r="AT41" s="5"/>
      <c r="AU41" s="32"/>
      <c r="AV41" s="32"/>
      <c r="AW41" s="32"/>
      <c r="AX41" s="32"/>
      <c r="AY41" s="32"/>
      <c r="AZ41" s="32"/>
      <c r="BA41" s="8"/>
      <c r="BB41" s="8"/>
      <c r="BC41" s="5"/>
      <c r="BE41" s="5"/>
      <c r="BF41" s="28"/>
    </row>
    <row r="42" spans="6:58" s="13" customFormat="1"/>
    <row r="43" spans="6:58" s="13" customFormat="1"/>
    <row r="44" spans="6:58" s="13" customFormat="1"/>
    <row r="45" spans="6:58" s="13" customFormat="1"/>
    <row r="46" spans="6:58" s="13" customFormat="1"/>
    <row r="47" spans="6:58" s="13" customFormat="1"/>
    <row r="48" spans="6:58" s="13" customFormat="1"/>
    <row r="49" s="13" customFormat="1"/>
    <row r="50" s="13" customFormat="1"/>
    <row r="51" s="13" customFormat="1"/>
    <row r="52" s="13" customFormat="1"/>
    <row r="53" s="13" customFormat="1"/>
    <row r="54" s="13" customFormat="1"/>
    <row r="55" s="13" customFormat="1"/>
    <row r="56" s="13" customFormat="1"/>
    <row r="57" s="13" customFormat="1"/>
    <row r="58" s="13" customFormat="1"/>
    <row r="59" s="13" customFormat="1"/>
    <row r="60" s="13" customFormat="1"/>
    <row r="61" s="13" customFormat="1"/>
    <row r="62" s="13" customFormat="1"/>
    <row r="63" s="13" customFormat="1"/>
    <row r="64" s="13" customFormat="1"/>
    <row r="65" s="13" customFormat="1"/>
    <row r="66" s="13" customFormat="1"/>
    <row r="67" s="13" customFormat="1"/>
    <row r="68" s="13" customFormat="1"/>
    <row r="69" s="13" customFormat="1"/>
    <row r="70" s="13" customFormat="1"/>
    <row r="71" s="13" customFormat="1"/>
    <row r="72" s="13" customFormat="1"/>
    <row r="73" s="13" customFormat="1"/>
    <row r="74" s="13" customFormat="1"/>
    <row r="75" s="13" customFormat="1"/>
    <row r="76" s="13" customFormat="1"/>
    <row r="77" s="13" customFormat="1"/>
    <row r="78" s="13" customFormat="1"/>
    <row r="79" s="13" customFormat="1"/>
    <row r="80" s="13" customFormat="1"/>
    <row r="81" s="13" customFormat="1"/>
    <row r="82" s="13" customFormat="1"/>
    <row r="83" s="13" customFormat="1"/>
    <row r="84" s="13" customFormat="1"/>
    <row r="85" s="13" customFormat="1"/>
    <row r="86" s="13" customFormat="1"/>
    <row r="87" s="13" customFormat="1"/>
    <row r="88" s="13" customFormat="1"/>
    <row r="89" s="13" customFormat="1"/>
    <row r="90" s="13" customFormat="1"/>
    <row r="91" s="13" customFormat="1"/>
    <row r="92" s="13" customFormat="1"/>
    <row r="93" s="13" customFormat="1"/>
    <row r="94" s="13" customFormat="1"/>
    <row r="95" s="13" customFormat="1"/>
    <row r="96" s="13" customFormat="1"/>
    <row r="97" s="13" customFormat="1"/>
    <row r="98" s="13" customFormat="1"/>
    <row r="99" s="13" customFormat="1"/>
    <row r="100" s="13" customFormat="1"/>
    <row r="101" s="13" customFormat="1"/>
    <row r="102" s="13" customFormat="1"/>
    <row r="103" s="13" customFormat="1"/>
    <row r="104" s="13" customFormat="1"/>
    <row r="105" s="13" customFormat="1"/>
    <row r="106" s="13" customFormat="1"/>
    <row r="107" s="13" customFormat="1"/>
    <row r="108" s="13" customFormat="1"/>
    <row r="109" s="13" customFormat="1"/>
    <row r="110" s="13" customFormat="1"/>
    <row r="111" s="13" customFormat="1"/>
    <row r="112" s="13" customFormat="1"/>
    <row r="113" s="13" customFormat="1"/>
    <row r="114" s="13" customFormat="1"/>
    <row r="115" s="13" customFormat="1"/>
    <row r="116" s="13" customFormat="1"/>
    <row r="117" s="13" customFormat="1"/>
    <row r="118" s="13" customFormat="1"/>
    <row r="119" s="13" customFormat="1"/>
    <row r="120" s="13" customFormat="1"/>
    <row r="121" s="13" customFormat="1"/>
    <row r="122" s="13" customFormat="1"/>
    <row r="123" s="13" customFormat="1"/>
    <row r="124" s="13" customFormat="1"/>
    <row r="125" s="13" customFormat="1"/>
    <row r="126" s="13" customFormat="1"/>
    <row r="127" s="13" customFormat="1"/>
    <row r="128" s="13" customFormat="1"/>
    <row r="129" s="13" customFormat="1"/>
    <row r="130" s="13" customFormat="1"/>
    <row r="131" s="13" customFormat="1"/>
    <row r="132" s="13" customFormat="1"/>
    <row r="133" s="13" customFormat="1"/>
    <row r="134" s="13" customFormat="1"/>
    <row r="135" s="13" customFormat="1"/>
    <row r="136" s="13" customFormat="1"/>
    <row r="137" s="13" customFormat="1"/>
    <row r="138" s="13" customFormat="1"/>
    <row r="139" s="13" customFormat="1"/>
    <row r="140" s="13" customFormat="1"/>
    <row r="141" s="13" customFormat="1"/>
    <row r="142" s="13" customFormat="1"/>
    <row r="143" s="13" customFormat="1"/>
    <row r="144" s="13" customFormat="1"/>
    <row r="145" s="13" customFormat="1"/>
    <row r="146" s="13" customFormat="1"/>
    <row r="147" s="13" customFormat="1"/>
    <row r="148" s="13" customFormat="1"/>
    <row r="149" s="13" customFormat="1"/>
    <row r="150" s="13" customFormat="1"/>
    <row r="151" s="13" customFormat="1"/>
    <row r="152" s="13" customFormat="1"/>
    <row r="153" s="13" customFormat="1"/>
    <row r="154" s="13" customFormat="1"/>
    <row r="155" s="13" customFormat="1"/>
    <row r="156" s="13" customFormat="1"/>
    <row r="157" s="13" customFormat="1"/>
    <row r="158" s="13" customFormat="1"/>
    <row r="159" s="13" customFormat="1"/>
    <row r="160" s="13" customFormat="1"/>
    <row r="161" s="13" customFormat="1"/>
    <row r="162" s="13" customFormat="1"/>
    <row r="163" s="13" customFormat="1"/>
    <row r="164" s="13" customFormat="1"/>
    <row r="165" s="13" customFormat="1"/>
    <row r="166" s="13" customFormat="1"/>
    <row r="167" s="13" customFormat="1"/>
    <row r="168" s="13" customFormat="1"/>
    <row r="169" s="13" customFormat="1"/>
    <row r="170" s="13" customFormat="1"/>
    <row r="171" s="13" customFormat="1"/>
    <row r="172" s="13" customFormat="1"/>
    <row r="173" s="13" customFormat="1"/>
    <row r="174" s="13" customFormat="1"/>
    <row r="175" s="13" customFormat="1"/>
    <row r="176" s="13" customFormat="1"/>
    <row r="177" s="13" customFormat="1"/>
    <row r="178" s="13" customFormat="1"/>
    <row r="179" s="13" customFormat="1"/>
    <row r="180" s="13" customFormat="1"/>
    <row r="181" s="13" customFormat="1"/>
    <row r="182" s="13" customFormat="1"/>
    <row r="183" s="13" customFormat="1"/>
    <row r="184" s="13" customFormat="1"/>
    <row r="185" s="13" customFormat="1"/>
    <row r="186" s="13" customFormat="1"/>
    <row r="187" s="13" customFormat="1"/>
    <row r="188" s="13" customFormat="1"/>
    <row r="189" s="13" customFormat="1"/>
    <row r="190" s="13" customFormat="1"/>
    <row r="191" s="13" customFormat="1"/>
    <row r="192" s="13" customFormat="1"/>
    <row r="193" s="13" customFormat="1"/>
    <row r="194" s="13" customFormat="1"/>
    <row r="195" s="13" customFormat="1"/>
    <row r="196" s="13" customFormat="1"/>
    <row r="197" s="13" customFormat="1"/>
    <row r="198" s="13" customFormat="1"/>
    <row r="199" s="13" customFormat="1"/>
    <row r="200" s="13" customFormat="1"/>
    <row r="201" s="13" customFormat="1"/>
    <row r="202" s="13" customFormat="1"/>
    <row r="203" s="13" customFormat="1"/>
    <row r="204" s="13" customFormat="1"/>
    <row r="205" s="13" customFormat="1"/>
    <row r="206" s="13" customFormat="1"/>
    <row r="207" s="13" customFormat="1"/>
    <row r="208" s="13" customFormat="1"/>
    <row r="209" s="13" customFormat="1"/>
    <row r="210" s="13" customFormat="1"/>
    <row r="211" s="13" customFormat="1"/>
    <row r="212" s="13" customFormat="1"/>
    <row r="213" s="13" customFormat="1"/>
    <row r="214" s="13" customFormat="1"/>
    <row r="215" s="13" customFormat="1"/>
    <row r="216" s="13" customFormat="1"/>
    <row r="217" s="13" customFormat="1"/>
    <row r="218" s="13" customFormat="1"/>
    <row r="219" s="13" customFormat="1"/>
    <row r="220" s="13" customFormat="1"/>
    <row r="221" s="13" customFormat="1"/>
    <row r="222" s="13" customFormat="1"/>
    <row r="223" s="13" customFormat="1"/>
    <row r="224" s="13" customFormat="1"/>
    <row r="225" s="13" customFormat="1"/>
    <row r="226" s="13" customFormat="1"/>
    <row r="227" s="13" customFormat="1"/>
    <row r="228" s="13" customFormat="1"/>
    <row r="229" s="13" customFormat="1"/>
    <row r="230" s="13" customFormat="1"/>
    <row r="231" s="13" customFormat="1"/>
    <row r="232" s="13" customFormat="1"/>
    <row r="233" s="13" customFormat="1"/>
    <row r="234" s="13" customFormat="1"/>
    <row r="235" s="13" customFormat="1"/>
    <row r="236" s="13" customFormat="1"/>
    <row r="237" s="13" customFormat="1"/>
    <row r="238" s="13" customFormat="1"/>
    <row r="239" s="13" customFormat="1"/>
    <row r="240" s="13" customFormat="1"/>
    <row r="241" s="13" customFormat="1"/>
    <row r="242" s="13" customFormat="1"/>
    <row r="243" s="13" customFormat="1"/>
    <row r="244" s="13" customFormat="1"/>
    <row r="245" s="13" customFormat="1"/>
    <row r="246" s="13" customFormat="1"/>
    <row r="247" s="13" customFormat="1"/>
    <row r="248" s="13" customFormat="1"/>
    <row r="249" s="13" customFormat="1"/>
    <row r="250" s="13" customFormat="1"/>
    <row r="251" s="13" customFormat="1"/>
    <row r="252" s="13" customFormat="1"/>
    <row r="253" s="13" customFormat="1"/>
    <row r="254" s="13" customFormat="1"/>
    <row r="255" s="13" customFormat="1"/>
    <row r="256" s="13" customFormat="1"/>
    <row r="257" s="13" customFormat="1"/>
    <row r="258" s="13" customFormat="1"/>
    <row r="259" s="13" customFormat="1"/>
    <row r="260" s="13" customFormat="1"/>
    <row r="261" s="13" customFormat="1"/>
    <row r="262" s="13" customFormat="1"/>
    <row r="263" s="13" customFormat="1"/>
    <row r="264" s="13" customFormat="1"/>
    <row r="265" s="13" customFormat="1"/>
    <row r="266" s="13" customFormat="1"/>
    <row r="267" s="13" customFormat="1"/>
    <row r="268" s="13" customFormat="1"/>
    <row r="269" s="13" customFormat="1"/>
    <row r="270" s="13" customFormat="1"/>
    <row r="271" s="13" customFormat="1"/>
    <row r="272" s="13" customFormat="1"/>
    <row r="273" s="13" customFormat="1"/>
    <row r="274" s="13" customFormat="1"/>
    <row r="275" s="13" customFormat="1"/>
    <row r="276" s="13" customFormat="1"/>
    <row r="277" s="13" customFormat="1"/>
    <row r="278" s="13" customFormat="1"/>
    <row r="279" s="13" customFormat="1"/>
    <row r="280" s="13" customFormat="1"/>
    <row r="281" s="13" customFormat="1"/>
    <row r="282" s="13" customFormat="1"/>
    <row r="283" s="13" customFormat="1"/>
    <row r="284" s="13" customFormat="1"/>
    <row r="285" s="13" customFormat="1"/>
    <row r="286" s="13" customFormat="1"/>
    <row r="287" s="13" customFormat="1"/>
    <row r="288" s="13" customFormat="1"/>
    <row r="289" s="13" customFormat="1"/>
    <row r="290" s="13" customFormat="1"/>
    <row r="291" s="13" customFormat="1"/>
    <row r="292" s="13" customFormat="1"/>
    <row r="293" s="13" customFormat="1"/>
    <row r="294" s="13" customFormat="1"/>
    <row r="295" s="13" customFormat="1"/>
    <row r="296" s="13" customFormat="1"/>
    <row r="297" s="13" customFormat="1"/>
    <row r="298" s="13" customFormat="1"/>
    <row r="299" s="13" customFormat="1"/>
    <row r="300" s="13" customFormat="1"/>
    <row r="301" s="13" customFormat="1"/>
    <row r="302" s="13" customFormat="1"/>
    <row r="303" s="13" customFormat="1"/>
    <row r="304" s="13" customFormat="1"/>
    <row r="305" s="13" customFormat="1"/>
    <row r="306" s="13" customFormat="1"/>
    <row r="307" s="13" customFormat="1"/>
    <row r="308" s="13" customFormat="1"/>
    <row r="309" s="13" customFormat="1"/>
    <row r="310" s="13" customFormat="1"/>
    <row r="311" s="13" customFormat="1"/>
    <row r="312" s="13" customFormat="1"/>
    <row r="313" s="13" customFormat="1"/>
    <row r="314" s="13" customFormat="1"/>
    <row r="315" s="13" customFormat="1"/>
    <row r="316" s="13" customFormat="1"/>
    <row r="317" s="13" customFormat="1"/>
    <row r="318" s="13" customFormat="1"/>
    <row r="319" s="13" customFormat="1"/>
    <row r="320" s="13" customFormat="1"/>
    <row r="321" s="13" customFormat="1"/>
    <row r="322" s="13" customFormat="1"/>
    <row r="323" s="13" customFormat="1"/>
    <row r="324" s="13" customFormat="1"/>
    <row r="325" s="13" customFormat="1"/>
    <row r="326" s="13" customFormat="1"/>
    <row r="327" s="13" customFormat="1"/>
    <row r="328" s="13" customFormat="1"/>
    <row r="329" s="13" customFormat="1"/>
    <row r="330" s="13" customFormat="1"/>
    <row r="331" s="13" customFormat="1"/>
    <row r="332" s="13" customFormat="1"/>
    <row r="333" s="13" customFormat="1"/>
    <row r="334" s="13" customFormat="1"/>
    <row r="335" s="13" customFormat="1"/>
    <row r="336" s="13" customFormat="1"/>
    <row r="337" s="13" customFormat="1"/>
    <row r="338" s="13" customFormat="1"/>
    <row r="339" s="13" customFormat="1"/>
    <row r="340" s="13" customFormat="1"/>
    <row r="341" s="13" customFormat="1"/>
    <row r="342" s="13" customFormat="1"/>
    <row r="343" s="13" customFormat="1"/>
    <row r="344" s="13" customFormat="1"/>
    <row r="345" s="13" customFormat="1"/>
    <row r="346" s="13" customFormat="1"/>
    <row r="347" s="13" customFormat="1"/>
    <row r="348" s="13" customFormat="1"/>
    <row r="349" s="13" customFormat="1"/>
    <row r="350" s="13" customFormat="1"/>
    <row r="351" s="13" customFormat="1"/>
    <row r="352" s="13" customFormat="1"/>
    <row r="353" s="13" customFormat="1"/>
    <row r="354" s="13" customFormat="1"/>
    <row r="355" s="13" customFormat="1"/>
    <row r="356" s="13" customFormat="1"/>
    <row r="357" s="13" customFormat="1"/>
    <row r="358" s="13" customFormat="1"/>
    <row r="359" s="13" customFormat="1"/>
    <row r="360" s="13" customFormat="1"/>
    <row r="361" s="13" customFormat="1"/>
    <row r="362" s="13" customFormat="1"/>
    <row r="363" s="13" customFormat="1"/>
    <row r="364" s="13" customFormat="1"/>
    <row r="365" s="13" customFormat="1"/>
    <row r="366" s="13" customFormat="1"/>
    <row r="367" s="13" customFormat="1"/>
    <row r="368" s="13" customFormat="1"/>
    <row r="369" s="13" customFormat="1"/>
    <row r="370" s="13" customFormat="1"/>
    <row r="371" s="13" customFormat="1"/>
    <row r="372" s="13" customFormat="1"/>
    <row r="373" s="13" customFormat="1"/>
    <row r="374" s="13" customFormat="1"/>
    <row r="375" s="13" customFormat="1"/>
    <row r="376" s="13" customFormat="1"/>
    <row r="377" s="13" customFormat="1"/>
    <row r="378" s="13" customFormat="1"/>
    <row r="379" s="13" customFormat="1"/>
    <row r="380" s="13" customFormat="1"/>
    <row r="381" s="13" customFormat="1"/>
    <row r="382" s="13" customFormat="1"/>
    <row r="383" s="13" customFormat="1"/>
    <row r="384" s="13" customFormat="1"/>
    <row r="385" s="13" customFormat="1"/>
    <row r="386" s="13" customFormat="1"/>
    <row r="387" s="13" customFormat="1"/>
    <row r="388" s="13" customFormat="1"/>
    <row r="389" s="13" customFormat="1"/>
    <row r="390" s="13" customFormat="1"/>
    <row r="391" s="13" customFormat="1"/>
    <row r="392" s="13" customFormat="1"/>
    <row r="393" s="13" customFormat="1"/>
    <row r="394" s="13" customFormat="1"/>
    <row r="395" s="13" customFormat="1"/>
    <row r="396" s="13" customFormat="1"/>
    <row r="397" s="13" customFormat="1"/>
    <row r="398" s="13" customFormat="1"/>
    <row r="399" s="13" customFormat="1"/>
    <row r="400" s="13" customFormat="1"/>
    <row r="401" s="13" customFormat="1"/>
    <row r="402" s="13" customFormat="1"/>
    <row r="403" s="13" customFormat="1"/>
    <row r="404" s="13" customFormat="1"/>
    <row r="405" s="13" customFormat="1"/>
    <row r="406" s="13" customFormat="1"/>
    <row r="407" s="13" customFormat="1"/>
    <row r="408" s="13" customFormat="1"/>
    <row r="409" s="13" customFormat="1"/>
    <row r="410" s="13" customFormat="1"/>
    <row r="411" s="13" customFormat="1"/>
    <row r="412" s="13" customFormat="1"/>
    <row r="413" s="13" customFormat="1"/>
    <row r="414" s="13" customFormat="1"/>
    <row r="415" s="13" customFormat="1"/>
    <row r="416" s="13" customFormat="1"/>
    <row r="417" s="13" customFormat="1"/>
    <row r="418" s="13" customFormat="1"/>
    <row r="419" s="13" customFormat="1"/>
    <row r="420" s="13" customFormat="1"/>
    <row r="421" s="13" customFormat="1"/>
    <row r="422" s="13" customFormat="1"/>
    <row r="423" s="13" customFormat="1"/>
    <row r="424" s="13" customFormat="1"/>
    <row r="425" s="13" customFormat="1"/>
    <row r="426" s="13" customFormat="1"/>
    <row r="427" s="13" customFormat="1"/>
    <row r="428" s="13" customFormat="1"/>
    <row r="429" s="13" customFormat="1"/>
    <row r="430" s="13" customFormat="1"/>
    <row r="431" s="13" customFormat="1"/>
    <row r="432" s="13" customFormat="1"/>
    <row r="433" s="13" customFormat="1"/>
    <row r="434" s="13" customFormat="1"/>
    <row r="435" s="13" customFormat="1"/>
    <row r="436" s="13" customFormat="1"/>
    <row r="437" s="13" customFormat="1"/>
    <row r="438" s="13" customFormat="1"/>
    <row r="439" s="13" customFormat="1"/>
    <row r="440" s="13" customFormat="1"/>
    <row r="441" s="13" customFormat="1"/>
    <row r="442" s="13" customFormat="1"/>
    <row r="443" s="13" customFormat="1"/>
    <row r="444" s="13" customFormat="1"/>
    <row r="445" s="13" customFormat="1"/>
    <row r="446" s="13" customFormat="1"/>
    <row r="447" s="13" customFormat="1"/>
    <row r="448" s="13" customFormat="1"/>
    <row r="449" s="13" customFormat="1"/>
    <row r="450" s="13" customFormat="1"/>
    <row r="451" s="13" customFormat="1"/>
    <row r="452" s="13" customFormat="1"/>
    <row r="453" s="13" customFormat="1"/>
    <row r="454" s="13" customFormat="1"/>
    <row r="455" s="13" customFormat="1"/>
    <row r="456" s="13" customFormat="1"/>
    <row r="457" s="13" customFormat="1"/>
    <row r="458" s="13" customFormat="1"/>
    <row r="459" s="13" customFormat="1"/>
    <row r="460" s="13" customFormat="1"/>
    <row r="461" s="13" customFormat="1"/>
    <row r="462" s="13" customFormat="1"/>
    <row r="463" s="13" customFormat="1"/>
    <row r="464" s="13" customFormat="1"/>
    <row r="465" s="13" customFormat="1"/>
    <row r="466" s="13" customFormat="1"/>
    <row r="467" s="13" customFormat="1"/>
    <row r="468" s="13" customFormat="1"/>
    <row r="469" s="13" customFormat="1"/>
    <row r="470" s="13" customFormat="1"/>
    <row r="471" s="13" customFormat="1"/>
    <row r="472" s="13" customFormat="1"/>
    <row r="473" s="13" customFormat="1"/>
    <row r="474" s="13" customFormat="1"/>
    <row r="475" s="13" customFormat="1"/>
    <row r="476" s="13" customFormat="1"/>
    <row r="477" s="13" customFormat="1"/>
    <row r="478" s="13" customFormat="1"/>
    <row r="479" s="13" customFormat="1"/>
    <row r="480" s="13" customFormat="1"/>
    <row r="481" s="13" customFormat="1"/>
    <row r="482" s="13" customFormat="1"/>
    <row r="483" s="13" customFormat="1"/>
    <row r="484" s="13" customFormat="1"/>
    <row r="485" s="13" customFormat="1"/>
    <row r="486" s="13" customFormat="1"/>
    <row r="487" s="13" customFormat="1"/>
    <row r="488" s="13" customFormat="1"/>
    <row r="489" s="13" customFormat="1"/>
    <row r="490" s="13" customFormat="1"/>
    <row r="491" s="13" customFormat="1"/>
    <row r="492" s="13" customFormat="1"/>
    <row r="493" s="13" customFormat="1"/>
    <row r="494" s="13" customFormat="1"/>
    <row r="495" s="13" customFormat="1"/>
    <row r="496" s="13" customFormat="1"/>
    <row r="497" s="13" customFormat="1"/>
    <row r="498" s="13" customFormat="1"/>
    <row r="499" s="13" customFormat="1"/>
    <row r="500" s="13" customFormat="1"/>
    <row r="501" s="13" customFormat="1"/>
    <row r="502" s="13" customFormat="1"/>
    <row r="503" s="13" customFormat="1"/>
    <row r="504" s="13" customFormat="1"/>
    <row r="505" s="13" customFormat="1"/>
    <row r="506" s="13" customFormat="1"/>
    <row r="507" s="13" customFormat="1"/>
    <row r="508" s="13" customFormat="1"/>
    <row r="509" s="13" customFormat="1"/>
    <row r="510" s="13" customFormat="1"/>
    <row r="511" s="13" customFormat="1"/>
    <row r="512" s="13" customFormat="1"/>
    <row r="513" s="13" customFormat="1"/>
    <row r="514" s="13" customFormat="1"/>
    <row r="515" s="13" customFormat="1"/>
    <row r="516" s="13" customFormat="1"/>
    <row r="517" s="13" customFormat="1"/>
    <row r="518" s="13" customFormat="1"/>
    <row r="519" s="13" customFormat="1"/>
    <row r="520" s="13" customFormat="1"/>
    <row r="521" s="13" customFormat="1"/>
    <row r="522" s="13" customFormat="1"/>
    <row r="523" s="13" customFormat="1"/>
    <row r="524" s="13" customFormat="1"/>
    <row r="525" s="13" customFormat="1"/>
    <row r="526" s="13" customFormat="1"/>
    <row r="527" s="13" customFormat="1"/>
    <row r="528" s="13" customFormat="1"/>
    <row r="529" s="13" customFormat="1"/>
    <row r="530" s="13" customFormat="1"/>
    <row r="531" s="13" customFormat="1"/>
    <row r="532" s="13" customFormat="1"/>
    <row r="533" s="13" customFormat="1"/>
    <row r="534" s="13" customFormat="1"/>
    <row r="535" s="13" customFormat="1"/>
    <row r="536" s="13" customFormat="1"/>
    <row r="537" s="13" customFormat="1"/>
    <row r="538" s="13" customFormat="1"/>
    <row r="539" s="13" customFormat="1"/>
    <row r="540" s="13" customFormat="1"/>
    <row r="541" s="13" customFormat="1"/>
    <row r="542" s="13" customFormat="1"/>
    <row r="543" s="13" customFormat="1"/>
    <row r="544" s="13" customFormat="1"/>
    <row r="545" s="13" customFormat="1"/>
    <row r="546" s="13" customFormat="1"/>
    <row r="547" s="13" customFormat="1"/>
    <row r="548" s="13" customFormat="1"/>
    <row r="549" s="13" customFormat="1"/>
    <row r="550" s="13" customFormat="1"/>
    <row r="551" s="13" customFormat="1"/>
    <row r="552" s="13" customFormat="1"/>
    <row r="553" s="13" customFormat="1"/>
    <row r="554" s="13" customFormat="1"/>
    <row r="555" s="13" customFormat="1"/>
    <row r="556" s="13" customFormat="1"/>
    <row r="557" s="13" customFormat="1"/>
    <row r="558" s="13" customFormat="1"/>
    <row r="559" s="13" customFormat="1"/>
    <row r="560" s="13" customFormat="1"/>
    <row r="561" s="13" customFormat="1"/>
    <row r="562" s="13" customFormat="1"/>
    <row r="563" s="13" customFormat="1"/>
    <row r="564" s="13" customFormat="1"/>
    <row r="565" s="13" customFormat="1"/>
    <row r="566" s="13" customFormat="1"/>
    <row r="567" s="13" customFormat="1"/>
    <row r="568" s="13" customFormat="1"/>
    <row r="569" s="13" customFormat="1"/>
    <row r="570" s="13" customFormat="1"/>
    <row r="571" s="13" customFormat="1"/>
    <row r="572" s="13" customFormat="1"/>
    <row r="573" s="13" customFormat="1"/>
    <row r="574" s="13" customFormat="1"/>
    <row r="575" s="13" customFormat="1"/>
    <row r="576" s="13" customFormat="1"/>
    <row r="577" s="13" customFormat="1"/>
    <row r="578" s="13" customFormat="1"/>
    <row r="579" s="13" customFormat="1"/>
    <row r="580" s="13" customFormat="1"/>
    <row r="581" s="13" customFormat="1"/>
    <row r="582" s="13" customFormat="1"/>
    <row r="583" s="13" customFormat="1"/>
    <row r="584" s="13" customFormat="1"/>
    <row r="585" s="13" customFormat="1"/>
    <row r="586" s="13" customFormat="1"/>
    <row r="587" s="13" customFormat="1"/>
    <row r="588" s="13" customFormat="1"/>
    <row r="589" s="13" customFormat="1"/>
    <row r="590" s="13" customFormat="1"/>
    <row r="591" s="13" customFormat="1"/>
    <row r="592" s="13" customFormat="1"/>
    <row r="593" s="13" customFormat="1"/>
    <row r="594" s="13" customFormat="1"/>
    <row r="595" s="13" customFormat="1"/>
    <row r="596" s="13" customFormat="1"/>
    <row r="597" s="13" customFormat="1"/>
    <row r="598" s="13" customFormat="1"/>
    <row r="599" s="13" customFormat="1"/>
    <row r="600" s="13" customFormat="1"/>
    <row r="601" s="13" customFormat="1"/>
    <row r="602" s="13" customFormat="1"/>
    <row r="603" s="13" customFormat="1"/>
    <row r="604" s="13" customFormat="1"/>
    <row r="605" s="13" customFormat="1"/>
    <row r="606" s="13" customFormat="1"/>
    <row r="607" s="13" customFormat="1"/>
    <row r="608" s="13" customFormat="1"/>
    <row r="609" s="13" customFormat="1"/>
    <row r="610" s="13" customFormat="1"/>
    <row r="611" s="13" customFormat="1"/>
    <row r="612" s="13" customFormat="1"/>
    <row r="613" s="13" customFormat="1"/>
    <row r="614" s="13" customFormat="1"/>
    <row r="615" s="13" customFormat="1"/>
    <row r="616" s="13" customFormat="1"/>
    <row r="617" s="13" customFormat="1"/>
    <row r="618" s="13" customFormat="1"/>
    <row r="619" s="13" customFormat="1"/>
    <row r="620" s="13" customFormat="1"/>
    <row r="621" s="13" customFormat="1"/>
    <row r="622" s="13" customFormat="1"/>
    <row r="623" s="13" customFormat="1"/>
    <row r="624" s="13" customFormat="1"/>
    <row r="625" s="13" customFormat="1"/>
    <row r="626" s="13" customFormat="1"/>
    <row r="627" s="13" customFormat="1"/>
    <row r="628" s="13" customFormat="1"/>
    <row r="629" s="13" customFormat="1"/>
    <row r="630" s="13" customFormat="1"/>
    <row r="631" s="13" customFormat="1"/>
    <row r="632" s="13" customFormat="1"/>
    <row r="633" s="13" customFormat="1"/>
    <row r="634" s="13" customFormat="1"/>
    <row r="635" s="13" customFormat="1"/>
    <row r="636" s="13" customFormat="1"/>
    <row r="637" s="13" customFormat="1"/>
    <row r="638" s="13" customFormat="1"/>
    <row r="639" s="13" customFormat="1"/>
    <row r="640" s="13" customFormat="1"/>
    <row r="641" s="13" customFormat="1"/>
    <row r="642" s="13" customFormat="1"/>
    <row r="643" s="13" customFormat="1"/>
    <row r="644" s="13" customFormat="1"/>
    <row r="645" s="13" customFormat="1"/>
    <row r="646" s="13" customFormat="1"/>
    <row r="647" s="13" customFormat="1"/>
    <row r="648" s="13" customFormat="1"/>
    <row r="649" s="13" customFormat="1"/>
    <row r="650" s="13" customFormat="1"/>
    <row r="651" s="13" customFormat="1"/>
    <row r="652" s="13" customFormat="1"/>
    <row r="653" s="13" customFormat="1"/>
    <row r="654" s="13" customFormat="1"/>
    <row r="655" s="13" customFormat="1"/>
    <row r="656" s="13" customFormat="1"/>
    <row r="657" s="13" customFormat="1"/>
    <row r="658" s="13" customFormat="1"/>
    <row r="659" s="13" customFormat="1"/>
    <row r="660" s="13" customFormat="1"/>
    <row r="661" s="13" customFormat="1"/>
    <row r="662" s="13" customFormat="1"/>
    <row r="663" s="13" customFormat="1"/>
    <row r="664" s="13" customFormat="1"/>
    <row r="665" s="13" customFormat="1"/>
    <row r="666" s="13" customFormat="1"/>
    <row r="667" s="13" customFormat="1"/>
    <row r="668" s="13" customFormat="1"/>
    <row r="669" s="13" customFormat="1"/>
    <row r="670" s="13" customFormat="1"/>
    <row r="671" s="13" customFormat="1"/>
    <row r="672" s="13" customFormat="1"/>
    <row r="673" s="13" customFormat="1"/>
    <row r="674" s="13" customFormat="1"/>
    <row r="675" s="13" customFormat="1"/>
    <row r="676" s="13" customFormat="1"/>
    <row r="677" s="13" customFormat="1"/>
    <row r="678" s="13" customFormat="1"/>
    <row r="679" s="13" customFormat="1"/>
    <row r="680" s="13" customFormat="1"/>
    <row r="681" s="13" customFormat="1"/>
    <row r="682" s="13" customFormat="1"/>
    <row r="683" s="13" customFormat="1"/>
    <row r="684" s="13" customFormat="1"/>
    <row r="685" s="13" customFormat="1"/>
    <row r="686" s="13" customFormat="1"/>
    <row r="687" s="13" customFormat="1"/>
    <row r="688" s="13" customFormat="1"/>
    <row r="689" s="13" customFormat="1"/>
    <row r="690" s="13" customFormat="1"/>
    <row r="691" s="13" customFormat="1"/>
    <row r="692" s="13" customFormat="1"/>
    <row r="693" s="13" customFormat="1"/>
    <row r="694" s="13" customFormat="1"/>
    <row r="695" s="13" customFormat="1"/>
    <row r="696" s="13" customFormat="1"/>
    <row r="697" s="13" customFormat="1"/>
    <row r="698" s="13" customFormat="1"/>
    <row r="699" s="13" customFormat="1"/>
    <row r="700" s="13" customFormat="1"/>
    <row r="701" s="13" customFormat="1"/>
    <row r="702" s="13" customFormat="1"/>
    <row r="703" s="13" customFormat="1"/>
    <row r="704" s="13" customFormat="1"/>
    <row r="705" s="13" customFormat="1"/>
    <row r="706" s="13" customFormat="1"/>
    <row r="707" s="13" customFormat="1"/>
    <row r="708" s="13" customFormat="1"/>
    <row r="709" s="13" customFormat="1"/>
    <row r="710" s="13" customFormat="1"/>
    <row r="711" s="13" customFormat="1"/>
    <row r="712" s="13" customFormat="1"/>
    <row r="713" s="13" customFormat="1"/>
    <row r="714" s="13" customFormat="1"/>
    <row r="715" s="13" customFormat="1"/>
    <row r="716" s="13" customFormat="1"/>
    <row r="717" s="13" customFormat="1"/>
    <row r="718" s="13" customFormat="1"/>
    <row r="719" s="13" customFormat="1"/>
    <row r="720" s="13" customFormat="1"/>
    <row r="721" s="13" customFormat="1"/>
    <row r="722" s="13" customFormat="1"/>
    <row r="723" s="13" customFormat="1"/>
    <row r="724" s="13" customFormat="1"/>
    <row r="725" s="13" customFormat="1"/>
    <row r="726" s="13" customFormat="1"/>
    <row r="727" s="13" customFormat="1"/>
    <row r="728" s="13" customFormat="1"/>
    <row r="729" s="13" customFormat="1"/>
    <row r="730" s="13" customFormat="1"/>
    <row r="731" s="13" customFormat="1"/>
    <row r="732" s="13" customFormat="1"/>
    <row r="733" s="13" customFormat="1"/>
    <row r="734" s="13" customFormat="1"/>
    <row r="735" s="13" customFormat="1"/>
    <row r="736" s="13" customFormat="1"/>
    <row r="737" s="13" customFormat="1"/>
    <row r="738" s="13" customFormat="1"/>
    <row r="739" s="13" customFormat="1"/>
    <row r="740" s="13" customFormat="1"/>
    <row r="741" s="13" customFormat="1"/>
    <row r="742" s="13" customFormat="1"/>
    <row r="743" s="13" customFormat="1"/>
    <row r="744" s="13" customFormat="1"/>
    <row r="745" s="13" customFormat="1"/>
    <row r="746" s="13" customFormat="1"/>
    <row r="747" s="13" customFormat="1"/>
    <row r="748" s="13" customFormat="1"/>
    <row r="749" s="13" customFormat="1"/>
    <row r="750" s="13" customFormat="1"/>
    <row r="751" s="13" customFormat="1"/>
    <row r="752" s="13" customFormat="1"/>
    <row r="753" s="13" customFormat="1"/>
    <row r="754" s="13" customFormat="1"/>
    <row r="755" s="13" customFormat="1"/>
    <row r="756" s="13" customFormat="1"/>
    <row r="757" s="13" customFormat="1"/>
    <row r="758" s="13" customFormat="1"/>
    <row r="759" s="13" customFormat="1"/>
    <row r="760" s="13" customFormat="1"/>
    <row r="761" s="13" customFormat="1"/>
    <row r="762" s="13" customFormat="1"/>
    <row r="763" s="13" customFormat="1"/>
    <row r="764" s="13" customFormat="1"/>
    <row r="765" s="13" customFormat="1"/>
    <row r="766" s="13" customFormat="1"/>
    <row r="767" s="13" customFormat="1"/>
    <row r="768" s="13" customFormat="1"/>
    <row r="769" s="13" customFormat="1"/>
    <row r="770" s="13" customFormat="1"/>
    <row r="771" s="13" customFormat="1"/>
    <row r="772" s="13" customFormat="1"/>
    <row r="773" s="13" customFormat="1"/>
    <row r="774" s="13" customFormat="1"/>
    <row r="775" s="13" customFormat="1"/>
    <row r="776" s="13" customFormat="1"/>
    <row r="777" s="13" customFormat="1"/>
    <row r="778" s="13" customFormat="1"/>
    <row r="779" s="13" customFormat="1"/>
    <row r="780" s="13" customFormat="1"/>
    <row r="781" s="13" customFormat="1"/>
    <row r="782" s="13" customFormat="1"/>
    <row r="783" s="13" customFormat="1"/>
    <row r="784" s="13" customFormat="1"/>
    <row r="785" s="13" customFormat="1"/>
    <row r="786" s="13" customFormat="1"/>
    <row r="787" s="13" customFormat="1"/>
    <row r="788" s="13" customFormat="1"/>
    <row r="789" s="13" customFormat="1"/>
    <row r="790" s="13" customFormat="1"/>
    <row r="791" s="13" customFormat="1"/>
    <row r="792" s="13" customFormat="1"/>
    <row r="793" s="13" customFormat="1"/>
    <row r="794" s="13" customFormat="1"/>
    <row r="795" s="13" customFormat="1"/>
    <row r="796" s="13" customFormat="1"/>
    <row r="797" s="13" customFormat="1"/>
    <row r="798" s="13" customFormat="1"/>
    <row r="799" s="13" customFormat="1"/>
    <row r="800" s="13" customFormat="1"/>
    <row r="801" s="13" customFormat="1"/>
    <row r="802" s="13" customFormat="1"/>
    <row r="803" s="13" customFormat="1"/>
    <row r="804" s="13" customFormat="1"/>
    <row r="805" s="13" customFormat="1"/>
    <row r="806" s="13" customFormat="1"/>
    <row r="807" s="13" customFormat="1"/>
    <row r="808" s="13" customFormat="1"/>
    <row r="809" s="13" customFormat="1"/>
    <row r="810" s="13" customFormat="1"/>
    <row r="811" s="13" customFormat="1"/>
    <row r="812" s="13" customFormat="1"/>
    <row r="813" s="13" customFormat="1"/>
    <row r="814" s="13" customFormat="1"/>
    <row r="815" s="13" customFormat="1"/>
    <row r="816" s="13" customFormat="1"/>
    <row r="817" s="13" customFormat="1"/>
    <row r="818" s="13" customFormat="1"/>
    <row r="819" s="13" customFormat="1"/>
    <row r="820" s="13" customFormat="1"/>
    <row r="821" s="13" customFormat="1"/>
    <row r="822" s="13" customFormat="1"/>
    <row r="823" s="13" customFormat="1"/>
    <row r="824" s="13" customFormat="1"/>
    <row r="825" s="13" customFormat="1"/>
    <row r="826" s="13" customFormat="1"/>
    <row r="827" s="13" customFormat="1"/>
    <row r="828" s="13" customFormat="1"/>
    <row r="829" s="13" customFormat="1"/>
    <row r="830" s="13" customFormat="1"/>
    <row r="831" s="13" customFormat="1"/>
    <row r="832" s="13" customFormat="1"/>
    <row r="833" s="13" customFormat="1"/>
    <row r="834" s="13" customFormat="1"/>
    <row r="835" s="13" customFormat="1"/>
    <row r="836" s="13" customFormat="1"/>
    <row r="837" s="13" customFormat="1"/>
    <row r="838" s="13" customFormat="1"/>
    <row r="839" s="13" customFormat="1"/>
    <row r="840" s="13" customFormat="1"/>
    <row r="841" s="13" customFormat="1"/>
    <row r="842" s="13" customFormat="1"/>
    <row r="843" s="13" customFormat="1"/>
    <row r="844" s="13" customFormat="1"/>
    <row r="845" s="13" customFormat="1"/>
    <row r="846" s="13" customFormat="1"/>
    <row r="847" s="13" customFormat="1"/>
    <row r="848" s="13" customFormat="1"/>
    <row r="849" s="13" customFormat="1"/>
    <row r="850" s="13" customFormat="1"/>
    <row r="851" s="13" customFormat="1"/>
    <row r="852" s="13" customFormat="1"/>
    <row r="853" s="13" customFormat="1"/>
    <row r="854" s="13" customFormat="1"/>
    <row r="855" s="13" customFormat="1"/>
    <row r="856" s="13" customFormat="1"/>
    <row r="857" s="13" customFormat="1"/>
    <row r="858" s="13" customFormat="1"/>
    <row r="859" s="13" customFormat="1"/>
    <row r="860" s="13" customFormat="1"/>
    <row r="861" s="13" customFormat="1"/>
    <row r="862" s="13" customFormat="1"/>
    <row r="863" s="13" customFormat="1"/>
    <row r="864" s="13" customFormat="1"/>
    <row r="865" s="13" customFormat="1"/>
    <row r="866" s="13" customFormat="1"/>
    <row r="867" s="13" customFormat="1"/>
    <row r="868" s="13" customFormat="1"/>
    <row r="869" s="13" customFormat="1"/>
    <row r="870" s="13" customFormat="1"/>
    <row r="871" s="13" customFormat="1"/>
    <row r="872" s="13" customFormat="1"/>
    <row r="873" s="13" customFormat="1"/>
    <row r="874" s="13" customFormat="1"/>
    <row r="875" s="13" customFormat="1"/>
    <row r="876" s="13" customFormat="1"/>
    <row r="877" s="13" customFormat="1"/>
    <row r="878" s="13" customFormat="1"/>
    <row r="879" s="13" customFormat="1"/>
    <row r="880" s="13" customFormat="1"/>
    <row r="881" s="13" customFormat="1"/>
    <row r="882" s="13" customFormat="1"/>
    <row r="883" s="13" customFormat="1"/>
    <row r="884" s="13" customFormat="1"/>
    <row r="885" s="13" customFormat="1"/>
    <row r="886" s="13" customFormat="1"/>
    <row r="887" s="13" customFormat="1"/>
    <row r="888" s="13" customFormat="1"/>
    <row r="889" s="13" customFormat="1"/>
    <row r="890" s="13" customFormat="1"/>
    <row r="891" s="13" customFormat="1"/>
    <row r="892" s="13" customFormat="1"/>
    <row r="893" s="13" customFormat="1"/>
    <row r="894" s="13" customFormat="1"/>
    <row r="895" s="13" customFormat="1"/>
    <row r="896" s="13" customFormat="1"/>
    <row r="897" s="13" customFormat="1"/>
    <row r="898" s="13" customFormat="1"/>
    <row r="899" s="13" customFormat="1"/>
    <row r="900" s="13" customFormat="1"/>
    <row r="901" s="13" customFormat="1"/>
    <row r="902" s="13" customFormat="1"/>
    <row r="903" s="13" customFormat="1"/>
    <row r="904" s="13" customFormat="1"/>
    <row r="905" s="13" customFormat="1"/>
    <row r="906" s="13" customFormat="1"/>
    <row r="907" s="13" customFormat="1"/>
    <row r="908" s="13" customFormat="1"/>
    <row r="909" s="13" customFormat="1"/>
    <row r="910" s="13" customFormat="1"/>
    <row r="911" s="13" customFormat="1"/>
    <row r="912" s="13" customFormat="1"/>
    <row r="913" s="13" customFormat="1"/>
    <row r="914" s="13" customFormat="1"/>
    <row r="915" s="13" customFormat="1"/>
    <row r="916" s="13" customFormat="1"/>
    <row r="917" s="13" customFormat="1"/>
    <row r="918" s="13" customFormat="1"/>
    <row r="919" s="13" customFormat="1"/>
    <row r="920" s="13" customFormat="1"/>
    <row r="921" s="13" customFormat="1"/>
    <row r="922" s="13" customFormat="1"/>
    <row r="923" s="13" customFormat="1"/>
    <row r="924" s="13" customFormat="1"/>
    <row r="925" s="13" customFormat="1"/>
    <row r="926" s="13" customFormat="1"/>
    <row r="927" s="13" customFormat="1"/>
    <row r="928" s="13" customFormat="1"/>
    <row r="929" s="13" customFormat="1"/>
    <row r="930" s="13" customFormat="1"/>
    <row r="931" s="13" customFormat="1"/>
    <row r="932" s="13" customFormat="1"/>
    <row r="933" s="13" customFormat="1"/>
    <row r="934" s="13" customFormat="1"/>
    <row r="935" s="13" customFormat="1"/>
    <row r="936" s="13" customFormat="1"/>
    <row r="937" s="13" customFormat="1"/>
    <row r="938" s="13" customFormat="1"/>
    <row r="939" s="13" customFormat="1"/>
    <row r="940" s="13" customFormat="1"/>
    <row r="941" s="13" customFormat="1"/>
    <row r="942" s="13" customFormat="1"/>
    <row r="943" s="13" customFormat="1"/>
    <row r="944" s="13" customFormat="1"/>
    <row r="945" s="13" customFormat="1"/>
    <row r="946" s="13" customFormat="1"/>
    <row r="947" s="13" customFormat="1"/>
    <row r="948" s="13" customFormat="1"/>
    <row r="949" s="13" customFormat="1"/>
    <row r="950" s="13" customFormat="1"/>
    <row r="951" s="13" customFormat="1"/>
    <row r="952" s="13" customFormat="1"/>
    <row r="953" s="13" customFormat="1"/>
    <row r="954" s="13" customFormat="1"/>
    <row r="955" s="13" customFormat="1"/>
    <row r="956" s="13" customFormat="1"/>
    <row r="957" s="13" customFormat="1"/>
    <row r="958" s="13" customFormat="1"/>
    <row r="959" s="13" customFormat="1"/>
    <row r="960" s="13" customFormat="1"/>
    <row r="961" s="13" customFormat="1"/>
    <row r="962" s="13" customFormat="1"/>
    <row r="963" s="13" customFormat="1"/>
    <row r="964" s="13" customFormat="1"/>
    <row r="965" s="13" customFormat="1"/>
    <row r="966" s="13" customFormat="1"/>
    <row r="967" s="13" customFormat="1"/>
    <row r="968" s="13" customFormat="1"/>
    <row r="969" s="13" customFormat="1"/>
    <row r="970" s="13" customFormat="1"/>
    <row r="971" s="13" customFormat="1"/>
    <row r="972" s="13" customFormat="1"/>
    <row r="973" s="13" customFormat="1"/>
    <row r="974" s="13" customFormat="1"/>
    <row r="975" s="13" customFormat="1"/>
    <row r="976" s="13" customFormat="1"/>
    <row r="977" s="13" customFormat="1"/>
    <row r="978" s="13" customFormat="1"/>
    <row r="979" s="13" customFormat="1"/>
    <row r="980" s="13" customFormat="1"/>
    <row r="981" s="13" customFormat="1"/>
    <row r="982" s="13" customFormat="1"/>
    <row r="983" s="13" customFormat="1"/>
    <row r="984" s="13" customFormat="1"/>
    <row r="985" s="13" customFormat="1"/>
    <row r="986" s="13" customFormat="1"/>
    <row r="987" s="13" customFormat="1"/>
    <row r="988" s="13" customFormat="1"/>
    <row r="989" s="13" customFormat="1"/>
    <row r="990" s="13" customFormat="1"/>
    <row r="991" s="13" customFormat="1"/>
    <row r="992" s="13" customFormat="1"/>
    <row r="993" s="13" customFormat="1"/>
    <row r="994" s="13" customFormat="1"/>
    <row r="995" s="13" customFormat="1"/>
    <row r="996" s="13" customFormat="1"/>
    <row r="997" s="13" customFormat="1"/>
    <row r="998" s="13" customFormat="1"/>
    <row r="999" s="13" customFormat="1"/>
    <row r="1000" s="13" customFormat="1"/>
    <row r="1001" s="13" customFormat="1"/>
    <row r="1002" s="13" customFormat="1"/>
    <row r="1003" s="13" customFormat="1"/>
    <row r="1004" s="13" customFormat="1"/>
    <row r="1005" s="13" customFormat="1"/>
    <row r="1006" s="13" customFormat="1"/>
    <row r="1007" s="13" customFormat="1"/>
    <row r="1008" s="13" customFormat="1"/>
    <row r="1009" s="13" customFormat="1"/>
    <row r="1010" s="13" customFormat="1"/>
    <row r="1011" s="13" customFormat="1"/>
    <row r="1012" s="13" customFormat="1"/>
    <row r="1013" s="13" customFormat="1"/>
    <row r="1014" s="13" customFormat="1"/>
    <row r="1015" s="13" customFormat="1"/>
    <row r="1016" s="13" customFormat="1"/>
    <row r="1017" s="13" customFormat="1"/>
    <row r="1018" s="13" customFormat="1"/>
    <row r="1019" s="13" customFormat="1"/>
    <row r="1020" s="13" customFormat="1"/>
    <row r="1021" s="13" customFormat="1"/>
    <row r="1022" s="13" customFormat="1"/>
    <row r="1023" s="13" customFormat="1"/>
    <row r="1024" s="13" customFormat="1"/>
    <row r="1025" s="13" customFormat="1"/>
    <row r="1026" s="13" customFormat="1"/>
    <row r="1027" s="13" customFormat="1"/>
    <row r="1028" s="13" customFormat="1"/>
    <row r="1029" s="13" customFormat="1"/>
    <row r="1030" s="13" customFormat="1"/>
    <row r="1031" s="13" customFormat="1"/>
    <row r="1032" s="13" customFormat="1"/>
    <row r="1033" s="13" customFormat="1"/>
    <row r="1034" s="13" customFormat="1"/>
    <row r="1035" s="13" customFormat="1"/>
    <row r="1036" s="13" customFormat="1"/>
    <row r="1037" s="13" customFormat="1"/>
    <row r="1038" s="13" customFormat="1"/>
    <row r="1039" s="13" customFormat="1"/>
    <row r="1040" s="13" customFormat="1"/>
    <row r="1041" s="13" customFormat="1"/>
    <row r="1042" s="13" customFormat="1"/>
    <row r="1043" s="13" customFormat="1"/>
    <row r="1044" s="13" customFormat="1"/>
    <row r="1045" s="13" customFormat="1"/>
    <row r="1046" s="13" customFormat="1"/>
    <row r="1047" s="13" customFormat="1"/>
    <row r="1048" s="13" customFormat="1"/>
    <row r="1049" s="13" customFormat="1"/>
    <row r="1050" s="13" customFormat="1"/>
    <row r="1051" s="13" customFormat="1"/>
    <row r="1052" s="13" customFormat="1"/>
    <row r="1053" s="13" customFormat="1"/>
    <row r="1054" s="13" customFormat="1"/>
    <row r="1055" s="13" customFormat="1"/>
    <row r="1056" s="13" customFormat="1"/>
    <row r="1057" s="13" customFormat="1"/>
    <row r="1058" s="13" customFormat="1"/>
    <row r="1059" s="13" customFormat="1"/>
    <row r="1060" s="13" customFormat="1"/>
    <row r="1061" s="13" customFormat="1"/>
    <row r="1062" s="13" customFormat="1"/>
    <row r="1063" s="13" customFormat="1"/>
    <row r="1064" s="13" customFormat="1"/>
    <row r="1065" s="13" customFormat="1"/>
    <row r="1066" s="13" customFormat="1"/>
    <row r="1067" s="13" customFormat="1"/>
    <row r="1068" s="13" customFormat="1"/>
    <row r="1069" s="13" customFormat="1"/>
    <row r="1070" s="13" customFormat="1"/>
    <row r="1071" s="13" customFormat="1"/>
    <row r="1072" s="13" customFormat="1"/>
    <row r="1073" s="13" customFormat="1"/>
    <row r="1074" s="13" customFormat="1"/>
    <row r="1075" s="13" customFormat="1"/>
    <row r="1076" s="13" customFormat="1"/>
    <row r="1077" s="13" customFormat="1"/>
    <row r="1078" s="13" customFormat="1"/>
    <row r="1079" s="13" customFormat="1"/>
    <row r="1080" s="13" customFormat="1"/>
    <row r="1081" s="13" customFormat="1"/>
    <row r="1082" s="13" customFormat="1"/>
    <row r="1083" s="13" customFormat="1"/>
    <row r="1084" s="13" customFormat="1"/>
    <row r="1085" s="13" customFormat="1"/>
    <row r="1086" s="13" customFormat="1"/>
    <row r="1087" s="13" customFormat="1"/>
    <row r="1088" s="13" customFormat="1"/>
    <row r="1089" s="13" customFormat="1"/>
    <row r="1090" s="13" customFormat="1"/>
    <row r="1091" s="13" customFormat="1"/>
    <row r="1092" s="13" customFormat="1"/>
    <row r="1093" s="13" customFormat="1"/>
    <row r="1094" s="13" customFormat="1"/>
    <row r="1095" s="13" customFormat="1"/>
    <row r="1096" s="13" customFormat="1"/>
    <row r="1097" s="13" customFormat="1"/>
    <row r="1098" s="13" customFormat="1"/>
    <row r="1099" s="13" customFormat="1"/>
    <row r="1100" s="13" customFormat="1"/>
    <row r="1101" s="13" customFormat="1"/>
    <row r="1102" s="13" customFormat="1"/>
    <row r="1103" s="13" customFormat="1"/>
    <row r="1104" s="13" customFormat="1"/>
    <row r="1105" s="13" customFormat="1"/>
    <row r="1106" s="13" customFormat="1"/>
    <row r="1107" s="13" customFormat="1"/>
    <row r="1108" s="13" customFormat="1"/>
    <row r="1109" s="13" customFormat="1"/>
    <row r="1110" s="13" customFormat="1"/>
    <row r="1111" s="13" customFormat="1"/>
    <row r="1112" s="13" customFormat="1"/>
    <row r="1113" s="13" customFormat="1"/>
    <row r="1114" s="13" customFormat="1"/>
    <row r="1115" s="13" customFormat="1"/>
    <row r="1116" s="13" customFormat="1"/>
    <row r="1117" s="13" customFormat="1"/>
    <row r="1118" s="13" customFormat="1"/>
    <row r="1119" s="13" customFormat="1"/>
    <row r="1120" s="13" customFormat="1"/>
    <row r="1121" s="13" customFormat="1"/>
    <row r="1122" s="13" customFormat="1"/>
    <row r="1123" s="13" customFormat="1"/>
    <row r="1124" s="13" customFormat="1"/>
    <row r="1125" s="13" customFormat="1"/>
    <row r="1126" s="13" customFormat="1"/>
    <row r="1127" s="13" customFormat="1"/>
    <row r="1128" s="13" customFormat="1"/>
    <row r="1129" s="13" customFormat="1"/>
    <row r="1130" s="13" customFormat="1"/>
    <row r="1131" s="13" customFormat="1"/>
    <row r="1132" s="13" customFormat="1"/>
    <row r="1133" s="13" customFormat="1"/>
    <row r="1134" s="13" customFormat="1"/>
    <row r="1135" s="13" customFormat="1"/>
    <row r="1136" s="13" customFormat="1"/>
    <row r="1137" s="13" customFormat="1"/>
    <row r="1138" s="13" customFormat="1"/>
    <row r="1139" s="13" customFormat="1"/>
    <row r="1140" s="13" customFormat="1"/>
    <row r="1141" s="13" customFormat="1"/>
    <row r="1142" s="13" customFormat="1"/>
    <row r="1143" s="13" customFormat="1"/>
    <row r="1144" s="13" customFormat="1"/>
    <row r="1145" s="13" customFormat="1"/>
    <row r="1146" s="13" customFormat="1"/>
    <row r="1147" s="13" customFormat="1"/>
    <row r="1148" s="13" customFormat="1"/>
    <row r="1149" s="13" customFormat="1"/>
    <row r="1150" s="13" customFormat="1"/>
    <row r="1151" s="13" customFormat="1"/>
    <row r="1152" s="13" customFormat="1"/>
    <row r="1153" s="13" customFormat="1"/>
    <row r="1154" s="13" customFormat="1"/>
    <row r="1155" s="13" customFormat="1"/>
    <row r="1156" s="13" customFormat="1"/>
    <row r="1157" s="13" customFormat="1"/>
    <row r="1158" s="13" customFormat="1"/>
    <row r="1159" s="13" customFormat="1"/>
    <row r="1160" s="13" customFormat="1"/>
    <row r="1161" s="13" customFormat="1"/>
    <row r="1162" s="13" customFormat="1"/>
    <row r="1163" s="13" customFormat="1"/>
    <row r="1164" s="13" customFormat="1"/>
    <row r="1165" s="13" customFormat="1"/>
    <row r="1166" s="13" customFormat="1"/>
    <row r="1167" s="13" customFormat="1"/>
    <row r="1168" s="13" customFormat="1"/>
    <row r="1169" s="13" customFormat="1"/>
    <row r="1170" s="13" customFormat="1"/>
    <row r="1171" s="13" customFormat="1"/>
    <row r="1172" s="13" customFormat="1"/>
    <row r="1173" s="13" customFormat="1"/>
    <row r="1174" s="13" customFormat="1"/>
    <row r="1175" s="13" customFormat="1"/>
    <row r="1176" s="13" customFormat="1"/>
    <row r="1177" s="13" customFormat="1"/>
    <row r="1178" s="13" customFormat="1"/>
    <row r="1179" s="13" customFormat="1"/>
    <row r="1180" s="13" customFormat="1"/>
    <row r="1181" s="13" customFormat="1"/>
    <row r="1182" s="13" customFormat="1"/>
    <row r="1183" s="13" customFormat="1"/>
    <row r="1184" s="13" customFormat="1"/>
    <row r="1185" s="13" customFormat="1"/>
    <row r="1186" s="13" customFormat="1"/>
    <row r="1187" s="13" customFormat="1"/>
    <row r="1188" s="13" customFormat="1"/>
    <row r="1189" s="13" customFormat="1"/>
    <row r="1190" s="13" customFormat="1"/>
    <row r="1191" s="13" customFormat="1"/>
    <row r="1192" s="13" customFormat="1"/>
    <row r="1193" s="13" customFormat="1"/>
    <row r="1194" s="13" customFormat="1"/>
    <row r="1195" s="13" customFormat="1"/>
    <row r="1196" s="13" customFormat="1"/>
    <row r="1197" s="13" customFormat="1"/>
    <row r="1198" s="13" customFormat="1"/>
    <row r="1199" s="13" customFormat="1"/>
    <row r="1200" s="13" customFormat="1"/>
    <row r="1201" s="13" customFormat="1"/>
    <row r="1202" s="13" customFormat="1"/>
    <row r="1203" s="13" customFormat="1"/>
    <row r="1204" s="13" customFormat="1"/>
    <row r="1205" s="13" customFormat="1"/>
    <row r="1206" s="13" customFormat="1"/>
    <row r="1207" s="13" customFormat="1"/>
    <row r="1208" s="13" customFormat="1"/>
    <row r="1209" s="13" customFormat="1"/>
    <row r="1210" s="13" customFormat="1"/>
    <row r="1211" s="13" customFormat="1"/>
    <row r="1212" s="13" customFormat="1"/>
    <row r="1213" s="13" customFormat="1"/>
    <row r="1214" s="13" customFormat="1"/>
    <row r="1215" s="13" customFormat="1"/>
    <row r="1216" s="13" customFormat="1"/>
    <row r="1217" s="13" customFormat="1"/>
    <row r="1218" s="13" customFormat="1"/>
    <row r="1219" s="13" customFormat="1"/>
    <row r="1220" s="13" customFormat="1"/>
    <row r="1221" s="13" customFormat="1"/>
    <row r="1222" s="13" customFormat="1"/>
    <row r="1223" s="13" customFormat="1"/>
    <row r="1224" s="13" customFormat="1"/>
    <row r="1225" s="13" customFormat="1"/>
    <row r="1226" s="13" customFormat="1"/>
    <row r="1227" s="13" customFormat="1"/>
    <row r="1228" s="13" customFormat="1"/>
    <row r="1229" s="13" customFormat="1"/>
    <row r="1230" s="13" customFormat="1"/>
    <row r="1231" s="13" customFormat="1"/>
    <row r="1232" s="13" customFormat="1"/>
    <row r="1233" s="13" customFormat="1"/>
    <row r="1234" s="13" customFormat="1"/>
    <row r="1235" s="13" customFormat="1"/>
    <row r="1236" s="13" customFormat="1"/>
    <row r="1237" s="13" customFormat="1"/>
    <row r="1238" s="13" customFormat="1"/>
    <row r="1239" s="13" customFormat="1"/>
    <row r="1240" s="13" customFormat="1"/>
    <row r="1241" s="13" customFormat="1"/>
    <row r="1242" s="13" customFormat="1"/>
    <row r="1243" s="13" customFormat="1"/>
    <row r="1244" s="13" customFormat="1"/>
    <row r="1245" s="13" customFormat="1"/>
    <row r="1246" s="13" customFormat="1"/>
    <row r="1247" s="13" customFormat="1"/>
    <row r="1248" s="13" customFormat="1"/>
    <row r="1249" s="13" customFormat="1"/>
    <row r="1250" s="13" customFormat="1"/>
    <row r="1251" s="13" customFormat="1"/>
    <row r="1252" s="13" customFormat="1"/>
    <row r="1253" s="13" customFormat="1"/>
    <row r="1254" s="13" customFormat="1"/>
    <row r="1255" s="13" customFormat="1"/>
    <row r="1256" s="13" customFormat="1"/>
    <row r="1257" s="13" customFormat="1"/>
    <row r="1258" s="13" customFormat="1"/>
    <row r="1259" s="13" customFormat="1"/>
    <row r="1260" s="13" customFormat="1"/>
    <row r="1261" s="13" customFormat="1"/>
    <row r="1262" s="13" customFormat="1"/>
    <row r="1263" s="13" customFormat="1"/>
    <row r="1264" s="13" customFormat="1"/>
    <row r="1265" s="13" customFormat="1"/>
    <row r="1266" s="13" customFormat="1"/>
    <row r="1267" s="13" customFormat="1"/>
    <row r="1268" s="13" customFormat="1"/>
    <row r="1269" s="13" customFormat="1"/>
    <row r="1270" s="13" customFormat="1"/>
    <row r="1271" s="13" customFormat="1"/>
    <row r="1272" s="13" customFormat="1"/>
    <row r="1273" s="13" customFormat="1"/>
    <row r="1274" s="13" customFormat="1"/>
    <row r="1275" s="13" customFormat="1"/>
    <row r="1276" s="13" customFormat="1"/>
    <row r="1277" s="13" customFormat="1"/>
    <row r="1278" s="13" customFormat="1"/>
    <row r="1279" s="13" customFormat="1"/>
    <row r="1280" s="13" customFormat="1"/>
    <row r="1281" s="13" customFormat="1"/>
    <row r="1282" s="13" customFormat="1"/>
    <row r="1283" s="13" customFormat="1"/>
    <row r="1284" s="13" customFormat="1"/>
    <row r="1285" s="13" customFormat="1"/>
    <row r="1286" s="13" customFormat="1"/>
    <row r="1287" s="13" customFormat="1"/>
    <row r="1288" s="13" customFormat="1"/>
    <row r="1289" s="13" customFormat="1"/>
    <row r="1290" s="13" customFormat="1"/>
    <row r="1291" s="13" customFormat="1"/>
    <row r="1292" s="13" customFormat="1"/>
    <row r="1293" s="13" customFormat="1"/>
    <row r="1294" s="13" customFormat="1"/>
    <row r="1295" s="13" customFormat="1"/>
    <row r="1296" s="13" customFormat="1"/>
    <row r="1297" s="13" customFormat="1"/>
    <row r="1298" s="13" customFormat="1"/>
    <row r="1299" s="13" customFormat="1"/>
    <row r="1300" s="13" customFormat="1"/>
    <row r="1301" s="13" customFormat="1"/>
    <row r="1302" s="13" customFormat="1"/>
    <row r="1303" s="13" customFormat="1"/>
    <row r="1304" s="13" customFormat="1"/>
    <row r="1305" s="13" customFormat="1"/>
    <row r="1306" s="13" customFormat="1"/>
    <row r="1307" s="13" customFormat="1"/>
    <row r="1308" s="13" customFormat="1"/>
    <row r="1309" s="13" customFormat="1"/>
    <row r="1310" s="13" customFormat="1"/>
    <row r="1311" s="13" customFormat="1"/>
    <row r="1312" s="13" customFormat="1"/>
    <row r="1313" s="13" customFormat="1"/>
    <row r="1314" s="13" customFormat="1"/>
    <row r="1315" s="13" customFormat="1"/>
    <row r="1316" s="13" customFormat="1"/>
    <row r="1317" s="13" customFormat="1"/>
    <row r="1318" s="13" customFormat="1"/>
    <row r="1319" s="13" customFormat="1"/>
    <row r="1320" s="13" customFormat="1"/>
    <row r="1321" s="13" customFormat="1"/>
    <row r="1322" s="13" customFormat="1"/>
    <row r="1323" s="13" customFormat="1"/>
    <row r="1324" s="13" customFormat="1"/>
    <row r="1325" s="13" customFormat="1"/>
    <row r="1326" s="13" customFormat="1"/>
    <row r="1327" s="13" customFormat="1"/>
    <row r="1328" s="13" customFormat="1"/>
    <row r="1329" s="13" customFormat="1"/>
    <row r="1330" s="13" customFormat="1"/>
    <row r="1331" s="13" customFormat="1"/>
    <row r="1332" s="13" customFormat="1"/>
    <row r="1333" s="13" customFormat="1"/>
    <row r="1334" s="13" customFormat="1"/>
    <row r="1335" s="13" customFormat="1"/>
    <row r="1336" s="13" customFormat="1"/>
    <row r="1337" s="13" customFormat="1"/>
    <row r="1338" s="13" customFormat="1"/>
    <row r="1339" s="13" customFormat="1"/>
    <row r="1340" s="13" customFormat="1"/>
    <row r="1341" s="13" customFormat="1"/>
    <row r="1342" s="13" customFormat="1"/>
    <row r="1343" s="13" customFormat="1"/>
    <row r="1344" s="13" customFormat="1"/>
    <row r="1345" s="13" customFormat="1"/>
    <row r="1346" s="13" customFormat="1"/>
    <row r="1347" s="13" customFormat="1"/>
    <row r="1348" s="13" customFormat="1"/>
    <row r="1349" s="13" customFormat="1"/>
    <row r="1350" s="13" customFormat="1"/>
    <row r="1351" s="13" customFormat="1"/>
    <row r="1352" s="13" customFormat="1"/>
    <row r="1353" s="13" customFormat="1"/>
    <row r="1354" s="13" customFormat="1"/>
    <row r="1355" s="13" customFormat="1"/>
    <row r="1356" s="13" customFormat="1"/>
    <row r="1357" s="13" customFormat="1"/>
    <row r="1358" s="13" customFormat="1"/>
    <row r="1359" s="13" customFormat="1"/>
    <row r="1360" s="13" customFormat="1"/>
    <row r="1361" s="13" customFormat="1"/>
    <row r="1362" s="13" customFormat="1"/>
    <row r="1363" s="13" customFormat="1"/>
    <row r="1364" s="13" customFormat="1"/>
    <row r="1365" s="13" customFormat="1"/>
    <row r="1366" s="13" customFormat="1"/>
    <row r="1367" s="13" customFormat="1"/>
    <row r="1368" s="13" customFormat="1"/>
    <row r="1369" s="13" customFormat="1"/>
    <row r="1370" s="13" customFormat="1"/>
    <row r="1371" s="13" customFormat="1"/>
    <row r="1372" s="13" customFormat="1"/>
    <row r="1373" s="13" customFormat="1"/>
    <row r="1374" s="13" customFormat="1"/>
    <row r="1375" s="13" customFormat="1"/>
    <row r="1376" s="13" customFormat="1"/>
    <row r="1377" s="13" customFormat="1"/>
    <row r="1378" s="13" customFormat="1"/>
    <row r="1379" s="13" customFormat="1"/>
    <row r="1380" s="13" customFormat="1"/>
    <row r="1381" s="13" customFormat="1"/>
    <row r="1382" s="13" customFormat="1"/>
    <row r="1383" s="13" customFormat="1"/>
    <row r="1384" s="13" customFormat="1"/>
    <row r="1385" s="13" customFormat="1"/>
    <row r="1386" s="13" customFormat="1"/>
    <row r="1387" s="13" customFormat="1"/>
    <row r="1388" s="13" customFormat="1"/>
    <row r="1389" s="13" customFormat="1"/>
    <row r="1390" s="13" customFormat="1"/>
    <row r="1391" s="13" customFormat="1"/>
    <row r="1392" s="13" customFormat="1"/>
    <row r="1393" s="13" customFormat="1"/>
    <row r="1394" s="13" customFormat="1"/>
    <row r="1395" s="13" customFormat="1"/>
    <row r="1396" s="13" customFormat="1"/>
    <row r="1397" s="13" customFormat="1"/>
    <row r="1398" s="13" customFormat="1"/>
    <row r="1399" s="13" customFormat="1"/>
    <row r="1400" s="13" customFormat="1"/>
    <row r="1401" s="13" customFormat="1"/>
    <row r="1402" s="13" customFormat="1"/>
    <row r="1403" s="13" customFormat="1"/>
    <row r="1404" s="13" customFormat="1"/>
    <row r="1405" s="13" customFormat="1"/>
    <row r="1406" s="13" customFormat="1"/>
    <row r="1407" s="13" customFormat="1"/>
    <row r="1408" s="13" customFormat="1"/>
    <row r="1409" s="13" customFormat="1"/>
    <row r="1410" s="13" customFormat="1"/>
    <row r="1411" s="13" customFormat="1"/>
    <row r="1412" s="13" customFormat="1"/>
    <row r="1413" s="13" customFormat="1"/>
    <row r="1414" s="13" customFormat="1"/>
    <row r="1415" s="13" customFormat="1"/>
    <row r="1416" s="13" customFormat="1"/>
    <row r="1417" s="13" customFormat="1"/>
    <row r="1418" s="13" customFormat="1"/>
    <row r="1419" s="13" customFormat="1"/>
    <row r="1420" s="13" customFormat="1"/>
    <row r="1421" s="13" customFormat="1"/>
    <row r="1422" s="13" customFormat="1"/>
    <row r="1423" s="13" customFormat="1"/>
    <row r="1424" s="13" customFormat="1"/>
    <row r="1425" s="13" customFormat="1"/>
    <row r="1426" s="13" customFormat="1"/>
    <row r="1427" s="13" customFormat="1"/>
    <row r="1428" s="13" customFormat="1"/>
    <row r="1429" s="13" customFormat="1"/>
    <row r="1430" s="13" customFormat="1"/>
    <row r="1431" s="13" customFormat="1"/>
    <row r="1432" s="13" customFormat="1"/>
    <row r="1433" s="13" customFormat="1"/>
    <row r="1434" s="13" customFormat="1"/>
    <row r="1435" s="13" customFormat="1"/>
    <row r="1436" s="13" customFormat="1"/>
    <row r="1437" s="13" customFormat="1"/>
    <row r="1438" s="13" customFormat="1"/>
    <row r="1439" s="13" customFormat="1"/>
    <row r="1440" s="13" customFormat="1"/>
    <row r="1441" s="13" customFormat="1"/>
    <row r="1442" s="13" customFormat="1"/>
    <row r="1443" s="13" customFormat="1"/>
    <row r="1444" s="13" customFormat="1"/>
    <row r="1445" s="13" customFormat="1"/>
    <row r="1446" s="13" customFormat="1"/>
    <row r="1447" s="13" customFormat="1"/>
    <row r="1448" s="13" customFormat="1"/>
    <row r="1449" s="13" customFormat="1"/>
    <row r="1450" s="13" customFormat="1"/>
    <row r="1451" s="13" customFormat="1"/>
    <row r="1452" s="13" customFormat="1"/>
    <row r="1453" s="13" customFormat="1"/>
    <row r="1454" s="13" customFormat="1"/>
    <row r="1455" s="13" customFormat="1"/>
    <row r="1456" s="13" customFormat="1"/>
    <row r="1457" s="13" customFormat="1"/>
    <row r="1458" s="13" customFormat="1"/>
    <row r="1459" s="13" customFormat="1"/>
    <row r="1460" s="13" customFormat="1"/>
    <row r="1461" s="13" customFormat="1"/>
    <row r="1462" s="13" customFormat="1"/>
    <row r="1463" s="13" customFormat="1"/>
    <row r="1464" s="13" customFormat="1"/>
    <row r="1465" s="13" customFormat="1"/>
    <row r="1466" s="13" customFormat="1"/>
    <row r="1467" s="13" customFormat="1"/>
    <row r="1468" s="13" customFormat="1"/>
    <row r="1469" s="13" customFormat="1"/>
    <row r="1470" s="13" customFormat="1"/>
    <row r="1471" s="13" customFormat="1"/>
    <row r="1472" s="13" customFormat="1"/>
    <row r="1473" s="13" customFormat="1"/>
    <row r="1474" s="13" customFormat="1"/>
    <row r="1475" s="13" customFormat="1"/>
    <row r="1476" s="13" customFormat="1"/>
    <row r="1477" s="13" customFormat="1"/>
    <row r="1478" s="13" customFormat="1"/>
    <row r="1479" s="13" customFormat="1"/>
    <row r="1480" s="13" customFormat="1"/>
    <row r="1481" s="13" customFormat="1"/>
    <row r="1482" s="13" customFormat="1"/>
    <row r="1483" s="13" customFormat="1"/>
    <row r="1484" s="13" customFormat="1"/>
    <row r="1485" s="13" customFormat="1"/>
    <row r="1486" s="13" customFormat="1"/>
    <row r="1487" s="13" customFormat="1"/>
  </sheetData>
  <mergeCells count="1">
    <mergeCell ref="A1:P1"/>
  </mergeCells>
  <phoneticPr fontId="19" type="noConversion"/>
  <printOptions horizontalCentered="1" verticalCentered="1"/>
  <pageMargins left="0.23622047244094499" right="0.196850393700787" top="0.196850393700787" bottom="0.118110236220472" header="0.27559055118110198" footer="0.23622047244094499"/>
  <pageSetup paperSize="9" scale="89" orientation="landscape" horizontalDpi="4294967295" verticalDpi="4294967295" r:id="rId1"/>
  <headerFooter alignWithMargins="0"/>
  <colBreaks count="1" manualBreakCount="1">
    <brk id="5" max="1048575" man="1"/>
  </colBreaks>
  <drawing r:id="rId2"/>
  <webPublishItems count="2">
    <webPublishItem id="14987" divId="Indicators2009_14987" sourceType="printArea" destinationFile="\\Server04\mpnd\IT\Information for MPND Website\Statistical Yearbook 2009\Key Indicators 2009\Tourism.htm"/>
    <webPublishItem id="27528" divId="Indicators   2011_27528" sourceType="range" sourceRef="A1:J43" destinationFile="\\Server\dp unit\Publications\Statistical  Year Book\Yearbook 2011\YRB 2011 CD\final chapters\CD WEB\Indicators\Tour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Touri</vt:lpstr>
      <vt:lpstr>Touri!Print_Area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2017-11-16T08:11:55Z</cp:lastPrinted>
  <dcterms:created xsi:type="dcterms:W3CDTF">2005-04-13T08:56:22Z</dcterms:created>
  <dcterms:modified xsi:type="dcterms:W3CDTF">2017-11-16T08:39:38Z</dcterms:modified>
</cp:coreProperties>
</file>