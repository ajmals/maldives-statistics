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Social Protection _Final" sheetId="48" r:id="rId1"/>
  </sheets>
  <externalReferences>
    <externalReference r:id="rId2"/>
  </externalReferences>
  <definedNames>
    <definedName name="_xlnm.Print_Area" localSheetId="0">'Social Protection _Final'!$A$1:$G$73</definedName>
  </definedNames>
  <calcPr calcId="162913"/>
</workbook>
</file>

<file path=xl/calcChain.xml><?xml version="1.0" encoding="utf-8"?>
<calcChain xmlns="http://schemas.openxmlformats.org/spreadsheetml/2006/main">
  <c r="AR38" i="48" l="1"/>
  <c r="AR37" i="48"/>
  <c r="AR36" i="48"/>
  <c r="AR35" i="48"/>
  <c r="AR34" i="48"/>
  <c r="AR33" i="48"/>
</calcChain>
</file>

<file path=xl/sharedStrings.xml><?xml version="1.0" encoding="utf-8"?>
<sst xmlns="http://schemas.openxmlformats.org/spreadsheetml/2006/main" count="48" uniqueCount="29">
  <si>
    <t>NA</t>
  </si>
  <si>
    <t>SOCIAL PROTECTION</t>
  </si>
  <si>
    <t>No. of persons</t>
  </si>
  <si>
    <t>Government 
Expenditure (MVR)</t>
  </si>
  <si>
    <t>Health Insurance</t>
  </si>
  <si>
    <t>Madhana</t>
  </si>
  <si>
    <t>Madhana Plus</t>
  </si>
  <si>
    <t>Single Parent Allowance</t>
  </si>
  <si>
    <t>Foster Parent Allowance</t>
  </si>
  <si>
    <t>Single Parent</t>
  </si>
  <si>
    <t>Emergency Medical Welfare</t>
  </si>
  <si>
    <t>Foster Parent</t>
  </si>
  <si>
    <t>Disability Allowance</t>
  </si>
  <si>
    <t>Emergency Medical 
Welfare</t>
  </si>
  <si>
    <t>PENSION</t>
  </si>
  <si>
    <t>Basic Pension</t>
  </si>
  <si>
    <t>Retirement Pension</t>
  </si>
  <si>
    <t>Universal Health Insuarance Scheme named "Aasandha" was introduced in January 2012 and replaced the existing schemes "Madhana" and "Madhana Plus".</t>
  </si>
  <si>
    <t>Food Subsidy</t>
  </si>
  <si>
    <t>No. of Beneficiaries</t>
  </si>
  <si>
    <t>Retirement Pension Scheme</t>
  </si>
  <si>
    <t>Contributions (MVR)</t>
  </si>
  <si>
    <t>Employers (end year)</t>
  </si>
  <si>
    <t>Employees (end year)</t>
  </si>
  <si>
    <t>Pension Paid Out (MVR)</t>
  </si>
  <si>
    <r>
      <t xml:space="preserve">Other Pension </t>
    </r>
    <r>
      <rPr>
        <b/>
        <vertAlign val="superscript"/>
        <sz val="10"/>
        <rFont val="Candara"/>
        <family val="2"/>
      </rPr>
      <t>1_/</t>
    </r>
  </si>
  <si>
    <r>
      <t xml:space="preserve">Senior Citizen Allowance </t>
    </r>
    <r>
      <rPr>
        <b/>
        <vertAlign val="superscript"/>
        <sz val="10"/>
        <rFont val="Candara"/>
        <family val="2"/>
      </rPr>
      <t>2_/</t>
    </r>
  </si>
  <si>
    <t>1_/ Other pension includes pension to state employees with 20 - 40 years of service. Also includes various benefits paid by state.</t>
  </si>
  <si>
    <t xml:space="preserve">2_/ Senior Citizen Allowance was introduced in February 2014.Those pensioners receiving less than 5,000 mvr is given the balance amount to reach 5,000 mvr under this scheme.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</si>
</sst>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b/>
      <sz val="10"/>
      <name val="Candara"/>
      <family val="2"/>
    </font>
    <font>
      <b/>
      <sz val="9"/>
      <name val="Candara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20"/>
      <color theme="0"/>
      <name val="Candara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u/>
      <sz val="10"/>
      <name val="Candara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vertAlign val="superscript"/>
      <sz val="10"/>
      <name val="Candara"/>
      <family val="2"/>
    </font>
    <font>
      <i/>
      <sz val="8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76">
    <xf numFmtId="0" fontId="0" fillId="0" borderId="0"/>
    <xf numFmtId="0" fontId="19" fillId="0" borderId="0"/>
    <xf numFmtId="0" fontId="17" fillId="0" borderId="0"/>
    <xf numFmtId="0" fontId="17" fillId="0" borderId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7" fillId="0" borderId="0"/>
    <xf numFmtId="0" fontId="20" fillId="0" borderId="0"/>
    <xf numFmtId="164" fontId="20" fillId="0" borderId="0"/>
    <xf numFmtId="164" fontId="20" fillId="0" borderId="0"/>
    <xf numFmtId="0" fontId="23" fillId="0" borderId="0"/>
    <xf numFmtId="166" fontId="20" fillId="0" borderId="0" applyFont="0" applyFill="0" applyBorder="0" applyAlignment="0" applyProtection="0"/>
    <xf numFmtId="0" fontId="13" fillId="0" borderId="0"/>
    <xf numFmtId="0" fontId="17" fillId="0" borderId="0"/>
    <xf numFmtId="0" fontId="33" fillId="0" borderId="0"/>
    <xf numFmtId="43" fontId="33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1" fillId="0" borderId="0"/>
    <xf numFmtId="0" fontId="11" fillId="0" borderId="0"/>
    <xf numFmtId="165" fontId="20" fillId="0" borderId="0"/>
    <xf numFmtId="168" fontId="33" fillId="0" borderId="0" applyFont="0" applyFill="0" applyBorder="0" applyAlignment="0" applyProtection="0"/>
    <xf numFmtId="0" fontId="33" fillId="0" borderId="0"/>
    <xf numFmtId="0" fontId="43" fillId="3" borderId="0" applyNumberFormat="0" applyBorder="0" applyAlignment="0" applyProtection="0"/>
    <xf numFmtId="0" fontId="43" fillId="4" borderId="0" applyNumberFormat="0" applyBorder="0" applyAlignment="0" applyProtection="0"/>
    <xf numFmtId="0" fontId="43" fillId="5" borderId="0" applyNumberFormat="0" applyBorder="0" applyAlignment="0" applyProtection="0"/>
    <xf numFmtId="0" fontId="43" fillId="6" borderId="0" applyNumberFormat="0" applyBorder="0" applyAlignment="0" applyProtection="0"/>
    <xf numFmtId="0" fontId="43" fillId="7" borderId="0" applyNumberFormat="0" applyBorder="0" applyAlignment="0" applyProtection="0"/>
    <xf numFmtId="0" fontId="43" fillId="8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6" borderId="0" applyNumberFormat="0" applyBorder="0" applyAlignment="0" applyProtection="0"/>
    <xf numFmtId="0" fontId="43" fillId="9" borderId="0" applyNumberFormat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20" borderId="0" applyNumberFormat="0" applyBorder="0" applyAlignment="0" applyProtection="0"/>
    <xf numFmtId="0" fontId="45" fillId="4" borderId="0" applyNumberFormat="0" applyBorder="0" applyAlignment="0" applyProtection="0"/>
    <xf numFmtId="0" fontId="46" fillId="21" borderId="3" applyNumberFormat="0" applyAlignment="0" applyProtection="0"/>
    <xf numFmtId="0" fontId="47" fillId="22" borderId="4" applyNumberFormat="0" applyAlignment="0" applyProtection="0"/>
    <xf numFmtId="40" fontId="4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5" borderId="0" applyNumberFormat="0" applyBorder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2" fillId="0" borderId="7" applyNumberFormat="0" applyFill="0" applyAlignment="0" applyProtection="0"/>
    <xf numFmtId="0" fontId="52" fillId="0" borderId="0" applyNumberFormat="0" applyFill="0" applyBorder="0" applyAlignment="0" applyProtection="0"/>
    <xf numFmtId="0" fontId="53" fillId="8" borderId="3" applyNumberFormat="0" applyAlignment="0" applyProtection="0"/>
    <xf numFmtId="0" fontId="54" fillId="0" borderId="8" applyNumberFormat="0" applyFill="0" applyAlignment="0" applyProtection="0"/>
    <xf numFmtId="0" fontId="55" fillId="23" borderId="0" applyNumberFormat="0" applyBorder="0" applyAlignment="0" applyProtection="0"/>
    <xf numFmtId="169" fontId="42" fillId="0" borderId="0"/>
    <xf numFmtId="0" fontId="33" fillId="0" borderId="0"/>
    <xf numFmtId="0" fontId="33" fillId="0" borderId="0"/>
    <xf numFmtId="0" fontId="33" fillId="0" borderId="0"/>
    <xf numFmtId="0" fontId="14" fillId="0" borderId="0"/>
    <xf numFmtId="165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3" fillId="0" borderId="0"/>
    <xf numFmtId="0" fontId="43" fillId="24" borderId="9" applyNumberFormat="0" applyFont="0" applyAlignment="0" applyProtection="0"/>
    <xf numFmtId="0" fontId="56" fillId="21" borderId="10" applyNumberFormat="0" applyAlignment="0" applyProtection="0"/>
    <xf numFmtId="9" fontId="4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11" applyNumberFormat="0" applyFill="0" applyAlignment="0" applyProtection="0"/>
    <xf numFmtId="0" fontId="58" fillId="0" borderId="0" applyNumberFormat="0" applyFill="0" applyBorder="0" applyAlignment="0" applyProtection="0"/>
    <xf numFmtId="165" fontId="20" fillId="0" borderId="0"/>
    <xf numFmtId="165" fontId="2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9" fillId="0" borderId="0" applyNumberFormat="0" applyFill="0" applyBorder="0" applyAlignment="0" applyProtection="0"/>
    <xf numFmtId="0" fontId="60" fillId="0" borderId="12" applyNumberFormat="0" applyFill="0" applyAlignment="0" applyProtection="0"/>
    <xf numFmtId="0" fontId="61" fillId="0" borderId="13" applyNumberFormat="0" applyFill="0" applyAlignment="0" applyProtection="0"/>
    <xf numFmtId="0" fontId="62" fillId="0" borderId="14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0" applyNumberFormat="0" applyBorder="0" applyAlignment="0" applyProtection="0"/>
    <xf numFmtId="0" fontId="64" fillId="26" borderId="0" applyNumberFormat="0" applyBorder="0" applyAlignment="0" applyProtection="0"/>
    <xf numFmtId="0" fontId="65" fillId="27" borderId="0" applyNumberFormat="0" applyBorder="0" applyAlignment="0" applyProtection="0"/>
    <xf numFmtId="0" fontId="66" fillId="28" borderId="15" applyNumberFormat="0" applyAlignment="0" applyProtection="0"/>
    <xf numFmtId="0" fontId="67" fillId="29" borderId="16" applyNumberFormat="0" applyAlignment="0" applyProtection="0"/>
    <xf numFmtId="0" fontId="68" fillId="29" borderId="15" applyNumberFormat="0" applyAlignment="0" applyProtection="0"/>
    <xf numFmtId="0" fontId="69" fillId="0" borderId="17" applyNumberFormat="0" applyFill="0" applyAlignment="0" applyProtection="0"/>
    <xf numFmtId="0" fontId="70" fillId="30" borderId="18" applyNumberFormat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7" fillId="0" borderId="20" applyNumberFormat="0" applyFill="0" applyAlignment="0" applyProtection="0"/>
    <xf numFmtId="0" fontId="73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3" fillId="51" borderId="0" applyNumberFormat="0" applyBorder="0" applyAlignment="0" applyProtection="0"/>
    <xf numFmtId="0" fontId="73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3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4" fillId="0" borderId="12" applyNumberFormat="0" applyFill="0" applyAlignment="0" applyProtection="0"/>
    <xf numFmtId="170" fontId="43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9" fillId="31" borderId="19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5" fillId="0" borderId="0"/>
    <xf numFmtId="0" fontId="5" fillId="0" borderId="0"/>
    <xf numFmtId="165" fontId="20" fillId="0" borderId="0"/>
    <xf numFmtId="0" fontId="79" fillId="0" borderId="0"/>
    <xf numFmtId="43" fontId="79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3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1" fillId="0" borderId="0" applyFont="0" applyFill="0" applyBorder="0" applyAlignment="0" applyProtection="0"/>
    <xf numFmtId="173" fontId="20" fillId="0" borderId="0"/>
    <xf numFmtId="173" fontId="20" fillId="0" borderId="0"/>
    <xf numFmtId="0" fontId="1" fillId="0" borderId="0"/>
    <xf numFmtId="0" fontId="82" fillId="0" borderId="0" applyNumberFormat="0" applyFill="0" applyBorder="0" applyAlignment="0" applyProtection="0"/>
    <xf numFmtId="0" fontId="83" fillId="27" borderId="0" applyNumberFormat="0" applyBorder="0" applyAlignment="0" applyProtection="0"/>
    <xf numFmtId="0" fontId="1" fillId="31" borderId="19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18" fillId="2" borderId="0" xfId="0" applyFont="1" applyFill="1"/>
    <xf numFmtId="0" fontId="30" fillId="2" borderId="0" xfId="0" applyFont="1" applyFill="1"/>
    <xf numFmtId="0" fontId="30" fillId="0" borderId="0" xfId="0" applyFont="1"/>
    <xf numFmtId="0" fontId="0" fillId="2" borderId="0" xfId="0" applyFill="1" applyAlignment="1">
      <alignment vertical="center"/>
    </xf>
    <xf numFmtId="0" fontId="18" fillId="2" borderId="0" xfId="0" applyFont="1" applyFill="1" applyAlignment="1">
      <alignment vertical="center"/>
    </xf>
    <xf numFmtId="0" fontId="16" fillId="2" borderId="0" xfId="0" applyFont="1" applyFill="1"/>
    <xf numFmtId="0" fontId="0" fillId="2" borderId="0" xfId="0" applyFill="1" applyBorder="1" applyAlignment="1">
      <alignment vertical="center"/>
    </xf>
    <xf numFmtId="167" fontId="26" fillId="2" borderId="0" xfId="4" applyNumberFormat="1" applyFont="1" applyFill="1"/>
    <xf numFmtId="167" fontId="25" fillId="2" borderId="0" xfId="4" applyNumberFormat="1" applyFont="1" applyFill="1"/>
    <xf numFmtId="0" fontId="22" fillId="2" borderId="0" xfId="780" applyFont="1" applyFill="1" applyAlignment="1">
      <alignment horizontal="right"/>
    </xf>
    <xf numFmtId="0" fontId="0" fillId="0" borderId="0" xfId="0" applyAlignment="1">
      <alignment vertical="center"/>
    </xf>
    <xf numFmtId="0" fontId="31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167" fontId="27" fillId="2" borderId="0" xfId="4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left" vertical="center" indent="1"/>
    </xf>
    <xf numFmtId="0" fontId="27" fillId="2" borderId="0" xfId="0" applyFont="1" applyFill="1" applyBorder="1"/>
    <xf numFmtId="0" fontId="29" fillId="2" borderId="0" xfId="0" applyFont="1" applyFill="1" applyBorder="1"/>
    <xf numFmtId="3" fontId="24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/>
    <xf numFmtId="3" fontId="24" fillId="2" borderId="0" xfId="0" applyNumberFormat="1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left" vertical="center" indent="1"/>
    </xf>
    <xf numFmtId="3" fontId="24" fillId="2" borderId="1" xfId="0" applyNumberFormat="1" applyFont="1" applyFill="1" applyBorder="1"/>
    <xf numFmtId="0" fontId="29" fillId="2" borderId="0" xfId="0" applyFont="1" applyFill="1" applyBorder="1" applyAlignment="1">
      <alignment vertical="center"/>
    </xf>
    <xf numFmtId="167" fontId="21" fillId="2" borderId="0" xfId="4" applyNumberFormat="1" applyFont="1" applyFill="1" applyAlignment="1">
      <alignment vertical="center"/>
    </xf>
    <xf numFmtId="0" fontId="36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6" fillId="0" borderId="0" xfId="0" applyFont="1"/>
    <xf numFmtId="0" fontId="0" fillId="57" borderId="0" xfId="0" applyFill="1"/>
    <xf numFmtId="0" fontId="31" fillId="57" borderId="0" xfId="0" applyFont="1" applyFill="1" applyAlignment="1">
      <alignment vertical="center"/>
    </xf>
    <xf numFmtId="0" fontId="14" fillId="57" borderId="0" xfId="0" applyFont="1" applyFill="1" applyAlignment="1">
      <alignment horizontal="right" vertical="center"/>
    </xf>
    <xf numFmtId="0" fontId="31" fillId="57" borderId="0" xfId="0" applyFont="1" applyFill="1" applyBorder="1" applyAlignment="1">
      <alignment vertical="center"/>
    </xf>
    <xf numFmtId="3" fontId="29" fillId="57" borderId="0" xfId="4" applyNumberFormat="1" applyFont="1" applyFill="1" applyAlignment="1">
      <alignment horizontal="right" vertical="center"/>
    </xf>
    <xf numFmtId="3" fontId="24" fillId="2" borderId="0" xfId="0" applyNumberFormat="1" applyFont="1" applyFill="1" applyBorder="1"/>
    <xf numFmtId="3" fontId="29" fillId="57" borderId="0" xfId="4" applyNumberFormat="1" applyFont="1" applyFill="1" applyBorder="1" applyAlignment="1">
      <alignment horizontal="right" vertical="center"/>
    </xf>
    <xf numFmtId="0" fontId="16" fillId="2" borderId="0" xfId="0" applyFont="1" applyFill="1" applyBorder="1"/>
    <xf numFmtId="0" fontId="16" fillId="2" borderId="2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left" wrapText="1"/>
    </xf>
    <xf numFmtId="0" fontId="32" fillId="57" borderId="2" xfId="0" applyFont="1" applyFill="1" applyBorder="1" applyAlignment="1">
      <alignment horizontal="left" vertical="center"/>
    </xf>
    <xf numFmtId="0" fontId="18" fillId="2" borderId="0" xfId="0" applyFont="1" applyFill="1" applyBorder="1"/>
    <xf numFmtId="0" fontId="76" fillId="2" borderId="2" xfId="0" applyFont="1" applyFill="1" applyBorder="1" applyAlignment="1">
      <alignment vertical="center"/>
    </xf>
    <xf numFmtId="167" fontId="34" fillId="2" borderId="2" xfId="4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/>
    <xf numFmtId="167" fontId="77" fillId="2" borderId="2" xfId="4" applyNumberFormat="1" applyFont="1" applyFill="1" applyBorder="1" applyAlignment="1">
      <alignment horizontal="center" vertical="center"/>
    </xf>
    <xf numFmtId="167" fontId="18" fillId="2" borderId="2" xfId="0" applyNumberFormat="1" applyFont="1" applyFill="1" applyBorder="1" applyAlignment="1">
      <alignment horizontal="center" vertical="center"/>
    </xf>
    <xf numFmtId="3" fontId="18" fillId="2" borderId="2" xfId="0" applyNumberFormat="1" applyFont="1" applyFill="1" applyBorder="1"/>
    <xf numFmtId="167" fontId="18" fillId="2" borderId="2" xfId="0" applyNumberFormat="1" applyFont="1" applyFill="1" applyBorder="1"/>
    <xf numFmtId="0" fontId="78" fillId="2" borderId="0" xfId="780" applyFont="1" applyFill="1" applyAlignment="1">
      <alignment horizontal="right"/>
    </xf>
    <xf numFmtId="167" fontId="21" fillId="2" borderId="0" xfId="4" applyNumberFormat="1" applyFont="1" applyFill="1" applyBorder="1" applyAlignment="1">
      <alignment vertical="center"/>
    </xf>
    <xf numFmtId="0" fontId="16" fillId="2" borderId="22" xfId="0" applyFont="1" applyFill="1" applyBorder="1" applyAlignment="1">
      <alignment horizontal="left"/>
    </xf>
    <xf numFmtId="167" fontId="34" fillId="2" borderId="22" xfId="4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167" fontId="77" fillId="2" borderId="22" xfId="4" applyNumberFormat="1" applyFont="1" applyFill="1" applyBorder="1" applyAlignment="1">
      <alignment horizontal="center" vertical="center"/>
    </xf>
    <xf numFmtId="167" fontId="18" fillId="2" borderId="22" xfId="0" applyNumberFormat="1" applyFont="1" applyFill="1" applyBorder="1" applyAlignment="1">
      <alignment horizontal="center" vertical="center"/>
    </xf>
    <xf numFmtId="3" fontId="18" fillId="2" borderId="22" xfId="0" applyNumberFormat="1" applyFont="1" applyFill="1" applyBorder="1"/>
    <xf numFmtId="0" fontId="16" fillId="2" borderId="0" xfId="0" applyFont="1" applyFill="1" applyBorder="1" applyAlignment="1">
      <alignment horizontal="left" wrapText="1"/>
    </xf>
    <xf numFmtId="167" fontId="34" fillId="2" borderId="0" xfId="4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167" fontId="77" fillId="2" borderId="0" xfId="4" applyNumberFormat="1" applyFont="1" applyFill="1" applyBorder="1" applyAlignment="1">
      <alignment horizontal="center" vertical="center"/>
    </xf>
    <xf numFmtId="167" fontId="18" fillId="2" borderId="0" xfId="0" applyNumberFormat="1" applyFont="1" applyFill="1" applyBorder="1" applyAlignment="1">
      <alignment horizontal="center" vertical="center"/>
    </xf>
    <xf numFmtId="3" fontId="18" fillId="2" borderId="0" xfId="0" applyNumberFormat="1" applyFont="1" applyFill="1" applyBorder="1"/>
    <xf numFmtId="0" fontId="81" fillId="57" borderId="0" xfId="0" applyFont="1" applyFill="1" applyAlignment="1">
      <alignment vertical="center"/>
    </xf>
    <xf numFmtId="0" fontId="28" fillId="2" borderId="0" xfId="0" applyFont="1" applyFill="1" applyBorder="1" applyAlignment="1">
      <alignment horizontal="left" vertical="center" indent="1"/>
    </xf>
    <xf numFmtId="167" fontId="0" fillId="2" borderId="0" xfId="0" applyNumberForma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36" fillId="2" borderId="21" xfId="0" applyFont="1" applyFill="1" applyBorder="1" applyAlignment="1">
      <alignment horizontal="left" vertical="center" wrapText="1"/>
    </xf>
    <xf numFmtId="0" fontId="35" fillId="56" borderId="0" xfId="780" applyFont="1" applyFill="1" applyAlignment="1">
      <alignment horizontal="left" vertical="center"/>
    </xf>
    <xf numFmtId="165" fontId="22" fillId="2" borderId="0" xfId="707" applyNumberFormat="1" applyFont="1" applyFill="1" applyBorder="1" applyAlignment="1">
      <alignment horizontal="right" vertical="center" wrapText="1"/>
    </xf>
    <xf numFmtId="0" fontId="28" fillId="2" borderId="1" xfId="0" applyFont="1" applyFill="1" applyBorder="1" applyAlignment="1">
      <alignment horizontal="left" vertical="center" indent="1"/>
    </xf>
    <xf numFmtId="167" fontId="21" fillId="2" borderId="1" xfId="4" applyNumberFormat="1" applyFont="1" applyFill="1" applyBorder="1" applyAlignment="1">
      <alignment vertical="center"/>
    </xf>
    <xf numFmtId="0" fontId="85" fillId="2" borderId="0" xfId="0" applyFont="1" applyFill="1" applyBorder="1" applyAlignment="1">
      <alignment horizontal="left" vertical="center" wrapText="1"/>
    </xf>
    <xf numFmtId="0" fontId="36" fillId="2" borderId="0" xfId="0" applyFont="1" applyFill="1" applyBorder="1" applyAlignment="1">
      <alignment horizontal="left" vertical="center" wrapText="1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69093695913259"/>
          <c:y val="0.20577461132423777"/>
          <c:w val="0.80867639921514967"/>
          <c:h val="0.680691946433675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E6F00"/>
            </a:solidFill>
          </c:spPr>
          <c:invertIfNegative val="0"/>
          <c:cat>
            <c:numRef>
              <c:f>'[1]Social Protection _Final'!$S$30:$X$30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'[1]Social Protection _Final'!$S$33:$X$33</c:f>
              <c:numCache>
                <c:formatCode>General</c:formatCode>
                <c:ptCount val="6"/>
                <c:pt idx="0" formatCode="_(* #,##0_);_(* \(#,##0\);_(* &quot;-&quot;??_);_(@_)">
                  <c:v>212784267</c:v>
                </c:pt>
                <c:pt idx="1">
                  <c:v>782126477</c:v>
                </c:pt>
                <c:pt idx="2" formatCode="_(* #,##0_);_(* \(#,##0\);_(* &quot;-&quot;??_);_(@_)">
                  <c:v>744921545.23043644</c:v>
                </c:pt>
                <c:pt idx="3" formatCode="_(* #,##0_);_(* \(#,##0\);_(* &quot;-&quot;??_);_(@_)">
                  <c:v>1063054680.1289001</c:v>
                </c:pt>
                <c:pt idx="4" formatCode="_(* #,##0_);_(* \(#,##0\);_(* &quot;-&quot;??_);_(@_)">
                  <c:v>1400609841.9112999</c:v>
                </c:pt>
                <c:pt idx="5" formatCode="#,##0">
                  <c:v>1675199186.7771001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5-4791-83CB-43B1708AF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71104"/>
        <c:axId val="119501568"/>
      </c:barChart>
      <c:catAx>
        <c:axId val="1194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01568"/>
        <c:crosses val="autoZero"/>
        <c:auto val="1"/>
        <c:lblAlgn val="ctr"/>
        <c:lblOffset val="100"/>
        <c:noMultiLvlLbl val="0"/>
      </c:catAx>
      <c:valAx>
        <c:axId val="1195015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711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Government Expenditure on Different Social Protection Schemes, 2015 - 2016</a:t>
            </a:r>
          </a:p>
        </c:rich>
      </c:tx>
      <c:layout>
        <c:manualLayout>
          <c:xMode val="edge"/>
          <c:yMode val="edge"/>
          <c:x val="0.18233859420231691"/>
          <c:y val="4.27652264831241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220179473178481"/>
          <c:y val="0.14957203266258384"/>
          <c:w val="0.82121570809416744"/>
          <c:h val="0.684010583706145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'[1]Social Protection _Final'!$W$30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strRef>
              <c:f>'[1]Social Protection _Final'!$Q$34:$Q$38</c:f>
              <c:strCache>
                <c:ptCount val="5"/>
                <c:pt idx="0">
                  <c:v>Single Parent</c:v>
                </c:pt>
                <c:pt idx="1">
                  <c:v>Foster Parent</c:v>
                </c:pt>
                <c:pt idx="2">
                  <c:v>Emergency Medical 
Welfare</c:v>
                </c:pt>
                <c:pt idx="3">
                  <c:v>Disability Allowance</c:v>
                </c:pt>
                <c:pt idx="4">
                  <c:v>Food Subsidy</c:v>
                </c:pt>
              </c:strCache>
            </c:strRef>
          </c:cat>
          <c:val>
            <c:numRef>
              <c:f>'[1]Social Protection _Final'!$W$34:$W$38</c:f>
              <c:numCache>
                <c:formatCode>_(* #,##0_);_(* \(#,##0\);_(* "-"??_);_(@_)</c:formatCode>
                <c:ptCount val="5"/>
                <c:pt idx="0">
                  <c:v>62871000</c:v>
                </c:pt>
                <c:pt idx="1">
                  <c:v>2464500</c:v>
                </c:pt>
                <c:pt idx="2">
                  <c:v>51002563.189999998</c:v>
                </c:pt>
                <c:pt idx="3">
                  <c:v>154048000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A-45BC-8686-73CD7AA5A858}"/>
            </c:ext>
          </c:extLst>
        </c:ser>
        <c:ser>
          <c:idx val="1"/>
          <c:order val="1"/>
          <c:tx>
            <c:strRef>
              <c:f>'[1]Social Protection _Final'!$X$30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FC757"/>
            </a:solidFill>
          </c:spPr>
          <c:invertIfNegative val="0"/>
          <c:cat>
            <c:strRef>
              <c:f>'[1]Social Protection _Final'!$Q$34:$Q$38</c:f>
              <c:strCache>
                <c:ptCount val="5"/>
                <c:pt idx="0">
                  <c:v>Single Parent</c:v>
                </c:pt>
                <c:pt idx="1">
                  <c:v>Foster Parent</c:v>
                </c:pt>
                <c:pt idx="2">
                  <c:v>Emergency Medical 
Welfare</c:v>
                </c:pt>
                <c:pt idx="3">
                  <c:v>Disability Allowance</c:v>
                </c:pt>
                <c:pt idx="4">
                  <c:v>Food Subsidy</c:v>
                </c:pt>
              </c:strCache>
            </c:strRef>
          </c:cat>
          <c:val>
            <c:numRef>
              <c:f>'[1]Social Protection _Final'!$X$34:$X$38</c:f>
              <c:numCache>
                <c:formatCode>#,##0</c:formatCode>
                <c:ptCount val="5"/>
                <c:pt idx="0">
                  <c:v>58122000</c:v>
                </c:pt>
                <c:pt idx="1">
                  <c:v>2416000</c:v>
                </c:pt>
                <c:pt idx="2">
                  <c:v>75254785.549999997</c:v>
                </c:pt>
                <c:pt idx="3">
                  <c:v>155797000</c:v>
                </c:pt>
                <c:pt idx="4">
                  <c:v>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A-45BC-8686-73CD7AA5A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50848"/>
        <c:axId val="119152640"/>
      </c:barChart>
      <c:catAx>
        <c:axId val="119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19152640"/>
        <c:crosses val="autoZero"/>
        <c:auto val="1"/>
        <c:lblAlgn val="ctr"/>
        <c:lblOffset val="100"/>
        <c:noMultiLvlLbl val="0"/>
      </c:catAx>
      <c:valAx>
        <c:axId val="1191526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sz="800"/>
                  <a:t>in</a:t>
                </a:r>
                <a:r>
                  <a:rPr lang="en-US" sz="800" baseline="0"/>
                  <a:t> MVR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5.3073115860517439E-3"/>
              <c:y val="0.35640205329501601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19150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845693848296561"/>
          <c:y val="0.2083214549691646"/>
          <c:w val="0.2000430022132077"/>
          <c:h val="0.1261738952338488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730302</xdr:colOff>
      <xdr:row>43</xdr:row>
      <xdr:rowOff>112609</xdr:rowOff>
    </xdr:from>
    <xdr:to>
      <xdr:col>0</xdr:col>
      <xdr:colOff>1320439</xdr:colOff>
      <xdr:row>44</xdr:row>
      <xdr:rowOff>102576</xdr:rowOff>
    </xdr:to>
    <xdr:sp macro="" textlink="">
      <xdr:nvSpPr>
        <xdr:cNvPr id="11" name="TextBox 10"/>
        <xdr:cNvSpPr txBox="1"/>
      </xdr:nvSpPr>
      <xdr:spPr>
        <a:xfrm>
          <a:off x="730302" y="7857167"/>
          <a:ext cx="590137" cy="1511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/>
            <a:t>in MVR</a:t>
          </a:r>
        </a:p>
      </xdr:txBody>
    </xdr:sp>
    <xdr:clientData/>
  </xdr:twoCellAnchor>
  <xdr:twoCellAnchor>
    <xdr:from>
      <xdr:col>0</xdr:col>
      <xdr:colOff>613778</xdr:colOff>
      <xdr:row>42</xdr:row>
      <xdr:rowOff>91769</xdr:rowOff>
    </xdr:from>
    <xdr:to>
      <xdr:col>5</xdr:col>
      <xdr:colOff>203982</xdr:colOff>
      <xdr:row>55</xdr:row>
      <xdr:rowOff>156064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612566</xdr:colOff>
      <xdr:row>57</xdr:row>
      <xdr:rowOff>40895</xdr:rowOff>
    </xdr:from>
    <xdr:to>
      <xdr:col>5</xdr:col>
      <xdr:colOff>235997</xdr:colOff>
      <xdr:row>71</xdr:row>
      <xdr:rowOff>74122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730302</xdr:colOff>
      <xdr:row>43</xdr:row>
      <xdr:rowOff>112609</xdr:rowOff>
    </xdr:from>
    <xdr:to>
      <xdr:col>0</xdr:col>
      <xdr:colOff>1320439</xdr:colOff>
      <xdr:row>44</xdr:row>
      <xdr:rowOff>102576</xdr:rowOff>
    </xdr:to>
    <xdr:sp macro="" textlink="">
      <xdr:nvSpPr>
        <xdr:cNvPr id="7" name="TextBox 6"/>
        <xdr:cNvSpPr txBox="1"/>
      </xdr:nvSpPr>
      <xdr:spPr>
        <a:xfrm>
          <a:off x="730302" y="8627959"/>
          <a:ext cx="590137" cy="1518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/>
            <a:t>in MVR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0.09937</cdr:x>
      <cdr:y>0.0819</cdr:y>
    </cdr:from>
    <cdr:to>
      <cdr:x>0.97234</cdr:x>
      <cdr:y>0.13109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43091" y="267375"/>
          <a:ext cx="4771081" cy="1606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0.07514</cdr:x>
      <cdr:y>0.04665</cdr:y>
    </cdr:from>
    <cdr:to>
      <cdr:x>0.98749</cdr:x>
      <cdr:y>0.16456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3382" y="98040"/>
          <a:ext cx="4169203" cy="247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r>
            <a:rPr lang="en-US" sz="1050" b="1"/>
            <a:t>Government Expenditure on Health Insurance</a:t>
          </a:r>
          <a:r>
            <a:rPr lang="en-US" sz="1050" b="1" baseline="0"/>
            <a:t> </a:t>
          </a:r>
          <a:r>
            <a:rPr lang="en-US" sz="1000" b="1" baseline="0"/>
            <a:t>schemes</a:t>
          </a:r>
          <a:r>
            <a:rPr lang="en-US" sz="1050" b="1" baseline="0"/>
            <a:t>, 2011 - 2016</a:t>
          </a:r>
          <a:endParaRPr lang="en-US" sz="105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Indicators%20%202017%20Final%20_%2015%20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0">
          <cell r="S30">
            <v>2011</v>
          </cell>
          <cell r="T30">
            <v>2012</v>
          </cell>
          <cell r="U30">
            <v>2013</v>
          </cell>
          <cell r="V30">
            <v>2014</v>
          </cell>
          <cell r="W30">
            <v>2015</v>
          </cell>
          <cell r="X30">
            <v>2016</v>
          </cell>
        </row>
        <row r="33">
          <cell r="S33">
            <v>212784267</v>
          </cell>
          <cell r="T33">
            <v>782126477</v>
          </cell>
          <cell r="U33">
            <v>744921545.23043644</v>
          </cell>
          <cell r="V33">
            <v>1063054680.1289001</v>
          </cell>
          <cell r="W33">
            <v>1400609841.9112999</v>
          </cell>
          <cell r="X33">
            <v>1675199186.7771001</v>
          </cell>
        </row>
        <row r="34">
          <cell r="Q34" t="str">
            <v>Single Parent</v>
          </cell>
          <cell r="W34">
            <v>62871000</v>
          </cell>
          <cell r="X34">
            <v>58122000</v>
          </cell>
        </row>
        <row r="35">
          <cell r="Q35" t="str">
            <v>Foster Parent</v>
          </cell>
          <cell r="W35">
            <v>2464500</v>
          </cell>
          <cell r="X35">
            <v>2416000</v>
          </cell>
        </row>
        <row r="36">
          <cell r="Q36" t="str">
            <v>Emergency Medical 
Welfare</v>
          </cell>
          <cell r="W36">
            <v>51002563.189999998</v>
          </cell>
          <cell r="X36">
            <v>75254785.549999997</v>
          </cell>
        </row>
        <row r="37">
          <cell r="Q37" t="str">
            <v>Disability Allowance</v>
          </cell>
          <cell r="W37">
            <v>154048000</v>
          </cell>
          <cell r="X37">
            <v>155797000</v>
          </cell>
        </row>
        <row r="38">
          <cell r="Q38" t="str">
            <v>Food Subsidy</v>
          </cell>
          <cell r="X38">
            <v>34800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O155"/>
  <sheetViews>
    <sheetView tabSelected="1" zoomScaleNormal="100" workbookViewId="0">
      <selection activeCell="Q37" sqref="Q36:Q37"/>
    </sheetView>
  </sheetViews>
  <sheetFormatPr defaultRowHeight="12.75"/>
  <cols>
    <col min="1" max="1" width="28.5703125" style="6" customWidth="1"/>
    <col min="2" max="2" width="13.28515625" style="1" customWidth="1"/>
    <col min="3" max="4" width="14.5703125" style="1" customWidth="1"/>
    <col min="5" max="5" width="15.5703125" style="1" customWidth="1"/>
    <col min="6" max="7" width="14.5703125" style="1" customWidth="1"/>
    <col min="8" max="8" width="13.42578125" style="1" customWidth="1"/>
    <col min="9" max="33" width="9.28515625" style="1" customWidth="1"/>
    <col min="34" max="34" width="7.28515625" style="1" customWidth="1"/>
    <col min="35" max="36" width="9.140625" style="1"/>
    <col min="37" max="37" width="15.85546875" style="1" customWidth="1"/>
    <col min="38" max="44" width="11.85546875" style="4" customWidth="1"/>
    <col min="45" max="67" width="9.140625" style="1"/>
  </cols>
  <sheetData>
    <row r="1" spans="1:44" ht="26.25">
      <c r="A1" s="70" t="s">
        <v>1</v>
      </c>
      <c r="B1" s="70"/>
      <c r="C1" s="70"/>
      <c r="D1" s="70"/>
      <c r="E1" s="70"/>
      <c r="F1" s="70"/>
      <c r="G1" s="7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4" s="1" customFormat="1" ht="15" customHeight="1">
      <c r="A2" s="19"/>
      <c r="B2" s="20">
        <v>2011</v>
      </c>
      <c r="C2" s="20">
        <v>2012</v>
      </c>
      <c r="D2" s="20">
        <v>2013</v>
      </c>
      <c r="E2" s="20">
        <v>2014</v>
      </c>
      <c r="F2" s="20">
        <v>2015</v>
      </c>
      <c r="G2" s="20">
        <v>2016</v>
      </c>
      <c r="I2" s="7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L2" s="4"/>
      <c r="AM2" s="4"/>
      <c r="AN2" s="4"/>
      <c r="AO2" s="4"/>
      <c r="AP2" s="4"/>
      <c r="AQ2" s="4"/>
      <c r="AR2" s="4"/>
    </row>
    <row r="3" spans="1:44" ht="15" customHeight="1">
      <c r="A3" s="32" t="s">
        <v>4</v>
      </c>
      <c r="B3" s="33"/>
      <c r="C3" s="31"/>
      <c r="D3" s="31"/>
      <c r="E3" s="31"/>
      <c r="F3" s="31"/>
      <c r="G3" s="31"/>
      <c r="I3" s="7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4" ht="15" customHeight="1">
      <c r="A4" s="18" t="s">
        <v>2</v>
      </c>
      <c r="B4" s="21">
        <v>103828</v>
      </c>
      <c r="C4" s="21">
        <v>275175</v>
      </c>
      <c r="D4" s="21">
        <v>285877</v>
      </c>
      <c r="E4" s="21">
        <v>302104</v>
      </c>
      <c r="F4" s="21">
        <v>317545</v>
      </c>
      <c r="G4" s="21">
        <v>325387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4" ht="15" customHeight="1">
      <c r="A5" s="18" t="s">
        <v>3</v>
      </c>
      <c r="B5" s="21">
        <v>212774081.04740971</v>
      </c>
      <c r="C5" s="21">
        <v>782126477</v>
      </c>
      <c r="D5" s="21">
        <v>744921545.23043644</v>
      </c>
      <c r="E5" s="21">
        <v>1063054680.1289001</v>
      </c>
      <c r="F5" s="21">
        <v>1400609841.9112999</v>
      </c>
      <c r="G5" s="21">
        <v>1675199186.7771001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4" ht="15" customHeight="1">
      <c r="A6" s="34" t="s">
        <v>7</v>
      </c>
      <c r="B6" s="35"/>
      <c r="C6" s="35"/>
      <c r="D6" s="35"/>
      <c r="E6" s="35"/>
      <c r="F6" s="35"/>
      <c r="G6" s="3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4" ht="15" customHeight="1">
      <c r="A7" s="18" t="s">
        <v>2</v>
      </c>
      <c r="B7" s="21">
        <v>7145</v>
      </c>
      <c r="C7" s="21">
        <v>8545</v>
      </c>
      <c r="D7" s="21">
        <v>9230</v>
      </c>
      <c r="E7" s="21">
        <v>7260</v>
      </c>
      <c r="F7" s="21">
        <v>8279</v>
      </c>
      <c r="G7" s="21">
        <v>8034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44" ht="15" customHeight="1">
      <c r="A8" s="18" t="s">
        <v>3</v>
      </c>
      <c r="B8" s="21">
        <v>44840000</v>
      </c>
      <c r="C8" s="21">
        <v>62959000</v>
      </c>
      <c r="D8" s="21">
        <v>66389000</v>
      </c>
      <c r="E8" s="21">
        <v>70378000</v>
      </c>
      <c r="F8" s="21">
        <v>62871000</v>
      </c>
      <c r="G8" s="21">
        <v>58122000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4" ht="15" customHeight="1">
      <c r="A9" s="34" t="s">
        <v>8</v>
      </c>
      <c r="B9" s="35"/>
      <c r="C9" s="35"/>
      <c r="D9" s="35"/>
      <c r="E9" s="35"/>
      <c r="F9" s="35"/>
      <c r="G9" s="35"/>
      <c r="H9" s="16"/>
      <c r="I9" s="1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4" ht="15" customHeight="1">
      <c r="A10" s="18" t="s">
        <v>2</v>
      </c>
      <c r="B10" s="21">
        <v>55</v>
      </c>
      <c r="C10" s="21">
        <v>96</v>
      </c>
      <c r="D10" s="21">
        <v>144</v>
      </c>
      <c r="E10" s="21">
        <v>241</v>
      </c>
      <c r="F10" s="21">
        <v>258</v>
      </c>
      <c r="G10" s="21">
        <v>254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44" ht="15" customHeight="1">
      <c r="A11" s="18" t="s">
        <v>3</v>
      </c>
      <c r="B11" s="21">
        <v>1242500</v>
      </c>
      <c r="C11" s="21">
        <v>648500</v>
      </c>
      <c r="D11" s="21">
        <v>1180500</v>
      </c>
      <c r="E11" s="21">
        <v>1807000</v>
      </c>
      <c r="F11" s="21">
        <v>2464500</v>
      </c>
      <c r="G11" s="21">
        <v>2416000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44" ht="15" customHeight="1">
      <c r="A12" s="34" t="s">
        <v>10</v>
      </c>
      <c r="B12" s="35"/>
      <c r="C12" s="35"/>
      <c r="D12" s="35"/>
      <c r="E12" s="35"/>
      <c r="F12" s="35"/>
      <c r="G12" s="35"/>
      <c r="H12" s="16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44" ht="15" customHeight="1">
      <c r="A13" s="18" t="s">
        <v>2</v>
      </c>
      <c r="B13" s="21">
        <v>1002</v>
      </c>
      <c r="C13" s="21">
        <v>831</v>
      </c>
      <c r="D13" s="21">
        <v>4288</v>
      </c>
      <c r="E13" s="21" t="s">
        <v>0</v>
      </c>
      <c r="F13" s="21">
        <v>5682</v>
      </c>
      <c r="G13" s="21">
        <v>6777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44" ht="15" customHeight="1">
      <c r="A14" s="18" t="s">
        <v>3</v>
      </c>
      <c r="B14" s="22">
        <v>10465083</v>
      </c>
      <c r="C14" s="22">
        <v>14510916</v>
      </c>
      <c r="D14" s="22">
        <v>40484849.039999999</v>
      </c>
      <c r="E14" s="22">
        <v>35665347.009999998</v>
      </c>
      <c r="F14" s="22">
        <v>51002563.189999998</v>
      </c>
      <c r="G14" s="22">
        <v>75254785.549999997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44" ht="15" customHeight="1">
      <c r="A15" s="34" t="s">
        <v>12</v>
      </c>
      <c r="B15" s="35"/>
      <c r="C15" s="35"/>
      <c r="D15" s="35"/>
      <c r="E15" s="35"/>
      <c r="F15" s="35"/>
      <c r="G15" s="35"/>
      <c r="H15" s="16"/>
      <c r="I15" s="1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44" ht="15" customHeight="1">
      <c r="A16" s="18" t="s">
        <v>2</v>
      </c>
      <c r="B16" s="23">
        <v>3560</v>
      </c>
      <c r="C16" s="23">
        <v>4408</v>
      </c>
      <c r="D16" s="23">
        <v>4876</v>
      </c>
      <c r="E16" s="23">
        <v>5601</v>
      </c>
      <c r="F16" s="23">
        <v>6176</v>
      </c>
      <c r="G16" s="23">
        <v>6696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67" s="2" customFormat="1" ht="15" customHeight="1">
      <c r="A17" s="18" t="s">
        <v>3</v>
      </c>
      <c r="B17" s="36">
        <v>79300500</v>
      </c>
      <c r="C17" s="36">
        <v>109680000</v>
      </c>
      <c r="D17" s="36">
        <v>112764000</v>
      </c>
      <c r="E17" s="36">
        <v>127918000</v>
      </c>
      <c r="F17" s="36">
        <v>154048000</v>
      </c>
      <c r="G17" s="36">
        <v>155797000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42"/>
      <c r="AM17" s="42"/>
      <c r="AN17" s="42"/>
      <c r="AO17" s="42"/>
      <c r="AP17" s="42"/>
      <c r="AQ17" s="42"/>
      <c r="AR17" s="42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7" s="2" customFormat="1" ht="15" customHeight="1">
      <c r="A18" s="34" t="s">
        <v>18</v>
      </c>
      <c r="B18" s="37"/>
      <c r="C18" s="37"/>
      <c r="D18" s="37"/>
      <c r="E18" s="37"/>
      <c r="F18" s="37"/>
      <c r="G18" s="3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42"/>
      <c r="AM18" s="42"/>
      <c r="AN18" s="42"/>
      <c r="AO18" s="42"/>
      <c r="AP18" s="42"/>
      <c r="AQ18" s="42"/>
      <c r="AR18" s="42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ht="15" customHeight="1">
      <c r="A19" s="18" t="s">
        <v>2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3">
        <v>395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67" s="30" customFormat="1" ht="15" customHeight="1">
      <c r="A20" s="24" t="s">
        <v>3</v>
      </c>
      <c r="B20" s="27">
        <v>0</v>
      </c>
      <c r="C20" s="27">
        <v>0</v>
      </c>
      <c r="D20" s="27">
        <v>0</v>
      </c>
      <c r="E20" s="27">
        <v>0</v>
      </c>
      <c r="F20" s="27">
        <v>0</v>
      </c>
      <c r="G20" s="25">
        <v>34800</v>
      </c>
      <c r="H20" s="29"/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8"/>
      <c r="AI20" s="9"/>
      <c r="AJ20" s="9"/>
      <c r="AK20" s="9"/>
      <c r="AL20" s="4"/>
      <c r="AM20" s="4"/>
      <c r="AN20" s="4"/>
      <c r="AO20" s="4"/>
      <c r="AP20" s="4"/>
      <c r="AQ20" s="4"/>
      <c r="AR20" s="4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spans="1:67" ht="14.25" customHeight="1">
      <c r="A21" s="69" t="s">
        <v>17</v>
      </c>
      <c r="B21" s="69"/>
      <c r="C21" s="69"/>
      <c r="D21" s="69"/>
      <c r="E21" s="69"/>
      <c r="F21" s="69"/>
      <c r="G21" s="6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67" ht="15.75" customHeight="1">
      <c r="A22" s="28"/>
      <c r="B22" s="12"/>
      <c r="C22" s="11"/>
      <c r="D22" s="11"/>
      <c r="E22" s="11"/>
      <c r="F22" s="11"/>
      <c r="G22" s="1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67" s="14" customFormat="1" ht="27" customHeight="1">
      <c r="A23" s="70" t="s">
        <v>14</v>
      </c>
      <c r="B23" s="70"/>
      <c r="C23" s="70"/>
      <c r="D23" s="70"/>
      <c r="E23" s="70"/>
      <c r="F23" s="70"/>
      <c r="G23" s="70"/>
      <c r="H23" s="7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7"/>
      <c r="AJ23" s="7"/>
      <c r="AK23" s="7"/>
      <c r="AL23" s="8"/>
      <c r="AM23" s="8"/>
      <c r="AN23" s="8"/>
      <c r="AO23" s="8"/>
      <c r="AP23" s="8"/>
      <c r="AQ23" s="8"/>
      <c r="AR23" s="8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</row>
    <row r="24" spans="1:67" s="14" customFormat="1" ht="15" customHeight="1">
      <c r="A24" s="15"/>
      <c r="B24" s="26">
        <v>2011</v>
      </c>
      <c r="C24" s="26">
        <v>2012</v>
      </c>
      <c r="D24" s="26">
        <v>2013</v>
      </c>
      <c r="E24" s="26">
        <v>2014</v>
      </c>
      <c r="F24" s="26">
        <v>2015</v>
      </c>
      <c r="G24" s="26">
        <v>2016</v>
      </c>
      <c r="H24" s="7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7"/>
      <c r="AJ24" s="7"/>
      <c r="AK24" s="7"/>
      <c r="AL24" s="8"/>
      <c r="AM24" s="8"/>
      <c r="AN24" s="8"/>
      <c r="AO24" s="8"/>
      <c r="AP24" s="8"/>
      <c r="AQ24" s="8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 spans="1:67" ht="15" customHeight="1">
      <c r="A25" s="32" t="s">
        <v>15</v>
      </c>
      <c r="B25" s="32"/>
      <c r="C25" s="32"/>
      <c r="D25" s="32"/>
      <c r="E25" s="32"/>
      <c r="F25" s="32"/>
      <c r="G25" s="3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67" s="14" customFormat="1" ht="15" customHeight="1">
      <c r="A26" s="18" t="s">
        <v>19</v>
      </c>
      <c r="B26" s="27">
        <v>15035</v>
      </c>
      <c r="C26" s="27">
        <v>15268</v>
      </c>
      <c r="D26" s="27">
        <v>15447</v>
      </c>
      <c r="E26" s="27">
        <v>15767</v>
      </c>
      <c r="F26" s="27">
        <v>16091</v>
      </c>
      <c r="G26" s="27">
        <v>16321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7"/>
      <c r="AJ26" s="7"/>
      <c r="AK26" s="7"/>
      <c r="AL26" s="8"/>
      <c r="AM26" s="8"/>
      <c r="AN26" s="8"/>
      <c r="AO26" s="8"/>
      <c r="AP26" s="8"/>
      <c r="AQ26" s="8"/>
      <c r="AR26" s="8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 spans="1:67" s="14" customFormat="1" ht="15" customHeight="1">
      <c r="A27" s="18" t="s">
        <v>24</v>
      </c>
      <c r="B27" s="27">
        <v>360066470.99000001</v>
      </c>
      <c r="C27" s="27">
        <v>414738936.51999998</v>
      </c>
      <c r="D27" s="27">
        <v>421204350.24000001</v>
      </c>
      <c r="E27" s="27">
        <v>431707102.44</v>
      </c>
      <c r="F27" s="27">
        <v>426999240</v>
      </c>
      <c r="G27" s="27">
        <v>432115940.75</v>
      </c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7"/>
      <c r="AK27" s="1"/>
      <c r="AL27" s="4"/>
      <c r="AM27" s="4"/>
      <c r="AN27" s="4"/>
      <c r="AO27" s="4"/>
      <c r="AP27" s="4"/>
      <c r="AQ27" s="4"/>
      <c r="AR27" s="4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</row>
    <row r="28" spans="1:67" s="14" customFormat="1" ht="15" customHeight="1">
      <c r="A28" s="32" t="s">
        <v>16</v>
      </c>
      <c r="B28" s="32"/>
      <c r="C28" s="32"/>
      <c r="D28" s="32"/>
      <c r="E28" s="32"/>
      <c r="F28" s="32"/>
      <c r="G28" s="32"/>
      <c r="H28" s="1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"/>
      <c r="AL28" s="4"/>
      <c r="AM28" s="4"/>
      <c r="AN28" s="4"/>
      <c r="AO28" s="4"/>
      <c r="AP28" s="4"/>
      <c r="AQ28" s="4"/>
      <c r="AR28" s="4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 spans="1:67" s="14" customFormat="1" ht="15" customHeight="1">
      <c r="A29" s="18" t="s">
        <v>19</v>
      </c>
      <c r="B29" s="27">
        <v>177</v>
      </c>
      <c r="C29" s="27">
        <v>293</v>
      </c>
      <c r="D29" s="27">
        <v>425</v>
      </c>
      <c r="E29" s="27">
        <v>646</v>
      </c>
      <c r="F29" s="27">
        <v>895</v>
      </c>
      <c r="G29" s="27">
        <v>72</v>
      </c>
      <c r="H29" s="1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"/>
      <c r="AL29" s="4"/>
      <c r="AM29" s="4"/>
      <c r="AN29" s="4"/>
      <c r="AO29" s="4"/>
      <c r="AP29" s="4"/>
      <c r="AQ29" s="4"/>
      <c r="AR29" s="4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 spans="1:67" s="14" customFormat="1" ht="15" customHeight="1">
      <c r="A30" s="18" t="s">
        <v>24</v>
      </c>
      <c r="B30" s="27">
        <v>7817514.1200000001</v>
      </c>
      <c r="C30" s="27">
        <v>21452251.600000001</v>
      </c>
      <c r="D30" s="27">
        <v>25887906.539999999</v>
      </c>
      <c r="E30" s="27">
        <v>35973669.200000003</v>
      </c>
      <c r="F30" s="27">
        <v>48839669.629999995</v>
      </c>
      <c r="G30" s="27">
        <v>49178627.069999993</v>
      </c>
      <c r="H30" s="1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39"/>
      <c r="AL30" s="43">
        <v>2010</v>
      </c>
      <c r="AM30" s="43">
        <v>2011</v>
      </c>
      <c r="AN30" s="43">
        <v>2012</v>
      </c>
      <c r="AO30" s="43">
        <v>2013</v>
      </c>
      <c r="AP30" s="43">
        <v>2014</v>
      </c>
      <c r="AQ30" s="43">
        <v>2015</v>
      </c>
      <c r="AR30" s="43">
        <v>2016</v>
      </c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 spans="1:67" ht="15" customHeight="1">
      <c r="A31" s="32" t="s">
        <v>25</v>
      </c>
      <c r="B31" s="32"/>
      <c r="C31" s="32"/>
      <c r="D31" s="32"/>
      <c r="E31" s="32"/>
      <c r="F31" s="32"/>
      <c r="G31" s="32"/>
      <c r="AK31" s="39" t="s">
        <v>5</v>
      </c>
      <c r="AL31" s="44">
        <v>111065180</v>
      </c>
      <c r="AM31" s="44">
        <v>187279385</v>
      </c>
      <c r="AN31" s="45"/>
      <c r="AO31" s="45"/>
      <c r="AP31" s="45"/>
      <c r="AQ31" s="45"/>
      <c r="AR31" s="46"/>
    </row>
    <row r="32" spans="1:67" s="14" customFormat="1" ht="15" customHeight="1">
      <c r="A32" s="18" t="s">
        <v>19</v>
      </c>
      <c r="B32" s="27">
        <v>7219</v>
      </c>
      <c r="C32" s="27">
        <v>7314</v>
      </c>
      <c r="D32" s="27">
        <v>7293</v>
      </c>
      <c r="E32" s="27">
        <v>7284</v>
      </c>
      <c r="F32" s="27">
        <v>7264</v>
      </c>
      <c r="G32" s="27">
        <v>7255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9" t="s">
        <v>6</v>
      </c>
      <c r="AL32" s="44">
        <v>16041999</v>
      </c>
      <c r="AM32" s="44">
        <v>25504882</v>
      </c>
      <c r="AN32" s="45"/>
      <c r="AO32" s="45"/>
      <c r="AP32" s="45"/>
      <c r="AQ32" s="45"/>
      <c r="AR32" s="46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 spans="1:67" s="14" customFormat="1" ht="15" customHeight="1">
      <c r="A33" s="18" t="s">
        <v>24</v>
      </c>
      <c r="B33" s="27">
        <v>167052416.53999999</v>
      </c>
      <c r="C33" s="27">
        <v>240701239.62</v>
      </c>
      <c r="D33" s="27">
        <v>244384239.25999999</v>
      </c>
      <c r="E33" s="27">
        <v>259554054.59</v>
      </c>
      <c r="F33" s="27">
        <v>260118262.71000001</v>
      </c>
      <c r="G33" s="27">
        <v>264841953.94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39" t="s">
        <v>4</v>
      </c>
      <c r="AL33" s="44">
        <v>127107179</v>
      </c>
      <c r="AM33" s="44">
        <v>212784267</v>
      </c>
      <c r="AN33" s="45">
        <v>782126477</v>
      </c>
      <c r="AO33" s="47">
        <v>744921545.23043644</v>
      </c>
      <c r="AP33" s="48">
        <v>1063054680.1289001</v>
      </c>
      <c r="AQ33" s="48">
        <v>1400609841.9112999</v>
      </c>
      <c r="AR33" s="49">
        <f>G5</f>
        <v>1675199186.7771001</v>
      </c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 spans="1:67" s="1" customFormat="1" ht="15" customHeight="1">
      <c r="A34" s="32" t="s">
        <v>26</v>
      </c>
      <c r="B34" s="32"/>
      <c r="C34" s="32"/>
      <c r="D34" s="32"/>
      <c r="E34" s="32"/>
      <c r="F34" s="32"/>
      <c r="G34" s="32"/>
      <c r="AK34" s="39" t="s">
        <v>9</v>
      </c>
      <c r="AL34" s="44">
        <v>10775000</v>
      </c>
      <c r="AM34" s="44">
        <v>44840000</v>
      </c>
      <c r="AN34" s="45">
        <v>62959000</v>
      </c>
      <c r="AO34" s="47">
        <v>66389000</v>
      </c>
      <c r="AP34" s="48">
        <v>70378000</v>
      </c>
      <c r="AQ34" s="48">
        <v>62871000</v>
      </c>
      <c r="AR34" s="49">
        <f>G8</f>
        <v>58122000</v>
      </c>
    </row>
    <row r="35" spans="1:67" s="1" customFormat="1" ht="15" customHeight="1">
      <c r="A35" s="18" t="s">
        <v>19</v>
      </c>
      <c r="B35" s="27">
        <v>0</v>
      </c>
      <c r="C35" s="27">
        <v>0</v>
      </c>
      <c r="D35" s="27">
        <v>0</v>
      </c>
      <c r="E35" s="27">
        <v>16198</v>
      </c>
      <c r="F35" s="27">
        <v>16561</v>
      </c>
      <c r="G35" s="27">
        <v>16779</v>
      </c>
      <c r="AK35" s="53" t="s">
        <v>11</v>
      </c>
      <c r="AL35" s="54">
        <v>256000</v>
      </c>
      <c r="AM35" s="54">
        <v>1242500</v>
      </c>
      <c r="AN35" s="55">
        <v>648500</v>
      </c>
      <c r="AO35" s="56">
        <v>1180500</v>
      </c>
      <c r="AP35" s="57">
        <v>1807000</v>
      </c>
      <c r="AQ35" s="57">
        <v>2464500</v>
      </c>
      <c r="AR35" s="58">
        <f>G11</f>
        <v>2416000</v>
      </c>
    </row>
    <row r="36" spans="1:67" s="3" customFormat="1" ht="15" customHeight="1">
      <c r="A36" s="18" t="s">
        <v>24</v>
      </c>
      <c r="B36" s="52">
        <v>0</v>
      </c>
      <c r="C36" s="52">
        <v>0</v>
      </c>
      <c r="D36" s="52">
        <v>0</v>
      </c>
      <c r="E36" s="52">
        <v>471311711.35000002</v>
      </c>
      <c r="F36" s="52">
        <v>524547328.46000004</v>
      </c>
      <c r="G36" s="52">
        <v>533482537.69</v>
      </c>
      <c r="AK36" s="59" t="s">
        <v>13</v>
      </c>
      <c r="AL36" s="60">
        <v>8479539</v>
      </c>
      <c r="AM36" s="60">
        <v>10465083</v>
      </c>
      <c r="AN36" s="61">
        <v>1510916</v>
      </c>
      <c r="AO36" s="62">
        <v>40484849.039999999</v>
      </c>
      <c r="AP36" s="63">
        <v>35665347.009999998</v>
      </c>
      <c r="AQ36" s="63">
        <v>51002563.189999998</v>
      </c>
      <c r="AR36" s="64">
        <f>G14</f>
        <v>75254785.549999997</v>
      </c>
    </row>
    <row r="37" spans="1:67" s="1" customFormat="1" ht="15" customHeight="1">
      <c r="A37" s="65" t="s">
        <v>20</v>
      </c>
      <c r="B37" s="32"/>
      <c r="C37" s="32"/>
      <c r="D37" s="32"/>
      <c r="E37" s="32"/>
      <c r="F37" s="32"/>
      <c r="G37" s="32"/>
      <c r="AK37" s="40" t="s">
        <v>12</v>
      </c>
      <c r="AL37" s="44"/>
      <c r="AM37" s="44"/>
      <c r="AN37" s="45"/>
      <c r="AO37" s="45"/>
      <c r="AP37" s="48">
        <v>127918000</v>
      </c>
      <c r="AQ37" s="48">
        <v>154048000</v>
      </c>
      <c r="AR37" s="49">
        <f>G17</f>
        <v>155797000</v>
      </c>
    </row>
    <row r="38" spans="1:67" s="1" customFormat="1" ht="15" customHeight="1">
      <c r="A38" s="66" t="s">
        <v>21</v>
      </c>
      <c r="B38" s="27">
        <v>582613871.09000003</v>
      </c>
      <c r="C38" s="27">
        <v>701620569.65999997</v>
      </c>
      <c r="D38" s="27">
        <v>742874347.92999995</v>
      </c>
      <c r="E38" s="27">
        <v>798040402.63999999</v>
      </c>
      <c r="F38" s="27">
        <v>891863798.66999996</v>
      </c>
      <c r="G38" s="27">
        <v>937239589.24000001</v>
      </c>
      <c r="AK38" s="41" t="s">
        <v>18</v>
      </c>
      <c r="AL38" s="46"/>
      <c r="AM38" s="46"/>
      <c r="AN38" s="46"/>
      <c r="AO38" s="46"/>
      <c r="AP38" s="46"/>
      <c r="AQ38" s="50"/>
      <c r="AR38" s="49">
        <f>G20</f>
        <v>34800</v>
      </c>
    </row>
    <row r="39" spans="1:67" s="1" customFormat="1" ht="15" customHeight="1">
      <c r="A39" s="66" t="s">
        <v>22</v>
      </c>
      <c r="B39" s="52">
        <v>1399</v>
      </c>
      <c r="C39" s="52">
        <v>1431</v>
      </c>
      <c r="D39" s="52">
        <v>1501</v>
      </c>
      <c r="E39" s="52">
        <v>1543</v>
      </c>
      <c r="F39" s="52">
        <v>1762</v>
      </c>
      <c r="G39" s="52">
        <v>1709</v>
      </c>
      <c r="AK39" s="40"/>
      <c r="AL39" s="44"/>
      <c r="AM39" s="44"/>
      <c r="AN39" s="45"/>
      <c r="AO39" s="47"/>
      <c r="AP39" s="48"/>
      <c r="AQ39" s="48"/>
      <c r="AR39" s="49"/>
    </row>
    <row r="40" spans="1:67" s="1" customFormat="1" ht="15" customHeight="1">
      <c r="A40" s="72" t="s">
        <v>23</v>
      </c>
      <c r="B40" s="73">
        <v>59002</v>
      </c>
      <c r="C40" s="73">
        <v>68805</v>
      </c>
      <c r="D40" s="73">
        <v>69461</v>
      </c>
      <c r="E40" s="73">
        <v>74849</v>
      </c>
      <c r="F40" s="73">
        <v>81922</v>
      </c>
      <c r="G40" s="73">
        <v>79729</v>
      </c>
      <c r="AK40" s="40"/>
      <c r="AL40" s="44"/>
      <c r="AM40" s="44"/>
      <c r="AN40" s="45"/>
      <c r="AO40" s="47"/>
      <c r="AP40" s="48"/>
      <c r="AQ40" s="48"/>
      <c r="AR40" s="49"/>
    </row>
    <row r="41" spans="1:67" s="1" customFormat="1" ht="18.75" customHeight="1">
      <c r="A41" s="74" t="s">
        <v>27</v>
      </c>
      <c r="B41" s="75"/>
      <c r="C41" s="75"/>
      <c r="D41" s="75"/>
      <c r="E41" s="75"/>
      <c r="F41" s="75"/>
      <c r="G41" s="75"/>
    </row>
    <row r="42" spans="1:67" s="1" customFormat="1" ht="26.25" customHeight="1">
      <c r="A42" s="74" t="s">
        <v>28</v>
      </c>
      <c r="B42" s="74"/>
      <c r="C42" s="74"/>
      <c r="D42" s="74"/>
      <c r="E42" s="74"/>
      <c r="F42" s="74"/>
      <c r="G42" s="74"/>
    </row>
    <row r="43" spans="1:67" s="1" customFormat="1">
      <c r="A43" s="5"/>
      <c r="B43" s="5"/>
      <c r="AK43" s="68"/>
      <c r="AL43" s="68"/>
      <c r="AM43" s="68"/>
      <c r="AN43" s="4"/>
      <c r="AO43" s="4"/>
      <c r="AP43" s="4"/>
      <c r="AQ43" s="4"/>
      <c r="AR43" s="4"/>
    </row>
    <row r="44" spans="1:67" s="1" customFormat="1">
      <c r="A44" s="5"/>
      <c r="B44" s="5"/>
      <c r="AK44" s="13"/>
      <c r="AL44" s="51"/>
      <c r="AM44" s="51"/>
      <c r="AN44" s="4"/>
      <c r="AO44" s="4"/>
      <c r="AP44" s="4"/>
      <c r="AQ44" s="4"/>
      <c r="AR44" s="4"/>
    </row>
    <row r="45" spans="1:67" s="1" customFormat="1">
      <c r="A45" s="5"/>
      <c r="B45" s="5"/>
      <c r="AL45" s="4"/>
      <c r="AM45" s="4"/>
      <c r="AN45" s="4"/>
      <c r="AO45" s="4"/>
      <c r="AP45" s="4"/>
      <c r="AQ45" s="4"/>
      <c r="AR45" s="4"/>
    </row>
    <row r="46" spans="1:67" s="1" customFormat="1">
      <c r="A46" s="5"/>
      <c r="B46" s="5"/>
      <c r="AL46" s="4"/>
      <c r="AM46" s="4"/>
      <c r="AN46" s="4"/>
      <c r="AO46" s="4"/>
      <c r="AP46" s="4"/>
      <c r="AQ46" s="4"/>
      <c r="AR46" s="4"/>
    </row>
    <row r="47" spans="1:67" s="1" customFormat="1">
      <c r="A47" s="5"/>
      <c r="B47" s="5"/>
      <c r="AL47" s="4"/>
      <c r="AM47" s="4"/>
      <c r="AN47" s="4"/>
      <c r="AO47" s="4"/>
      <c r="AP47" s="4"/>
      <c r="AQ47" s="4"/>
      <c r="AR47" s="4"/>
    </row>
    <row r="48" spans="1:67" s="1" customFormat="1">
      <c r="A48" s="5"/>
      <c r="B48" s="5"/>
      <c r="AL48" s="4"/>
      <c r="AM48" s="4"/>
      <c r="AN48" s="4"/>
      <c r="AO48" s="4"/>
      <c r="AP48" s="4"/>
      <c r="AQ48" s="4"/>
      <c r="AR48" s="4"/>
    </row>
    <row r="49" spans="1:44" s="1" customFormat="1">
      <c r="A49" s="5"/>
      <c r="B49" s="5"/>
      <c r="AL49" s="4"/>
      <c r="AM49" s="4"/>
      <c r="AN49" s="4"/>
      <c r="AO49" s="4"/>
      <c r="AP49" s="4"/>
      <c r="AQ49" s="4"/>
      <c r="AR49" s="4"/>
    </row>
    <row r="50" spans="1:44" s="1" customFormat="1">
      <c r="A50" s="5"/>
      <c r="B50" s="5"/>
      <c r="AL50" s="4"/>
      <c r="AM50" s="4"/>
      <c r="AN50" s="4"/>
      <c r="AO50" s="4"/>
      <c r="AP50" s="4"/>
      <c r="AQ50" s="4"/>
      <c r="AR50" s="4"/>
    </row>
    <row r="51" spans="1:44" s="1" customFormat="1">
      <c r="A51" s="5"/>
      <c r="AL51" s="4"/>
      <c r="AM51" s="4"/>
      <c r="AN51" s="4"/>
      <c r="AO51" s="4"/>
      <c r="AP51" s="4"/>
      <c r="AQ51" s="4"/>
      <c r="AR51" s="4"/>
    </row>
    <row r="52" spans="1:44" s="1" customFormat="1">
      <c r="A52" s="5"/>
      <c r="AL52" s="4"/>
      <c r="AM52" s="4"/>
      <c r="AN52" s="4"/>
      <c r="AO52" s="4"/>
      <c r="AP52" s="4"/>
      <c r="AQ52" s="4"/>
      <c r="AR52" s="4"/>
    </row>
    <row r="53" spans="1:44" s="1" customFormat="1">
      <c r="A53" s="5"/>
      <c r="AL53" s="4"/>
      <c r="AM53" s="4"/>
      <c r="AN53" s="4"/>
      <c r="AO53" s="4"/>
      <c r="AP53" s="4"/>
      <c r="AQ53" s="4"/>
      <c r="AR53" s="4"/>
    </row>
    <row r="54" spans="1:44" s="1" customFormat="1">
      <c r="A54" s="5"/>
      <c r="AL54" s="4"/>
      <c r="AM54" s="4"/>
      <c r="AN54" s="4"/>
      <c r="AO54" s="4"/>
      <c r="AP54" s="4"/>
      <c r="AQ54" s="4"/>
      <c r="AR54" s="4"/>
    </row>
    <row r="55" spans="1:44" s="1" customFormat="1">
      <c r="AL55" s="4"/>
      <c r="AM55" s="4"/>
      <c r="AN55" s="4"/>
      <c r="AO55" s="4"/>
      <c r="AP55" s="4"/>
      <c r="AQ55" s="4"/>
      <c r="AR55" s="4"/>
    </row>
    <row r="56" spans="1:44" s="1" customFormat="1">
      <c r="AL56" s="4"/>
      <c r="AM56" s="4"/>
      <c r="AN56" s="4"/>
      <c r="AO56" s="4"/>
      <c r="AP56" s="4"/>
      <c r="AQ56" s="4"/>
      <c r="AR56" s="4"/>
    </row>
    <row r="57" spans="1:44" s="1" customFormat="1">
      <c r="AL57" s="4"/>
      <c r="AM57" s="4"/>
      <c r="AN57" s="4"/>
      <c r="AO57" s="4"/>
      <c r="AP57" s="4"/>
      <c r="AQ57" s="4"/>
      <c r="AR57" s="4"/>
    </row>
    <row r="58" spans="1:44" s="1" customFormat="1">
      <c r="AL58" s="4"/>
      <c r="AM58" s="4"/>
      <c r="AN58" s="4"/>
      <c r="AO58" s="4"/>
      <c r="AP58" s="4"/>
      <c r="AQ58" s="4"/>
      <c r="AR58" s="4"/>
    </row>
    <row r="59" spans="1:44" s="1" customFormat="1">
      <c r="A59" s="5"/>
      <c r="AL59" s="4"/>
      <c r="AM59" s="4"/>
      <c r="AN59" s="4"/>
      <c r="AO59" s="4"/>
      <c r="AP59" s="4"/>
      <c r="AQ59" s="4"/>
      <c r="AR59" s="4"/>
    </row>
    <row r="60" spans="1:44" s="1" customFormat="1">
      <c r="A60" s="5"/>
      <c r="AL60" s="4"/>
      <c r="AM60" s="4"/>
      <c r="AN60" s="4"/>
      <c r="AO60" s="4"/>
      <c r="AP60" s="4"/>
      <c r="AQ60" s="4"/>
      <c r="AR60" s="4"/>
    </row>
    <row r="61" spans="1:44" s="1" customFormat="1">
      <c r="A61" s="5"/>
      <c r="AL61" s="4"/>
      <c r="AM61" s="4"/>
      <c r="AN61" s="4"/>
      <c r="AO61" s="4"/>
      <c r="AP61" s="4"/>
      <c r="AQ61" s="4"/>
      <c r="AR61" s="4"/>
    </row>
    <row r="62" spans="1:44" s="1" customFormat="1">
      <c r="A62" s="5"/>
      <c r="AL62" s="4"/>
      <c r="AM62" s="4"/>
      <c r="AN62" s="4"/>
      <c r="AO62" s="4"/>
      <c r="AP62" s="4"/>
      <c r="AQ62" s="4"/>
      <c r="AR62" s="4"/>
    </row>
    <row r="63" spans="1:44" s="1" customFormat="1">
      <c r="A63" s="5"/>
      <c r="AL63" s="4"/>
      <c r="AM63" s="4"/>
      <c r="AN63" s="4"/>
      <c r="AO63" s="4"/>
      <c r="AP63" s="4"/>
      <c r="AQ63" s="4"/>
      <c r="AR63" s="4"/>
    </row>
    <row r="64" spans="1:44" s="1" customFormat="1">
      <c r="A64" s="5"/>
      <c r="AL64" s="4"/>
      <c r="AM64" s="4"/>
      <c r="AN64" s="4"/>
      <c r="AO64" s="4"/>
      <c r="AP64" s="4"/>
      <c r="AQ64" s="4"/>
      <c r="AR64" s="4"/>
    </row>
    <row r="65" spans="1:44" s="1" customFormat="1">
      <c r="A65" s="5"/>
      <c r="AL65" s="4"/>
      <c r="AM65" s="4"/>
      <c r="AN65" s="4"/>
      <c r="AO65" s="4"/>
      <c r="AP65" s="4"/>
      <c r="AQ65" s="4"/>
      <c r="AR65" s="4"/>
    </row>
    <row r="66" spans="1:44" s="1" customFormat="1">
      <c r="A66" s="5"/>
      <c r="AL66" s="4"/>
      <c r="AM66" s="4"/>
      <c r="AN66" s="4"/>
      <c r="AO66" s="4"/>
      <c r="AP66" s="4"/>
      <c r="AQ66" s="4"/>
      <c r="AR66" s="4"/>
    </row>
    <row r="67" spans="1:44" s="1" customFormat="1">
      <c r="A67" s="5"/>
      <c r="AL67" s="4"/>
      <c r="AM67" s="4"/>
      <c r="AN67" s="4"/>
      <c r="AO67" s="4"/>
      <c r="AP67" s="4"/>
      <c r="AQ67" s="4"/>
      <c r="AR67" s="4"/>
    </row>
    <row r="68" spans="1:44" s="1" customFormat="1">
      <c r="A68" s="5"/>
      <c r="AL68" s="4"/>
      <c r="AM68" s="4"/>
      <c r="AN68" s="4"/>
      <c r="AO68" s="4"/>
      <c r="AP68" s="4"/>
      <c r="AQ68" s="4"/>
      <c r="AR68" s="4"/>
    </row>
    <row r="69" spans="1:44" s="1" customFormat="1">
      <c r="A69" s="5"/>
      <c r="AL69" s="4"/>
      <c r="AM69" s="4"/>
      <c r="AN69" s="4"/>
      <c r="AO69" s="4"/>
      <c r="AP69" s="4"/>
      <c r="AQ69" s="4"/>
      <c r="AR69" s="4"/>
    </row>
    <row r="70" spans="1:44" s="1" customFormat="1">
      <c r="A70" s="5"/>
      <c r="AL70" s="4"/>
      <c r="AM70" s="4"/>
      <c r="AN70" s="4"/>
      <c r="AO70" s="4"/>
      <c r="AP70" s="4"/>
      <c r="AQ70" s="4"/>
      <c r="AR70" s="4"/>
    </row>
    <row r="71" spans="1:44" s="1" customFormat="1">
      <c r="A71" s="5"/>
      <c r="AL71" s="4"/>
      <c r="AM71" s="4"/>
      <c r="AN71" s="4"/>
      <c r="AO71" s="4"/>
      <c r="AP71" s="4"/>
      <c r="AQ71" s="4"/>
      <c r="AR71" s="4"/>
    </row>
    <row r="72" spans="1:44" s="1" customFormat="1">
      <c r="A72" s="5"/>
      <c r="AL72" s="4"/>
      <c r="AM72" s="4"/>
      <c r="AN72" s="4"/>
      <c r="AO72" s="4"/>
      <c r="AP72" s="4"/>
      <c r="AQ72" s="4"/>
      <c r="AR72" s="4"/>
    </row>
    <row r="73" spans="1:44" s="1" customFormat="1">
      <c r="A73" s="5"/>
      <c r="AL73" s="4"/>
      <c r="AM73" s="4"/>
      <c r="AN73" s="4"/>
      <c r="AO73" s="4"/>
      <c r="AP73" s="4"/>
      <c r="AQ73" s="4"/>
      <c r="AR73" s="4"/>
    </row>
    <row r="74" spans="1:44" s="1" customFormat="1">
      <c r="A74" s="5"/>
      <c r="AL74" s="4"/>
      <c r="AM74" s="4"/>
      <c r="AN74" s="4"/>
      <c r="AO74" s="4"/>
      <c r="AP74" s="4"/>
      <c r="AQ74" s="4"/>
      <c r="AR74" s="4"/>
    </row>
    <row r="75" spans="1:44" s="1" customFormat="1">
      <c r="A75" s="5"/>
      <c r="AL75" s="4"/>
      <c r="AM75" s="4"/>
      <c r="AN75" s="4"/>
      <c r="AO75" s="4"/>
      <c r="AP75" s="4"/>
      <c r="AQ75" s="4"/>
      <c r="AR75" s="4"/>
    </row>
    <row r="76" spans="1:44" s="1" customFormat="1">
      <c r="A76" s="5"/>
      <c r="AL76" s="4"/>
      <c r="AM76" s="4"/>
      <c r="AN76" s="4"/>
      <c r="AO76" s="4"/>
      <c r="AP76" s="4"/>
      <c r="AQ76" s="4"/>
      <c r="AR76" s="4"/>
    </row>
    <row r="77" spans="1:44" s="1" customFormat="1">
      <c r="A77" s="5"/>
      <c r="AL77" s="4"/>
      <c r="AM77" s="4"/>
      <c r="AN77" s="4"/>
      <c r="AO77" s="4"/>
      <c r="AP77" s="4"/>
      <c r="AQ77" s="4"/>
      <c r="AR77" s="4"/>
    </row>
    <row r="78" spans="1:44" s="1" customFormat="1">
      <c r="A78" s="5"/>
      <c r="AL78" s="4"/>
      <c r="AM78" s="4"/>
      <c r="AN78" s="4"/>
      <c r="AO78" s="4"/>
      <c r="AP78" s="4"/>
      <c r="AQ78" s="4"/>
      <c r="AR78" s="4"/>
    </row>
    <row r="79" spans="1:44" s="1" customFormat="1">
      <c r="A79" s="5"/>
      <c r="AL79" s="4"/>
      <c r="AM79" s="4"/>
      <c r="AN79" s="4"/>
      <c r="AO79" s="4"/>
      <c r="AP79" s="4"/>
      <c r="AQ79" s="4"/>
      <c r="AR79" s="4"/>
    </row>
    <row r="80" spans="1:44" s="1" customFormat="1">
      <c r="A80" s="5"/>
      <c r="AL80" s="4"/>
      <c r="AM80" s="4"/>
      <c r="AN80" s="4"/>
      <c r="AO80" s="4"/>
      <c r="AP80" s="4"/>
      <c r="AQ80" s="4"/>
      <c r="AR80" s="4"/>
    </row>
    <row r="81" spans="1:44" s="1" customFormat="1">
      <c r="A81" s="5"/>
      <c r="AL81" s="4"/>
      <c r="AM81" s="4"/>
      <c r="AN81" s="4"/>
      <c r="AO81" s="4"/>
      <c r="AP81" s="4"/>
      <c r="AQ81" s="4"/>
      <c r="AR81" s="4"/>
    </row>
    <row r="82" spans="1:44" s="1" customFormat="1">
      <c r="A82" s="5"/>
      <c r="AL82" s="4"/>
      <c r="AM82" s="4"/>
      <c r="AN82" s="4"/>
      <c r="AO82" s="4"/>
      <c r="AP82" s="4"/>
      <c r="AQ82" s="4"/>
      <c r="AR82" s="4"/>
    </row>
    <row r="83" spans="1:44" s="1" customFormat="1">
      <c r="A83" s="5"/>
      <c r="AL83" s="4"/>
      <c r="AM83" s="4"/>
      <c r="AN83" s="4"/>
      <c r="AO83" s="4"/>
      <c r="AP83" s="4"/>
      <c r="AQ83" s="4"/>
      <c r="AR83" s="4"/>
    </row>
    <row r="84" spans="1:44" s="1" customFormat="1">
      <c r="A84" s="5"/>
      <c r="AL84" s="4"/>
      <c r="AM84" s="4"/>
      <c r="AN84" s="4"/>
      <c r="AO84" s="4"/>
      <c r="AP84" s="4"/>
      <c r="AQ84" s="4"/>
      <c r="AR84" s="4"/>
    </row>
    <row r="85" spans="1:44" s="1" customFormat="1">
      <c r="A85" s="5"/>
      <c r="AL85" s="4"/>
      <c r="AM85" s="4"/>
      <c r="AN85" s="4"/>
      <c r="AO85" s="4"/>
      <c r="AP85" s="4"/>
      <c r="AQ85" s="4"/>
      <c r="AR85" s="4"/>
    </row>
    <row r="86" spans="1:44" s="1" customFormat="1">
      <c r="A86" s="5"/>
      <c r="AL86" s="4"/>
      <c r="AM86" s="4"/>
      <c r="AN86" s="4"/>
      <c r="AO86" s="4"/>
      <c r="AP86" s="4"/>
      <c r="AQ86" s="4"/>
      <c r="AR86" s="4"/>
    </row>
    <row r="87" spans="1:44" s="1" customFormat="1">
      <c r="A87" s="5"/>
      <c r="AL87" s="4"/>
      <c r="AM87" s="4"/>
      <c r="AN87" s="4"/>
      <c r="AO87" s="4"/>
      <c r="AP87" s="4"/>
      <c r="AQ87" s="4"/>
      <c r="AR87" s="4"/>
    </row>
    <row r="88" spans="1:44" s="1" customFormat="1">
      <c r="A88" s="5"/>
      <c r="AL88" s="4"/>
      <c r="AM88" s="4"/>
      <c r="AN88" s="4"/>
      <c r="AO88" s="4"/>
      <c r="AP88" s="4"/>
      <c r="AQ88" s="4"/>
      <c r="AR88" s="4"/>
    </row>
    <row r="89" spans="1:44" s="1" customFormat="1">
      <c r="A89" s="5"/>
      <c r="AL89" s="4"/>
      <c r="AM89" s="4"/>
      <c r="AN89" s="4"/>
      <c r="AO89" s="4"/>
      <c r="AP89" s="4"/>
      <c r="AQ89" s="4"/>
      <c r="AR89" s="4"/>
    </row>
    <row r="90" spans="1:44" s="1" customFormat="1">
      <c r="A90" s="5"/>
      <c r="AL90" s="4"/>
      <c r="AM90" s="4"/>
      <c r="AN90" s="4"/>
      <c r="AO90" s="4"/>
      <c r="AP90" s="4"/>
      <c r="AQ90" s="4"/>
      <c r="AR90" s="4"/>
    </row>
    <row r="91" spans="1:44" s="1" customFormat="1">
      <c r="A91" s="5"/>
      <c r="AL91" s="4"/>
      <c r="AM91" s="4"/>
      <c r="AN91" s="4"/>
      <c r="AO91" s="4"/>
      <c r="AP91" s="4"/>
      <c r="AQ91" s="4"/>
      <c r="AR91" s="4"/>
    </row>
    <row r="92" spans="1:44" s="1" customFormat="1">
      <c r="A92" s="5"/>
      <c r="AL92" s="4"/>
      <c r="AM92" s="4"/>
      <c r="AN92" s="4"/>
      <c r="AO92" s="4"/>
      <c r="AP92" s="4"/>
      <c r="AQ92" s="4"/>
      <c r="AR92" s="4"/>
    </row>
    <row r="93" spans="1:44" s="1" customFormat="1">
      <c r="A93" s="5"/>
      <c r="AL93" s="4"/>
      <c r="AM93" s="4"/>
      <c r="AN93" s="4"/>
      <c r="AO93" s="4"/>
      <c r="AP93" s="4"/>
      <c r="AQ93" s="4"/>
      <c r="AR93" s="4"/>
    </row>
    <row r="94" spans="1:44" s="1" customFormat="1">
      <c r="A94" s="5"/>
      <c r="AL94" s="4"/>
      <c r="AM94" s="4"/>
      <c r="AN94" s="4"/>
      <c r="AO94" s="4"/>
      <c r="AP94" s="4"/>
      <c r="AQ94" s="4"/>
      <c r="AR94" s="4"/>
    </row>
    <row r="95" spans="1:44" s="1" customFormat="1">
      <c r="A95" s="5"/>
      <c r="AL95" s="4"/>
      <c r="AM95" s="4"/>
      <c r="AN95" s="4"/>
      <c r="AO95" s="4"/>
      <c r="AP95" s="4"/>
      <c r="AQ95" s="4"/>
      <c r="AR95" s="4"/>
    </row>
    <row r="96" spans="1:44" s="1" customFormat="1">
      <c r="A96" s="5"/>
      <c r="AL96" s="4"/>
      <c r="AM96" s="4"/>
      <c r="AN96" s="4"/>
      <c r="AO96" s="4"/>
      <c r="AP96" s="4"/>
      <c r="AQ96" s="4"/>
      <c r="AR96" s="4"/>
    </row>
    <row r="97" spans="1:44" s="1" customFormat="1">
      <c r="A97" s="5"/>
      <c r="AL97" s="4"/>
      <c r="AM97" s="4"/>
      <c r="AN97" s="4"/>
      <c r="AO97" s="4"/>
      <c r="AP97" s="4"/>
      <c r="AQ97" s="4"/>
      <c r="AR97" s="4"/>
    </row>
    <row r="98" spans="1:44" s="1" customFormat="1">
      <c r="A98" s="5"/>
      <c r="AL98" s="4"/>
      <c r="AM98" s="4"/>
      <c r="AN98" s="4"/>
      <c r="AO98" s="4"/>
      <c r="AP98" s="4"/>
      <c r="AQ98" s="4"/>
      <c r="AR98" s="4"/>
    </row>
    <row r="99" spans="1:44" s="1" customFormat="1">
      <c r="A99" s="5"/>
      <c r="AL99" s="4"/>
      <c r="AM99" s="4"/>
      <c r="AN99" s="4"/>
      <c r="AO99" s="4"/>
      <c r="AP99" s="4"/>
      <c r="AQ99" s="4"/>
      <c r="AR99" s="4"/>
    </row>
    <row r="100" spans="1:44" s="1" customFormat="1">
      <c r="A100" s="5"/>
      <c r="AL100" s="4"/>
      <c r="AM100" s="4"/>
      <c r="AN100" s="4"/>
      <c r="AO100" s="4"/>
      <c r="AP100" s="4"/>
      <c r="AQ100" s="4"/>
      <c r="AR100" s="4"/>
    </row>
    <row r="101" spans="1:44" s="1" customFormat="1">
      <c r="A101" s="5"/>
      <c r="AL101" s="4"/>
      <c r="AM101" s="4"/>
      <c r="AN101" s="4"/>
      <c r="AO101" s="4"/>
      <c r="AP101" s="4"/>
      <c r="AQ101" s="4"/>
      <c r="AR101" s="4"/>
    </row>
    <row r="102" spans="1:44" s="1" customFormat="1">
      <c r="A102" s="5"/>
      <c r="AL102" s="4"/>
      <c r="AM102" s="4"/>
      <c r="AN102" s="4"/>
      <c r="AO102" s="4"/>
      <c r="AP102" s="4"/>
      <c r="AQ102" s="4"/>
      <c r="AR102" s="4"/>
    </row>
    <row r="103" spans="1:44" s="1" customFormat="1">
      <c r="A103" s="5"/>
      <c r="AL103" s="4"/>
      <c r="AM103" s="4"/>
      <c r="AN103" s="4"/>
      <c r="AO103" s="4"/>
      <c r="AP103" s="4"/>
      <c r="AQ103" s="4"/>
      <c r="AR103" s="4"/>
    </row>
    <row r="104" spans="1:44" s="1" customFormat="1">
      <c r="A104" s="5"/>
      <c r="AL104" s="4"/>
      <c r="AM104" s="4"/>
      <c r="AN104" s="4"/>
      <c r="AO104" s="4"/>
      <c r="AP104" s="4"/>
      <c r="AQ104" s="4"/>
      <c r="AR104" s="4"/>
    </row>
    <row r="105" spans="1:44" s="1" customFormat="1">
      <c r="A105" s="5"/>
      <c r="AL105" s="4"/>
      <c r="AM105" s="4"/>
      <c r="AN105" s="4"/>
      <c r="AO105" s="4"/>
      <c r="AP105" s="4"/>
      <c r="AQ105" s="4"/>
      <c r="AR105" s="4"/>
    </row>
    <row r="106" spans="1:44" s="1" customFormat="1">
      <c r="A106" s="5"/>
      <c r="AL106" s="4"/>
      <c r="AM106" s="4"/>
      <c r="AN106" s="4"/>
      <c r="AO106" s="4"/>
      <c r="AP106" s="4"/>
      <c r="AQ106" s="4"/>
      <c r="AR106" s="4"/>
    </row>
    <row r="107" spans="1:44" s="1" customFormat="1">
      <c r="A107" s="5"/>
      <c r="AL107" s="4"/>
      <c r="AM107" s="4"/>
      <c r="AN107" s="4"/>
      <c r="AO107" s="4"/>
      <c r="AP107" s="4"/>
      <c r="AQ107" s="4"/>
      <c r="AR107" s="4"/>
    </row>
    <row r="108" spans="1:44" s="1" customFormat="1">
      <c r="A108" s="5"/>
      <c r="AL108" s="4"/>
      <c r="AM108" s="4"/>
      <c r="AN108" s="4"/>
      <c r="AO108" s="4"/>
      <c r="AP108" s="4"/>
      <c r="AQ108" s="4"/>
      <c r="AR108" s="4"/>
    </row>
    <row r="109" spans="1:44" s="1" customFormat="1">
      <c r="A109" s="5"/>
      <c r="AL109" s="4"/>
      <c r="AM109" s="4"/>
      <c r="AN109" s="4"/>
      <c r="AO109" s="4"/>
      <c r="AP109" s="4"/>
      <c r="AQ109" s="4"/>
      <c r="AR109" s="4"/>
    </row>
    <row r="110" spans="1:44" s="1" customFormat="1">
      <c r="A110" s="5"/>
      <c r="AL110" s="4"/>
      <c r="AM110" s="4"/>
      <c r="AN110" s="4"/>
      <c r="AO110" s="4"/>
      <c r="AP110" s="4"/>
      <c r="AQ110" s="4"/>
      <c r="AR110" s="4"/>
    </row>
    <row r="111" spans="1:44" s="1" customFormat="1">
      <c r="A111" s="5"/>
      <c r="AL111" s="4"/>
      <c r="AM111" s="4"/>
      <c r="AN111" s="4"/>
      <c r="AO111" s="4"/>
      <c r="AP111" s="4"/>
      <c r="AQ111" s="4"/>
      <c r="AR111" s="4"/>
    </row>
    <row r="112" spans="1:44" s="1" customFormat="1">
      <c r="A112" s="5"/>
      <c r="AL112" s="4"/>
      <c r="AM112" s="4"/>
      <c r="AN112" s="4"/>
      <c r="AO112" s="4"/>
      <c r="AP112" s="4"/>
      <c r="AQ112" s="4"/>
      <c r="AR112" s="4"/>
    </row>
    <row r="113" spans="1:44" s="1" customFormat="1">
      <c r="A113" s="5"/>
      <c r="AL113" s="4"/>
      <c r="AM113" s="4"/>
      <c r="AN113" s="4"/>
      <c r="AO113" s="4"/>
      <c r="AP113" s="4"/>
      <c r="AQ113" s="4"/>
      <c r="AR113" s="4"/>
    </row>
    <row r="114" spans="1:44" s="1" customFormat="1">
      <c r="A114" s="5"/>
      <c r="AL114" s="4"/>
      <c r="AM114" s="4"/>
      <c r="AN114" s="4"/>
      <c r="AO114" s="4"/>
      <c r="AP114" s="4"/>
      <c r="AQ114" s="4"/>
      <c r="AR114" s="4"/>
    </row>
    <row r="115" spans="1:44" s="1" customFormat="1">
      <c r="A115" s="5"/>
      <c r="AL115" s="4"/>
      <c r="AM115" s="4"/>
      <c r="AN115" s="4"/>
      <c r="AO115" s="4"/>
      <c r="AP115" s="4"/>
      <c r="AQ115" s="4"/>
      <c r="AR115" s="4"/>
    </row>
    <row r="116" spans="1:44" s="1" customFormat="1">
      <c r="A116" s="5"/>
      <c r="AL116" s="4"/>
      <c r="AM116" s="4"/>
      <c r="AN116" s="4"/>
      <c r="AO116" s="4"/>
      <c r="AP116" s="4"/>
      <c r="AQ116" s="4"/>
      <c r="AR116" s="4"/>
    </row>
    <row r="117" spans="1:44" s="1" customFormat="1">
      <c r="A117" s="5"/>
      <c r="AL117" s="4"/>
      <c r="AM117" s="4"/>
      <c r="AN117" s="4"/>
      <c r="AO117" s="4"/>
      <c r="AP117" s="4"/>
      <c r="AQ117" s="4"/>
      <c r="AR117" s="4"/>
    </row>
    <row r="118" spans="1:44" s="1" customFormat="1">
      <c r="A118" s="5"/>
      <c r="AL118" s="4"/>
      <c r="AM118" s="4"/>
      <c r="AN118" s="4"/>
      <c r="AO118" s="4"/>
      <c r="AP118" s="4"/>
      <c r="AQ118" s="4"/>
      <c r="AR118" s="4"/>
    </row>
    <row r="119" spans="1:44" s="1" customFormat="1">
      <c r="A119" s="5"/>
      <c r="AL119" s="4"/>
      <c r="AM119" s="4"/>
      <c r="AN119" s="4"/>
      <c r="AO119" s="4"/>
      <c r="AP119" s="4"/>
      <c r="AQ119" s="4"/>
      <c r="AR119" s="4"/>
    </row>
    <row r="120" spans="1:44" s="1" customFormat="1">
      <c r="A120" s="5"/>
      <c r="AL120" s="4"/>
      <c r="AM120" s="4"/>
      <c r="AN120" s="4"/>
      <c r="AO120" s="4"/>
      <c r="AP120" s="4"/>
      <c r="AQ120" s="4"/>
      <c r="AR120" s="4"/>
    </row>
    <row r="121" spans="1:44" s="1" customFormat="1">
      <c r="A121" s="5"/>
      <c r="AL121" s="4"/>
      <c r="AM121" s="4"/>
      <c r="AN121" s="4"/>
      <c r="AO121" s="4"/>
      <c r="AP121" s="4"/>
      <c r="AQ121" s="4"/>
      <c r="AR121" s="4"/>
    </row>
    <row r="122" spans="1:44" s="1" customFormat="1">
      <c r="A122" s="5"/>
      <c r="AL122" s="4"/>
      <c r="AM122" s="4"/>
      <c r="AN122" s="4"/>
      <c r="AO122" s="4"/>
      <c r="AP122" s="4"/>
      <c r="AQ122" s="4"/>
      <c r="AR122" s="4"/>
    </row>
    <row r="123" spans="1:44" s="1" customFormat="1">
      <c r="A123" s="5"/>
      <c r="AL123" s="4"/>
      <c r="AM123" s="4"/>
      <c r="AN123" s="4"/>
      <c r="AO123" s="4"/>
      <c r="AP123" s="4"/>
      <c r="AQ123" s="4"/>
      <c r="AR123" s="4"/>
    </row>
    <row r="124" spans="1:44" s="1" customFormat="1">
      <c r="A124" s="5"/>
      <c r="AL124" s="4"/>
      <c r="AM124" s="4"/>
      <c r="AN124" s="4"/>
      <c r="AO124" s="4"/>
      <c r="AP124" s="4"/>
      <c r="AQ124" s="4"/>
      <c r="AR124" s="4"/>
    </row>
    <row r="125" spans="1:44" s="1" customFormat="1">
      <c r="A125" s="5"/>
      <c r="AL125" s="4"/>
      <c r="AM125" s="4"/>
      <c r="AN125" s="4"/>
      <c r="AO125" s="4"/>
      <c r="AP125" s="4"/>
      <c r="AQ125" s="4"/>
      <c r="AR125" s="4"/>
    </row>
    <row r="126" spans="1:44" s="1" customFormat="1">
      <c r="A126" s="5"/>
      <c r="AL126" s="4"/>
      <c r="AM126" s="4"/>
      <c r="AN126" s="4"/>
      <c r="AO126" s="4"/>
      <c r="AP126" s="4"/>
      <c r="AQ126" s="4"/>
      <c r="AR126" s="4"/>
    </row>
    <row r="127" spans="1:44" s="1" customFormat="1">
      <c r="A127" s="5"/>
      <c r="AL127" s="4"/>
      <c r="AM127" s="4"/>
      <c r="AN127" s="4"/>
      <c r="AO127" s="4"/>
      <c r="AP127" s="4"/>
      <c r="AQ127" s="4"/>
      <c r="AR127" s="4"/>
    </row>
    <row r="128" spans="1:44" s="1" customFormat="1">
      <c r="A128" s="5"/>
      <c r="AL128" s="4"/>
      <c r="AM128" s="4"/>
      <c r="AN128" s="4"/>
      <c r="AO128" s="4"/>
      <c r="AP128" s="4"/>
      <c r="AQ128" s="4"/>
      <c r="AR128" s="4"/>
    </row>
    <row r="129" spans="1:44" s="1" customFormat="1">
      <c r="A129" s="5"/>
      <c r="AL129" s="4"/>
      <c r="AM129" s="4"/>
      <c r="AN129" s="4"/>
      <c r="AO129" s="4"/>
      <c r="AP129" s="4"/>
      <c r="AQ129" s="4"/>
      <c r="AR129" s="4"/>
    </row>
    <row r="130" spans="1:44" s="1" customFormat="1">
      <c r="A130" s="5"/>
      <c r="AL130" s="4"/>
      <c r="AM130" s="4"/>
      <c r="AN130" s="4"/>
      <c r="AO130" s="4"/>
      <c r="AP130" s="4"/>
      <c r="AQ130" s="4"/>
      <c r="AR130" s="4"/>
    </row>
    <row r="131" spans="1:44" s="1" customFormat="1">
      <c r="A131" s="5"/>
      <c r="AL131" s="4"/>
      <c r="AM131" s="4"/>
      <c r="AN131" s="4"/>
      <c r="AO131" s="4"/>
      <c r="AP131" s="4"/>
      <c r="AQ131" s="4"/>
      <c r="AR131" s="4"/>
    </row>
    <row r="132" spans="1:44" s="1" customFormat="1">
      <c r="A132" s="5"/>
      <c r="AL132" s="4"/>
      <c r="AM132" s="4"/>
      <c r="AN132" s="4"/>
      <c r="AO132" s="4"/>
      <c r="AP132" s="4"/>
      <c r="AQ132" s="4"/>
      <c r="AR132" s="4"/>
    </row>
    <row r="133" spans="1:44" s="1" customFormat="1">
      <c r="A133" s="5"/>
      <c r="AL133" s="4"/>
      <c r="AM133" s="4"/>
      <c r="AN133" s="4"/>
      <c r="AO133" s="4"/>
      <c r="AP133" s="4"/>
      <c r="AQ133" s="4"/>
      <c r="AR133" s="4"/>
    </row>
    <row r="134" spans="1:44" s="1" customFormat="1">
      <c r="A134" s="5"/>
      <c r="AL134" s="4"/>
      <c r="AM134" s="4"/>
      <c r="AN134" s="4"/>
      <c r="AO134" s="4"/>
      <c r="AP134" s="4"/>
      <c r="AQ134" s="4"/>
      <c r="AR134" s="4"/>
    </row>
    <row r="135" spans="1:44" s="1" customFormat="1">
      <c r="A135" s="5"/>
      <c r="AL135" s="4"/>
      <c r="AM135" s="4"/>
      <c r="AN135" s="4"/>
      <c r="AO135" s="4"/>
      <c r="AP135" s="4"/>
      <c r="AQ135" s="4"/>
      <c r="AR135" s="4"/>
    </row>
    <row r="136" spans="1:44" s="1" customFormat="1">
      <c r="A136" s="5"/>
      <c r="AL136" s="4"/>
      <c r="AM136" s="4"/>
      <c r="AN136" s="4"/>
      <c r="AO136" s="4"/>
      <c r="AP136" s="4"/>
      <c r="AQ136" s="4"/>
      <c r="AR136" s="4"/>
    </row>
    <row r="137" spans="1:44" s="1" customFormat="1">
      <c r="A137" s="5"/>
      <c r="AL137" s="4"/>
      <c r="AM137" s="4"/>
      <c r="AN137" s="4"/>
      <c r="AO137" s="4"/>
      <c r="AP137" s="4"/>
      <c r="AQ137" s="4"/>
      <c r="AR137" s="4"/>
    </row>
    <row r="138" spans="1:44" s="1" customFormat="1">
      <c r="A138" s="5"/>
      <c r="AL138" s="4"/>
      <c r="AM138" s="4"/>
      <c r="AN138" s="4"/>
      <c r="AO138" s="4"/>
      <c r="AP138" s="4"/>
      <c r="AQ138" s="4"/>
      <c r="AR138" s="4"/>
    </row>
    <row r="139" spans="1:44" s="1" customFormat="1">
      <c r="A139" s="5"/>
      <c r="AL139" s="4"/>
      <c r="AM139" s="4"/>
      <c r="AN139" s="4"/>
      <c r="AO139" s="4"/>
      <c r="AP139" s="4"/>
      <c r="AQ139" s="4"/>
      <c r="AR139" s="4"/>
    </row>
    <row r="140" spans="1:44" s="1" customFormat="1">
      <c r="A140" s="5"/>
      <c r="AL140" s="4"/>
      <c r="AM140" s="4"/>
      <c r="AN140" s="4"/>
      <c r="AO140" s="4"/>
      <c r="AP140" s="4"/>
      <c r="AQ140" s="4"/>
      <c r="AR140" s="4"/>
    </row>
    <row r="141" spans="1:44" s="1" customFormat="1">
      <c r="A141" s="5"/>
      <c r="AL141" s="4"/>
      <c r="AM141" s="4"/>
      <c r="AN141" s="4"/>
      <c r="AO141" s="4"/>
      <c r="AP141" s="4"/>
      <c r="AQ141" s="4"/>
      <c r="AR141" s="4"/>
    </row>
    <row r="142" spans="1:44" s="1" customFormat="1">
      <c r="A142" s="5"/>
      <c r="AL142" s="4"/>
      <c r="AM142" s="4"/>
      <c r="AN142" s="4"/>
      <c r="AO142" s="4"/>
      <c r="AP142" s="4"/>
      <c r="AQ142" s="4"/>
      <c r="AR142" s="4"/>
    </row>
    <row r="143" spans="1:44" s="1" customFormat="1">
      <c r="A143" s="5"/>
      <c r="AL143" s="4"/>
      <c r="AM143" s="4"/>
      <c r="AN143" s="4"/>
      <c r="AO143" s="4"/>
      <c r="AP143" s="4"/>
      <c r="AQ143" s="4"/>
      <c r="AR143" s="4"/>
    </row>
    <row r="144" spans="1:44" s="1" customFormat="1">
      <c r="A144" s="5"/>
      <c r="AL144" s="4"/>
      <c r="AM144" s="4"/>
      <c r="AN144" s="4"/>
      <c r="AO144" s="4"/>
      <c r="AP144" s="4"/>
      <c r="AQ144" s="4"/>
      <c r="AR144" s="4"/>
    </row>
    <row r="145" spans="1:44" s="1" customFormat="1">
      <c r="A145" s="5"/>
      <c r="AL145" s="4"/>
      <c r="AM145" s="4"/>
      <c r="AN145" s="4"/>
      <c r="AO145" s="4"/>
      <c r="AP145" s="4"/>
      <c r="AQ145" s="4"/>
      <c r="AR145" s="4"/>
    </row>
    <row r="146" spans="1:44" s="1" customFormat="1">
      <c r="A146" s="5"/>
      <c r="AL146" s="4"/>
      <c r="AM146" s="4"/>
      <c r="AN146" s="4"/>
      <c r="AO146" s="4"/>
      <c r="AP146" s="4"/>
      <c r="AQ146" s="4"/>
      <c r="AR146" s="4"/>
    </row>
    <row r="147" spans="1:44" s="1" customFormat="1">
      <c r="A147" s="5"/>
      <c r="AL147" s="4"/>
      <c r="AM147" s="4"/>
      <c r="AN147" s="4"/>
      <c r="AO147" s="4"/>
      <c r="AP147" s="4"/>
      <c r="AQ147" s="4"/>
      <c r="AR147" s="4"/>
    </row>
    <row r="148" spans="1:44" s="1" customFormat="1">
      <c r="A148" s="5"/>
      <c r="AL148" s="4"/>
      <c r="AM148" s="4"/>
      <c r="AN148" s="4"/>
      <c r="AO148" s="4"/>
      <c r="AP148" s="4"/>
      <c r="AQ148" s="4"/>
      <c r="AR148" s="4"/>
    </row>
    <row r="149" spans="1:44" s="1" customFormat="1">
      <c r="A149" s="5"/>
      <c r="AL149" s="4"/>
      <c r="AM149" s="4"/>
      <c r="AN149" s="4"/>
      <c r="AO149" s="4"/>
      <c r="AP149" s="4"/>
      <c r="AQ149" s="4"/>
      <c r="AR149" s="4"/>
    </row>
    <row r="150" spans="1:44" s="1" customFormat="1">
      <c r="A150" s="5"/>
      <c r="AL150" s="4"/>
      <c r="AM150" s="4"/>
      <c r="AN150" s="4"/>
      <c r="AO150" s="4"/>
      <c r="AP150" s="4"/>
      <c r="AQ150" s="4"/>
      <c r="AR150" s="4"/>
    </row>
    <row r="151" spans="1:44" s="1" customFormat="1">
      <c r="A151" s="5"/>
      <c r="AL151" s="4"/>
      <c r="AM151" s="4"/>
      <c r="AN151" s="4"/>
      <c r="AO151" s="4"/>
      <c r="AP151" s="4"/>
      <c r="AQ151" s="4"/>
      <c r="AR151" s="4"/>
    </row>
    <row r="152" spans="1:44" s="1" customFormat="1">
      <c r="A152" s="5"/>
      <c r="AL152" s="4"/>
      <c r="AM152" s="4"/>
      <c r="AN152" s="4"/>
      <c r="AO152" s="4"/>
      <c r="AP152" s="4"/>
      <c r="AQ152" s="4"/>
      <c r="AR152" s="4"/>
    </row>
    <row r="153" spans="1:44">
      <c r="A153" s="5"/>
    </row>
    <row r="154" spans="1:44">
      <c r="A154" s="5"/>
    </row>
    <row r="155" spans="1:44">
      <c r="A155" s="5"/>
    </row>
  </sheetData>
  <mergeCells count="7">
    <mergeCell ref="A1:G1"/>
    <mergeCell ref="A23:G23"/>
    <mergeCell ref="I2:I3"/>
    <mergeCell ref="A21:G21"/>
    <mergeCell ref="A41:G41"/>
    <mergeCell ref="A42:G42"/>
    <mergeCell ref="AK43:AM43"/>
  </mergeCells>
  <pageMargins left="0.7" right="0.7" top="0.75" bottom="0.75" header="0.3" footer="0.3"/>
  <pageSetup paperSize="9" scale="77" orientation="portrait" horizontalDpi="4294967295" verticalDpi="4294967295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Social Protection _Final</vt:lpstr>
      <vt:lpstr>'Social Protection _Final'!Print_Area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2017-11-23T07:29:17Z</cp:lastPrinted>
  <dcterms:created xsi:type="dcterms:W3CDTF">2005-04-13T08:56:22Z</dcterms:created>
  <dcterms:modified xsi:type="dcterms:W3CDTF">2017-11-23T07:29:37Z</dcterms:modified>
</cp:coreProperties>
</file>