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8" sheetId="8" r:id="rId1"/>
  </sheets>
  <definedNames>
    <definedName name="_xlnm.Print_Area" localSheetId="0">'12.8'!$A$1:$L$39</definedName>
  </definedNames>
  <calcPr calcId="144525"/>
</workbook>
</file>

<file path=xl/calcChain.xml><?xml version="1.0" encoding="utf-8"?>
<calcChain xmlns="http://schemas.openxmlformats.org/spreadsheetml/2006/main">
  <c r="J11" i="8" l="1"/>
  <c r="J16" i="8"/>
  <c r="J6" i="8"/>
  <c r="J19" i="8" l="1"/>
  <c r="J18" i="8"/>
  <c r="J17" i="8"/>
  <c r="J12" i="8" l="1"/>
  <c r="J13" i="8"/>
  <c r="J14" i="8"/>
  <c r="J15" i="8"/>
  <c r="J20" i="8" l="1"/>
  <c r="I19" i="8" l="1"/>
  <c r="I18" i="8"/>
  <c r="I17" i="8"/>
  <c r="I6" i="8"/>
  <c r="I15" i="8" l="1"/>
  <c r="I13" i="8"/>
  <c r="I14" i="8"/>
  <c r="I12" i="8"/>
  <c r="I11" i="8" l="1"/>
  <c r="I20" i="8" s="1"/>
  <c r="E17" i="8"/>
  <c r="B7" i="8"/>
  <c r="C17" i="8" s="1"/>
  <c r="B8" i="8"/>
  <c r="B18" i="8" s="1"/>
  <c r="B9" i="8"/>
  <c r="B19" i="8" s="1"/>
  <c r="B10" i="8"/>
  <c r="B20" i="8" s="1"/>
  <c r="B17" i="8" l="1"/>
  <c r="B6" i="8"/>
  <c r="B14" i="8" s="1"/>
  <c r="B15" i="8"/>
  <c r="B16" i="8" l="1"/>
  <c r="B13" i="8"/>
  <c r="B12" i="8"/>
  <c r="B11" i="8" s="1"/>
  <c r="H6" i="8" l="1"/>
  <c r="I16" i="8" s="1"/>
  <c r="H12" i="8" l="1"/>
  <c r="H13" i="8"/>
  <c r="H14" i="8"/>
  <c r="H15" i="8"/>
  <c r="H11" i="8" l="1"/>
  <c r="G8" i="8" l="1"/>
  <c r="H18" i="8" s="1"/>
  <c r="G7" i="8"/>
  <c r="H17" i="8" s="1"/>
  <c r="G17" i="8" l="1"/>
  <c r="G18" i="8"/>
  <c r="D20" i="8" l="1"/>
  <c r="D19" i="8"/>
  <c r="F18" i="8"/>
  <c r="E18" i="8"/>
  <c r="D18" i="8"/>
  <c r="F17" i="8"/>
  <c r="D17" i="8"/>
  <c r="G10" i="8"/>
  <c r="E10" i="8"/>
  <c r="F20" i="8" s="1"/>
  <c r="C20" i="8"/>
  <c r="G9" i="8"/>
  <c r="E9" i="8"/>
  <c r="F19" i="8" s="1"/>
  <c r="C19" i="8"/>
  <c r="C18" i="8"/>
  <c r="F6" i="8"/>
  <c r="E6" i="8"/>
  <c r="D6" i="8"/>
  <c r="C6" i="8"/>
  <c r="C16" i="8" s="1"/>
  <c r="G6" i="8" l="1"/>
  <c r="H16" i="8"/>
  <c r="G16" i="8"/>
  <c r="G12" i="8"/>
  <c r="G13" i="8"/>
  <c r="H19" i="8"/>
  <c r="G19" i="8"/>
  <c r="G14" i="8"/>
  <c r="H20" i="8"/>
  <c r="G20" i="8"/>
  <c r="G15" i="8"/>
  <c r="D16" i="8"/>
  <c r="E16" i="8"/>
  <c r="F16" i="8"/>
  <c r="C12" i="8"/>
  <c r="D12" i="8"/>
  <c r="E12" i="8"/>
  <c r="F12" i="8"/>
  <c r="C13" i="8"/>
  <c r="D13" i="8"/>
  <c r="E13" i="8"/>
  <c r="F13" i="8"/>
  <c r="C14" i="8"/>
  <c r="D14" i="8"/>
  <c r="E14" i="8"/>
  <c r="F14" i="8"/>
  <c r="C15" i="8"/>
  <c r="D15" i="8"/>
  <c r="E15" i="8"/>
  <c r="F15" i="8"/>
  <c r="E19" i="8"/>
  <c r="E20" i="8"/>
  <c r="G11" i="8" l="1"/>
  <c r="F11" i="8"/>
  <c r="E11" i="8"/>
  <c r="D11" i="8"/>
  <c r="C11" i="8"/>
</calcChain>
</file>

<file path=xl/sharedStrings.xml><?xml version="1.0" encoding="utf-8"?>
<sst xmlns="http://schemas.openxmlformats.org/spreadsheetml/2006/main" count="38" uniqueCount="23">
  <si>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</si>
  <si>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</si>
  <si>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</si>
  <si>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</si>
  <si>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</si>
  <si>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</si>
  <si>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</si>
  <si>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</si>
  <si>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</si>
  <si>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</si>
  <si>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</si>
  <si>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</si>
  <si>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</si>
  <si>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</si>
  <si>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</si>
  <si>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</si>
  <si>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</si>
  <si>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 xml:space="preserve"> Commercial</t>
  </si>
  <si>
    <t>Source: Male' Water &amp; Sewerage Company  Limited</t>
  </si>
  <si>
    <t>cDeTimil Inepcmok cjErevcs cDcnea rwTOv ElWm :ctWrwf ivcaedutWmUluawm</t>
  </si>
  <si>
    <t>2016 - 2010  ,urwvcnim unuverukcnunEb iawgElWm cnef Everukclib  : 12.8  ulwvWt</t>
  </si>
  <si>
    <t>Table 12.8 : BILLED WATER CONSUMPTION IN MALE',   2010 - 2016</t>
  </si>
  <si>
    <t>Percentage 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</si>
</sst>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_Randhoo"/>
    </font>
    <font>
      <b/>
      <sz val="10"/>
      <name val="A_Funa"/>
    </font>
    <font>
      <b/>
      <sz val="9"/>
      <color theme="1"/>
      <name val="A_Randhoo"/>
    </font>
    <font>
      <sz val="9"/>
      <color theme="1"/>
      <name val="A_Randhoo"/>
    </font>
    <font>
      <sz val="10"/>
      <name val="Garamond"/>
      <family val="1"/>
    </font>
    <font>
      <sz val="9"/>
      <color theme="1"/>
      <name val="Garamond"/>
      <family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2" fillId="0" borderId="0"/>
  </cellStyleXfs>
  <cellXfs count="58">
    <xf numFmtId="0" fontId="0" fillId="0" borderId="0" xfId="0"/>
    <xf numFmtId="0" fontId="0" fillId="2" borderId="0" xfId="0" applyFont="1" applyFill="1"/>
    <xf numFmtId="0" fontId="4" fillId="2" borderId="0" xfId="3" applyFont="1" applyFill="1" applyBorder="1" applyAlignment="1">
      <alignment horizontal="center" vertical="center" wrapText="1"/>
    </xf>
    <xf numFmtId="0" fontId="2" fillId="2" borderId="0" xfId="3" applyFont="1" applyFill="1" applyBorder="1"/>
    <xf numFmtId="0" fontId="7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vertical="center"/>
    </xf>
    <xf numFmtId="0" fontId="13" fillId="2" borderId="2" xfId="0" applyFont="1" applyFill="1" applyBorder="1" applyAlignment="1">
      <alignment horizontal="right" vertical="center"/>
    </xf>
    <xf numFmtId="0" fontId="9" fillId="2" borderId="0" xfId="0" applyFont="1" applyFill="1"/>
    <xf numFmtId="0" fontId="7" fillId="2" borderId="0" xfId="0" applyFont="1" applyFill="1"/>
    <xf numFmtId="164" fontId="7" fillId="2" borderId="0" xfId="1" applyNumberFormat="1" applyFont="1" applyFill="1" applyAlignment="1"/>
    <xf numFmtId="0" fontId="13" fillId="2" borderId="0" xfId="0" applyFont="1" applyFill="1" applyAlignment="1">
      <alignment horizontal="right"/>
    </xf>
    <xf numFmtId="0" fontId="6" fillId="2" borderId="0" xfId="0" applyFont="1" applyFill="1"/>
    <xf numFmtId="164" fontId="6" fillId="2" borderId="0" xfId="1" applyNumberFormat="1" applyFont="1" applyFill="1" applyAlignment="1"/>
    <xf numFmtId="0" fontId="14" fillId="2" borderId="0" xfId="0" applyFont="1" applyFill="1" applyAlignment="1">
      <alignment horizontal="right"/>
    </xf>
    <xf numFmtId="0" fontId="8" fillId="2" borderId="0" xfId="0" applyFont="1" applyFill="1"/>
    <xf numFmtId="167" fontId="8" fillId="2" borderId="0" xfId="0" applyNumberFormat="1" applyFont="1" applyFill="1"/>
    <xf numFmtId="0" fontId="6" fillId="2" borderId="3" xfId="0" applyFont="1" applyFill="1" applyBorder="1"/>
    <xf numFmtId="164" fontId="6" fillId="2" borderId="3" xfId="1" applyNumberFormat="1" applyFont="1" applyFill="1" applyBorder="1" applyAlignment="1"/>
    <xf numFmtId="0" fontId="14" fillId="2" borderId="3" xfId="0" applyFont="1" applyFill="1" applyBorder="1" applyAlignment="1">
      <alignment horizontal="right"/>
    </xf>
    <xf numFmtId="164" fontId="7" fillId="2" borderId="0" xfId="1" applyNumberFormat="1" applyFont="1" applyFill="1" applyBorder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9" fillId="2" borderId="0" xfId="0" applyFont="1" applyFill="1" applyBorder="1"/>
    <xf numFmtId="164" fontId="6" fillId="2" borderId="0" xfId="1" applyNumberFormat="1" applyFont="1" applyFill="1" applyAlignment="1">
      <alignment horizontal="right"/>
    </xf>
    <xf numFmtId="164" fontId="6" fillId="2" borderId="3" xfId="1" applyNumberFormat="1" applyFont="1" applyFill="1" applyBorder="1" applyAlignment="1">
      <alignment horizontal="right"/>
    </xf>
    <xf numFmtId="0" fontId="7" fillId="2" borderId="0" xfId="0" applyFont="1" applyFill="1" applyBorder="1" applyAlignment="1" applyProtection="1">
      <alignment horizontal="left" vertical="center"/>
    </xf>
    <xf numFmtId="3" fontId="7" fillId="2" borderId="0" xfId="1" applyNumberFormat="1" applyFont="1" applyFill="1" applyBorder="1"/>
    <xf numFmtId="3" fontId="6" fillId="2" borderId="0" xfId="1" applyNumberFormat="1" applyFont="1" applyFill="1"/>
    <xf numFmtId="0" fontId="6" fillId="2" borderId="1" xfId="0" applyFont="1" applyFill="1" applyBorder="1"/>
    <xf numFmtId="3" fontId="6" fillId="2" borderId="1" xfId="1" applyNumberFormat="1" applyFont="1" applyFill="1" applyBorder="1"/>
    <xf numFmtId="0" fontId="14" fillId="2" borderId="1" xfId="0" applyFont="1" applyFill="1" applyBorder="1" applyAlignment="1">
      <alignment horizontal="right"/>
    </xf>
    <xf numFmtId="0" fontId="14" fillId="2" borderId="0" xfId="6" applyFont="1" applyFill="1" applyAlignment="1">
      <alignment horizontal="right"/>
    </xf>
    <xf numFmtId="0" fontId="16" fillId="2" borderId="0" xfId="6" applyFont="1" applyFill="1"/>
    <xf numFmtId="0" fontId="10" fillId="2" borderId="0" xfId="0" applyFont="1" applyFill="1" applyAlignment="1"/>
    <xf numFmtId="1" fontId="0" fillId="2" borderId="0" xfId="0" applyNumberFormat="1" applyFont="1" applyFill="1"/>
    <xf numFmtId="0" fontId="10" fillId="2" borderId="0" xfId="0" applyFont="1" applyFill="1"/>
    <xf numFmtId="0" fontId="3" fillId="2" borderId="0" xfId="0" applyFont="1" applyFill="1" applyBorder="1" applyAlignment="1">
      <alignment horizontal="left" vertical="center"/>
    </xf>
    <xf numFmtId="0" fontId="4" fillId="2" borderId="0" xfId="3" applyFont="1" applyFill="1" applyBorder="1" applyAlignment="1">
      <alignment vertical="center" wrapText="1"/>
    </xf>
    <xf numFmtId="0" fontId="5" fillId="2" borderId="0" xfId="6" applyFont="1" applyFill="1"/>
    <xf numFmtId="164" fontId="7" fillId="2" borderId="0" xfId="1" applyNumberFormat="1" applyFont="1" applyFill="1" applyAlignment="1">
      <alignment vertical="center"/>
    </xf>
    <xf numFmtId="164" fontId="6" fillId="2" borderId="0" xfId="1" applyNumberFormat="1" applyFont="1" applyFill="1" applyAlignment="1">
      <alignment vertical="center"/>
    </xf>
    <xf numFmtId="164" fontId="6" fillId="2" borderId="3" xfId="1" applyNumberFormat="1" applyFont="1" applyFill="1" applyBorder="1" applyAlignment="1">
      <alignment vertical="center"/>
    </xf>
    <xf numFmtId="164" fontId="6" fillId="2" borderId="4" xfId="1" applyNumberFormat="1" applyFont="1" applyFill="1" applyBorder="1" applyAlignment="1">
      <alignment vertical="center"/>
    </xf>
    <xf numFmtId="164" fontId="7" fillId="2" borderId="0" xfId="1" applyNumberFormat="1" applyFont="1" applyFill="1" applyBorder="1" applyAlignment="1">
      <alignment horizontal="right" vertical="center"/>
    </xf>
    <xf numFmtId="164" fontId="6" fillId="2" borderId="0" xfId="1" applyNumberFormat="1" applyFont="1" applyFill="1" applyAlignment="1">
      <alignment horizontal="right" vertical="center"/>
    </xf>
    <xf numFmtId="164" fontId="6" fillId="2" borderId="3" xfId="1" applyNumberFormat="1" applyFont="1" applyFill="1" applyBorder="1" applyAlignment="1">
      <alignment horizontal="right" vertical="center"/>
    </xf>
    <xf numFmtId="37" fontId="6" fillId="2" borderId="3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vertical="center"/>
    </xf>
    <xf numFmtId="3" fontId="6" fillId="2" borderId="0" xfId="1" applyNumberFormat="1" applyFont="1" applyFill="1" applyAlignment="1">
      <alignment vertical="center"/>
    </xf>
    <xf numFmtId="3" fontId="6" fillId="2" borderId="1" xfId="1" applyNumberFormat="1" applyFont="1" applyFill="1" applyBorder="1" applyAlignment="1">
      <alignment vertical="center"/>
    </xf>
    <xf numFmtId="37" fontId="6" fillId="2" borderId="1" xfId="1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3" fillId="2" borderId="1" xfId="3" applyFont="1" applyFill="1" applyBorder="1" applyAlignment="1">
      <alignment horizontal="right" vertical="center" wrapText="1"/>
    </xf>
    <xf numFmtId="0" fontId="12" fillId="2" borderId="1" xfId="3" applyFont="1" applyFill="1" applyBorder="1" applyAlignment="1">
      <alignment horizontal="left" vertical="center" wrapText="1"/>
    </xf>
  </cellXfs>
  <cellStyles count="8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7"/>
    <cellStyle name="Normal_X-5 (Electricity)" xfId="6"/>
  </cellStyles>
  <dxfs count="0"/>
  <tableStyles count="0" defaultTableStyle="TableStyleMedium9" defaultPivotStyle="PivotStyleLight16"/>
  <colors>
    <mruColors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420186113099502"/>
          <c:y val="0.25764541093652688"/>
          <c:w val="0.39014890465424495"/>
          <c:h val="0.70176994514846558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7"/>
            <c:spPr>
              <a:solidFill>
                <a:srgbClr val="953735"/>
              </a:solidFill>
            </c:spPr>
          </c:dPt>
          <c:dPt>
            <c:idx val="1"/>
            <c:bubble3D val="0"/>
            <c:explosion val="8"/>
            <c:spPr>
              <a:solidFill>
                <a:srgbClr val="FAC090"/>
              </a:solidFill>
            </c:spPr>
          </c:dPt>
          <c:dPt>
            <c:idx val="2"/>
            <c:bubble3D val="0"/>
            <c:spPr>
              <a:solidFill>
                <a:srgbClr val="FFCC00"/>
              </a:solidFill>
            </c:spPr>
          </c:dPt>
          <c:dLbls>
            <c:dLbl>
              <c:idx val="0"/>
              <c:layout>
                <c:manualLayout>
                  <c:x val="-0.11642823261550138"/>
                  <c:y val="-0.1235358303301024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8.8756601207981532E-3"/>
                  <c:y val="1.246939429900369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5.3010308952344813E-2"/>
                  <c:y val="3.27531890997440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0.12898828327596795"/>
                  <c:y val="1.1554100353068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'12.8'!$A$12:$A$15</c:f>
              <c:strCache>
                <c:ptCount val="4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  <c:pt idx="3">
                  <c:v>Tap Bays</c:v>
                </c:pt>
              </c:strCache>
            </c:strRef>
          </c:cat>
          <c:val>
            <c:numRef>
              <c:f>'12.8'!$J$12:$J$15</c:f>
              <c:numCache>
                <c:formatCode>_(* #,##0_);_(* \(#,##0\);_(* "-"??_);_(@_)</c:formatCode>
                <c:ptCount val="4"/>
                <c:pt idx="0">
                  <c:v>79.666147431903866</c:v>
                </c:pt>
                <c:pt idx="1">
                  <c:v>9.2327248667262634</c:v>
                </c:pt>
                <c:pt idx="2">
                  <c:v>11.101127701369871</c:v>
                </c:pt>
                <c:pt idx="3" formatCode="#,##0_);\(#,##0\)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 alignWithMargins="0"/>
    <c:pageMargins b="1" l="0.75000000000000377" r="0.75000000000000377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409576</xdr:colOff>
      <xdr:row>22</xdr:row>
      <xdr:rowOff>86624</xdr:rowOff>
    </xdr:from>
    <xdr:to>
      <xdr:col>10</xdr:col>
      <xdr:colOff>600076</xdr:colOff>
      <xdr:row>38</xdr:row>
      <xdr:rowOff>66675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843524</xdr:colOff>
      <xdr:row>22</xdr:row>
      <xdr:rowOff>181031</xdr:rowOff>
    </xdr:from>
    <xdr:to>
      <xdr:col>10</xdr:col>
      <xdr:colOff>149599</xdr:colOff>
      <xdr:row>24</xdr:row>
      <xdr:rowOff>40061</xdr:rowOff>
    </xdr:to>
    <xdr:sp macro="" textlink="">
      <xdr:nvSpPr>
        <xdr:cNvPr id="4" name="TextBox 7"/>
        <xdr:cNvSpPr txBox="1"/>
      </xdr:nvSpPr>
      <xdr:spPr>
        <a:xfrm>
          <a:off x="843524" y="5503825"/>
          <a:ext cx="4888005" cy="237229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rtl="0"/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12.3: Percentage of water consumption in Male', 2016</a:t>
          </a:r>
          <a:endParaRPr lang="en-US" sz="12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941294</xdr:colOff>
      <xdr:row>24</xdr:row>
      <xdr:rowOff>35018</xdr:rowOff>
    </xdr:from>
    <xdr:to>
      <xdr:col>10</xdr:col>
      <xdr:colOff>42022</xdr:colOff>
      <xdr:row>24</xdr:row>
      <xdr:rowOff>38661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941294" y="5736011"/>
          <a:ext cx="4682658" cy="3643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A35"/>
  <sheetViews>
    <sheetView tabSelected="1" zoomScaleNormal="100" workbookViewId="0">
      <selection activeCell="S6" sqref="S6"/>
    </sheetView>
  </sheetViews>
  <sheetFormatPr defaultColWidth="9.140625" defaultRowHeight="15" x14ac:dyDescent="0.25"/>
  <cols>
    <col min="1" max="1" width="23.140625" style="1" customWidth="1"/>
    <col min="2" max="3" width="8.28515625" style="1" hidden="1" customWidth="1"/>
    <col min="4" max="10" width="8.5703125" style="52" customWidth="1"/>
    <col min="11" max="11" width="26.42578125" style="1" customWidth="1"/>
    <col min="12" max="12" width="2.42578125" style="1" customWidth="1"/>
    <col min="13" max="16384" width="9.140625" style="1"/>
  </cols>
  <sheetData>
    <row r="2" spans="1:16" ht="19.5" x14ac:dyDescent="0.25">
      <c r="A2" s="54" t="s">
        <v>20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3" spans="1:16" ht="15.75" x14ac:dyDescent="0.25">
      <c r="A3" s="55" t="s">
        <v>21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1:16" s="3" customFormat="1" ht="15.75" customHeight="1" x14ac:dyDescent="0.2">
      <c r="A4" s="56" t="s">
        <v>4</v>
      </c>
      <c r="B4" s="56"/>
      <c r="C4" s="56"/>
      <c r="D4" s="56"/>
      <c r="E4" s="56"/>
      <c r="F4" s="56"/>
      <c r="G4" s="57" t="s">
        <v>5</v>
      </c>
      <c r="H4" s="57"/>
      <c r="I4" s="57"/>
      <c r="J4" s="57"/>
      <c r="K4" s="57"/>
      <c r="L4" s="36"/>
      <c r="M4" s="36"/>
      <c r="N4" s="36"/>
      <c r="O4" s="36"/>
      <c r="P4" s="2"/>
    </row>
    <row r="5" spans="1:16" s="7" customFormat="1" ht="18" customHeight="1" x14ac:dyDescent="0.2">
      <c r="A5" s="4" t="s">
        <v>6</v>
      </c>
      <c r="B5" s="5">
        <v>2008</v>
      </c>
      <c r="C5" s="5">
        <v>2009</v>
      </c>
      <c r="D5" s="5">
        <v>2010</v>
      </c>
      <c r="E5" s="5">
        <v>2011</v>
      </c>
      <c r="F5" s="5">
        <v>2012</v>
      </c>
      <c r="G5" s="5">
        <v>2013</v>
      </c>
      <c r="H5" s="5">
        <v>2014</v>
      </c>
      <c r="I5" s="5">
        <v>2015</v>
      </c>
      <c r="J5" s="5">
        <v>2016</v>
      </c>
      <c r="K5" s="6" t="s">
        <v>3</v>
      </c>
    </row>
    <row r="6" spans="1:16" s="7" customFormat="1" ht="20.25" customHeight="1" x14ac:dyDescent="0.4">
      <c r="A6" s="8" t="s">
        <v>7</v>
      </c>
      <c r="B6" s="9">
        <f t="shared" ref="B6:C6" si="0">SUM(B7:B10)</f>
        <v>2753.7502068822714</v>
      </c>
      <c r="C6" s="9">
        <f t="shared" si="0"/>
        <v>3122.326</v>
      </c>
      <c r="D6" s="38">
        <f t="shared" ref="D6:I6" si="1">SUM(D7:D10)</f>
        <v>3466.9183800000001</v>
      </c>
      <c r="E6" s="38">
        <f t="shared" si="1"/>
        <v>3852.5548200000003</v>
      </c>
      <c r="F6" s="38">
        <f t="shared" si="1"/>
        <v>4240.0155199999999</v>
      </c>
      <c r="G6" s="38">
        <f t="shared" si="1"/>
        <v>4509.2316299999993</v>
      </c>
      <c r="H6" s="38">
        <f t="shared" si="1"/>
        <v>4914.9541300000001</v>
      </c>
      <c r="I6" s="38">
        <f t="shared" si="1"/>
        <v>5700.0994599999995</v>
      </c>
      <c r="J6" s="38">
        <f>SUM(J7:J10)</f>
        <v>5805.4536200000002</v>
      </c>
      <c r="K6" s="10" t="s">
        <v>8</v>
      </c>
    </row>
    <row r="7" spans="1:16" s="14" customFormat="1" ht="20.25" customHeight="1" x14ac:dyDescent="0.4">
      <c r="A7" s="11" t="s">
        <v>9</v>
      </c>
      <c r="B7" s="12">
        <f>2149319.989999/1000</f>
        <v>2149.319989999</v>
      </c>
      <c r="C7" s="12">
        <v>2463.373</v>
      </c>
      <c r="D7" s="39">
        <v>2785.8859500000003</v>
      </c>
      <c r="E7" s="39">
        <v>3078.5709700000002</v>
      </c>
      <c r="F7" s="39">
        <v>3458.8018999999999</v>
      </c>
      <c r="G7" s="39">
        <f>3672075.98/1000</f>
        <v>3672.0759800000001</v>
      </c>
      <c r="H7" s="39">
        <v>4011.6961699999997</v>
      </c>
      <c r="I7" s="39">
        <v>4586.0499199999995</v>
      </c>
      <c r="J7" s="39">
        <v>4624.9812400000001</v>
      </c>
      <c r="K7" s="13" t="s">
        <v>10</v>
      </c>
      <c r="N7" s="15"/>
    </row>
    <row r="8" spans="1:16" s="14" customFormat="1" ht="20.25" customHeight="1" x14ac:dyDescent="0.4">
      <c r="A8" s="11" t="s">
        <v>11</v>
      </c>
      <c r="B8" s="12">
        <f>311353.83/1000</f>
        <v>311.35383000000002</v>
      </c>
      <c r="C8" s="12">
        <v>325.00799999999998</v>
      </c>
      <c r="D8" s="39">
        <v>332.86784</v>
      </c>
      <c r="E8" s="39">
        <v>318.73822999999999</v>
      </c>
      <c r="F8" s="39">
        <v>367.12387999999999</v>
      </c>
      <c r="G8" s="39">
        <f>388293.65/1000</f>
        <v>388.29365000000001</v>
      </c>
      <c r="H8" s="39">
        <v>391.51188999999999</v>
      </c>
      <c r="I8" s="39">
        <v>511.57015999999999</v>
      </c>
      <c r="J8" s="39">
        <v>536.00156000000004</v>
      </c>
      <c r="K8" s="13" t="s">
        <v>12</v>
      </c>
      <c r="N8" s="15"/>
    </row>
    <row r="9" spans="1:16" s="14" customFormat="1" ht="20.25" customHeight="1" x14ac:dyDescent="0.4">
      <c r="A9" s="11" t="s">
        <v>13</v>
      </c>
      <c r="B9" s="12">
        <f>257761.626883271/1000</f>
        <v>257.76162688327099</v>
      </c>
      <c r="C9" s="12">
        <v>294.50900000000001</v>
      </c>
      <c r="D9" s="39">
        <v>332.63451000000003</v>
      </c>
      <c r="E9" s="39">
        <f>383.40205+67.17179</f>
        <v>450.57383999999996</v>
      </c>
      <c r="F9" s="39">
        <v>412.77303000000001</v>
      </c>
      <c r="G9" s="39">
        <f>446466.21/1000</f>
        <v>446.46621000000005</v>
      </c>
      <c r="H9" s="39">
        <v>508.53606999999994</v>
      </c>
      <c r="I9" s="39">
        <v>602.47937999999999</v>
      </c>
      <c r="J9" s="39">
        <v>644.47082</v>
      </c>
      <c r="K9" s="13" t="s">
        <v>14</v>
      </c>
      <c r="N9" s="15"/>
    </row>
    <row r="10" spans="1:16" s="14" customFormat="1" ht="20.25" customHeight="1" x14ac:dyDescent="0.4">
      <c r="A10" s="16" t="s">
        <v>15</v>
      </c>
      <c r="B10" s="17">
        <f>35314.76/1000</f>
        <v>35.31476</v>
      </c>
      <c r="C10" s="17">
        <v>39.436</v>
      </c>
      <c r="D10" s="40">
        <v>15.53008</v>
      </c>
      <c r="E10" s="40">
        <f>4.67178</f>
        <v>4.67178</v>
      </c>
      <c r="F10" s="40">
        <v>1.31671</v>
      </c>
      <c r="G10" s="40">
        <f>2395.79/1000</f>
        <v>2.3957899999999999</v>
      </c>
      <c r="H10" s="41">
        <v>3.21</v>
      </c>
      <c r="I10" s="41">
        <v>0</v>
      </c>
      <c r="J10" s="41">
        <v>0</v>
      </c>
      <c r="K10" s="18" t="s">
        <v>16</v>
      </c>
      <c r="N10" s="15"/>
    </row>
    <row r="11" spans="1:16" s="21" customFormat="1" ht="20.25" customHeight="1" x14ac:dyDescent="0.2">
      <c r="A11" s="35" t="s">
        <v>22</v>
      </c>
      <c r="B11" s="19">
        <f t="shared" ref="B11:C11" si="2">SUM(B12:B15)</f>
        <v>99.999999999999986</v>
      </c>
      <c r="C11" s="19">
        <f t="shared" si="2"/>
        <v>100</v>
      </c>
      <c r="D11" s="42">
        <f t="shared" ref="D11:I11" si="3">SUM(D12:D15)</f>
        <v>100</v>
      </c>
      <c r="E11" s="42">
        <f t="shared" si="3"/>
        <v>100</v>
      </c>
      <c r="F11" s="42">
        <f t="shared" si="3"/>
        <v>99.999999999999986</v>
      </c>
      <c r="G11" s="42">
        <f t="shared" si="3"/>
        <v>100</v>
      </c>
      <c r="H11" s="42">
        <f t="shared" si="3"/>
        <v>99.999999999999986</v>
      </c>
      <c r="I11" s="42">
        <f t="shared" si="3"/>
        <v>100</v>
      </c>
      <c r="J11" s="42">
        <f>SUM(J12:J15)</f>
        <v>100</v>
      </c>
      <c r="K11" s="20" t="s">
        <v>0</v>
      </c>
      <c r="N11" s="15"/>
    </row>
    <row r="12" spans="1:16" s="14" customFormat="1" ht="20.25" customHeight="1" x14ac:dyDescent="0.4">
      <c r="A12" s="11" t="s">
        <v>9</v>
      </c>
      <c r="B12" s="22">
        <f t="shared" ref="B12:F12" si="4">B7/B6*100</f>
        <v>78.050651966447148</v>
      </c>
      <c r="C12" s="22">
        <f t="shared" si="4"/>
        <v>78.895445254595458</v>
      </c>
      <c r="D12" s="43">
        <f t="shared" si="4"/>
        <v>80.356260074400723</v>
      </c>
      <c r="E12" s="43">
        <f t="shared" si="4"/>
        <v>79.909854988124479</v>
      </c>
      <c r="F12" s="43">
        <f t="shared" si="4"/>
        <v>81.575217913353299</v>
      </c>
      <c r="G12" s="43">
        <f>G7/G6*100</f>
        <v>81.434627477763883</v>
      </c>
      <c r="H12" s="43">
        <f>H7/H6*100</f>
        <v>81.622250460351694</v>
      </c>
      <c r="I12" s="43">
        <f>I7/I6*100</f>
        <v>80.455612260492032</v>
      </c>
      <c r="J12" s="43">
        <f>J7/J6*100</f>
        <v>79.666147431903866</v>
      </c>
      <c r="K12" s="13" t="s">
        <v>10</v>
      </c>
      <c r="N12" s="15"/>
    </row>
    <row r="13" spans="1:16" s="14" customFormat="1" ht="20.25" customHeight="1" x14ac:dyDescent="0.4">
      <c r="A13" s="11" t="s">
        <v>11</v>
      </c>
      <c r="B13" s="22">
        <f t="shared" ref="B13:F13" si="5">B8/B6*100</f>
        <v>11.306538596778072</v>
      </c>
      <c r="C13" s="22">
        <f t="shared" si="5"/>
        <v>10.409162912520985</v>
      </c>
      <c r="D13" s="43">
        <f t="shared" si="5"/>
        <v>9.6012597792971395</v>
      </c>
      <c r="E13" s="43">
        <f t="shared" si="5"/>
        <v>8.2734249061250207</v>
      </c>
      <c r="F13" s="43">
        <f t="shared" si="5"/>
        <v>8.6585503819099223</v>
      </c>
      <c r="G13" s="43">
        <f>G8/G6*100</f>
        <v>8.6110823719206468</v>
      </c>
      <c r="H13" s="43">
        <f>H8/H6*100</f>
        <v>7.9657282579766413</v>
      </c>
      <c r="I13" s="43">
        <f>I8/I6*100</f>
        <v>8.974758486056313</v>
      </c>
      <c r="J13" s="43">
        <f>J8/J6*100</f>
        <v>9.2327248667262634</v>
      </c>
      <c r="K13" s="13" t="s">
        <v>12</v>
      </c>
      <c r="N13" s="15"/>
    </row>
    <row r="14" spans="1:16" s="14" customFormat="1" ht="20.25" customHeight="1" x14ac:dyDescent="0.4">
      <c r="A14" s="11" t="s">
        <v>13</v>
      </c>
      <c r="B14" s="22">
        <f t="shared" ref="B14" si="6">B9/B6*100</f>
        <v>9.3603852026615879</v>
      </c>
      <c r="C14" s="22">
        <f t="shared" ref="C14:H14" si="7">C9/C6*100</f>
        <v>9.4323590810184452</v>
      </c>
      <c r="D14" s="43">
        <f t="shared" si="7"/>
        <v>9.5945295948963185</v>
      </c>
      <c r="E14" s="43">
        <f t="shared" si="7"/>
        <v>11.695455640524797</v>
      </c>
      <c r="F14" s="43">
        <f t="shared" si="7"/>
        <v>9.735177337275406</v>
      </c>
      <c r="G14" s="43">
        <f t="shared" si="7"/>
        <v>9.9011593689189166</v>
      </c>
      <c r="H14" s="43">
        <f t="shared" si="7"/>
        <v>10.346710397478317</v>
      </c>
      <c r="I14" s="43">
        <f>I9/I6*100</f>
        <v>10.569629253451659</v>
      </c>
      <c r="J14" s="43">
        <f>J9/J6*100</f>
        <v>11.101127701369871</v>
      </c>
      <c r="K14" s="13" t="s">
        <v>14</v>
      </c>
      <c r="N14" s="15"/>
    </row>
    <row r="15" spans="1:16" s="14" customFormat="1" ht="20.25" customHeight="1" x14ac:dyDescent="0.4">
      <c r="A15" s="16" t="s">
        <v>15</v>
      </c>
      <c r="B15" s="23">
        <f t="shared" ref="B15" si="8">B10/B6*100</f>
        <v>1.2824242341131771</v>
      </c>
      <c r="C15" s="23">
        <f t="shared" ref="C15:I15" si="9">C10/C6*100</f>
        <v>1.2630327518651159</v>
      </c>
      <c r="D15" s="44">
        <f t="shared" si="9"/>
        <v>0.44795055140582801</v>
      </c>
      <c r="E15" s="44">
        <f t="shared" si="9"/>
        <v>0.12126446522570183</v>
      </c>
      <c r="F15" s="44">
        <f t="shared" si="9"/>
        <v>3.1054367461371937E-2</v>
      </c>
      <c r="G15" s="44">
        <f t="shared" si="9"/>
        <v>5.3130781396563576E-2</v>
      </c>
      <c r="H15" s="44">
        <f t="shared" si="9"/>
        <v>6.5310884193338331E-2</v>
      </c>
      <c r="I15" s="45">
        <f t="shared" si="9"/>
        <v>0</v>
      </c>
      <c r="J15" s="45">
        <f t="shared" ref="J15" si="10">J10/J6*100</f>
        <v>0</v>
      </c>
      <c r="K15" s="18" t="s">
        <v>16</v>
      </c>
      <c r="N15" s="15"/>
    </row>
    <row r="16" spans="1:16" s="21" customFormat="1" ht="20.25" customHeight="1" x14ac:dyDescent="0.2">
      <c r="A16" s="24" t="s">
        <v>1</v>
      </c>
      <c r="B16" s="25" t="e">
        <f>(B6-#REF!)/#REF!*100</f>
        <v>#REF!</v>
      </c>
      <c r="C16" s="25">
        <f>(C6-B6)/B6*100</f>
        <v>13.384503510760371</v>
      </c>
      <c r="D16" s="46">
        <f t="shared" ref="D16:F20" si="11">(D6-C6)/C6*100</f>
        <v>11.036399786569373</v>
      </c>
      <c r="E16" s="46">
        <f t="shared" si="11"/>
        <v>11.123320416905811</v>
      </c>
      <c r="F16" s="46">
        <f t="shared" si="11"/>
        <v>10.057240405472013</v>
      </c>
      <c r="G16" s="46">
        <f t="shared" ref="G16:J20" si="12">(G6-F6)/F6*100</f>
        <v>6.3494133153550196</v>
      </c>
      <c r="H16" s="46">
        <f t="shared" si="12"/>
        <v>8.9975972247848528</v>
      </c>
      <c r="I16" s="46">
        <f t="shared" si="12"/>
        <v>15.974621720426907</v>
      </c>
      <c r="J16" s="46">
        <f>(J6-I6)/I6*100</f>
        <v>1.8482863455158163</v>
      </c>
      <c r="K16" s="20" t="s">
        <v>2</v>
      </c>
      <c r="N16" s="15"/>
    </row>
    <row r="17" spans="1:27" s="14" customFormat="1" ht="20.25" customHeight="1" x14ac:dyDescent="0.4">
      <c r="A17" s="11" t="s">
        <v>9</v>
      </c>
      <c r="B17" s="26" t="e">
        <f>(B7-#REF!)/#REF!*100</f>
        <v>#REF!</v>
      </c>
      <c r="C17" s="26">
        <f>(C7-B7)/B7*100</f>
        <v>14.611738199166249</v>
      </c>
      <c r="D17" s="47">
        <f t="shared" si="11"/>
        <v>13.092331124843874</v>
      </c>
      <c r="E17" s="47">
        <f>(E7-D7)/D7*100</f>
        <v>10.50599433189287</v>
      </c>
      <c r="F17" s="47">
        <f t="shared" si="11"/>
        <v>12.350890517232406</v>
      </c>
      <c r="G17" s="47">
        <f t="shared" si="12"/>
        <v>6.1661259061989115</v>
      </c>
      <c r="H17" s="47">
        <f t="shared" si="12"/>
        <v>9.2487244776454656</v>
      </c>
      <c r="I17" s="47">
        <f t="shared" si="12"/>
        <v>14.316980291156989</v>
      </c>
      <c r="J17" s="47">
        <f t="shared" si="12"/>
        <v>0.84890746239414261</v>
      </c>
      <c r="K17" s="13" t="s">
        <v>10</v>
      </c>
      <c r="N17" s="15"/>
    </row>
    <row r="18" spans="1:27" s="14" customFormat="1" ht="20.25" customHeight="1" x14ac:dyDescent="0.4">
      <c r="A18" s="11" t="s">
        <v>11</v>
      </c>
      <c r="B18" s="26" t="e">
        <f>(B8-#REF!)/#REF!*100</f>
        <v>#REF!</v>
      </c>
      <c r="C18" s="26">
        <f>(C8-B8)/B8*100</f>
        <v>4.3854189942034649</v>
      </c>
      <c r="D18" s="47">
        <f t="shared" si="11"/>
        <v>2.4183527790085231</v>
      </c>
      <c r="E18" s="47">
        <f t="shared" si="11"/>
        <v>-4.2448107933767387</v>
      </c>
      <c r="F18" s="47">
        <f>(F8-E8)/E8*100</f>
        <v>15.180372307394691</v>
      </c>
      <c r="G18" s="47">
        <f t="shared" si="12"/>
        <v>5.7663832709547602</v>
      </c>
      <c r="H18" s="47">
        <f t="shared" si="12"/>
        <v>0.82881602622138684</v>
      </c>
      <c r="I18" s="47">
        <f t="shared" si="12"/>
        <v>30.665293460180738</v>
      </c>
      <c r="J18" s="47">
        <f t="shared" si="12"/>
        <v>4.7757672183225175</v>
      </c>
      <c r="K18" s="13" t="s">
        <v>12</v>
      </c>
    </row>
    <row r="19" spans="1:27" s="14" customFormat="1" ht="20.25" customHeight="1" x14ac:dyDescent="0.4">
      <c r="A19" s="11" t="s">
        <v>17</v>
      </c>
      <c r="B19" s="26" t="e">
        <f>(B9-#REF!)/#REF!*100</f>
        <v>#REF!</v>
      </c>
      <c r="C19" s="26">
        <f>(C9-B9)/B9*100</f>
        <v>14.256339689138564</v>
      </c>
      <c r="D19" s="47">
        <f t="shared" si="11"/>
        <v>12.945448186642858</v>
      </c>
      <c r="E19" s="47">
        <f t="shared" si="11"/>
        <v>35.456131716459581</v>
      </c>
      <c r="F19" s="47">
        <f t="shared" si="11"/>
        <v>-8.389481732894204</v>
      </c>
      <c r="G19" s="47">
        <f t="shared" si="12"/>
        <v>8.1626408585851742</v>
      </c>
      <c r="H19" s="47">
        <f t="shared" si="12"/>
        <v>13.902476516643866</v>
      </c>
      <c r="I19" s="47">
        <f t="shared" si="12"/>
        <v>18.473283517529065</v>
      </c>
      <c r="J19" s="47">
        <f t="shared" si="12"/>
        <v>6.969772143903084</v>
      </c>
      <c r="K19" s="13" t="s">
        <v>14</v>
      </c>
    </row>
    <row r="20" spans="1:27" s="14" customFormat="1" ht="20.25" customHeight="1" x14ac:dyDescent="0.4">
      <c r="A20" s="27" t="s">
        <v>15</v>
      </c>
      <c r="B20" s="28" t="e">
        <f>(B10-#REF!)/#REF!*100</f>
        <v>#REF!</v>
      </c>
      <c r="C20" s="28">
        <f>(C10-B10)/B10*100</f>
        <v>11.670021260232266</v>
      </c>
      <c r="D20" s="48">
        <f t="shared" si="11"/>
        <v>-60.619535449842786</v>
      </c>
      <c r="E20" s="48">
        <f t="shared" si="11"/>
        <v>-69.917862625305219</v>
      </c>
      <c r="F20" s="48">
        <f t="shared" si="11"/>
        <v>-71.815667689831287</v>
      </c>
      <c r="G20" s="48">
        <f t="shared" si="12"/>
        <v>81.952745858997034</v>
      </c>
      <c r="H20" s="48">
        <f t="shared" si="12"/>
        <v>33.98503207710192</v>
      </c>
      <c r="I20" s="49">
        <f t="shared" ref="I20:J20" si="13">I15/I11*100</f>
        <v>0</v>
      </c>
      <c r="J20" s="49">
        <f t="shared" si="13"/>
        <v>0</v>
      </c>
      <c r="K20" s="29" t="s">
        <v>16</v>
      </c>
    </row>
    <row r="21" spans="1:27" s="14" customFormat="1" ht="15.75" x14ac:dyDescent="0.4">
      <c r="A21" s="37" t="s">
        <v>18</v>
      </c>
      <c r="B21" s="11"/>
      <c r="C21" s="11"/>
      <c r="D21" s="50"/>
      <c r="E21" s="50"/>
      <c r="F21" s="50"/>
      <c r="G21" s="50"/>
      <c r="H21" s="50"/>
      <c r="I21" s="50"/>
      <c r="J21" s="50"/>
      <c r="K21" s="30" t="s">
        <v>19</v>
      </c>
    </row>
    <row r="22" spans="1:27" s="31" customFormat="1" ht="12.75" x14ac:dyDescent="0.2">
      <c r="D22" s="51"/>
      <c r="E22" s="51"/>
      <c r="F22" s="51"/>
      <c r="G22" s="51"/>
      <c r="H22" s="51"/>
      <c r="I22" s="51"/>
      <c r="J22" s="51"/>
      <c r="L22" s="32"/>
      <c r="M22" s="14"/>
      <c r="N22" s="14"/>
      <c r="O22" s="14"/>
      <c r="P22" s="14"/>
      <c r="Q22" s="14"/>
      <c r="R22" s="14"/>
      <c r="S22" s="14"/>
      <c r="V22" s="14"/>
      <c r="W22" s="14"/>
      <c r="X22" s="14"/>
      <c r="Y22" s="14"/>
      <c r="Z22" s="14"/>
      <c r="AA22" s="14"/>
    </row>
    <row r="23" spans="1:27" s="31" customFormat="1" x14ac:dyDescent="0.25">
      <c r="D23" s="51"/>
      <c r="E23" s="51"/>
      <c r="F23" s="51"/>
      <c r="G23" s="51"/>
      <c r="H23" s="51"/>
      <c r="I23" s="51"/>
      <c r="J23" s="51"/>
      <c r="L23" s="1"/>
      <c r="M23" s="14"/>
      <c r="N23" s="14"/>
      <c r="O23" s="14"/>
      <c r="P23" s="14"/>
      <c r="Q23" s="14"/>
      <c r="R23" s="14"/>
      <c r="S23" s="14"/>
      <c r="V23" s="14"/>
      <c r="W23" s="14"/>
      <c r="X23" s="14"/>
      <c r="Y23" s="14"/>
      <c r="Z23" s="14"/>
      <c r="AA23" s="14"/>
    </row>
    <row r="24" spans="1:27" s="31" customFormat="1" x14ac:dyDescent="0.25">
      <c r="D24" s="51"/>
      <c r="E24" s="51"/>
      <c r="F24" s="51"/>
      <c r="G24" s="51"/>
      <c r="H24" s="51"/>
      <c r="I24" s="51"/>
      <c r="J24" s="51"/>
      <c r="L24" s="1"/>
      <c r="M24" s="14"/>
      <c r="N24" s="14"/>
      <c r="O24" s="14"/>
      <c r="P24" s="14"/>
      <c r="Q24" s="14"/>
      <c r="R24" s="14"/>
      <c r="S24" s="14"/>
      <c r="V24" s="14"/>
      <c r="W24" s="14"/>
      <c r="X24" s="14"/>
      <c r="Y24" s="14"/>
      <c r="Z24" s="14"/>
      <c r="AA24" s="14"/>
    </row>
    <row r="25" spans="1:27" x14ac:dyDescent="0.25">
      <c r="K25" s="31"/>
      <c r="M25" s="14"/>
      <c r="N25" s="14"/>
      <c r="O25" s="14"/>
      <c r="P25" s="14"/>
      <c r="Q25" s="14"/>
      <c r="R25" s="14"/>
      <c r="S25" s="14"/>
      <c r="V25" s="14"/>
      <c r="W25" s="14"/>
      <c r="X25" s="14"/>
      <c r="Y25" s="14"/>
      <c r="Z25" s="14"/>
      <c r="AA25" s="14"/>
    </row>
    <row r="26" spans="1:27" x14ac:dyDescent="0.25">
      <c r="K26" s="31"/>
      <c r="M26" s="14"/>
      <c r="N26" s="14"/>
      <c r="O26" s="14"/>
      <c r="P26" s="14"/>
      <c r="Q26" s="14"/>
      <c r="R26" s="14"/>
      <c r="S26" s="14"/>
    </row>
    <row r="27" spans="1:27" x14ac:dyDescent="0.25">
      <c r="K27" s="31"/>
      <c r="M27" s="14"/>
      <c r="N27" s="14"/>
      <c r="O27" s="14"/>
      <c r="P27" s="14"/>
      <c r="Q27" s="14"/>
      <c r="R27" s="14"/>
      <c r="S27" s="14"/>
    </row>
    <row r="28" spans="1:27" x14ac:dyDescent="0.25">
      <c r="K28" s="31"/>
      <c r="M28" s="14"/>
      <c r="N28" s="14"/>
      <c r="O28" s="14"/>
      <c r="P28" s="14"/>
      <c r="Q28" s="14"/>
      <c r="R28" s="14"/>
      <c r="S28" s="14"/>
      <c r="W28" s="33"/>
    </row>
    <row r="29" spans="1:27" x14ac:dyDescent="0.25">
      <c r="K29" s="31"/>
      <c r="M29" s="14"/>
      <c r="N29" s="14"/>
      <c r="O29" s="14"/>
      <c r="P29" s="14"/>
      <c r="Q29" s="14"/>
      <c r="R29" s="14"/>
      <c r="S29" s="14"/>
      <c r="W29" s="33"/>
    </row>
    <row r="30" spans="1:27" x14ac:dyDescent="0.25">
      <c r="K30" s="31"/>
      <c r="M30" s="14"/>
      <c r="W30" s="33"/>
    </row>
    <row r="31" spans="1:27" x14ac:dyDescent="0.25">
      <c r="W31" s="33"/>
    </row>
    <row r="35" spans="2:10" x14ac:dyDescent="0.25">
      <c r="B35" s="34"/>
      <c r="C35" s="34"/>
      <c r="D35" s="53"/>
      <c r="E35" s="53"/>
      <c r="F35" s="53"/>
      <c r="G35" s="53"/>
      <c r="H35" s="53"/>
      <c r="I35" s="53"/>
      <c r="J35" s="53"/>
    </row>
  </sheetData>
  <mergeCells count="4">
    <mergeCell ref="A2:K2"/>
    <mergeCell ref="A3:K3"/>
    <mergeCell ref="A4:F4"/>
    <mergeCell ref="G4:K4"/>
  </mergeCells>
  <pageMargins left="0.7" right="0.7" top="0.44" bottom="0.75" header="0.3" footer="0.3"/>
  <pageSetup paperSize="9" scale="78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12.8</vt:lpstr>
      <vt:lpstr>'12.8'!Print_Area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2017-06-15T07:07:26Z</cp:lastPrinted>
  <dcterms:created xsi:type="dcterms:W3CDTF">2015-01-12T08:51:45Z</dcterms:created>
  <dcterms:modified xsi:type="dcterms:W3CDTF">2017-06-15T07:07:30Z</dcterms:modified>
</cp:coreProperties>
</file>