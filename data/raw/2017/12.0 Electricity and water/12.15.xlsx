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15" sheetId="14" r:id="rId1"/>
  </sheets>
  <definedNames>
    <definedName name="_xlnm.Print_Area" localSheetId="0">'12.15'!$A$1:$N$19</definedName>
  </definedNames>
  <calcPr calcId="144525"/>
</workbook>
</file>

<file path=xl/calcChain.xml><?xml version="1.0" encoding="utf-8"?>
<calcChain xmlns="http://schemas.openxmlformats.org/spreadsheetml/2006/main">
  <c r="L15" i="14" l="1"/>
  <c r="L14" i="14"/>
  <c r="L13" i="14"/>
  <c r="L4" i="14"/>
  <c r="L9" i="14" l="1"/>
  <c r="L10" i="14"/>
  <c r="L11" i="14"/>
  <c r="L8" i="14" l="1"/>
  <c r="K15" i="14" l="1"/>
  <c r="K14" i="14"/>
  <c r="K13" i="14"/>
  <c r="K4" i="14"/>
  <c r="L12" i="14" s="1"/>
  <c r="K9" i="14" l="1"/>
  <c r="K10" i="14"/>
  <c r="K11" i="14"/>
  <c r="K8" i="14" l="1"/>
  <c r="J15" i="14" l="1"/>
  <c r="J14" i="14"/>
  <c r="J13" i="14"/>
  <c r="J4" i="14"/>
  <c r="K12" i="14" s="1"/>
  <c r="J9" i="14" l="1"/>
  <c r="J10" i="14"/>
  <c r="J11" i="14"/>
  <c r="J8" i="14" l="1"/>
  <c r="I15" i="14" l="1"/>
  <c r="I14" i="14"/>
  <c r="I13" i="14"/>
  <c r="H15" i="14" l="1"/>
  <c r="G15" i="14"/>
  <c r="F15" i="14"/>
  <c r="E15" i="14"/>
  <c r="D15" i="14"/>
  <c r="H14" i="14"/>
  <c r="G14" i="14"/>
  <c r="F14" i="14"/>
  <c r="E14" i="14"/>
  <c r="D14" i="14"/>
  <c r="H13" i="14"/>
  <c r="G13" i="14"/>
  <c r="F13" i="14"/>
  <c r="E13" i="14"/>
  <c r="D13" i="14"/>
  <c r="I4" i="14"/>
  <c r="H4" i="14"/>
  <c r="G4" i="14"/>
  <c r="F4" i="14"/>
  <c r="E4" i="14"/>
  <c r="D4" i="14"/>
  <c r="D12" i="14" s="1"/>
  <c r="F12" i="14" l="1"/>
  <c r="G12" i="14"/>
  <c r="H12" i="14"/>
  <c r="E12" i="14"/>
  <c r="J12" i="14"/>
  <c r="I10" i="14"/>
  <c r="I12" i="14"/>
  <c r="I9" i="14"/>
  <c r="D9" i="14"/>
  <c r="E9" i="14"/>
  <c r="F9" i="14"/>
  <c r="G9" i="14"/>
  <c r="H9" i="14"/>
  <c r="D10" i="14"/>
  <c r="E10" i="14"/>
  <c r="F10" i="14"/>
  <c r="G10" i="14"/>
  <c r="H10" i="14"/>
  <c r="D11" i="14"/>
  <c r="E11" i="14"/>
  <c r="F11" i="14"/>
  <c r="G11" i="14"/>
  <c r="H11" i="14"/>
  <c r="I11" i="14"/>
  <c r="I8" i="14" l="1"/>
  <c r="H8" i="14"/>
  <c r="G8" i="14"/>
  <c r="F8" i="14"/>
  <c r="E8" i="14"/>
  <c r="D8" i="14"/>
</calcChain>
</file>

<file path=xl/sharedStrings.xml><?xml version="1.0" encoding="utf-8"?>
<sst xmlns="http://schemas.openxmlformats.org/spreadsheetml/2006/main" count="30" uniqueCount="18">
  <si>
    <t xml:space="preserve"> % cnutogWviawfiheb</t>
  </si>
  <si>
    <t>% change over previous year</t>
  </si>
  <si>
    <t xml:space="preserve"> % urwvcnim ivurutia eruvcSwrwhwa Iruk</t>
  </si>
  <si>
    <t>cnwt</t>
  </si>
  <si>
    <t>Type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</si>
  <si>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</si>
  <si>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</si>
  <si>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</si>
  <si>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</si>
  <si>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</si>
  <si>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</si>
  <si>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</si>
  <si>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% share</t>
  </si>
  <si>
    <t>cDeTimil Inepcmok cjErevcs cDcnea rwTOv ElWm :ctWrwf ivcaedutWmUluawm</t>
  </si>
  <si>
    <t>Source: Male' Water &amp; Sewerage Company Private Limited</t>
  </si>
  <si>
    <t xml:space="preserve">Total </t>
  </si>
  <si>
    <t>ތާވަލު 12.15: ތަނުގެ ގޮތުން ވިލިނގިލީގައި ފެން ބޭނުންކުރާ ފަރާތްތަކުގެ އަދަދު، 2010 - 2016</t>
  </si>
  <si>
    <t>Table 12.15 : NUMBER OF CUSTOMERS USING WATER IN VILLINGILI BY TYPE, 2010 - 2016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</si>
</sst>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b/>
      <sz val="11"/>
      <name val="A_Randhoo"/>
    </font>
    <font>
      <b/>
      <sz val="11"/>
      <name val="Faruma"/>
      <charset val="1"/>
    </font>
    <font>
      <sz val="10"/>
      <name val="A_Randhoo"/>
    </font>
    <font>
      <sz val="9"/>
      <color theme="1"/>
      <name val="A_Randhoo"/>
    </font>
    <font>
      <sz val="10"/>
      <name val="Garamond"/>
      <family val="1"/>
    </font>
    <font>
      <b/>
      <sz val="10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0" fontId="1" fillId="0" borderId="0"/>
  </cellStyleXfs>
  <cellXfs count="36">
    <xf numFmtId="0" fontId="0" fillId="0" borderId="0" xfId="0"/>
    <xf numFmtId="0" fontId="3" fillId="2" borderId="0" xfId="2" applyFont="1" applyFill="1"/>
    <xf numFmtId="0" fontId="2" fillId="2" borderId="2" xfId="2" applyFont="1" applyFill="1" applyBorder="1" applyAlignment="1">
      <alignment horizontal="right" vertical="center"/>
    </xf>
    <xf numFmtId="0" fontId="11" fillId="2" borderId="2" xfId="0" applyFont="1" applyFill="1" applyBorder="1" applyAlignment="1">
      <alignment horizontal="right" vertical="center"/>
    </xf>
    <xf numFmtId="0" fontId="3" fillId="2" borderId="0" xfId="2" applyFont="1" applyFill="1" applyAlignment="1">
      <alignment vertical="center"/>
    </xf>
    <xf numFmtId="3" fontId="2" fillId="2" borderId="0" xfId="2" applyNumberFormat="1" applyFont="1" applyFill="1" applyAlignment="1">
      <alignment horizontal="right" vertical="center"/>
    </xf>
    <xf numFmtId="0" fontId="11" fillId="2" borderId="0" xfId="0" applyFont="1" applyFill="1" applyAlignment="1">
      <alignment horizontal="right" vertical="center"/>
    </xf>
    <xf numFmtId="3" fontId="3" fillId="2" borderId="1" xfId="2" applyNumberFormat="1" applyFont="1" applyFill="1" applyBorder="1" applyAlignment="1">
      <alignment horizontal="right" vertical="center"/>
    </xf>
    <xf numFmtId="0" fontId="4" fillId="2" borderId="0" xfId="5" applyFont="1" applyFill="1"/>
    <xf numFmtId="0" fontId="8" fillId="2" borderId="0" xfId="0" applyFont="1" applyFill="1" applyAlignment="1">
      <alignment horizontal="right" vertical="center"/>
    </xf>
    <xf numFmtId="0" fontId="8" fillId="2" borderId="3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right" vertical="center"/>
    </xf>
    <xf numFmtId="0" fontId="1" fillId="2" borderId="0" xfId="2" applyFill="1"/>
    <xf numFmtId="0" fontId="6" fillId="2" borderId="0" xfId="2" applyFont="1" applyFill="1" applyAlignment="1">
      <alignment vertical="center"/>
    </xf>
    <xf numFmtId="0" fontId="1" fillId="2" borderId="0" xfId="2" applyFill="1" applyAlignment="1">
      <alignment vertical="top"/>
    </xf>
    <xf numFmtId="0" fontId="2" fillId="2" borderId="2" xfId="2" applyFont="1" applyFill="1" applyBorder="1" applyAlignment="1">
      <alignment horizontal="left" vertical="center"/>
    </xf>
    <xf numFmtId="0" fontId="2" fillId="2" borderId="0" xfId="2" applyFont="1" applyFill="1" applyAlignment="1">
      <alignment horizontal="left" vertical="center"/>
    </xf>
    <xf numFmtId="164" fontId="2" fillId="2" borderId="0" xfId="3" applyNumberFormat="1" applyFont="1" applyFill="1" applyAlignment="1">
      <alignment horizontal="right" vertical="center"/>
    </xf>
    <xf numFmtId="0" fontId="3" fillId="2" borderId="0" xfId="2" applyFont="1" applyFill="1" applyAlignment="1">
      <alignment horizontal="left" vertical="center"/>
    </xf>
    <xf numFmtId="3" fontId="3" fillId="2" borderId="0" xfId="2" applyNumberFormat="1" applyFont="1" applyFill="1" applyAlignment="1">
      <alignment horizontal="right" vertical="center"/>
    </xf>
    <xf numFmtId="3" fontId="3" fillId="2" borderId="0" xfId="2" applyNumberFormat="1" applyFont="1" applyFill="1" applyAlignment="1">
      <alignment vertical="center"/>
    </xf>
    <xf numFmtId="0" fontId="3" fillId="2" borderId="0" xfId="2" applyFont="1" applyFill="1" applyAlignment="1">
      <alignment horizontal="right" vertical="center"/>
    </xf>
    <xf numFmtId="0" fontId="3" fillId="2" borderId="4" xfId="2" applyFont="1" applyFill="1" applyBorder="1" applyAlignment="1">
      <alignment horizontal="left" vertical="center"/>
    </xf>
    <xf numFmtId="3" fontId="3" fillId="2" borderId="4" xfId="2" applyNumberFormat="1" applyFont="1" applyFill="1" applyBorder="1" applyAlignment="1">
      <alignment horizontal="right" vertical="center"/>
    </xf>
    <xf numFmtId="0" fontId="3" fillId="2" borderId="4" xfId="2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right" vertical="center"/>
    </xf>
    <xf numFmtId="0" fontId="2" fillId="2" borderId="0" xfId="2" applyFont="1" applyFill="1" applyAlignment="1">
      <alignment horizontal="right" vertical="center"/>
    </xf>
    <xf numFmtId="3" fontId="2" fillId="2" borderId="0" xfId="2" applyNumberFormat="1" applyFont="1" applyFill="1" applyBorder="1" applyAlignment="1">
      <alignment horizontal="right" vertical="center"/>
    </xf>
    <xf numFmtId="3" fontId="3" fillId="2" borderId="0" xfId="2" applyNumberFormat="1" applyFont="1" applyFill="1" applyBorder="1" applyAlignment="1">
      <alignment horizontal="right" vertical="center"/>
    </xf>
    <xf numFmtId="0" fontId="3" fillId="2" borderId="0" xfId="2" applyFont="1" applyFill="1" applyBorder="1" applyAlignment="1">
      <alignment horizontal="left" vertical="center"/>
    </xf>
    <xf numFmtId="0" fontId="3" fillId="2" borderId="1" xfId="2" applyFont="1" applyFill="1" applyBorder="1" applyAlignment="1">
      <alignment horizontal="left" vertical="center"/>
    </xf>
    <xf numFmtId="0" fontId="9" fillId="2" borderId="0" xfId="5" applyFont="1" applyFill="1" applyAlignment="1">
      <alignment horizontal="right" vertical="center"/>
    </xf>
    <xf numFmtId="1" fontId="1" fillId="2" borderId="0" xfId="2" applyNumberFormat="1" applyFill="1"/>
    <xf numFmtId="0" fontId="5" fillId="2" borderId="0" xfId="5" applyFont="1" applyFill="1" applyAlignment="1">
      <alignment horizontal="right"/>
    </xf>
    <xf numFmtId="0" fontId="7" fillId="2" borderId="0" xfId="2" applyFont="1" applyFill="1" applyAlignment="1">
      <alignment horizontal="center" vertical="center"/>
    </xf>
    <xf numFmtId="0" fontId="2" fillId="2" borderId="1" xfId="2" applyFont="1" applyFill="1" applyBorder="1" applyAlignment="1">
      <alignment horizontal="center" vertical="top"/>
    </xf>
  </cellXfs>
  <cellStyles count="7">
    <cellStyle name="Comma 2" xfId="1"/>
    <cellStyle name="Comma 4" xfId="3"/>
    <cellStyle name="Comma 4 2" xfId="4"/>
    <cellStyle name="Normal" xfId="0" builtinId="0"/>
    <cellStyle name="Normal 2" xfId="2"/>
    <cellStyle name="Normal 2 2" xfId="6"/>
    <cellStyle name="Normal_X-5 (Electricity)" xfId="5"/>
  </cellStyles>
  <dxfs count="0"/>
  <tableStyles count="0" defaultTableStyle="TableStyleMedium9" defaultPivotStyle="PivotStyleLight16"/>
  <colors>
    <mruColors>
      <color rgb="FFFFCC00"/>
      <color rgb="FFFAC090"/>
      <color rgb="FF953735"/>
      <color rgb="FF33CCCC"/>
      <color rgb="FFE7FFFF"/>
      <color rgb="FF1C706E"/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Q22"/>
  <sheetViews>
    <sheetView tabSelected="1" zoomScaleNormal="100" workbookViewId="0">
      <selection activeCell="Q19" sqref="Q19"/>
    </sheetView>
  </sheetViews>
  <sheetFormatPr defaultColWidth="9.140625" defaultRowHeight="12.75" x14ac:dyDescent="0.2"/>
  <cols>
    <col min="1" max="1" width="19.5703125" style="12" customWidth="1"/>
    <col min="2" max="4" width="9.28515625" style="12" hidden="1" customWidth="1"/>
    <col min="5" max="5" width="9.42578125" style="12" hidden="1" customWidth="1"/>
    <col min="6" max="6" width="9.28515625" style="12" bestFit="1" customWidth="1"/>
    <col min="7" max="7" width="9.85546875" style="12" bestFit="1" customWidth="1"/>
    <col min="8" max="12" width="9.7109375" style="12" bestFit="1" customWidth="1"/>
    <col min="13" max="13" width="27.85546875" style="12" customWidth="1"/>
    <col min="14" max="14" width="4.5703125" style="12" customWidth="1"/>
    <col min="15" max="16384" width="9.140625" style="12"/>
  </cols>
  <sheetData>
    <row r="1" spans="1:17" ht="21" x14ac:dyDescent="0.2">
      <c r="A1" s="34" t="s">
        <v>16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13"/>
      <c r="O1" s="13"/>
      <c r="P1" s="13"/>
      <c r="Q1" s="13"/>
    </row>
    <row r="2" spans="1:17" s="14" customFormat="1" ht="18.75" customHeight="1" x14ac:dyDescent="0.25">
      <c r="A2" s="35" t="s">
        <v>17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7" ht="15.75" x14ac:dyDescent="0.2">
      <c r="A3" s="15" t="s">
        <v>4</v>
      </c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2">
        <v>2012</v>
      </c>
      <c r="I3" s="2">
        <v>2013</v>
      </c>
      <c r="J3" s="2">
        <v>2014</v>
      </c>
      <c r="K3" s="2">
        <v>2015</v>
      </c>
      <c r="L3" s="2">
        <v>2016</v>
      </c>
      <c r="M3" s="3" t="s">
        <v>3</v>
      </c>
    </row>
    <row r="4" spans="1:17" ht="24.75" customHeight="1" x14ac:dyDescent="0.2">
      <c r="A4" s="16" t="s">
        <v>15</v>
      </c>
      <c r="B4" s="5">
        <v>902</v>
      </c>
      <c r="C4" s="5">
        <v>979</v>
      </c>
      <c r="D4" s="5">
        <f t="shared" ref="D4:I4" si="0">SUM(D5:D7)</f>
        <v>1040</v>
      </c>
      <c r="E4" s="17">
        <f t="shared" si="0"/>
        <v>1139</v>
      </c>
      <c r="F4" s="17">
        <f t="shared" si="0"/>
        <v>1197</v>
      </c>
      <c r="G4" s="17">
        <f t="shared" si="0"/>
        <v>1300</v>
      </c>
      <c r="H4" s="17">
        <f t="shared" si="0"/>
        <v>1365</v>
      </c>
      <c r="I4" s="17">
        <f t="shared" si="0"/>
        <v>1432</v>
      </c>
      <c r="J4" s="17">
        <f t="shared" ref="J4:K4" si="1">SUM(J5:J7)</f>
        <v>1475</v>
      </c>
      <c r="K4" s="17">
        <f t="shared" si="1"/>
        <v>1547</v>
      </c>
      <c r="L4" s="17">
        <f t="shared" ref="L4" si="2">SUM(L5:L7)</f>
        <v>1634</v>
      </c>
      <c r="M4" s="6" t="s">
        <v>5</v>
      </c>
    </row>
    <row r="5" spans="1:17" ht="24.75" customHeight="1" x14ac:dyDescent="0.2">
      <c r="A5" s="18" t="s">
        <v>6</v>
      </c>
      <c r="B5" s="19">
        <v>818</v>
      </c>
      <c r="C5" s="4">
        <v>885</v>
      </c>
      <c r="D5" s="20">
        <v>943</v>
      </c>
      <c r="E5" s="20">
        <v>1037</v>
      </c>
      <c r="F5" s="20">
        <v>1103</v>
      </c>
      <c r="G5" s="20">
        <v>1185</v>
      </c>
      <c r="H5" s="20">
        <v>1241</v>
      </c>
      <c r="I5" s="20">
        <v>1297</v>
      </c>
      <c r="J5" s="20">
        <v>1339</v>
      </c>
      <c r="K5" s="20">
        <v>1396</v>
      </c>
      <c r="L5" s="20">
        <v>1470</v>
      </c>
      <c r="M5" s="9" t="s">
        <v>7</v>
      </c>
    </row>
    <row r="6" spans="1:17" ht="24.75" customHeight="1" x14ac:dyDescent="0.2">
      <c r="A6" s="18" t="s">
        <v>8</v>
      </c>
      <c r="B6" s="19">
        <v>62</v>
      </c>
      <c r="C6" s="21">
        <v>65</v>
      </c>
      <c r="D6" s="19">
        <v>66</v>
      </c>
      <c r="E6" s="21">
        <v>68</v>
      </c>
      <c r="F6" s="21">
        <v>57</v>
      </c>
      <c r="G6" s="21">
        <v>73</v>
      </c>
      <c r="H6" s="21">
        <v>72</v>
      </c>
      <c r="I6" s="21">
        <v>70</v>
      </c>
      <c r="J6" s="21">
        <v>68</v>
      </c>
      <c r="K6" s="21">
        <v>69</v>
      </c>
      <c r="L6" s="21">
        <v>69</v>
      </c>
      <c r="M6" s="9" t="s">
        <v>9</v>
      </c>
    </row>
    <row r="7" spans="1:17" ht="24.75" customHeight="1" x14ac:dyDescent="0.2">
      <c r="A7" s="22" t="s">
        <v>10</v>
      </c>
      <c r="B7" s="23">
        <v>22</v>
      </c>
      <c r="C7" s="24">
        <v>29</v>
      </c>
      <c r="D7" s="23">
        <v>31</v>
      </c>
      <c r="E7" s="24">
        <v>34</v>
      </c>
      <c r="F7" s="24">
        <v>37</v>
      </c>
      <c r="G7" s="24">
        <v>42</v>
      </c>
      <c r="H7" s="24">
        <v>52</v>
      </c>
      <c r="I7" s="24">
        <v>65</v>
      </c>
      <c r="J7" s="24">
        <v>68</v>
      </c>
      <c r="K7" s="24">
        <v>82</v>
      </c>
      <c r="L7" s="24">
        <v>95</v>
      </c>
      <c r="M7" s="25" t="s">
        <v>11</v>
      </c>
    </row>
    <row r="8" spans="1:17" ht="24.75" customHeight="1" x14ac:dyDescent="0.2">
      <c r="A8" s="16" t="s">
        <v>12</v>
      </c>
      <c r="B8" s="5">
        <v>100</v>
      </c>
      <c r="C8" s="5">
        <v>100</v>
      </c>
      <c r="D8" s="5">
        <f t="shared" ref="D8:I8" si="3">SUM(D9:D11)</f>
        <v>99.999999999999986</v>
      </c>
      <c r="E8" s="26">
        <f t="shared" si="3"/>
        <v>100</v>
      </c>
      <c r="F8" s="5">
        <f t="shared" si="3"/>
        <v>100</v>
      </c>
      <c r="G8" s="5">
        <f t="shared" si="3"/>
        <v>99.999999999999986</v>
      </c>
      <c r="H8" s="5">
        <f t="shared" si="3"/>
        <v>100</v>
      </c>
      <c r="I8" s="5">
        <f t="shared" si="3"/>
        <v>100.00000000000001</v>
      </c>
      <c r="J8" s="5">
        <f t="shared" ref="J8:K8" si="4">SUM(J9:J11)</f>
        <v>100</v>
      </c>
      <c r="K8" s="5">
        <f t="shared" si="4"/>
        <v>100</v>
      </c>
      <c r="L8" s="5">
        <f t="shared" ref="L8" si="5">SUM(L9:L11)</f>
        <v>100</v>
      </c>
      <c r="M8" s="6" t="s">
        <v>0</v>
      </c>
    </row>
    <row r="9" spans="1:17" ht="24.75" customHeight="1" x14ac:dyDescent="0.2">
      <c r="A9" s="18" t="s">
        <v>6</v>
      </c>
      <c r="B9" s="19">
        <v>90.687361419068736</v>
      </c>
      <c r="C9" s="19">
        <v>90.398365679264558</v>
      </c>
      <c r="D9" s="19">
        <f t="shared" ref="D9:H9" si="6">D5/D4*100</f>
        <v>90.67307692307692</v>
      </c>
      <c r="E9" s="19">
        <f t="shared" si="6"/>
        <v>91.044776119402982</v>
      </c>
      <c r="F9" s="19">
        <f t="shared" si="6"/>
        <v>92.147034252297416</v>
      </c>
      <c r="G9" s="19">
        <f t="shared" si="6"/>
        <v>91.153846153846146</v>
      </c>
      <c r="H9" s="19">
        <f t="shared" si="6"/>
        <v>90.91575091575092</v>
      </c>
      <c r="I9" s="28">
        <f>I5/I4*100</f>
        <v>90.572625698324032</v>
      </c>
      <c r="J9" s="28">
        <f>J5/J4*100</f>
        <v>90.779661016949149</v>
      </c>
      <c r="K9" s="28">
        <f>K5/K4*100</f>
        <v>90.239172592113775</v>
      </c>
      <c r="L9" s="28">
        <f>L5/L4*100</f>
        <v>89.963280293757649</v>
      </c>
      <c r="M9" s="9" t="s">
        <v>7</v>
      </c>
    </row>
    <row r="10" spans="1:17" ht="24.75" customHeight="1" x14ac:dyDescent="0.2">
      <c r="A10" s="18" t="s">
        <v>8</v>
      </c>
      <c r="B10" s="19">
        <v>6.8736141906873618</v>
      </c>
      <c r="C10" s="19">
        <v>6.6394279877425948</v>
      </c>
      <c r="D10" s="19">
        <f t="shared" ref="D10:H10" si="7">D6/D4*100</f>
        <v>6.3461538461538458</v>
      </c>
      <c r="E10" s="19">
        <f t="shared" si="7"/>
        <v>5.9701492537313428</v>
      </c>
      <c r="F10" s="19">
        <f t="shared" si="7"/>
        <v>4.7619047619047619</v>
      </c>
      <c r="G10" s="19">
        <f t="shared" si="7"/>
        <v>5.615384615384615</v>
      </c>
      <c r="H10" s="19">
        <f t="shared" si="7"/>
        <v>5.2747252747252746</v>
      </c>
      <c r="I10" s="28">
        <f>I6/I4*100</f>
        <v>4.8882681564245809</v>
      </c>
      <c r="J10" s="28">
        <f>J6/J4*100</f>
        <v>4.6101694915254239</v>
      </c>
      <c r="K10" s="28">
        <f>K6/K4*100</f>
        <v>4.4602456367162251</v>
      </c>
      <c r="L10" s="28">
        <f>L6/L4*100</f>
        <v>4.222766217870257</v>
      </c>
      <c r="M10" s="9" t="s">
        <v>9</v>
      </c>
    </row>
    <row r="11" spans="1:17" ht="24.75" customHeight="1" x14ac:dyDescent="0.2">
      <c r="A11" s="22" t="s">
        <v>10</v>
      </c>
      <c r="B11" s="23">
        <v>2.4390243902439024</v>
      </c>
      <c r="C11" s="23">
        <v>2.9622063329928499</v>
      </c>
      <c r="D11" s="23">
        <f t="shared" ref="D11:I11" si="8">D7/D4*100</f>
        <v>2.9807692307692308</v>
      </c>
      <c r="E11" s="23">
        <f t="shared" si="8"/>
        <v>2.9850746268656714</v>
      </c>
      <c r="F11" s="23">
        <f t="shared" si="8"/>
        <v>3.091060985797828</v>
      </c>
      <c r="G11" s="23">
        <f t="shared" si="8"/>
        <v>3.2307692307692308</v>
      </c>
      <c r="H11" s="23">
        <f t="shared" si="8"/>
        <v>3.8095238095238098</v>
      </c>
      <c r="I11" s="23">
        <f t="shared" si="8"/>
        <v>4.539106145251397</v>
      </c>
      <c r="J11" s="23">
        <f t="shared" ref="J11:K11" si="9">J7/J4*100</f>
        <v>4.6101694915254239</v>
      </c>
      <c r="K11" s="23">
        <f t="shared" si="9"/>
        <v>5.3005817711700063</v>
      </c>
      <c r="L11" s="23">
        <f t="shared" ref="L11" si="10">L7/L4*100</f>
        <v>5.8139534883720927</v>
      </c>
      <c r="M11" s="10" t="s">
        <v>11</v>
      </c>
    </row>
    <row r="12" spans="1:17" ht="24.75" customHeight="1" x14ac:dyDescent="0.2">
      <c r="A12" s="16" t="s">
        <v>1</v>
      </c>
      <c r="B12" s="27">
        <v>9.4660194174757279</v>
      </c>
      <c r="C12" s="5">
        <v>8.536585365853659</v>
      </c>
      <c r="D12" s="28">
        <f t="shared" ref="D12:H15" si="11">(D4-C4)/C4*100</f>
        <v>6.2308478038815114</v>
      </c>
      <c r="E12" s="27">
        <f t="shared" si="11"/>
        <v>9.5192307692307683</v>
      </c>
      <c r="F12" s="27">
        <f t="shared" si="11"/>
        <v>5.0921861281826164</v>
      </c>
      <c r="G12" s="27">
        <f t="shared" si="11"/>
        <v>8.6048454469507103</v>
      </c>
      <c r="H12" s="27">
        <f t="shared" si="11"/>
        <v>5</v>
      </c>
      <c r="I12" s="27">
        <f t="shared" ref="I12:L15" si="12">(I4-H4)/H4*100</f>
        <v>4.9084249084249088</v>
      </c>
      <c r="J12" s="27">
        <f t="shared" si="12"/>
        <v>3.0027932960893855</v>
      </c>
      <c r="K12" s="27">
        <f t="shared" si="12"/>
        <v>4.8813559322033901</v>
      </c>
      <c r="L12" s="27">
        <f t="shared" si="12"/>
        <v>5.6237879767291536</v>
      </c>
      <c r="M12" s="6" t="s">
        <v>2</v>
      </c>
    </row>
    <row r="13" spans="1:17" ht="24.75" customHeight="1" x14ac:dyDescent="0.2">
      <c r="A13" s="29" t="s">
        <v>6</v>
      </c>
      <c r="B13" s="28">
        <v>10.242587601078167</v>
      </c>
      <c r="C13" s="19">
        <v>8.1907090464547672</v>
      </c>
      <c r="D13" s="28">
        <f t="shared" si="11"/>
        <v>6.5536723163841808</v>
      </c>
      <c r="E13" s="28">
        <f t="shared" si="11"/>
        <v>9.9681866383881221</v>
      </c>
      <c r="F13" s="28">
        <f t="shared" si="11"/>
        <v>6.3645130183220839</v>
      </c>
      <c r="G13" s="28">
        <f t="shared" si="11"/>
        <v>7.43427017225748</v>
      </c>
      <c r="H13" s="28">
        <f t="shared" si="11"/>
        <v>4.7257383966244726</v>
      </c>
      <c r="I13" s="28">
        <f t="shared" si="12"/>
        <v>4.5124899274778407</v>
      </c>
      <c r="J13" s="28">
        <f t="shared" si="12"/>
        <v>3.2382420971472627</v>
      </c>
      <c r="K13" s="28">
        <f t="shared" si="12"/>
        <v>4.2569081404032856</v>
      </c>
      <c r="L13" s="28">
        <f t="shared" si="12"/>
        <v>5.3008595988538678</v>
      </c>
      <c r="M13" s="9" t="s">
        <v>7</v>
      </c>
    </row>
    <row r="14" spans="1:17" ht="24.75" customHeight="1" x14ac:dyDescent="0.2">
      <c r="A14" s="29" t="s">
        <v>8</v>
      </c>
      <c r="B14" s="28">
        <v>3.3333333333333335</v>
      </c>
      <c r="C14" s="19">
        <v>4.838709677419355</v>
      </c>
      <c r="D14" s="28">
        <f t="shared" si="11"/>
        <v>1.5384615384615385</v>
      </c>
      <c r="E14" s="28">
        <f t="shared" si="11"/>
        <v>3.0303030303030303</v>
      </c>
      <c r="F14" s="28">
        <f t="shared" si="11"/>
        <v>-16.176470588235293</v>
      </c>
      <c r="G14" s="28">
        <f t="shared" si="11"/>
        <v>28.07017543859649</v>
      </c>
      <c r="H14" s="28">
        <f t="shared" si="11"/>
        <v>-1.3698630136986301</v>
      </c>
      <c r="I14" s="28">
        <f t="shared" si="12"/>
        <v>-2.7777777777777777</v>
      </c>
      <c r="J14" s="28">
        <f t="shared" si="12"/>
        <v>-2.8571428571428572</v>
      </c>
      <c r="K14" s="28">
        <f t="shared" si="12"/>
        <v>1.4705882352941175</v>
      </c>
      <c r="L14" s="28">
        <f t="shared" si="12"/>
        <v>0</v>
      </c>
      <c r="M14" s="9" t="s">
        <v>9</v>
      </c>
    </row>
    <row r="15" spans="1:17" ht="24.75" customHeight="1" x14ac:dyDescent="0.2">
      <c r="A15" s="30" t="s">
        <v>10</v>
      </c>
      <c r="B15" s="7">
        <v>0</v>
      </c>
      <c r="C15" s="7">
        <v>31.818181818181817</v>
      </c>
      <c r="D15" s="7">
        <f t="shared" si="11"/>
        <v>6.8965517241379306</v>
      </c>
      <c r="E15" s="7">
        <f t="shared" si="11"/>
        <v>9.67741935483871</v>
      </c>
      <c r="F15" s="7">
        <f t="shared" si="11"/>
        <v>8.8235294117647065</v>
      </c>
      <c r="G15" s="7">
        <f t="shared" si="11"/>
        <v>13.513513513513514</v>
      </c>
      <c r="H15" s="7">
        <f t="shared" si="11"/>
        <v>23.809523809523807</v>
      </c>
      <c r="I15" s="7">
        <f t="shared" si="12"/>
        <v>25</v>
      </c>
      <c r="J15" s="7">
        <f t="shared" si="12"/>
        <v>4.6153846153846159</v>
      </c>
      <c r="K15" s="7">
        <f t="shared" si="12"/>
        <v>20.588235294117645</v>
      </c>
      <c r="L15" s="7">
        <f t="shared" si="12"/>
        <v>15.853658536585366</v>
      </c>
      <c r="M15" s="11" t="s">
        <v>11</v>
      </c>
    </row>
    <row r="16" spans="1:17" ht="15.75" x14ac:dyDescent="0.4">
      <c r="A16" s="8" t="s">
        <v>14</v>
      </c>
      <c r="B16" s="1"/>
      <c r="C16" s="1"/>
      <c r="D16" s="1"/>
      <c r="E16" s="1"/>
      <c r="F16" s="1"/>
      <c r="G16" s="1"/>
      <c r="H16" s="33"/>
      <c r="I16" s="33"/>
      <c r="J16" s="33"/>
      <c r="K16" s="33"/>
      <c r="L16" s="33"/>
      <c r="M16" s="31" t="s">
        <v>13</v>
      </c>
    </row>
    <row r="18" spans="3:12" x14ac:dyDescent="0.2">
      <c r="C18" s="32"/>
      <c r="D18" s="32"/>
      <c r="E18" s="32"/>
      <c r="F18" s="32"/>
      <c r="G18" s="32"/>
      <c r="H18" s="32"/>
      <c r="I18" s="32"/>
      <c r="J18" s="32"/>
      <c r="K18" s="32"/>
      <c r="L18" s="32"/>
    </row>
    <row r="19" spans="3:12" x14ac:dyDescent="0.2">
      <c r="C19" s="32"/>
      <c r="D19" s="32"/>
      <c r="E19" s="32"/>
      <c r="F19" s="32"/>
      <c r="G19" s="32"/>
      <c r="H19" s="32"/>
      <c r="I19" s="32"/>
      <c r="J19" s="32"/>
      <c r="K19" s="32"/>
      <c r="L19" s="32"/>
    </row>
    <row r="20" spans="3:12" x14ac:dyDescent="0.2">
      <c r="C20" s="32"/>
      <c r="D20" s="32"/>
      <c r="E20" s="32"/>
      <c r="F20" s="32"/>
      <c r="G20" s="32"/>
      <c r="H20" s="32"/>
      <c r="I20" s="32"/>
      <c r="J20" s="32"/>
      <c r="K20" s="32"/>
      <c r="L20" s="32"/>
    </row>
    <row r="21" spans="3:12" x14ac:dyDescent="0.2">
      <c r="C21" s="32"/>
      <c r="D21" s="32"/>
      <c r="E21" s="32"/>
      <c r="F21" s="32"/>
      <c r="G21" s="32"/>
      <c r="H21" s="32"/>
      <c r="I21" s="32"/>
      <c r="J21" s="32"/>
      <c r="K21" s="32"/>
      <c r="L21" s="32"/>
    </row>
    <row r="22" spans="3:12" x14ac:dyDescent="0.2">
      <c r="C22" s="32"/>
      <c r="D22" s="32"/>
      <c r="E22" s="32"/>
      <c r="F22" s="32"/>
      <c r="G22" s="32"/>
      <c r="H22" s="32"/>
      <c r="I22" s="32"/>
      <c r="J22" s="32"/>
      <c r="K22" s="32"/>
      <c r="L22" s="32"/>
    </row>
  </sheetData>
  <mergeCells count="2">
    <mergeCell ref="A1:M1"/>
    <mergeCell ref="A2:M2"/>
  </mergeCells>
  <pageMargins left="0.17" right="0.27" top="0.75" bottom="0.75" header="0.3" footer="0.3"/>
  <pageSetup paperSize="9" scale="97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12.15</vt:lpstr>
      <vt:lpstr>'12.15'!Print_Area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2017-06-15T07:15:21Z</cp:lastPrinted>
  <dcterms:created xsi:type="dcterms:W3CDTF">2015-01-12T08:51:45Z</dcterms:created>
  <dcterms:modified xsi:type="dcterms:W3CDTF">2017-06-15T07:15:29Z</dcterms:modified>
</cp:coreProperties>
</file>