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7\WEB\Shahuda not checked\4. HOUSING &amp; PUBLIC INFRASTRUCTURE\"/>
    </mc:Choice>
  </mc:AlternateContent>
  <bookViews>
    <workbookView xWindow="120" yWindow="525" windowWidth="15120" windowHeight="7590" tabRatio="725"/>
  </bookViews>
  <sheets>
    <sheet name="4.7" sheetId="21" r:id="rId1"/>
  </sheets>
  <definedNames>
    <definedName name="_xlnm.Print_Area" localSheetId="0">'4.7'!$A$1:$F$19</definedName>
  </definedNames>
  <calcPr calcId="162913"/>
</workbook>
</file>

<file path=xl/calcChain.xml><?xml version="1.0" encoding="utf-8"?>
<calcChain xmlns="http://schemas.openxmlformats.org/spreadsheetml/2006/main">
  <c r="D18" i="21" l="1"/>
</calcChain>
</file>

<file path=xl/sharedStrings.xml><?xml version="1.0" encoding="utf-8"?>
<sst xmlns="http://schemas.openxmlformats.org/spreadsheetml/2006/main" count="73" uniqueCount="53">
  <si>
    <t>S</t>
  </si>
  <si>
    <t>Atoll</t>
  </si>
  <si>
    <t>Island</t>
  </si>
  <si>
    <t>ޚަރަދުކުރާ ފަރާތް</t>
  </si>
  <si>
    <t>ޚަރަދު</t>
  </si>
  <si>
    <t>ރަށް</t>
  </si>
  <si>
    <t>އަތޮޅު</t>
  </si>
  <si>
    <t>Funding Source</t>
  </si>
  <si>
    <t>ޖުމްލަ ޚަރަދު (ރުފިޔާ)</t>
  </si>
  <si>
    <t xml:space="preserve">Source: Ministry of Housing and Infrastructure </t>
  </si>
  <si>
    <t>މަޢުލޫމާތުދެއްވި ފަރާތް:  މިނިސްޓްރީ އޮފް ހައުސިން އެންޑް އިންފަރާސްޓްރަކްޗަރ</t>
  </si>
  <si>
    <t>ދ</t>
  </si>
  <si>
    <t>ގދ</t>
  </si>
  <si>
    <t>ރ</t>
  </si>
  <si>
    <t>Kudahuvadhoo</t>
  </si>
  <si>
    <t>ސ</t>
  </si>
  <si>
    <t>ކުޑަހުވަދޫ</t>
  </si>
  <si>
    <t>ވިލިނގިލި</t>
  </si>
  <si>
    <t>ތިނަދޫ</t>
  </si>
  <si>
    <t>Dh.</t>
  </si>
  <si>
    <t>Thinadhoo</t>
  </si>
  <si>
    <t>ލ</t>
  </si>
  <si>
    <t>ޏ</t>
  </si>
  <si>
    <t>Gn</t>
  </si>
  <si>
    <t>Cost (MRF)</t>
  </si>
  <si>
    <t>GRAND TOTAL VALUE (MVR)</t>
  </si>
  <si>
    <t>K</t>
  </si>
  <si>
    <t>ހުޅުމާލެ</t>
  </si>
  <si>
    <t>ކ</t>
  </si>
  <si>
    <t>GDh</t>
  </si>
  <si>
    <t>ގައްދޫ</t>
  </si>
  <si>
    <t>Hithadhoo</t>
  </si>
  <si>
    <t>ހިތަދޫ</t>
  </si>
  <si>
    <t>Madaveli</t>
  </si>
  <si>
    <t>މަޑަވެލި</t>
  </si>
  <si>
    <t>Developer Finance</t>
  </si>
  <si>
    <t>Hulhumale</t>
  </si>
  <si>
    <t>Govt Consession Loan</t>
  </si>
  <si>
    <t>Hoadedhoo</t>
  </si>
  <si>
    <t>Gadhdhoo</t>
  </si>
  <si>
    <t>Foahmulah</t>
  </si>
  <si>
    <t>Hulhudhoo/Meedhoo</t>
  </si>
  <si>
    <t>Viligili</t>
  </si>
  <si>
    <t>ދުވާފަރު</t>
  </si>
  <si>
    <t xml:space="preserve">ފޮނަދޫ </t>
  </si>
  <si>
    <t xml:space="preserve">R. </t>
  </si>
  <si>
    <t xml:space="preserve">L. </t>
  </si>
  <si>
    <t xml:space="preserve">Dhuvaafaru </t>
  </si>
  <si>
    <t xml:space="preserve">Fonadhoo </t>
  </si>
  <si>
    <t>ހޯނޑެއްދޫ</t>
  </si>
  <si>
    <t>ފުވައްމުލަށް</t>
  </si>
  <si>
    <t>ހުޅުދޫ / މީދު</t>
  </si>
  <si>
    <t>Table 4.7: COMPLETED  HOUSING PROJECTS,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</si>
</sst>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(* #,##0.00_);_(* \(#,##0.00\);_(* &quot;-&quot;??_);_(@_)"/>
    <numFmt numFmtId="164" formatCode="_-* #,##0.00_-;\-* #,##0.00_-;_-* &quot;-&quot;??_-;_-@_-"/>
    <numFmt numFmtId="165" formatCode="&quot;$&quot;#,##0.00"/>
    <numFmt numFmtId="166" formatCode="_(* #,##0_);_(* \(#,##0\);_(* &quot;-&quot;??_);_(@_)"/>
    <numFmt numFmtId="167" formatCode="General_)"/>
    <numFmt numFmtId="169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10"/>
      <name val="Courier"/>
      <family val="3"/>
    </font>
    <font>
      <sz val="9"/>
      <color theme="1"/>
      <name val="Faruma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1"/>
      <color theme="1"/>
      <name val="Faruma"/>
    </font>
    <font>
      <b/>
      <sz val="10"/>
      <color theme="1"/>
      <name val="Faruma"/>
    </font>
    <font>
      <b/>
      <sz val="11"/>
      <color theme="1"/>
      <name val="Faruma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rgb="FF22222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theme="1" tint="4.9989318521683403E-2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165" fontId="4" fillId="0" borderId="0"/>
    <xf numFmtId="166" fontId="4" fillId="0" borderId="0"/>
    <xf numFmtId="0" fontId="2" fillId="0" borderId="0" applyFont="0" applyFill="0" applyBorder="0" applyAlignment="0" applyProtection="0"/>
    <xf numFmtId="0" fontId="7" fillId="0" borderId="0" applyNumberFormat="0" applyFill="0" applyBorder="0" applyAlignment="0" applyProtection="0">
      <alignment vertical="top"/>
      <protection locked="0"/>
    </xf>
    <xf numFmtId="164" fontId="11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</cellStyleXfs>
  <cellXfs count="38">
    <xf numFmtId="0" fontId="0" fillId="0" borderId="0" xfId="0"/>
    <xf numFmtId="167" fontId="5" fillId="2" borderId="0" xfId="1" applyNumberFormat="1" applyFont="1" applyFill="1" applyAlignment="1">
      <alignment horizontal="right" vertical="center"/>
    </xf>
    <xf numFmtId="0" fontId="0" fillId="2" borderId="0" xfId="0" applyFill="1"/>
    <xf numFmtId="0" fontId="3" fillId="2" borderId="0" xfId="0" applyFont="1" applyFill="1" applyAlignment="1">
      <alignment horizontal="left" vertical="center"/>
    </xf>
    <xf numFmtId="4" fontId="9" fillId="2" borderId="3" xfId="0" applyNumberFormat="1" applyFont="1" applyFill="1" applyBorder="1" applyAlignment="1">
      <alignment horizontal="right" vertical="center"/>
    </xf>
    <xf numFmtId="4" fontId="6" fillId="2" borderId="1" xfId="0" applyNumberFormat="1" applyFont="1" applyFill="1" applyBorder="1" applyAlignment="1">
      <alignment horizontal="right" vertical="center" wrapText="1"/>
    </xf>
    <xf numFmtId="4" fontId="8" fillId="2" borderId="0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4" fontId="8" fillId="2" borderId="0" xfId="0" applyNumberFormat="1" applyFont="1" applyFill="1" applyBorder="1" applyAlignment="1">
      <alignment vertical="center"/>
    </xf>
    <xf numFmtId="0" fontId="0" fillId="2" borderId="0" xfId="0" applyFill="1" applyAlignment="1">
      <alignment horizontal="right" vertical="center"/>
    </xf>
    <xf numFmtId="4" fontId="9" fillId="2" borderId="0" xfId="0" applyNumberFormat="1" applyFont="1" applyFill="1" applyBorder="1" applyAlignment="1">
      <alignment horizontal="right" vertical="center"/>
    </xf>
    <xf numFmtId="4" fontId="0" fillId="2" borderId="0" xfId="0" applyNumberFormat="1" applyFill="1" applyBorder="1" applyAlignment="1">
      <alignment horizontal="right" vertical="center"/>
    </xf>
    <xf numFmtId="169" fontId="0" fillId="2" borderId="0" xfId="0" applyNumberFormat="1" applyFont="1" applyFill="1" applyBorder="1" applyAlignment="1">
      <alignment horizontal="right" vertical="center" wrapText="1"/>
    </xf>
    <xf numFmtId="0" fontId="0" fillId="2" borderId="0" xfId="0" applyFill="1" applyAlignment="1">
      <alignment horizontal="left" vertical="center" indent="2"/>
    </xf>
    <xf numFmtId="4" fontId="0" fillId="2" borderId="0" xfId="0" applyNumberFormat="1" applyFill="1" applyBorder="1" applyAlignment="1">
      <alignment horizontal="left" vertical="center" indent="2"/>
    </xf>
    <xf numFmtId="0" fontId="0" fillId="2" borderId="0" xfId="0" applyFill="1" applyAlignment="1">
      <alignment horizontal="center" vertical="center"/>
    </xf>
    <xf numFmtId="169" fontId="0" fillId="2" borderId="0" xfId="0" applyNumberFormat="1" applyFill="1" applyAlignment="1">
      <alignment horizontal="right" vertical="center"/>
    </xf>
    <xf numFmtId="4" fontId="6" fillId="2" borderId="0" xfId="0" applyNumberFormat="1" applyFont="1" applyFill="1" applyBorder="1" applyAlignment="1">
      <alignment horizontal="center" vertical="center"/>
    </xf>
    <xf numFmtId="4" fontId="6" fillId="2" borderId="0" xfId="0" applyNumberFormat="1" applyFont="1" applyFill="1" applyBorder="1" applyAlignment="1">
      <alignment horizontal="left" vertical="center" wrapText="1" indent="2"/>
    </xf>
    <xf numFmtId="4" fontId="6" fillId="2" borderId="0" xfId="0" applyNumberFormat="1" applyFont="1" applyFill="1" applyBorder="1" applyAlignment="1">
      <alignment horizontal="right" vertical="center" wrapText="1"/>
    </xf>
    <xf numFmtId="4" fontId="9" fillId="2" borderId="0" xfId="0" applyNumberFormat="1" applyFont="1" applyFill="1" applyBorder="1" applyAlignment="1">
      <alignment horizontal="center" vertical="center"/>
    </xf>
    <xf numFmtId="3" fontId="1" fillId="2" borderId="4" xfId="0" applyNumberFormat="1" applyFont="1" applyFill="1" applyBorder="1" applyAlignment="1">
      <alignment vertical="center"/>
    </xf>
    <xf numFmtId="4" fontId="0" fillId="2" borderId="4" xfId="0" applyNumberFormat="1" applyFont="1" applyFill="1" applyBorder="1" applyAlignment="1">
      <alignment horizontal="center" vertical="center"/>
    </xf>
    <xf numFmtId="4" fontId="0" fillId="2" borderId="4" xfId="0" applyNumberFormat="1" applyFill="1" applyBorder="1" applyAlignment="1">
      <alignment horizontal="right" vertical="center"/>
    </xf>
    <xf numFmtId="169" fontId="1" fillId="2" borderId="4" xfId="0" applyNumberFormat="1" applyFont="1" applyFill="1" applyBorder="1" applyAlignment="1">
      <alignment horizontal="right" vertical="center"/>
    </xf>
    <xf numFmtId="0" fontId="12" fillId="2" borderId="0" xfId="0" applyFont="1" applyFill="1" applyBorder="1" applyAlignment="1">
      <alignment horizontal="left" vertical="center" indent="1"/>
    </xf>
    <xf numFmtId="0" fontId="12" fillId="2" borderId="0" xfId="0" applyFont="1" applyFill="1" applyBorder="1" applyAlignment="1">
      <alignment horizontal="left" vertical="center" indent="2"/>
    </xf>
    <xf numFmtId="4" fontId="0" fillId="2" borderId="0" xfId="0" applyNumberFormat="1" applyFill="1" applyBorder="1" applyAlignment="1">
      <alignment horizontal="left" vertical="center" indent="1"/>
    </xf>
    <xf numFmtId="0" fontId="10" fillId="2" borderId="4" xfId="0" applyFont="1" applyFill="1" applyBorder="1" applyAlignment="1">
      <alignment horizontal="right" vertical="center"/>
    </xf>
    <xf numFmtId="0" fontId="13" fillId="2" borderId="0" xfId="0" applyFont="1" applyFill="1" applyAlignment="1">
      <alignment horizontal="center"/>
    </xf>
    <xf numFmtId="4" fontId="6" fillId="2" borderId="2" xfId="0" applyNumberFormat="1" applyFont="1" applyFill="1" applyBorder="1" applyAlignment="1">
      <alignment horizontal="center" vertical="center"/>
    </xf>
    <xf numFmtId="4" fontId="6" fillId="2" borderId="1" xfId="0" applyNumberFormat="1" applyFont="1" applyFill="1" applyBorder="1" applyAlignment="1">
      <alignment horizontal="center" vertical="center"/>
    </xf>
    <xf numFmtId="4" fontId="6" fillId="2" borderId="2" xfId="0" applyNumberFormat="1" applyFont="1" applyFill="1" applyBorder="1" applyAlignment="1">
      <alignment horizontal="left" vertical="center" wrapText="1" indent="2"/>
    </xf>
    <xf numFmtId="4" fontId="6" fillId="2" borderId="1" xfId="0" applyNumberFormat="1" applyFont="1" applyFill="1" applyBorder="1" applyAlignment="1">
      <alignment horizontal="left" vertical="center" wrapText="1" indent="2"/>
    </xf>
    <xf numFmtId="4" fontId="9" fillId="2" borderId="2" xfId="0" applyNumberFormat="1" applyFont="1" applyFill="1" applyBorder="1" applyAlignment="1">
      <alignment horizontal="right" vertical="center"/>
    </xf>
    <xf numFmtId="4" fontId="9" fillId="2" borderId="1" xfId="0" applyNumberFormat="1" applyFont="1" applyFill="1" applyBorder="1" applyAlignment="1">
      <alignment horizontal="right" vertical="center"/>
    </xf>
    <xf numFmtId="4" fontId="9" fillId="2" borderId="2" xfId="0" applyNumberFormat="1" applyFont="1" applyFill="1" applyBorder="1" applyAlignment="1">
      <alignment horizontal="center" vertical="center"/>
    </xf>
    <xf numFmtId="4" fontId="9" fillId="2" borderId="1" xfId="0" applyNumberFormat="1" applyFont="1" applyFill="1" applyBorder="1" applyAlignment="1">
      <alignment horizontal="center" vertical="center"/>
    </xf>
  </cellXfs>
  <cellStyles count="9">
    <cellStyle name="Comma 2" xfId="3"/>
    <cellStyle name="Comma 2 3" xfId="6"/>
    <cellStyle name="Comma 3" xfId="5"/>
    <cellStyle name="Hyperlink_Housing - 3" xfId="4"/>
    <cellStyle name="Normal" xfId="0" builtinId="0"/>
    <cellStyle name="Normal 2" xfId="2"/>
    <cellStyle name="Normal 2 2" xfId="7"/>
    <cellStyle name="Normal_3 Population." xfId="1"/>
    <cellStyle name="Percent 2" xfId="8"/>
  </cellStyles>
  <dxfs count="0"/>
  <tableStyles count="0" defaultTableStyle="TableStyleMedium9" defaultPivotStyle="PivotStyleLight16"/>
  <colors>
    <mruColors>
      <color rgb="FFEFFFFF"/>
      <color rgb="FFBDFFFF"/>
      <color rgb="FF33CCCC"/>
      <color rgb="FF1C70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F20"/>
  <sheetViews>
    <sheetView tabSelected="1" zoomScaleNormal="100" workbookViewId="0">
      <selection activeCell="O14" sqref="O14"/>
    </sheetView>
  </sheetViews>
  <sheetFormatPr defaultColWidth="18.5703125" defaultRowHeight="15" x14ac:dyDescent="0.25"/>
  <cols>
    <col min="1" max="1" width="7.42578125" style="15" customWidth="1"/>
    <col min="2" max="2" width="25.140625" style="13" customWidth="1"/>
    <col min="3" max="3" width="21.42578125" style="9" customWidth="1"/>
    <col min="4" max="4" width="18.5703125" style="9"/>
    <col min="5" max="5" width="18.85546875" style="2" customWidth="1"/>
    <col min="6" max="6" width="7.28515625" style="15" customWidth="1"/>
    <col min="7" max="11" width="9.42578125" style="2" customWidth="1"/>
    <col min="12" max="12" width="12.28515625" style="2" customWidth="1"/>
    <col min="13" max="81" width="9.42578125" style="2" customWidth="1"/>
    <col min="82" max="127" width="4.42578125" style="2" customWidth="1"/>
    <col min="128" max="16384" width="18.5703125" style="2"/>
  </cols>
  <sheetData>
    <row r="1" spans="1:6" ht="18.75" x14ac:dyDescent="0.25">
      <c r="A1" s="17"/>
      <c r="B1" s="18"/>
      <c r="C1" s="19"/>
      <c r="D1" s="19"/>
      <c r="E1" s="10"/>
      <c r="F1" s="20"/>
    </row>
    <row r="2" spans="1:6" ht="15.75" x14ac:dyDescent="0.25">
      <c r="A2" s="29" t="s">
        <v>52</v>
      </c>
      <c r="B2" s="29"/>
      <c r="C2" s="29"/>
      <c r="D2" s="29"/>
      <c r="E2" s="29"/>
      <c r="F2" s="29"/>
    </row>
    <row r="3" spans="1:6" x14ac:dyDescent="0.25">
      <c r="A3" s="2"/>
      <c r="B3" s="2"/>
      <c r="C3" s="2"/>
      <c r="D3" s="2"/>
      <c r="F3" s="2"/>
    </row>
    <row r="4" spans="1:6" ht="18.75" x14ac:dyDescent="0.25">
      <c r="A4" s="30" t="s">
        <v>1</v>
      </c>
      <c r="B4" s="32" t="s">
        <v>2</v>
      </c>
      <c r="C4" s="4" t="s">
        <v>3</v>
      </c>
      <c r="D4" s="4" t="s">
        <v>4</v>
      </c>
      <c r="E4" s="34" t="s">
        <v>5</v>
      </c>
      <c r="F4" s="36" t="s">
        <v>6</v>
      </c>
    </row>
    <row r="5" spans="1:6" x14ac:dyDescent="0.25">
      <c r="A5" s="31"/>
      <c r="B5" s="33"/>
      <c r="C5" s="5" t="s">
        <v>7</v>
      </c>
      <c r="D5" s="5" t="s">
        <v>24</v>
      </c>
      <c r="E5" s="35"/>
      <c r="F5" s="37"/>
    </row>
    <row r="6" spans="1:6" ht="21" x14ac:dyDescent="0.25">
      <c r="A6" s="25" t="s">
        <v>19</v>
      </c>
      <c r="B6" s="26" t="s">
        <v>14</v>
      </c>
      <c r="C6" s="27" t="s">
        <v>35</v>
      </c>
      <c r="D6" s="12">
        <v>40863000</v>
      </c>
      <c r="E6" s="8" t="s">
        <v>16</v>
      </c>
      <c r="F6" s="6" t="s">
        <v>11</v>
      </c>
    </row>
    <row r="7" spans="1:6" ht="21" x14ac:dyDescent="0.25">
      <c r="A7" s="25" t="s">
        <v>45</v>
      </c>
      <c r="B7" s="26" t="s">
        <v>47</v>
      </c>
      <c r="C7" s="27" t="s">
        <v>35</v>
      </c>
      <c r="D7" s="12">
        <v>58596000</v>
      </c>
      <c r="E7" s="8" t="s">
        <v>43</v>
      </c>
      <c r="F7" s="6" t="s">
        <v>13</v>
      </c>
    </row>
    <row r="8" spans="1:6" ht="21" x14ac:dyDescent="0.25">
      <c r="A8" s="25" t="s">
        <v>46</v>
      </c>
      <c r="B8" s="26" t="s">
        <v>48</v>
      </c>
      <c r="C8" s="27" t="s">
        <v>35</v>
      </c>
      <c r="D8" s="12">
        <v>65535000</v>
      </c>
      <c r="E8" s="8" t="s">
        <v>44</v>
      </c>
      <c r="F8" s="6" t="s">
        <v>21</v>
      </c>
    </row>
    <row r="9" spans="1:6" ht="21" x14ac:dyDescent="0.25">
      <c r="A9" s="27" t="s">
        <v>26</v>
      </c>
      <c r="B9" s="14" t="s">
        <v>36</v>
      </c>
      <c r="C9" s="11" t="s">
        <v>37</v>
      </c>
      <c r="D9" s="12">
        <v>1139846400</v>
      </c>
      <c r="E9" s="8" t="s">
        <v>27</v>
      </c>
      <c r="F9" s="6" t="s">
        <v>28</v>
      </c>
    </row>
    <row r="10" spans="1:6" ht="21" x14ac:dyDescent="0.25">
      <c r="A10" s="27" t="s">
        <v>29</v>
      </c>
      <c r="B10" s="14" t="s">
        <v>33</v>
      </c>
      <c r="C10" s="11" t="s">
        <v>37</v>
      </c>
      <c r="D10" s="12">
        <v>35620200</v>
      </c>
      <c r="E10" s="8" t="s">
        <v>34</v>
      </c>
      <c r="F10" s="6" t="s">
        <v>12</v>
      </c>
    </row>
    <row r="11" spans="1:6" ht="21" x14ac:dyDescent="0.25">
      <c r="A11" s="27" t="s">
        <v>29</v>
      </c>
      <c r="B11" s="14" t="s">
        <v>20</v>
      </c>
      <c r="C11" s="11" t="s">
        <v>37</v>
      </c>
      <c r="D11" s="12">
        <v>194292000</v>
      </c>
      <c r="E11" s="8" t="s">
        <v>18</v>
      </c>
      <c r="F11" s="6" t="s">
        <v>12</v>
      </c>
    </row>
    <row r="12" spans="1:6" ht="21" x14ac:dyDescent="0.25">
      <c r="A12" s="27" t="s">
        <v>29</v>
      </c>
      <c r="B12" s="14" t="s">
        <v>38</v>
      </c>
      <c r="C12" s="11" t="s">
        <v>37</v>
      </c>
      <c r="D12" s="12">
        <v>64764000</v>
      </c>
      <c r="E12" s="8" t="s">
        <v>49</v>
      </c>
      <c r="F12" s="6" t="s">
        <v>12</v>
      </c>
    </row>
    <row r="13" spans="1:6" ht="21" x14ac:dyDescent="0.25">
      <c r="A13" s="27" t="s">
        <v>29</v>
      </c>
      <c r="B13" s="14" t="s">
        <v>39</v>
      </c>
      <c r="C13" s="11" t="s">
        <v>37</v>
      </c>
      <c r="D13" s="12">
        <v>80955000</v>
      </c>
      <c r="E13" s="8" t="s">
        <v>30</v>
      </c>
      <c r="F13" s="6" t="s">
        <v>12</v>
      </c>
    </row>
    <row r="14" spans="1:6" ht="21" x14ac:dyDescent="0.25">
      <c r="A14" s="27" t="s">
        <v>29</v>
      </c>
      <c r="B14" s="14" t="s">
        <v>42</v>
      </c>
      <c r="C14" s="11" t="s">
        <v>37</v>
      </c>
      <c r="D14" s="12">
        <v>84193200</v>
      </c>
      <c r="E14" s="8" t="s">
        <v>17</v>
      </c>
      <c r="F14" s="6" t="s">
        <v>12</v>
      </c>
    </row>
    <row r="15" spans="1:6" ht="21" x14ac:dyDescent="0.25">
      <c r="A15" s="27" t="s">
        <v>23</v>
      </c>
      <c r="B15" s="14" t="s">
        <v>40</v>
      </c>
      <c r="C15" s="11" t="s">
        <v>37</v>
      </c>
      <c r="D15" s="12">
        <v>323820000</v>
      </c>
      <c r="E15" s="8" t="s">
        <v>50</v>
      </c>
      <c r="F15" s="6" t="s">
        <v>22</v>
      </c>
    </row>
    <row r="16" spans="1:6" ht="21" x14ac:dyDescent="0.25">
      <c r="A16" s="27" t="s">
        <v>0</v>
      </c>
      <c r="B16" s="14" t="s">
        <v>31</v>
      </c>
      <c r="C16" s="11" t="s">
        <v>37</v>
      </c>
      <c r="D16" s="12">
        <v>427442400</v>
      </c>
      <c r="E16" s="8" t="s">
        <v>32</v>
      </c>
      <c r="F16" s="6" t="s">
        <v>15</v>
      </c>
    </row>
    <row r="17" spans="1:6" ht="21" x14ac:dyDescent="0.25">
      <c r="A17" s="27" t="s">
        <v>0</v>
      </c>
      <c r="B17" s="14" t="s">
        <v>41</v>
      </c>
      <c r="C17" s="11" t="s">
        <v>37</v>
      </c>
      <c r="D17" s="12">
        <v>77716800</v>
      </c>
      <c r="E17" s="8" t="s">
        <v>51</v>
      </c>
      <c r="F17" s="6" t="s">
        <v>15</v>
      </c>
    </row>
    <row r="18" spans="1:6" ht="18.75" customHeight="1" thickBot="1" x14ac:dyDescent="0.3">
      <c r="A18" s="22"/>
      <c r="B18" s="21" t="s">
        <v>25</v>
      </c>
      <c r="C18" s="23"/>
      <c r="D18" s="24">
        <f>SUM(D6:D17)</f>
        <v>2593644000</v>
      </c>
      <c r="E18" s="28" t="s">
        <v>8</v>
      </c>
      <c r="F18" s="28"/>
    </row>
    <row r="19" spans="1:6" ht="23.25" customHeight="1" x14ac:dyDescent="0.25">
      <c r="A19" s="3" t="s">
        <v>9</v>
      </c>
      <c r="E19" s="7"/>
      <c r="F19" s="1" t="s">
        <v>10</v>
      </c>
    </row>
    <row r="20" spans="1:6" x14ac:dyDescent="0.25">
      <c r="D20" s="16"/>
    </row>
  </sheetData>
  <mergeCells count="6">
    <mergeCell ref="E18:F18"/>
    <mergeCell ref="A2:F2"/>
    <mergeCell ref="A4:A5"/>
    <mergeCell ref="B4:B5"/>
    <mergeCell ref="E4:E5"/>
    <mergeCell ref="F4:F5"/>
  </mergeCells>
  <pageMargins left="0.7" right="0.7" top="0.75" bottom="0.75" header="0.3" footer="0.3"/>
  <pageSetup paperSize="9" scale="75"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4.7</vt:lpstr>
      <vt:lpstr>'4.7'!Print_Area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2017-10-25T06:43:47Z</cp:lastPrinted>
  <dcterms:created xsi:type="dcterms:W3CDTF">2014-03-04T07:02:54Z</dcterms:created>
  <dcterms:modified xsi:type="dcterms:W3CDTF">2017-10-25T06:43:55Z</dcterms:modified>
</cp:coreProperties>
</file>