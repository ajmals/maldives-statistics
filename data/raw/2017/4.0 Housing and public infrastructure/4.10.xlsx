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Shahuda to check\"/>
    </mc:Choice>
  </mc:AlternateContent>
  <bookViews>
    <workbookView xWindow="120" yWindow="525" windowWidth="15120" windowHeight="7590" tabRatio="725"/>
  </bookViews>
  <sheets>
    <sheet name="4.4" sheetId="22" r:id="rId1"/>
    <sheet name="4.5" sheetId="23" r:id="rId2"/>
    <sheet name="4.7" sheetId="21" r:id="rId3"/>
    <sheet name="4.8" sheetId="17" r:id="rId4"/>
    <sheet name="4.9" sheetId="15" r:id="rId5"/>
    <sheet name="4.10" sheetId="10" r:id="rId6"/>
  </sheets>
  <definedNames>
    <definedName name="_xlnm._FilterDatabase" localSheetId="4" hidden="1">'4.9'!$A$114:$G$115</definedName>
    <definedName name="_xlnm.Print_Area" localSheetId="5">'4.10'!$A$1:$I$52</definedName>
    <definedName name="_xlnm.Print_Area" localSheetId="2">'4.7'!$A$1:$F$33</definedName>
    <definedName name="_xlnm.Print_Area" localSheetId="3">'4.8'!$A$1:$I$100</definedName>
    <definedName name="_xlnm.Print_Area" localSheetId="4">'4.9'!$A$1:$G$187</definedName>
  </definedNames>
  <calcPr calcId="162913"/>
</workbook>
</file>

<file path=xl/calcChain.xml><?xml version="1.0" encoding="utf-8"?>
<calcChain xmlns="http://schemas.openxmlformats.org/spreadsheetml/2006/main">
  <c r="F187" i="15" l="1"/>
  <c r="F151" i="15"/>
  <c r="F109" i="15"/>
  <c r="D32" i="21" l="1"/>
  <c r="D13" i="21"/>
  <c r="E6" i="23" l="1"/>
  <c r="D6" i="23"/>
  <c r="C6" i="23"/>
  <c r="B6" i="23"/>
  <c r="E35" i="10" l="1"/>
  <c r="E25" i="10"/>
  <c r="E99" i="17" l="1"/>
  <c r="E29" i="17"/>
  <c r="E51" i="10" l="1"/>
  <c r="E8" i="10"/>
  <c r="E52" i="17" l="1"/>
</calcChain>
</file>

<file path=xl/sharedStrings.xml><?xml version="1.0" encoding="utf-8"?>
<sst xmlns="http://schemas.openxmlformats.org/spreadsheetml/2006/main" count="1587" uniqueCount="401">
  <si>
    <t>S</t>
  </si>
  <si>
    <t>B</t>
  </si>
  <si>
    <t>Th</t>
  </si>
  <si>
    <t>N</t>
  </si>
  <si>
    <t>Sh</t>
  </si>
  <si>
    <t>R</t>
  </si>
  <si>
    <t>Atoll</t>
  </si>
  <si>
    <t>Island</t>
  </si>
  <si>
    <t>ޚަރަދުކުރާ ފަރާތް</t>
  </si>
  <si>
    <t>ޚަރަދު</t>
  </si>
  <si>
    <t>ރަށް</t>
  </si>
  <si>
    <t>އަތޮޅު</t>
  </si>
  <si>
    <t>Funding Source</t>
  </si>
  <si>
    <t>TOTAL VALUE (MVR)</t>
  </si>
  <si>
    <t>ޖުމްލަ ޚަރަދު (ރުފިޔާ)</t>
  </si>
  <si>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</si>
  <si>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</si>
  <si>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ތ</t>
  </si>
  <si>
    <t>ގއ</t>
  </si>
  <si>
    <t>Cost (MVR)</t>
  </si>
  <si>
    <t>GOM</t>
  </si>
  <si>
    <t>ށ</t>
  </si>
  <si>
    <t>ބ</t>
  </si>
  <si>
    <t>Meedhoo</t>
  </si>
  <si>
    <t>މީދޫ</t>
  </si>
  <si>
    <t>ދ</t>
  </si>
  <si>
    <t>ގދ</t>
  </si>
  <si>
    <t>ހދ</t>
  </si>
  <si>
    <t>Manadhoo</t>
  </si>
  <si>
    <t>މަނަދޫ</t>
  </si>
  <si>
    <t>ނ</t>
  </si>
  <si>
    <t>ރ</t>
  </si>
  <si>
    <t>Ungoofaaru</t>
  </si>
  <si>
    <t>އުނގޫފާރު</t>
  </si>
  <si>
    <t>Kudahuvadhoo</t>
  </si>
  <si>
    <t>ސ</t>
  </si>
  <si>
    <t>ހުޅުމީދޫ</t>
  </si>
  <si>
    <t xml:space="preserve"> ތާވަލް 4.10: 2013 ގައި ކުރިއަށް ގެންދެވުނު މަގުހެދުމުގެ މަޝްރޫޢުތައް</t>
  </si>
  <si>
    <t>TABLE 4.10: ONGOING ROAD PROJECTS IN 2013</t>
  </si>
  <si>
    <t>ކުޅުދުއްފުށި</t>
  </si>
  <si>
    <t xml:space="preserve"> ތާވަލް 4.10: 2014 ގައި ކުރިއަށް ގެންދެވުނު މަގުހެދުމުގެ މަޝްރޫޢުތައް</t>
  </si>
  <si>
    <t>TABLE 4.10: ONGOING ROAD PROJECTS IN 2014</t>
  </si>
  <si>
    <t xml:space="preserve"> ތާވަލް 4.10: 2015 ގައި ކުރިއަށް ގެންދެވުނު މަގުހެދުމުގެ މަޝްރޫޢުތައް</t>
  </si>
  <si>
    <t>TABLE 4.10: ONGOING ROAD PROJECTS IN 2015</t>
  </si>
  <si>
    <t xml:space="preserve"> ދިއްދޫ</t>
  </si>
  <si>
    <t xml:space="preserve">ހއ </t>
  </si>
  <si>
    <t>ހަނިމާދޫ</t>
  </si>
  <si>
    <t>ވިލުފުށި</t>
  </si>
  <si>
    <t>ކުޑަހުވަދޫ</t>
  </si>
  <si>
    <t>ވިލިނގިލި</t>
  </si>
  <si>
    <t>ތިނަދޫ</t>
  </si>
  <si>
    <t>Ha</t>
  </si>
  <si>
    <t>Dhihdhoo</t>
  </si>
  <si>
    <t>H.Dh</t>
  </si>
  <si>
    <t>Hanimaadhoo</t>
  </si>
  <si>
    <t>Vilufushi</t>
  </si>
  <si>
    <t>Kulhudhuhfushi</t>
  </si>
  <si>
    <t>Dh.</t>
  </si>
  <si>
    <t>Ga</t>
  </si>
  <si>
    <t>Vilingili</t>
  </si>
  <si>
    <t>G.Dh</t>
  </si>
  <si>
    <t>Thinadhoo</t>
  </si>
  <si>
    <t>Feydhoo</t>
  </si>
  <si>
    <t>L</t>
  </si>
  <si>
    <t>ލ</t>
  </si>
  <si>
    <t>ފޮނަދޫ</t>
  </si>
  <si>
    <t>Fonadhoo</t>
  </si>
  <si>
    <t>ފޭދޫ</t>
  </si>
  <si>
    <t>އދ</t>
  </si>
  <si>
    <t>މަހިބަދޫ</t>
  </si>
  <si>
    <t>އޭދަފުށި</t>
  </si>
  <si>
    <t>ޏ</t>
  </si>
  <si>
    <t>ފުވައްމުލަކު</t>
  </si>
  <si>
    <t>ފުނަދޫ</t>
  </si>
  <si>
    <t>A.Dh</t>
  </si>
  <si>
    <t>Mahibadhoo</t>
  </si>
  <si>
    <t>Eydhafushi</t>
  </si>
  <si>
    <t>Gn</t>
  </si>
  <si>
    <t>Fuvamulak</t>
  </si>
  <si>
    <t>Hulhumeedhoo</t>
  </si>
  <si>
    <t>Funadhoo</t>
  </si>
  <si>
    <t>Cost (MRF)</t>
  </si>
  <si>
    <t>GRAND TOTAL VALUE (MVR)</t>
  </si>
  <si>
    <t>M</t>
  </si>
  <si>
    <t>Kolhufushi</t>
  </si>
  <si>
    <t>ކޮޅުފުށި</t>
  </si>
  <si>
    <t>މ</t>
  </si>
  <si>
    <t>Madifushi</t>
  </si>
  <si>
    <t>މަޑިފުށި</t>
  </si>
  <si>
    <t>GA</t>
  </si>
  <si>
    <t>K</t>
  </si>
  <si>
    <t>ހުޅުމާލެ</t>
  </si>
  <si>
    <t>ކ</t>
  </si>
  <si>
    <t xml:space="preserve"> ތާވަލް 4.8: 2015 ގައި ނިމިފައިވާ ބަނދަރުހެދުމާއި، ފަޅުކޮނުމާއި އަދި ބިން ހިއްކުމުގެ މަޝްރޫޢުތައް</t>
  </si>
  <si>
    <t>TABLE 4.8: COMPLETED HARBOUR, SHORE PROTECTION AND RECLAMATION PROJECTS IN 2015</t>
  </si>
  <si>
    <t xml:space="preserve"> ތާވަލް 4.8: 2014 ގައި ނިމިފައިވާ ބަނދަރުހެދުމާއި، ފަޅުކޮނުމާއި އަދި ބިން ހިއްކުމުގެ މަޝްރޫޢުތައް</t>
  </si>
  <si>
    <t>TABLE 4.8: COMPLETED HARBOUR, SHORE PROTECTION AND RECLAMATION PROJECTS IN 2014</t>
  </si>
  <si>
    <t xml:space="preserve"> ތާވަލް 4.8: 2013 ގައި ނިމިފައިވާ ބަނދަރުހެދުމާއި، ފަޅުކޮނުމާއި އަދި ބިން ހިއްކުމުގެ މަޝްރޫޢުތައް</t>
  </si>
  <si>
    <t>TABLE 4.8: COMPLETED HARBOUR, SHORE PROTECTION AND RECLAMATION PROJECTS IN 2013</t>
  </si>
  <si>
    <t>HA</t>
  </si>
  <si>
    <t>ދިއްދޫ</t>
  </si>
  <si>
    <t>ހއ</t>
  </si>
  <si>
    <t>Saudi</t>
  </si>
  <si>
    <t>IDB</t>
  </si>
  <si>
    <t>Dh</t>
  </si>
  <si>
    <t>GDh</t>
  </si>
  <si>
    <t>ފަރެސްމާތޮޑާ</t>
  </si>
  <si>
    <t xml:space="preserve"> ތާވަލް 4.8: 2016 ގައި ނިމިފައިވާ ބަނދަރުހެދުމާއި، ފަޅުކޮނުމާއި އަދި ބިން ހިއްކުމުގެ މަޝްރޫޢުތައް</t>
  </si>
  <si>
    <t>TABLE 4.8: COMPLETED HARBOUR, SHORE PROTECTION AND RECLAMATION PROJECTS IN 2016</t>
  </si>
  <si>
    <t xml:space="preserve"> ތާވަލް 4.9: 2015 ގައި ކުރިއަށް ގެންދެވުނު ބަނދަރުހެދުމާއި، ފަޅުކޮނުމާއި އަދި ބިން ހިއްކުމުގެ މަޝްރޫޢުތައް</t>
  </si>
  <si>
    <t>TABLE 4.9: ONGOING HARBOUR, SHORE PROTECTION AND RECLAMATION PROJECTS IN 2014</t>
  </si>
  <si>
    <t xml:space="preserve"> ތާވަލް 4.9: 2014 ގައި ކުރިއަށް ގެންދެވުނު ބަނދަރުހެދުމާއި، ފަޅުކޮނުމާއި އަދި ބިން ހިއްކުމުގެ މަޝްރޫޢުތައް</t>
  </si>
  <si>
    <t xml:space="preserve"> ތާވަލް 4.9: 2013 ގައި ކުރިއަށް ގެންދެވުނު ބަނދަރުހެދުމާއި، ފަޅުކޮނުމާއި އަދި ބިން ހިއްކުމުގެ މަޝްރޫޢުތައް</t>
  </si>
  <si>
    <t>TABLE 4.9: ONGOING HARBOUR, SHORE PROTECTION AND RECLAMATION PROJECTS IN 2013</t>
  </si>
  <si>
    <t>Ihavandhoo</t>
  </si>
  <si>
    <t>އިހަވަންދޫ</t>
  </si>
  <si>
    <t>Makunudhoo</t>
  </si>
  <si>
    <t>EIB</t>
  </si>
  <si>
    <t>މަކުނުދޫ</t>
  </si>
  <si>
    <t>Kuribi</t>
  </si>
  <si>
    <t>Nellaidhoo</t>
  </si>
  <si>
    <t>ނެއްލައިދޫ</t>
  </si>
  <si>
    <t>Komandoo</t>
  </si>
  <si>
    <t>AFD</t>
  </si>
  <si>
    <t>Kudafari</t>
  </si>
  <si>
    <t>Magoodhoo</t>
  </si>
  <si>
    <t>މަގޫދޫ</t>
  </si>
  <si>
    <t>Fainu</t>
  </si>
  <si>
    <t>ފައިނު</t>
  </si>
  <si>
    <t>Lh</t>
  </si>
  <si>
    <t>Kurendhoo</t>
  </si>
  <si>
    <t>ކުރެންދޫ</t>
  </si>
  <si>
    <t>ޅ</t>
  </si>
  <si>
    <t>Huraa</t>
  </si>
  <si>
    <t>ހުރާ</t>
  </si>
  <si>
    <t>Goidhoo</t>
  </si>
  <si>
    <t>ގޮއިދޫ</t>
  </si>
  <si>
    <t>AA</t>
  </si>
  <si>
    <t>Mathiveri</t>
  </si>
  <si>
    <t>މަތިވެރި</t>
  </si>
  <si>
    <t>އއ</t>
  </si>
  <si>
    <t>Mulah</t>
  </si>
  <si>
    <t>F</t>
  </si>
  <si>
    <t>Feeali</t>
  </si>
  <si>
    <t>ފީއަލި</t>
  </si>
  <si>
    <t>ފ</t>
  </si>
  <si>
    <t>Bilehdhoo</t>
  </si>
  <si>
    <t>ބިލެއްދޫ</t>
  </si>
  <si>
    <t>Kinbidhoo</t>
  </si>
  <si>
    <t>ކިނބިދޫ</t>
  </si>
  <si>
    <t>OFID</t>
  </si>
  <si>
    <t>ހިރިލަންދޫ</t>
  </si>
  <si>
    <t>Dhevvadhoo</t>
  </si>
  <si>
    <t>ދެއްވަދޫ</t>
  </si>
  <si>
    <t>Vaadhoo</t>
  </si>
  <si>
    <t>ވާދޫ</t>
  </si>
  <si>
    <t>ގައްދޫ</t>
  </si>
  <si>
    <t>Hithadhoo</t>
  </si>
  <si>
    <t>ހިތަދޫ</t>
  </si>
  <si>
    <t>Hulhudhoo-meedhoo</t>
  </si>
  <si>
    <t xml:space="preserve"> ތާވަލް 4.9: 2016 ގައި ކުރިއަށް ގެންދެވުނު ބަނދަރުހެދުމާއި، ފަޅުކޮނުމާއި އަދި ބިން ހިއްކުމުގެ މަޝްރޫޢުތައް</t>
  </si>
  <si>
    <t>TABLE 4.9: ONGOING HARBOUR, SHORE PROTECTION AND RECLAMATION PROJECTS IN 2016</t>
  </si>
  <si>
    <t>TABLE 4.10: ONGOING ROAD PROJECTS IN 2016</t>
  </si>
  <si>
    <t xml:space="preserve"> ތާވަލް 4.10: 2016 ގައި ކުރިއަށް ގެންދެވުނު މަގުހެދުމުގެ މަޝްރޫޢުތައް</t>
  </si>
  <si>
    <t>Kelaa</t>
  </si>
  <si>
    <t>Thuraakunu</t>
  </si>
  <si>
    <t>Dhidhoo Beaching area and Channel Protection</t>
  </si>
  <si>
    <t>Filladhoo Harbour</t>
  </si>
  <si>
    <t>Kanditheem</t>
  </si>
  <si>
    <t>Fohdhoo Jetty</t>
  </si>
  <si>
    <t>Inguraidhoo</t>
  </si>
  <si>
    <t>Thulhaadhoo</t>
  </si>
  <si>
    <t>Kendhoo</t>
  </si>
  <si>
    <t>Naifaru Phase II - breakwater</t>
  </si>
  <si>
    <t>Guraidhoo</t>
  </si>
  <si>
    <t>Guraidhoo Harbour Phase II</t>
  </si>
  <si>
    <t>Villingili west harbour</t>
  </si>
  <si>
    <t>K.</t>
  </si>
  <si>
    <t>Gaafaru</t>
  </si>
  <si>
    <t>Adh</t>
  </si>
  <si>
    <t>Fenfushi Breakwater</t>
  </si>
  <si>
    <t xml:space="preserve">Dhangethi </t>
  </si>
  <si>
    <t>Dhiggaru</t>
  </si>
  <si>
    <t>Nilandhoo</t>
  </si>
  <si>
    <t>Maabaidhoo</t>
  </si>
  <si>
    <t xml:space="preserve">L </t>
  </si>
  <si>
    <t>Dhanbidhoo</t>
  </si>
  <si>
    <t>Kondey</t>
  </si>
  <si>
    <t>Kanduhulhudhoo breakwater</t>
  </si>
  <si>
    <t>Villingili Harbour Phase 1</t>
  </si>
  <si>
    <t>Madaveli</t>
  </si>
  <si>
    <t>Gahdhoo Phase II</t>
  </si>
  <si>
    <t>Faresmaathoda</t>
  </si>
  <si>
    <t>Gdh</t>
  </si>
  <si>
    <t>Madaveli-Hoadeydhoo Causeway</t>
  </si>
  <si>
    <t>Madifushi Shore Protection</t>
  </si>
  <si>
    <t xml:space="preserve">Th </t>
  </si>
  <si>
    <t>Guraidhoo Shore Protection</t>
  </si>
  <si>
    <t>Muli</t>
  </si>
  <si>
    <t>ކެލާ</t>
  </si>
  <si>
    <t>ތުރާކުނު</t>
  </si>
  <si>
    <t>ފިއްލަދޫ</t>
  </si>
  <si>
    <t>ކަނޑިތީމު</t>
  </si>
  <si>
    <t>ފޮއްދޫ</t>
  </si>
  <si>
    <t>އިނގުރައިދޫ</t>
  </si>
  <si>
    <t>ތުޅާދޫ</t>
  </si>
  <si>
    <t>ކެންދޫ</t>
  </si>
  <si>
    <t>ނައިފަރު</t>
  </si>
  <si>
    <t>ގުރައިދޫ ފޭސް 1</t>
  </si>
  <si>
    <t>ގުރައިދޫ ފޭސް 2</t>
  </si>
  <si>
    <t>ގާފަރު</t>
  </si>
  <si>
    <t>ފެންފުށި</t>
  </si>
  <si>
    <t>ދަނގެތި</t>
  </si>
  <si>
    <t>ދިއްގަރު</t>
  </si>
  <si>
    <t>މާބައިދޫ</t>
  </si>
  <si>
    <t>ދަނބިދޫ</t>
  </si>
  <si>
    <t>ކޮނޑޭ</t>
  </si>
  <si>
    <t>ކަނޑުހުޅުދޫ</t>
  </si>
  <si>
    <t>މަޑަވެލި</t>
  </si>
  <si>
    <t>ގައްދޫ ފޭސް 2</t>
  </si>
  <si>
    <t>މަޑަވެލި-ހޯޑެއްދޫ</t>
  </si>
  <si>
    <t>ގުރައިދޫ ޝޯ ޕްރޮޓެކްޝަން</t>
  </si>
  <si>
    <t xml:space="preserve">މުލި </t>
  </si>
  <si>
    <t>މަޑިފުށި ޝޯ ޕްރޮޓެކްޝަން</t>
  </si>
  <si>
    <t>ނިލަންއދޫ</t>
  </si>
  <si>
    <t xml:space="preserve">GOM </t>
  </si>
  <si>
    <t>Maavah</t>
  </si>
  <si>
    <t>Vilufushi channel relocation</t>
  </si>
  <si>
    <t>Maaemboodhoo</t>
  </si>
  <si>
    <t>Vashafaru</t>
  </si>
  <si>
    <t>N.</t>
  </si>
  <si>
    <t>Naalaafushi</t>
  </si>
  <si>
    <t>Thinadhoo quaywall</t>
  </si>
  <si>
    <t>Naifaru</t>
  </si>
  <si>
    <t>Meedhoo revetment</t>
  </si>
  <si>
    <t>Eydhafushi revetment</t>
  </si>
  <si>
    <t>Kunahandhoo</t>
  </si>
  <si>
    <t>Maamendhoo</t>
  </si>
  <si>
    <t>Gulhi</t>
  </si>
  <si>
    <t>Maduvaaree seawall</t>
  </si>
  <si>
    <t>Eydhafushi reclamation</t>
  </si>
  <si>
    <t>Thulusdhoo reclamation</t>
  </si>
  <si>
    <t>Meedhoo reclamation</t>
  </si>
  <si>
    <t>Kudahuvadhoo reclamation</t>
  </si>
  <si>
    <t>R.</t>
  </si>
  <si>
    <t>Dhidhoo</t>
  </si>
  <si>
    <t>HDh</t>
  </si>
  <si>
    <t>Vaikaradhoo</t>
  </si>
  <si>
    <t xml:space="preserve">Gahdhoo Habour </t>
  </si>
  <si>
    <t>Maradhoo-Feydhoo</t>
  </si>
  <si>
    <t>Sri Lanka</t>
  </si>
  <si>
    <t xml:space="preserve">GA </t>
  </si>
  <si>
    <t xml:space="preserve">Gemanafushi </t>
  </si>
  <si>
    <t>Baarah</t>
  </si>
  <si>
    <t>Hirimaradhoo</t>
  </si>
  <si>
    <t xml:space="preserve">Naifaru </t>
  </si>
  <si>
    <t>Maduvvari</t>
  </si>
  <si>
    <t>Bandidhoo</t>
  </si>
  <si>
    <t>Utheem</t>
  </si>
  <si>
    <t>Holhudhoo</t>
  </si>
  <si>
    <t xml:space="preserve">Kumundhoo </t>
  </si>
  <si>
    <t>ގެމަނަފުށި</t>
  </si>
  <si>
    <t>މަރަދޫ-ފޭދޫ</t>
  </si>
  <si>
    <t>މުލައް</t>
  </si>
  <si>
    <t>ކުނަހަންދޫ</t>
  </si>
  <si>
    <t>މާމެންދޫ</t>
  </si>
  <si>
    <t>ގުޅި</t>
  </si>
  <si>
    <t>މަޑުއްވަރި</t>
  </si>
  <si>
    <t>ތުލުސްދޫ</t>
  </si>
  <si>
    <t xml:space="preserve">Hirilandhoo </t>
  </si>
  <si>
    <t>ވައިކަރަދޫ</t>
  </si>
  <si>
    <t>މާވައް</t>
  </si>
  <si>
    <t xml:space="preserve">ވިލުފުށި </t>
  </si>
  <si>
    <t>ވަށަފަރު</t>
  </si>
  <si>
    <t>ކުޑަފަރި</t>
  </si>
  <si>
    <t>ނާލާފުށި</t>
  </si>
  <si>
    <t>ބާރަށް</t>
  </si>
  <si>
    <t>ހިރިމަރަދޫ</t>
  </si>
  <si>
    <t>ހުޅުދޫ</t>
  </si>
  <si>
    <t>ބަނޑިދޫ</t>
  </si>
  <si>
    <t>އުތީމު</t>
  </si>
  <si>
    <t>ކުރިބި</t>
  </si>
  <si>
    <t>ހޮޅުދޫ</t>
  </si>
  <si>
    <t>ކުމުންދޫ</t>
  </si>
  <si>
    <t>Nolhivaranfaru</t>
  </si>
  <si>
    <t>Nolhivaramu</t>
  </si>
  <si>
    <t>Maafaru</t>
  </si>
  <si>
    <t>Maalhendhoo</t>
  </si>
  <si>
    <t>IDB + GOM</t>
  </si>
  <si>
    <t>Velidhoo</t>
  </si>
  <si>
    <t>Innamaadhoo</t>
  </si>
  <si>
    <t>Gan Thundi Avah</t>
  </si>
  <si>
    <t>Thulusdhoo</t>
  </si>
  <si>
    <t>Fuvahmulah</t>
  </si>
  <si>
    <t>GN</t>
  </si>
  <si>
    <t>Madifushi reclamation</t>
  </si>
  <si>
    <t>Thulusdhoo revetment</t>
  </si>
  <si>
    <t>Himmafushi</t>
  </si>
  <si>
    <t>އޭދަފުށި ރިވެޓްމަންޓް</t>
  </si>
  <si>
    <t>މަޑިފުށި ރިކްލެމޭޝަން</t>
  </si>
  <si>
    <t>ތުލުސްދޫ ރިވެޓްމަންޓް</t>
  </si>
  <si>
    <t>ހިއްމަފުށި</t>
  </si>
  <si>
    <t>Developer Finance</t>
  </si>
  <si>
    <t>Male' (Wayside)</t>
  </si>
  <si>
    <t>Male' (Gaakoshi)</t>
  </si>
  <si>
    <t>Hulhumale</t>
  </si>
  <si>
    <t>Male' (Rehendhi 6)</t>
  </si>
  <si>
    <t>THULHAADHOO</t>
  </si>
  <si>
    <t>Govt Consession Loan</t>
  </si>
  <si>
    <t>Hoadedhoo</t>
  </si>
  <si>
    <t>Gadhdhoo</t>
  </si>
  <si>
    <t>Foahmulah</t>
  </si>
  <si>
    <t>Hulhudhoo/Meedhoo</t>
  </si>
  <si>
    <t>Viligili</t>
  </si>
  <si>
    <t>ނޮޅިވަރަންފަރު</t>
  </si>
  <si>
    <t>ނޮޅިވަރަމު</t>
  </si>
  <si>
    <t>މާފަރު</t>
  </si>
  <si>
    <t>މާޅެންދޫ</t>
  </si>
  <si>
    <t>ވެލިދޫ</t>
  </si>
  <si>
    <t>އިންނަމާދޫ</t>
  </si>
  <si>
    <t xml:space="preserve">ތުލުސްދޫ </t>
  </si>
  <si>
    <t>ގަން ތުނޑި</t>
  </si>
  <si>
    <t>ފުވައްމުލައް</t>
  </si>
  <si>
    <t>TABLE 4.9: ONGOING HARBOUR, SHORE PROTECTION AND RECLAMATION PROJECTS IN 2015</t>
  </si>
  <si>
    <t>Dhuvaafaru</t>
  </si>
  <si>
    <t>ދުވާފަރު</t>
  </si>
  <si>
    <t>Majeedheemagu</t>
  </si>
  <si>
    <t>މާލެ</t>
  </si>
  <si>
    <t>Muli reclamation</t>
  </si>
  <si>
    <t>Kudahuvadhoo revetment</t>
  </si>
  <si>
    <t>މުލި</t>
  </si>
  <si>
    <t xml:space="preserve">ފޮނަދޫ </t>
  </si>
  <si>
    <t>މާލެ (ގާކޮށި)</t>
  </si>
  <si>
    <t>މާލެ (ރެހެންދި 6)</t>
  </si>
  <si>
    <t xml:space="preserve">R. </t>
  </si>
  <si>
    <t xml:space="preserve">L. </t>
  </si>
  <si>
    <t xml:space="preserve">Dhuvaafaru </t>
  </si>
  <si>
    <t xml:space="preserve">Fonadhoo </t>
  </si>
  <si>
    <t>ހޯނޑެއްދޫ</t>
  </si>
  <si>
    <t>ފުވައްމުލަށް</t>
  </si>
  <si>
    <t>ހުޅުދޫ / މީދު</t>
  </si>
  <si>
    <t>_</t>
  </si>
  <si>
    <t xml:space="preserve">2016 - 2007 cnimuDob iaWdwdwa egunwtcnwt unumcnin cSokctWrWmia idwa unuvedwdcauh egumurukctWrWmia iawgElWm : 4.4 clwvWt                                                                                                                                          </t>
  </si>
  <si>
    <t xml:space="preserve">Table 4.4 : BUILDINGS AUTHORISED FOR CONSTRUCTION AND COMPLETED BY NUMBER AND FLOOR AREA IN MALE' 2007 - 2016       </t>
  </si>
  <si>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</si>
  <si>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</si>
  <si>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</si>
  <si>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</si>
  <si>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</si>
  <si>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</si>
  <si>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</si>
  <si>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</si>
  <si>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</si>
  <si>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</si>
  <si>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</si>
  <si>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</si>
  <si>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</si>
  <si>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</si>
  <si>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</si>
  <si>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>N/A</t>
  </si>
  <si>
    <t xml:space="preserve">  udwdwa egunwtcnwt ELuairid</t>
  </si>
  <si>
    <t xml:space="preserve">                        ( cnurwTIm wkwa ) cnimuDob egunwt</t>
  </si>
  <si>
    <t>Note: N/A - Data not available</t>
  </si>
  <si>
    <t>ތާވަލު 4.5: މަސްމަހުގެ ގޮތުން އިމާރާތްކުރުމުގެ ހުއްދަ ދެވުނު ތަނުގެ ބޮޑުމިން، 2013 - 2016</t>
  </si>
  <si>
    <t xml:space="preserve">TABLE 4.5:  AREA OF BUILDINGS AUTHORISED FOR CONSTRUCTION BY MONTH, 2013 - 2016      </t>
  </si>
  <si>
    <t>Month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</si>
  <si>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</si>
  <si>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</si>
  <si>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</si>
  <si>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</si>
  <si>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</si>
  <si>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</si>
  <si>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</si>
  <si>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</si>
  <si>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</si>
  <si>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</si>
  <si>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</si>
  <si>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</si>
  <si>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</si>
  <si>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</si>
  <si>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</si>
  <si>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</si>
  <si>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</si>
  <si>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</si>
  <si>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</si>
  <si>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</si>
  <si>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</si>
  <si>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</si>
  <si>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</si>
  <si>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</si>
  <si>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</si>
  <si>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</si>
  <si>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</si>
  <si>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</si>
  <si>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Note:  The decline inMay 2015 is due to the hold in the authorizations along with the  amendments  made in administrative process.</t>
  </si>
  <si>
    <t xml:space="preserve"> ތާވަލް 4.6: 2016 ގައި ކުރިއަށް ގެންދެވުނު ގެދޮރު އެޅުމުގެ މަޝްރޫޢުތައް</t>
  </si>
  <si>
    <t xml:space="preserve"> TABLE: 4.6 ONGOING HOUSING PROJECTS, 2016</t>
  </si>
  <si>
    <t>Table 4.7: COMPLETED  HOUSING PROJECTS, 2016</t>
  </si>
  <si>
    <t>MVR</t>
  </si>
  <si>
    <t>$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</si>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</sst>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  <numFmt numFmtId="168" formatCode="[$-409]mmm\-yy;@"/>
    <numFmt numFmtId="169" formatCode="_-* #,##0_-;\-* #,##0_-;_-* &quot;-&quot;??_-;_-@_-"/>
    <numFmt numFmtId="170" formatCode="[$-409]d\-mmm\-yy;@"/>
    <numFmt numFmtId="174" formatCode="_(&quot;$&quot;* #,##0_);_(&quot;$&quot;* \(#,##0\);_(&quot;$&quot;* &quot;-&quot;??_);_(@_)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Faruma"/>
    </font>
    <font>
      <b/>
      <sz val="10"/>
      <color theme="1"/>
      <name val="Faruma"/>
    </font>
    <font>
      <b/>
      <sz val="11"/>
      <color theme="1"/>
      <name val="Faruma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Faruma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_Randhoo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  <font>
      <b/>
      <sz val="12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165" fontId="7" fillId="0" borderId="0"/>
    <xf numFmtId="166" fontId="7" fillId="0" borderId="0"/>
    <xf numFmtId="0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14" fillId="0" borderId="0" applyFont="0" applyFill="0" applyBorder="0" applyAlignment="0" applyProtection="0"/>
  </cellStyleXfs>
  <cellXfs count="343">
    <xf numFmtId="0" fontId="0" fillId="0" borderId="0" xfId="0"/>
    <xf numFmtId="4" fontId="0" fillId="2" borderId="3" xfId="0" applyNumberFormat="1" applyFont="1" applyFill="1" applyBorder="1"/>
    <xf numFmtId="4" fontId="0" fillId="2" borderId="3" xfId="0" applyNumberFormat="1" applyFill="1" applyBorder="1" applyAlignment="1">
      <alignment horizontal="center"/>
    </xf>
    <xf numFmtId="0" fontId="0" fillId="2" borderId="3" xfId="0" applyFill="1" applyBorder="1"/>
    <xf numFmtId="169" fontId="0" fillId="2" borderId="0" xfId="0" applyNumberFormat="1" applyFont="1" applyFill="1" applyBorder="1" applyAlignment="1">
      <alignment vertical="center"/>
    </xf>
    <xf numFmtId="0" fontId="11" fillId="2" borderId="0" xfId="0" applyFont="1" applyFill="1"/>
    <xf numFmtId="4" fontId="0" fillId="2" borderId="0" xfId="0" applyNumberFormat="1" applyFill="1" applyBorder="1" applyAlignment="1">
      <alignment horizontal="center"/>
    </xf>
    <xf numFmtId="4" fontId="0" fillId="2" borderId="0" xfId="0" applyNumberFormat="1" applyFont="1" applyFill="1" applyBorder="1" applyAlignment="1">
      <alignment horizontal="left"/>
    </xf>
    <xf numFmtId="4" fontId="0" fillId="2" borderId="0" xfId="0" applyNumberFormat="1" applyFill="1" applyBorder="1" applyAlignment="1">
      <alignment horizontal="left"/>
    </xf>
    <xf numFmtId="4" fontId="0" fillId="2" borderId="0" xfId="0" applyNumberFormat="1" applyFill="1" applyBorder="1"/>
    <xf numFmtId="3" fontId="16" fillId="2" borderId="0" xfId="0" applyNumberFormat="1" applyFont="1" applyFill="1" applyBorder="1" applyAlignment="1">
      <alignment horizontal="left" vertical="center" wrapText="1"/>
    </xf>
    <xf numFmtId="0" fontId="16" fillId="2" borderId="0" xfId="0" applyNumberFormat="1" applyFont="1" applyFill="1" applyBorder="1" applyAlignment="1">
      <alignment horizontal="left" vertical="center" wrapText="1"/>
    </xf>
    <xf numFmtId="167" fontId="8" fillId="2" borderId="0" xfId="2" applyNumberFormat="1" applyFont="1" applyFill="1" applyAlignment="1">
      <alignment horizontal="right" vertical="center"/>
    </xf>
    <xf numFmtId="0" fontId="0" fillId="2" borderId="0" xfId="0" applyFill="1"/>
    <xf numFmtId="4" fontId="12" fillId="2" borderId="4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left" vertical="center"/>
    </xf>
    <xf numFmtId="4" fontId="12" fillId="2" borderId="4" xfId="0" applyNumberFormat="1" applyFont="1" applyFill="1" applyBorder="1" applyAlignment="1">
      <alignment horizontal="right" vertical="center"/>
    </xf>
    <xf numFmtId="4" fontId="9" fillId="2" borderId="1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4" fontId="0" fillId="2" borderId="2" xfId="0" applyNumberFormat="1" applyFill="1" applyBorder="1" applyAlignment="1">
      <alignment horizontal="left" vertical="center"/>
    </xf>
    <xf numFmtId="4" fontId="0" fillId="2" borderId="2" xfId="0" applyNumberFormat="1" applyFill="1" applyBorder="1" applyAlignment="1">
      <alignment vertical="center"/>
    </xf>
    <xf numFmtId="4" fontId="0" fillId="2" borderId="2" xfId="0" applyNumberFormat="1" applyFill="1" applyBorder="1" applyAlignment="1">
      <alignment horizontal="center" vertical="center"/>
    </xf>
    <xf numFmtId="4" fontId="0" fillId="2" borderId="2" xfId="0" applyNumberFormat="1" applyFont="1" applyFill="1" applyBorder="1" applyAlignment="1">
      <alignment vertical="center"/>
    </xf>
    <xf numFmtId="168" fontId="0" fillId="2" borderId="0" xfId="0" applyNumberFormat="1" applyFont="1" applyFill="1" applyBorder="1" applyAlignment="1">
      <alignment horizontal="center" vertical="center"/>
    </xf>
    <xf numFmtId="0" fontId="11" fillId="2" borderId="2" xfId="0" applyFont="1" applyFill="1" applyBorder="1"/>
    <xf numFmtId="4" fontId="0" fillId="2" borderId="0" xfId="0" applyNumberFormat="1" applyFill="1" applyBorder="1" applyAlignment="1">
      <alignment horizontal="left" vertical="center"/>
    </xf>
    <xf numFmtId="4" fontId="0" fillId="2" borderId="0" xfId="0" applyNumberFormat="1" applyFont="1" applyFill="1" applyBorder="1" applyAlignment="1">
      <alignment vertical="center"/>
    </xf>
    <xf numFmtId="0" fontId="11" fillId="2" borderId="0" xfId="0" applyFont="1" applyFill="1" applyBorder="1"/>
    <xf numFmtId="4" fontId="11" fillId="2" borderId="0" xfId="0" applyNumberFormat="1" applyFont="1" applyFill="1" applyBorder="1" applyAlignment="1">
      <alignment horizontal="right" vertical="center"/>
    </xf>
    <xf numFmtId="4" fontId="0" fillId="2" borderId="0" xfId="0" applyNumberForma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4" fontId="0" fillId="2" borderId="0" xfId="0" applyNumberFormat="1" applyFont="1" applyFill="1" applyBorder="1"/>
    <xf numFmtId="4" fontId="11" fillId="2" borderId="0" xfId="0" applyNumberFormat="1" applyFont="1" applyFill="1" applyBorder="1" applyAlignment="1">
      <alignment horizontal="center" vertical="center"/>
    </xf>
    <xf numFmtId="4" fontId="17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vertical="justify"/>
    </xf>
    <xf numFmtId="4" fontId="1" fillId="2" borderId="0" xfId="0" applyNumberFormat="1" applyFont="1" applyFill="1" applyBorder="1" applyAlignment="1">
      <alignment vertical="center"/>
    </xf>
    <xf numFmtId="3" fontId="1" fillId="2" borderId="3" xfId="0" applyNumberFormat="1" applyFont="1" applyFill="1" applyBorder="1" applyAlignment="1">
      <alignment vertical="center"/>
    </xf>
    <xf numFmtId="169" fontId="1" fillId="2" borderId="3" xfId="0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19" fillId="2" borderId="0" xfId="0" applyFont="1" applyFill="1" applyBorder="1" applyAlignment="1">
      <alignment horizontal="right" vertical="center" wrapText="1"/>
    </xf>
    <xf numFmtId="4" fontId="11" fillId="2" borderId="0" xfId="0" applyNumberFormat="1" applyFont="1" applyFill="1" applyBorder="1" applyAlignment="1">
      <alignment vertical="center"/>
    </xf>
    <xf numFmtId="4" fontId="0" fillId="2" borderId="0" xfId="0" applyNumberFormat="1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left" vertical="center"/>
    </xf>
    <xf numFmtId="4" fontId="17" fillId="2" borderId="0" xfId="0" applyNumberFormat="1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3" fontId="0" fillId="2" borderId="5" xfId="0" applyNumberFormat="1" applyFont="1" applyFill="1" applyBorder="1" applyAlignment="1">
      <alignment horizontal="left" vertical="center"/>
    </xf>
    <xf numFmtId="3" fontId="1" fillId="2" borderId="5" xfId="0" applyNumberFormat="1" applyFont="1" applyFill="1" applyBorder="1" applyAlignment="1">
      <alignment horizontal="left" vertical="center"/>
    </xf>
    <xf numFmtId="4" fontId="1" fillId="2" borderId="5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center" vertical="center"/>
    </xf>
    <xf numFmtId="4" fontId="1" fillId="2" borderId="5" xfId="0" applyNumberFormat="1" applyFont="1" applyFill="1" applyBorder="1" applyAlignment="1">
      <alignment horizontal="left" vertical="center"/>
    </xf>
    <xf numFmtId="4" fontId="1" fillId="2" borderId="3" xfId="0" applyNumberFormat="1" applyFont="1" applyFill="1" applyBorder="1" applyAlignment="1">
      <alignment horizontal="left" vertical="center"/>
    </xf>
    <xf numFmtId="4" fontId="1" fillId="2" borderId="0" xfId="0" applyNumberFormat="1" applyFont="1" applyFill="1" applyBorder="1" applyAlignment="1">
      <alignment horizontal="left" vertical="center"/>
    </xf>
    <xf numFmtId="4" fontId="0" fillId="2" borderId="0" xfId="0" applyNumberFormat="1" applyFont="1" applyFill="1" applyBorder="1" applyAlignment="1">
      <alignment horizontal="center" vertical="center"/>
    </xf>
    <xf numFmtId="4" fontId="12" fillId="2" borderId="4" xfId="0" applyNumberFormat="1" applyFont="1" applyFill="1" applyBorder="1" applyAlignment="1">
      <alignment vertical="center"/>
    </xf>
    <xf numFmtId="4" fontId="9" fillId="2" borderId="0" xfId="0" applyNumberFormat="1" applyFont="1" applyFill="1" applyBorder="1" applyAlignment="1">
      <alignment vertical="center" wrapText="1"/>
    </xf>
    <xf numFmtId="3" fontId="1" fillId="2" borderId="5" xfId="0" applyNumberFormat="1" applyFont="1" applyFill="1" applyBorder="1" applyAlignment="1">
      <alignment vertical="center"/>
    </xf>
    <xf numFmtId="4" fontId="9" fillId="2" borderId="1" xfId="0" applyNumberFormat="1" applyFont="1" applyFill="1" applyBorder="1" applyAlignment="1">
      <alignment vertical="center" wrapText="1"/>
    </xf>
    <xf numFmtId="0" fontId="16" fillId="2" borderId="0" xfId="0" applyNumberFormat="1" applyFont="1" applyFill="1" applyBorder="1" applyAlignment="1">
      <alignment vertical="center" wrapText="1"/>
    </xf>
    <xf numFmtId="0" fontId="0" fillId="2" borderId="0" xfId="0" applyFill="1" applyAlignment="1">
      <alignment horizontal="right" vertical="center"/>
    </xf>
    <xf numFmtId="4" fontId="0" fillId="2" borderId="5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right" vertical="center"/>
    </xf>
    <xf numFmtId="4" fontId="0" fillId="2" borderId="3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4" fontId="1" fillId="2" borderId="0" xfId="0" applyNumberFormat="1" applyFont="1" applyFill="1" applyBorder="1" applyAlignment="1">
      <alignment horizontal="right" vertical="center"/>
    </xf>
    <xf numFmtId="170" fontId="0" fillId="2" borderId="0" xfId="0" applyNumberFormat="1" applyFont="1" applyFill="1" applyBorder="1" applyAlignment="1">
      <alignment vertical="center"/>
    </xf>
    <xf numFmtId="0" fontId="16" fillId="2" borderId="0" xfId="0" applyNumberFormat="1" applyFont="1" applyFill="1" applyBorder="1" applyAlignment="1">
      <alignment horizontal="left" vertical="center"/>
    </xf>
    <xf numFmtId="4" fontId="0" fillId="2" borderId="0" xfId="0" applyNumberFormat="1" applyFill="1" applyBorder="1" applyAlignment="1">
      <alignment vertical="center"/>
    </xf>
    <xf numFmtId="169" fontId="0" fillId="2" borderId="0" xfId="0" applyNumberFormat="1" applyFont="1" applyFill="1" applyBorder="1" applyAlignment="1">
      <alignment vertical="center" wrapText="1"/>
    </xf>
    <xf numFmtId="4" fontId="0" fillId="2" borderId="0" xfId="0" applyNumberFormat="1" applyFill="1" applyBorder="1" applyAlignment="1">
      <alignment horizontal="center" vertical="center"/>
    </xf>
    <xf numFmtId="169" fontId="0" fillId="2" borderId="0" xfId="0" applyNumberFormat="1" applyFont="1" applyFill="1" applyBorder="1" applyAlignment="1">
      <alignment horizontal="center" vertical="center" wrapText="1"/>
    </xf>
    <xf numFmtId="4" fontId="15" fillId="2" borderId="0" xfId="0" applyNumberFormat="1" applyFont="1" applyFill="1" applyBorder="1" applyAlignment="1">
      <alignment horizontal="left" vertical="center"/>
    </xf>
    <xf numFmtId="4" fontId="9" fillId="2" borderId="0" xfId="0" applyNumberFormat="1" applyFont="1" applyFill="1" applyBorder="1" applyAlignment="1">
      <alignment horizontal="left" vertical="center"/>
    </xf>
    <xf numFmtId="4" fontId="12" fillId="2" borderId="0" xfId="0" applyNumberFormat="1" applyFont="1" applyFill="1" applyBorder="1" applyAlignment="1">
      <alignment horizontal="right" vertical="center"/>
    </xf>
    <xf numFmtId="4" fontId="0" fillId="2" borderId="0" xfId="0" applyNumberFormat="1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right" vertical="center"/>
    </xf>
    <xf numFmtId="169" fontId="0" fillId="2" borderId="0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left" vertical="center" indent="2"/>
    </xf>
    <xf numFmtId="4" fontId="0" fillId="2" borderId="0" xfId="0" applyNumberFormat="1" applyFill="1" applyBorder="1" applyAlignment="1">
      <alignment horizontal="left" vertical="center" indent="2"/>
    </xf>
    <xf numFmtId="4" fontId="0" fillId="2" borderId="5" xfId="0" applyNumberFormat="1" applyFont="1" applyFill="1" applyBorder="1"/>
    <xf numFmtId="4" fontId="0" fillId="2" borderId="5" xfId="0" applyNumberFormat="1" applyFill="1" applyBorder="1" applyAlignment="1">
      <alignment horizontal="center"/>
    </xf>
    <xf numFmtId="169" fontId="1" fillId="2" borderId="5" xfId="0" applyNumberFormat="1" applyFont="1" applyFill="1" applyBorder="1" applyAlignment="1">
      <alignment vertical="center"/>
    </xf>
    <xf numFmtId="0" fontId="0" fillId="2" borderId="5" xfId="0" applyFill="1" applyBorder="1"/>
    <xf numFmtId="0" fontId="13" fillId="2" borderId="5" xfId="0" applyFont="1" applyFill="1" applyBorder="1" applyAlignment="1">
      <alignment vertical="center"/>
    </xf>
    <xf numFmtId="0" fontId="0" fillId="2" borderId="0" xfId="0" applyFill="1" applyBorder="1"/>
    <xf numFmtId="0" fontId="16" fillId="2" borderId="0" xfId="0" applyNumberFormat="1" applyFont="1" applyFill="1" applyBorder="1" applyAlignment="1">
      <alignment horizontal="center" vertical="center" wrapText="1"/>
    </xf>
    <xf numFmtId="4" fontId="16" fillId="2" borderId="0" xfId="0" applyNumberFormat="1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center" vertical="center"/>
    </xf>
    <xf numFmtId="14" fontId="16" fillId="2" borderId="0" xfId="0" applyNumberFormat="1" applyFont="1" applyFill="1" applyBorder="1" applyAlignment="1">
      <alignment horizontal="left" vertical="center" wrapText="1"/>
    </xf>
    <xf numFmtId="0" fontId="16" fillId="2" borderId="0" xfId="7" applyNumberFormat="1" applyFont="1" applyFill="1" applyBorder="1" applyAlignment="1">
      <alignment horizontal="center" vertical="center" wrapText="1"/>
    </xf>
    <xf numFmtId="4" fontId="16" fillId="2" borderId="0" xfId="7" applyNumberFormat="1" applyFont="1" applyFill="1" applyBorder="1" applyAlignment="1">
      <alignment horizontal="right" vertical="center" wrapText="1"/>
    </xf>
    <xf numFmtId="4" fontId="0" fillId="2" borderId="0" xfId="0" applyNumberFormat="1" applyFont="1" applyFill="1" applyBorder="1" applyAlignment="1">
      <alignment vertical="top"/>
    </xf>
    <xf numFmtId="164" fontId="0" fillId="2" borderId="0" xfId="7" applyFont="1" applyFill="1" applyBorder="1" applyAlignment="1">
      <alignment vertical="top"/>
    </xf>
    <xf numFmtId="0" fontId="0" fillId="2" borderId="0" xfId="0" applyFill="1" applyBorder="1" applyAlignment="1"/>
    <xf numFmtId="164" fontId="0" fillId="2" borderId="0" xfId="7" applyFont="1" applyFill="1" applyBorder="1" applyAlignment="1"/>
    <xf numFmtId="0" fontId="0" fillId="2" borderId="0" xfId="0" applyFill="1" applyBorder="1" applyAlignment="1">
      <alignment vertical="top"/>
    </xf>
    <xf numFmtId="3" fontId="16" fillId="2" borderId="0" xfId="0" applyNumberFormat="1" applyFont="1" applyFill="1" applyBorder="1" applyAlignment="1">
      <alignment horizontal="center" vertical="center" wrapText="1"/>
    </xf>
    <xf numFmtId="4" fontId="0" fillId="2" borderId="0" xfId="0" applyNumberFormat="1" applyFont="1" applyFill="1" applyBorder="1" applyAlignment="1">
      <alignment horizontal="left" vertical="top"/>
    </xf>
    <xf numFmtId="164" fontId="0" fillId="2" borderId="0" xfId="7" applyFont="1" applyFill="1" applyBorder="1" applyAlignment="1">
      <alignment horizontal="left" vertical="top"/>
    </xf>
    <xf numFmtId="0" fontId="0" fillId="2" borderId="0" xfId="0" applyFill="1" applyAlignment="1">
      <alignment horizontal="center"/>
    </xf>
    <xf numFmtId="4" fontId="0" fillId="2" borderId="0" xfId="0" applyNumberFormat="1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/>
    </xf>
    <xf numFmtId="164" fontId="0" fillId="2" borderId="0" xfId="7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4" fontId="0" fillId="2" borderId="0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left" vertical="top"/>
    </xf>
    <xf numFmtId="4" fontId="0" fillId="2" borderId="0" xfId="0" applyNumberFormat="1" applyFill="1" applyBorder="1" applyAlignment="1"/>
    <xf numFmtId="164" fontId="0" fillId="2" borderId="0" xfId="7" applyFont="1" applyFill="1" applyBorder="1" applyAlignment="1">
      <alignment vertical="center"/>
    </xf>
    <xf numFmtId="4" fontId="0" fillId="2" borderId="0" xfId="0" applyNumberFormat="1" applyFill="1" applyBorder="1" applyAlignment="1">
      <alignment vertical="center" wrapText="1"/>
    </xf>
    <xf numFmtId="4" fontId="0" fillId="2" borderId="0" xfId="0" applyNumberFormat="1" applyFont="1" applyFill="1" applyBorder="1" applyAlignment="1">
      <alignment horizontal="left" vertical="top" wrapText="1"/>
    </xf>
    <xf numFmtId="4" fontId="0" fillId="2" borderId="0" xfId="0" applyNumberFormat="1" applyFill="1" applyBorder="1" applyAlignment="1">
      <alignment vertical="top"/>
    </xf>
    <xf numFmtId="4" fontId="0" fillId="2" borderId="0" xfId="0" applyNumberFormat="1" applyFill="1" applyBorder="1" applyAlignment="1">
      <alignment horizontal="left" vertical="top"/>
    </xf>
    <xf numFmtId="4" fontId="0" fillId="2" borderId="0" xfId="0" applyNumberFormat="1" applyFill="1" applyBorder="1" applyAlignment="1">
      <alignment horizontal="center" vertical="top"/>
    </xf>
    <xf numFmtId="164" fontId="16" fillId="2" borderId="0" xfId="7" applyFont="1" applyFill="1" applyBorder="1" applyAlignment="1">
      <alignment vertical="center"/>
    </xf>
    <xf numFmtId="168" fontId="0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2" borderId="0" xfId="7" applyFont="1" applyFill="1" applyBorder="1"/>
    <xf numFmtId="164" fontId="16" fillId="2" borderId="5" xfId="7" applyFont="1" applyFill="1" applyBorder="1" applyAlignment="1">
      <alignment vertical="center"/>
    </xf>
    <xf numFmtId="164" fontId="0" fillId="2" borderId="0" xfId="7" applyFont="1" applyFill="1" applyBorder="1" applyAlignment="1">
      <alignment vertical="center" wrapText="1"/>
    </xf>
    <xf numFmtId="0" fontId="0" fillId="2" borderId="5" xfId="0" applyFont="1" applyFill="1" applyBorder="1" applyAlignment="1">
      <alignment horizontal="center"/>
    </xf>
    <xf numFmtId="0" fontId="11" fillId="2" borderId="0" xfId="0" applyFont="1" applyFill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16" fillId="2" borderId="0" xfId="6" applyNumberFormat="1" applyFont="1" applyFill="1" applyBorder="1" applyAlignment="1">
      <alignment vertical="center" wrapText="1"/>
    </xf>
    <xf numFmtId="16" fontId="16" fillId="2" borderId="0" xfId="0" applyNumberFormat="1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 applyAlignment="1">
      <alignment vertical="center"/>
    </xf>
    <xf numFmtId="0" fontId="16" fillId="2" borderId="0" xfId="7" applyNumberFormat="1" applyFont="1" applyFill="1" applyBorder="1" applyAlignment="1">
      <alignment vertical="center" wrapText="1"/>
    </xf>
    <xf numFmtId="0" fontId="0" fillId="2" borderId="0" xfId="0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vertical="center"/>
    </xf>
    <xf numFmtId="4" fontId="0" fillId="2" borderId="6" xfId="0" applyNumberFormat="1" applyFont="1" applyFill="1" applyBorder="1" applyAlignment="1">
      <alignment vertical="center"/>
    </xf>
    <xf numFmtId="4" fontId="0" fillId="2" borderId="0" xfId="0" applyNumberFormat="1" applyFill="1" applyAlignment="1">
      <alignment vertical="center"/>
    </xf>
    <xf numFmtId="3" fontId="16" fillId="2" borderId="0" xfId="0" applyNumberFormat="1" applyFont="1" applyFill="1" applyBorder="1" applyAlignment="1">
      <alignment vertical="center" wrapText="1"/>
    </xf>
    <xf numFmtId="3" fontId="16" fillId="2" borderId="0" xfId="7" applyNumberFormat="1" applyFont="1" applyFill="1" applyBorder="1" applyAlignment="1">
      <alignment vertical="center"/>
    </xf>
    <xf numFmtId="3" fontId="0" fillId="2" borderId="0" xfId="7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3" fontId="16" fillId="2" borderId="6" xfId="0" applyNumberFormat="1" applyFont="1" applyFill="1" applyBorder="1" applyAlignment="1">
      <alignment horizontal="left" vertical="center" wrapText="1"/>
    </xf>
    <xf numFmtId="0" fontId="16" fillId="2" borderId="6" xfId="0" applyNumberFormat="1" applyFont="1" applyFill="1" applyBorder="1" applyAlignment="1">
      <alignment horizontal="left" vertical="center" wrapText="1"/>
    </xf>
    <xf numFmtId="0" fontId="16" fillId="2" borderId="6" xfId="0" applyNumberFormat="1" applyFont="1" applyFill="1" applyBorder="1" applyAlignment="1">
      <alignment horizontal="left" vertical="center"/>
    </xf>
    <xf numFmtId="0" fontId="16" fillId="2" borderId="6" xfId="0" applyNumberFormat="1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right" vertical="center"/>
    </xf>
    <xf numFmtId="0" fontId="0" fillId="2" borderId="6" xfId="0" applyFill="1" applyBorder="1" applyAlignment="1">
      <alignment horizontal="left" vertical="center"/>
    </xf>
    <xf numFmtId="164" fontId="0" fillId="2" borderId="6" xfId="7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4" fontId="0" fillId="2" borderId="6" xfId="0" applyNumberFormat="1" applyFont="1" applyFill="1" applyBorder="1" applyAlignment="1">
      <alignment horizontal="left" vertical="center"/>
    </xf>
    <xf numFmtId="3" fontId="1" fillId="2" borderId="5" xfId="0" applyNumberFormat="1" applyFont="1" applyFill="1" applyBorder="1" applyAlignment="1">
      <alignment horizontal="right" vertical="center"/>
    </xf>
    <xf numFmtId="3" fontId="16" fillId="2" borderId="0" xfId="0" applyNumberFormat="1" applyFont="1" applyFill="1" applyBorder="1" applyAlignment="1">
      <alignment horizontal="right" vertical="center" wrapText="1"/>
    </xf>
    <xf numFmtId="3" fontId="16" fillId="2" borderId="0" xfId="6" applyNumberFormat="1" applyFont="1" applyFill="1" applyBorder="1" applyAlignment="1">
      <alignment horizontal="right" vertical="center" wrapText="1"/>
    </xf>
    <xf numFmtId="3" fontId="16" fillId="2" borderId="0" xfId="7" applyNumberFormat="1" applyFont="1" applyFill="1" applyBorder="1" applyAlignment="1">
      <alignment horizontal="right" vertical="center" wrapText="1"/>
    </xf>
    <xf numFmtId="3" fontId="0" fillId="2" borderId="0" xfId="7" applyNumberFormat="1" applyFont="1" applyFill="1" applyBorder="1" applyAlignment="1">
      <alignment horizontal="right" vertical="center"/>
    </xf>
    <xf numFmtId="3" fontId="0" fillId="2" borderId="6" xfId="7" applyNumberFormat="1" applyFont="1" applyFill="1" applyBorder="1" applyAlignment="1">
      <alignment horizontal="right" vertical="center"/>
    </xf>
    <xf numFmtId="0" fontId="0" fillId="2" borderId="6" xfId="0" applyFont="1" applyFill="1" applyBorder="1" applyAlignment="1">
      <alignment vertical="center"/>
    </xf>
    <xf numFmtId="164" fontId="16" fillId="2" borderId="6" xfId="7" applyFont="1" applyFill="1" applyBorder="1" applyAlignment="1">
      <alignment vertical="center"/>
    </xf>
    <xf numFmtId="168" fontId="0" fillId="2" borderId="6" xfId="0" applyNumberFormat="1" applyFont="1" applyFill="1" applyBorder="1" applyAlignment="1">
      <alignment vertical="center"/>
    </xf>
    <xf numFmtId="3" fontId="16" fillId="2" borderId="0" xfId="7" applyNumberFormat="1" applyFont="1" applyFill="1" applyBorder="1" applyAlignment="1">
      <alignment vertical="center" wrapText="1"/>
    </xf>
    <xf numFmtId="3" fontId="16" fillId="2" borderId="0" xfId="6" applyNumberFormat="1" applyFont="1" applyFill="1" applyBorder="1" applyAlignment="1">
      <alignment vertical="center" wrapText="1"/>
    </xf>
    <xf numFmtId="3" fontId="16" fillId="2" borderId="6" xfId="7" applyNumberFormat="1" applyFont="1" applyFill="1" applyBorder="1" applyAlignment="1">
      <alignment vertical="center"/>
    </xf>
    <xf numFmtId="169" fontId="0" fillId="2" borderId="2" xfId="0" applyNumberFormat="1" applyFont="1" applyFill="1" applyBorder="1" applyAlignment="1">
      <alignment vertical="center" wrapText="1"/>
    </xf>
    <xf numFmtId="3" fontId="16" fillId="2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top"/>
    </xf>
    <xf numFmtId="164" fontId="0" fillId="2" borderId="6" xfId="7" applyFont="1" applyFill="1" applyBorder="1" applyAlignment="1">
      <alignment horizontal="center" vertical="top"/>
    </xf>
    <xf numFmtId="164" fontId="0" fillId="2" borderId="6" xfId="7" applyFont="1" applyFill="1" applyBorder="1" applyAlignment="1">
      <alignment vertical="top"/>
    </xf>
    <xf numFmtId="0" fontId="0" fillId="2" borderId="6" xfId="0" applyFill="1" applyBorder="1"/>
    <xf numFmtId="0" fontId="11" fillId="2" borderId="6" xfId="0" applyFont="1" applyFill="1" applyBorder="1"/>
    <xf numFmtId="0" fontId="11" fillId="2" borderId="6" xfId="0" applyFont="1" applyFill="1" applyBorder="1" applyAlignment="1">
      <alignment horizontal="center" vertical="center"/>
    </xf>
    <xf numFmtId="3" fontId="0" fillId="2" borderId="6" xfId="0" applyNumberFormat="1" applyFont="1" applyFill="1" applyBorder="1" applyAlignment="1">
      <alignment horizontal="left" vertical="top"/>
    </xf>
    <xf numFmtId="0" fontId="0" fillId="2" borderId="6" xfId="0" applyFont="1" applyFill="1" applyBorder="1" applyAlignment="1">
      <alignment horizontal="center"/>
    </xf>
    <xf numFmtId="168" fontId="0" fillId="2" borderId="6" xfId="0" applyNumberFormat="1" applyFont="1" applyFill="1" applyBorder="1" applyAlignment="1">
      <alignment horizontal="center"/>
    </xf>
    <xf numFmtId="3" fontId="0" fillId="2" borderId="6" xfId="0" applyNumberFormat="1" applyFont="1" applyFill="1" applyBorder="1" applyAlignment="1">
      <alignment horizontal="left" vertical="center"/>
    </xf>
    <xf numFmtId="4" fontId="0" fillId="2" borderId="6" xfId="0" applyNumberFormat="1" applyFont="1" applyFill="1" applyBorder="1" applyAlignment="1">
      <alignment horizontal="left"/>
    </xf>
    <xf numFmtId="4" fontId="0" fillId="2" borderId="6" xfId="0" applyNumberFormat="1" applyFont="1" applyFill="1" applyBorder="1"/>
    <xf numFmtId="4" fontId="0" fillId="2" borderId="6" xfId="0" applyNumberFormat="1" applyFill="1" applyBorder="1" applyAlignment="1">
      <alignment horizontal="center"/>
    </xf>
    <xf numFmtId="0" fontId="0" fillId="2" borderId="7" xfId="0" applyFill="1" applyBorder="1"/>
    <xf numFmtId="3" fontId="1" fillId="2" borderId="7" xfId="0" applyNumberFormat="1" applyFont="1" applyFill="1" applyBorder="1" applyAlignment="1">
      <alignment horizontal="left" vertical="center"/>
    </xf>
    <xf numFmtId="4" fontId="0" fillId="2" borderId="6" xfId="0" applyNumberFormat="1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/>
    </xf>
    <xf numFmtId="165" fontId="22" fillId="2" borderId="0" xfId="1" applyNumberFormat="1" applyFont="1" applyFill="1" applyAlignment="1">
      <alignment horizontal="center" vertical="center" wrapText="1"/>
    </xf>
    <xf numFmtId="0" fontId="14" fillId="2" borderId="0" xfId="0" applyFont="1" applyFill="1"/>
    <xf numFmtId="0" fontId="24" fillId="2" borderId="0" xfId="1" applyFont="1" applyFill="1" applyBorder="1" applyAlignment="1">
      <alignment horizontal="center"/>
    </xf>
    <xf numFmtId="0" fontId="25" fillId="2" borderId="0" xfId="1" applyFont="1" applyFill="1" applyBorder="1"/>
    <xf numFmtId="0" fontId="26" fillId="2" borderId="1" xfId="1" applyFont="1" applyFill="1" applyBorder="1" applyAlignment="1">
      <alignment horizontal="center"/>
    </xf>
    <xf numFmtId="0" fontId="26" fillId="2" borderId="0" xfId="1" applyFont="1" applyFill="1" applyBorder="1" applyAlignment="1">
      <alignment horizontal="center"/>
    </xf>
    <xf numFmtId="0" fontId="27" fillId="2" borderId="0" xfId="1" applyFont="1" applyFill="1" applyBorder="1"/>
    <xf numFmtId="0" fontId="28" fillId="2" borderId="8" xfId="1" applyFont="1" applyFill="1" applyBorder="1"/>
    <xf numFmtId="0" fontId="24" fillId="2" borderId="8" xfId="1" applyFont="1" applyFill="1" applyBorder="1"/>
    <xf numFmtId="0" fontId="29" fillId="2" borderId="8" xfId="1" applyFont="1" applyFill="1" applyBorder="1" applyAlignment="1">
      <alignment horizontal="right"/>
    </xf>
    <xf numFmtId="0" fontId="29" fillId="2" borderId="0" xfId="1" applyFont="1" applyFill="1" applyBorder="1" applyAlignment="1">
      <alignment horizontal="right"/>
    </xf>
    <xf numFmtId="0" fontId="30" fillId="2" borderId="0" xfId="1" applyFont="1" applyFill="1"/>
    <xf numFmtId="0" fontId="28" fillId="2" borderId="0" xfId="1" applyFont="1" applyFill="1"/>
    <xf numFmtId="0" fontId="31" fillId="2" borderId="0" xfId="1" applyFont="1" applyFill="1"/>
    <xf numFmtId="0" fontId="31" fillId="2" borderId="0" xfId="1" applyFont="1" applyFill="1" applyBorder="1"/>
    <xf numFmtId="0" fontId="29" fillId="2" borderId="0" xfId="0" applyFont="1" applyFill="1" applyBorder="1" applyAlignment="1">
      <alignment horizontal="right"/>
    </xf>
    <xf numFmtId="0" fontId="32" fillId="2" borderId="0" xfId="0" applyFont="1" applyFill="1" applyBorder="1" applyAlignment="1">
      <alignment horizontal="right"/>
    </xf>
    <xf numFmtId="1" fontId="31" fillId="2" borderId="0" xfId="1" applyNumberFormat="1" applyFont="1" applyFill="1"/>
    <xf numFmtId="3" fontId="25" fillId="2" borderId="9" xfId="0" applyNumberFormat="1" applyFont="1" applyFill="1" applyBorder="1"/>
    <xf numFmtId="3" fontId="25" fillId="2" borderId="9" xfId="0" applyNumberFormat="1" applyFont="1" applyFill="1" applyBorder="1" applyAlignment="1">
      <alignment vertical="center"/>
    </xf>
    <xf numFmtId="0" fontId="17" fillId="2" borderId="9" xfId="1" applyFont="1" applyFill="1" applyBorder="1" applyAlignment="1">
      <alignment horizontal="right" vertical="center"/>
    </xf>
    <xf numFmtId="0" fontId="17" fillId="2" borderId="0" xfId="1" applyFont="1" applyFill="1" applyBorder="1" applyAlignment="1">
      <alignment horizontal="right" vertical="center"/>
    </xf>
    <xf numFmtId="166" fontId="17" fillId="2" borderId="0" xfId="6" applyNumberFormat="1" applyFont="1" applyFill="1" applyBorder="1" applyAlignment="1" applyProtection="1">
      <alignment horizontal="right" vertical="center"/>
      <protection locked="0"/>
    </xf>
    <xf numFmtId="0" fontId="33" fillId="2" borderId="0" xfId="1" applyFont="1" applyFill="1" applyBorder="1" applyAlignment="1">
      <alignment horizontal="right"/>
    </xf>
    <xf numFmtId="3" fontId="31" fillId="2" borderId="0" xfId="1" applyNumberFormat="1" applyFont="1" applyFill="1"/>
    <xf numFmtId="3" fontId="25" fillId="2" borderId="9" xfId="1" applyNumberFormat="1" applyFont="1" applyFill="1" applyBorder="1"/>
    <xf numFmtId="166" fontId="25" fillId="2" borderId="9" xfId="4" applyNumberFormat="1" applyFont="1" applyFill="1" applyBorder="1" applyAlignment="1">
      <alignment vertical="center"/>
    </xf>
    <xf numFmtId="3" fontId="17" fillId="2" borderId="9" xfId="1" applyNumberFormat="1" applyFont="1" applyFill="1" applyBorder="1" applyAlignment="1">
      <alignment horizontal="right" vertical="center"/>
    </xf>
    <xf numFmtId="3" fontId="17" fillId="2" borderId="0" xfId="1" applyNumberFormat="1" applyFont="1" applyFill="1" applyBorder="1" applyAlignment="1">
      <alignment horizontal="right" vertical="center"/>
    </xf>
    <xf numFmtId="0" fontId="31" fillId="2" borderId="0" xfId="1" applyFont="1" applyFill="1" applyBorder="1" applyAlignment="1">
      <alignment horizontal="left" indent="1"/>
    </xf>
    <xf numFmtId="3" fontId="17" fillId="2" borderId="9" xfId="1" applyNumberFormat="1" applyFont="1" applyFill="1" applyBorder="1" applyAlignment="1">
      <alignment vertical="center"/>
    </xf>
    <xf numFmtId="3" fontId="17" fillId="2" borderId="9" xfId="0" applyNumberFormat="1" applyFont="1" applyFill="1" applyBorder="1" applyAlignment="1">
      <alignment vertical="center"/>
    </xf>
    <xf numFmtId="3" fontId="17" fillId="2" borderId="0" xfId="0" applyNumberFormat="1" applyFont="1" applyFill="1" applyBorder="1" applyAlignment="1">
      <alignment vertical="center"/>
    </xf>
    <xf numFmtId="166" fontId="17" fillId="2" borderId="0" xfId="6" applyNumberFormat="1" applyFont="1" applyFill="1" applyBorder="1" applyAlignment="1" applyProtection="1">
      <alignment vertical="center"/>
      <protection locked="0"/>
    </xf>
    <xf numFmtId="3" fontId="33" fillId="2" borderId="0" xfId="1" applyNumberFormat="1" applyFont="1" applyFill="1" applyBorder="1" applyAlignment="1">
      <alignment horizontal="right" indent="1"/>
    </xf>
    <xf numFmtId="0" fontId="5" fillId="2" borderId="9" xfId="0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166" fontId="5" fillId="2" borderId="0" xfId="6" applyNumberFormat="1" applyFont="1" applyFill="1" applyBorder="1" applyAlignment="1" applyProtection="1">
      <alignment horizontal="right" vertical="center"/>
      <protection locked="0"/>
    </xf>
    <xf numFmtId="3" fontId="25" fillId="2" borderId="9" xfId="4" applyNumberFormat="1" applyFont="1" applyFill="1" applyBorder="1"/>
    <xf numFmtId="0" fontId="33" fillId="2" borderId="0" xfId="1" applyFont="1" applyFill="1" applyBorder="1"/>
    <xf numFmtId="0" fontId="31" fillId="2" borderId="1" xfId="1" applyFont="1" applyFill="1" applyBorder="1" applyAlignment="1">
      <alignment horizontal="left" indent="1"/>
    </xf>
    <xf numFmtId="3" fontId="31" fillId="2" borderId="1" xfId="1" applyNumberFormat="1" applyFont="1" applyFill="1" applyBorder="1"/>
    <xf numFmtId="3" fontId="25" fillId="2" borderId="1" xfId="4" applyNumberFormat="1" applyFont="1" applyFill="1" applyBorder="1"/>
    <xf numFmtId="166" fontId="25" fillId="2" borderId="1" xfId="4" applyNumberFormat="1" applyFont="1" applyFill="1" applyBorder="1" applyAlignment="1">
      <alignment vertical="center"/>
    </xf>
    <xf numFmtId="3" fontId="17" fillId="2" borderId="1" xfId="1" applyNumberFormat="1" applyFont="1" applyFill="1" applyBorder="1" applyAlignment="1">
      <alignment vertical="center"/>
    </xf>
    <xf numFmtId="166" fontId="17" fillId="2" borderId="1" xfId="6" applyNumberFormat="1" applyFont="1" applyFill="1" applyBorder="1" applyAlignment="1" applyProtection="1">
      <alignment vertical="center"/>
      <protection locked="0"/>
    </xf>
    <xf numFmtId="166" fontId="17" fillId="2" borderId="1" xfId="6" applyNumberFormat="1" applyFont="1" applyFill="1" applyBorder="1" applyAlignment="1" applyProtection="1">
      <alignment horizontal="right" vertical="center"/>
      <protection locked="0"/>
    </xf>
    <xf numFmtId="3" fontId="33" fillId="2" borderId="1" xfId="1" applyNumberFormat="1" applyFont="1" applyFill="1" applyBorder="1" applyAlignment="1">
      <alignment horizontal="right" indent="1"/>
    </xf>
    <xf numFmtId="0" fontId="34" fillId="2" borderId="0" xfId="1" applyFont="1" applyFill="1" applyAlignment="1">
      <alignment horizontal="left"/>
    </xf>
    <xf numFmtId="0" fontId="30" fillId="2" borderId="0" xfId="1" applyFont="1" applyFill="1" applyBorder="1"/>
    <xf numFmtId="166" fontId="34" fillId="2" borderId="0" xfId="4" applyNumberFormat="1" applyFont="1" applyFill="1" applyBorder="1" applyAlignment="1">
      <alignment vertical="center"/>
    </xf>
    <xf numFmtId="3" fontId="31" fillId="2" borderId="0" xfId="1" applyNumberFormat="1" applyFont="1" applyFill="1" applyBorder="1"/>
    <xf numFmtId="3" fontId="25" fillId="2" borderId="0" xfId="4" applyNumberFormat="1" applyFont="1" applyFill="1" applyBorder="1"/>
    <xf numFmtId="3" fontId="25" fillId="2" borderId="0" xfId="1" applyNumberFormat="1" applyFont="1" applyFill="1" applyBorder="1" applyAlignment="1">
      <alignment vertical="center"/>
    </xf>
    <xf numFmtId="166" fontId="25" fillId="2" borderId="0" xfId="6" applyNumberFormat="1" applyFont="1" applyFill="1" applyBorder="1" applyAlignment="1" applyProtection="1">
      <alignment vertical="center"/>
      <protection locked="0"/>
    </xf>
    <xf numFmtId="166" fontId="25" fillId="2" borderId="0" xfId="6" applyNumberFormat="1" applyFont="1" applyFill="1" applyBorder="1" applyAlignment="1" applyProtection="1">
      <alignment horizontal="right" vertical="center"/>
      <protection locked="0"/>
    </xf>
    <xf numFmtId="0" fontId="35" fillId="2" borderId="0" xfId="1" applyFont="1" applyFill="1" applyAlignment="1">
      <alignment horizontal="left"/>
    </xf>
    <xf numFmtId="0" fontId="33" fillId="2" borderId="0" xfId="1" applyFont="1" applyFill="1" applyAlignment="1">
      <alignment horizontal="right"/>
    </xf>
    <xf numFmtId="3" fontId="30" fillId="2" borderId="0" xfId="1" applyNumberFormat="1" applyFont="1" applyFill="1"/>
    <xf numFmtId="3" fontId="27" fillId="2" borderId="0" xfId="1" applyNumberFormat="1" applyFont="1" applyFill="1"/>
    <xf numFmtId="0" fontId="36" fillId="2" borderId="0" xfId="5" applyFont="1" applyFill="1" applyAlignment="1" applyProtection="1"/>
    <xf numFmtId="0" fontId="37" fillId="2" borderId="0" xfId="1" applyFont="1" applyFill="1"/>
    <xf numFmtId="0" fontId="27" fillId="2" borderId="0" xfId="1" applyFont="1" applyFill="1"/>
    <xf numFmtId="0" fontId="38" fillId="2" borderId="0" xfId="1" applyFont="1" applyFill="1"/>
    <xf numFmtId="0" fontId="39" fillId="2" borderId="0" xfId="0" applyFont="1" applyFill="1"/>
    <xf numFmtId="166" fontId="25" fillId="2" borderId="9" xfId="4" applyNumberFormat="1" applyFont="1" applyFill="1" applyBorder="1" applyAlignment="1"/>
    <xf numFmtId="3" fontId="25" fillId="2" borderId="9" xfId="1" applyNumberFormat="1" applyFont="1" applyFill="1" applyBorder="1" applyAlignment="1">
      <alignment horizontal="right"/>
    </xf>
    <xf numFmtId="3" fontId="25" fillId="2" borderId="0" xfId="1" applyNumberFormat="1" applyFont="1" applyFill="1" applyBorder="1" applyAlignment="1">
      <alignment horizontal="right"/>
    </xf>
    <xf numFmtId="166" fontId="25" fillId="2" borderId="0" xfId="6" applyNumberFormat="1" applyFont="1" applyFill="1" applyBorder="1" applyAlignment="1" applyProtection="1">
      <alignment horizontal="right"/>
      <protection locked="0"/>
    </xf>
    <xf numFmtId="166" fontId="27" fillId="2" borderId="0" xfId="1" applyNumberFormat="1" applyFont="1" applyFill="1"/>
    <xf numFmtId="3" fontId="38" fillId="2" borderId="0" xfId="1" applyNumberFormat="1" applyFont="1" applyFill="1"/>
    <xf numFmtId="166" fontId="27" fillId="2" borderId="0" xfId="1" applyNumberFormat="1" applyFont="1" applyFill="1" applyAlignment="1">
      <alignment horizontal="right" vertical="center"/>
    </xf>
    <xf numFmtId="166" fontId="38" fillId="2" borderId="1" xfId="1" applyNumberFormat="1" applyFont="1" applyFill="1" applyBorder="1" applyAlignment="1">
      <alignment horizontal="right" vertical="center"/>
    </xf>
    <xf numFmtId="0" fontId="38" fillId="2" borderId="8" xfId="1" applyFont="1" applyFill="1" applyBorder="1"/>
    <xf numFmtId="3" fontId="25" fillId="2" borderId="9" xfId="1" applyNumberFormat="1" applyFont="1" applyFill="1" applyBorder="1" applyAlignment="1"/>
    <xf numFmtId="3" fontId="25" fillId="2" borderId="0" xfId="0" applyNumberFormat="1" applyFont="1" applyFill="1" applyBorder="1"/>
    <xf numFmtId="166" fontId="25" fillId="2" borderId="0" xfId="6" applyNumberFormat="1" applyFont="1" applyFill="1" applyBorder="1" applyProtection="1">
      <protection locked="0"/>
    </xf>
    <xf numFmtId="166" fontId="27" fillId="2" borderId="0" xfId="1" applyNumberFormat="1" applyFont="1" applyFill="1" applyAlignment="1">
      <alignment horizontal="right"/>
    </xf>
    <xf numFmtId="166" fontId="38" fillId="2" borderId="0" xfId="1" applyNumberFormat="1" applyFont="1" applyFill="1" applyAlignment="1">
      <alignment horizontal="right"/>
    </xf>
    <xf numFmtId="166" fontId="25" fillId="2" borderId="1" xfId="4" applyNumberFormat="1" applyFont="1" applyFill="1" applyBorder="1" applyAlignment="1"/>
    <xf numFmtId="3" fontId="25" fillId="2" borderId="1" xfId="1" applyNumberFormat="1" applyFont="1" applyFill="1" applyBorder="1" applyAlignment="1"/>
    <xf numFmtId="166" fontId="25" fillId="2" borderId="1" xfId="6" applyNumberFormat="1" applyFont="1" applyFill="1" applyBorder="1" applyAlignment="1" applyProtection="1">
      <protection locked="0"/>
    </xf>
    <xf numFmtId="166" fontId="27" fillId="2" borderId="1" xfId="1" applyNumberFormat="1" applyFont="1" applyFill="1" applyBorder="1" applyAlignment="1">
      <alignment horizontal="right"/>
    </xf>
    <xf numFmtId="166" fontId="38" fillId="2" borderId="1" xfId="1" applyNumberFormat="1" applyFont="1" applyFill="1" applyBorder="1" applyAlignment="1">
      <alignment horizontal="right"/>
    </xf>
    <xf numFmtId="0" fontId="2" fillId="2" borderId="0" xfId="1" applyFont="1" applyFill="1"/>
    <xf numFmtId="0" fontId="9" fillId="2" borderId="11" xfId="1" applyFont="1" applyFill="1" applyBorder="1"/>
    <xf numFmtId="0" fontId="15" fillId="2" borderId="0" xfId="1" applyFont="1" applyFill="1" applyAlignment="1">
      <alignment horizontal="center" vertical="center"/>
    </xf>
    <xf numFmtId="166" fontId="9" fillId="2" borderId="0" xfId="1" applyNumberFormat="1" applyFont="1" applyFill="1"/>
    <xf numFmtId="0" fontId="41" fillId="2" borderId="0" xfId="1" applyFont="1" applyFill="1" applyBorder="1" applyAlignment="1">
      <alignment horizontal="right" indent="1"/>
    </xf>
    <xf numFmtId="0" fontId="42" fillId="2" borderId="0" xfId="1" applyFont="1" applyFill="1" applyBorder="1" applyAlignment="1">
      <alignment horizontal="left" vertical="center" indent="3"/>
    </xf>
    <xf numFmtId="166" fontId="16" fillId="2" borderId="0" xfId="6" applyNumberFormat="1" applyFont="1" applyFill="1" applyBorder="1" applyAlignment="1">
      <alignment vertical="center"/>
    </xf>
    <xf numFmtId="0" fontId="43" fillId="2" borderId="0" xfId="1" applyFont="1" applyFill="1" applyBorder="1" applyAlignment="1">
      <alignment horizontal="right" vertical="center" indent="2"/>
    </xf>
    <xf numFmtId="0" fontId="44" fillId="2" borderId="0" xfId="1" applyFont="1" applyFill="1" applyBorder="1" applyAlignment="1">
      <alignment vertical="center" wrapText="1"/>
    </xf>
    <xf numFmtId="0" fontId="42" fillId="2" borderId="1" xfId="1" applyFont="1" applyFill="1" applyBorder="1" applyAlignment="1">
      <alignment horizontal="left" vertical="center" indent="3"/>
    </xf>
    <xf numFmtId="166" fontId="16" fillId="2" borderId="1" xfId="6" applyNumberFormat="1" applyFont="1" applyFill="1" applyBorder="1" applyAlignment="1">
      <alignment vertical="center"/>
    </xf>
    <xf numFmtId="0" fontId="43" fillId="2" borderId="1" xfId="1" applyFont="1" applyFill="1" applyBorder="1" applyAlignment="1">
      <alignment horizontal="right" vertical="center" indent="2"/>
    </xf>
    <xf numFmtId="166" fontId="21" fillId="2" borderId="0" xfId="6" applyNumberFormat="1" applyFont="1" applyFill="1" applyBorder="1"/>
    <xf numFmtId="0" fontId="2" fillId="2" borderId="0" xfId="1" applyFont="1" applyFill="1" applyBorder="1"/>
    <xf numFmtId="168" fontId="0" fillId="2" borderId="0" xfId="0" applyNumberFormat="1" applyFont="1" applyFill="1" applyBorder="1" applyAlignment="1">
      <alignment vertical="center"/>
    </xf>
    <xf numFmtId="169" fontId="0" fillId="2" borderId="0" xfId="0" applyNumberFormat="1" applyFill="1" applyAlignment="1">
      <alignment horizontal="right" vertical="center"/>
    </xf>
    <xf numFmtId="4" fontId="9" fillId="2" borderId="0" xfId="0" applyNumberFormat="1" applyFont="1" applyFill="1" applyBorder="1" applyAlignment="1">
      <alignment horizontal="center" vertical="center"/>
    </xf>
    <xf numFmtId="4" fontId="9" fillId="2" borderId="0" xfId="0" applyNumberFormat="1" applyFont="1" applyFill="1" applyBorder="1" applyAlignment="1">
      <alignment horizontal="left" vertical="center" wrapText="1" indent="2"/>
    </xf>
    <xf numFmtId="4" fontId="9" fillId="2" borderId="0" xfId="0" applyNumberFormat="1" applyFont="1" applyFill="1" applyBorder="1" applyAlignment="1">
      <alignment horizontal="right" vertical="center" wrapText="1"/>
    </xf>
    <xf numFmtId="4" fontId="12" fillId="2" borderId="0" xfId="0" applyNumberFormat="1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vertical="center"/>
    </xf>
    <xf numFmtId="4" fontId="9" fillId="2" borderId="12" xfId="0" applyNumberFormat="1" applyFont="1" applyFill="1" applyBorder="1" applyAlignment="1">
      <alignment horizontal="left" vertical="center" wrapText="1" indent="2"/>
    </xf>
    <xf numFmtId="4" fontId="9" fillId="2" borderId="12" xfId="0" applyNumberFormat="1" applyFont="1" applyFill="1" applyBorder="1" applyAlignment="1">
      <alignment horizontal="right" vertical="center" wrapText="1"/>
    </xf>
    <xf numFmtId="4" fontId="12" fillId="2" borderId="12" xfId="0" applyNumberFormat="1" applyFont="1" applyFill="1" applyBorder="1" applyAlignment="1">
      <alignment horizontal="right" vertical="center"/>
    </xf>
    <xf numFmtId="4" fontId="12" fillId="2" borderId="12" xfId="0" applyNumberFormat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vertical="center"/>
    </xf>
    <xf numFmtId="4" fontId="0" fillId="2" borderId="12" xfId="0" applyNumberFormat="1" applyFont="1" applyFill="1" applyBorder="1" applyAlignment="1">
      <alignment horizontal="center" vertical="center"/>
    </xf>
    <xf numFmtId="4" fontId="0" fillId="2" borderId="12" xfId="0" applyNumberFormat="1" applyFill="1" applyBorder="1" applyAlignment="1">
      <alignment horizontal="right" vertical="center"/>
    </xf>
    <xf numFmtId="169" fontId="1" fillId="2" borderId="12" xfId="0" applyNumberFormat="1" applyFont="1" applyFill="1" applyBorder="1" applyAlignment="1">
      <alignment horizontal="right" vertical="center"/>
    </xf>
    <xf numFmtId="3" fontId="0" fillId="2" borderId="3" xfId="0" applyNumberFormat="1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 indent="1"/>
    </xf>
    <xf numFmtId="0" fontId="20" fillId="2" borderId="0" xfId="0" applyFont="1" applyFill="1" applyBorder="1" applyAlignment="1">
      <alignment horizontal="left" vertical="center" indent="2"/>
    </xf>
    <xf numFmtId="4" fontId="0" fillId="2" borderId="0" xfId="0" applyNumberFormat="1" applyFill="1" applyBorder="1" applyAlignment="1">
      <alignment horizontal="left" vertical="center" indent="1"/>
    </xf>
    <xf numFmtId="165" fontId="22" fillId="2" borderId="0" xfId="1" applyNumberFormat="1" applyFont="1" applyFill="1" applyAlignment="1">
      <alignment horizontal="center" vertical="center" wrapText="1"/>
    </xf>
    <xf numFmtId="0" fontId="23" fillId="2" borderId="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40" fillId="2" borderId="2" xfId="1" applyFont="1" applyFill="1" applyBorder="1" applyAlignment="1">
      <alignment horizontal="center" vertical="center"/>
    </xf>
    <xf numFmtId="0" fontId="40" fillId="2" borderId="1" xfId="1" applyFont="1" applyFill="1" applyBorder="1" applyAlignment="1">
      <alignment horizontal="center" vertical="center"/>
    </xf>
    <xf numFmtId="0" fontId="15" fillId="2" borderId="10" xfId="1" applyFont="1" applyFill="1" applyBorder="1" applyAlignment="1">
      <alignment horizontal="center" vertical="center"/>
    </xf>
    <xf numFmtId="0" fontId="41" fillId="2" borderId="2" xfId="1" applyFont="1" applyFill="1" applyBorder="1" applyAlignment="1">
      <alignment horizontal="right" vertical="center" indent="2"/>
    </xf>
    <xf numFmtId="0" fontId="41" fillId="2" borderId="1" xfId="1" applyFont="1" applyFill="1" applyBorder="1" applyAlignment="1">
      <alignment horizontal="right" vertical="center" indent="2"/>
    </xf>
    <xf numFmtId="0" fontId="3" fillId="2" borderId="0" xfId="1" applyFont="1" applyFill="1" applyAlignment="1">
      <alignment horizontal="center" vertical="center" wrapText="1"/>
    </xf>
    <xf numFmtId="0" fontId="18" fillId="2" borderId="0" xfId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4" fontId="9" fillId="2" borderId="2" xfId="0" applyNumberFormat="1" applyFont="1" applyFill="1" applyBorder="1" applyAlignment="1">
      <alignment horizontal="left" vertical="center" wrapText="1" indent="2"/>
    </xf>
    <xf numFmtId="4" fontId="9" fillId="2" borderId="1" xfId="0" applyNumberFormat="1" applyFont="1" applyFill="1" applyBorder="1" applyAlignment="1">
      <alignment horizontal="left" vertical="center" wrapText="1" indent="2"/>
    </xf>
    <xf numFmtId="4" fontId="12" fillId="2" borderId="2" xfId="0" applyNumberFormat="1" applyFont="1" applyFill="1" applyBorder="1" applyAlignment="1">
      <alignment horizontal="right" vertical="center"/>
    </xf>
    <xf numFmtId="4" fontId="12" fillId="2" borderId="1" xfId="0" applyNumberFormat="1" applyFont="1" applyFill="1" applyBorder="1" applyAlignment="1">
      <alignment horizontal="right" vertical="center"/>
    </xf>
    <xf numFmtId="4" fontId="12" fillId="2" borderId="2" xfId="0" applyNumberFormat="1" applyFont="1" applyFill="1" applyBorder="1" applyAlignment="1">
      <alignment horizontal="center" vertical="center"/>
    </xf>
    <xf numFmtId="4" fontId="12" fillId="2" borderId="1" xfId="0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wrapText="1"/>
    </xf>
    <xf numFmtId="4" fontId="4" fillId="2" borderId="0" xfId="0" applyNumberFormat="1" applyFont="1" applyFill="1" applyBorder="1" applyAlignment="1">
      <alignment horizontal="center"/>
    </xf>
    <xf numFmtId="4" fontId="15" fillId="2" borderId="2" xfId="0" applyNumberFormat="1" applyFont="1" applyFill="1" applyBorder="1" applyAlignment="1">
      <alignment horizontal="center" vertical="center"/>
    </xf>
    <xf numFmtId="4" fontId="15" fillId="2" borderId="1" xfId="0" applyNumberFormat="1" applyFont="1" applyFill="1" applyBorder="1" applyAlignment="1">
      <alignment horizontal="center" vertical="center"/>
    </xf>
    <xf numFmtId="4" fontId="9" fillId="2" borderId="2" xfId="0" applyNumberFormat="1" applyFont="1" applyFill="1" applyBorder="1" applyAlignment="1">
      <alignment horizontal="left" vertical="center"/>
    </xf>
    <xf numFmtId="4" fontId="9" fillId="2" borderId="1" xfId="0" applyNumberFormat="1" applyFont="1" applyFill="1" applyBorder="1" applyAlignment="1">
      <alignment horizontal="left" vertical="center"/>
    </xf>
    <xf numFmtId="4" fontId="9" fillId="2" borderId="2" xfId="0" applyNumberFormat="1" applyFont="1" applyFill="1" applyBorder="1" applyAlignment="1">
      <alignment horizontal="left" vertical="center" wrapText="1"/>
    </xf>
    <xf numFmtId="4" fontId="9" fillId="2" borderId="1" xfId="0" applyNumberFormat="1" applyFont="1" applyFill="1" applyBorder="1" applyAlignment="1">
      <alignment horizontal="left" vertical="center" wrapText="1"/>
    </xf>
    <xf numFmtId="164" fontId="16" fillId="2" borderId="0" xfId="7" applyFont="1" applyFill="1" applyBorder="1" applyAlignment="1">
      <alignment horizontal="center" vertical="center"/>
    </xf>
    <xf numFmtId="164" fontId="0" fillId="2" borderId="0" xfId="7" applyFont="1" applyFill="1" applyBorder="1" applyAlignment="1">
      <alignment horizontal="center" vertical="center"/>
    </xf>
    <xf numFmtId="4" fontId="4" fillId="2" borderId="0" xfId="0" applyNumberFormat="1" applyFont="1" applyFill="1" applyBorder="1" applyAlignment="1">
      <alignment horizontal="center" vertical="center"/>
    </xf>
    <xf numFmtId="4" fontId="15" fillId="2" borderId="2" xfId="0" applyNumberFormat="1" applyFont="1" applyFill="1" applyBorder="1" applyAlignment="1">
      <alignment horizontal="left" vertical="center"/>
    </xf>
    <xf numFmtId="4" fontId="15" fillId="2" borderId="1" xfId="0" applyNumberFormat="1" applyFont="1" applyFill="1" applyBorder="1" applyAlignment="1">
      <alignment horizontal="left" vertical="center"/>
    </xf>
    <xf numFmtId="3" fontId="0" fillId="2" borderId="0" xfId="7" applyNumberFormat="1" applyFont="1" applyFill="1" applyBorder="1" applyAlignment="1">
      <alignment vertical="center" wrapText="1"/>
    </xf>
    <xf numFmtId="0" fontId="45" fillId="2" borderId="0" xfId="0" applyFont="1" applyFill="1" applyAlignment="1">
      <alignment horizontal="center"/>
    </xf>
    <xf numFmtId="174" fontId="0" fillId="2" borderId="0" xfId="11" applyNumberFormat="1" applyFont="1" applyFill="1" applyBorder="1" applyAlignment="1">
      <alignment vertical="center"/>
    </xf>
    <xf numFmtId="174" fontId="0" fillId="2" borderId="0" xfId="11" applyNumberFormat="1" applyFont="1" applyFill="1" applyAlignment="1">
      <alignment vertical="center"/>
    </xf>
    <xf numFmtId="4" fontId="0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0" fontId="16" fillId="2" borderId="6" xfId="0" applyNumberFormat="1" applyFont="1" applyFill="1" applyBorder="1" applyAlignment="1">
      <alignment horizontal="center" vertical="center" wrapText="1"/>
    </xf>
    <xf numFmtId="3" fontId="0" fillId="2" borderId="6" xfId="0" applyNumberFormat="1" applyFont="1" applyFill="1" applyBorder="1" applyAlignment="1">
      <alignment vertical="center"/>
    </xf>
    <xf numFmtId="169" fontId="0" fillId="2" borderId="2" xfId="0" applyNumberFormat="1" applyFont="1" applyFill="1" applyBorder="1" applyAlignment="1">
      <alignment horizontal="right" vertical="center" wrapText="1"/>
    </xf>
    <xf numFmtId="169" fontId="0" fillId="2" borderId="1" xfId="0" applyNumberFormat="1" applyFont="1" applyFill="1" applyBorder="1" applyAlignment="1">
      <alignment horizontal="right" vertical="center" wrapText="1"/>
    </xf>
    <xf numFmtId="164" fontId="0" fillId="2" borderId="0" xfId="7" applyFont="1" applyFill="1" applyBorder="1" applyAlignment="1">
      <alignment horizontal="center" vertical="center" wrapText="1"/>
    </xf>
    <xf numFmtId="164" fontId="0" fillId="2" borderId="0" xfId="7" applyFont="1" applyFill="1" applyBorder="1" applyAlignment="1">
      <alignment horizontal="right" vertical="center"/>
    </xf>
  </cellXfs>
  <cellStyles count="12">
    <cellStyle name="Comma" xfId="6" builtinId="3"/>
    <cellStyle name="Comma 2" xfId="4"/>
    <cellStyle name="Comma 2 3" xfId="8"/>
    <cellStyle name="Comma 3" xfId="7"/>
    <cellStyle name="Currency" xfId="11" builtinId="4"/>
    <cellStyle name="Hyperlink_Housing - 3" xfId="5"/>
    <cellStyle name="Normal" xfId="0" builtinId="0"/>
    <cellStyle name="Normal 2" xfId="3"/>
    <cellStyle name="Normal 2 2" xfId="9"/>
    <cellStyle name="Normal_3 Population." xfId="2"/>
    <cellStyle name="Normal_Housing - 3 2" xfId="1"/>
    <cellStyle name="Percent 2" xfId="10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4.1 : Buildings authorized for construction and buildings completed by floor area, 2007 - 2016</a:t>
            </a:r>
          </a:p>
        </c:rich>
      </c:tx>
      <c:layout>
        <c:manualLayout>
          <c:xMode val="edge"/>
          <c:yMode val="edge"/>
          <c:x val="0.16057454185240241"/>
          <c:y val="2.7491408934707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650777720818308E-2"/>
          <c:y val="0.14622670493947451"/>
          <c:w val="0.88389160027534974"/>
          <c:h val="0.73122762664700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'4.4'!$AA$28</c:f>
              <c:strCache>
                <c:ptCount val="1"/>
                <c:pt idx="0">
                  <c:v>Authorized Buildings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953735"/>
              </a:solidFill>
            </c:spPr>
            <c:extLst>
              <c:ext xmlns:c16="http://schemas.microsoft.com/office/drawing/2014/chart" uri="{C3380CC4-5D6E-409C-BE32-E72D297353CC}">
                <c16:uniqueId val="{00000001-027F-4EB7-811C-AAFB76E6946F}"/>
              </c:ext>
            </c:extLst>
          </c:dPt>
          <c:cat>
            <c:numRef>
              <c:f>'4.4'!$AB$27:$AK$27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'4.4'!$AB$28:$AK$28</c:f>
              <c:numCache>
                <c:formatCode>#,##0</c:formatCode>
                <c:ptCount val="10"/>
                <c:pt idx="0" formatCode="_(* #,##0_);_(* \(#,##0\);_(* &quot;-&quot;??_);_(@_)">
                  <c:v>320813.18</c:v>
                </c:pt>
                <c:pt idx="1">
                  <c:v>408901.03999999992</c:v>
                </c:pt>
                <c:pt idx="2">
                  <c:v>309647</c:v>
                </c:pt>
                <c:pt idx="3">
                  <c:v>224560.28</c:v>
                </c:pt>
                <c:pt idx="4">
                  <c:v>236158.83000000002</c:v>
                </c:pt>
                <c:pt idx="5" formatCode="_(* #,##0_);_(* \(#,##0\);_(* &quot;-&quot;??_);_(@_)">
                  <c:v>422177</c:v>
                </c:pt>
                <c:pt idx="6" formatCode="_(* #,##0_);_(* \(#,##0\);_(* &quot;-&quot;??_);_(@_)">
                  <c:v>158327.85999999999</c:v>
                </c:pt>
                <c:pt idx="7" formatCode="_(* #,##0_);_(* \(#,##0\);_(* &quot;-&quot;??_);_(@_)">
                  <c:v>220621</c:v>
                </c:pt>
                <c:pt idx="8">
                  <c:v>283728</c:v>
                </c:pt>
                <c:pt idx="9" formatCode="General">
                  <c:v>486382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F-4EB7-811C-AAFB76E6946F}"/>
            </c:ext>
          </c:extLst>
        </c:ser>
        <c:ser>
          <c:idx val="1"/>
          <c:order val="1"/>
          <c:tx>
            <c:strRef>
              <c:f>'4.4'!$AA$29</c:f>
              <c:strCache>
                <c:ptCount val="1"/>
                <c:pt idx="0">
                  <c:v>Completed Buildings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numRef>
              <c:f>'4.4'!$AB$27:$AK$27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'4.4'!$AB$29:$AK$29</c:f>
              <c:numCache>
                <c:formatCode>#,##0</c:formatCode>
                <c:ptCount val="10"/>
                <c:pt idx="0" formatCode="_(* #,##0_);_(* \(#,##0\);_(* &quot;-&quot;??_);_(@_)">
                  <c:v>38212</c:v>
                </c:pt>
                <c:pt idx="1">
                  <c:v>59939.090000000004</c:v>
                </c:pt>
                <c:pt idx="2">
                  <c:v>51986</c:v>
                </c:pt>
                <c:pt idx="3">
                  <c:v>51725.04</c:v>
                </c:pt>
                <c:pt idx="4">
                  <c:v>45122.18</c:v>
                </c:pt>
                <c:pt idx="5" formatCode="_(* #,##0_);_(* \(#,##0\);_(* &quot;-&quot;??_);_(@_)">
                  <c:v>28116</c:v>
                </c:pt>
                <c:pt idx="6" formatCode="_(* #,##0_);_(* \(#,##0\);_(* &quot;-&quot;??_);_(@_)">
                  <c:v>0</c:v>
                </c:pt>
                <c:pt idx="7" formatCode="_(* #,##0_);_(* \(#,##0\);_(* &quot;-&quot;??_);_(@_)">
                  <c:v>0</c:v>
                </c:pt>
                <c:pt idx="8" formatCode="_(* #,##0_);_(* \(#,##0\);_(* &quot;-&quot;??_);_(@_)">
                  <c:v>0</c:v>
                </c:pt>
                <c:pt idx="9" formatCode="_(* #,##0_);_(* \(#,##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F-4EB7-811C-AAFB76E6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99168"/>
        <c:axId val="92205056"/>
      </c:barChart>
      <c:catAx>
        <c:axId val="921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2205056"/>
        <c:crosses val="autoZero"/>
        <c:auto val="1"/>
        <c:lblAlgn val="ctr"/>
        <c:lblOffset val="100"/>
        <c:noMultiLvlLbl val="0"/>
      </c:catAx>
      <c:valAx>
        <c:axId val="922050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n-US" sz="800" b="1"/>
                  <a:t>Floor Area (in sqm)</a:t>
                </a:r>
              </a:p>
            </c:rich>
          </c:tx>
          <c:layout>
            <c:manualLayout>
              <c:xMode val="edge"/>
              <c:yMode val="edge"/>
              <c:x val="9.1967255950361326E-3"/>
              <c:y val="5.4803510385944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92199168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5947034056444577"/>
          <c:y val="0.20516016997187594"/>
          <c:w val="0.32974309304730987"/>
          <c:h val="7.671118139118443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2014 - 2016   </a:t>
            </a:r>
          </a:p>
        </c:rich>
      </c:tx>
      <c:layout>
        <c:manualLayout>
          <c:xMode val="edge"/>
          <c:yMode val="edge"/>
          <c:x val="0.20726037086405685"/>
          <c:y val="3.62389507346064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5992438696167"/>
          <c:y val="0.17165536599591719"/>
          <c:w val="0.87476063484032363"/>
          <c:h val="0.6738068301807100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'4.5'!$C$5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C58A4F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'4.5'!$C$7:$C$18</c:f>
              <c:numCache>
                <c:formatCode>_(* #,##0_);_(* \(#,##0\);_(* "-"??_);_(@_)</c:formatCode>
                <c:ptCount val="12"/>
                <c:pt idx="0">
                  <c:v>17753.080000000002</c:v>
                </c:pt>
                <c:pt idx="1">
                  <c:v>12806.38</c:v>
                </c:pt>
                <c:pt idx="2">
                  <c:v>17807.400000000001</c:v>
                </c:pt>
                <c:pt idx="3">
                  <c:v>16713.830000000002</c:v>
                </c:pt>
                <c:pt idx="4">
                  <c:v>23633.75</c:v>
                </c:pt>
                <c:pt idx="5">
                  <c:v>20921.310000000001</c:v>
                </c:pt>
                <c:pt idx="6">
                  <c:v>11333.37</c:v>
                </c:pt>
                <c:pt idx="7">
                  <c:v>27338.25</c:v>
                </c:pt>
                <c:pt idx="8">
                  <c:v>23187.97</c:v>
                </c:pt>
                <c:pt idx="9">
                  <c:v>22605.1</c:v>
                </c:pt>
                <c:pt idx="10">
                  <c:v>8743.34</c:v>
                </c:pt>
                <c:pt idx="11">
                  <c:v>17777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4299-A38A-A4405ED22935}"/>
            </c:ext>
          </c:extLst>
        </c:ser>
        <c:ser>
          <c:idx val="2"/>
          <c:order val="1"/>
          <c:tx>
            <c:strRef>
              <c:f>'4.5'!$D$5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'4.5'!$D$7:$D$18</c:f>
              <c:numCache>
                <c:formatCode>_(* #,##0_);_(* \(#,##0\);_(* "-"??_);_(@_)</c:formatCode>
                <c:ptCount val="12"/>
                <c:pt idx="0">
                  <c:v>36482.61</c:v>
                </c:pt>
                <c:pt idx="1">
                  <c:v>35259.65</c:v>
                </c:pt>
                <c:pt idx="2">
                  <c:v>19485.060000000001</c:v>
                </c:pt>
                <c:pt idx="3">
                  <c:v>25796.34</c:v>
                </c:pt>
                <c:pt idx="4">
                  <c:v>449.74</c:v>
                </c:pt>
                <c:pt idx="5">
                  <c:v>37047.620000000003</c:v>
                </c:pt>
                <c:pt idx="6">
                  <c:v>21995.66</c:v>
                </c:pt>
                <c:pt idx="7">
                  <c:v>15747.56</c:v>
                </c:pt>
                <c:pt idx="8">
                  <c:v>8463.07</c:v>
                </c:pt>
                <c:pt idx="9">
                  <c:v>26665.1</c:v>
                </c:pt>
                <c:pt idx="10">
                  <c:v>31764.54</c:v>
                </c:pt>
                <c:pt idx="11">
                  <c:v>25856.51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ser>
          <c:idx val="0"/>
          <c:order val="2"/>
          <c:tx>
            <c:strRef>
              <c:f>'4.5'!$E$5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'4.5'!$E$7:$E$18</c:f>
              <c:numCache>
                <c:formatCode>_(* #,##0_);_(* \(#,##0\);_(* "-"??_);_(@_)</c:formatCode>
                <c:ptCount val="12"/>
                <c:pt idx="0">
                  <c:v>18387.759999999998</c:v>
                </c:pt>
                <c:pt idx="1">
                  <c:v>24197.26</c:v>
                </c:pt>
                <c:pt idx="2">
                  <c:v>37224.83</c:v>
                </c:pt>
                <c:pt idx="3">
                  <c:v>19690.189999999999</c:v>
                </c:pt>
                <c:pt idx="4">
                  <c:v>29738.02</c:v>
                </c:pt>
                <c:pt idx="5">
                  <c:v>66372.94</c:v>
                </c:pt>
                <c:pt idx="6">
                  <c:v>32350.959999999999</c:v>
                </c:pt>
                <c:pt idx="7">
                  <c:v>67211.78</c:v>
                </c:pt>
                <c:pt idx="8">
                  <c:v>26820.16</c:v>
                </c:pt>
                <c:pt idx="9">
                  <c:v>65201.9</c:v>
                </c:pt>
                <c:pt idx="10">
                  <c:v>49345.440000000002</c:v>
                </c:pt>
                <c:pt idx="11">
                  <c:v>49842.22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DC-4299-A38A-A4405ED22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40512"/>
        <c:axId val="92254976"/>
      </c:barChart>
      <c:catAx>
        <c:axId val="9224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9916326724219717"/>
              <c:y val="0.9271789302199293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92254976"/>
        <c:crosses val="autoZero"/>
        <c:auto val="1"/>
        <c:lblAlgn val="ctr"/>
        <c:lblOffset val="100"/>
        <c:noMultiLvlLbl val="0"/>
      </c:catAx>
      <c:valAx>
        <c:axId val="9225497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2498497928722764E-2"/>
              <c:y val="0.31606065405617401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2240512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268257112077213"/>
          <c:y val="0.2430046654004315"/>
          <c:w val="0.21162997158873814"/>
          <c:h val="7.903489522826040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17</xdr:row>
      <xdr:rowOff>66675</xdr:rowOff>
    </xdr:from>
    <xdr:to>
      <xdr:col>14</xdr:col>
      <xdr:colOff>1304924</xdr:colOff>
      <xdr:row>31</xdr:row>
      <xdr:rowOff>26670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18</xdr:row>
      <xdr:rowOff>142874</xdr:rowOff>
    </xdr:from>
    <xdr:to>
      <xdr:col>13</xdr:col>
      <xdr:colOff>685800</xdr:colOff>
      <xdr:row>18</xdr:row>
      <xdr:rowOff>142874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105025" y="4038599"/>
          <a:ext cx="59340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21</xdr:row>
      <xdr:rowOff>22860</xdr:rowOff>
    </xdr:from>
    <xdr:to>
      <xdr:col>7</xdr:col>
      <xdr:colOff>777875</xdr:colOff>
      <xdr:row>41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914400</xdr:colOff>
      <xdr:row>23</xdr:row>
      <xdr:rowOff>19050</xdr:rowOff>
    </xdr:from>
    <xdr:to>
      <xdr:col>6</xdr:col>
      <xdr:colOff>0</xdr:colOff>
      <xdr:row>23</xdr:row>
      <xdr:rowOff>19050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781175" y="5038725"/>
          <a:ext cx="50863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5"/>
  <sheetViews>
    <sheetView tabSelected="1" workbookViewId="0">
      <selection activeCell="O20" sqref="O20"/>
    </sheetView>
  </sheetViews>
  <sheetFormatPr defaultRowHeight="15" x14ac:dyDescent="0.25"/>
  <cols>
    <col min="1" max="1" width="24.5703125" style="182" customWidth="1"/>
    <col min="2" max="5" width="0" style="182" hidden="1" customWidth="1"/>
    <col min="6" max="14" width="10.7109375" style="182" customWidth="1"/>
    <col min="15" max="15" width="33.5703125" style="182" customWidth="1"/>
    <col min="16" max="16" width="1.5703125" style="182" customWidth="1"/>
    <col min="17" max="16384" width="9.140625" style="182"/>
  </cols>
  <sheetData>
    <row r="1" spans="1:28" ht="18" x14ac:dyDescent="0.25">
      <c r="A1" s="299" t="s">
        <v>342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181"/>
      <c r="Q1" s="181"/>
      <c r="R1" s="181"/>
      <c r="S1" s="181"/>
      <c r="T1" s="181"/>
      <c r="U1" s="181"/>
      <c r="V1" s="181"/>
      <c r="W1" s="181"/>
      <c r="X1" s="181"/>
    </row>
    <row r="2" spans="1:28" x14ac:dyDescent="0.25">
      <c r="A2" s="300" t="s">
        <v>343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183"/>
      <c r="Q2" s="183"/>
      <c r="R2" s="183"/>
      <c r="S2" s="183"/>
      <c r="T2" s="183"/>
      <c r="U2" s="183"/>
      <c r="V2" s="183"/>
      <c r="W2" s="183"/>
      <c r="X2" s="183"/>
      <c r="Y2" s="184"/>
      <c r="Z2" s="184"/>
      <c r="AA2" s="184"/>
      <c r="AB2" s="184"/>
    </row>
    <row r="3" spans="1:28" x14ac:dyDescent="0.25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6"/>
      <c r="Q3" s="186"/>
      <c r="R3" s="186"/>
      <c r="S3" s="186"/>
      <c r="T3" s="186"/>
      <c r="U3" s="186"/>
      <c r="V3" s="186"/>
      <c r="W3" s="186"/>
      <c r="X3" s="186"/>
      <c r="Y3" s="187"/>
      <c r="Z3" s="187"/>
      <c r="AA3" s="187"/>
      <c r="AB3" s="187"/>
    </row>
    <row r="4" spans="1:28" ht="17.25" x14ac:dyDescent="0.4">
      <c r="A4" s="188" t="s">
        <v>344</v>
      </c>
      <c r="B4" s="188">
        <v>2002</v>
      </c>
      <c r="C4" s="188">
        <v>2003</v>
      </c>
      <c r="D4" s="189">
        <v>2006</v>
      </c>
      <c r="E4" s="189">
        <v>2007</v>
      </c>
      <c r="F4" s="189">
        <v>2008</v>
      </c>
      <c r="G4" s="189">
        <v>2009</v>
      </c>
      <c r="H4" s="189">
        <v>2010</v>
      </c>
      <c r="I4" s="189">
        <v>2011</v>
      </c>
      <c r="J4" s="189">
        <v>2012</v>
      </c>
      <c r="K4" s="189">
        <v>2013</v>
      </c>
      <c r="L4" s="189">
        <v>2014</v>
      </c>
      <c r="M4" s="189">
        <v>2015</v>
      </c>
      <c r="N4" s="189">
        <v>2016</v>
      </c>
      <c r="O4" s="190" t="s">
        <v>345</v>
      </c>
      <c r="P4" s="191"/>
      <c r="Q4" s="191"/>
      <c r="R4" s="191"/>
      <c r="S4" s="191"/>
      <c r="T4" s="191"/>
      <c r="U4" s="191"/>
      <c r="V4" s="191"/>
      <c r="W4" s="191"/>
      <c r="X4" s="191"/>
      <c r="Y4" s="192"/>
      <c r="Z4" s="192"/>
      <c r="AA4" s="192"/>
      <c r="AB4" s="192"/>
    </row>
    <row r="5" spans="1:28" ht="17.25" x14ac:dyDescent="0.4">
      <c r="A5" s="193" t="s">
        <v>346</v>
      </c>
      <c r="B5" s="194"/>
      <c r="C5" s="194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6" t="s">
        <v>347</v>
      </c>
      <c r="P5" s="196"/>
      <c r="Q5" s="196"/>
      <c r="R5" s="196"/>
      <c r="S5" s="196"/>
      <c r="T5" s="196"/>
      <c r="U5" s="196"/>
      <c r="V5" s="196"/>
      <c r="W5" s="196"/>
      <c r="X5" s="196"/>
      <c r="Y5" s="197"/>
      <c r="Z5" s="197"/>
      <c r="AA5" s="192"/>
      <c r="AB5" s="192"/>
    </row>
    <row r="6" spans="1:28" ht="17.25" x14ac:dyDescent="0.4">
      <c r="A6" s="195" t="s">
        <v>348</v>
      </c>
      <c r="B6" s="194">
        <v>452</v>
      </c>
      <c r="C6" s="198">
        <v>619</v>
      </c>
      <c r="D6" s="199">
        <v>593</v>
      </c>
      <c r="E6" s="200">
        <v>506</v>
      </c>
      <c r="F6" s="201">
        <v>504</v>
      </c>
      <c r="G6" s="201">
        <v>485</v>
      </c>
      <c r="H6" s="201">
        <v>436</v>
      </c>
      <c r="I6" s="202">
        <v>322</v>
      </c>
      <c r="J6" s="203">
        <v>273</v>
      </c>
      <c r="K6" s="203">
        <v>239</v>
      </c>
      <c r="L6" s="203">
        <v>318</v>
      </c>
      <c r="M6" s="203">
        <v>330</v>
      </c>
      <c r="N6" s="203">
        <v>494</v>
      </c>
      <c r="O6" s="204" t="s">
        <v>349</v>
      </c>
      <c r="P6" s="204"/>
      <c r="Q6" s="204"/>
      <c r="R6" s="204"/>
      <c r="S6" s="204"/>
      <c r="T6" s="204"/>
      <c r="U6" s="204"/>
      <c r="V6" s="204"/>
      <c r="W6" s="204"/>
      <c r="X6" s="204"/>
      <c r="Y6" s="192"/>
      <c r="Z6" s="192"/>
      <c r="AA6" s="192"/>
      <c r="AB6" s="192"/>
    </row>
    <row r="7" spans="1:28" ht="17.25" x14ac:dyDescent="0.4">
      <c r="A7" s="195" t="s">
        <v>350</v>
      </c>
      <c r="B7" s="205">
        <v>180738</v>
      </c>
      <c r="C7" s="205">
        <v>209615</v>
      </c>
      <c r="D7" s="206">
        <v>360446.79000000004</v>
      </c>
      <c r="E7" s="207">
        <v>320813.18</v>
      </c>
      <c r="F7" s="208">
        <v>408901.03999999992</v>
      </c>
      <c r="G7" s="208">
        <v>309647</v>
      </c>
      <c r="H7" s="208">
        <v>224560.28</v>
      </c>
      <c r="I7" s="209">
        <v>236158.83000000002</v>
      </c>
      <c r="J7" s="203">
        <v>422177</v>
      </c>
      <c r="K7" s="203">
        <v>158327.85999999999</v>
      </c>
      <c r="L7" s="203">
        <v>220621</v>
      </c>
      <c r="M7" s="203">
        <v>283728.34999999998</v>
      </c>
      <c r="N7" s="203">
        <v>486382</v>
      </c>
      <c r="O7" s="204" t="s">
        <v>351</v>
      </c>
      <c r="P7" s="204"/>
      <c r="Q7" s="204"/>
      <c r="R7" s="204"/>
      <c r="S7" s="204"/>
      <c r="T7" s="204"/>
      <c r="U7" s="204"/>
      <c r="V7" s="204"/>
      <c r="W7" s="204"/>
      <c r="X7" s="204"/>
      <c r="Y7" s="192"/>
      <c r="Z7" s="192"/>
      <c r="AA7" s="192"/>
      <c r="AB7" s="192"/>
    </row>
    <row r="8" spans="1:28" ht="17.25" x14ac:dyDescent="0.4">
      <c r="A8" s="210" t="s">
        <v>352</v>
      </c>
      <c r="B8" s="205">
        <v>116200</v>
      </c>
      <c r="C8" s="205">
        <v>131252</v>
      </c>
      <c r="D8" s="206">
        <v>253944.94</v>
      </c>
      <c r="E8" s="207">
        <v>235433.41</v>
      </c>
      <c r="F8" s="211">
        <v>229276.41999999998</v>
      </c>
      <c r="G8" s="211">
        <v>235860</v>
      </c>
      <c r="H8" s="212">
        <v>176826.05</v>
      </c>
      <c r="I8" s="213">
        <v>191884.39</v>
      </c>
      <c r="J8" s="214">
        <v>151841</v>
      </c>
      <c r="K8" s="214">
        <v>108237</v>
      </c>
      <c r="L8" s="214">
        <v>164560</v>
      </c>
      <c r="M8" s="214">
        <v>216099.75700000001</v>
      </c>
      <c r="N8" s="214">
        <v>352672</v>
      </c>
      <c r="O8" s="215" t="s">
        <v>353</v>
      </c>
      <c r="P8" s="215"/>
      <c r="Q8" s="215"/>
      <c r="R8" s="215"/>
      <c r="S8" s="215"/>
      <c r="T8" s="215"/>
      <c r="U8" s="215"/>
      <c r="V8" s="215"/>
      <c r="W8" s="215"/>
      <c r="X8" s="215"/>
      <c r="Y8" s="192"/>
      <c r="Z8" s="192"/>
      <c r="AA8" s="192"/>
      <c r="AB8" s="192"/>
    </row>
    <row r="9" spans="1:28" ht="17.25" x14ac:dyDescent="0.4">
      <c r="A9" s="210" t="s">
        <v>354</v>
      </c>
      <c r="B9" s="205">
        <v>64538</v>
      </c>
      <c r="C9" s="205">
        <v>78363</v>
      </c>
      <c r="D9" s="206">
        <v>106501.85</v>
      </c>
      <c r="E9" s="207">
        <v>85379.77</v>
      </c>
      <c r="F9" s="211">
        <v>179624.61999999997</v>
      </c>
      <c r="G9" s="211">
        <v>73787</v>
      </c>
      <c r="H9" s="212">
        <v>47734.23</v>
      </c>
      <c r="I9" s="213">
        <v>44274.44</v>
      </c>
      <c r="J9" s="214">
        <v>270336</v>
      </c>
      <c r="K9" s="214">
        <v>49893</v>
      </c>
      <c r="L9" s="214">
        <v>47468</v>
      </c>
      <c r="M9" s="214">
        <v>66662.84</v>
      </c>
      <c r="N9" s="214">
        <v>118080</v>
      </c>
      <c r="O9" s="215" t="s">
        <v>355</v>
      </c>
      <c r="P9" s="215"/>
      <c r="Q9" s="215"/>
      <c r="R9" s="215"/>
      <c r="S9" s="215"/>
      <c r="T9" s="215"/>
      <c r="U9" s="215"/>
      <c r="V9" s="215"/>
      <c r="W9" s="215"/>
      <c r="X9" s="215"/>
      <c r="Y9" s="192"/>
      <c r="Z9" s="192"/>
      <c r="AA9" s="192"/>
      <c r="AB9" s="192"/>
    </row>
    <row r="10" spans="1:28" ht="17.25" x14ac:dyDescent="0.4">
      <c r="A10" s="193" t="s">
        <v>356</v>
      </c>
      <c r="B10" s="194"/>
      <c r="C10" s="194"/>
      <c r="D10" s="206"/>
      <c r="E10" s="207"/>
      <c r="F10" s="216"/>
      <c r="G10" s="216"/>
      <c r="H10" s="217"/>
      <c r="I10" s="218"/>
      <c r="J10" s="219"/>
      <c r="K10" s="219"/>
      <c r="L10" s="219"/>
      <c r="M10" s="219"/>
      <c r="N10" s="219"/>
      <c r="O10" s="196" t="s">
        <v>357</v>
      </c>
      <c r="P10" s="196"/>
      <c r="Q10" s="196"/>
      <c r="R10" s="196"/>
      <c r="S10" s="196"/>
      <c r="T10" s="196"/>
      <c r="U10" s="196"/>
      <c r="V10" s="196"/>
      <c r="W10" s="196"/>
      <c r="X10" s="196"/>
      <c r="Y10" s="197"/>
      <c r="Z10" s="197"/>
      <c r="AA10" s="192"/>
      <c r="AB10" s="192"/>
    </row>
    <row r="11" spans="1:28" ht="17.25" x14ac:dyDescent="0.4">
      <c r="A11" s="195" t="s">
        <v>358</v>
      </c>
      <c r="B11" s="194">
        <v>264</v>
      </c>
      <c r="C11" s="194">
        <v>175</v>
      </c>
      <c r="D11" s="206">
        <v>153</v>
      </c>
      <c r="E11" s="207">
        <v>153</v>
      </c>
      <c r="F11" s="201">
        <v>167</v>
      </c>
      <c r="G11" s="201">
        <v>175</v>
      </c>
      <c r="H11" s="208">
        <v>176</v>
      </c>
      <c r="I11" s="209">
        <v>78</v>
      </c>
      <c r="J11" s="203">
        <v>46</v>
      </c>
      <c r="K11" s="203" t="s">
        <v>359</v>
      </c>
      <c r="L11" s="203" t="s">
        <v>359</v>
      </c>
      <c r="M11" s="203" t="s">
        <v>359</v>
      </c>
      <c r="N11" s="203" t="s">
        <v>359</v>
      </c>
      <c r="O11" s="204" t="s">
        <v>360</v>
      </c>
      <c r="P11" s="204"/>
      <c r="Q11" s="204"/>
      <c r="R11" s="204"/>
      <c r="S11" s="204"/>
      <c r="T11" s="204"/>
      <c r="U11" s="204"/>
      <c r="V11" s="204"/>
      <c r="W11" s="204"/>
      <c r="X11" s="204"/>
      <c r="Y11" s="192"/>
      <c r="Z11" s="192"/>
      <c r="AA11" s="192"/>
      <c r="AB11" s="192"/>
    </row>
    <row r="12" spans="1:28" ht="17.25" x14ac:dyDescent="0.4">
      <c r="A12" s="195" t="s">
        <v>350</v>
      </c>
      <c r="B12" s="205">
        <v>52895</v>
      </c>
      <c r="C12" s="205">
        <v>56461</v>
      </c>
      <c r="D12" s="206">
        <v>58724.759999999995</v>
      </c>
      <c r="E12" s="207">
        <v>38212</v>
      </c>
      <c r="F12" s="208">
        <v>59939.090000000004</v>
      </c>
      <c r="G12" s="208">
        <v>51986</v>
      </c>
      <c r="H12" s="208">
        <v>51725.04</v>
      </c>
      <c r="I12" s="209">
        <v>45122.18</v>
      </c>
      <c r="J12" s="203">
        <v>28116</v>
      </c>
      <c r="K12" s="203" t="s">
        <v>359</v>
      </c>
      <c r="L12" s="203" t="s">
        <v>359</v>
      </c>
      <c r="M12" s="203" t="s">
        <v>359</v>
      </c>
      <c r="N12" s="203" t="s">
        <v>359</v>
      </c>
      <c r="O12" s="204" t="s">
        <v>361</v>
      </c>
      <c r="P12" s="204"/>
      <c r="Q12" s="204"/>
      <c r="R12" s="204"/>
      <c r="S12" s="204"/>
      <c r="T12" s="204"/>
      <c r="U12" s="204"/>
      <c r="V12" s="204"/>
      <c r="W12" s="204"/>
      <c r="X12" s="204"/>
      <c r="Y12" s="192"/>
      <c r="Z12" s="192"/>
      <c r="AA12" s="192"/>
      <c r="AB12" s="192"/>
    </row>
    <row r="13" spans="1:28" ht="17.25" x14ac:dyDescent="0.4">
      <c r="A13" s="210" t="s">
        <v>352</v>
      </c>
      <c r="B13" s="205">
        <v>33635</v>
      </c>
      <c r="C13" s="205">
        <v>36662</v>
      </c>
      <c r="D13" s="220">
        <v>22525.759999999998</v>
      </c>
      <c r="E13" s="207">
        <v>16811</v>
      </c>
      <c r="F13" s="211">
        <v>21444.400000000001</v>
      </c>
      <c r="G13" s="211">
        <v>26411</v>
      </c>
      <c r="H13" s="212">
        <v>27026.71</v>
      </c>
      <c r="I13" s="213">
        <v>22251.040000000001</v>
      </c>
      <c r="J13" s="214">
        <v>12556</v>
      </c>
      <c r="K13" s="203" t="s">
        <v>359</v>
      </c>
      <c r="L13" s="203" t="s">
        <v>359</v>
      </c>
      <c r="M13" s="203" t="s">
        <v>359</v>
      </c>
      <c r="N13" s="203" t="s">
        <v>359</v>
      </c>
      <c r="O13" s="215" t="s">
        <v>353</v>
      </c>
      <c r="P13" s="215"/>
      <c r="Q13" s="215"/>
      <c r="R13" s="215"/>
      <c r="S13" s="215"/>
      <c r="T13" s="215"/>
      <c r="U13" s="215"/>
      <c r="V13" s="215"/>
      <c r="W13" s="215"/>
      <c r="X13" s="215"/>
      <c r="Y13" s="221"/>
      <c r="Z13" s="192"/>
      <c r="AA13" s="192"/>
      <c r="AB13" s="192"/>
    </row>
    <row r="14" spans="1:28" ht="17.25" x14ac:dyDescent="0.4">
      <c r="A14" s="222" t="s">
        <v>354</v>
      </c>
      <c r="B14" s="223">
        <v>19260</v>
      </c>
      <c r="C14" s="223">
        <v>19799</v>
      </c>
      <c r="D14" s="224">
        <v>36199</v>
      </c>
      <c r="E14" s="225">
        <v>21401</v>
      </c>
      <c r="F14" s="226">
        <v>38494.69</v>
      </c>
      <c r="G14" s="226">
        <v>25575</v>
      </c>
      <c r="H14" s="226">
        <v>24698.33</v>
      </c>
      <c r="I14" s="226">
        <v>22871.14</v>
      </c>
      <c r="J14" s="227">
        <v>15560</v>
      </c>
      <c r="K14" s="228" t="s">
        <v>359</v>
      </c>
      <c r="L14" s="228" t="s">
        <v>359</v>
      </c>
      <c r="M14" s="228" t="s">
        <v>359</v>
      </c>
      <c r="N14" s="228" t="s">
        <v>359</v>
      </c>
      <c r="O14" s="229" t="s">
        <v>355</v>
      </c>
      <c r="P14" s="215"/>
      <c r="Q14" s="230"/>
      <c r="R14" s="215"/>
      <c r="S14" s="215"/>
      <c r="T14" s="215"/>
      <c r="U14" s="215"/>
      <c r="V14" s="215"/>
      <c r="W14" s="215"/>
      <c r="X14" s="215"/>
      <c r="Y14" s="221"/>
      <c r="Z14" s="231"/>
      <c r="AA14" s="231"/>
      <c r="AB14" s="231"/>
    </row>
    <row r="15" spans="1:28" ht="17.25" x14ac:dyDescent="0.4">
      <c r="A15" s="232" t="s">
        <v>362</v>
      </c>
      <c r="B15" s="233"/>
      <c r="C15" s="233"/>
      <c r="D15" s="234"/>
      <c r="E15" s="192"/>
      <c r="F15" s="235"/>
      <c r="G15" s="235"/>
      <c r="H15" s="235"/>
      <c r="I15" s="235"/>
      <c r="J15" s="236"/>
      <c r="K15" s="237"/>
      <c r="L15" s="237"/>
      <c r="M15" s="237"/>
      <c r="N15" s="237"/>
      <c r="O15" s="215"/>
      <c r="P15" s="215"/>
      <c r="Q15" s="230"/>
      <c r="R15" s="215"/>
      <c r="S15" s="215"/>
      <c r="T15" s="215"/>
      <c r="U15" s="215"/>
      <c r="V15" s="215"/>
      <c r="W15" s="215"/>
      <c r="X15" s="215"/>
      <c r="Y15" s="221"/>
      <c r="Z15" s="231"/>
      <c r="AA15" s="231"/>
      <c r="AB15" s="231"/>
    </row>
    <row r="16" spans="1:28" ht="17.25" x14ac:dyDescent="0.4">
      <c r="A16" s="18" t="s">
        <v>15</v>
      </c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12" t="s">
        <v>16</v>
      </c>
      <c r="P16" s="239"/>
      <c r="Q16" s="230"/>
      <c r="R16" s="239"/>
      <c r="S16" s="239"/>
      <c r="T16" s="239"/>
      <c r="U16" s="239"/>
      <c r="V16" s="239"/>
      <c r="W16" s="239"/>
      <c r="X16" s="239"/>
      <c r="Y16" s="231"/>
      <c r="Z16" s="192"/>
      <c r="AB16" s="239"/>
    </row>
    <row r="17" spans="1:37" ht="17.25" x14ac:dyDescent="0.4">
      <c r="A17" s="192"/>
      <c r="B17" s="192"/>
      <c r="C17" s="192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39"/>
      <c r="P17" s="239"/>
      <c r="Q17" s="230"/>
      <c r="R17" s="239"/>
      <c r="S17" s="239"/>
      <c r="T17" s="239"/>
      <c r="U17" s="239"/>
      <c r="V17" s="239"/>
      <c r="W17" s="239"/>
      <c r="X17" s="239"/>
    </row>
    <row r="18" spans="1:37" ht="17.25" x14ac:dyDescent="0.4"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AB18" s="239"/>
    </row>
    <row r="19" spans="1:37" ht="17.25" x14ac:dyDescent="0.4"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3"/>
      <c r="P19" s="243"/>
      <c r="Q19" s="243"/>
      <c r="R19" s="243"/>
      <c r="S19" s="243"/>
      <c r="T19" s="243"/>
      <c r="U19" s="243"/>
      <c r="V19" s="243"/>
      <c r="W19" s="243"/>
      <c r="X19" s="243"/>
    </row>
    <row r="20" spans="1:37" ht="17.25" x14ac:dyDescent="0.4"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AB20" s="239"/>
    </row>
    <row r="22" spans="1:37" ht="17.25" x14ac:dyDescent="0.4">
      <c r="AB22" s="239"/>
    </row>
    <row r="24" spans="1:37" ht="17.25" x14ac:dyDescent="0.4">
      <c r="Q24" s="244"/>
      <c r="AB24" s="239"/>
    </row>
    <row r="27" spans="1:37" x14ac:dyDescent="0.25">
      <c r="AB27" s="189">
        <v>2007</v>
      </c>
      <c r="AC27" s="189">
        <v>2008</v>
      </c>
      <c r="AD27" s="189">
        <v>2009</v>
      </c>
      <c r="AE27" s="189">
        <v>2010</v>
      </c>
      <c r="AF27" s="189">
        <v>2011</v>
      </c>
      <c r="AG27" s="189">
        <v>2012</v>
      </c>
      <c r="AH27" s="189">
        <v>2013</v>
      </c>
      <c r="AI27" s="189">
        <v>2014</v>
      </c>
      <c r="AJ27" s="245">
        <v>2015</v>
      </c>
      <c r="AK27" s="246">
        <v>2016</v>
      </c>
    </row>
    <row r="28" spans="1:37" x14ac:dyDescent="0.25">
      <c r="AA28" s="194" t="s">
        <v>346</v>
      </c>
      <c r="AB28" s="247">
        <v>320813.18</v>
      </c>
      <c r="AC28" s="248">
        <v>408901.03999999992</v>
      </c>
      <c r="AD28" s="248">
        <v>309647</v>
      </c>
      <c r="AE28" s="248">
        <v>224560.28</v>
      </c>
      <c r="AF28" s="249">
        <v>236158.83000000002</v>
      </c>
      <c r="AG28" s="250">
        <v>422177</v>
      </c>
      <c r="AH28" s="251">
        <v>158327.85999999999</v>
      </c>
      <c r="AI28" s="251">
        <v>220621</v>
      </c>
      <c r="AJ28" s="252">
        <v>283728</v>
      </c>
      <c r="AK28" s="246">
        <v>486382</v>
      </c>
    </row>
    <row r="29" spans="1:37" x14ac:dyDescent="0.25">
      <c r="AA29" s="194" t="s">
        <v>356</v>
      </c>
      <c r="AB29" s="247">
        <v>38212</v>
      </c>
      <c r="AC29" s="248">
        <v>59939.090000000004</v>
      </c>
      <c r="AD29" s="248">
        <v>51986</v>
      </c>
      <c r="AE29" s="248">
        <v>51725.04</v>
      </c>
      <c r="AF29" s="249">
        <v>45122.18</v>
      </c>
      <c r="AG29" s="250">
        <v>28116</v>
      </c>
      <c r="AH29" s="253" t="s">
        <v>359</v>
      </c>
      <c r="AI29" s="253" t="s">
        <v>359</v>
      </c>
      <c r="AJ29" s="254" t="s">
        <v>359</v>
      </c>
      <c r="AK29" s="254" t="s">
        <v>359</v>
      </c>
    </row>
    <row r="30" spans="1:37" x14ac:dyDescent="0.25">
      <c r="AJ30" s="246"/>
      <c r="AK30" s="246"/>
    </row>
    <row r="31" spans="1:37" x14ac:dyDescent="0.25">
      <c r="AJ31" s="246"/>
      <c r="AK31" s="246"/>
    </row>
    <row r="32" spans="1:37" x14ac:dyDescent="0.25">
      <c r="AA32" s="193" t="s">
        <v>356</v>
      </c>
      <c r="AJ32" s="246"/>
      <c r="AK32" s="246"/>
    </row>
    <row r="33" spans="27:37" x14ac:dyDescent="0.25">
      <c r="AB33" s="189">
        <v>2007</v>
      </c>
      <c r="AC33" s="189">
        <v>2008</v>
      </c>
      <c r="AD33" s="189">
        <v>2009</v>
      </c>
      <c r="AE33" s="189">
        <v>2010</v>
      </c>
      <c r="AF33" s="189">
        <v>2011</v>
      </c>
      <c r="AG33" s="189">
        <v>2012</v>
      </c>
      <c r="AH33" s="189">
        <v>2013</v>
      </c>
      <c r="AI33" s="189">
        <v>2014</v>
      </c>
      <c r="AJ33" s="255">
        <v>2015</v>
      </c>
      <c r="AK33" s="246">
        <v>2016</v>
      </c>
    </row>
    <row r="34" spans="27:37" x14ac:dyDescent="0.25">
      <c r="AA34" s="210" t="s">
        <v>352</v>
      </c>
      <c r="AB34" s="247">
        <v>16811</v>
      </c>
      <c r="AC34" s="256">
        <v>21444.400000000001</v>
      </c>
      <c r="AD34" s="256">
        <v>26411</v>
      </c>
      <c r="AE34" s="199">
        <v>27026.71</v>
      </c>
      <c r="AF34" s="257">
        <v>22251.040000000001</v>
      </c>
      <c r="AG34" s="258">
        <v>12556</v>
      </c>
      <c r="AH34" s="259" t="s">
        <v>359</v>
      </c>
      <c r="AI34" s="259" t="s">
        <v>359</v>
      </c>
      <c r="AJ34" s="260" t="s">
        <v>359</v>
      </c>
      <c r="AK34" s="260" t="s">
        <v>359</v>
      </c>
    </row>
    <row r="35" spans="27:37" x14ac:dyDescent="0.25">
      <c r="AA35" s="222" t="s">
        <v>354</v>
      </c>
      <c r="AB35" s="261">
        <v>21401</v>
      </c>
      <c r="AC35" s="262">
        <v>38494.69</v>
      </c>
      <c r="AD35" s="262">
        <v>25575</v>
      </c>
      <c r="AE35" s="262">
        <v>24698.33</v>
      </c>
      <c r="AF35" s="262">
        <v>22871.14</v>
      </c>
      <c r="AG35" s="263">
        <v>15560</v>
      </c>
      <c r="AH35" s="264" t="s">
        <v>359</v>
      </c>
      <c r="AI35" s="264" t="s">
        <v>359</v>
      </c>
      <c r="AJ35" s="265" t="s">
        <v>359</v>
      </c>
      <c r="AK35" s="260" t="s">
        <v>359</v>
      </c>
    </row>
  </sheetData>
  <mergeCells count="2">
    <mergeCell ref="A1:O1"/>
    <mergeCell ref="A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6"/>
  <sheetViews>
    <sheetView topLeftCell="A4" workbookViewId="0">
      <selection activeCell="M15" sqref="M15"/>
    </sheetView>
  </sheetViews>
  <sheetFormatPr defaultColWidth="9.140625" defaultRowHeight="12.75" x14ac:dyDescent="0.2"/>
  <cols>
    <col min="1" max="1" width="13" style="266" customWidth="1"/>
    <col min="2" max="5" width="17.42578125" style="266" customWidth="1"/>
    <col min="6" max="6" width="20.28515625" style="266" customWidth="1"/>
    <col min="7" max="7" width="10.5703125" style="266" customWidth="1"/>
    <col min="8" max="8" width="16.5703125" style="266" customWidth="1"/>
    <col min="9" max="9" width="39.42578125" style="266" customWidth="1"/>
    <col min="10" max="15" width="10.5703125" style="266" customWidth="1"/>
    <col min="16" max="16" width="34" style="266" customWidth="1"/>
    <col min="17" max="17" width="5.28515625" style="266" customWidth="1"/>
    <col min="18" max="21" width="9.140625" style="266"/>
    <col min="22" max="22" width="21.7109375" style="266" customWidth="1"/>
    <col min="23" max="16384" width="9.140625" style="266"/>
  </cols>
  <sheetData>
    <row r="1" spans="1:9" ht="21.75" x14ac:dyDescent="0.55000000000000004">
      <c r="A1" s="301" t="s">
        <v>363</v>
      </c>
      <c r="B1" s="301"/>
      <c r="C1" s="301"/>
      <c r="D1" s="301"/>
      <c r="E1" s="301"/>
      <c r="F1" s="301"/>
    </row>
    <row r="2" spans="1:9" ht="15" x14ac:dyDescent="0.25">
      <c r="A2" s="300" t="s">
        <v>364</v>
      </c>
      <c r="B2" s="300"/>
      <c r="C2" s="300"/>
      <c r="D2" s="300"/>
      <c r="E2" s="300"/>
      <c r="F2" s="300"/>
    </row>
    <row r="4" spans="1:9" ht="18.75" x14ac:dyDescent="0.2">
      <c r="A4" s="302" t="s">
        <v>365</v>
      </c>
      <c r="B4" s="304" t="s">
        <v>366</v>
      </c>
      <c r="C4" s="304"/>
      <c r="D4" s="304"/>
      <c r="E4" s="304"/>
      <c r="F4" s="305" t="s">
        <v>367</v>
      </c>
    </row>
    <row r="5" spans="1:9" ht="15" x14ac:dyDescent="0.25">
      <c r="A5" s="303"/>
      <c r="B5" s="267">
        <v>2013</v>
      </c>
      <c r="C5" s="267">
        <v>2014</v>
      </c>
      <c r="D5" s="267">
        <v>2015</v>
      </c>
      <c r="E5" s="267">
        <v>2016</v>
      </c>
      <c r="F5" s="306"/>
    </row>
    <row r="6" spans="1:9" ht="18.75" x14ac:dyDescent="0.5">
      <c r="A6" s="268" t="s">
        <v>368</v>
      </c>
      <c r="B6" s="269">
        <f>SUM(B7:B18)</f>
        <v>158327.85999999999</v>
      </c>
      <c r="C6" s="269">
        <f>SUM(C7:C18)</f>
        <v>220620.78</v>
      </c>
      <c r="D6" s="269">
        <f>SUM(D7:D18)</f>
        <v>285013.46000000002</v>
      </c>
      <c r="E6" s="269">
        <f>SUM(E7:E18)</f>
        <v>486383.45999999996</v>
      </c>
      <c r="F6" s="270" t="s">
        <v>369</v>
      </c>
    </row>
    <row r="7" spans="1:9" ht="18.75" x14ac:dyDescent="0.2">
      <c r="A7" s="271" t="s">
        <v>370</v>
      </c>
      <c r="B7" s="272">
        <v>12837.44</v>
      </c>
      <c r="C7" s="272">
        <v>17753.080000000002</v>
      </c>
      <c r="D7" s="272">
        <v>36482.61</v>
      </c>
      <c r="E7" s="272">
        <v>18387.759999999998</v>
      </c>
      <c r="F7" s="273" t="s">
        <v>371</v>
      </c>
    </row>
    <row r="8" spans="1:9" ht="18.75" x14ac:dyDescent="0.2">
      <c r="A8" s="271" t="s">
        <v>372</v>
      </c>
      <c r="B8" s="272">
        <v>10274.27</v>
      </c>
      <c r="C8" s="272">
        <v>12806.38</v>
      </c>
      <c r="D8" s="272">
        <v>35259.65</v>
      </c>
      <c r="E8" s="272">
        <v>24197.26</v>
      </c>
      <c r="F8" s="273" t="s">
        <v>373</v>
      </c>
    </row>
    <row r="9" spans="1:9" ht="18.75" x14ac:dyDescent="0.2">
      <c r="A9" s="271" t="s">
        <v>374</v>
      </c>
      <c r="B9" s="272">
        <v>19327.189999999999</v>
      </c>
      <c r="C9" s="272">
        <v>17807.400000000001</v>
      </c>
      <c r="D9" s="272">
        <v>19485.060000000001</v>
      </c>
      <c r="E9" s="272">
        <v>37224.83</v>
      </c>
      <c r="F9" s="273" t="s">
        <v>375</v>
      </c>
      <c r="I9" s="274"/>
    </row>
    <row r="10" spans="1:9" ht="18.75" x14ac:dyDescent="0.2">
      <c r="A10" s="271" t="s">
        <v>376</v>
      </c>
      <c r="B10" s="272">
        <v>15171.56</v>
      </c>
      <c r="C10" s="272">
        <v>16713.830000000002</v>
      </c>
      <c r="D10" s="272">
        <v>25796.34</v>
      </c>
      <c r="E10" s="272">
        <v>19690.189999999999</v>
      </c>
      <c r="F10" s="273" t="s">
        <v>377</v>
      </c>
    </row>
    <row r="11" spans="1:9" ht="18.75" x14ac:dyDescent="0.2">
      <c r="A11" s="271" t="s">
        <v>378</v>
      </c>
      <c r="B11" s="272">
        <v>10990.32</v>
      </c>
      <c r="C11" s="272">
        <v>23633.75</v>
      </c>
      <c r="D11" s="272">
        <v>449.74</v>
      </c>
      <c r="E11" s="272">
        <v>29738.02</v>
      </c>
      <c r="F11" s="273" t="s">
        <v>379</v>
      </c>
    </row>
    <row r="12" spans="1:9" ht="18.75" x14ac:dyDescent="0.2">
      <c r="A12" s="271" t="s">
        <v>380</v>
      </c>
      <c r="B12" s="272">
        <v>7542.05</v>
      </c>
      <c r="C12" s="272">
        <v>20921.310000000001</v>
      </c>
      <c r="D12" s="272">
        <v>37047.620000000003</v>
      </c>
      <c r="E12" s="272">
        <v>66372.94</v>
      </c>
      <c r="F12" s="273" t="s">
        <v>381</v>
      </c>
    </row>
    <row r="13" spans="1:9" ht="18.75" x14ac:dyDescent="0.2">
      <c r="A13" s="271" t="s">
        <v>382</v>
      </c>
      <c r="B13" s="272">
        <v>11134.61</v>
      </c>
      <c r="C13" s="272">
        <v>11333.37</v>
      </c>
      <c r="D13" s="272">
        <v>21995.66</v>
      </c>
      <c r="E13" s="272">
        <v>32350.959999999999</v>
      </c>
      <c r="F13" s="273" t="s">
        <v>383</v>
      </c>
    </row>
    <row r="14" spans="1:9" ht="18.75" x14ac:dyDescent="0.2">
      <c r="A14" s="271" t="s">
        <v>384</v>
      </c>
      <c r="B14" s="272">
        <v>7406.99</v>
      </c>
      <c r="C14" s="272">
        <v>27338.25</v>
      </c>
      <c r="D14" s="272">
        <v>15747.56</v>
      </c>
      <c r="E14" s="272">
        <v>67211.78</v>
      </c>
      <c r="F14" s="273" t="s">
        <v>385</v>
      </c>
    </row>
    <row r="15" spans="1:9" ht="18.75" x14ac:dyDescent="0.2">
      <c r="A15" s="271" t="s">
        <v>386</v>
      </c>
      <c r="B15" s="272">
        <v>14548.48</v>
      </c>
      <c r="C15" s="272">
        <v>23187.97</v>
      </c>
      <c r="D15" s="272">
        <v>8463.07</v>
      </c>
      <c r="E15" s="272">
        <v>26820.16</v>
      </c>
      <c r="F15" s="273" t="s">
        <v>387</v>
      </c>
    </row>
    <row r="16" spans="1:9" ht="18.75" x14ac:dyDescent="0.2">
      <c r="A16" s="271" t="s">
        <v>388</v>
      </c>
      <c r="B16" s="272">
        <v>11616.44</v>
      </c>
      <c r="C16" s="272">
        <v>22605.1</v>
      </c>
      <c r="D16" s="272">
        <v>26665.1</v>
      </c>
      <c r="E16" s="272">
        <v>65201.9</v>
      </c>
      <c r="F16" s="273" t="s">
        <v>389</v>
      </c>
    </row>
    <row r="17" spans="1:8" ht="18.75" x14ac:dyDescent="0.2">
      <c r="A17" s="271" t="s">
        <v>390</v>
      </c>
      <c r="B17" s="272">
        <v>10178.51</v>
      </c>
      <c r="C17" s="272">
        <v>8743.34</v>
      </c>
      <c r="D17" s="272">
        <v>31764.54</v>
      </c>
      <c r="E17" s="272">
        <v>49345.440000000002</v>
      </c>
      <c r="F17" s="273" t="s">
        <v>391</v>
      </c>
    </row>
    <row r="18" spans="1:8" ht="18.75" x14ac:dyDescent="0.2">
      <c r="A18" s="275" t="s">
        <v>392</v>
      </c>
      <c r="B18" s="276">
        <v>27300</v>
      </c>
      <c r="C18" s="276">
        <v>17777</v>
      </c>
      <c r="D18" s="276">
        <v>25856.51</v>
      </c>
      <c r="E18" s="276">
        <v>49842.22</v>
      </c>
      <c r="F18" s="277" t="s">
        <v>393</v>
      </c>
      <c r="H18" s="278"/>
    </row>
    <row r="19" spans="1:8" x14ac:dyDescent="0.2">
      <c r="A19" s="18" t="s">
        <v>394</v>
      </c>
    </row>
    <row r="20" spans="1:8" ht="17.25" x14ac:dyDescent="0.2">
      <c r="A20" s="18" t="s">
        <v>15</v>
      </c>
      <c r="F20" s="12" t="s">
        <v>16</v>
      </c>
      <c r="H20" s="279"/>
    </row>
    <row r="21" spans="1:8" x14ac:dyDescent="0.2">
      <c r="H21" s="279"/>
    </row>
    <row r="22" spans="1:8" x14ac:dyDescent="0.2">
      <c r="H22" s="279"/>
    </row>
    <row r="23" spans="1:8" x14ac:dyDescent="0.2">
      <c r="H23" s="279"/>
    </row>
    <row r="24" spans="1:8" x14ac:dyDescent="0.2">
      <c r="H24" s="279"/>
    </row>
    <row r="25" spans="1:8" x14ac:dyDescent="0.2">
      <c r="H25" s="279"/>
    </row>
    <row r="26" spans="1:8" x14ac:dyDescent="0.2">
      <c r="H26" s="279"/>
    </row>
  </sheetData>
  <mergeCells count="5">
    <mergeCell ref="A1:F1"/>
    <mergeCell ref="A2:F2"/>
    <mergeCell ref="A4:A5"/>
    <mergeCell ref="B4:E4"/>
    <mergeCell ref="F4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F34"/>
  <sheetViews>
    <sheetView topLeftCell="A19" zoomScaleNormal="100" workbookViewId="0">
      <selection activeCell="L12" sqref="L12"/>
    </sheetView>
  </sheetViews>
  <sheetFormatPr defaultColWidth="18.5703125" defaultRowHeight="15" x14ac:dyDescent="0.25"/>
  <cols>
    <col min="1" max="1" width="7.42578125" style="109" customWidth="1"/>
    <col min="2" max="2" width="25.140625" style="83" customWidth="1"/>
    <col min="3" max="3" width="21.42578125" style="64" customWidth="1"/>
    <col min="4" max="4" width="18.5703125" style="64"/>
    <col min="5" max="5" width="18.85546875" style="13" customWidth="1"/>
    <col min="6" max="6" width="7.28515625" style="109" customWidth="1"/>
    <col min="7" max="11" width="9.42578125" style="13" customWidth="1"/>
    <col min="12" max="12" width="12.28515625" style="13" customWidth="1"/>
    <col min="13" max="81" width="9.42578125" style="13" customWidth="1"/>
    <col min="82" max="127" width="4.42578125" style="13" customWidth="1"/>
    <col min="128" max="16384" width="18.5703125" style="13"/>
  </cols>
  <sheetData>
    <row r="2" spans="1:6" ht="21" customHeight="1" x14ac:dyDescent="0.25">
      <c r="A2" s="307" t="s">
        <v>395</v>
      </c>
      <c r="B2" s="307"/>
      <c r="C2" s="307"/>
      <c r="D2" s="307"/>
      <c r="E2" s="307"/>
      <c r="F2" s="307"/>
    </row>
    <row r="3" spans="1:6" ht="15.75" x14ac:dyDescent="0.25">
      <c r="A3" s="308" t="s">
        <v>396</v>
      </c>
      <c r="B3" s="308"/>
      <c r="C3" s="308"/>
      <c r="D3" s="308"/>
      <c r="E3" s="308"/>
      <c r="F3" s="308"/>
    </row>
    <row r="4" spans="1:6" ht="21" customHeight="1" x14ac:dyDescent="0.25">
      <c r="A4" s="291"/>
      <c r="B4" s="291"/>
      <c r="C4" s="291"/>
      <c r="D4" s="291"/>
      <c r="E4" s="291"/>
      <c r="F4" s="291"/>
    </row>
    <row r="5" spans="1:6" ht="18.75" x14ac:dyDescent="0.25">
      <c r="A5" s="310" t="s">
        <v>6</v>
      </c>
      <c r="B5" s="312" t="s">
        <v>7</v>
      </c>
      <c r="C5" s="19" t="s">
        <v>8</v>
      </c>
      <c r="D5" s="19" t="s">
        <v>9</v>
      </c>
      <c r="E5" s="314" t="s">
        <v>10</v>
      </c>
      <c r="F5" s="316" t="s">
        <v>11</v>
      </c>
    </row>
    <row r="6" spans="1:6" x14ac:dyDescent="0.25">
      <c r="A6" s="311"/>
      <c r="B6" s="313"/>
      <c r="C6" s="20" t="s">
        <v>12</v>
      </c>
      <c r="D6" s="20" t="s">
        <v>81</v>
      </c>
      <c r="E6" s="315"/>
      <c r="F6" s="317"/>
    </row>
    <row r="7" spans="1:6" ht="21" x14ac:dyDescent="0.25">
      <c r="A7" s="80" t="s">
        <v>1</v>
      </c>
      <c r="B7" s="84" t="s">
        <v>307</v>
      </c>
      <c r="C7" s="81" t="s">
        <v>302</v>
      </c>
      <c r="D7" s="82">
        <v>77100000</v>
      </c>
      <c r="E7" s="45" t="s">
        <v>205</v>
      </c>
      <c r="F7" s="37" t="s">
        <v>22</v>
      </c>
    </row>
    <row r="8" spans="1:6" ht="21" x14ac:dyDescent="0.25">
      <c r="A8" s="80" t="s">
        <v>90</v>
      </c>
      <c r="B8" s="84" t="s">
        <v>303</v>
      </c>
      <c r="C8" s="81" t="s">
        <v>302</v>
      </c>
      <c r="D8" s="82">
        <v>100615500</v>
      </c>
      <c r="E8" s="45" t="s">
        <v>327</v>
      </c>
      <c r="F8" s="37" t="s">
        <v>92</v>
      </c>
    </row>
    <row r="9" spans="1:6" ht="21" x14ac:dyDescent="0.25">
      <c r="A9" s="80" t="s">
        <v>90</v>
      </c>
      <c r="B9" s="84" t="s">
        <v>304</v>
      </c>
      <c r="C9" s="81" t="s">
        <v>302</v>
      </c>
      <c r="D9" s="82">
        <v>221354100</v>
      </c>
      <c r="E9" s="45" t="s">
        <v>332</v>
      </c>
      <c r="F9" s="37" t="s">
        <v>92</v>
      </c>
    </row>
    <row r="10" spans="1:6" ht="21" x14ac:dyDescent="0.25">
      <c r="A10" s="80" t="s">
        <v>90</v>
      </c>
      <c r="B10" s="84" t="s">
        <v>305</v>
      </c>
      <c r="C10" s="81" t="s">
        <v>302</v>
      </c>
      <c r="D10" s="82">
        <v>212796000</v>
      </c>
      <c r="E10" s="45" t="s">
        <v>91</v>
      </c>
      <c r="F10" s="37" t="s">
        <v>92</v>
      </c>
    </row>
    <row r="11" spans="1:6" ht="21" x14ac:dyDescent="0.25">
      <c r="A11" s="80" t="s">
        <v>90</v>
      </c>
      <c r="B11" s="84" t="s">
        <v>306</v>
      </c>
      <c r="C11" s="81" t="s">
        <v>302</v>
      </c>
      <c r="D11" s="82" t="s">
        <v>400</v>
      </c>
      <c r="E11" s="45" t="s">
        <v>333</v>
      </c>
      <c r="F11" s="37" t="s">
        <v>92</v>
      </c>
    </row>
    <row r="12" spans="1:6" ht="21" x14ac:dyDescent="0.25">
      <c r="A12" s="80" t="s">
        <v>63</v>
      </c>
      <c r="B12" s="84" t="s">
        <v>66</v>
      </c>
      <c r="C12" s="81" t="s">
        <v>302</v>
      </c>
      <c r="D12" s="82">
        <v>42405000</v>
      </c>
      <c r="E12" s="44" t="s">
        <v>331</v>
      </c>
      <c r="F12" s="37" t="s">
        <v>64</v>
      </c>
    </row>
    <row r="13" spans="1:6" ht="19.5" thickBot="1" x14ac:dyDescent="0.3">
      <c r="A13" s="286" t="s">
        <v>13</v>
      </c>
      <c r="B13" s="287"/>
      <c r="C13" s="288"/>
      <c r="D13" s="288">
        <f>SUM(D7:D12)</f>
        <v>654270600</v>
      </c>
      <c r="E13" s="289"/>
      <c r="F13" s="290"/>
    </row>
    <row r="14" spans="1:6" ht="18.75" x14ac:dyDescent="0.25">
      <c r="A14" s="18" t="s">
        <v>15</v>
      </c>
      <c r="B14" s="283"/>
      <c r="C14" s="284"/>
      <c r="D14" s="284"/>
      <c r="E14" s="79"/>
      <c r="F14" s="12" t="s">
        <v>16</v>
      </c>
    </row>
    <row r="15" spans="1:6" ht="18.75" x14ac:dyDescent="0.25">
      <c r="A15" s="282"/>
      <c r="B15" s="283"/>
      <c r="C15" s="284"/>
      <c r="D15" s="284"/>
      <c r="E15" s="79"/>
      <c r="F15" s="285"/>
    </row>
    <row r="16" spans="1:6" ht="15.75" x14ac:dyDescent="0.25">
      <c r="A16" s="332" t="s">
        <v>397</v>
      </c>
      <c r="B16" s="332"/>
      <c r="C16" s="332"/>
      <c r="D16" s="332"/>
      <c r="E16" s="332"/>
      <c r="F16" s="332"/>
    </row>
    <row r="17" spans="1:6" x14ac:dyDescent="0.25">
      <c r="A17" s="13"/>
      <c r="B17" s="13"/>
      <c r="C17" s="13"/>
      <c r="D17" s="13"/>
      <c r="F17" s="13"/>
    </row>
    <row r="18" spans="1:6" ht="18.75" x14ac:dyDescent="0.25">
      <c r="A18" s="310" t="s">
        <v>6</v>
      </c>
      <c r="B18" s="312" t="s">
        <v>7</v>
      </c>
      <c r="C18" s="19" t="s">
        <v>8</v>
      </c>
      <c r="D18" s="19" t="s">
        <v>9</v>
      </c>
      <c r="E18" s="314" t="s">
        <v>10</v>
      </c>
      <c r="F18" s="316" t="s">
        <v>11</v>
      </c>
    </row>
    <row r="19" spans="1:6" x14ac:dyDescent="0.25">
      <c r="A19" s="311"/>
      <c r="B19" s="313"/>
      <c r="C19" s="20" t="s">
        <v>12</v>
      </c>
      <c r="D19" s="20" t="s">
        <v>81</v>
      </c>
      <c r="E19" s="315"/>
      <c r="F19" s="317"/>
    </row>
    <row r="20" spans="1:6" ht="21" x14ac:dyDescent="0.25">
      <c r="A20" s="296" t="s">
        <v>57</v>
      </c>
      <c r="B20" s="297" t="s">
        <v>34</v>
      </c>
      <c r="C20" s="298" t="s">
        <v>302</v>
      </c>
      <c r="D20" s="82">
        <v>40863000</v>
      </c>
      <c r="E20" s="45" t="s">
        <v>48</v>
      </c>
      <c r="F20" s="37" t="s">
        <v>25</v>
      </c>
    </row>
    <row r="21" spans="1:6" ht="21" x14ac:dyDescent="0.25">
      <c r="A21" s="296" t="s">
        <v>334</v>
      </c>
      <c r="B21" s="297" t="s">
        <v>336</v>
      </c>
      <c r="C21" s="298" t="s">
        <v>302</v>
      </c>
      <c r="D21" s="82">
        <v>58596000</v>
      </c>
      <c r="E21" s="45" t="s">
        <v>325</v>
      </c>
      <c r="F21" s="37" t="s">
        <v>31</v>
      </c>
    </row>
    <row r="22" spans="1:6" ht="21" x14ac:dyDescent="0.25">
      <c r="A22" s="296" t="s">
        <v>335</v>
      </c>
      <c r="B22" s="297" t="s">
        <v>337</v>
      </c>
      <c r="C22" s="298" t="s">
        <v>302</v>
      </c>
      <c r="D22" s="82">
        <v>65535000</v>
      </c>
      <c r="E22" s="45" t="s">
        <v>331</v>
      </c>
      <c r="F22" s="37" t="s">
        <v>64</v>
      </c>
    </row>
    <row r="23" spans="1:6" ht="21" x14ac:dyDescent="0.25">
      <c r="A23" s="298" t="s">
        <v>90</v>
      </c>
      <c r="B23" s="84" t="s">
        <v>305</v>
      </c>
      <c r="C23" s="81" t="s">
        <v>308</v>
      </c>
      <c r="D23" s="82">
        <v>1139846400</v>
      </c>
      <c r="E23" s="45" t="s">
        <v>91</v>
      </c>
      <c r="F23" s="37" t="s">
        <v>92</v>
      </c>
    </row>
    <row r="24" spans="1:6" ht="21" x14ac:dyDescent="0.25">
      <c r="A24" s="298" t="s">
        <v>105</v>
      </c>
      <c r="B24" s="84" t="s">
        <v>190</v>
      </c>
      <c r="C24" s="81" t="s">
        <v>308</v>
      </c>
      <c r="D24" s="82">
        <v>35620200</v>
      </c>
      <c r="E24" s="45" t="s">
        <v>218</v>
      </c>
      <c r="F24" s="37" t="s">
        <v>26</v>
      </c>
    </row>
    <row r="25" spans="1:6" ht="21" x14ac:dyDescent="0.25">
      <c r="A25" s="298" t="s">
        <v>105</v>
      </c>
      <c r="B25" s="84" t="s">
        <v>61</v>
      </c>
      <c r="C25" s="81" t="s">
        <v>308</v>
      </c>
      <c r="D25" s="82">
        <v>194292000</v>
      </c>
      <c r="E25" s="45" t="s">
        <v>50</v>
      </c>
      <c r="F25" s="37" t="s">
        <v>26</v>
      </c>
    </row>
    <row r="26" spans="1:6" ht="21" x14ac:dyDescent="0.25">
      <c r="A26" s="298" t="s">
        <v>105</v>
      </c>
      <c r="B26" s="84" t="s">
        <v>309</v>
      </c>
      <c r="C26" s="81" t="s">
        <v>308</v>
      </c>
      <c r="D26" s="82">
        <v>64764000</v>
      </c>
      <c r="E26" s="45" t="s">
        <v>338</v>
      </c>
      <c r="F26" s="37" t="s">
        <v>26</v>
      </c>
    </row>
    <row r="27" spans="1:6" ht="21" x14ac:dyDescent="0.25">
      <c r="A27" s="298" t="s">
        <v>105</v>
      </c>
      <c r="B27" s="84" t="s">
        <v>310</v>
      </c>
      <c r="C27" s="81" t="s">
        <v>308</v>
      </c>
      <c r="D27" s="82">
        <v>80955000</v>
      </c>
      <c r="E27" s="45" t="s">
        <v>156</v>
      </c>
      <c r="F27" s="37" t="s">
        <v>26</v>
      </c>
    </row>
    <row r="28" spans="1:6" ht="21" x14ac:dyDescent="0.25">
      <c r="A28" s="298" t="s">
        <v>105</v>
      </c>
      <c r="B28" s="84" t="s">
        <v>313</v>
      </c>
      <c r="C28" s="81" t="s">
        <v>308</v>
      </c>
      <c r="D28" s="82">
        <v>84193200</v>
      </c>
      <c r="E28" s="45" t="s">
        <v>49</v>
      </c>
      <c r="F28" s="37" t="s">
        <v>26</v>
      </c>
    </row>
    <row r="29" spans="1:6" ht="21" x14ac:dyDescent="0.25">
      <c r="A29" s="298" t="s">
        <v>77</v>
      </c>
      <c r="B29" s="84" t="s">
        <v>311</v>
      </c>
      <c r="C29" s="81" t="s">
        <v>308</v>
      </c>
      <c r="D29" s="82">
        <v>323820000</v>
      </c>
      <c r="E29" s="45" t="s">
        <v>339</v>
      </c>
      <c r="F29" s="37" t="s">
        <v>71</v>
      </c>
    </row>
    <row r="30" spans="1:6" ht="21" x14ac:dyDescent="0.25">
      <c r="A30" s="298" t="s">
        <v>0</v>
      </c>
      <c r="B30" s="84" t="s">
        <v>157</v>
      </c>
      <c r="C30" s="81" t="s">
        <v>308</v>
      </c>
      <c r="D30" s="82">
        <v>427442400</v>
      </c>
      <c r="E30" s="45" t="s">
        <v>158</v>
      </c>
      <c r="F30" s="37" t="s">
        <v>35</v>
      </c>
    </row>
    <row r="31" spans="1:6" ht="21" x14ac:dyDescent="0.25">
      <c r="A31" s="298" t="s">
        <v>0</v>
      </c>
      <c r="B31" s="84" t="s">
        <v>312</v>
      </c>
      <c r="C31" s="81" t="s">
        <v>308</v>
      </c>
      <c r="D31" s="82">
        <v>77716800</v>
      </c>
      <c r="E31" s="45" t="s">
        <v>340</v>
      </c>
      <c r="F31" s="37" t="s">
        <v>35</v>
      </c>
    </row>
    <row r="32" spans="1:6" ht="18.75" customHeight="1" thickBot="1" x14ac:dyDescent="0.3">
      <c r="A32" s="292"/>
      <c r="B32" s="286" t="s">
        <v>82</v>
      </c>
      <c r="C32" s="293"/>
      <c r="D32" s="294">
        <f>SUM(D20:D31)</f>
        <v>2593644000</v>
      </c>
      <c r="E32" s="309" t="s">
        <v>14</v>
      </c>
      <c r="F32" s="309"/>
    </row>
    <row r="33" spans="1:6" ht="23.25" customHeight="1" x14ac:dyDescent="0.25">
      <c r="A33" s="18" t="s">
        <v>15</v>
      </c>
      <c r="E33" s="43"/>
      <c r="F33" s="12" t="s">
        <v>16</v>
      </c>
    </row>
    <row r="34" spans="1:6" x14ac:dyDescent="0.25">
      <c r="D34" s="281"/>
    </row>
  </sheetData>
  <mergeCells count="12">
    <mergeCell ref="A2:F2"/>
    <mergeCell ref="A3:F3"/>
    <mergeCell ref="E32:F32"/>
    <mergeCell ref="A16:F16"/>
    <mergeCell ref="A18:A19"/>
    <mergeCell ref="B18:B19"/>
    <mergeCell ref="E18:E19"/>
    <mergeCell ref="F18:F19"/>
    <mergeCell ref="A5:A6"/>
    <mergeCell ref="B5:B6"/>
    <mergeCell ref="E5:E6"/>
    <mergeCell ref="F5:F6"/>
  </mergeCells>
  <pageMargins left="0.7" right="0.7" top="0.75" bottom="0.75" header="0.3" footer="0.3"/>
  <pageSetup paperSize="9" scale="75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00"/>
  <sheetViews>
    <sheetView topLeftCell="A79" zoomScaleNormal="100" workbookViewId="0">
      <selection activeCell="N90" sqref="N90"/>
    </sheetView>
  </sheetViews>
  <sheetFormatPr defaultColWidth="9.140625" defaultRowHeight="15" x14ac:dyDescent="0.25"/>
  <cols>
    <col min="1" max="1" width="3.7109375" style="13" customWidth="1"/>
    <col min="2" max="2" width="6.7109375" style="13" customWidth="1"/>
    <col min="3" max="3" width="28.5703125" style="13" customWidth="1"/>
    <col min="4" max="4" width="11.7109375" style="105" customWidth="1"/>
    <col min="5" max="5" width="18.7109375" style="13" customWidth="1"/>
    <col min="6" max="6" width="2.42578125" style="13" customWidth="1"/>
    <col min="7" max="7" width="17.42578125" style="13" customWidth="1"/>
    <col min="8" max="8" width="9.140625" style="13"/>
    <col min="9" max="9" width="3.140625" style="13" customWidth="1"/>
    <col min="10" max="16384" width="9.140625" style="13"/>
  </cols>
  <sheetData>
    <row r="1" spans="1:10" ht="21.75" x14ac:dyDescent="0.55000000000000004">
      <c r="A1" s="318" t="s">
        <v>107</v>
      </c>
      <c r="B1" s="318"/>
      <c r="C1" s="318"/>
      <c r="D1" s="318"/>
      <c r="E1" s="318"/>
      <c r="F1" s="318"/>
      <c r="G1" s="318"/>
      <c r="H1" s="318"/>
    </row>
    <row r="2" spans="1:10" ht="15.75" x14ac:dyDescent="0.25">
      <c r="A2" s="319" t="s">
        <v>108</v>
      </c>
      <c r="B2" s="319"/>
      <c r="C2" s="319"/>
      <c r="D2" s="319"/>
      <c r="E2" s="319"/>
      <c r="F2" s="319"/>
      <c r="G2" s="319"/>
      <c r="H2" s="319"/>
    </row>
    <row r="3" spans="1:10" ht="10.5" customHeight="1" x14ac:dyDescent="0.25"/>
    <row r="4" spans="1:10" s="38" customFormat="1" ht="18.75" customHeight="1" x14ac:dyDescent="0.2">
      <c r="A4" s="320"/>
      <c r="B4" s="322" t="s">
        <v>6</v>
      </c>
      <c r="C4" s="324" t="s">
        <v>7</v>
      </c>
      <c r="D4" s="14" t="s">
        <v>8</v>
      </c>
      <c r="E4" s="19" t="s">
        <v>9</v>
      </c>
      <c r="F4" s="14"/>
      <c r="G4" s="314" t="s">
        <v>10</v>
      </c>
      <c r="H4" s="316" t="s">
        <v>11</v>
      </c>
    </row>
    <row r="5" spans="1:10" s="39" customFormat="1" ht="29.25" customHeight="1" x14ac:dyDescent="0.25">
      <c r="A5" s="321"/>
      <c r="B5" s="323"/>
      <c r="C5" s="325"/>
      <c r="D5" s="15" t="s">
        <v>12</v>
      </c>
      <c r="E5" s="20" t="s">
        <v>19</v>
      </c>
      <c r="F5" s="15"/>
      <c r="G5" s="315"/>
      <c r="H5" s="317"/>
    </row>
    <row r="7" spans="1:10" s="90" customFormat="1" ht="20.25" customHeight="1" x14ac:dyDescent="0.55000000000000004">
      <c r="A7" s="102">
        <v>1</v>
      </c>
      <c r="B7" s="11" t="s">
        <v>251</v>
      </c>
      <c r="C7" s="11" t="s">
        <v>252</v>
      </c>
      <c r="D7" s="91" t="s">
        <v>20</v>
      </c>
      <c r="E7" s="92">
        <v>48935224.979999997</v>
      </c>
      <c r="G7" s="32" t="s">
        <v>261</v>
      </c>
      <c r="H7" s="93" t="s">
        <v>18</v>
      </c>
      <c r="I7" s="11"/>
      <c r="J7" s="11"/>
    </row>
    <row r="8" spans="1:10" s="90" customFormat="1" ht="20.25" customHeight="1" x14ac:dyDescent="0.55000000000000004">
      <c r="A8" s="102">
        <v>2</v>
      </c>
      <c r="B8" s="11" t="s">
        <v>99</v>
      </c>
      <c r="C8" s="11" t="s">
        <v>253</v>
      </c>
      <c r="D8" s="91" t="s">
        <v>20</v>
      </c>
      <c r="E8" s="92">
        <v>38205568.539999999</v>
      </c>
      <c r="G8" s="32" t="s">
        <v>276</v>
      </c>
      <c r="H8" s="93" t="s">
        <v>101</v>
      </c>
      <c r="I8" s="11"/>
      <c r="J8" s="11"/>
    </row>
    <row r="9" spans="1:10" s="90" customFormat="1" ht="20.25" customHeight="1" x14ac:dyDescent="0.55000000000000004">
      <c r="A9" s="102">
        <v>3</v>
      </c>
      <c r="B9" s="11" t="s">
        <v>246</v>
      </c>
      <c r="C9" s="11" t="s">
        <v>254</v>
      </c>
      <c r="D9" s="91" t="s">
        <v>20</v>
      </c>
      <c r="E9" s="92">
        <v>26677004.27</v>
      </c>
      <c r="G9" s="32" t="s">
        <v>277</v>
      </c>
      <c r="H9" s="93" t="s">
        <v>27</v>
      </c>
      <c r="I9" s="11"/>
      <c r="J9" s="11"/>
    </row>
    <row r="10" spans="1:10" s="90" customFormat="1" ht="20.25" customHeight="1" x14ac:dyDescent="0.55000000000000004">
      <c r="A10" s="102">
        <v>4</v>
      </c>
      <c r="B10" s="11" t="s">
        <v>246</v>
      </c>
      <c r="C10" s="11" t="s">
        <v>116</v>
      </c>
      <c r="D10" s="91" t="s">
        <v>117</v>
      </c>
      <c r="E10" s="92">
        <v>70379663.340000004</v>
      </c>
      <c r="G10" s="32" t="s">
        <v>118</v>
      </c>
      <c r="H10" s="93" t="s">
        <v>27</v>
      </c>
      <c r="I10" s="11"/>
      <c r="J10" s="11"/>
    </row>
    <row r="11" spans="1:10" s="90" customFormat="1" ht="20.25" customHeight="1" x14ac:dyDescent="0.55000000000000004">
      <c r="A11" s="102">
        <v>5</v>
      </c>
      <c r="B11" s="11" t="s">
        <v>0</v>
      </c>
      <c r="C11" s="11" t="s">
        <v>159</v>
      </c>
      <c r="D11" s="91" t="s">
        <v>20</v>
      </c>
      <c r="E11" s="92">
        <v>55691791.030000001</v>
      </c>
      <c r="G11" s="32" t="s">
        <v>278</v>
      </c>
      <c r="H11" s="93" t="s">
        <v>35</v>
      </c>
      <c r="I11" s="11"/>
      <c r="J11" s="11"/>
    </row>
    <row r="12" spans="1:10" s="90" customFormat="1" ht="20.25" customHeight="1" x14ac:dyDescent="0.55000000000000004">
      <c r="A12" s="102">
        <v>6</v>
      </c>
      <c r="B12" s="11" t="s">
        <v>129</v>
      </c>
      <c r="C12" s="11" t="s">
        <v>255</v>
      </c>
      <c r="D12" s="91" t="s">
        <v>20</v>
      </c>
      <c r="E12" s="92">
        <v>73416839.319999993</v>
      </c>
      <c r="G12" s="32" t="s">
        <v>207</v>
      </c>
      <c r="H12" s="93" t="s">
        <v>132</v>
      </c>
      <c r="I12" s="11"/>
      <c r="J12" s="11"/>
    </row>
    <row r="13" spans="1:10" s="90" customFormat="1" ht="20.25" customHeight="1" x14ac:dyDescent="0.55000000000000004">
      <c r="A13" s="102">
        <v>7</v>
      </c>
      <c r="B13" s="11" t="s">
        <v>83</v>
      </c>
      <c r="C13" s="11" t="s">
        <v>256</v>
      </c>
      <c r="D13" s="91" t="s">
        <v>20</v>
      </c>
      <c r="E13" s="92">
        <v>14112726.58</v>
      </c>
      <c r="G13" s="32" t="s">
        <v>267</v>
      </c>
      <c r="H13" s="93" t="s">
        <v>86</v>
      </c>
      <c r="I13" s="11"/>
      <c r="J13" s="11"/>
    </row>
    <row r="14" spans="1:10" s="90" customFormat="1" ht="20.25" customHeight="1" x14ac:dyDescent="0.55000000000000004">
      <c r="A14" s="102">
        <v>8</v>
      </c>
      <c r="B14" s="11" t="s">
        <v>104</v>
      </c>
      <c r="C14" s="11" t="s">
        <v>257</v>
      </c>
      <c r="D14" s="91" t="s">
        <v>225</v>
      </c>
      <c r="E14" s="92">
        <v>58123832.940000005</v>
      </c>
      <c r="G14" s="32" t="s">
        <v>279</v>
      </c>
      <c r="H14" s="93" t="s">
        <v>86</v>
      </c>
      <c r="I14" s="11"/>
      <c r="J14" s="11"/>
    </row>
    <row r="15" spans="1:10" s="90" customFormat="1" ht="20.25" customHeight="1" x14ac:dyDescent="0.55000000000000004">
      <c r="A15" s="102">
        <v>9</v>
      </c>
      <c r="B15" s="11" t="s">
        <v>99</v>
      </c>
      <c r="C15" s="11" t="s">
        <v>258</v>
      </c>
      <c r="D15" s="91" t="s">
        <v>20</v>
      </c>
      <c r="E15" s="92">
        <v>28208399.84</v>
      </c>
      <c r="G15" s="32" t="s">
        <v>280</v>
      </c>
      <c r="H15" s="93" t="s">
        <v>25</v>
      </c>
      <c r="I15" s="11"/>
      <c r="J15" s="11"/>
    </row>
    <row r="16" spans="1:10" s="90" customFormat="1" ht="20.25" customHeight="1" x14ac:dyDescent="0.55000000000000004">
      <c r="A16" s="102">
        <v>10</v>
      </c>
      <c r="B16" s="11" t="s">
        <v>246</v>
      </c>
      <c r="C16" s="11" t="s">
        <v>120</v>
      </c>
      <c r="D16" s="91" t="s">
        <v>20</v>
      </c>
      <c r="E16" s="92">
        <v>28037797.379999999</v>
      </c>
      <c r="G16" s="32" t="s">
        <v>121</v>
      </c>
      <c r="H16" s="93" t="s">
        <v>27</v>
      </c>
      <c r="I16" s="11"/>
      <c r="J16" s="11"/>
    </row>
    <row r="17" spans="1:10" s="90" customFormat="1" ht="20.25" customHeight="1" x14ac:dyDescent="0.55000000000000004">
      <c r="A17" s="102">
        <v>11</v>
      </c>
      <c r="B17" s="11" t="s">
        <v>246</v>
      </c>
      <c r="C17" s="11" t="s">
        <v>119</v>
      </c>
      <c r="D17" s="91" t="s">
        <v>20</v>
      </c>
      <c r="E17" s="92">
        <v>20213571.309999999</v>
      </c>
      <c r="G17" s="32" t="s">
        <v>281</v>
      </c>
      <c r="H17" s="93" t="s">
        <v>27</v>
      </c>
      <c r="I17" s="11"/>
      <c r="J17" s="11"/>
    </row>
    <row r="18" spans="1:10" s="90" customFormat="1" ht="20.25" customHeight="1" x14ac:dyDescent="0.55000000000000004">
      <c r="A18" s="102">
        <v>12</v>
      </c>
      <c r="B18" s="11" t="s">
        <v>3</v>
      </c>
      <c r="C18" s="11" t="s">
        <v>259</v>
      </c>
      <c r="D18" s="91" t="s">
        <v>225</v>
      </c>
      <c r="E18" s="92">
        <v>65347794.710299999</v>
      </c>
      <c r="G18" s="32" t="s">
        <v>282</v>
      </c>
      <c r="H18" s="93" t="s">
        <v>30</v>
      </c>
      <c r="I18" s="11"/>
      <c r="J18" s="11"/>
    </row>
    <row r="19" spans="1:10" s="90" customFormat="1" ht="20.25" customHeight="1" x14ac:dyDescent="0.55000000000000004">
      <c r="A19" s="102">
        <v>13</v>
      </c>
      <c r="B19" s="11" t="s">
        <v>5</v>
      </c>
      <c r="C19" s="11" t="s">
        <v>127</v>
      </c>
      <c r="D19" s="91" t="s">
        <v>20</v>
      </c>
      <c r="E19" s="92">
        <v>32624480.530000001</v>
      </c>
      <c r="G19" s="32" t="s">
        <v>128</v>
      </c>
      <c r="H19" s="93" t="s">
        <v>31</v>
      </c>
      <c r="I19" s="11"/>
      <c r="J19" s="11"/>
    </row>
    <row r="20" spans="1:10" s="90" customFormat="1" ht="20.25" customHeight="1" x14ac:dyDescent="0.55000000000000004">
      <c r="A20" s="102">
        <v>14</v>
      </c>
      <c r="B20" s="11" t="s">
        <v>83</v>
      </c>
      <c r="C20" s="11" t="s">
        <v>231</v>
      </c>
      <c r="D20" s="91" t="s">
        <v>400</v>
      </c>
      <c r="E20" s="92">
        <v>21212885.98</v>
      </c>
      <c r="G20" s="32" t="s">
        <v>275</v>
      </c>
      <c r="H20" s="93" t="s">
        <v>86</v>
      </c>
      <c r="I20" s="11"/>
      <c r="J20" s="11"/>
    </row>
    <row r="21" spans="1:10" s="90" customFormat="1" ht="20.25" customHeight="1" x14ac:dyDescent="0.55000000000000004">
      <c r="A21" s="102">
        <v>15</v>
      </c>
      <c r="B21" s="94" t="s">
        <v>246</v>
      </c>
      <c r="C21" s="11" t="s">
        <v>260</v>
      </c>
      <c r="D21" s="95" t="s">
        <v>20</v>
      </c>
      <c r="E21" s="96">
        <v>13973577.120000001</v>
      </c>
      <c r="G21" s="32" t="s">
        <v>283</v>
      </c>
      <c r="H21" s="93" t="s">
        <v>27</v>
      </c>
      <c r="I21" s="94"/>
      <c r="J21" s="11"/>
    </row>
    <row r="22" spans="1:10" s="90" customFormat="1" ht="20.25" customHeight="1" x14ac:dyDescent="0.55000000000000004">
      <c r="A22" s="102">
        <v>16</v>
      </c>
      <c r="B22" s="11" t="s">
        <v>142</v>
      </c>
      <c r="C22" s="11" t="s">
        <v>125</v>
      </c>
      <c r="D22" s="91" t="s">
        <v>225</v>
      </c>
      <c r="E22" s="92">
        <v>44140446.780000001</v>
      </c>
      <c r="G22" s="32" t="s">
        <v>126</v>
      </c>
      <c r="H22" s="93" t="s">
        <v>145</v>
      </c>
      <c r="I22" s="11"/>
      <c r="J22" s="11"/>
    </row>
    <row r="23" spans="1:10" s="90" customFormat="1" ht="20.25" customHeight="1" x14ac:dyDescent="0.55000000000000004">
      <c r="A23" s="102">
        <v>17</v>
      </c>
      <c r="B23" s="11" t="s">
        <v>1</v>
      </c>
      <c r="C23" s="11" t="s">
        <v>76</v>
      </c>
      <c r="D23" s="95" t="s">
        <v>20</v>
      </c>
      <c r="E23" s="92">
        <v>2970769.01</v>
      </c>
      <c r="G23" s="32" t="s">
        <v>70</v>
      </c>
      <c r="H23" s="93" t="s">
        <v>22</v>
      </c>
      <c r="I23" s="11"/>
      <c r="J23" s="11"/>
    </row>
    <row r="24" spans="1:10" ht="20.25" customHeight="1" x14ac:dyDescent="0.55000000000000004">
      <c r="A24" s="102">
        <v>18</v>
      </c>
      <c r="B24" s="97" t="s">
        <v>1</v>
      </c>
      <c r="C24" s="97" t="s">
        <v>235</v>
      </c>
      <c r="D24" s="106" t="s">
        <v>20</v>
      </c>
      <c r="E24" s="98">
        <v>22878068.890540004</v>
      </c>
      <c r="F24" s="90"/>
      <c r="G24" s="32" t="s">
        <v>298</v>
      </c>
      <c r="H24" s="93" t="s">
        <v>22</v>
      </c>
    </row>
    <row r="25" spans="1:10" ht="20.25" customHeight="1" x14ac:dyDescent="0.55000000000000004">
      <c r="A25" s="102">
        <v>19</v>
      </c>
      <c r="B25" s="99" t="s">
        <v>2</v>
      </c>
      <c r="C25" s="99" t="s">
        <v>295</v>
      </c>
      <c r="D25" s="107" t="s">
        <v>20</v>
      </c>
      <c r="E25" s="100">
        <v>71448664.170000002</v>
      </c>
      <c r="F25" s="90"/>
      <c r="G25" s="32" t="s">
        <v>299</v>
      </c>
      <c r="H25" s="93" t="s">
        <v>17</v>
      </c>
    </row>
    <row r="26" spans="1:10" ht="20.25" customHeight="1" x14ac:dyDescent="0.55000000000000004">
      <c r="A26" s="102">
        <v>20</v>
      </c>
      <c r="B26" s="97" t="s">
        <v>90</v>
      </c>
      <c r="C26" s="97" t="s">
        <v>296</v>
      </c>
      <c r="D26" s="106" t="s">
        <v>20</v>
      </c>
      <c r="E26" s="98">
        <v>31260993.773599993</v>
      </c>
      <c r="F26" s="90"/>
      <c r="G26" s="32" t="s">
        <v>300</v>
      </c>
      <c r="H26" s="93" t="s">
        <v>92</v>
      </c>
    </row>
    <row r="27" spans="1:10" ht="20.25" customHeight="1" x14ac:dyDescent="0.55000000000000004">
      <c r="A27" s="102">
        <v>21</v>
      </c>
      <c r="B27" s="101" t="s">
        <v>0</v>
      </c>
      <c r="C27" s="101" t="s">
        <v>62</v>
      </c>
      <c r="D27" s="108" t="s">
        <v>20</v>
      </c>
      <c r="E27" s="98">
        <v>220382156.84</v>
      </c>
      <c r="F27" s="90"/>
      <c r="G27" s="32" t="s">
        <v>67</v>
      </c>
      <c r="H27" s="93" t="s">
        <v>35</v>
      </c>
    </row>
    <row r="28" spans="1:10" ht="20.25" customHeight="1" thickBot="1" x14ac:dyDescent="0.6">
      <c r="A28" s="163">
        <v>22</v>
      </c>
      <c r="B28" s="164" t="s">
        <v>90</v>
      </c>
      <c r="C28" s="164" t="s">
        <v>297</v>
      </c>
      <c r="D28" s="165" t="s">
        <v>20</v>
      </c>
      <c r="E28" s="166">
        <v>153371647.88</v>
      </c>
      <c r="F28" s="167"/>
      <c r="G28" s="168" t="s">
        <v>301</v>
      </c>
      <c r="H28" s="169" t="s">
        <v>92</v>
      </c>
      <c r="I28" s="90"/>
      <c r="J28" s="90"/>
    </row>
    <row r="29" spans="1:10" ht="27" customHeight="1" thickBot="1" x14ac:dyDescent="0.3">
      <c r="A29" s="177"/>
      <c r="B29" s="178" t="s">
        <v>13</v>
      </c>
      <c r="C29" s="85"/>
      <c r="D29" s="86"/>
      <c r="E29" s="87">
        <f>SUM(E7:E28)</f>
        <v>1141613905.2144399</v>
      </c>
      <c r="F29" s="87"/>
      <c r="G29" s="88"/>
      <c r="H29" s="89" t="s">
        <v>14</v>
      </c>
      <c r="I29" s="90"/>
      <c r="J29" s="90"/>
    </row>
    <row r="30" spans="1:10" ht="18" thickTop="1" x14ac:dyDescent="0.25">
      <c r="B30" s="18" t="s">
        <v>15</v>
      </c>
      <c r="H30" s="12" t="s">
        <v>16</v>
      </c>
    </row>
    <row r="34" spans="1:10" ht="21.75" x14ac:dyDescent="0.55000000000000004">
      <c r="A34" s="318" t="s">
        <v>93</v>
      </c>
      <c r="B34" s="318"/>
      <c r="C34" s="318"/>
      <c r="D34" s="318"/>
      <c r="E34" s="318"/>
      <c r="F34" s="318"/>
      <c r="G34" s="318"/>
      <c r="H34" s="318"/>
    </row>
    <row r="35" spans="1:10" ht="15.75" x14ac:dyDescent="0.25">
      <c r="A35" s="319" t="s">
        <v>94</v>
      </c>
      <c r="B35" s="319"/>
      <c r="C35" s="319"/>
      <c r="D35" s="319"/>
      <c r="E35" s="319"/>
      <c r="F35" s="319"/>
      <c r="G35" s="319"/>
      <c r="H35" s="319"/>
    </row>
    <row r="36" spans="1:10" ht="10.5" customHeight="1" x14ac:dyDescent="0.25"/>
    <row r="37" spans="1:10" s="38" customFormat="1" ht="19.5" customHeight="1" x14ac:dyDescent="0.2">
      <c r="A37" s="320"/>
      <c r="B37" s="322" t="s">
        <v>6</v>
      </c>
      <c r="C37" s="324" t="s">
        <v>7</v>
      </c>
      <c r="D37" s="14" t="s">
        <v>8</v>
      </c>
      <c r="E37" s="19" t="s">
        <v>9</v>
      </c>
      <c r="F37" s="14"/>
      <c r="G37" s="314" t="s">
        <v>10</v>
      </c>
      <c r="H37" s="316" t="s">
        <v>11</v>
      </c>
    </row>
    <row r="38" spans="1:10" s="39" customFormat="1" ht="28.5" customHeight="1" x14ac:dyDescent="0.25">
      <c r="A38" s="321"/>
      <c r="B38" s="323"/>
      <c r="C38" s="325"/>
      <c r="D38" s="15" t="s">
        <v>12</v>
      </c>
      <c r="E38" s="20" t="s">
        <v>19</v>
      </c>
      <c r="F38" s="15"/>
      <c r="G38" s="315"/>
      <c r="H38" s="317"/>
    </row>
    <row r="39" spans="1:10" ht="0.75" customHeight="1" x14ac:dyDescent="0.25">
      <c r="A39" s="90"/>
      <c r="B39" s="90"/>
      <c r="C39" s="90"/>
      <c r="D39" s="121"/>
      <c r="E39" s="90"/>
      <c r="F39" s="90"/>
      <c r="G39" s="90"/>
      <c r="H39" s="90"/>
    </row>
    <row r="40" spans="1:10" ht="21" x14ac:dyDescent="0.55000000000000004">
      <c r="A40" s="111">
        <v>1</v>
      </c>
      <c r="B40" s="112" t="s">
        <v>63</v>
      </c>
      <c r="C40" s="8" t="s">
        <v>226</v>
      </c>
      <c r="D40" s="6" t="s">
        <v>20</v>
      </c>
      <c r="E40" s="113">
        <v>39864008.013800003</v>
      </c>
      <c r="F40" s="4"/>
      <c r="G40" s="32" t="s">
        <v>271</v>
      </c>
      <c r="H40" s="93" t="s">
        <v>64</v>
      </c>
      <c r="I40" s="112"/>
      <c r="J40" s="8"/>
    </row>
    <row r="41" spans="1:10" ht="21" x14ac:dyDescent="0.55000000000000004">
      <c r="A41" s="111">
        <v>2</v>
      </c>
      <c r="B41" s="97" t="s">
        <v>196</v>
      </c>
      <c r="C41" s="115" t="s">
        <v>227</v>
      </c>
      <c r="D41" s="106" t="s">
        <v>20</v>
      </c>
      <c r="E41" s="98">
        <v>11997668.040299999</v>
      </c>
      <c r="F41" s="4"/>
      <c r="G41" s="32" t="s">
        <v>272</v>
      </c>
      <c r="H41" s="93" t="s">
        <v>17</v>
      </c>
      <c r="I41" s="97"/>
      <c r="J41" s="115"/>
    </row>
    <row r="42" spans="1:10" ht="21" x14ac:dyDescent="0.55000000000000004">
      <c r="A42" s="111">
        <v>3</v>
      </c>
      <c r="B42" s="97" t="s">
        <v>104</v>
      </c>
      <c r="C42" s="103" t="s">
        <v>228</v>
      </c>
      <c r="D42" s="106" t="s">
        <v>20</v>
      </c>
      <c r="E42" s="104">
        <v>48368191.405000001</v>
      </c>
      <c r="F42" s="76"/>
      <c r="G42" s="32" t="s">
        <v>265</v>
      </c>
      <c r="H42" s="93" t="s">
        <v>25</v>
      </c>
      <c r="I42" s="97"/>
      <c r="J42" s="103"/>
    </row>
    <row r="43" spans="1:10" ht="21" x14ac:dyDescent="0.55000000000000004">
      <c r="A43" s="111">
        <v>4</v>
      </c>
      <c r="B43" s="116" t="s">
        <v>99</v>
      </c>
      <c r="C43" s="117" t="s">
        <v>229</v>
      </c>
      <c r="D43" s="118" t="s">
        <v>20</v>
      </c>
      <c r="E43" s="108">
        <v>40875555.280000001</v>
      </c>
      <c r="F43" s="76"/>
      <c r="G43" s="32" t="s">
        <v>273</v>
      </c>
      <c r="H43" s="93" t="s">
        <v>101</v>
      </c>
      <c r="I43" s="116"/>
      <c r="J43" s="117"/>
    </row>
    <row r="44" spans="1:10" ht="21" x14ac:dyDescent="0.55000000000000004">
      <c r="A44" s="111">
        <v>5</v>
      </c>
      <c r="B44" s="97" t="s">
        <v>230</v>
      </c>
      <c r="C44" s="103" t="s">
        <v>124</v>
      </c>
      <c r="D44" s="118" t="s">
        <v>20</v>
      </c>
      <c r="E44" s="104">
        <v>32358571.5792</v>
      </c>
      <c r="F44" s="76"/>
      <c r="G44" s="32" t="s">
        <v>274</v>
      </c>
      <c r="H44" s="93" t="s">
        <v>30</v>
      </c>
      <c r="I44" s="97"/>
      <c r="J44" s="103"/>
    </row>
    <row r="45" spans="1:10" ht="21" x14ac:dyDescent="0.55000000000000004">
      <c r="A45" s="111">
        <v>6</v>
      </c>
      <c r="B45" s="97" t="s">
        <v>83</v>
      </c>
      <c r="C45" s="103" t="s">
        <v>231</v>
      </c>
      <c r="D45" s="106" t="s">
        <v>225</v>
      </c>
      <c r="E45" s="108">
        <v>18604380.739999998</v>
      </c>
      <c r="F45" s="76"/>
      <c r="G45" s="32" t="s">
        <v>275</v>
      </c>
      <c r="H45" s="93" t="s">
        <v>86</v>
      </c>
      <c r="I45" s="97"/>
      <c r="J45" s="103"/>
    </row>
    <row r="46" spans="1:10" ht="21" x14ac:dyDescent="0.55000000000000004">
      <c r="A46" s="111">
        <v>7</v>
      </c>
      <c r="B46" s="97" t="s">
        <v>89</v>
      </c>
      <c r="C46" s="103" t="s">
        <v>152</v>
      </c>
      <c r="D46" s="118" t="s">
        <v>150</v>
      </c>
      <c r="E46" s="341">
        <v>55442168.412799999</v>
      </c>
      <c r="F46" s="76"/>
      <c r="G46" s="32" t="s">
        <v>153</v>
      </c>
      <c r="H46" s="93" t="s">
        <v>18</v>
      </c>
      <c r="I46" s="97"/>
      <c r="J46" s="103"/>
    </row>
    <row r="47" spans="1:10" ht="21" x14ac:dyDescent="0.55000000000000004">
      <c r="A47" s="111">
        <v>8</v>
      </c>
      <c r="B47" s="97" t="s">
        <v>105</v>
      </c>
      <c r="C47" s="103" t="s">
        <v>232</v>
      </c>
      <c r="D47" s="106" t="s">
        <v>150</v>
      </c>
      <c r="E47" s="341"/>
      <c r="F47" s="76"/>
      <c r="G47" s="32" t="s">
        <v>50</v>
      </c>
      <c r="H47" s="93" t="s">
        <v>26</v>
      </c>
      <c r="I47" s="97"/>
      <c r="J47" s="103"/>
    </row>
    <row r="48" spans="1:10" ht="21" x14ac:dyDescent="0.55000000000000004">
      <c r="A48" s="111">
        <v>9</v>
      </c>
      <c r="B48" s="116" t="s">
        <v>129</v>
      </c>
      <c r="C48" s="117" t="s">
        <v>233</v>
      </c>
      <c r="D48" s="118" t="s">
        <v>20</v>
      </c>
      <c r="E48" s="108">
        <v>67999837.984059989</v>
      </c>
      <c r="F48" s="76"/>
      <c r="G48" s="32" t="s">
        <v>207</v>
      </c>
      <c r="H48" s="93" t="s">
        <v>132</v>
      </c>
      <c r="I48" s="116"/>
      <c r="J48" s="117"/>
    </row>
    <row r="49" spans="1:10" ht="21" x14ac:dyDescent="0.55000000000000004">
      <c r="A49" s="111">
        <v>10</v>
      </c>
      <c r="B49" s="90" t="s">
        <v>104</v>
      </c>
      <c r="C49" s="90" t="s">
        <v>234</v>
      </c>
      <c r="D49" s="107" t="s">
        <v>20</v>
      </c>
      <c r="E49" s="119">
        <v>38963256</v>
      </c>
      <c r="F49" s="120"/>
      <c r="G49" s="32" t="s">
        <v>24</v>
      </c>
      <c r="H49" s="93" t="s">
        <v>25</v>
      </c>
      <c r="I49" s="90"/>
      <c r="J49" s="90"/>
    </row>
    <row r="50" spans="1:10" ht="21" x14ac:dyDescent="0.55000000000000004">
      <c r="A50" s="111">
        <v>11</v>
      </c>
      <c r="B50" s="7" t="s">
        <v>104</v>
      </c>
      <c r="C50" s="36" t="s">
        <v>234</v>
      </c>
      <c r="D50" s="110" t="s">
        <v>20</v>
      </c>
      <c r="E50" s="113">
        <v>28857938.473480001</v>
      </c>
      <c r="F50" s="120"/>
      <c r="G50" s="32" t="s">
        <v>24</v>
      </c>
      <c r="H50" s="93" t="s">
        <v>25</v>
      </c>
      <c r="I50" s="7"/>
      <c r="J50" s="36"/>
    </row>
    <row r="51" spans="1:10" ht="21.75" thickBot="1" x14ac:dyDescent="0.6">
      <c r="A51" s="170">
        <v>12</v>
      </c>
      <c r="B51" s="167" t="s">
        <v>1</v>
      </c>
      <c r="C51" s="167" t="s">
        <v>235</v>
      </c>
      <c r="D51" s="171" t="s">
        <v>20</v>
      </c>
      <c r="E51" s="157">
        <v>56283000</v>
      </c>
      <c r="F51" s="172"/>
      <c r="G51" s="168" t="s">
        <v>70</v>
      </c>
      <c r="H51" s="169" t="s">
        <v>22</v>
      </c>
      <c r="I51" s="90"/>
      <c r="J51" s="90"/>
    </row>
    <row r="52" spans="1:10" ht="27" customHeight="1" thickBot="1" x14ac:dyDescent="0.3">
      <c r="A52" s="177"/>
      <c r="B52" s="52" t="s">
        <v>13</v>
      </c>
      <c r="C52" s="85"/>
      <c r="D52" s="86"/>
      <c r="E52" s="87">
        <f>SUM(E49:E51)</f>
        <v>124104194.47348</v>
      </c>
      <c r="F52" s="87"/>
      <c r="G52" s="88"/>
      <c r="H52" s="89" t="s">
        <v>14</v>
      </c>
    </row>
    <row r="53" spans="1:10" ht="18" thickTop="1" x14ac:dyDescent="0.25">
      <c r="B53" s="18" t="s">
        <v>15</v>
      </c>
      <c r="H53" s="12" t="s">
        <v>16</v>
      </c>
    </row>
    <row r="56" spans="1:10" ht="21.75" x14ac:dyDescent="0.55000000000000004">
      <c r="A56" s="318" t="s">
        <v>95</v>
      </c>
      <c r="B56" s="318"/>
      <c r="C56" s="318"/>
      <c r="D56" s="318"/>
      <c r="E56" s="318"/>
      <c r="F56" s="318"/>
      <c r="G56" s="318"/>
      <c r="H56" s="318"/>
    </row>
    <row r="57" spans="1:10" ht="15.75" x14ac:dyDescent="0.25">
      <c r="A57" s="319" t="s">
        <v>96</v>
      </c>
      <c r="B57" s="319"/>
      <c r="C57" s="319"/>
      <c r="D57" s="319"/>
      <c r="E57" s="319"/>
      <c r="F57" s="319"/>
      <c r="G57" s="319"/>
      <c r="H57" s="319"/>
    </row>
    <row r="58" spans="1:10" ht="10.5" customHeight="1" x14ac:dyDescent="0.25"/>
    <row r="59" spans="1:10" s="38" customFormat="1" ht="19.5" customHeight="1" x14ac:dyDescent="0.2">
      <c r="A59" s="320"/>
      <c r="B59" s="322" t="s">
        <v>6</v>
      </c>
      <c r="C59" s="324" t="s">
        <v>7</v>
      </c>
      <c r="D59" s="14" t="s">
        <v>8</v>
      </c>
      <c r="E59" s="19" t="s">
        <v>9</v>
      </c>
      <c r="F59" s="14"/>
      <c r="G59" s="314" t="s">
        <v>10</v>
      </c>
      <c r="H59" s="316" t="s">
        <v>11</v>
      </c>
    </row>
    <row r="60" spans="1:10" s="39" customFormat="1" ht="33.75" customHeight="1" x14ac:dyDescent="0.25">
      <c r="A60" s="321"/>
      <c r="B60" s="323"/>
      <c r="C60" s="325"/>
      <c r="D60" s="15" t="s">
        <v>12</v>
      </c>
      <c r="E60" s="20" t="s">
        <v>19</v>
      </c>
      <c r="F60" s="15"/>
      <c r="G60" s="315"/>
      <c r="H60" s="317"/>
    </row>
    <row r="62" spans="1:10" ht="21" x14ac:dyDescent="0.55000000000000004">
      <c r="A62" s="47">
        <v>1</v>
      </c>
      <c r="B62" s="8" t="s">
        <v>142</v>
      </c>
      <c r="C62" s="9" t="s">
        <v>146</v>
      </c>
      <c r="D62" s="6" t="s">
        <v>20</v>
      </c>
      <c r="E62" s="113">
        <v>24461225</v>
      </c>
      <c r="F62" s="90"/>
      <c r="G62" s="32" t="s">
        <v>147</v>
      </c>
      <c r="H62" s="93" t="s">
        <v>145</v>
      </c>
      <c r="I62" s="8"/>
      <c r="J62" s="9"/>
    </row>
    <row r="63" spans="1:10" ht="21" x14ac:dyDescent="0.55000000000000004">
      <c r="A63" s="47">
        <v>2</v>
      </c>
      <c r="B63" s="8" t="s">
        <v>63</v>
      </c>
      <c r="C63" s="9" t="s">
        <v>236</v>
      </c>
      <c r="D63" s="6" t="s">
        <v>20</v>
      </c>
      <c r="E63" s="113">
        <v>23133846.370000001</v>
      </c>
      <c r="F63" s="90"/>
      <c r="G63" s="32" t="s">
        <v>264</v>
      </c>
      <c r="H63" s="93" t="s">
        <v>64</v>
      </c>
      <c r="I63" s="8"/>
      <c r="J63" s="9"/>
    </row>
    <row r="64" spans="1:10" ht="21" x14ac:dyDescent="0.55000000000000004">
      <c r="A64" s="47">
        <v>3</v>
      </c>
      <c r="B64" s="36" t="s">
        <v>89</v>
      </c>
      <c r="C64" s="36" t="s">
        <v>237</v>
      </c>
      <c r="D64" s="110" t="s">
        <v>20</v>
      </c>
      <c r="E64" s="122">
        <v>40347959</v>
      </c>
      <c r="F64" s="90"/>
      <c r="G64" s="32" t="s">
        <v>265</v>
      </c>
      <c r="H64" s="93" t="s">
        <v>18</v>
      </c>
      <c r="I64" s="36"/>
      <c r="J64" s="36"/>
    </row>
    <row r="65" spans="1:10" ht="21" x14ac:dyDescent="0.55000000000000004">
      <c r="A65" s="47">
        <v>4</v>
      </c>
      <c r="B65" s="8" t="s">
        <v>2</v>
      </c>
      <c r="C65" s="9" t="s">
        <v>269</v>
      </c>
      <c r="D65" s="6" t="s">
        <v>150</v>
      </c>
      <c r="E65" s="113">
        <v>50182748</v>
      </c>
      <c r="F65" s="90"/>
      <c r="G65" s="32" t="s">
        <v>151</v>
      </c>
      <c r="H65" s="93" t="s">
        <v>17</v>
      </c>
      <c r="I65" s="8"/>
      <c r="J65" s="9"/>
    </row>
    <row r="66" spans="1:10" ht="21" x14ac:dyDescent="0.55000000000000004">
      <c r="A66" s="47">
        <v>5</v>
      </c>
      <c r="B66" s="36" t="s">
        <v>90</v>
      </c>
      <c r="C66" s="36" t="s">
        <v>238</v>
      </c>
      <c r="D66" s="110" t="s">
        <v>20</v>
      </c>
      <c r="E66" s="122">
        <v>23470425.899999999</v>
      </c>
      <c r="F66" s="90"/>
      <c r="G66" s="32" t="s">
        <v>266</v>
      </c>
      <c r="H66" s="93" t="s">
        <v>92</v>
      </c>
      <c r="I66" s="36"/>
      <c r="J66" s="36"/>
    </row>
    <row r="67" spans="1:10" ht="21" x14ac:dyDescent="0.55000000000000004">
      <c r="A67" s="47">
        <v>6</v>
      </c>
      <c r="B67" s="36" t="s">
        <v>83</v>
      </c>
      <c r="C67" s="36" t="s">
        <v>239</v>
      </c>
      <c r="D67" s="110" t="s">
        <v>225</v>
      </c>
      <c r="E67" s="122">
        <v>4434487.58</v>
      </c>
      <c r="F67" s="90"/>
      <c r="G67" s="32" t="s">
        <v>267</v>
      </c>
      <c r="H67" s="93" t="s">
        <v>86</v>
      </c>
      <c r="I67" s="36"/>
      <c r="J67" s="36"/>
    </row>
    <row r="68" spans="1:10" ht="21" x14ac:dyDescent="0.55000000000000004">
      <c r="A68" s="47">
        <v>7</v>
      </c>
      <c r="B68" s="8" t="s">
        <v>1</v>
      </c>
      <c r="C68" s="9" t="s">
        <v>240</v>
      </c>
      <c r="D68" s="6" t="s">
        <v>20</v>
      </c>
      <c r="E68" s="326">
        <v>571338756</v>
      </c>
      <c r="F68" s="90"/>
      <c r="G68" s="32" t="s">
        <v>70</v>
      </c>
      <c r="H68" s="93" t="s">
        <v>22</v>
      </c>
      <c r="I68" s="8"/>
      <c r="J68" s="9"/>
    </row>
    <row r="69" spans="1:10" ht="21" x14ac:dyDescent="0.55000000000000004">
      <c r="A69" s="47">
        <v>8</v>
      </c>
      <c r="B69" s="8" t="s">
        <v>90</v>
      </c>
      <c r="C69" s="9" t="s">
        <v>241</v>
      </c>
      <c r="D69" s="6" t="s">
        <v>20</v>
      </c>
      <c r="E69" s="326"/>
      <c r="F69" s="90"/>
      <c r="G69" s="32" t="s">
        <v>268</v>
      </c>
      <c r="H69" s="93" t="s">
        <v>92</v>
      </c>
      <c r="I69" s="8"/>
      <c r="J69" s="9"/>
    </row>
    <row r="70" spans="1:10" ht="21" x14ac:dyDescent="0.55000000000000004">
      <c r="A70" s="47">
        <v>9</v>
      </c>
      <c r="B70" s="8" t="s">
        <v>104</v>
      </c>
      <c r="C70" s="9" t="s">
        <v>242</v>
      </c>
      <c r="D70" s="6" t="s">
        <v>20</v>
      </c>
      <c r="E70" s="326"/>
      <c r="F70" s="90"/>
      <c r="G70" s="32" t="s">
        <v>24</v>
      </c>
      <c r="H70" s="93" t="s">
        <v>25</v>
      </c>
      <c r="I70" s="8"/>
      <c r="J70" s="9"/>
    </row>
    <row r="71" spans="1:10" ht="21" x14ac:dyDescent="0.55000000000000004">
      <c r="A71" s="47">
        <v>10</v>
      </c>
      <c r="B71" s="30" t="s">
        <v>104</v>
      </c>
      <c r="C71" s="114" t="s">
        <v>243</v>
      </c>
      <c r="D71" s="75" t="s">
        <v>20</v>
      </c>
      <c r="E71" s="326"/>
      <c r="F71" s="90"/>
      <c r="G71" s="32" t="s">
        <v>48</v>
      </c>
      <c r="H71" s="93" t="s">
        <v>25</v>
      </c>
      <c r="I71" s="30"/>
      <c r="J71" s="114"/>
    </row>
    <row r="72" spans="1:10" ht="21" x14ac:dyDescent="0.55000000000000004">
      <c r="A72" s="47">
        <v>11</v>
      </c>
      <c r="B72" s="7" t="s">
        <v>244</v>
      </c>
      <c r="C72" s="36" t="s">
        <v>32</v>
      </c>
      <c r="D72" s="6" t="s">
        <v>123</v>
      </c>
      <c r="E72" s="113">
        <v>64259419.317400001</v>
      </c>
      <c r="F72" s="90"/>
      <c r="G72" s="32" t="s">
        <v>33</v>
      </c>
      <c r="H72" s="93" t="s">
        <v>31</v>
      </c>
      <c r="I72" s="7"/>
      <c r="J72" s="36"/>
    </row>
    <row r="73" spans="1:10" ht="21" x14ac:dyDescent="0.55000000000000004">
      <c r="A73" s="47">
        <v>12</v>
      </c>
      <c r="B73" s="90" t="s">
        <v>99</v>
      </c>
      <c r="C73" s="90" t="s">
        <v>245</v>
      </c>
      <c r="D73" s="107" t="s">
        <v>20</v>
      </c>
      <c r="E73" s="122">
        <v>9307688.0700000003</v>
      </c>
      <c r="F73" s="90"/>
      <c r="G73" s="32" t="s">
        <v>100</v>
      </c>
      <c r="H73" s="93" t="s">
        <v>101</v>
      </c>
      <c r="I73" s="90"/>
      <c r="J73" s="90"/>
    </row>
    <row r="74" spans="1:10" ht="21" x14ac:dyDescent="0.55000000000000004">
      <c r="A74" s="47">
        <v>13</v>
      </c>
      <c r="B74" s="103" t="s">
        <v>246</v>
      </c>
      <c r="C74" s="103" t="s">
        <v>247</v>
      </c>
      <c r="D74" s="106" t="s">
        <v>20</v>
      </c>
      <c r="E74" s="108">
        <v>41142938.251399994</v>
      </c>
      <c r="F74" s="90"/>
      <c r="G74" s="32" t="s">
        <v>270</v>
      </c>
      <c r="H74" s="93" t="s">
        <v>27</v>
      </c>
      <c r="I74" s="103"/>
      <c r="J74" s="103"/>
    </row>
    <row r="75" spans="1:10" ht="21.75" thickBot="1" x14ac:dyDescent="0.6">
      <c r="A75" s="173">
        <v>14</v>
      </c>
      <c r="B75" s="174" t="s">
        <v>0</v>
      </c>
      <c r="C75" s="175" t="s">
        <v>157</v>
      </c>
      <c r="D75" s="176" t="s">
        <v>20</v>
      </c>
      <c r="E75" s="147">
        <v>12578201.939999999</v>
      </c>
      <c r="F75" s="167"/>
      <c r="G75" s="168" t="s">
        <v>158</v>
      </c>
      <c r="H75" s="169" t="s">
        <v>35</v>
      </c>
      <c r="I75" s="7"/>
      <c r="J75" s="36"/>
    </row>
    <row r="76" spans="1:10" ht="27" customHeight="1" thickBot="1" x14ac:dyDescent="0.3">
      <c r="A76" s="177"/>
      <c r="B76" s="52" t="s">
        <v>13</v>
      </c>
      <c r="C76" s="85"/>
      <c r="D76" s="125"/>
      <c r="E76" s="123"/>
      <c r="F76" s="88"/>
      <c r="G76" s="88"/>
      <c r="H76" s="89" t="s">
        <v>14</v>
      </c>
    </row>
    <row r="77" spans="1:10" ht="18" thickTop="1" x14ac:dyDescent="0.25">
      <c r="B77" s="18" t="s">
        <v>15</v>
      </c>
      <c r="H77" s="12" t="s">
        <v>16</v>
      </c>
    </row>
    <row r="79" spans="1:10" ht="21.75" x14ac:dyDescent="0.55000000000000004">
      <c r="A79" s="318" t="s">
        <v>97</v>
      </c>
      <c r="B79" s="318"/>
      <c r="C79" s="318"/>
      <c r="D79" s="318"/>
      <c r="E79" s="318"/>
      <c r="F79" s="318"/>
      <c r="G79" s="318"/>
      <c r="H79" s="318"/>
    </row>
    <row r="80" spans="1:10" ht="15.75" x14ac:dyDescent="0.25">
      <c r="A80" s="319" t="s">
        <v>98</v>
      </c>
      <c r="B80" s="319"/>
      <c r="C80" s="319"/>
      <c r="D80" s="319"/>
      <c r="E80" s="319"/>
      <c r="F80" s="319"/>
      <c r="G80" s="319"/>
      <c r="H80" s="319"/>
    </row>
    <row r="81" spans="1:9" ht="10.5" customHeight="1" x14ac:dyDescent="0.25"/>
    <row r="82" spans="1:9" s="38" customFormat="1" ht="19.5" customHeight="1" x14ac:dyDescent="0.2">
      <c r="A82" s="320"/>
      <c r="B82" s="322" t="s">
        <v>6</v>
      </c>
      <c r="C82" s="324" t="s">
        <v>7</v>
      </c>
      <c r="D82" s="14" t="s">
        <v>8</v>
      </c>
      <c r="E82" s="19" t="s">
        <v>9</v>
      </c>
      <c r="F82" s="14"/>
      <c r="G82" s="314" t="s">
        <v>10</v>
      </c>
      <c r="H82" s="316" t="s">
        <v>11</v>
      </c>
    </row>
    <row r="83" spans="1:9" s="39" customFormat="1" ht="33.75" customHeight="1" x14ac:dyDescent="0.25">
      <c r="A83" s="321"/>
      <c r="B83" s="323"/>
      <c r="C83" s="325"/>
      <c r="D83" s="15" t="s">
        <v>12</v>
      </c>
      <c r="E83" s="20" t="s">
        <v>19</v>
      </c>
      <c r="F83" s="15"/>
      <c r="G83" s="315"/>
      <c r="H83" s="317"/>
    </row>
    <row r="84" spans="1:9" ht="7.5" customHeight="1" x14ac:dyDescent="0.25"/>
    <row r="85" spans="1:9" s="17" customFormat="1" ht="23.25" customHeight="1" x14ac:dyDescent="0.25">
      <c r="A85" s="47">
        <v>1</v>
      </c>
      <c r="B85" s="46" t="s">
        <v>99</v>
      </c>
      <c r="C85" s="31" t="s">
        <v>114</v>
      </c>
      <c r="D85" s="75" t="s">
        <v>102</v>
      </c>
      <c r="E85" s="124">
        <v>73561250.476199999</v>
      </c>
      <c r="G85" s="126" t="s">
        <v>115</v>
      </c>
      <c r="H85" s="35" t="s">
        <v>101</v>
      </c>
      <c r="I85" s="46"/>
    </row>
    <row r="86" spans="1:9" s="17" customFormat="1" ht="23.25" customHeight="1" x14ac:dyDescent="0.25">
      <c r="A86" s="47">
        <v>2</v>
      </c>
      <c r="B86" s="46" t="s">
        <v>105</v>
      </c>
      <c r="C86" s="31" t="s">
        <v>154</v>
      </c>
      <c r="D86" s="75" t="s">
        <v>102</v>
      </c>
      <c r="E86" s="113">
        <v>31751317.373999998</v>
      </c>
      <c r="G86" s="126" t="s">
        <v>155</v>
      </c>
      <c r="H86" s="35" t="s">
        <v>26</v>
      </c>
      <c r="I86" s="46"/>
    </row>
    <row r="87" spans="1:9" s="17" customFormat="1" ht="23.25" customHeight="1" x14ac:dyDescent="0.25">
      <c r="A87" s="47">
        <v>3</v>
      </c>
      <c r="B87" s="30" t="s">
        <v>1</v>
      </c>
      <c r="C87" s="73" t="s">
        <v>135</v>
      </c>
      <c r="D87" s="75" t="s">
        <v>103</v>
      </c>
      <c r="E87" s="327">
        <v>56866468.590599999</v>
      </c>
      <c r="G87" s="126" t="s">
        <v>136</v>
      </c>
      <c r="H87" s="35" t="s">
        <v>22</v>
      </c>
      <c r="I87" s="30"/>
    </row>
    <row r="88" spans="1:9" s="17" customFormat="1" ht="23.25" customHeight="1" x14ac:dyDescent="0.25">
      <c r="A88" s="47">
        <v>4</v>
      </c>
      <c r="B88" s="46" t="s">
        <v>137</v>
      </c>
      <c r="C88" s="31" t="s">
        <v>138</v>
      </c>
      <c r="D88" s="75" t="s">
        <v>103</v>
      </c>
      <c r="E88" s="327"/>
      <c r="G88" s="126" t="s">
        <v>139</v>
      </c>
      <c r="H88" s="35" t="s">
        <v>140</v>
      </c>
      <c r="I88" s="46"/>
    </row>
    <row r="89" spans="1:9" s="17" customFormat="1" ht="23.25" customHeight="1" x14ac:dyDescent="0.25">
      <c r="A89" s="47">
        <v>5</v>
      </c>
      <c r="B89" s="46" t="s">
        <v>3</v>
      </c>
      <c r="C89" s="31" t="s">
        <v>28</v>
      </c>
      <c r="D89" s="75" t="s">
        <v>123</v>
      </c>
      <c r="E89" s="113">
        <v>50633736.766999997</v>
      </c>
      <c r="G89" s="126" t="s">
        <v>29</v>
      </c>
      <c r="H89" s="35" t="s">
        <v>30</v>
      </c>
      <c r="I89" s="46"/>
    </row>
    <row r="90" spans="1:9" s="17" customFormat="1" ht="23.25" customHeight="1" x14ac:dyDescent="0.25">
      <c r="A90" s="47">
        <v>6</v>
      </c>
      <c r="B90" s="30" t="s">
        <v>3</v>
      </c>
      <c r="C90" s="73" t="s">
        <v>125</v>
      </c>
      <c r="D90" s="75" t="s">
        <v>20</v>
      </c>
      <c r="E90" s="113">
        <v>18869044.739999998</v>
      </c>
      <c r="G90" s="126" t="s">
        <v>126</v>
      </c>
      <c r="H90" s="35" t="s">
        <v>30</v>
      </c>
      <c r="I90" s="30"/>
    </row>
    <row r="91" spans="1:9" s="17" customFormat="1" ht="23.25" customHeight="1" x14ac:dyDescent="0.25">
      <c r="A91" s="47">
        <v>7</v>
      </c>
      <c r="B91" s="30" t="s">
        <v>142</v>
      </c>
      <c r="C91" s="73" t="s">
        <v>143</v>
      </c>
      <c r="D91" s="75" t="s">
        <v>20</v>
      </c>
      <c r="E91" s="113">
        <v>13300000</v>
      </c>
      <c r="G91" s="126" t="s">
        <v>144</v>
      </c>
      <c r="H91" s="35" t="s">
        <v>145</v>
      </c>
      <c r="I91" s="30"/>
    </row>
    <row r="92" spans="1:9" s="17" customFormat="1" ht="23.25" customHeight="1" x14ac:dyDescent="0.25">
      <c r="A92" s="47">
        <v>8</v>
      </c>
      <c r="B92" s="46" t="s">
        <v>60</v>
      </c>
      <c r="C92" s="31" t="s">
        <v>248</v>
      </c>
      <c r="D92" s="75" t="s">
        <v>20</v>
      </c>
      <c r="E92" s="113">
        <v>27741063</v>
      </c>
      <c r="G92" s="126" t="s">
        <v>156</v>
      </c>
      <c r="H92" s="35" t="s">
        <v>26</v>
      </c>
      <c r="I92" s="46"/>
    </row>
    <row r="93" spans="1:9" s="17" customFormat="1" ht="23.25" customHeight="1" x14ac:dyDescent="0.25">
      <c r="A93" s="47">
        <v>9</v>
      </c>
      <c r="B93" s="30" t="s">
        <v>104</v>
      </c>
      <c r="C93" s="73" t="s">
        <v>34</v>
      </c>
      <c r="D93" s="75" t="s">
        <v>20</v>
      </c>
      <c r="E93" s="113">
        <v>23221385</v>
      </c>
      <c r="G93" s="126" t="s">
        <v>48</v>
      </c>
      <c r="H93" s="35" t="s">
        <v>25</v>
      </c>
      <c r="I93" s="30"/>
    </row>
    <row r="94" spans="1:9" s="17" customFormat="1" ht="23.25" customHeight="1" x14ac:dyDescent="0.25">
      <c r="A94" s="47">
        <v>10</v>
      </c>
      <c r="B94" s="30" t="s">
        <v>90</v>
      </c>
      <c r="C94" s="73" t="s">
        <v>133</v>
      </c>
      <c r="D94" s="75" t="s">
        <v>20</v>
      </c>
      <c r="E94" s="113">
        <v>25149074.52</v>
      </c>
      <c r="G94" s="126" t="s">
        <v>134</v>
      </c>
      <c r="H94" s="35" t="s">
        <v>92</v>
      </c>
      <c r="I94" s="30"/>
    </row>
    <row r="95" spans="1:9" s="17" customFormat="1" ht="23.25" customHeight="1" x14ac:dyDescent="0.25">
      <c r="A95" s="47">
        <v>11</v>
      </c>
      <c r="B95" s="30" t="s">
        <v>0</v>
      </c>
      <c r="C95" s="73" t="s">
        <v>249</v>
      </c>
      <c r="D95" s="75" t="s">
        <v>250</v>
      </c>
      <c r="E95" s="342" t="s">
        <v>400</v>
      </c>
      <c r="G95" s="126" t="s">
        <v>262</v>
      </c>
      <c r="H95" s="35" t="s">
        <v>35</v>
      </c>
      <c r="I95" s="30"/>
    </row>
    <row r="96" spans="1:9" s="17" customFormat="1" ht="23.25" customHeight="1" x14ac:dyDescent="0.25">
      <c r="A96" s="47">
        <v>1</v>
      </c>
      <c r="B96" s="30" t="s">
        <v>2</v>
      </c>
      <c r="C96" s="73" t="s">
        <v>148</v>
      </c>
      <c r="D96" s="75" t="s">
        <v>20</v>
      </c>
      <c r="E96" s="113">
        <v>29472252.5</v>
      </c>
      <c r="G96" s="126" t="s">
        <v>149</v>
      </c>
      <c r="H96" s="35" t="s">
        <v>17</v>
      </c>
      <c r="I96" s="30"/>
    </row>
    <row r="97" spans="1:9" s="17" customFormat="1" ht="19.5" customHeight="1" thickBot="1" x14ac:dyDescent="0.3">
      <c r="A97" s="173">
        <v>2</v>
      </c>
      <c r="B97" s="149" t="s">
        <v>83</v>
      </c>
      <c r="C97" s="135" t="s">
        <v>141</v>
      </c>
      <c r="D97" s="179" t="s">
        <v>20</v>
      </c>
      <c r="E97" s="147">
        <v>13522450.92</v>
      </c>
      <c r="F97" s="148"/>
      <c r="G97" s="180" t="s">
        <v>263</v>
      </c>
      <c r="H97" s="169" t="s">
        <v>86</v>
      </c>
      <c r="I97" s="46"/>
    </row>
    <row r="98" spans="1:9" ht="21" hidden="1" x14ac:dyDescent="0.55000000000000004">
      <c r="B98" s="7"/>
      <c r="C98" s="36"/>
      <c r="D98" s="6"/>
      <c r="E98" s="4"/>
      <c r="F98" s="4"/>
      <c r="G98" s="5"/>
      <c r="H98" s="35"/>
    </row>
    <row r="99" spans="1:9" ht="27" customHeight="1" thickBot="1" x14ac:dyDescent="0.3">
      <c r="A99" s="88"/>
      <c r="B99" s="21" t="s">
        <v>13</v>
      </c>
      <c r="C99" s="1"/>
      <c r="D99" s="2"/>
      <c r="E99" s="42">
        <f>SUM(E85:E98)</f>
        <v>364088043.88780004</v>
      </c>
      <c r="F99" s="42"/>
      <c r="G99" s="3"/>
      <c r="H99" s="16" t="s">
        <v>14</v>
      </c>
    </row>
    <row r="100" spans="1:9" ht="18" thickTop="1" x14ac:dyDescent="0.25">
      <c r="B100" s="18" t="s">
        <v>15</v>
      </c>
      <c r="H100" s="12" t="s">
        <v>16</v>
      </c>
    </row>
  </sheetData>
  <mergeCells count="31">
    <mergeCell ref="G82:G83"/>
    <mergeCell ref="E68:E71"/>
    <mergeCell ref="E87:E88"/>
    <mergeCell ref="E46:E47"/>
    <mergeCell ref="H82:H83"/>
    <mergeCell ref="A79:H79"/>
    <mergeCell ref="A80:H80"/>
    <mergeCell ref="A82:A83"/>
    <mergeCell ref="A56:H56"/>
    <mergeCell ref="A57:H57"/>
    <mergeCell ref="A59:A60"/>
    <mergeCell ref="B59:B60"/>
    <mergeCell ref="C59:C60"/>
    <mergeCell ref="B82:B83"/>
    <mergeCell ref="C82:C83"/>
    <mergeCell ref="G59:G60"/>
    <mergeCell ref="A1:H1"/>
    <mergeCell ref="A2:H2"/>
    <mergeCell ref="A4:A5"/>
    <mergeCell ref="B4:B5"/>
    <mergeCell ref="C4:C5"/>
    <mergeCell ref="G4:G5"/>
    <mergeCell ref="H4:H5"/>
    <mergeCell ref="A34:H34"/>
    <mergeCell ref="A35:H35"/>
    <mergeCell ref="A37:A38"/>
    <mergeCell ref="B37:B38"/>
    <mergeCell ref="C37:C38"/>
    <mergeCell ref="G37:G38"/>
    <mergeCell ref="H37:H38"/>
    <mergeCell ref="H59:H60"/>
  </mergeCells>
  <pageMargins left="0.7" right="0.7" top="0.75" bottom="0.75" header="0.3" footer="0.3"/>
  <pageSetup scale="64" orientation="portrait" horizontalDpi="4294967295" verticalDpi="4294967295" r:id="rId1"/>
  <rowBreaks count="3" manualBreakCount="3">
    <brk id="31" max="16383" man="1"/>
    <brk id="54" max="16383" man="1"/>
    <brk id="77" max="16383" man="1"/>
  </rowBreaks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189"/>
  <sheetViews>
    <sheetView topLeftCell="A82" zoomScaleNormal="100" workbookViewId="0">
      <selection activeCell="L44" sqref="L44"/>
    </sheetView>
  </sheetViews>
  <sheetFormatPr defaultColWidth="9.140625" defaultRowHeight="15" x14ac:dyDescent="0.25"/>
  <cols>
    <col min="1" max="1" width="5.42578125" style="43" customWidth="1"/>
    <col min="2" max="2" width="5.5703125" style="43" customWidth="1"/>
    <col min="3" max="3" width="33.85546875" style="43" customWidth="1"/>
    <col min="4" max="4" width="12.28515625" style="17" customWidth="1"/>
    <col min="5" max="5" width="6.28515625" style="17" customWidth="1"/>
    <col min="6" max="6" width="17" style="17" customWidth="1"/>
    <col min="7" max="7" width="1.7109375" style="17" customWidth="1"/>
    <col min="8" max="8" width="26.5703125" style="64" customWidth="1"/>
    <col min="9" max="9" width="5.5703125" style="64" customWidth="1"/>
    <col min="10" max="10" width="5.28515625" style="17" customWidth="1"/>
    <col min="11" max="11" width="18.85546875" style="17" customWidth="1"/>
    <col min="12" max="12" width="16.28515625" style="17" bestFit="1" customWidth="1"/>
    <col min="13" max="14" width="9.140625" style="17"/>
    <col min="15" max="15" width="16" style="17" bestFit="1" customWidth="1"/>
    <col min="16" max="16384" width="9.140625" style="17"/>
  </cols>
  <sheetData>
    <row r="1" spans="1:9" ht="21.75" customHeight="1" x14ac:dyDescent="0.25">
      <c r="A1" s="307" t="s">
        <v>160</v>
      </c>
      <c r="B1" s="307"/>
      <c r="C1" s="307"/>
      <c r="D1" s="307"/>
      <c r="E1" s="307"/>
      <c r="F1" s="307"/>
      <c r="G1" s="307"/>
      <c r="H1" s="307"/>
      <c r="I1" s="307"/>
    </row>
    <row r="2" spans="1:9" ht="15.75" x14ac:dyDescent="0.25">
      <c r="A2" s="328" t="s">
        <v>161</v>
      </c>
      <c r="B2" s="328"/>
      <c r="C2" s="328"/>
      <c r="D2" s="328"/>
      <c r="E2" s="328"/>
      <c r="F2" s="328"/>
      <c r="G2" s="328"/>
      <c r="H2" s="328"/>
      <c r="I2" s="328"/>
    </row>
    <row r="3" spans="1:9" ht="10.5" customHeight="1" x14ac:dyDescent="0.25"/>
    <row r="4" spans="1:9" s="48" customFormat="1" ht="19.5" customHeight="1" x14ac:dyDescent="0.25">
      <c r="A4" s="329"/>
      <c r="B4" s="322" t="s">
        <v>6</v>
      </c>
      <c r="C4" s="322" t="s">
        <v>7</v>
      </c>
      <c r="D4" s="59" t="s">
        <v>8</v>
      </c>
      <c r="E4" s="59"/>
      <c r="F4" s="59" t="s">
        <v>9</v>
      </c>
      <c r="G4" s="59"/>
      <c r="H4" s="314" t="s">
        <v>10</v>
      </c>
      <c r="I4" s="314" t="s">
        <v>11</v>
      </c>
    </row>
    <row r="5" spans="1:9" s="40" customFormat="1" ht="29.25" customHeight="1" x14ac:dyDescent="0.25">
      <c r="A5" s="330"/>
      <c r="B5" s="323"/>
      <c r="C5" s="323"/>
      <c r="D5" s="62" t="s">
        <v>12</v>
      </c>
      <c r="E5" s="62"/>
      <c r="F5" s="20" t="s">
        <v>19</v>
      </c>
      <c r="G5" s="62"/>
      <c r="H5" s="315"/>
      <c r="I5" s="315"/>
    </row>
    <row r="6" spans="1:9" s="40" customFormat="1" ht="5.25" customHeight="1" x14ac:dyDescent="0.25">
      <c r="A6" s="77"/>
      <c r="B6" s="78"/>
      <c r="C6" s="78"/>
      <c r="D6" s="60"/>
      <c r="E6" s="60"/>
      <c r="F6" s="60"/>
      <c r="G6" s="60"/>
      <c r="H6" s="79"/>
      <c r="I6" s="79"/>
    </row>
    <row r="7" spans="1:9" s="31" customFormat="1" ht="24" customHeight="1" x14ac:dyDescent="0.25">
      <c r="A7" s="10">
        <v>1</v>
      </c>
      <c r="B7" s="11" t="s">
        <v>99</v>
      </c>
      <c r="C7" s="72" t="s">
        <v>164</v>
      </c>
      <c r="D7" s="63" t="s">
        <v>20</v>
      </c>
      <c r="E7" s="63" t="s">
        <v>398</v>
      </c>
      <c r="F7" s="137">
        <v>26651162.329999998</v>
      </c>
      <c r="H7" s="33" t="s">
        <v>199</v>
      </c>
      <c r="I7" s="33" t="s">
        <v>101</v>
      </c>
    </row>
    <row r="8" spans="1:9" s="31" customFormat="1" ht="24" customHeight="1" x14ac:dyDescent="0.25">
      <c r="A8" s="10">
        <v>2</v>
      </c>
      <c r="B8" s="11" t="s">
        <v>99</v>
      </c>
      <c r="C8" s="72" t="s">
        <v>165</v>
      </c>
      <c r="D8" s="63" t="s">
        <v>20</v>
      </c>
      <c r="E8" s="63" t="s">
        <v>398</v>
      </c>
      <c r="F8" s="137">
        <v>22720087.059999999</v>
      </c>
      <c r="H8" s="33" t="s">
        <v>200</v>
      </c>
      <c r="I8" s="33" t="s">
        <v>101</v>
      </c>
    </row>
    <row r="9" spans="1:9" s="31" customFormat="1" ht="26.25" customHeight="1" x14ac:dyDescent="0.25">
      <c r="A9" s="10">
        <v>3</v>
      </c>
      <c r="B9" s="11" t="s">
        <v>99</v>
      </c>
      <c r="C9" s="11" t="s">
        <v>166</v>
      </c>
      <c r="D9" s="63" t="s">
        <v>20</v>
      </c>
      <c r="E9" s="63" t="s">
        <v>398</v>
      </c>
      <c r="F9" s="137">
        <v>15013056.560000001</v>
      </c>
      <c r="H9" s="33" t="s">
        <v>100</v>
      </c>
      <c r="I9" s="33" t="s">
        <v>101</v>
      </c>
    </row>
    <row r="10" spans="1:9" s="31" customFormat="1" ht="24" customHeight="1" x14ac:dyDescent="0.25">
      <c r="A10" s="10">
        <v>4</v>
      </c>
      <c r="B10" s="11" t="s">
        <v>99</v>
      </c>
      <c r="C10" s="72" t="s">
        <v>167</v>
      </c>
      <c r="D10" s="63" t="s">
        <v>20</v>
      </c>
      <c r="E10" s="63" t="s">
        <v>398</v>
      </c>
      <c r="F10" s="137">
        <v>28202486.670000002</v>
      </c>
      <c r="H10" s="33" t="s">
        <v>201</v>
      </c>
      <c r="I10" s="33" t="s">
        <v>101</v>
      </c>
    </row>
    <row r="11" spans="1:9" s="31" customFormat="1" ht="30.75" customHeight="1" x14ac:dyDescent="0.25">
      <c r="A11" s="10">
        <v>5</v>
      </c>
      <c r="B11" s="11" t="s">
        <v>4</v>
      </c>
      <c r="C11" s="72" t="s">
        <v>168</v>
      </c>
      <c r="D11" s="63" t="s">
        <v>225</v>
      </c>
      <c r="E11" s="63" t="s">
        <v>398</v>
      </c>
      <c r="F11" s="137">
        <v>51890349.939999998</v>
      </c>
      <c r="H11" s="33" t="s">
        <v>202</v>
      </c>
      <c r="I11" s="33" t="s">
        <v>21</v>
      </c>
    </row>
    <row r="12" spans="1:9" s="31" customFormat="1" ht="21" x14ac:dyDescent="0.25">
      <c r="A12" s="10">
        <v>6</v>
      </c>
      <c r="B12" s="11" t="s">
        <v>3</v>
      </c>
      <c r="C12" s="72" t="s">
        <v>169</v>
      </c>
      <c r="D12" s="63" t="s">
        <v>225</v>
      </c>
      <c r="E12" s="63" t="s">
        <v>398</v>
      </c>
      <c r="F12" s="137">
        <v>14999857.880000001</v>
      </c>
      <c r="H12" s="33" t="s">
        <v>203</v>
      </c>
      <c r="I12" s="33" t="s">
        <v>30</v>
      </c>
    </row>
    <row r="13" spans="1:9" s="31" customFormat="1" ht="24" customHeight="1" x14ac:dyDescent="0.25">
      <c r="A13" s="10">
        <v>7</v>
      </c>
      <c r="B13" s="11" t="s">
        <v>5</v>
      </c>
      <c r="C13" s="72" t="s">
        <v>170</v>
      </c>
      <c r="D13" s="128" t="s">
        <v>20</v>
      </c>
      <c r="E13" s="63" t="s">
        <v>398</v>
      </c>
      <c r="F13" s="137">
        <v>45679026.93</v>
      </c>
      <c r="H13" s="33" t="s">
        <v>204</v>
      </c>
      <c r="I13" s="33" t="s">
        <v>31</v>
      </c>
    </row>
    <row r="14" spans="1:9" s="31" customFormat="1" ht="24" customHeight="1" x14ac:dyDescent="0.25">
      <c r="A14" s="10">
        <v>8</v>
      </c>
      <c r="B14" s="11" t="s">
        <v>1</v>
      </c>
      <c r="C14" s="72" t="s">
        <v>171</v>
      </c>
      <c r="D14" s="63" t="s">
        <v>225</v>
      </c>
      <c r="E14" s="63" t="s">
        <v>398</v>
      </c>
      <c r="F14" s="137">
        <v>57599203.310000002</v>
      </c>
      <c r="H14" s="33" t="s">
        <v>205</v>
      </c>
      <c r="I14" s="33" t="s">
        <v>22</v>
      </c>
    </row>
    <row r="15" spans="1:9" s="31" customFormat="1" ht="24" customHeight="1" x14ac:dyDescent="0.25">
      <c r="A15" s="10">
        <v>9</v>
      </c>
      <c r="B15" s="11" t="s">
        <v>1</v>
      </c>
      <c r="C15" s="72" t="s">
        <v>172</v>
      </c>
      <c r="D15" s="63" t="s">
        <v>20</v>
      </c>
      <c r="E15" s="63" t="s">
        <v>398</v>
      </c>
      <c r="F15" s="137">
        <v>30303992.100000001</v>
      </c>
      <c r="H15" s="33" t="s">
        <v>206</v>
      </c>
      <c r="I15" s="33" t="s">
        <v>22</v>
      </c>
    </row>
    <row r="16" spans="1:9" s="31" customFormat="1" ht="24" customHeight="1" x14ac:dyDescent="0.25">
      <c r="A16" s="10">
        <v>10</v>
      </c>
      <c r="B16" s="11" t="s">
        <v>129</v>
      </c>
      <c r="C16" s="72" t="s">
        <v>130</v>
      </c>
      <c r="D16" s="63" t="s">
        <v>20</v>
      </c>
      <c r="E16" s="63" t="s">
        <v>398</v>
      </c>
      <c r="F16" s="137">
        <v>51996894.800000004</v>
      </c>
      <c r="H16" s="33" t="s">
        <v>131</v>
      </c>
      <c r="I16" s="33" t="s">
        <v>132</v>
      </c>
    </row>
    <row r="17" spans="1:9" s="31" customFormat="1" ht="24" customHeight="1" x14ac:dyDescent="0.25">
      <c r="A17" s="10">
        <v>11</v>
      </c>
      <c r="B17" s="11" t="s">
        <v>129</v>
      </c>
      <c r="C17" s="72" t="s">
        <v>173</v>
      </c>
      <c r="D17" s="63" t="s">
        <v>20</v>
      </c>
      <c r="E17" s="63" t="s">
        <v>398</v>
      </c>
      <c r="F17" s="137">
        <v>23584018.34</v>
      </c>
      <c r="H17" s="33" t="s">
        <v>207</v>
      </c>
      <c r="I17" s="33" t="s">
        <v>132</v>
      </c>
    </row>
    <row r="18" spans="1:9" s="31" customFormat="1" ht="24" customHeight="1" x14ac:dyDescent="0.25">
      <c r="A18" s="10">
        <v>12</v>
      </c>
      <c r="B18" s="11" t="s">
        <v>90</v>
      </c>
      <c r="C18" s="72" t="s">
        <v>174</v>
      </c>
      <c r="D18" s="63" t="s">
        <v>225</v>
      </c>
      <c r="E18" s="63" t="s">
        <v>398</v>
      </c>
      <c r="F18" s="137">
        <v>34659561.140000001</v>
      </c>
      <c r="H18" s="33" t="s">
        <v>208</v>
      </c>
      <c r="I18" s="33" t="s">
        <v>92</v>
      </c>
    </row>
    <row r="19" spans="1:9" s="31" customFormat="1" ht="31.5" customHeight="1" x14ac:dyDescent="0.25">
      <c r="A19" s="10">
        <v>13</v>
      </c>
      <c r="B19" s="11" t="s">
        <v>90</v>
      </c>
      <c r="C19" s="72" t="s">
        <v>175</v>
      </c>
      <c r="D19" s="63" t="s">
        <v>20</v>
      </c>
      <c r="E19" s="63" t="s">
        <v>398</v>
      </c>
      <c r="F19" s="137">
        <v>12716519.17</v>
      </c>
      <c r="H19" s="33" t="s">
        <v>209</v>
      </c>
      <c r="I19" s="33" t="s">
        <v>92</v>
      </c>
    </row>
    <row r="20" spans="1:9" s="31" customFormat="1" ht="24" customHeight="1" x14ac:dyDescent="0.25">
      <c r="A20" s="10">
        <v>14</v>
      </c>
      <c r="B20" s="11" t="s">
        <v>90</v>
      </c>
      <c r="C20" s="72" t="s">
        <v>176</v>
      </c>
      <c r="D20" s="63" t="s">
        <v>20</v>
      </c>
      <c r="E20" s="63" t="s">
        <v>398</v>
      </c>
      <c r="F20" s="137">
        <v>8992525.1300000008</v>
      </c>
      <c r="H20" s="33" t="s">
        <v>49</v>
      </c>
      <c r="I20" s="33" t="s">
        <v>92</v>
      </c>
    </row>
    <row r="21" spans="1:9" s="31" customFormat="1" ht="24" customHeight="1" x14ac:dyDescent="0.25">
      <c r="A21" s="10">
        <v>15</v>
      </c>
      <c r="B21" s="11" t="s">
        <v>177</v>
      </c>
      <c r="C21" s="72" t="s">
        <v>178</v>
      </c>
      <c r="D21" s="63" t="s">
        <v>20</v>
      </c>
      <c r="E21" s="63" t="s">
        <v>398</v>
      </c>
      <c r="F21" s="137">
        <v>43691058.210000001</v>
      </c>
      <c r="H21" s="33" t="s">
        <v>210</v>
      </c>
      <c r="I21" s="33" t="s">
        <v>92</v>
      </c>
    </row>
    <row r="22" spans="1:9" s="31" customFormat="1" ht="24" customHeight="1" x14ac:dyDescent="0.25">
      <c r="A22" s="10">
        <v>16</v>
      </c>
      <c r="B22" s="11" t="s">
        <v>179</v>
      </c>
      <c r="C22" s="72" t="s">
        <v>180</v>
      </c>
      <c r="D22" s="63" t="s">
        <v>20</v>
      </c>
      <c r="E22" s="63" t="s">
        <v>398</v>
      </c>
      <c r="F22" s="137">
        <v>32219914.760000002</v>
      </c>
      <c r="H22" s="33" t="s">
        <v>211</v>
      </c>
      <c r="I22" s="33" t="s">
        <v>68</v>
      </c>
    </row>
    <row r="23" spans="1:9" s="31" customFormat="1" ht="24" customHeight="1" x14ac:dyDescent="0.25">
      <c r="A23" s="10">
        <v>17</v>
      </c>
      <c r="B23" s="11" t="s">
        <v>179</v>
      </c>
      <c r="C23" s="72" t="s">
        <v>181</v>
      </c>
      <c r="D23" s="63" t="s">
        <v>225</v>
      </c>
      <c r="E23" s="63" t="s">
        <v>398</v>
      </c>
      <c r="F23" s="137">
        <v>50475025.619999997</v>
      </c>
      <c r="H23" s="33" t="s">
        <v>212</v>
      </c>
      <c r="I23" s="33" t="s">
        <v>68</v>
      </c>
    </row>
    <row r="24" spans="1:9" s="31" customFormat="1" ht="24" customHeight="1" x14ac:dyDescent="0.25">
      <c r="A24" s="10">
        <v>18</v>
      </c>
      <c r="B24" s="11" t="s">
        <v>83</v>
      </c>
      <c r="C24" s="72" t="s">
        <v>182</v>
      </c>
      <c r="D24" s="63" t="s">
        <v>20</v>
      </c>
      <c r="E24" s="63" t="s">
        <v>398</v>
      </c>
      <c r="F24" s="137">
        <v>47874468.159999996</v>
      </c>
      <c r="H24" s="33" t="s">
        <v>213</v>
      </c>
      <c r="I24" s="33" t="s">
        <v>86</v>
      </c>
    </row>
    <row r="25" spans="1:9" s="31" customFormat="1" ht="24" customHeight="1" x14ac:dyDescent="0.25">
      <c r="A25" s="10">
        <v>19</v>
      </c>
      <c r="B25" s="129" t="s">
        <v>142</v>
      </c>
      <c r="C25" s="72" t="s">
        <v>183</v>
      </c>
      <c r="D25" s="128" t="s">
        <v>20</v>
      </c>
      <c r="E25" s="63" t="s">
        <v>398</v>
      </c>
      <c r="F25" s="137">
        <v>60902361.649999999</v>
      </c>
      <c r="H25" s="33" t="s">
        <v>224</v>
      </c>
      <c r="I25" s="33" t="s">
        <v>145</v>
      </c>
    </row>
    <row r="26" spans="1:9" s="31" customFormat="1" ht="14.25" customHeight="1" x14ac:dyDescent="0.25">
      <c r="A26" s="10">
        <v>20</v>
      </c>
      <c r="B26" s="11" t="s">
        <v>2</v>
      </c>
      <c r="C26" s="72" t="s">
        <v>87</v>
      </c>
      <c r="D26" s="63" t="s">
        <v>225</v>
      </c>
      <c r="E26" s="63" t="s">
        <v>398</v>
      </c>
      <c r="F26" s="137">
        <v>55085316.030000001</v>
      </c>
      <c r="H26" s="33" t="s">
        <v>88</v>
      </c>
      <c r="I26" s="33" t="s">
        <v>17</v>
      </c>
    </row>
    <row r="27" spans="1:9" s="31" customFormat="1" ht="28.5" customHeight="1" x14ac:dyDescent="0.25">
      <c r="A27" s="10">
        <v>21</v>
      </c>
      <c r="B27" s="11" t="s">
        <v>63</v>
      </c>
      <c r="C27" s="72" t="s">
        <v>184</v>
      </c>
      <c r="D27" s="63" t="s">
        <v>20</v>
      </c>
      <c r="E27" s="63" t="s">
        <v>398</v>
      </c>
      <c r="F27" s="137">
        <v>45952212.420000002</v>
      </c>
      <c r="H27" s="33" t="s">
        <v>214</v>
      </c>
      <c r="I27" s="33" t="s">
        <v>64</v>
      </c>
    </row>
    <row r="28" spans="1:9" s="31" customFormat="1" ht="21" x14ac:dyDescent="0.25">
      <c r="A28" s="10">
        <v>22</v>
      </c>
      <c r="B28" s="11" t="s">
        <v>63</v>
      </c>
      <c r="C28" s="72" t="s">
        <v>157</v>
      </c>
      <c r="D28" s="63" t="s">
        <v>225</v>
      </c>
      <c r="E28" s="63" t="s">
        <v>398</v>
      </c>
      <c r="F28" s="137">
        <v>55444260.859999999</v>
      </c>
      <c r="H28" s="33" t="s">
        <v>158</v>
      </c>
      <c r="I28" s="33" t="s">
        <v>64</v>
      </c>
    </row>
    <row r="29" spans="1:9" s="31" customFormat="1" ht="24" customHeight="1" x14ac:dyDescent="0.25">
      <c r="A29" s="10">
        <v>23</v>
      </c>
      <c r="B29" s="11" t="s">
        <v>185</v>
      </c>
      <c r="C29" s="72" t="s">
        <v>186</v>
      </c>
      <c r="D29" s="63" t="s">
        <v>20</v>
      </c>
      <c r="E29" s="63" t="s">
        <v>398</v>
      </c>
      <c r="F29" s="137">
        <v>32476104.419999998</v>
      </c>
      <c r="H29" s="33" t="s">
        <v>215</v>
      </c>
      <c r="I29" s="33" t="s">
        <v>64</v>
      </c>
    </row>
    <row r="30" spans="1:9" s="31" customFormat="1" ht="30" customHeight="1" x14ac:dyDescent="0.25">
      <c r="A30" s="10">
        <v>24</v>
      </c>
      <c r="B30" s="11" t="s">
        <v>89</v>
      </c>
      <c r="C30" s="72" t="s">
        <v>187</v>
      </c>
      <c r="D30" s="63" t="s">
        <v>225</v>
      </c>
      <c r="E30" s="63" t="s">
        <v>398</v>
      </c>
      <c r="F30" s="137">
        <v>31410969.16</v>
      </c>
      <c r="H30" s="33" t="s">
        <v>216</v>
      </c>
      <c r="I30" s="33" t="s">
        <v>18</v>
      </c>
    </row>
    <row r="31" spans="1:9" s="31" customFormat="1" ht="32.25" customHeight="1" x14ac:dyDescent="0.25">
      <c r="A31" s="10">
        <v>25</v>
      </c>
      <c r="B31" s="11" t="s">
        <v>89</v>
      </c>
      <c r="C31" s="72" t="s">
        <v>188</v>
      </c>
      <c r="D31" s="63" t="s">
        <v>20</v>
      </c>
      <c r="E31" s="63" t="s">
        <v>398</v>
      </c>
      <c r="F31" s="137">
        <v>20591428.629999999</v>
      </c>
      <c r="H31" s="33" t="s">
        <v>217</v>
      </c>
      <c r="I31" s="33" t="s">
        <v>18</v>
      </c>
    </row>
    <row r="32" spans="1:9" s="31" customFormat="1" ht="24" customHeight="1" x14ac:dyDescent="0.25">
      <c r="A32" s="10">
        <v>26</v>
      </c>
      <c r="B32" s="11" t="s">
        <v>58</v>
      </c>
      <c r="C32" s="72" t="s">
        <v>189</v>
      </c>
      <c r="D32" s="63" t="s">
        <v>20</v>
      </c>
      <c r="E32" s="63" t="s">
        <v>398</v>
      </c>
      <c r="F32" s="137">
        <v>25313194.34</v>
      </c>
      <c r="H32" s="33" t="s">
        <v>49</v>
      </c>
      <c r="I32" s="33" t="s">
        <v>18</v>
      </c>
    </row>
    <row r="33" spans="1:17" s="31" customFormat="1" ht="24" customHeight="1" x14ac:dyDescent="0.25">
      <c r="A33" s="10">
        <v>27</v>
      </c>
      <c r="B33" s="11" t="s">
        <v>105</v>
      </c>
      <c r="C33" s="72" t="s">
        <v>190</v>
      </c>
      <c r="D33" s="63" t="s">
        <v>225</v>
      </c>
      <c r="E33" s="63" t="s">
        <v>398</v>
      </c>
      <c r="F33" s="137">
        <v>56061027.699999996</v>
      </c>
      <c r="H33" s="33" t="s">
        <v>218</v>
      </c>
      <c r="I33" s="33" t="s">
        <v>26</v>
      </c>
    </row>
    <row r="34" spans="1:17" s="31" customFormat="1" ht="30" customHeight="1" x14ac:dyDescent="0.25">
      <c r="A34" s="10">
        <v>28</v>
      </c>
      <c r="B34" s="11" t="s">
        <v>105</v>
      </c>
      <c r="C34" s="72" t="s">
        <v>191</v>
      </c>
      <c r="D34" s="63" t="s">
        <v>20</v>
      </c>
      <c r="E34" s="63" t="s">
        <v>398</v>
      </c>
      <c r="F34" s="137">
        <v>31471026.879999999</v>
      </c>
      <c r="H34" s="33" t="s">
        <v>219</v>
      </c>
      <c r="I34" s="33" t="s">
        <v>26</v>
      </c>
    </row>
    <row r="35" spans="1:17" s="31" customFormat="1" ht="24" customHeight="1" x14ac:dyDescent="0.25">
      <c r="A35" s="10">
        <v>29</v>
      </c>
      <c r="B35" s="11" t="s">
        <v>105</v>
      </c>
      <c r="C35" s="72" t="s">
        <v>192</v>
      </c>
      <c r="D35" s="63" t="s">
        <v>225</v>
      </c>
      <c r="E35" s="63" t="s">
        <v>398</v>
      </c>
      <c r="F35" s="137">
        <v>13999999.82</v>
      </c>
      <c r="H35" s="33" t="s">
        <v>106</v>
      </c>
      <c r="I35" s="33" t="s">
        <v>26</v>
      </c>
    </row>
    <row r="36" spans="1:17" s="31" customFormat="1" ht="24" customHeight="1" x14ac:dyDescent="0.25">
      <c r="A36" s="10">
        <v>30</v>
      </c>
      <c r="B36" s="11" t="s">
        <v>193</v>
      </c>
      <c r="C36" s="72" t="s">
        <v>194</v>
      </c>
      <c r="D36" s="63" t="s">
        <v>225</v>
      </c>
      <c r="E36" s="63" t="s">
        <v>398</v>
      </c>
      <c r="F36" s="137">
        <v>28777458.460000001</v>
      </c>
      <c r="H36" s="33" t="s">
        <v>220</v>
      </c>
      <c r="I36" s="33" t="s">
        <v>26</v>
      </c>
    </row>
    <row r="37" spans="1:17" s="31" customFormat="1" ht="24" customHeight="1" x14ac:dyDescent="0.25">
      <c r="A37" s="10">
        <v>31</v>
      </c>
      <c r="B37" s="11" t="s">
        <v>2</v>
      </c>
      <c r="C37" s="72" t="s">
        <v>195</v>
      </c>
      <c r="D37" s="63" t="s">
        <v>225</v>
      </c>
      <c r="E37" s="63" t="s">
        <v>398</v>
      </c>
      <c r="F37" s="137">
        <v>46526262</v>
      </c>
      <c r="H37" s="33" t="s">
        <v>223</v>
      </c>
      <c r="I37" s="33" t="s">
        <v>17</v>
      </c>
    </row>
    <row r="38" spans="1:17" s="31" customFormat="1" ht="24" customHeight="1" x14ac:dyDescent="0.25">
      <c r="A38" s="10">
        <v>32</v>
      </c>
      <c r="B38" s="11" t="s">
        <v>196</v>
      </c>
      <c r="C38" s="72" t="s">
        <v>197</v>
      </c>
      <c r="D38" s="63" t="s">
        <v>225</v>
      </c>
      <c r="E38" s="63" t="s">
        <v>398</v>
      </c>
      <c r="F38" s="137">
        <v>42765132.659999996</v>
      </c>
      <c r="H38" s="33" t="s">
        <v>221</v>
      </c>
      <c r="I38" s="33" t="s">
        <v>92</v>
      </c>
    </row>
    <row r="39" spans="1:17" s="31" customFormat="1" ht="24" customHeight="1" x14ac:dyDescent="0.25">
      <c r="A39" s="10">
        <v>33</v>
      </c>
      <c r="B39" s="130" t="s">
        <v>4</v>
      </c>
      <c r="C39" s="130" t="s">
        <v>122</v>
      </c>
      <c r="D39" s="131" t="s">
        <v>20</v>
      </c>
      <c r="E39" s="63" t="s">
        <v>398</v>
      </c>
      <c r="F39" s="138">
        <v>90617102.153200001</v>
      </c>
      <c r="G39" s="119">
        <v>90617102.153200001</v>
      </c>
      <c r="H39" s="33" t="s">
        <v>221</v>
      </c>
      <c r="I39" s="33" t="s">
        <v>92</v>
      </c>
      <c r="J39" s="73"/>
      <c r="K39" s="73"/>
      <c r="L39" s="58"/>
      <c r="M39" s="28"/>
      <c r="Q39" s="71"/>
    </row>
    <row r="40" spans="1:17" s="31" customFormat="1" ht="24" customHeight="1" x14ac:dyDescent="0.25">
      <c r="A40" s="10">
        <v>34</v>
      </c>
      <c r="B40" s="130" t="s">
        <v>83</v>
      </c>
      <c r="C40" s="130" t="s">
        <v>328</v>
      </c>
      <c r="D40" s="131" t="s">
        <v>20</v>
      </c>
      <c r="E40" s="63" t="s">
        <v>398</v>
      </c>
      <c r="F40" s="139">
        <v>138406664.49000001</v>
      </c>
      <c r="G40" s="113">
        <v>138406664.49000001</v>
      </c>
      <c r="H40" s="33" t="s">
        <v>330</v>
      </c>
      <c r="I40" s="33" t="s">
        <v>86</v>
      </c>
      <c r="L40" s="58"/>
      <c r="M40" s="58"/>
      <c r="P40" s="73"/>
    </row>
    <row r="41" spans="1:17" s="31" customFormat="1" ht="27.75" customHeight="1" x14ac:dyDescent="0.25">
      <c r="A41" s="10">
        <v>35</v>
      </c>
      <c r="B41" s="46" t="s">
        <v>104</v>
      </c>
      <c r="C41" s="46" t="s">
        <v>329</v>
      </c>
      <c r="D41" s="31" t="s">
        <v>20</v>
      </c>
      <c r="E41" s="63" t="s">
        <v>398</v>
      </c>
      <c r="F41" s="139">
        <v>17213183.851399999</v>
      </c>
      <c r="G41" s="113">
        <v>17213183.851399999</v>
      </c>
      <c r="H41" s="33" t="s">
        <v>48</v>
      </c>
      <c r="I41" s="33" t="s">
        <v>92</v>
      </c>
      <c r="L41" s="58"/>
      <c r="M41" s="28"/>
    </row>
    <row r="42" spans="1:17" s="31" customFormat="1" ht="21" x14ac:dyDescent="0.25">
      <c r="A42" s="10">
        <v>36</v>
      </c>
      <c r="B42" s="127" t="s">
        <v>105</v>
      </c>
      <c r="C42" s="130" t="s">
        <v>61</v>
      </c>
      <c r="D42" s="113" t="s">
        <v>20</v>
      </c>
      <c r="E42" s="63" t="s">
        <v>398</v>
      </c>
      <c r="F42" s="139">
        <v>229944098.84</v>
      </c>
      <c r="G42" s="113">
        <v>229944098.84</v>
      </c>
      <c r="H42" s="33" t="s">
        <v>50</v>
      </c>
      <c r="I42" s="33" t="s">
        <v>26</v>
      </c>
      <c r="K42" s="58"/>
      <c r="L42" s="54"/>
      <c r="M42" s="58"/>
      <c r="P42" s="73"/>
    </row>
    <row r="43" spans="1:17" s="31" customFormat="1" ht="24" customHeight="1" x14ac:dyDescent="0.25">
      <c r="A43" s="10">
        <v>37</v>
      </c>
      <c r="B43" s="11" t="s">
        <v>246</v>
      </c>
      <c r="C43" s="72" t="s">
        <v>284</v>
      </c>
      <c r="D43" s="63" t="s">
        <v>288</v>
      </c>
      <c r="E43" s="91" t="s">
        <v>399</v>
      </c>
      <c r="F43" s="335">
        <v>7240182</v>
      </c>
      <c r="H43" s="69" t="s">
        <v>314</v>
      </c>
      <c r="I43" s="69" t="s">
        <v>27</v>
      </c>
    </row>
    <row r="44" spans="1:17" s="31" customFormat="1" ht="24" customHeight="1" x14ac:dyDescent="0.25">
      <c r="A44" s="10">
        <v>38</v>
      </c>
      <c r="B44" s="11" t="s">
        <v>246</v>
      </c>
      <c r="C44" s="72" t="s">
        <v>285</v>
      </c>
      <c r="D44" s="63" t="s">
        <v>288</v>
      </c>
      <c r="E44" s="91" t="s">
        <v>399</v>
      </c>
      <c r="F44" s="335"/>
      <c r="H44" s="69" t="s">
        <v>315</v>
      </c>
      <c r="I44" s="69" t="s">
        <v>27</v>
      </c>
    </row>
    <row r="45" spans="1:17" s="31" customFormat="1" ht="24" customHeight="1" x14ac:dyDescent="0.25">
      <c r="A45" s="10">
        <v>39</v>
      </c>
      <c r="B45" s="11" t="s">
        <v>3</v>
      </c>
      <c r="C45" s="72" t="s">
        <v>286</v>
      </c>
      <c r="D45" s="63" t="s">
        <v>288</v>
      </c>
      <c r="E45" s="91" t="s">
        <v>399</v>
      </c>
      <c r="F45" s="335"/>
      <c r="H45" s="69" t="s">
        <v>316</v>
      </c>
      <c r="I45" s="69" t="s">
        <v>30</v>
      </c>
      <c r="L45" s="333"/>
    </row>
    <row r="46" spans="1:17" s="31" customFormat="1" ht="24" customHeight="1" x14ac:dyDescent="0.25">
      <c r="A46" s="10">
        <v>40</v>
      </c>
      <c r="B46" s="11" t="s">
        <v>3</v>
      </c>
      <c r="C46" s="72" t="s">
        <v>287</v>
      </c>
      <c r="D46" s="63" t="s">
        <v>288</v>
      </c>
      <c r="E46" s="91" t="s">
        <v>399</v>
      </c>
      <c r="F46" s="335"/>
      <c r="H46" s="69" t="s">
        <v>317</v>
      </c>
      <c r="I46" s="69" t="s">
        <v>30</v>
      </c>
      <c r="L46" s="333"/>
    </row>
    <row r="47" spans="1:17" s="31" customFormat="1" ht="24" customHeight="1" x14ac:dyDescent="0.25">
      <c r="A47" s="10">
        <v>41</v>
      </c>
      <c r="B47" s="11" t="s">
        <v>3</v>
      </c>
      <c r="C47" s="72" t="s">
        <v>289</v>
      </c>
      <c r="D47" s="63" t="s">
        <v>288</v>
      </c>
      <c r="E47" s="91" t="s">
        <v>399</v>
      </c>
      <c r="F47" s="336">
        <v>4703131</v>
      </c>
      <c r="H47" s="69" t="s">
        <v>318</v>
      </c>
      <c r="I47" s="69" t="s">
        <v>30</v>
      </c>
      <c r="L47" s="333"/>
    </row>
    <row r="48" spans="1:17" s="31" customFormat="1" ht="24" customHeight="1" x14ac:dyDescent="0.25">
      <c r="A48" s="10">
        <v>42</v>
      </c>
      <c r="B48" s="11" t="s">
        <v>5</v>
      </c>
      <c r="C48" s="72" t="s">
        <v>290</v>
      </c>
      <c r="D48" s="63" t="s">
        <v>288</v>
      </c>
      <c r="E48" s="91" t="s">
        <v>399</v>
      </c>
      <c r="F48" s="336"/>
      <c r="H48" s="69" t="s">
        <v>319</v>
      </c>
      <c r="I48" s="69" t="s">
        <v>31</v>
      </c>
      <c r="L48" s="333"/>
    </row>
    <row r="49" spans="1:12" s="31" customFormat="1" ht="24" customHeight="1" x14ac:dyDescent="0.25">
      <c r="A49" s="10">
        <v>43</v>
      </c>
      <c r="B49" s="11" t="s">
        <v>90</v>
      </c>
      <c r="C49" s="72" t="s">
        <v>292</v>
      </c>
      <c r="D49" s="63" t="s">
        <v>288</v>
      </c>
      <c r="E49" s="91" t="s">
        <v>399</v>
      </c>
      <c r="F49" s="134">
        <v>2604861</v>
      </c>
      <c r="H49" s="69" t="s">
        <v>320</v>
      </c>
      <c r="I49" s="69" t="s">
        <v>92</v>
      </c>
      <c r="L49" s="333"/>
    </row>
    <row r="50" spans="1:12" s="31" customFormat="1" ht="24" customHeight="1" x14ac:dyDescent="0.25">
      <c r="A50" s="10">
        <v>44</v>
      </c>
      <c r="B50" s="11" t="s">
        <v>83</v>
      </c>
      <c r="C50" s="72" t="s">
        <v>84</v>
      </c>
      <c r="D50" s="63" t="s">
        <v>288</v>
      </c>
      <c r="E50" s="91" t="s">
        <v>399</v>
      </c>
      <c r="F50" s="336">
        <v>5639641</v>
      </c>
      <c r="H50" s="69" t="s">
        <v>85</v>
      </c>
      <c r="I50" s="69" t="s">
        <v>86</v>
      </c>
      <c r="L50" s="333"/>
    </row>
    <row r="51" spans="1:12" s="31" customFormat="1" ht="24" customHeight="1" x14ac:dyDescent="0.25">
      <c r="A51" s="10">
        <v>45</v>
      </c>
      <c r="B51" s="11" t="s">
        <v>63</v>
      </c>
      <c r="C51" s="72" t="s">
        <v>291</v>
      </c>
      <c r="D51" s="63" t="s">
        <v>288</v>
      </c>
      <c r="E51" s="91" t="s">
        <v>399</v>
      </c>
      <c r="F51" s="336"/>
      <c r="H51" s="69" t="s">
        <v>321</v>
      </c>
      <c r="I51" s="69" t="s">
        <v>64</v>
      </c>
      <c r="L51" s="333"/>
    </row>
    <row r="52" spans="1:12" s="31" customFormat="1" ht="24" customHeight="1" thickBot="1" x14ac:dyDescent="0.3">
      <c r="A52" s="141">
        <v>46</v>
      </c>
      <c r="B52" s="142" t="s">
        <v>294</v>
      </c>
      <c r="C52" s="143" t="s">
        <v>293</v>
      </c>
      <c r="D52" s="144" t="s">
        <v>288</v>
      </c>
      <c r="E52" s="337" t="s">
        <v>399</v>
      </c>
      <c r="F52" s="338">
        <v>1330618</v>
      </c>
      <c r="G52" s="135"/>
      <c r="H52" s="145" t="s">
        <v>322</v>
      </c>
      <c r="I52" s="145" t="s">
        <v>71</v>
      </c>
      <c r="L52" s="333"/>
    </row>
    <row r="53" spans="1:12" s="31" customFormat="1" ht="24" customHeight="1" thickBot="1" x14ac:dyDescent="0.3">
      <c r="A53" s="51"/>
      <c r="B53" s="52" t="s">
        <v>13</v>
      </c>
      <c r="C53" s="55"/>
      <c r="D53" s="53"/>
      <c r="E53" s="53"/>
      <c r="F53" s="61">
        <v>1954041249.3346</v>
      </c>
      <c r="G53" s="61"/>
      <c r="H53" s="65"/>
      <c r="I53" s="66" t="s">
        <v>14</v>
      </c>
      <c r="K53" s="134"/>
      <c r="L53" s="333"/>
    </row>
    <row r="54" spans="1:12" ht="24" customHeight="1" thickTop="1" x14ac:dyDescent="0.25">
      <c r="B54" s="18" t="s">
        <v>15</v>
      </c>
      <c r="F54" s="140"/>
      <c r="I54" s="12" t="s">
        <v>16</v>
      </c>
      <c r="K54" s="140"/>
      <c r="L54" s="334"/>
    </row>
    <row r="55" spans="1:12" ht="31.9" customHeight="1" x14ac:dyDescent="0.25">
      <c r="B55" s="18"/>
      <c r="F55" s="136"/>
      <c r="I55" s="12"/>
    </row>
    <row r="56" spans="1:12" ht="21.75" customHeight="1" x14ac:dyDescent="0.25">
      <c r="A56" s="307" t="s">
        <v>109</v>
      </c>
      <c r="B56" s="307"/>
      <c r="C56" s="307"/>
      <c r="D56" s="307"/>
      <c r="E56" s="307"/>
      <c r="F56" s="307"/>
      <c r="G56" s="307"/>
      <c r="H56" s="307"/>
      <c r="I56" s="307"/>
    </row>
    <row r="57" spans="1:12" ht="15.75" x14ac:dyDescent="0.25">
      <c r="A57" s="328" t="s">
        <v>323</v>
      </c>
      <c r="B57" s="328"/>
      <c r="C57" s="328"/>
      <c r="D57" s="328"/>
      <c r="E57" s="328"/>
      <c r="F57" s="328"/>
      <c r="G57" s="328"/>
      <c r="H57" s="328"/>
      <c r="I57" s="328"/>
    </row>
    <row r="58" spans="1:12" ht="10.5" customHeight="1" x14ac:dyDescent="0.25"/>
    <row r="59" spans="1:12" s="48" customFormat="1" ht="19.5" customHeight="1" x14ac:dyDescent="0.25">
      <c r="A59" s="329"/>
      <c r="B59" s="322" t="s">
        <v>6</v>
      </c>
      <c r="C59" s="322" t="s">
        <v>7</v>
      </c>
      <c r="D59" s="59" t="s">
        <v>8</v>
      </c>
      <c r="E59" s="59"/>
      <c r="F59" s="59" t="s">
        <v>9</v>
      </c>
      <c r="G59" s="59"/>
      <c r="H59" s="314" t="s">
        <v>10</v>
      </c>
      <c r="I59" s="314" t="s">
        <v>11</v>
      </c>
    </row>
    <row r="60" spans="1:12" s="40" customFormat="1" ht="29.25" customHeight="1" x14ac:dyDescent="0.25">
      <c r="A60" s="330"/>
      <c r="B60" s="323"/>
      <c r="C60" s="323"/>
      <c r="D60" s="62" t="s">
        <v>12</v>
      </c>
      <c r="E60" s="62"/>
      <c r="F60" s="20" t="s">
        <v>19</v>
      </c>
      <c r="G60" s="62"/>
      <c r="H60" s="315"/>
      <c r="I60" s="315"/>
    </row>
    <row r="61" spans="1:12" s="40" customFormat="1" ht="29.25" customHeight="1" x14ac:dyDescent="0.25">
      <c r="A61" s="77"/>
      <c r="B61" s="78"/>
      <c r="C61" s="78"/>
      <c r="D61" s="60"/>
      <c r="E61" s="60"/>
      <c r="F61" s="60"/>
      <c r="G61" s="60"/>
      <c r="H61" s="79"/>
      <c r="I61" s="79"/>
    </row>
    <row r="62" spans="1:12" s="40" customFormat="1" ht="29.25" customHeight="1" x14ac:dyDescent="0.25">
      <c r="A62" s="10">
        <v>1</v>
      </c>
      <c r="B62" s="11" t="s">
        <v>99</v>
      </c>
      <c r="C62" s="72" t="s">
        <v>253</v>
      </c>
      <c r="D62" s="63" t="s">
        <v>20</v>
      </c>
      <c r="E62" s="63"/>
      <c r="F62" s="151">
        <v>38205568.539999999</v>
      </c>
      <c r="G62" s="50"/>
      <c r="H62" s="69" t="s">
        <v>276</v>
      </c>
      <c r="I62" s="69" t="s">
        <v>101</v>
      </c>
    </row>
    <row r="63" spans="1:12" s="40" customFormat="1" ht="29.25" customHeight="1" x14ac:dyDescent="0.25">
      <c r="A63" s="10">
        <v>2</v>
      </c>
      <c r="B63" s="11" t="s">
        <v>99</v>
      </c>
      <c r="C63" s="72" t="s">
        <v>258</v>
      </c>
      <c r="D63" s="63" t="s">
        <v>20</v>
      </c>
      <c r="E63" s="63"/>
      <c r="F63" s="151">
        <v>28208399.84</v>
      </c>
      <c r="G63" s="50"/>
      <c r="H63" s="69" t="s">
        <v>280</v>
      </c>
      <c r="I63" s="69" t="s">
        <v>25</v>
      </c>
    </row>
    <row r="64" spans="1:12" s="40" customFormat="1" ht="29.25" customHeight="1" x14ac:dyDescent="0.25">
      <c r="A64" s="10">
        <v>3</v>
      </c>
      <c r="B64" s="11" t="s">
        <v>99</v>
      </c>
      <c r="C64" s="72" t="s">
        <v>164</v>
      </c>
      <c r="D64" s="63" t="s">
        <v>20</v>
      </c>
      <c r="E64" s="63"/>
      <c r="F64" s="151">
        <v>26651162.329999998</v>
      </c>
      <c r="G64" s="31"/>
      <c r="H64" s="33" t="s">
        <v>199</v>
      </c>
      <c r="I64" s="64" t="s">
        <v>101</v>
      </c>
    </row>
    <row r="65" spans="1:9" s="40" customFormat="1" ht="29.25" customHeight="1" x14ac:dyDescent="0.25">
      <c r="A65" s="10">
        <v>4</v>
      </c>
      <c r="B65" s="11" t="s">
        <v>99</v>
      </c>
      <c r="C65" s="72" t="s">
        <v>165</v>
      </c>
      <c r="D65" s="63" t="s">
        <v>20</v>
      </c>
      <c r="E65" s="63"/>
      <c r="F65" s="151">
        <v>22720087.059999999</v>
      </c>
      <c r="G65" s="31"/>
      <c r="H65" s="33" t="s">
        <v>200</v>
      </c>
      <c r="I65" s="64" t="s">
        <v>101</v>
      </c>
    </row>
    <row r="66" spans="1:9" s="40" customFormat="1" ht="29.25" customHeight="1" x14ac:dyDescent="0.25">
      <c r="A66" s="10">
        <v>5</v>
      </c>
      <c r="B66" s="11" t="s">
        <v>99</v>
      </c>
      <c r="C66" s="72" t="s">
        <v>167</v>
      </c>
      <c r="D66" s="63" t="s">
        <v>20</v>
      </c>
      <c r="E66" s="63"/>
      <c r="F66" s="152">
        <v>28202486.670000002</v>
      </c>
      <c r="G66" s="31"/>
      <c r="H66" s="33" t="s">
        <v>201</v>
      </c>
      <c r="I66" s="64" t="s">
        <v>101</v>
      </c>
    </row>
    <row r="67" spans="1:9" s="40" customFormat="1" ht="29.25" customHeight="1" x14ac:dyDescent="0.25">
      <c r="A67" s="10">
        <v>6</v>
      </c>
      <c r="B67" s="11" t="s">
        <v>246</v>
      </c>
      <c r="C67" s="72" t="s">
        <v>254</v>
      </c>
      <c r="D67" s="63" t="s">
        <v>20</v>
      </c>
      <c r="E67" s="63"/>
      <c r="F67" s="151">
        <v>26677004.27</v>
      </c>
      <c r="G67" s="50"/>
      <c r="H67" s="69" t="s">
        <v>277</v>
      </c>
      <c r="I67" s="69" t="s">
        <v>27</v>
      </c>
    </row>
    <row r="68" spans="1:9" s="40" customFormat="1" ht="29.25" customHeight="1" x14ac:dyDescent="0.25">
      <c r="A68" s="10">
        <v>7</v>
      </c>
      <c r="B68" s="11" t="s">
        <v>246</v>
      </c>
      <c r="C68" s="72" t="s">
        <v>116</v>
      </c>
      <c r="D68" s="63" t="s">
        <v>117</v>
      </c>
      <c r="E68" s="63"/>
      <c r="F68" s="153">
        <v>70379663.340000004</v>
      </c>
      <c r="G68" s="50"/>
      <c r="H68" s="69" t="s">
        <v>118</v>
      </c>
      <c r="I68" s="69" t="s">
        <v>27</v>
      </c>
    </row>
    <row r="69" spans="1:9" s="40" customFormat="1" ht="29.25" customHeight="1" x14ac:dyDescent="0.25">
      <c r="A69" s="10">
        <v>8</v>
      </c>
      <c r="B69" s="11" t="s">
        <v>246</v>
      </c>
      <c r="C69" s="72" t="s">
        <v>120</v>
      </c>
      <c r="D69" s="63" t="s">
        <v>20</v>
      </c>
      <c r="E69" s="63"/>
      <c r="F69" s="151">
        <v>28037797.379999999</v>
      </c>
      <c r="G69" s="50"/>
      <c r="H69" s="69" t="s">
        <v>121</v>
      </c>
      <c r="I69" s="69" t="s">
        <v>27</v>
      </c>
    </row>
    <row r="70" spans="1:9" s="40" customFormat="1" ht="29.25" customHeight="1" x14ac:dyDescent="0.25">
      <c r="A70" s="10">
        <v>9</v>
      </c>
      <c r="B70" s="11" t="s">
        <v>246</v>
      </c>
      <c r="C70" s="72" t="s">
        <v>119</v>
      </c>
      <c r="D70" s="63" t="s">
        <v>20</v>
      </c>
      <c r="E70" s="63"/>
      <c r="F70" s="151">
        <v>20213571.309999999</v>
      </c>
      <c r="G70" s="50"/>
      <c r="H70" s="69" t="s">
        <v>281</v>
      </c>
      <c r="I70" s="69" t="s">
        <v>27</v>
      </c>
    </row>
    <row r="71" spans="1:9" s="40" customFormat="1" ht="29.25" customHeight="1" x14ac:dyDescent="0.25">
      <c r="A71" s="10">
        <v>10</v>
      </c>
      <c r="B71" s="94" t="s">
        <v>246</v>
      </c>
      <c r="C71" s="72" t="s">
        <v>260</v>
      </c>
      <c r="D71" s="132" t="s">
        <v>20</v>
      </c>
      <c r="E71" s="132"/>
      <c r="F71" s="153">
        <v>13973577.120000001</v>
      </c>
      <c r="G71" s="50"/>
      <c r="H71" s="69" t="s">
        <v>283</v>
      </c>
      <c r="I71" s="69" t="s">
        <v>27</v>
      </c>
    </row>
    <row r="72" spans="1:9" s="40" customFormat="1" ht="29.25" customHeight="1" x14ac:dyDescent="0.25">
      <c r="A72" s="10">
        <v>11</v>
      </c>
      <c r="B72" s="11" t="s">
        <v>4</v>
      </c>
      <c r="C72" s="72" t="s">
        <v>168</v>
      </c>
      <c r="D72" s="63" t="s">
        <v>225</v>
      </c>
      <c r="E72" s="63"/>
      <c r="F72" s="152">
        <v>51890349.939999998</v>
      </c>
      <c r="G72" s="31"/>
      <c r="H72" s="33" t="s">
        <v>202</v>
      </c>
      <c r="I72" s="33" t="s">
        <v>26</v>
      </c>
    </row>
    <row r="73" spans="1:9" s="40" customFormat="1" ht="29.25" customHeight="1" x14ac:dyDescent="0.25">
      <c r="A73" s="10">
        <v>12</v>
      </c>
      <c r="B73" s="11" t="s">
        <v>3</v>
      </c>
      <c r="C73" s="72" t="s">
        <v>259</v>
      </c>
      <c r="D73" s="63" t="s">
        <v>225</v>
      </c>
      <c r="E73" s="63"/>
      <c r="F73" s="151">
        <v>65347794.710299999</v>
      </c>
      <c r="G73" s="50"/>
      <c r="H73" s="69" t="s">
        <v>282</v>
      </c>
      <c r="I73" s="69" t="s">
        <v>30</v>
      </c>
    </row>
    <row r="74" spans="1:9" s="40" customFormat="1" ht="29.25" customHeight="1" x14ac:dyDescent="0.25">
      <c r="A74" s="10">
        <v>13</v>
      </c>
      <c r="B74" s="11" t="s">
        <v>5</v>
      </c>
      <c r="C74" s="72" t="s">
        <v>127</v>
      </c>
      <c r="D74" s="63" t="s">
        <v>20</v>
      </c>
      <c r="E74" s="63"/>
      <c r="F74" s="151">
        <v>32624480.530000001</v>
      </c>
      <c r="G74" s="50"/>
      <c r="H74" s="69" t="s">
        <v>128</v>
      </c>
      <c r="I74" s="69" t="s">
        <v>31</v>
      </c>
    </row>
    <row r="75" spans="1:9" s="40" customFormat="1" ht="29.25" customHeight="1" x14ac:dyDescent="0.25">
      <c r="A75" s="10">
        <v>14</v>
      </c>
      <c r="B75" s="11" t="s">
        <v>5</v>
      </c>
      <c r="C75" s="72" t="s">
        <v>170</v>
      </c>
      <c r="D75" s="128" t="s">
        <v>20</v>
      </c>
      <c r="E75" s="128"/>
      <c r="F75" s="152">
        <v>42597656.950000003</v>
      </c>
      <c r="G75" s="31"/>
      <c r="H75" s="33" t="s">
        <v>204</v>
      </c>
      <c r="I75" s="33" t="s">
        <v>18</v>
      </c>
    </row>
    <row r="76" spans="1:9" s="40" customFormat="1" ht="29.25" customHeight="1" x14ac:dyDescent="0.25">
      <c r="A76" s="10">
        <v>15</v>
      </c>
      <c r="B76" s="11" t="s">
        <v>1</v>
      </c>
      <c r="C76" s="72" t="s">
        <v>76</v>
      </c>
      <c r="D76" s="132" t="s">
        <v>20</v>
      </c>
      <c r="E76" s="132"/>
      <c r="F76" s="153">
        <v>2970769.01</v>
      </c>
      <c r="G76" s="50"/>
      <c r="H76" s="69" t="s">
        <v>70</v>
      </c>
      <c r="I76" s="69" t="s">
        <v>22</v>
      </c>
    </row>
    <row r="77" spans="1:9" s="40" customFormat="1" ht="29.25" customHeight="1" x14ac:dyDescent="0.25">
      <c r="A77" s="10">
        <v>16</v>
      </c>
      <c r="B77" s="11" t="s">
        <v>1</v>
      </c>
      <c r="C77" s="72" t="s">
        <v>171</v>
      </c>
      <c r="D77" s="63" t="s">
        <v>225</v>
      </c>
      <c r="E77" s="63"/>
      <c r="F77" s="152">
        <v>54002463.130000003</v>
      </c>
      <c r="G77" s="31"/>
      <c r="H77" s="33" t="s">
        <v>205</v>
      </c>
      <c r="I77" s="64" t="s">
        <v>22</v>
      </c>
    </row>
    <row r="78" spans="1:9" s="40" customFormat="1" ht="21" x14ac:dyDescent="0.25">
      <c r="A78" s="10">
        <v>17</v>
      </c>
      <c r="B78" s="11" t="s">
        <v>1</v>
      </c>
      <c r="C78" s="72" t="s">
        <v>172</v>
      </c>
      <c r="D78" s="63" t="s">
        <v>20</v>
      </c>
      <c r="E78" s="63"/>
      <c r="F78" s="152">
        <v>29294992.100000001</v>
      </c>
      <c r="G78" s="31"/>
      <c r="H78" s="33" t="s">
        <v>206</v>
      </c>
      <c r="I78" s="64" t="s">
        <v>22</v>
      </c>
    </row>
    <row r="79" spans="1:9" s="40" customFormat="1" ht="29.25" customHeight="1" x14ac:dyDescent="0.25">
      <c r="A79" s="10">
        <v>18</v>
      </c>
      <c r="B79" s="11" t="s">
        <v>129</v>
      </c>
      <c r="C79" s="72" t="s">
        <v>255</v>
      </c>
      <c r="D79" s="63" t="s">
        <v>20</v>
      </c>
      <c r="E79" s="63"/>
      <c r="F79" s="151">
        <v>73416839.319999993</v>
      </c>
      <c r="G79" s="50"/>
      <c r="H79" s="69" t="s">
        <v>207</v>
      </c>
      <c r="I79" s="69" t="s">
        <v>132</v>
      </c>
    </row>
    <row r="80" spans="1:9" s="40" customFormat="1" ht="29.25" customHeight="1" x14ac:dyDescent="0.25">
      <c r="A80" s="10">
        <v>19</v>
      </c>
      <c r="B80" s="11" t="s">
        <v>129</v>
      </c>
      <c r="C80" s="72" t="s">
        <v>130</v>
      </c>
      <c r="D80" s="63" t="s">
        <v>20</v>
      </c>
      <c r="E80" s="63"/>
      <c r="F80" s="151">
        <v>51996894.800000004</v>
      </c>
      <c r="G80" s="31"/>
      <c r="H80" s="33" t="s">
        <v>131</v>
      </c>
      <c r="I80" s="33" t="s">
        <v>68</v>
      </c>
    </row>
    <row r="81" spans="1:9" s="40" customFormat="1" ht="29.25" customHeight="1" x14ac:dyDescent="0.25">
      <c r="A81" s="10">
        <v>20</v>
      </c>
      <c r="B81" s="11" t="s">
        <v>129</v>
      </c>
      <c r="C81" s="72" t="s">
        <v>173</v>
      </c>
      <c r="D81" s="63" t="s">
        <v>20</v>
      </c>
      <c r="E81" s="63"/>
      <c r="F81" s="152">
        <v>21891432.41</v>
      </c>
      <c r="G81" s="31"/>
      <c r="H81" s="33" t="s">
        <v>207</v>
      </c>
      <c r="I81" s="33" t="s">
        <v>86</v>
      </c>
    </row>
    <row r="82" spans="1:9" s="40" customFormat="1" ht="29.25" customHeight="1" x14ac:dyDescent="0.25">
      <c r="A82" s="10">
        <v>21</v>
      </c>
      <c r="B82" s="11" t="s">
        <v>90</v>
      </c>
      <c r="C82" s="72" t="s">
        <v>174</v>
      </c>
      <c r="D82" s="63" t="s">
        <v>225</v>
      </c>
      <c r="E82" s="63"/>
      <c r="F82" s="152">
        <v>34230347.340000004</v>
      </c>
      <c r="G82" s="31"/>
      <c r="H82" s="33" t="s">
        <v>208</v>
      </c>
      <c r="I82" s="33" t="s">
        <v>22</v>
      </c>
    </row>
    <row r="83" spans="1:9" s="40" customFormat="1" ht="29.25" customHeight="1" x14ac:dyDescent="0.25">
      <c r="A83" s="10">
        <v>22</v>
      </c>
      <c r="B83" s="11" t="s">
        <v>90</v>
      </c>
      <c r="C83" s="72" t="s">
        <v>175</v>
      </c>
      <c r="D83" s="63" t="s">
        <v>20</v>
      </c>
      <c r="E83" s="63"/>
      <c r="F83" s="152">
        <v>12716519.17</v>
      </c>
      <c r="G83" s="31"/>
      <c r="H83" s="33" t="s">
        <v>209</v>
      </c>
      <c r="I83" s="33" t="s">
        <v>132</v>
      </c>
    </row>
    <row r="84" spans="1:9" s="40" customFormat="1" ht="29.25" customHeight="1" x14ac:dyDescent="0.25">
      <c r="A84" s="10">
        <v>23</v>
      </c>
      <c r="B84" s="11" t="s">
        <v>177</v>
      </c>
      <c r="C84" s="72" t="s">
        <v>178</v>
      </c>
      <c r="D84" s="63" t="s">
        <v>20</v>
      </c>
      <c r="E84" s="63"/>
      <c r="F84" s="152">
        <v>43168640</v>
      </c>
      <c r="G84" s="31"/>
      <c r="H84" s="33" t="s">
        <v>210</v>
      </c>
      <c r="I84" s="33" t="s">
        <v>132</v>
      </c>
    </row>
    <row r="85" spans="1:9" s="40" customFormat="1" ht="29.25" customHeight="1" x14ac:dyDescent="0.25">
      <c r="A85" s="10">
        <v>24</v>
      </c>
      <c r="B85" s="11" t="s">
        <v>179</v>
      </c>
      <c r="C85" s="72" t="s">
        <v>180</v>
      </c>
      <c r="D85" s="63" t="s">
        <v>20</v>
      </c>
      <c r="E85" s="63"/>
      <c r="F85" s="152">
        <v>29291588.440000001</v>
      </c>
      <c r="G85" s="31"/>
      <c r="H85" s="33" t="s">
        <v>211</v>
      </c>
      <c r="I85" s="64" t="s">
        <v>68</v>
      </c>
    </row>
    <row r="86" spans="1:9" s="40" customFormat="1" ht="29.25" customHeight="1" x14ac:dyDescent="0.25">
      <c r="A86" s="10">
        <v>25</v>
      </c>
      <c r="B86" s="11" t="s">
        <v>179</v>
      </c>
      <c r="C86" s="72" t="s">
        <v>181</v>
      </c>
      <c r="D86" s="63" t="s">
        <v>225</v>
      </c>
      <c r="E86" s="63"/>
      <c r="F86" s="152">
        <v>49731647.619999997</v>
      </c>
      <c r="G86" s="31"/>
      <c r="H86" s="33" t="s">
        <v>212</v>
      </c>
      <c r="I86" s="64" t="s">
        <v>68</v>
      </c>
    </row>
    <row r="87" spans="1:9" s="40" customFormat="1" ht="29.25" customHeight="1" x14ac:dyDescent="0.25">
      <c r="A87" s="10">
        <v>26</v>
      </c>
      <c r="B87" s="11" t="s">
        <v>83</v>
      </c>
      <c r="C87" s="72" t="s">
        <v>256</v>
      </c>
      <c r="D87" s="63" t="s">
        <v>20</v>
      </c>
      <c r="E87" s="63"/>
      <c r="F87" s="151">
        <v>14112726.58</v>
      </c>
      <c r="G87" s="50"/>
      <c r="H87" s="69" t="s">
        <v>267</v>
      </c>
      <c r="I87" s="69" t="s">
        <v>86</v>
      </c>
    </row>
    <row r="88" spans="1:9" s="40" customFormat="1" ht="29.25" customHeight="1" x14ac:dyDescent="0.25">
      <c r="A88" s="10">
        <v>27</v>
      </c>
      <c r="B88" s="11" t="s">
        <v>83</v>
      </c>
      <c r="C88" s="72" t="s">
        <v>231</v>
      </c>
      <c r="D88" s="63"/>
      <c r="E88" s="63"/>
      <c r="F88" s="151">
        <v>21212885.98</v>
      </c>
      <c r="G88" s="50"/>
      <c r="H88" s="69" t="s">
        <v>275</v>
      </c>
      <c r="I88" s="69" t="s">
        <v>86</v>
      </c>
    </row>
    <row r="89" spans="1:9" s="40" customFormat="1" ht="29.25" customHeight="1" x14ac:dyDescent="0.25">
      <c r="A89" s="10">
        <v>28</v>
      </c>
      <c r="B89" s="11" t="s">
        <v>83</v>
      </c>
      <c r="C89" s="72" t="s">
        <v>182</v>
      </c>
      <c r="D89" s="63" t="s">
        <v>20</v>
      </c>
      <c r="E89" s="63"/>
      <c r="F89" s="152">
        <v>45217687.759999998</v>
      </c>
      <c r="G89" s="31"/>
      <c r="H89" s="33" t="s">
        <v>213</v>
      </c>
      <c r="I89" s="33" t="s">
        <v>64</v>
      </c>
    </row>
    <row r="90" spans="1:9" s="40" customFormat="1" ht="29.25" customHeight="1" x14ac:dyDescent="0.25">
      <c r="A90" s="10">
        <v>29</v>
      </c>
      <c r="B90" s="11" t="s">
        <v>83</v>
      </c>
      <c r="C90" s="72" t="s">
        <v>198</v>
      </c>
      <c r="D90" s="63" t="s">
        <v>225</v>
      </c>
      <c r="E90" s="63"/>
      <c r="F90" s="153" t="s">
        <v>341</v>
      </c>
      <c r="G90" s="31"/>
      <c r="H90" s="33" t="s">
        <v>222</v>
      </c>
      <c r="I90" s="33" t="s">
        <v>64</v>
      </c>
    </row>
    <row r="91" spans="1:9" s="40" customFormat="1" ht="29.25" customHeight="1" x14ac:dyDescent="0.25">
      <c r="A91" s="10">
        <v>30</v>
      </c>
      <c r="B91" s="11" t="s">
        <v>142</v>
      </c>
      <c r="C91" s="72" t="s">
        <v>125</v>
      </c>
      <c r="D91" s="63" t="s">
        <v>225</v>
      </c>
      <c r="E91" s="63"/>
      <c r="F91" s="153">
        <v>40127747.719999999</v>
      </c>
      <c r="G91" s="50"/>
      <c r="H91" s="69" t="s">
        <v>126</v>
      </c>
      <c r="I91" s="69" t="s">
        <v>145</v>
      </c>
    </row>
    <row r="92" spans="1:9" s="40" customFormat="1" ht="29.25" customHeight="1" x14ac:dyDescent="0.25">
      <c r="A92" s="10">
        <v>31</v>
      </c>
      <c r="B92" s="129" t="s">
        <v>142</v>
      </c>
      <c r="C92" s="72" t="s">
        <v>183</v>
      </c>
      <c r="D92" s="128" t="s">
        <v>20</v>
      </c>
      <c r="E92" s="128"/>
      <c r="F92" s="152">
        <v>60902361.649999999</v>
      </c>
      <c r="G92" s="31"/>
      <c r="H92" s="33" t="s">
        <v>224</v>
      </c>
      <c r="I92" s="64" t="s">
        <v>145</v>
      </c>
    </row>
    <row r="93" spans="1:9" s="40" customFormat="1" ht="29.25" customHeight="1" x14ac:dyDescent="0.25">
      <c r="A93" s="10">
        <v>32</v>
      </c>
      <c r="B93" s="11" t="s">
        <v>104</v>
      </c>
      <c r="C93" s="72" t="s">
        <v>257</v>
      </c>
      <c r="D93" s="63" t="s">
        <v>225</v>
      </c>
      <c r="E93" s="63"/>
      <c r="F93" s="153">
        <v>54771054.310000002</v>
      </c>
      <c r="G93" s="50"/>
      <c r="H93" s="69" t="s">
        <v>279</v>
      </c>
      <c r="I93" s="69" t="s">
        <v>25</v>
      </c>
    </row>
    <row r="94" spans="1:9" s="40" customFormat="1" ht="29.25" customHeight="1" x14ac:dyDescent="0.25">
      <c r="A94" s="10">
        <v>33</v>
      </c>
      <c r="B94" s="11" t="s">
        <v>63</v>
      </c>
      <c r="C94" s="72" t="s">
        <v>184</v>
      </c>
      <c r="D94" s="63" t="s">
        <v>20</v>
      </c>
      <c r="E94" s="63"/>
      <c r="F94" s="152">
        <v>41829961.850000001</v>
      </c>
      <c r="G94" s="31"/>
      <c r="H94" s="33" t="s">
        <v>214</v>
      </c>
      <c r="I94" s="33" t="s">
        <v>92</v>
      </c>
    </row>
    <row r="95" spans="1:9" s="40" customFormat="1" ht="29.25" customHeight="1" x14ac:dyDescent="0.25">
      <c r="A95" s="10">
        <v>34</v>
      </c>
      <c r="B95" s="11" t="s">
        <v>63</v>
      </c>
      <c r="C95" s="72" t="s">
        <v>157</v>
      </c>
      <c r="D95" s="63" t="s">
        <v>225</v>
      </c>
      <c r="E95" s="63"/>
      <c r="F95" s="152">
        <v>51229498.189999998</v>
      </c>
      <c r="G95" s="31"/>
      <c r="H95" s="33" t="s">
        <v>158</v>
      </c>
      <c r="I95" s="33" t="s">
        <v>92</v>
      </c>
    </row>
    <row r="96" spans="1:9" s="40" customFormat="1" ht="29.25" customHeight="1" x14ac:dyDescent="0.25">
      <c r="A96" s="10">
        <v>35</v>
      </c>
      <c r="B96" s="11" t="s">
        <v>185</v>
      </c>
      <c r="C96" s="72" t="s">
        <v>186</v>
      </c>
      <c r="D96" s="63" t="s">
        <v>20</v>
      </c>
      <c r="E96" s="63"/>
      <c r="F96" s="152">
        <v>29674989.149999999</v>
      </c>
      <c r="G96" s="31"/>
      <c r="H96" s="33" t="s">
        <v>215</v>
      </c>
      <c r="I96" s="33" t="s">
        <v>92</v>
      </c>
    </row>
    <row r="97" spans="1:9" s="31" customFormat="1" ht="24" customHeight="1" x14ac:dyDescent="0.25">
      <c r="A97" s="10">
        <v>36</v>
      </c>
      <c r="B97" s="11" t="s">
        <v>2</v>
      </c>
      <c r="C97" s="72" t="s">
        <v>87</v>
      </c>
      <c r="D97" s="63" t="s">
        <v>225</v>
      </c>
      <c r="E97" s="63"/>
      <c r="F97" s="152">
        <v>47174884.170000002</v>
      </c>
      <c r="H97" s="33" t="s">
        <v>88</v>
      </c>
      <c r="I97" s="33" t="s">
        <v>86</v>
      </c>
    </row>
    <row r="98" spans="1:9" s="31" customFormat="1" ht="21" x14ac:dyDescent="0.25">
      <c r="A98" s="10">
        <v>37</v>
      </c>
      <c r="B98" s="11" t="s">
        <v>89</v>
      </c>
      <c r="C98" s="72" t="s">
        <v>187</v>
      </c>
      <c r="D98" s="63" t="s">
        <v>225</v>
      </c>
      <c r="E98" s="63"/>
      <c r="F98" s="152">
        <v>25779334.210000001</v>
      </c>
      <c r="H98" s="33" t="s">
        <v>216</v>
      </c>
      <c r="I98" s="64" t="s">
        <v>18</v>
      </c>
    </row>
    <row r="99" spans="1:9" s="31" customFormat="1" ht="24" customHeight="1" x14ac:dyDescent="0.25">
      <c r="A99" s="10">
        <v>38</v>
      </c>
      <c r="B99" s="11" t="s">
        <v>89</v>
      </c>
      <c r="C99" s="72" t="s">
        <v>188</v>
      </c>
      <c r="D99" s="63" t="s">
        <v>20</v>
      </c>
      <c r="E99" s="63"/>
      <c r="F99" s="152">
        <v>20591428.629999999</v>
      </c>
      <c r="H99" s="33" t="s">
        <v>217</v>
      </c>
      <c r="I99" s="64" t="s">
        <v>26</v>
      </c>
    </row>
    <row r="100" spans="1:9" s="31" customFormat="1" ht="24" customHeight="1" x14ac:dyDescent="0.25">
      <c r="A100" s="10">
        <v>39</v>
      </c>
      <c r="B100" s="11" t="s">
        <v>251</v>
      </c>
      <c r="C100" s="72" t="s">
        <v>252</v>
      </c>
      <c r="D100" s="63" t="s">
        <v>20</v>
      </c>
      <c r="E100" s="63"/>
      <c r="F100" s="153">
        <v>44024340.259999998</v>
      </c>
      <c r="G100" s="50"/>
      <c r="H100" s="69" t="s">
        <v>261</v>
      </c>
      <c r="I100" s="69" t="s">
        <v>18</v>
      </c>
    </row>
    <row r="101" spans="1:9" s="31" customFormat="1" ht="24" customHeight="1" x14ac:dyDescent="0.25">
      <c r="A101" s="10">
        <v>40</v>
      </c>
      <c r="B101" s="11" t="s">
        <v>105</v>
      </c>
      <c r="C101" s="72" t="s">
        <v>190</v>
      </c>
      <c r="D101" s="63" t="s">
        <v>225</v>
      </c>
      <c r="E101" s="63"/>
      <c r="F101" s="152">
        <v>54444580.539999999</v>
      </c>
      <c r="H101" s="33" t="s">
        <v>218</v>
      </c>
      <c r="I101" s="64" t="s">
        <v>26</v>
      </c>
    </row>
    <row r="102" spans="1:9" s="31" customFormat="1" ht="24" customHeight="1" x14ac:dyDescent="0.25">
      <c r="A102" s="10">
        <v>41</v>
      </c>
      <c r="B102" s="11" t="s">
        <v>105</v>
      </c>
      <c r="C102" s="72" t="s">
        <v>191</v>
      </c>
      <c r="D102" s="63" t="s">
        <v>20</v>
      </c>
      <c r="E102" s="63"/>
      <c r="F102" s="152">
        <v>31097779.68</v>
      </c>
      <c r="H102" s="33" t="s">
        <v>219</v>
      </c>
      <c r="I102" s="64" t="s">
        <v>26</v>
      </c>
    </row>
    <row r="103" spans="1:9" s="31" customFormat="1" ht="24" customHeight="1" x14ac:dyDescent="0.25">
      <c r="A103" s="10">
        <v>42</v>
      </c>
      <c r="B103" s="11" t="s">
        <v>0</v>
      </c>
      <c r="C103" s="72" t="s">
        <v>159</v>
      </c>
      <c r="D103" s="63" t="s">
        <v>20</v>
      </c>
      <c r="E103" s="63"/>
      <c r="F103" s="153" t="s">
        <v>341</v>
      </c>
      <c r="G103" s="50"/>
      <c r="H103" s="69" t="s">
        <v>278</v>
      </c>
      <c r="I103" s="69" t="s">
        <v>35</v>
      </c>
    </row>
    <row r="104" spans="1:9" s="50" customFormat="1" ht="24" customHeight="1" x14ac:dyDescent="0.25">
      <c r="A104" s="10">
        <v>53</v>
      </c>
      <c r="B104" s="46" t="s">
        <v>1</v>
      </c>
      <c r="C104" s="46" t="s">
        <v>235</v>
      </c>
      <c r="D104" s="31" t="s">
        <v>20</v>
      </c>
      <c r="E104" s="31"/>
      <c r="F104" s="154">
        <v>22878068.890540004</v>
      </c>
      <c r="H104" s="69" t="s">
        <v>298</v>
      </c>
      <c r="I104" s="69" t="s">
        <v>22</v>
      </c>
    </row>
    <row r="105" spans="1:9" s="50" customFormat="1" ht="21" x14ac:dyDescent="0.25">
      <c r="A105" s="10">
        <v>54</v>
      </c>
      <c r="B105" s="130" t="s">
        <v>2</v>
      </c>
      <c r="C105" s="130" t="s">
        <v>295</v>
      </c>
      <c r="D105" s="131" t="s">
        <v>20</v>
      </c>
      <c r="E105" s="131"/>
      <c r="F105" s="154">
        <v>71448664.170000002</v>
      </c>
      <c r="H105" s="69" t="s">
        <v>299</v>
      </c>
      <c r="I105" s="69" t="s">
        <v>17</v>
      </c>
    </row>
    <row r="106" spans="1:9" s="50" customFormat="1" ht="21" x14ac:dyDescent="0.25">
      <c r="A106" s="10">
        <v>55</v>
      </c>
      <c r="B106" s="46" t="s">
        <v>90</v>
      </c>
      <c r="C106" s="46" t="s">
        <v>296</v>
      </c>
      <c r="D106" s="31" t="s">
        <v>20</v>
      </c>
      <c r="E106" s="31"/>
      <c r="F106" s="154">
        <v>31260993.773599993</v>
      </c>
      <c r="H106" s="69" t="s">
        <v>300</v>
      </c>
      <c r="I106" s="69" t="s">
        <v>92</v>
      </c>
    </row>
    <row r="107" spans="1:9" s="50" customFormat="1" ht="21" x14ac:dyDescent="0.25">
      <c r="A107" s="10">
        <v>56</v>
      </c>
      <c r="B107" s="130" t="s">
        <v>0</v>
      </c>
      <c r="C107" s="130" t="s">
        <v>62</v>
      </c>
      <c r="D107" s="113" t="s">
        <v>20</v>
      </c>
      <c r="E107" s="113"/>
      <c r="F107" s="154">
        <v>220382156.84</v>
      </c>
      <c r="H107" s="69" t="s">
        <v>67</v>
      </c>
      <c r="I107" s="69" t="s">
        <v>35</v>
      </c>
    </row>
    <row r="108" spans="1:9" s="50" customFormat="1" ht="24" customHeight="1" thickBot="1" x14ac:dyDescent="0.3">
      <c r="A108" s="141">
        <v>57</v>
      </c>
      <c r="B108" s="146" t="s">
        <v>90</v>
      </c>
      <c r="C108" s="146" t="s">
        <v>297</v>
      </c>
      <c r="D108" s="147" t="s">
        <v>20</v>
      </c>
      <c r="E108" s="147"/>
      <c r="F108" s="155">
        <v>153371647.88</v>
      </c>
      <c r="G108" s="148"/>
      <c r="H108" s="145" t="s">
        <v>301</v>
      </c>
      <c r="I108" s="145" t="s">
        <v>92</v>
      </c>
    </row>
    <row r="109" spans="1:9" s="31" customFormat="1" ht="24" customHeight="1" thickBot="1" x14ac:dyDescent="0.3">
      <c r="A109" s="51"/>
      <c r="B109" s="52" t="s">
        <v>13</v>
      </c>
      <c r="C109" s="55"/>
      <c r="D109" s="53"/>
      <c r="E109" s="53"/>
      <c r="F109" s="150">
        <f>SUM(F62:F108)</f>
        <v>1979974525.5644403</v>
      </c>
      <c r="G109" s="61"/>
      <c r="H109" s="65"/>
      <c r="I109" s="66" t="s">
        <v>14</v>
      </c>
    </row>
    <row r="110" spans="1:9" ht="31.9" customHeight="1" thickTop="1" x14ac:dyDescent="0.25">
      <c r="B110" s="18" t="s">
        <v>15</v>
      </c>
      <c r="I110" s="12" t="s">
        <v>16</v>
      </c>
    </row>
    <row r="111" spans="1:9" ht="21.75" customHeight="1" x14ac:dyDescent="0.25">
      <c r="B111" s="18"/>
      <c r="I111" s="12"/>
    </row>
    <row r="112" spans="1:9" ht="21.75" x14ac:dyDescent="0.25">
      <c r="A112" s="307" t="s">
        <v>111</v>
      </c>
      <c r="B112" s="307"/>
      <c r="C112" s="307"/>
      <c r="D112" s="307"/>
      <c r="E112" s="307"/>
      <c r="F112" s="307"/>
      <c r="G112" s="307"/>
      <c r="H112" s="307"/>
      <c r="I112" s="307"/>
    </row>
    <row r="113" spans="1:9" ht="10.5" customHeight="1" x14ac:dyDescent="0.25">
      <c r="A113" s="328" t="s">
        <v>110</v>
      </c>
      <c r="B113" s="328"/>
      <c r="C113" s="328"/>
      <c r="D113" s="328"/>
      <c r="E113" s="328"/>
      <c r="F113" s="328"/>
      <c r="G113" s="328"/>
      <c r="H113" s="328"/>
      <c r="I113" s="328"/>
    </row>
    <row r="114" spans="1:9" ht="19.5" customHeight="1" x14ac:dyDescent="0.25"/>
    <row r="115" spans="1:9" s="48" customFormat="1" ht="29.25" customHeight="1" x14ac:dyDescent="0.25">
      <c r="A115" s="329"/>
      <c r="B115" s="322" t="s">
        <v>6</v>
      </c>
      <c r="C115" s="322" t="s">
        <v>7</v>
      </c>
      <c r="D115" s="59" t="s">
        <v>8</v>
      </c>
      <c r="E115" s="59"/>
      <c r="F115" s="59" t="s">
        <v>9</v>
      </c>
      <c r="G115" s="59"/>
      <c r="H115" s="314" t="s">
        <v>10</v>
      </c>
      <c r="I115" s="314" t="s">
        <v>11</v>
      </c>
    </row>
    <row r="116" spans="1:9" s="40" customFormat="1" ht="24" customHeight="1" x14ac:dyDescent="0.25">
      <c r="A116" s="330"/>
      <c r="B116" s="323"/>
      <c r="C116" s="323"/>
      <c r="D116" s="62" t="s">
        <v>12</v>
      </c>
      <c r="E116" s="62"/>
      <c r="F116" s="62" t="s">
        <v>19</v>
      </c>
      <c r="G116" s="62"/>
      <c r="H116" s="315"/>
      <c r="I116" s="315"/>
    </row>
    <row r="117" spans="1:9" s="31" customFormat="1" ht="24" customHeight="1" x14ac:dyDescent="0.25">
      <c r="A117" s="10">
        <v>1</v>
      </c>
      <c r="B117" s="11" t="s">
        <v>99</v>
      </c>
      <c r="C117" s="72" t="s">
        <v>253</v>
      </c>
      <c r="D117" s="63" t="s">
        <v>20</v>
      </c>
      <c r="E117" s="63"/>
      <c r="F117" s="137">
        <v>38205568.539999999</v>
      </c>
      <c r="G117" s="50"/>
      <c r="H117" s="69" t="s">
        <v>276</v>
      </c>
      <c r="I117" s="69" t="s">
        <v>101</v>
      </c>
    </row>
    <row r="118" spans="1:9" s="31" customFormat="1" ht="21" x14ac:dyDescent="0.25">
      <c r="A118" s="10">
        <v>2</v>
      </c>
      <c r="B118" s="11" t="s">
        <v>99</v>
      </c>
      <c r="C118" s="72" t="s">
        <v>258</v>
      </c>
      <c r="D118" s="63" t="s">
        <v>20</v>
      </c>
      <c r="E118" s="63"/>
      <c r="F118" s="137">
        <v>28208399.84</v>
      </c>
      <c r="G118" s="50"/>
      <c r="H118" s="69" t="s">
        <v>280</v>
      </c>
      <c r="I118" s="69" t="s">
        <v>25</v>
      </c>
    </row>
    <row r="119" spans="1:9" s="31" customFormat="1" ht="24" customHeight="1" x14ac:dyDescent="0.25">
      <c r="A119" s="10">
        <v>5</v>
      </c>
      <c r="B119" s="11" t="s">
        <v>246</v>
      </c>
      <c r="C119" s="72" t="s">
        <v>254</v>
      </c>
      <c r="D119" s="63" t="s">
        <v>20</v>
      </c>
      <c r="E119" s="63"/>
      <c r="F119" s="137">
        <v>26677004.27</v>
      </c>
      <c r="G119" s="50"/>
      <c r="H119" s="69" t="s">
        <v>277</v>
      </c>
      <c r="I119" s="69" t="s">
        <v>27</v>
      </c>
    </row>
    <row r="120" spans="1:9" s="31" customFormat="1" ht="24" customHeight="1" x14ac:dyDescent="0.25">
      <c r="A120" s="10">
        <v>6</v>
      </c>
      <c r="B120" s="11" t="s">
        <v>246</v>
      </c>
      <c r="C120" s="72" t="s">
        <v>116</v>
      </c>
      <c r="D120" s="63" t="s">
        <v>117</v>
      </c>
      <c r="E120" s="63"/>
      <c r="F120" s="159">
        <v>70379663.340000004</v>
      </c>
      <c r="G120" s="50"/>
      <c r="H120" s="69" t="s">
        <v>118</v>
      </c>
      <c r="I120" s="69" t="s">
        <v>27</v>
      </c>
    </row>
    <row r="121" spans="1:9" s="31" customFormat="1" ht="24" customHeight="1" x14ac:dyDescent="0.25">
      <c r="A121" s="10">
        <v>7</v>
      </c>
      <c r="B121" s="11" t="s">
        <v>246</v>
      </c>
      <c r="C121" s="72" t="s">
        <v>120</v>
      </c>
      <c r="D121" s="63" t="s">
        <v>20</v>
      </c>
      <c r="E121" s="63"/>
      <c r="F121" s="137">
        <v>28037797.379999999</v>
      </c>
      <c r="G121" s="50"/>
      <c r="H121" s="69" t="s">
        <v>121</v>
      </c>
      <c r="I121" s="69" t="s">
        <v>27</v>
      </c>
    </row>
    <row r="122" spans="1:9" s="31" customFormat="1" ht="24" customHeight="1" x14ac:dyDescent="0.25">
      <c r="A122" s="10">
        <v>8</v>
      </c>
      <c r="B122" s="11" t="s">
        <v>246</v>
      </c>
      <c r="C122" s="72" t="s">
        <v>119</v>
      </c>
      <c r="D122" s="63" t="s">
        <v>20</v>
      </c>
      <c r="E122" s="63"/>
      <c r="F122" s="137">
        <v>20213571.309999999</v>
      </c>
      <c r="G122" s="50"/>
      <c r="H122" s="69" t="s">
        <v>281</v>
      </c>
      <c r="I122" s="69" t="s">
        <v>27</v>
      </c>
    </row>
    <row r="123" spans="1:9" s="31" customFormat="1" ht="24" customHeight="1" x14ac:dyDescent="0.25">
      <c r="A123" s="10">
        <v>13</v>
      </c>
      <c r="B123" s="11" t="s">
        <v>3</v>
      </c>
      <c r="C123" s="72" t="s">
        <v>259</v>
      </c>
      <c r="D123" s="63" t="s">
        <v>225</v>
      </c>
      <c r="E123" s="63"/>
      <c r="F123" s="137">
        <v>65347794.710299999</v>
      </c>
      <c r="G123" s="50"/>
      <c r="H123" s="69" t="s">
        <v>282</v>
      </c>
      <c r="I123" s="69" t="s">
        <v>30</v>
      </c>
    </row>
    <row r="124" spans="1:9" s="31" customFormat="1" ht="21" x14ac:dyDescent="0.25">
      <c r="A124" s="10">
        <v>14</v>
      </c>
      <c r="B124" s="11" t="s">
        <v>1</v>
      </c>
      <c r="C124" s="72" t="s">
        <v>171</v>
      </c>
      <c r="D124" s="63" t="s">
        <v>225</v>
      </c>
      <c r="E124" s="63"/>
      <c r="F124" s="160">
        <v>54002463.130000003</v>
      </c>
      <c r="H124" s="33" t="s">
        <v>205</v>
      </c>
      <c r="I124" s="133" t="s">
        <v>22</v>
      </c>
    </row>
    <row r="125" spans="1:9" s="31" customFormat="1" ht="24" customHeight="1" x14ac:dyDescent="0.25">
      <c r="A125" s="10">
        <v>15</v>
      </c>
      <c r="B125" s="11" t="s">
        <v>129</v>
      </c>
      <c r="C125" s="72" t="s">
        <v>255</v>
      </c>
      <c r="D125" s="63" t="s">
        <v>20</v>
      </c>
      <c r="E125" s="63"/>
      <c r="F125" s="137">
        <v>73416839.319999993</v>
      </c>
      <c r="G125" s="50"/>
      <c r="H125" s="69" t="s">
        <v>207</v>
      </c>
      <c r="I125" s="69" t="s">
        <v>132</v>
      </c>
    </row>
    <row r="126" spans="1:9" s="31" customFormat="1" ht="21" x14ac:dyDescent="0.25">
      <c r="A126" s="10">
        <v>16</v>
      </c>
      <c r="B126" s="11" t="s">
        <v>129</v>
      </c>
      <c r="C126" s="72" t="s">
        <v>130</v>
      </c>
      <c r="D126" s="63" t="s">
        <v>20</v>
      </c>
      <c r="E126" s="63"/>
      <c r="F126" s="137">
        <v>51996894.800000004</v>
      </c>
      <c r="H126" s="33" t="s">
        <v>131</v>
      </c>
      <c r="I126" s="33" t="s">
        <v>68</v>
      </c>
    </row>
    <row r="127" spans="1:9" s="31" customFormat="1" ht="24" customHeight="1" x14ac:dyDescent="0.25">
      <c r="A127" s="10">
        <v>17</v>
      </c>
      <c r="B127" s="11" t="s">
        <v>90</v>
      </c>
      <c r="C127" s="72" t="s">
        <v>174</v>
      </c>
      <c r="D127" s="63" t="s">
        <v>225</v>
      </c>
      <c r="E127" s="63"/>
      <c r="F127" s="160">
        <v>34230347.340000004</v>
      </c>
      <c r="H127" s="33" t="s">
        <v>208</v>
      </c>
      <c r="I127" s="33" t="s">
        <v>22</v>
      </c>
    </row>
    <row r="128" spans="1:9" s="31" customFormat="1" ht="21" x14ac:dyDescent="0.25">
      <c r="A128" s="10">
        <v>18</v>
      </c>
      <c r="B128" s="11" t="s">
        <v>179</v>
      </c>
      <c r="C128" s="72" t="s">
        <v>181</v>
      </c>
      <c r="D128" s="63" t="s">
        <v>225</v>
      </c>
      <c r="E128" s="63"/>
      <c r="F128" s="160">
        <v>49731647.619999997</v>
      </c>
      <c r="H128" s="33" t="s">
        <v>212</v>
      </c>
      <c r="I128" s="133" t="s">
        <v>68</v>
      </c>
    </row>
    <row r="129" spans="1:10" s="31" customFormat="1" ht="24" customHeight="1" x14ac:dyDescent="0.25">
      <c r="A129" s="10">
        <v>19</v>
      </c>
      <c r="B129" s="11" t="s">
        <v>83</v>
      </c>
      <c r="C129" s="72" t="s">
        <v>231</v>
      </c>
      <c r="D129" s="63"/>
      <c r="E129" s="63"/>
      <c r="F129" s="137">
        <v>21212885.98</v>
      </c>
      <c r="G129" s="50"/>
      <c r="H129" s="69" t="s">
        <v>275</v>
      </c>
      <c r="I129" s="69" t="s">
        <v>86</v>
      </c>
    </row>
    <row r="130" spans="1:10" s="31" customFormat="1" ht="24" customHeight="1" x14ac:dyDescent="0.25">
      <c r="A130" s="10">
        <v>20</v>
      </c>
      <c r="B130" s="11" t="s">
        <v>83</v>
      </c>
      <c r="C130" s="72" t="s">
        <v>198</v>
      </c>
      <c r="D130" s="63" t="s">
        <v>225</v>
      </c>
      <c r="E130" s="63"/>
      <c r="F130" s="160"/>
      <c r="H130" s="33" t="s">
        <v>222</v>
      </c>
      <c r="I130" s="33" t="s">
        <v>64</v>
      </c>
    </row>
    <row r="131" spans="1:10" s="31" customFormat="1" ht="24" customHeight="1" x14ac:dyDescent="0.25">
      <c r="A131" s="10">
        <v>21</v>
      </c>
      <c r="B131" s="11" t="s">
        <v>142</v>
      </c>
      <c r="C131" s="72" t="s">
        <v>125</v>
      </c>
      <c r="D131" s="63" t="s">
        <v>225</v>
      </c>
      <c r="E131" s="63"/>
      <c r="F131" s="159">
        <v>40127747.719999999</v>
      </c>
      <c r="G131" s="50"/>
      <c r="H131" s="69" t="s">
        <v>126</v>
      </c>
      <c r="I131" s="69" t="s">
        <v>145</v>
      </c>
    </row>
    <row r="132" spans="1:10" s="31" customFormat="1" ht="24" customHeight="1" x14ac:dyDescent="0.25">
      <c r="A132" s="10">
        <v>22</v>
      </c>
      <c r="B132" s="11" t="s">
        <v>104</v>
      </c>
      <c r="C132" s="72" t="s">
        <v>257</v>
      </c>
      <c r="D132" s="63" t="s">
        <v>225</v>
      </c>
      <c r="E132" s="63"/>
      <c r="F132" s="159">
        <v>54771054.310000002</v>
      </c>
      <c r="G132" s="50"/>
      <c r="H132" s="69" t="s">
        <v>279</v>
      </c>
      <c r="I132" s="69" t="s">
        <v>25</v>
      </c>
    </row>
    <row r="133" spans="1:10" s="31" customFormat="1" ht="24" customHeight="1" x14ac:dyDescent="0.25">
      <c r="A133" s="10">
        <v>23</v>
      </c>
      <c r="B133" s="11" t="s">
        <v>63</v>
      </c>
      <c r="C133" s="72" t="s">
        <v>184</v>
      </c>
      <c r="D133" s="63" t="s">
        <v>20</v>
      </c>
      <c r="E133" s="63"/>
      <c r="F133" s="160">
        <v>41829961.850000001</v>
      </c>
      <c r="H133" s="33" t="s">
        <v>214</v>
      </c>
      <c r="I133" s="33" t="s">
        <v>92</v>
      </c>
    </row>
    <row r="134" spans="1:10" s="31" customFormat="1" ht="21" x14ac:dyDescent="0.25">
      <c r="A134" s="10">
        <v>24</v>
      </c>
      <c r="B134" s="11" t="s">
        <v>63</v>
      </c>
      <c r="C134" s="72" t="s">
        <v>157</v>
      </c>
      <c r="D134" s="63" t="s">
        <v>225</v>
      </c>
      <c r="E134" s="63"/>
      <c r="F134" s="160">
        <v>51229498.189999998</v>
      </c>
      <c r="H134" s="33" t="s">
        <v>158</v>
      </c>
      <c r="I134" s="33" t="s">
        <v>92</v>
      </c>
    </row>
    <row r="135" spans="1:10" s="31" customFormat="1" ht="24" customHeight="1" x14ac:dyDescent="0.25">
      <c r="A135" s="10">
        <v>25</v>
      </c>
      <c r="B135" s="11" t="s">
        <v>185</v>
      </c>
      <c r="C135" s="72" t="s">
        <v>186</v>
      </c>
      <c r="D135" s="63" t="s">
        <v>20</v>
      </c>
      <c r="E135" s="63"/>
      <c r="F135" s="160">
        <v>29674989.149999999</v>
      </c>
      <c r="H135" s="33" t="s">
        <v>215</v>
      </c>
      <c r="I135" s="33" t="s">
        <v>92</v>
      </c>
    </row>
    <row r="136" spans="1:10" s="31" customFormat="1" ht="24" customHeight="1" x14ac:dyDescent="0.25">
      <c r="A136" s="10">
        <v>26</v>
      </c>
      <c r="B136" s="11" t="s">
        <v>89</v>
      </c>
      <c r="C136" s="72" t="s">
        <v>187</v>
      </c>
      <c r="D136" s="63" t="s">
        <v>225</v>
      </c>
      <c r="E136" s="63"/>
      <c r="F136" s="160">
        <v>25779334.210000001</v>
      </c>
      <c r="H136" s="33" t="s">
        <v>216</v>
      </c>
      <c r="I136" s="133" t="s">
        <v>18</v>
      </c>
    </row>
    <row r="137" spans="1:10" s="31" customFormat="1" ht="21" x14ac:dyDescent="0.25">
      <c r="A137" s="10">
        <v>27</v>
      </c>
      <c r="B137" s="11" t="s">
        <v>251</v>
      </c>
      <c r="C137" s="72" t="s">
        <v>252</v>
      </c>
      <c r="D137" s="63" t="s">
        <v>20</v>
      </c>
      <c r="E137" s="63"/>
      <c r="F137" s="159">
        <v>44024340.259999998</v>
      </c>
      <c r="G137" s="50"/>
      <c r="H137" s="69" t="s">
        <v>261</v>
      </c>
      <c r="I137" s="69" t="s">
        <v>18</v>
      </c>
    </row>
    <row r="138" spans="1:10" s="31" customFormat="1" ht="21" x14ac:dyDescent="0.25">
      <c r="A138" s="10">
        <v>28</v>
      </c>
      <c r="B138" s="11" t="s">
        <v>0</v>
      </c>
      <c r="C138" s="72" t="s">
        <v>159</v>
      </c>
      <c r="D138" s="63" t="s">
        <v>20</v>
      </c>
      <c r="E138" s="63"/>
      <c r="F138" s="137">
        <v>55691791.030000001</v>
      </c>
      <c r="G138" s="50"/>
      <c r="H138" s="69" t="s">
        <v>278</v>
      </c>
      <c r="I138" s="69" t="s">
        <v>35</v>
      </c>
    </row>
    <row r="139" spans="1:10" ht="21" x14ac:dyDescent="0.25">
      <c r="A139" s="47">
        <v>1</v>
      </c>
      <c r="B139" s="30" t="s">
        <v>63</v>
      </c>
      <c r="C139" s="30" t="s">
        <v>226</v>
      </c>
      <c r="D139" s="73" t="s">
        <v>20</v>
      </c>
      <c r="E139" s="73"/>
      <c r="F139" s="139">
        <v>39864008.013800003</v>
      </c>
      <c r="G139" s="4"/>
      <c r="H139" s="69" t="s">
        <v>271</v>
      </c>
      <c r="I139" s="69" t="s">
        <v>64</v>
      </c>
      <c r="J139" s="73"/>
    </row>
    <row r="140" spans="1:10" ht="21" x14ac:dyDescent="0.25">
      <c r="A140" s="47">
        <v>2</v>
      </c>
      <c r="B140" s="46" t="s">
        <v>196</v>
      </c>
      <c r="C140" s="46" t="s">
        <v>227</v>
      </c>
      <c r="D140" s="31" t="s">
        <v>20</v>
      </c>
      <c r="E140" s="31"/>
      <c r="F140" s="139">
        <v>11997668.040299999</v>
      </c>
      <c r="G140" s="4"/>
      <c r="H140" s="69" t="s">
        <v>272</v>
      </c>
      <c r="I140" s="69" t="s">
        <v>17</v>
      </c>
      <c r="J140" s="31"/>
    </row>
    <row r="141" spans="1:10" ht="24" customHeight="1" x14ac:dyDescent="0.25">
      <c r="A141" s="47">
        <v>3</v>
      </c>
      <c r="B141" s="46" t="s">
        <v>104</v>
      </c>
      <c r="C141" s="46" t="s">
        <v>228</v>
      </c>
      <c r="D141" s="31" t="s">
        <v>20</v>
      </c>
      <c r="E141" s="31"/>
      <c r="F141" s="139">
        <v>48368191.405000001</v>
      </c>
      <c r="G141" s="74"/>
      <c r="H141" s="69" t="s">
        <v>265</v>
      </c>
      <c r="I141" s="69" t="s">
        <v>25</v>
      </c>
      <c r="J141" s="31"/>
    </row>
    <row r="142" spans="1:10" ht="24" customHeight="1" x14ac:dyDescent="0.25">
      <c r="A142" s="47">
        <v>4</v>
      </c>
      <c r="B142" s="30" t="s">
        <v>99</v>
      </c>
      <c r="C142" s="30" t="s">
        <v>229</v>
      </c>
      <c r="D142" s="73" t="s">
        <v>20</v>
      </c>
      <c r="E142" s="73"/>
      <c r="F142" s="139">
        <v>40875555.280000001</v>
      </c>
      <c r="G142" s="74"/>
      <c r="H142" s="69" t="s">
        <v>273</v>
      </c>
      <c r="I142" s="69" t="s">
        <v>101</v>
      </c>
      <c r="J142" s="73"/>
    </row>
    <row r="143" spans="1:10" ht="24" customHeight="1" x14ac:dyDescent="0.25">
      <c r="A143" s="47">
        <v>5</v>
      </c>
      <c r="B143" s="46" t="s">
        <v>230</v>
      </c>
      <c r="C143" s="46" t="s">
        <v>124</v>
      </c>
      <c r="D143" s="73" t="s">
        <v>20</v>
      </c>
      <c r="E143" s="73"/>
      <c r="F143" s="139">
        <v>32358571.5792</v>
      </c>
      <c r="G143" s="74"/>
      <c r="H143" s="69" t="s">
        <v>274</v>
      </c>
      <c r="I143" s="69" t="s">
        <v>30</v>
      </c>
      <c r="J143" s="31"/>
    </row>
    <row r="144" spans="1:10" ht="21" x14ac:dyDescent="0.25">
      <c r="A144" s="47">
        <v>6</v>
      </c>
      <c r="B144" s="46" t="s">
        <v>83</v>
      </c>
      <c r="C144" s="46" t="s">
        <v>231</v>
      </c>
      <c r="D144" s="31" t="s">
        <v>225</v>
      </c>
      <c r="E144" s="31"/>
      <c r="F144" s="139">
        <v>18604380.739999998</v>
      </c>
      <c r="G144" s="74"/>
      <c r="H144" s="69" t="s">
        <v>275</v>
      </c>
      <c r="I144" s="69" t="s">
        <v>86</v>
      </c>
      <c r="J144" s="31"/>
    </row>
    <row r="145" spans="1:10" ht="24" customHeight="1" x14ac:dyDescent="0.25">
      <c r="A145" s="47">
        <v>7</v>
      </c>
      <c r="B145" s="46" t="s">
        <v>89</v>
      </c>
      <c r="C145" s="46" t="s">
        <v>152</v>
      </c>
      <c r="D145" s="73" t="s">
        <v>150</v>
      </c>
      <c r="E145" s="73"/>
      <c r="F145" s="331">
        <v>55442168.412799999</v>
      </c>
      <c r="G145" s="74"/>
      <c r="H145" s="69" t="s">
        <v>153</v>
      </c>
      <c r="I145" s="69" t="s">
        <v>18</v>
      </c>
      <c r="J145" s="31"/>
    </row>
    <row r="146" spans="1:10" ht="24" customHeight="1" x14ac:dyDescent="0.25">
      <c r="A146" s="47">
        <v>8</v>
      </c>
      <c r="B146" s="46" t="s">
        <v>105</v>
      </c>
      <c r="C146" s="46" t="s">
        <v>232</v>
      </c>
      <c r="D146" s="31" t="s">
        <v>150</v>
      </c>
      <c r="E146" s="31"/>
      <c r="F146" s="331"/>
      <c r="G146" s="74"/>
      <c r="H146" s="69" t="s">
        <v>50</v>
      </c>
      <c r="I146" s="69" t="s">
        <v>26</v>
      </c>
      <c r="J146" s="31"/>
    </row>
    <row r="147" spans="1:10" ht="21" x14ac:dyDescent="0.25">
      <c r="A147" s="47">
        <v>9</v>
      </c>
      <c r="B147" s="30" t="s">
        <v>129</v>
      </c>
      <c r="C147" s="30" t="s">
        <v>233</v>
      </c>
      <c r="D147" s="73" t="s">
        <v>20</v>
      </c>
      <c r="E147" s="73"/>
      <c r="F147" s="139">
        <v>67999837.984059989</v>
      </c>
      <c r="G147" s="74"/>
      <c r="H147" s="69" t="s">
        <v>207</v>
      </c>
      <c r="I147" s="69" t="s">
        <v>132</v>
      </c>
      <c r="J147" s="73"/>
    </row>
    <row r="148" spans="1:10" ht="21" x14ac:dyDescent="0.25">
      <c r="A148" s="47">
        <v>10</v>
      </c>
      <c r="B148" s="130" t="s">
        <v>104</v>
      </c>
      <c r="C148" s="130" t="s">
        <v>234</v>
      </c>
      <c r="D148" s="131" t="s">
        <v>20</v>
      </c>
      <c r="E148" s="131"/>
      <c r="F148" s="138">
        <v>38963256</v>
      </c>
      <c r="G148" s="280"/>
      <c r="H148" s="69" t="s">
        <v>24</v>
      </c>
      <c r="I148" s="69" t="s">
        <v>25</v>
      </c>
      <c r="J148" s="50"/>
    </row>
    <row r="149" spans="1:10" ht="24" customHeight="1" x14ac:dyDescent="0.25">
      <c r="A149" s="47">
        <v>11</v>
      </c>
      <c r="B149" s="46" t="s">
        <v>104</v>
      </c>
      <c r="C149" s="46" t="s">
        <v>234</v>
      </c>
      <c r="D149" s="31" t="s">
        <v>20</v>
      </c>
      <c r="E149" s="31"/>
      <c r="F149" s="139">
        <v>28857938.473480001</v>
      </c>
      <c r="G149" s="280"/>
      <c r="H149" s="69" t="s">
        <v>24</v>
      </c>
      <c r="I149" s="69" t="s">
        <v>25</v>
      </c>
      <c r="J149" s="46"/>
    </row>
    <row r="150" spans="1:10" ht="24" customHeight="1" thickBot="1" x14ac:dyDescent="0.3">
      <c r="A150" s="173">
        <v>12</v>
      </c>
      <c r="B150" s="146" t="s">
        <v>1</v>
      </c>
      <c r="C150" s="146" t="s">
        <v>235</v>
      </c>
      <c r="D150" s="156" t="s">
        <v>20</v>
      </c>
      <c r="E150" s="156"/>
      <c r="F150" s="161">
        <v>56283000</v>
      </c>
      <c r="G150" s="158"/>
      <c r="H150" s="145" t="s">
        <v>70</v>
      </c>
      <c r="I150" s="145" t="s">
        <v>22</v>
      </c>
      <c r="J150" s="50"/>
    </row>
    <row r="151" spans="1:10" s="31" customFormat="1" ht="24" customHeight="1" thickBot="1" x14ac:dyDescent="0.3">
      <c r="A151" s="51"/>
      <c r="B151" s="52" t="s">
        <v>13</v>
      </c>
      <c r="C151" s="55"/>
      <c r="D151" s="53"/>
      <c r="E151" s="53"/>
      <c r="F151" s="61">
        <f>SUM(F117:F150)</f>
        <v>1344404170.22894</v>
      </c>
      <c r="G151" s="61"/>
      <c r="H151" s="65"/>
      <c r="I151" s="66" t="s">
        <v>14</v>
      </c>
    </row>
    <row r="152" spans="1:10" ht="31.9" customHeight="1" thickTop="1" x14ac:dyDescent="0.25">
      <c r="B152" s="18" t="s">
        <v>15</v>
      </c>
      <c r="I152" s="12" t="s">
        <v>16</v>
      </c>
    </row>
    <row r="153" spans="1:10" ht="21.75" customHeight="1" x14ac:dyDescent="0.25">
      <c r="B153" s="18"/>
      <c r="I153" s="12"/>
    </row>
    <row r="154" spans="1:10" ht="21.75" x14ac:dyDescent="0.25">
      <c r="A154" s="307" t="s">
        <v>112</v>
      </c>
      <c r="B154" s="307"/>
      <c r="C154" s="307"/>
      <c r="D154" s="307"/>
      <c r="E154" s="307"/>
      <c r="F154" s="307"/>
      <c r="G154" s="307"/>
      <c r="H154" s="307"/>
      <c r="I154" s="307"/>
    </row>
    <row r="155" spans="1:10" ht="10.5" customHeight="1" x14ac:dyDescent="0.25">
      <c r="A155" s="328" t="s">
        <v>113</v>
      </c>
      <c r="B155" s="328"/>
      <c r="C155" s="328"/>
      <c r="D155" s="328"/>
      <c r="E155" s="328"/>
      <c r="F155" s="328"/>
      <c r="G155" s="328"/>
      <c r="H155" s="328"/>
      <c r="I155" s="328"/>
    </row>
    <row r="156" spans="1:10" ht="19.5" customHeight="1" x14ac:dyDescent="0.25"/>
    <row r="157" spans="1:10" s="48" customFormat="1" ht="29.25" customHeight="1" x14ac:dyDescent="0.25">
      <c r="A157" s="329"/>
      <c r="B157" s="322" t="s">
        <v>6</v>
      </c>
      <c r="C157" s="322" t="s">
        <v>7</v>
      </c>
      <c r="D157" s="59" t="s">
        <v>8</v>
      </c>
      <c r="E157" s="59"/>
      <c r="F157" s="59" t="s">
        <v>9</v>
      </c>
      <c r="G157" s="59"/>
      <c r="H157" s="314" t="s">
        <v>10</v>
      </c>
      <c r="I157" s="314" t="s">
        <v>11</v>
      </c>
    </row>
    <row r="158" spans="1:10" s="40" customFormat="1" ht="29.25" customHeight="1" x14ac:dyDescent="0.25">
      <c r="A158" s="330"/>
      <c r="B158" s="323"/>
      <c r="C158" s="323"/>
      <c r="D158" s="62" t="s">
        <v>12</v>
      </c>
      <c r="E158" s="62"/>
      <c r="F158" s="62" t="s">
        <v>19</v>
      </c>
      <c r="G158" s="62"/>
      <c r="H158" s="315"/>
      <c r="I158" s="315"/>
    </row>
    <row r="159" spans="1:10" s="40" customFormat="1" ht="5.25" customHeight="1" x14ac:dyDescent="0.25">
      <c r="A159" s="57"/>
      <c r="B159" s="57"/>
      <c r="C159" s="57"/>
      <c r="H159" s="70"/>
      <c r="I159" s="70"/>
    </row>
    <row r="160" spans="1:10" s="40" customFormat="1" ht="29.25" customHeight="1" x14ac:dyDescent="0.25">
      <c r="A160" s="10">
        <v>1</v>
      </c>
      <c r="B160" s="11" t="s">
        <v>99</v>
      </c>
      <c r="C160" s="72" t="s">
        <v>258</v>
      </c>
      <c r="D160" s="63" t="s">
        <v>20</v>
      </c>
      <c r="E160" s="63"/>
      <c r="F160" s="137">
        <v>28208399.84</v>
      </c>
      <c r="G160" s="50"/>
      <c r="H160" s="69" t="s">
        <v>280</v>
      </c>
      <c r="I160" s="69" t="s">
        <v>25</v>
      </c>
    </row>
    <row r="161" spans="1:21" s="40" customFormat="1" ht="29.25" customHeight="1" x14ac:dyDescent="0.25">
      <c r="A161" s="47">
        <v>2</v>
      </c>
      <c r="B161" s="30" t="s">
        <v>99</v>
      </c>
      <c r="C161" s="30" t="s">
        <v>229</v>
      </c>
      <c r="D161" s="73" t="s">
        <v>20</v>
      </c>
      <c r="E161" s="73"/>
      <c r="F161" s="139">
        <v>40875555.280000001</v>
      </c>
      <c r="G161" s="74"/>
      <c r="H161" s="69" t="s">
        <v>273</v>
      </c>
      <c r="I161" s="69" t="s">
        <v>101</v>
      </c>
    </row>
    <row r="162" spans="1:21" s="40" customFormat="1" ht="29.25" customHeight="1" x14ac:dyDescent="0.25">
      <c r="A162" s="10">
        <v>3</v>
      </c>
      <c r="B162" s="11" t="s">
        <v>246</v>
      </c>
      <c r="C162" s="72" t="s">
        <v>254</v>
      </c>
      <c r="D162" s="63" t="s">
        <v>20</v>
      </c>
      <c r="E162" s="63"/>
      <c r="F162" s="137">
        <v>26677004.27</v>
      </c>
      <c r="G162" s="50"/>
      <c r="H162" s="69" t="s">
        <v>277</v>
      </c>
      <c r="I162" s="69" t="s">
        <v>27</v>
      </c>
    </row>
    <row r="163" spans="1:21" s="40" customFormat="1" ht="29.25" customHeight="1" x14ac:dyDescent="0.25">
      <c r="A163" s="10">
        <v>4</v>
      </c>
      <c r="B163" s="11" t="s">
        <v>246</v>
      </c>
      <c r="C163" s="72" t="s">
        <v>116</v>
      </c>
      <c r="D163" s="63" t="s">
        <v>117</v>
      </c>
      <c r="E163" s="63"/>
      <c r="F163" s="159">
        <v>70379663.340000004</v>
      </c>
      <c r="G163" s="50"/>
      <c r="H163" s="69" t="s">
        <v>118</v>
      </c>
      <c r="I163" s="69" t="s">
        <v>27</v>
      </c>
    </row>
    <row r="164" spans="1:21" s="31" customFormat="1" ht="24" customHeight="1" x14ac:dyDescent="0.25">
      <c r="A164" s="47">
        <v>5</v>
      </c>
      <c r="B164" s="11" t="s">
        <v>246</v>
      </c>
      <c r="C164" s="72" t="s">
        <v>120</v>
      </c>
      <c r="D164" s="63" t="s">
        <v>20</v>
      </c>
      <c r="E164" s="63"/>
      <c r="F164" s="137">
        <v>28037797.379999999</v>
      </c>
      <c r="G164" s="50"/>
      <c r="H164" s="69" t="s">
        <v>121</v>
      </c>
      <c r="I164" s="69" t="s">
        <v>27</v>
      </c>
    </row>
    <row r="165" spans="1:21" s="31" customFormat="1" ht="24" customHeight="1" x14ac:dyDescent="0.25">
      <c r="A165" s="10">
        <v>6</v>
      </c>
      <c r="B165" s="11" t="s">
        <v>246</v>
      </c>
      <c r="C165" s="72" t="s">
        <v>119</v>
      </c>
      <c r="D165" s="63" t="s">
        <v>20</v>
      </c>
      <c r="E165" s="63"/>
      <c r="F165" s="137">
        <v>20213571.309999999</v>
      </c>
      <c r="G165" s="50"/>
      <c r="H165" s="69" t="s">
        <v>281</v>
      </c>
      <c r="I165" s="69" t="s">
        <v>27</v>
      </c>
    </row>
    <row r="166" spans="1:21" s="31" customFormat="1" ht="24" customHeight="1" x14ac:dyDescent="0.25">
      <c r="A166" s="10">
        <v>7</v>
      </c>
      <c r="B166" s="46" t="s">
        <v>246</v>
      </c>
      <c r="C166" s="46" t="s">
        <v>247</v>
      </c>
      <c r="D166" s="31" t="s">
        <v>20</v>
      </c>
      <c r="F166" s="139">
        <v>41142938.251399994</v>
      </c>
      <c r="G166" s="50"/>
      <c r="H166" s="69" t="s">
        <v>270</v>
      </c>
      <c r="I166" s="69" t="s">
        <v>27</v>
      </c>
    </row>
    <row r="167" spans="1:21" s="31" customFormat="1" ht="24" customHeight="1" x14ac:dyDescent="0.25">
      <c r="A167" s="47">
        <v>8</v>
      </c>
      <c r="B167" s="46" t="s">
        <v>244</v>
      </c>
      <c r="C167" s="46" t="s">
        <v>32</v>
      </c>
      <c r="D167" s="73" t="s">
        <v>123</v>
      </c>
      <c r="E167" s="73"/>
      <c r="F167" s="139">
        <v>64259419.317400001</v>
      </c>
      <c r="G167" s="50"/>
      <c r="H167" s="69" t="s">
        <v>33</v>
      </c>
      <c r="I167" s="69" t="s">
        <v>31</v>
      </c>
    </row>
    <row r="168" spans="1:21" s="31" customFormat="1" ht="30.75" customHeight="1" x14ac:dyDescent="0.25">
      <c r="A168" s="10">
        <v>9</v>
      </c>
      <c r="B168" s="11" t="s">
        <v>129</v>
      </c>
      <c r="C168" s="72" t="s">
        <v>255</v>
      </c>
      <c r="D168" s="63" t="s">
        <v>20</v>
      </c>
      <c r="E168" s="63"/>
      <c r="F168" s="137">
        <v>73416839.319999993</v>
      </c>
      <c r="G168" s="50"/>
      <c r="H168" s="69" t="s">
        <v>207</v>
      </c>
      <c r="I168" s="69" t="s">
        <v>132</v>
      </c>
    </row>
    <row r="169" spans="1:21" s="31" customFormat="1" ht="24" customHeight="1" x14ac:dyDescent="0.25">
      <c r="A169" s="10">
        <v>10</v>
      </c>
      <c r="B169" s="11" t="s">
        <v>129</v>
      </c>
      <c r="C169" s="72" t="s">
        <v>130</v>
      </c>
      <c r="D169" s="63" t="s">
        <v>20</v>
      </c>
      <c r="E169" s="63"/>
      <c r="F169" s="160">
        <v>47826625.090000004</v>
      </c>
      <c r="H169" s="33" t="s">
        <v>131</v>
      </c>
      <c r="I169" s="33" t="s">
        <v>68</v>
      </c>
    </row>
    <row r="170" spans="1:21" s="31" customFormat="1" ht="24" customHeight="1" x14ac:dyDescent="0.25">
      <c r="A170" s="47">
        <v>11</v>
      </c>
      <c r="B170" s="46" t="s">
        <v>90</v>
      </c>
      <c r="C170" s="46" t="s">
        <v>238</v>
      </c>
      <c r="D170" s="31" t="s">
        <v>20</v>
      </c>
      <c r="F170" s="139">
        <v>23470425.899999999</v>
      </c>
      <c r="G170" s="50"/>
      <c r="H170" s="69" t="s">
        <v>266</v>
      </c>
      <c r="I170" s="69" t="s">
        <v>92</v>
      </c>
    </row>
    <row r="171" spans="1:21" s="31" customFormat="1" ht="24" customHeight="1" x14ac:dyDescent="0.25">
      <c r="A171" s="10">
        <v>12</v>
      </c>
      <c r="B171" s="11" t="s">
        <v>83</v>
      </c>
      <c r="C171" s="72" t="s">
        <v>231</v>
      </c>
      <c r="D171" s="63"/>
      <c r="E171" s="63"/>
      <c r="F171" s="137">
        <v>21212885.98</v>
      </c>
      <c r="G171" s="50"/>
      <c r="H171" s="69" t="s">
        <v>275</v>
      </c>
      <c r="I171" s="69" t="s">
        <v>86</v>
      </c>
    </row>
    <row r="172" spans="1:21" s="31" customFormat="1" ht="24" customHeight="1" x14ac:dyDescent="0.25">
      <c r="A172" s="10">
        <v>13</v>
      </c>
      <c r="B172" s="11" t="s">
        <v>83</v>
      </c>
      <c r="C172" s="72" t="s">
        <v>198</v>
      </c>
      <c r="D172" s="63" t="s">
        <v>225</v>
      </c>
      <c r="E172" s="63"/>
      <c r="F172" s="160"/>
      <c r="H172" s="33" t="s">
        <v>222</v>
      </c>
      <c r="I172" s="33" t="s">
        <v>64</v>
      </c>
    </row>
    <row r="173" spans="1:21" ht="21" x14ac:dyDescent="0.25">
      <c r="A173" s="47">
        <v>14</v>
      </c>
      <c r="B173" s="46" t="s">
        <v>83</v>
      </c>
      <c r="C173" s="46" t="s">
        <v>239</v>
      </c>
      <c r="D173" s="31" t="s">
        <v>225</v>
      </c>
      <c r="E173" s="31"/>
      <c r="F173" s="139">
        <v>4434487.58</v>
      </c>
      <c r="G173" s="50"/>
      <c r="H173" s="69" t="s">
        <v>267</v>
      </c>
      <c r="I173" s="69" t="s">
        <v>86</v>
      </c>
    </row>
    <row r="174" spans="1:21" ht="21" x14ac:dyDescent="0.25">
      <c r="A174" s="10">
        <v>15</v>
      </c>
      <c r="B174" s="30" t="s">
        <v>142</v>
      </c>
      <c r="C174" s="30" t="s">
        <v>146</v>
      </c>
      <c r="D174" s="73" t="s">
        <v>20</v>
      </c>
      <c r="E174" s="73"/>
      <c r="F174" s="139">
        <v>24461225</v>
      </c>
      <c r="G174" s="50"/>
      <c r="H174" s="69" t="s">
        <v>147</v>
      </c>
      <c r="I174" s="69" t="s">
        <v>145</v>
      </c>
    </row>
    <row r="175" spans="1:21" ht="21" x14ac:dyDescent="0.25">
      <c r="A175" s="10">
        <v>16</v>
      </c>
      <c r="B175" s="46" t="s">
        <v>104</v>
      </c>
      <c r="C175" s="46" t="s">
        <v>228</v>
      </c>
      <c r="D175" s="31" t="s">
        <v>20</v>
      </c>
      <c r="E175" s="31"/>
      <c r="F175" s="139">
        <v>48368191.405000001</v>
      </c>
      <c r="G175" s="74"/>
      <c r="H175" s="69" t="s">
        <v>265</v>
      </c>
      <c r="I175" s="69" t="s">
        <v>25</v>
      </c>
    </row>
    <row r="176" spans="1:21" ht="21" x14ac:dyDescent="0.25">
      <c r="A176" s="47">
        <v>17</v>
      </c>
      <c r="B176" s="30" t="s">
        <v>2</v>
      </c>
      <c r="C176" s="30" t="s">
        <v>269</v>
      </c>
      <c r="D176" s="73" t="s">
        <v>150</v>
      </c>
      <c r="E176" s="73"/>
      <c r="F176" s="139">
        <v>50182748</v>
      </c>
      <c r="G176" s="50"/>
      <c r="H176" s="69" t="s">
        <v>151</v>
      </c>
      <c r="I176" s="69" t="s">
        <v>17</v>
      </c>
      <c r="U176" s="40"/>
    </row>
    <row r="177" spans="1:9" ht="21" x14ac:dyDescent="0.25">
      <c r="A177" s="10">
        <v>18</v>
      </c>
      <c r="B177" s="46" t="s">
        <v>196</v>
      </c>
      <c r="C177" s="46" t="s">
        <v>227</v>
      </c>
      <c r="D177" s="31" t="s">
        <v>20</v>
      </c>
      <c r="E177" s="31"/>
      <c r="F177" s="139">
        <v>11997668.040299999</v>
      </c>
      <c r="G177" s="4"/>
      <c r="H177" s="69" t="s">
        <v>272</v>
      </c>
      <c r="I177" s="69" t="s">
        <v>17</v>
      </c>
    </row>
    <row r="178" spans="1:9" ht="21" x14ac:dyDescent="0.25">
      <c r="A178" s="10">
        <v>19</v>
      </c>
      <c r="B178" s="11" t="s">
        <v>63</v>
      </c>
      <c r="C178" s="72" t="s">
        <v>184</v>
      </c>
      <c r="D178" s="63" t="s">
        <v>20</v>
      </c>
      <c r="E178" s="63"/>
      <c r="F178" s="160">
        <v>41829961.850000001</v>
      </c>
      <c r="G178" s="31"/>
      <c r="H178" s="33" t="s">
        <v>214</v>
      </c>
      <c r="I178" s="33" t="s">
        <v>92</v>
      </c>
    </row>
    <row r="179" spans="1:9" ht="21" x14ac:dyDescent="0.25">
      <c r="A179" s="47">
        <v>20</v>
      </c>
      <c r="B179" s="30" t="s">
        <v>63</v>
      </c>
      <c r="C179" s="30" t="s">
        <v>236</v>
      </c>
      <c r="D179" s="73" t="s">
        <v>20</v>
      </c>
      <c r="E179" s="73"/>
      <c r="F179" s="139">
        <v>23133846.370000001</v>
      </c>
      <c r="G179" s="50"/>
      <c r="H179" s="69" t="s">
        <v>264</v>
      </c>
      <c r="I179" s="69" t="s">
        <v>64</v>
      </c>
    </row>
    <row r="180" spans="1:9" ht="42" customHeight="1" x14ac:dyDescent="0.25">
      <c r="A180" s="10">
        <v>21</v>
      </c>
      <c r="B180" s="30" t="s">
        <v>63</v>
      </c>
      <c r="C180" s="30" t="s">
        <v>226</v>
      </c>
      <c r="D180" s="73" t="s">
        <v>20</v>
      </c>
      <c r="E180" s="73"/>
      <c r="F180" s="139">
        <v>39864008.013800003</v>
      </c>
      <c r="G180" s="4"/>
      <c r="H180" s="69" t="s">
        <v>271</v>
      </c>
      <c r="I180" s="69" t="s">
        <v>64</v>
      </c>
    </row>
    <row r="181" spans="1:9" ht="21" x14ac:dyDescent="0.25">
      <c r="A181" s="10">
        <v>22</v>
      </c>
      <c r="B181" s="11" t="s">
        <v>185</v>
      </c>
      <c r="C181" s="72" t="s">
        <v>186</v>
      </c>
      <c r="D181" s="63" t="s">
        <v>20</v>
      </c>
      <c r="E181" s="63"/>
      <c r="F181" s="160">
        <v>29674989.149999999</v>
      </c>
      <c r="G181" s="31"/>
      <c r="H181" s="33" t="s">
        <v>215</v>
      </c>
      <c r="I181" s="33" t="s">
        <v>92</v>
      </c>
    </row>
    <row r="182" spans="1:9" ht="21" x14ac:dyDescent="0.25">
      <c r="A182" s="47">
        <v>23</v>
      </c>
      <c r="B182" s="11" t="s">
        <v>89</v>
      </c>
      <c r="C182" s="72" t="s">
        <v>187</v>
      </c>
      <c r="D182" s="63" t="s">
        <v>225</v>
      </c>
      <c r="E182" s="63"/>
      <c r="F182" s="160">
        <v>25779334.210000001</v>
      </c>
      <c r="G182" s="31"/>
      <c r="H182" s="33" t="s">
        <v>216</v>
      </c>
      <c r="I182" s="133" t="s">
        <v>18</v>
      </c>
    </row>
    <row r="183" spans="1:9" ht="21" x14ac:dyDescent="0.25">
      <c r="A183" s="10">
        <v>24</v>
      </c>
      <c r="B183" s="46" t="s">
        <v>89</v>
      </c>
      <c r="C183" s="46" t="s">
        <v>237</v>
      </c>
      <c r="D183" s="31" t="s">
        <v>20</v>
      </c>
      <c r="E183" s="31"/>
      <c r="F183" s="139">
        <v>40347959</v>
      </c>
      <c r="G183" s="50"/>
      <c r="H183" s="69" t="s">
        <v>265</v>
      </c>
      <c r="I183" s="69" t="s">
        <v>18</v>
      </c>
    </row>
    <row r="184" spans="1:9" ht="21" x14ac:dyDescent="0.25">
      <c r="A184" s="10">
        <v>25</v>
      </c>
      <c r="B184" s="11" t="s">
        <v>251</v>
      </c>
      <c r="C184" s="72" t="s">
        <v>252</v>
      </c>
      <c r="D184" s="63" t="s">
        <v>20</v>
      </c>
      <c r="E184" s="63"/>
      <c r="F184" s="159">
        <v>44024340.259999998</v>
      </c>
      <c r="G184" s="50"/>
      <c r="H184" s="69" t="s">
        <v>261</v>
      </c>
      <c r="I184" s="69" t="s">
        <v>18</v>
      </c>
    </row>
    <row r="185" spans="1:9" ht="21" x14ac:dyDescent="0.25">
      <c r="A185" s="47">
        <v>26</v>
      </c>
      <c r="B185" s="11" t="s">
        <v>0</v>
      </c>
      <c r="C185" s="72" t="s">
        <v>159</v>
      </c>
      <c r="D185" s="63" t="s">
        <v>20</v>
      </c>
      <c r="E185" s="63"/>
      <c r="F185" s="159">
        <v>55691791.030000001</v>
      </c>
      <c r="G185" s="50"/>
      <c r="H185" s="69" t="s">
        <v>278</v>
      </c>
      <c r="I185" s="69" t="s">
        <v>35</v>
      </c>
    </row>
    <row r="186" spans="1:9" ht="24" customHeight="1" x14ac:dyDescent="0.25">
      <c r="A186" s="10">
        <v>27</v>
      </c>
      <c r="B186" s="46" t="s">
        <v>0</v>
      </c>
      <c r="C186" s="46" t="s">
        <v>157</v>
      </c>
      <c r="D186" s="73" t="s">
        <v>20</v>
      </c>
      <c r="E186" s="73"/>
      <c r="F186" s="139">
        <v>12578201.939999999</v>
      </c>
      <c r="G186" s="50"/>
      <c r="H186" s="69" t="s">
        <v>158</v>
      </c>
      <c r="I186" s="69" t="s">
        <v>35</v>
      </c>
    </row>
    <row r="187" spans="1:9" s="31" customFormat="1" ht="24" customHeight="1" thickBot="1" x14ac:dyDescent="0.3">
      <c r="A187" s="295"/>
      <c r="B187" s="21" t="s">
        <v>13</v>
      </c>
      <c r="C187" s="56"/>
      <c r="D187" s="49"/>
      <c r="E187" s="49"/>
      <c r="F187" s="41">
        <f>SUM(F160:F186)</f>
        <v>938089877.12790012</v>
      </c>
      <c r="G187" s="41"/>
      <c r="H187" s="67"/>
      <c r="I187" s="68" t="s">
        <v>14</v>
      </c>
    </row>
    <row r="188" spans="1:9" ht="21.75" customHeight="1" thickTop="1" x14ac:dyDescent="0.25">
      <c r="A188" s="18" t="s">
        <v>15</v>
      </c>
      <c r="B188" s="17"/>
      <c r="I188" s="12" t="s">
        <v>16</v>
      </c>
    </row>
    <row r="189" spans="1:9" ht="17.25" x14ac:dyDescent="0.25">
      <c r="B189" s="18"/>
      <c r="I189" s="12"/>
    </row>
  </sheetData>
  <mergeCells count="32">
    <mergeCell ref="F145:F146"/>
    <mergeCell ref="A154:I154"/>
    <mergeCell ref="A155:I155"/>
    <mergeCell ref="A157:A158"/>
    <mergeCell ref="B157:B158"/>
    <mergeCell ref="C157:C158"/>
    <mergeCell ref="H157:H158"/>
    <mergeCell ref="I157:I158"/>
    <mergeCell ref="A112:I112"/>
    <mergeCell ref="A113:I113"/>
    <mergeCell ref="A115:A116"/>
    <mergeCell ref="B115:B116"/>
    <mergeCell ref="C115:C116"/>
    <mergeCell ref="H115:H116"/>
    <mergeCell ref="I115:I116"/>
    <mergeCell ref="A1:I1"/>
    <mergeCell ref="A2:I2"/>
    <mergeCell ref="H4:H5"/>
    <mergeCell ref="I4:I5"/>
    <mergeCell ref="I59:I60"/>
    <mergeCell ref="A59:A60"/>
    <mergeCell ref="B59:B60"/>
    <mergeCell ref="C59:C60"/>
    <mergeCell ref="A56:I56"/>
    <mergeCell ref="A57:I57"/>
    <mergeCell ref="H59:H60"/>
    <mergeCell ref="A4:A5"/>
    <mergeCell ref="B4:B5"/>
    <mergeCell ref="C4:C5"/>
    <mergeCell ref="F43:F46"/>
    <mergeCell ref="F47:F48"/>
    <mergeCell ref="F50:F51"/>
  </mergeCells>
  <pageMargins left="0.7" right="0.7" top="0.75" bottom="0.75" header="0.3" footer="0.3"/>
  <pageSetup paperSize="9" scale="56" orientation="portrait" horizontalDpi="4294967295" verticalDpi="4294967295" r:id="rId1"/>
  <rowBreaks count="2" manualBreakCount="2">
    <brk id="54" max="11" man="1"/>
    <brk id="151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R54"/>
  <sheetViews>
    <sheetView zoomScale="130" zoomScaleNormal="130" workbookViewId="0">
      <selection activeCell="K18" sqref="K18"/>
    </sheetView>
  </sheetViews>
  <sheetFormatPr defaultColWidth="9.140625" defaultRowHeight="15" x14ac:dyDescent="0.25"/>
  <cols>
    <col min="1" max="1" width="3" style="13" customWidth="1"/>
    <col min="2" max="2" width="9.140625" style="13"/>
    <col min="3" max="3" width="22.42578125" style="13" customWidth="1"/>
    <col min="4" max="4" width="11.5703125" style="13" customWidth="1"/>
    <col min="5" max="5" width="16.28515625" style="13" bestFit="1" customWidth="1"/>
    <col min="6" max="6" width="2.42578125" style="13" customWidth="1"/>
    <col min="7" max="7" width="14.140625" style="13" customWidth="1"/>
    <col min="8" max="8" width="7.140625" style="13" customWidth="1"/>
    <col min="9" max="9" width="4.140625" style="13" customWidth="1"/>
    <col min="10" max="11" width="9.140625" style="13"/>
    <col min="12" max="33" width="7.85546875" style="13" customWidth="1"/>
    <col min="34" max="16384" width="9.140625" style="13"/>
  </cols>
  <sheetData>
    <row r="1" spans="2:18" s="17" customFormat="1" ht="21.75" customHeight="1" x14ac:dyDescent="0.25">
      <c r="B1" s="307" t="s">
        <v>163</v>
      </c>
      <c r="C1" s="307"/>
      <c r="D1" s="307"/>
      <c r="E1" s="307"/>
      <c r="F1" s="307"/>
      <c r="G1" s="307"/>
      <c r="H1" s="307"/>
    </row>
    <row r="2" spans="2:18" s="17" customFormat="1" ht="15.75" x14ac:dyDescent="0.25">
      <c r="B2" s="328" t="s">
        <v>162</v>
      </c>
      <c r="C2" s="328"/>
      <c r="D2" s="328"/>
      <c r="E2" s="328"/>
      <c r="F2" s="328"/>
      <c r="G2" s="328"/>
      <c r="H2" s="328"/>
    </row>
    <row r="3" spans="2:18" x14ac:dyDescent="0.25">
      <c r="L3" s="17"/>
      <c r="M3" s="17"/>
      <c r="N3" s="17"/>
      <c r="O3" s="17"/>
      <c r="P3" s="17"/>
      <c r="Q3" s="17"/>
      <c r="R3" s="17"/>
    </row>
    <row r="4" spans="2:18" ht="18.75" x14ac:dyDescent="0.25">
      <c r="B4" s="322" t="s">
        <v>6</v>
      </c>
      <c r="C4" s="324" t="s">
        <v>7</v>
      </c>
      <c r="D4" s="14" t="s">
        <v>8</v>
      </c>
      <c r="E4" s="19" t="s">
        <v>9</v>
      </c>
      <c r="F4" s="14"/>
      <c r="G4" s="314" t="s">
        <v>10</v>
      </c>
      <c r="H4" s="316" t="s">
        <v>11</v>
      </c>
      <c r="L4" s="17"/>
      <c r="M4" s="17"/>
      <c r="N4" s="17"/>
      <c r="O4" s="17"/>
      <c r="P4" s="17"/>
      <c r="Q4" s="17"/>
      <c r="R4" s="17"/>
    </row>
    <row r="5" spans="2:18" ht="30" x14ac:dyDescent="0.25">
      <c r="B5" s="323"/>
      <c r="C5" s="325"/>
      <c r="D5" s="15" t="s">
        <v>12</v>
      </c>
      <c r="E5" s="20" t="s">
        <v>19</v>
      </c>
      <c r="F5" s="15"/>
      <c r="G5" s="315"/>
      <c r="H5" s="317"/>
      <c r="L5" s="17"/>
      <c r="M5" s="17"/>
      <c r="N5" s="17"/>
      <c r="O5" s="17"/>
      <c r="P5" s="17"/>
      <c r="Q5" s="17"/>
      <c r="R5" s="17"/>
    </row>
    <row r="6" spans="2:18" ht="21" x14ac:dyDescent="0.55000000000000004">
      <c r="B6" s="24" t="s">
        <v>5</v>
      </c>
      <c r="C6" s="25" t="s">
        <v>324</v>
      </c>
      <c r="D6" s="26" t="s">
        <v>20</v>
      </c>
      <c r="E6" s="339" t="s">
        <v>400</v>
      </c>
      <c r="F6" s="27"/>
      <c r="G6" s="29" t="s">
        <v>325</v>
      </c>
      <c r="H6" s="29" t="s">
        <v>31</v>
      </c>
      <c r="L6" s="17"/>
      <c r="M6" s="17"/>
      <c r="N6" s="17"/>
      <c r="O6" s="17"/>
      <c r="P6" s="17"/>
      <c r="Q6" s="17"/>
      <c r="R6" s="17"/>
    </row>
    <row r="7" spans="2:18" ht="19.5" customHeight="1" x14ac:dyDescent="0.55000000000000004">
      <c r="B7" s="30" t="s">
        <v>90</v>
      </c>
      <c r="C7" s="73" t="s">
        <v>326</v>
      </c>
      <c r="D7" s="80" t="s">
        <v>20</v>
      </c>
      <c r="E7" s="340" t="s">
        <v>400</v>
      </c>
      <c r="F7" s="73"/>
      <c r="G7" s="32" t="s">
        <v>327</v>
      </c>
      <c r="H7" s="32" t="s">
        <v>92</v>
      </c>
      <c r="L7" s="17"/>
      <c r="M7" s="17"/>
      <c r="N7" s="17"/>
      <c r="O7" s="17"/>
      <c r="P7" s="17"/>
      <c r="Q7" s="17"/>
      <c r="R7" s="17"/>
    </row>
    <row r="8" spans="2:18" s="23" customFormat="1" ht="21.75" thickBot="1" x14ac:dyDescent="0.3">
      <c r="B8" s="21" t="s">
        <v>13</v>
      </c>
      <c r="C8" s="22"/>
      <c r="D8" s="22"/>
      <c r="E8" s="42">
        <f>SUM(E6:E7)</f>
        <v>0</v>
      </c>
      <c r="F8" s="22"/>
      <c r="G8" s="22"/>
      <c r="H8" s="16" t="s">
        <v>14</v>
      </c>
      <c r="L8" s="17"/>
      <c r="M8" s="17"/>
      <c r="N8" s="17"/>
      <c r="O8" s="17"/>
      <c r="P8" s="17"/>
      <c r="Q8" s="17"/>
      <c r="R8" s="17"/>
    </row>
    <row r="9" spans="2:18" ht="18" thickTop="1" x14ac:dyDescent="0.25">
      <c r="B9" s="18" t="s">
        <v>15</v>
      </c>
      <c r="H9" s="12" t="s">
        <v>16</v>
      </c>
      <c r="L9" s="17"/>
      <c r="M9" s="17"/>
      <c r="N9" s="17"/>
      <c r="O9" s="17"/>
      <c r="P9" s="17"/>
      <c r="Q9" s="17"/>
      <c r="R9" s="17"/>
    </row>
    <row r="10" spans="2:18" ht="17.25" x14ac:dyDescent="0.25">
      <c r="B10" s="18"/>
      <c r="H10" s="12"/>
      <c r="L10" s="17"/>
      <c r="M10" s="17"/>
      <c r="N10" s="17"/>
      <c r="O10" s="17"/>
      <c r="P10" s="17"/>
      <c r="Q10" s="17"/>
      <c r="R10" s="17"/>
    </row>
    <row r="11" spans="2:18" ht="17.25" x14ac:dyDescent="0.25">
      <c r="B11" s="18"/>
      <c r="H11" s="12"/>
      <c r="L11" s="17"/>
      <c r="M11" s="17"/>
      <c r="N11" s="17"/>
      <c r="O11" s="17"/>
      <c r="P11" s="17"/>
      <c r="Q11" s="17"/>
      <c r="R11" s="17"/>
    </row>
    <row r="12" spans="2:18" x14ac:dyDescent="0.25">
      <c r="L12" s="17"/>
      <c r="M12" s="17"/>
      <c r="N12" s="17"/>
      <c r="O12" s="17"/>
      <c r="P12" s="17"/>
      <c r="Q12" s="17"/>
      <c r="R12" s="17"/>
    </row>
    <row r="13" spans="2:18" s="17" customFormat="1" ht="19.5" customHeight="1" x14ac:dyDescent="0.25">
      <c r="B13" s="307" t="s">
        <v>42</v>
      </c>
      <c r="C13" s="307"/>
      <c r="D13" s="307"/>
      <c r="E13" s="307"/>
      <c r="F13" s="307"/>
      <c r="G13" s="307"/>
      <c r="H13" s="307"/>
    </row>
    <row r="14" spans="2:18" s="17" customFormat="1" ht="15" customHeight="1" x14ac:dyDescent="0.25">
      <c r="B14" s="328" t="s">
        <v>43</v>
      </c>
      <c r="C14" s="328"/>
      <c r="D14" s="328"/>
      <c r="E14" s="328"/>
      <c r="F14" s="328"/>
      <c r="G14" s="328"/>
      <c r="H14" s="328"/>
    </row>
    <row r="15" spans="2:18" x14ac:dyDescent="0.25">
      <c r="L15" s="17"/>
      <c r="M15" s="17"/>
      <c r="N15" s="17"/>
      <c r="O15" s="17"/>
      <c r="P15" s="17"/>
      <c r="Q15" s="17"/>
      <c r="R15" s="17"/>
    </row>
    <row r="16" spans="2:18" ht="27" customHeight="1" x14ac:dyDescent="0.25">
      <c r="B16" s="322" t="s">
        <v>6</v>
      </c>
      <c r="C16" s="324" t="s">
        <v>7</v>
      </c>
      <c r="D16" s="14" t="s">
        <v>8</v>
      </c>
      <c r="E16" s="19" t="s">
        <v>9</v>
      </c>
      <c r="F16" s="14"/>
      <c r="G16" s="314" t="s">
        <v>10</v>
      </c>
      <c r="H16" s="316" t="s">
        <v>11</v>
      </c>
      <c r="L16" s="17"/>
      <c r="M16" s="17"/>
      <c r="N16" s="17"/>
      <c r="O16" s="17"/>
      <c r="P16" s="17"/>
      <c r="Q16" s="17"/>
      <c r="R16" s="17"/>
    </row>
    <row r="17" spans="2:18" ht="30" x14ac:dyDescent="0.25">
      <c r="B17" s="323"/>
      <c r="C17" s="325"/>
      <c r="D17" s="15" t="s">
        <v>12</v>
      </c>
      <c r="E17" s="20" t="s">
        <v>19</v>
      </c>
      <c r="F17" s="15"/>
      <c r="G17" s="315"/>
      <c r="H17" s="317"/>
      <c r="L17" s="17"/>
      <c r="M17" s="17"/>
      <c r="N17" s="17"/>
      <c r="O17" s="17"/>
      <c r="P17" s="17"/>
      <c r="Q17" s="17"/>
      <c r="R17" s="17"/>
    </row>
    <row r="18" spans="2:18" ht="26.25" customHeight="1" x14ac:dyDescent="0.55000000000000004">
      <c r="B18" s="24" t="s">
        <v>74</v>
      </c>
      <c r="C18" s="25" t="s">
        <v>75</v>
      </c>
      <c r="D18" s="26" t="s">
        <v>20</v>
      </c>
      <c r="E18" s="162">
        <v>27772203.530000001</v>
      </c>
      <c r="F18" s="27"/>
      <c r="G18" s="29" t="s">
        <v>69</v>
      </c>
      <c r="H18" s="29" t="s">
        <v>68</v>
      </c>
      <c r="L18" s="17"/>
      <c r="M18" s="17"/>
      <c r="N18" s="17"/>
      <c r="O18" s="17"/>
      <c r="P18" s="17"/>
    </row>
    <row r="19" spans="2:18" ht="26.25" customHeight="1" x14ac:dyDescent="0.55000000000000004">
      <c r="B19" s="30" t="s">
        <v>1</v>
      </c>
      <c r="C19" s="73" t="s">
        <v>76</v>
      </c>
      <c r="D19" s="80" t="s">
        <v>20</v>
      </c>
      <c r="E19" s="74">
        <v>33270949.530000001</v>
      </c>
      <c r="F19" s="31"/>
      <c r="G19" s="32" t="s">
        <v>70</v>
      </c>
      <c r="H19" s="32" t="s">
        <v>22</v>
      </c>
      <c r="L19" s="17"/>
      <c r="M19" s="17"/>
      <c r="N19" s="17"/>
      <c r="O19" s="17"/>
      <c r="P19" s="17"/>
    </row>
    <row r="20" spans="2:18" ht="26.25" customHeight="1" x14ac:dyDescent="0.55000000000000004">
      <c r="B20" s="30" t="s">
        <v>77</v>
      </c>
      <c r="C20" s="73" t="s">
        <v>78</v>
      </c>
      <c r="D20" s="80" t="s">
        <v>20</v>
      </c>
      <c r="E20" s="74">
        <v>32998200.329999998</v>
      </c>
      <c r="F20" s="31"/>
      <c r="G20" s="32" t="s">
        <v>72</v>
      </c>
      <c r="H20" s="32" t="s">
        <v>71</v>
      </c>
      <c r="L20" s="17"/>
      <c r="M20" s="17"/>
      <c r="N20" s="17"/>
      <c r="O20" s="17"/>
      <c r="P20" s="17"/>
    </row>
    <row r="21" spans="2:18" ht="26.25" customHeight="1" x14ac:dyDescent="0.55000000000000004">
      <c r="B21" s="30" t="s">
        <v>5</v>
      </c>
      <c r="C21" s="73" t="s">
        <v>23</v>
      </c>
      <c r="D21" s="80" t="s">
        <v>20</v>
      </c>
      <c r="E21" s="74">
        <v>30616328.460000001</v>
      </c>
      <c r="F21" s="31"/>
      <c r="G21" s="32" t="s">
        <v>24</v>
      </c>
      <c r="H21" s="32" t="s">
        <v>31</v>
      </c>
      <c r="L21" s="17"/>
      <c r="M21" s="17"/>
      <c r="N21" s="17"/>
      <c r="O21" s="17"/>
      <c r="P21" s="17"/>
    </row>
    <row r="22" spans="2:18" ht="26.25" customHeight="1" x14ac:dyDescent="0.55000000000000004">
      <c r="B22" s="30" t="s">
        <v>5</v>
      </c>
      <c r="C22" s="73" t="s">
        <v>32</v>
      </c>
      <c r="D22" s="80" t="s">
        <v>20</v>
      </c>
      <c r="E22" s="74">
        <v>32609188.920000002</v>
      </c>
      <c r="F22" s="31"/>
      <c r="G22" s="32" t="s">
        <v>33</v>
      </c>
      <c r="H22" s="32" t="s">
        <v>31</v>
      </c>
      <c r="L22" s="17"/>
      <c r="M22" s="17"/>
      <c r="N22" s="17"/>
      <c r="O22" s="17"/>
      <c r="P22" s="17"/>
    </row>
    <row r="23" spans="2:18" ht="26.25" customHeight="1" x14ac:dyDescent="0.55000000000000004">
      <c r="B23" s="30" t="s">
        <v>0</v>
      </c>
      <c r="C23" s="73" t="s">
        <v>79</v>
      </c>
      <c r="D23" s="80" t="s">
        <v>20</v>
      </c>
      <c r="E23" s="74">
        <v>11371462.859999999</v>
      </c>
      <c r="F23" s="31"/>
      <c r="G23" s="32" t="s">
        <v>36</v>
      </c>
      <c r="H23" s="32" t="s">
        <v>35</v>
      </c>
    </row>
    <row r="24" spans="2:18" ht="26.25" customHeight="1" x14ac:dyDescent="0.55000000000000004">
      <c r="B24" s="30" t="s">
        <v>4</v>
      </c>
      <c r="C24" s="73" t="s">
        <v>80</v>
      </c>
      <c r="D24" s="80" t="s">
        <v>20</v>
      </c>
      <c r="E24" s="74">
        <v>46494789.219999999</v>
      </c>
      <c r="F24" s="31"/>
      <c r="G24" s="32" t="s">
        <v>73</v>
      </c>
      <c r="H24" s="32" t="s">
        <v>21</v>
      </c>
    </row>
    <row r="25" spans="2:18" s="23" customFormat="1" ht="26.25" customHeight="1" thickBot="1" x14ac:dyDescent="0.3">
      <c r="B25" s="21" t="s">
        <v>13</v>
      </c>
      <c r="C25" s="22"/>
      <c r="D25" s="22"/>
      <c r="E25" s="42">
        <f>SUM(E18:E24)</f>
        <v>215133122.84999999</v>
      </c>
      <c r="F25" s="22"/>
      <c r="G25" s="22"/>
      <c r="H25" s="16" t="s">
        <v>14</v>
      </c>
    </row>
    <row r="26" spans="2:18" ht="26.25" customHeight="1" thickTop="1" x14ac:dyDescent="0.25">
      <c r="B26" s="18" t="s">
        <v>15</v>
      </c>
      <c r="H26" s="12" t="s">
        <v>16</v>
      </c>
    </row>
    <row r="27" spans="2:18" ht="17.25" x14ac:dyDescent="0.25">
      <c r="B27" s="18"/>
      <c r="H27" s="12"/>
    </row>
    <row r="29" spans="2:18" s="17" customFormat="1" ht="21.75" x14ac:dyDescent="0.25">
      <c r="B29" s="307" t="s">
        <v>40</v>
      </c>
      <c r="C29" s="307"/>
      <c r="D29" s="307"/>
      <c r="E29" s="307"/>
      <c r="F29" s="307"/>
      <c r="G29" s="307"/>
      <c r="H29" s="307"/>
    </row>
    <row r="30" spans="2:18" s="17" customFormat="1" ht="15.75" x14ac:dyDescent="0.25">
      <c r="B30" s="328" t="s">
        <v>41</v>
      </c>
      <c r="C30" s="328"/>
      <c r="D30" s="328"/>
      <c r="E30" s="328"/>
      <c r="F30" s="328"/>
      <c r="G30" s="328"/>
      <c r="H30" s="328"/>
    </row>
    <row r="31" spans="2:18" ht="19.5" customHeight="1" x14ac:dyDescent="0.25"/>
    <row r="32" spans="2:18" ht="15" customHeight="1" x14ac:dyDescent="0.25">
      <c r="B32" s="322" t="s">
        <v>6</v>
      </c>
      <c r="C32" s="324" t="s">
        <v>7</v>
      </c>
      <c r="D32" s="14" t="s">
        <v>8</v>
      </c>
      <c r="E32" s="19" t="s">
        <v>9</v>
      </c>
      <c r="F32" s="14"/>
      <c r="G32" s="314" t="s">
        <v>10</v>
      </c>
      <c r="H32" s="316" t="s">
        <v>11</v>
      </c>
    </row>
    <row r="33" spans="2:8" ht="30" x14ac:dyDescent="0.25">
      <c r="B33" s="323"/>
      <c r="C33" s="325"/>
      <c r="D33" s="15" t="s">
        <v>12</v>
      </c>
      <c r="E33" s="20" t="s">
        <v>19</v>
      </c>
      <c r="F33" s="15"/>
      <c r="G33" s="315"/>
      <c r="H33" s="317"/>
    </row>
    <row r="34" spans="2:8" ht="27" customHeight="1" x14ac:dyDescent="0.55000000000000004">
      <c r="B34" s="30" t="s">
        <v>63</v>
      </c>
      <c r="C34" s="73" t="s">
        <v>66</v>
      </c>
      <c r="D34" s="34" t="s">
        <v>20</v>
      </c>
      <c r="E34" s="74">
        <v>47213032.710000001</v>
      </c>
      <c r="F34" s="31"/>
      <c r="G34" s="32" t="s">
        <v>65</v>
      </c>
      <c r="H34" s="32" t="s">
        <v>64</v>
      </c>
    </row>
    <row r="35" spans="2:8" s="23" customFormat="1" ht="21.75" thickBot="1" x14ac:dyDescent="0.3">
      <c r="B35" s="21" t="s">
        <v>13</v>
      </c>
      <c r="C35" s="22"/>
      <c r="D35" s="22"/>
      <c r="E35" s="42">
        <f>SUM(E34:E34)</f>
        <v>47213032.710000001</v>
      </c>
      <c r="F35" s="22"/>
      <c r="G35" s="22"/>
      <c r="H35" s="16" t="s">
        <v>14</v>
      </c>
    </row>
    <row r="36" spans="2:8" ht="18" thickTop="1" x14ac:dyDescent="0.25">
      <c r="B36" s="18" t="s">
        <v>15</v>
      </c>
      <c r="H36" s="12" t="s">
        <v>16</v>
      </c>
    </row>
    <row r="37" spans="2:8" ht="17.25" x14ac:dyDescent="0.25">
      <c r="B37" s="18"/>
      <c r="H37" s="12"/>
    </row>
    <row r="38" spans="2:8" ht="26.25" customHeight="1" x14ac:dyDescent="0.25"/>
    <row r="39" spans="2:8" s="17" customFormat="1" ht="21.75" x14ac:dyDescent="0.25">
      <c r="B39" s="307" t="s">
        <v>37</v>
      </c>
      <c r="C39" s="307"/>
      <c r="D39" s="307"/>
      <c r="E39" s="307"/>
      <c r="F39" s="307"/>
      <c r="G39" s="307"/>
      <c r="H39" s="307"/>
    </row>
    <row r="40" spans="2:8" s="17" customFormat="1" ht="15.75" x14ac:dyDescent="0.25">
      <c r="B40" s="328" t="s">
        <v>38</v>
      </c>
      <c r="C40" s="328"/>
      <c r="D40" s="328"/>
      <c r="E40" s="328"/>
      <c r="F40" s="328"/>
      <c r="G40" s="328"/>
      <c r="H40" s="328"/>
    </row>
    <row r="42" spans="2:8" ht="18.75" x14ac:dyDescent="0.25">
      <c r="B42" s="322" t="s">
        <v>6</v>
      </c>
      <c r="C42" s="324" t="s">
        <v>7</v>
      </c>
      <c r="D42" s="14" t="s">
        <v>8</v>
      </c>
      <c r="E42" s="19" t="s">
        <v>9</v>
      </c>
      <c r="F42" s="14"/>
      <c r="G42" s="314" t="s">
        <v>10</v>
      </c>
      <c r="H42" s="316" t="s">
        <v>11</v>
      </c>
    </row>
    <row r="43" spans="2:8" ht="27.75" customHeight="1" x14ac:dyDescent="0.25">
      <c r="B43" s="323"/>
      <c r="C43" s="325"/>
      <c r="D43" s="15" t="s">
        <v>12</v>
      </c>
      <c r="E43" s="20" t="s">
        <v>19</v>
      </c>
      <c r="F43" s="15"/>
      <c r="G43" s="315"/>
      <c r="H43" s="317"/>
    </row>
    <row r="44" spans="2:8" ht="15" customHeight="1" x14ac:dyDescent="0.55000000000000004">
      <c r="B44" s="24" t="s">
        <v>51</v>
      </c>
      <c r="C44" s="25" t="s">
        <v>52</v>
      </c>
      <c r="D44" s="26" t="s">
        <v>20</v>
      </c>
      <c r="E44" s="162">
        <v>49196907.950000003</v>
      </c>
      <c r="F44" s="27"/>
      <c r="G44" s="29" t="s">
        <v>44</v>
      </c>
      <c r="H44" s="29" t="s">
        <v>45</v>
      </c>
    </row>
    <row r="45" spans="2:8" ht="21" x14ac:dyDescent="0.55000000000000004">
      <c r="B45" s="30" t="s">
        <v>53</v>
      </c>
      <c r="C45" s="73" t="s">
        <v>54</v>
      </c>
      <c r="D45" s="80" t="s">
        <v>20</v>
      </c>
      <c r="E45" s="74">
        <v>85649514.870000005</v>
      </c>
      <c r="F45" s="31"/>
      <c r="G45" s="32" t="s">
        <v>46</v>
      </c>
      <c r="H45" s="32" t="s">
        <v>27</v>
      </c>
    </row>
    <row r="46" spans="2:8" ht="27" customHeight="1" x14ac:dyDescent="0.55000000000000004">
      <c r="B46" s="30" t="s">
        <v>2</v>
      </c>
      <c r="C46" s="73" t="s">
        <v>55</v>
      </c>
      <c r="D46" s="80" t="s">
        <v>20</v>
      </c>
      <c r="E46" s="74">
        <v>56704535.350000001</v>
      </c>
      <c r="F46" s="31"/>
      <c r="G46" s="32" t="s">
        <v>47</v>
      </c>
      <c r="H46" s="32" t="s">
        <v>17</v>
      </c>
    </row>
    <row r="47" spans="2:8" ht="21" x14ac:dyDescent="0.55000000000000004">
      <c r="B47" s="30" t="s">
        <v>53</v>
      </c>
      <c r="C47" s="73" t="s">
        <v>56</v>
      </c>
      <c r="D47" s="80" t="s">
        <v>20</v>
      </c>
      <c r="E47" s="74">
        <v>60463578.780000001</v>
      </c>
      <c r="F47" s="31"/>
      <c r="G47" s="32" t="s">
        <v>39</v>
      </c>
      <c r="H47" s="32" t="s">
        <v>27</v>
      </c>
    </row>
    <row r="48" spans="2:8" ht="26.25" customHeight="1" x14ac:dyDescent="0.55000000000000004">
      <c r="B48" s="30" t="s">
        <v>57</v>
      </c>
      <c r="C48" s="73" t="s">
        <v>34</v>
      </c>
      <c r="D48" s="80" t="s">
        <v>20</v>
      </c>
      <c r="E48" s="74">
        <v>76166861.769999996</v>
      </c>
      <c r="F48" s="31"/>
      <c r="G48" s="32" t="s">
        <v>48</v>
      </c>
      <c r="H48" s="32" t="s">
        <v>25</v>
      </c>
    </row>
    <row r="49" spans="2:8" ht="26.25" customHeight="1" x14ac:dyDescent="0.55000000000000004">
      <c r="B49" s="30" t="s">
        <v>58</v>
      </c>
      <c r="C49" s="73" t="s">
        <v>59</v>
      </c>
      <c r="D49" s="80" t="s">
        <v>20</v>
      </c>
      <c r="E49" s="74">
        <v>64383285.810000002</v>
      </c>
      <c r="F49" s="31"/>
      <c r="G49" s="32" t="s">
        <v>49</v>
      </c>
      <c r="H49" s="32" t="s">
        <v>18</v>
      </c>
    </row>
    <row r="50" spans="2:8" ht="26.25" customHeight="1" x14ac:dyDescent="0.55000000000000004">
      <c r="B50" s="30" t="s">
        <v>60</v>
      </c>
      <c r="C50" s="73" t="s">
        <v>61</v>
      </c>
      <c r="D50" s="80" t="s">
        <v>20</v>
      </c>
      <c r="E50" s="4">
        <v>87567690.730000004</v>
      </c>
      <c r="F50" s="73"/>
      <c r="G50" s="32" t="s">
        <v>50</v>
      </c>
      <c r="H50" s="32" t="s">
        <v>26</v>
      </c>
    </row>
    <row r="51" spans="2:8" s="23" customFormat="1" ht="26.25" customHeight="1" thickBot="1" x14ac:dyDescent="0.3">
      <c r="B51" s="21" t="s">
        <v>13</v>
      </c>
      <c r="C51" s="22"/>
      <c r="D51" s="22"/>
      <c r="E51" s="42">
        <f>SUM(E44:E50)</f>
        <v>480132375.25999999</v>
      </c>
      <c r="F51" s="22"/>
      <c r="G51" s="22"/>
      <c r="H51" s="16" t="s">
        <v>14</v>
      </c>
    </row>
    <row r="52" spans="2:8" ht="26.25" customHeight="1" thickTop="1" x14ac:dyDescent="0.25">
      <c r="B52" s="18" t="s">
        <v>15</v>
      </c>
      <c r="H52" s="12" t="s">
        <v>16</v>
      </c>
    </row>
    <row r="53" spans="2:8" ht="26.25" customHeight="1" x14ac:dyDescent="0.25"/>
    <row r="54" spans="2:8" ht="26.25" customHeight="1" x14ac:dyDescent="0.25"/>
  </sheetData>
  <mergeCells count="24">
    <mergeCell ref="B39:H39"/>
    <mergeCell ref="B40:H40"/>
    <mergeCell ref="B42:B43"/>
    <mergeCell ref="C42:C43"/>
    <mergeCell ref="G42:G43"/>
    <mergeCell ref="H42:H43"/>
    <mergeCell ref="B29:H29"/>
    <mergeCell ref="B30:H30"/>
    <mergeCell ref="B32:B33"/>
    <mergeCell ref="C32:C33"/>
    <mergeCell ref="G32:G33"/>
    <mergeCell ref="H32:H33"/>
    <mergeCell ref="B13:H13"/>
    <mergeCell ref="B14:H14"/>
    <mergeCell ref="B16:B17"/>
    <mergeCell ref="C16:C17"/>
    <mergeCell ref="G16:G17"/>
    <mergeCell ref="H16:H17"/>
    <mergeCell ref="B1:H1"/>
    <mergeCell ref="B2:H2"/>
    <mergeCell ref="B4:B5"/>
    <mergeCell ref="C4:C5"/>
    <mergeCell ref="G4:G5"/>
    <mergeCell ref="H4:H5"/>
  </mergeCells>
  <pageMargins left="0.7" right="0.7" top="0.75" bottom="0.75" header="0.3" footer="0.3"/>
  <pageSetup paperSize="9" scale="67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4.4</vt:lpstr>
      <vt:lpstr>4.5</vt:lpstr>
      <vt:lpstr>4.7</vt:lpstr>
      <vt:lpstr>4.8</vt:lpstr>
      <vt:lpstr>4.9</vt:lpstr>
      <vt:lpstr>4.10</vt:lpstr>
      <vt:lpstr>'4.10'!Print_Area</vt:lpstr>
      <vt:lpstr>'4.7'!Print_Area</vt:lpstr>
      <vt:lpstr>'4.8'!Print_Area</vt:lpstr>
      <vt:lpstr>'4.9'!Print_Area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2017-05-17T07:29:42Z</cp:lastPrinted>
  <dcterms:created xsi:type="dcterms:W3CDTF">2014-03-04T07:02:54Z</dcterms:created>
  <dcterms:modified xsi:type="dcterms:W3CDTF">2017-10-19T06:44:25Z</dcterms:modified>
</cp:coreProperties>
</file>