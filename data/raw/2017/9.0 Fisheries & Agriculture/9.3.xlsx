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9. FISHERIES AND AGRICULTURE\"/>
    </mc:Choice>
  </mc:AlternateContent>
  <bookViews>
    <workbookView xWindow="0" yWindow="0" windowWidth="25125" windowHeight="12345" tabRatio="898"/>
  </bookViews>
  <sheets>
    <sheet name="9.3" sheetId="8" r:id="rId1"/>
  </sheets>
  <externalReferences>
    <externalReference r:id="rId2"/>
  </externalReferences>
  <definedNames>
    <definedName name="_xlnm.Print_Area" localSheetId="0">'9.3'!$A$1:$L$72</definedName>
  </definedNames>
  <calcPr calcId="162913"/>
</workbook>
</file>

<file path=xl/calcChain.xml><?xml version="1.0" encoding="utf-8"?>
<calcChain xmlns="http://schemas.openxmlformats.org/spreadsheetml/2006/main">
  <c r="B32" i="8" l="1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K11" i="8"/>
  <c r="K9" i="8" s="1"/>
  <c r="J11" i="8"/>
  <c r="I11" i="8"/>
  <c r="H11" i="8"/>
  <c r="H9" i="8" s="1"/>
  <c r="G11" i="8"/>
  <c r="G9" i="8" s="1"/>
  <c r="F11" i="8"/>
  <c r="F9" i="8" s="1"/>
  <c r="E11" i="8"/>
  <c r="D11" i="8"/>
  <c r="D9" i="8" s="1"/>
  <c r="B10" i="8"/>
  <c r="J9" i="8"/>
  <c r="I9" i="8"/>
  <c r="B11" i="8" l="1"/>
  <c r="E9" i="8"/>
  <c r="B9" i="8" s="1"/>
</calcChain>
</file>

<file path=xl/sharedStrings.xml><?xml version="1.0" encoding="utf-8"?>
<sst xmlns="http://schemas.openxmlformats.org/spreadsheetml/2006/main" count="76" uniqueCount="75">
  <si>
    <t>Total</t>
  </si>
  <si>
    <t>ah</t>
  </si>
  <si>
    <t>dh</t>
  </si>
  <si>
    <t>S</t>
  </si>
  <si>
    <t>n</t>
  </si>
  <si>
    <t>r</t>
  </si>
  <si>
    <t>b</t>
  </si>
  <si>
    <t>L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</si>
  <si>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</si>
  <si>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</si>
  <si>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</si>
  <si>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</si>
  <si>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</si>
  <si>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</si>
  <si>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</si>
  <si>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</si>
  <si>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</si>
  <si>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</si>
  <si>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</si>
  <si>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N</t>
  </si>
  <si>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</si>
  <si>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</si>
  <si>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</si>
  <si>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</si>
  <si>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</si>
  <si>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</si>
  <si>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</si>
  <si>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</si>
  <si>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</si>
  <si>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</si>
  <si>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</si>
  <si>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</si>
  <si>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</si>
  <si>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</si>
  <si>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</si>
  <si>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</si>
  <si>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</si>
  <si>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</si>
  <si>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</si>
  <si>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</si>
  <si>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wlcmuj</t>
  </si>
  <si>
    <t xml:space="preserve"> rwCclwkircgea cDcnea  czIrwxif cfoa IrcTcsinim :ctWrwf ivcaedutWmUluAwm</t>
  </si>
  <si>
    <t>cnwt</t>
  </si>
  <si>
    <t>Republic</t>
  </si>
  <si>
    <t>ejcaWriLum</t>
  </si>
  <si>
    <t>Male'</t>
  </si>
  <si>
    <t>elWm</t>
  </si>
  <si>
    <t>Atolls</t>
  </si>
  <si>
    <t>cawtuLotwa</t>
  </si>
  <si>
    <t>EEZ</t>
  </si>
  <si>
    <t xml:space="preserve">      cnudcawHwrws IdWBitcqia</t>
  </si>
  <si>
    <t>AA</t>
  </si>
  <si>
    <t>(cnunwT ckircTem)</t>
  </si>
  <si>
    <t>(In  metric tons)</t>
  </si>
  <si>
    <t>Type of fish</t>
  </si>
  <si>
    <t>މަހުގެ ބާވަތް</t>
  </si>
  <si>
    <t>Locality</t>
  </si>
  <si>
    <t>cswmwlibuLwk</t>
  </si>
  <si>
    <t>ilencnwk</t>
  </si>
  <si>
    <t>ilencnwk uDobOl</t>
  </si>
  <si>
    <t>cswm iSov</t>
  </si>
  <si>
    <t>iTcawl</t>
  </si>
  <si>
    <t>iDnogWr</t>
  </si>
  <si>
    <t>cswmurwf cnehinehea</t>
  </si>
  <si>
    <t>Skipjack tuna</t>
  </si>
  <si>
    <t>Yellowfin tuna</t>
  </si>
  <si>
    <t>Dogtooth tuna</t>
  </si>
  <si>
    <t xml:space="preserve">   Little tuna</t>
  </si>
  <si>
    <t>Frigate tuna</t>
  </si>
  <si>
    <t>Other marine fish</t>
  </si>
  <si>
    <t>Big eye tuna</t>
  </si>
  <si>
    <t>ކަންފަތް ދިގު ކަންނެލި</t>
  </si>
  <si>
    <t>Albacore tuna</t>
  </si>
  <si>
    <t>2016 ,ctwvWb egEa iaWhwm inEb wtwvun ifih cnutogegunwt : 9.3 ulwvWt</t>
  </si>
  <si>
    <t>Table 9.3 :  FISH LANDING BY TYPE AND LOCALITY,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</si>
</sst>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[$-409]mmmm\ d\,\ yyyy;@"/>
    <numFmt numFmtId="165" formatCode="General_)"/>
    <numFmt numFmtId="166" formatCode="#,##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9"/>
      <name val="A_Randhoo"/>
    </font>
    <font>
      <b/>
      <sz val="9"/>
      <name val="Calibri"/>
      <family val="2"/>
    </font>
    <font>
      <sz val="9"/>
      <name val="Courier"/>
      <family val="3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9"/>
      <name val="Faruma"/>
    </font>
    <font>
      <b/>
      <sz val="10"/>
      <name val="Calibri"/>
      <family val="2"/>
    </font>
    <font>
      <b/>
      <sz val="10"/>
      <name val="A_Randhoo"/>
    </font>
    <font>
      <b/>
      <sz val="9"/>
      <name val="Calibri"/>
      <family val="2"/>
      <scheme val="minor"/>
    </font>
    <font>
      <b/>
      <sz val="12"/>
      <name val="A_Randhoo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i/>
      <sz val="9"/>
      <name val="Arial"/>
      <family val="2"/>
    </font>
    <font>
      <b/>
      <sz val="12"/>
      <name val="Calibri"/>
      <family val="2"/>
    </font>
    <font>
      <sz val="9"/>
      <name val="Akuru-Bodu Bold"/>
      <family val="2"/>
      <charset val="2"/>
    </font>
    <font>
      <sz val="9"/>
      <name val="Win Ahamedey PRB"/>
      <family val="2"/>
    </font>
    <font>
      <b/>
      <sz val="8"/>
      <name val="A_Randhoo"/>
    </font>
    <font>
      <b/>
      <sz val="12"/>
      <name val="A_Waheed"/>
    </font>
    <font>
      <b/>
      <sz val="10"/>
      <name val="A_Waheed"/>
    </font>
    <font>
      <b/>
      <sz val="9"/>
      <name val="A_Waheed"/>
    </font>
    <font>
      <sz val="9"/>
      <name val="A_Waheed"/>
    </font>
    <font>
      <b/>
      <sz val="8"/>
      <name val="A_Waheed"/>
    </font>
    <font>
      <sz val="12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164" fontId="2" fillId="0" borderId="0"/>
    <xf numFmtId="164" fontId="2" fillId="0" borderId="0"/>
    <xf numFmtId="165" fontId="2" fillId="0" borderId="0"/>
    <xf numFmtId="0" fontId="2" fillId="0" borderId="0"/>
    <xf numFmtId="0" fontId="4" fillId="0" borderId="0"/>
    <xf numFmtId="0" fontId="4" fillId="0" borderId="0"/>
  </cellStyleXfs>
  <cellXfs count="103">
    <xf numFmtId="0" fontId="0" fillId="0" borderId="0" xfId="0"/>
    <xf numFmtId="165" fontId="11" fillId="2" borderId="0" xfId="5" applyFont="1" applyFill="1" applyAlignment="1" applyProtection="1">
      <alignment horizontal="left" vertical="center"/>
    </xf>
    <xf numFmtId="165" fontId="2" fillId="2" borderId="0" xfId="5" applyFont="1" applyFill="1" applyAlignment="1">
      <alignment vertical="center"/>
    </xf>
    <xf numFmtId="165" fontId="18" fillId="2" borderId="0" xfId="5" applyFont="1" applyFill="1" applyAlignment="1">
      <alignment vertical="center"/>
    </xf>
    <xf numFmtId="165" fontId="9" fillId="2" borderId="0" xfId="5" applyFont="1" applyFill="1" applyAlignment="1">
      <alignment vertical="center"/>
    </xf>
    <xf numFmtId="165" fontId="21" fillId="2" borderId="0" xfId="5" applyFont="1" applyFill="1" applyAlignment="1" applyProtection="1">
      <alignment horizontal="left" vertical="center"/>
    </xf>
    <xf numFmtId="165" fontId="3" fillId="2" borderId="0" xfId="5" applyFont="1" applyFill="1" applyAlignment="1">
      <alignment vertical="center"/>
    </xf>
    <xf numFmtId="165" fontId="19" fillId="2" borderId="0" xfId="5" applyFont="1" applyFill="1" applyAlignment="1">
      <alignment vertical="center"/>
    </xf>
    <xf numFmtId="165" fontId="20" fillId="2" borderId="0" xfId="5" applyFont="1" applyFill="1" applyAlignment="1">
      <alignment vertical="center"/>
    </xf>
    <xf numFmtId="165" fontId="8" fillId="2" borderId="0" xfId="5" applyFont="1" applyFill="1" applyAlignment="1">
      <alignment vertical="center"/>
    </xf>
    <xf numFmtId="165" fontId="9" fillId="2" borderId="0" xfId="5" applyFont="1" applyFill="1" applyAlignment="1">
      <alignment horizontal="right" vertical="center"/>
    </xf>
    <xf numFmtId="165" fontId="19" fillId="2" borderId="0" xfId="5" applyFont="1" applyFill="1" applyAlignment="1">
      <alignment horizontal="right" vertical="center"/>
    </xf>
    <xf numFmtId="165" fontId="15" fillId="2" borderId="0" xfId="5" applyFont="1" applyFill="1" applyAlignment="1">
      <alignment horizontal="right" vertical="center"/>
    </xf>
    <xf numFmtId="165" fontId="4" fillId="2" borderId="0" xfId="5" applyFont="1" applyFill="1" applyAlignment="1">
      <alignment vertical="center"/>
    </xf>
    <xf numFmtId="165" fontId="7" fillId="2" borderId="0" xfId="5" applyFont="1" applyFill="1" applyAlignment="1">
      <alignment horizontal="right" vertical="center"/>
    </xf>
    <xf numFmtId="165" fontId="12" fillId="2" borderId="0" xfId="0" applyNumberFormat="1" applyFont="1" applyFill="1" applyAlignment="1">
      <alignment horizontal="right" vertical="center"/>
    </xf>
    <xf numFmtId="165" fontId="9" fillId="2" borderId="1" xfId="5" applyFont="1" applyFill="1" applyBorder="1" applyAlignment="1">
      <alignment vertical="center"/>
    </xf>
    <xf numFmtId="165" fontId="19" fillId="2" borderId="1" xfId="5" applyFont="1" applyFill="1" applyBorder="1" applyAlignment="1">
      <alignment vertical="center"/>
    </xf>
    <xf numFmtId="165" fontId="24" fillId="2" borderId="1" xfId="5" applyFont="1" applyFill="1" applyBorder="1"/>
    <xf numFmtId="165" fontId="20" fillId="2" borderId="2" xfId="5" applyFont="1" applyFill="1" applyBorder="1" applyAlignment="1">
      <alignment horizontal="right" vertical="center"/>
    </xf>
    <xf numFmtId="165" fontId="8" fillId="2" borderId="2" xfId="5" applyFont="1" applyFill="1" applyBorder="1" applyAlignment="1" applyProtection="1">
      <alignment horizontal="right" vertical="center"/>
    </xf>
    <xf numFmtId="165" fontId="8" fillId="2" borderId="2" xfId="5" applyFont="1" applyFill="1" applyBorder="1" applyAlignment="1" applyProtection="1">
      <alignment horizontal="right" vertical="center" wrapText="1"/>
    </xf>
    <xf numFmtId="165" fontId="5" fillId="2" borderId="0" xfId="5" applyFont="1" applyFill="1" applyAlignment="1" applyProtection="1">
      <alignment horizontal="left" vertical="center"/>
    </xf>
    <xf numFmtId="38" fontId="5" fillId="2" borderId="1" xfId="2" applyNumberFormat="1" applyFont="1" applyFill="1" applyBorder="1" applyAlignment="1" applyProtection="1">
      <alignment vertical="center"/>
    </xf>
    <xf numFmtId="38" fontId="5" fillId="2" borderId="0" xfId="2" applyNumberFormat="1" applyFont="1" applyFill="1" applyAlignment="1" applyProtection="1">
      <alignment vertical="center"/>
    </xf>
    <xf numFmtId="38" fontId="5" fillId="2" borderId="0" xfId="2" applyNumberFormat="1" applyFont="1" applyFill="1" applyBorder="1" applyAlignment="1" applyProtection="1">
      <alignment vertical="center"/>
    </xf>
    <xf numFmtId="38" fontId="5" fillId="2" borderId="0" xfId="2" applyNumberFormat="1" applyFont="1" applyFill="1"/>
    <xf numFmtId="165" fontId="4" fillId="2" borderId="0" xfId="0" applyNumberFormat="1" applyFont="1" applyFill="1"/>
    <xf numFmtId="38" fontId="5" fillId="2" borderId="2" xfId="2" applyNumberFormat="1" applyFont="1" applyFill="1" applyBorder="1" applyAlignment="1" applyProtection="1">
      <alignment vertical="center"/>
    </xf>
    <xf numFmtId="38" fontId="10" fillId="2" borderId="2" xfId="2" applyNumberFormat="1" applyFont="1" applyFill="1" applyBorder="1"/>
    <xf numFmtId="165" fontId="12" fillId="2" borderId="0" xfId="0" applyNumberFormat="1" applyFont="1" applyFill="1" applyBorder="1" applyAlignment="1">
      <alignment horizontal="right" vertical="center"/>
    </xf>
    <xf numFmtId="165" fontId="9" fillId="2" borderId="4" xfId="5" applyFont="1" applyFill="1" applyBorder="1" applyAlignment="1">
      <alignment vertical="center"/>
    </xf>
    <xf numFmtId="165" fontId="8" fillId="2" borderId="4" xfId="5" applyFont="1" applyFill="1" applyBorder="1" applyAlignment="1" applyProtection="1">
      <alignment horizontal="left" vertical="center"/>
    </xf>
    <xf numFmtId="165" fontId="23" fillId="2" borderId="4" xfId="5" applyFont="1" applyFill="1" applyBorder="1" applyAlignment="1">
      <alignment horizontal="centerContinuous" vertical="center"/>
    </xf>
    <xf numFmtId="165" fontId="19" fillId="2" borderId="4" xfId="5" applyFont="1" applyFill="1" applyBorder="1" applyAlignment="1" applyProtection="1">
      <alignment horizontal="centerContinuous" vertical="center"/>
    </xf>
    <xf numFmtId="165" fontId="23" fillId="2" borderId="4" xfId="5" applyFont="1" applyFill="1" applyBorder="1" applyAlignment="1">
      <alignment horizontal="right" vertical="center"/>
    </xf>
    <xf numFmtId="165" fontId="19" fillId="2" borderId="4" xfId="5" applyFont="1" applyFill="1" applyBorder="1" applyAlignment="1" applyProtection="1">
      <alignment horizontal="right" vertical="center"/>
    </xf>
    <xf numFmtId="165" fontId="7" fillId="2" borderId="4" xfId="5" applyFont="1" applyFill="1" applyBorder="1" applyAlignment="1">
      <alignment horizontal="right" vertical="center"/>
    </xf>
    <xf numFmtId="165" fontId="24" fillId="2" borderId="4" xfId="5" applyFont="1" applyFill="1" applyBorder="1"/>
    <xf numFmtId="165" fontId="25" fillId="2" borderId="4" xfId="5" applyFont="1" applyFill="1" applyBorder="1" applyAlignment="1">
      <alignment horizontal="right" vertical="center"/>
    </xf>
    <xf numFmtId="165" fontId="20" fillId="2" borderId="4" xfId="5" applyFont="1" applyFill="1" applyBorder="1" applyAlignment="1">
      <alignment horizontal="right" vertical="center"/>
    </xf>
    <xf numFmtId="165" fontId="8" fillId="2" borderId="4" xfId="5" applyFont="1" applyFill="1" applyBorder="1" applyAlignment="1" applyProtection="1">
      <alignment horizontal="right" vertical="center"/>
    </xf>
    <xf numFmtId="165" fontId="8" fillId="2" borderId="4" xfId="5" applyFont="1" applyFill="1" applyBorder="1" applyAlignment="1" applyProtection="1">
      <alignment horizontal="right" vertical="center" wrapText="1"/>
    </xf>
    <xf numFmtId="38" fontId="8" fillId="2" borderId="4" xfId="2" applyNumberFormat="1" applyFont="1" applyFill="1" applyBorder="1" applyAlignment="1" applyProtection="1">
      <alignment vertical="center"/>
    </xf>
    <xf numFmtId="3" fontId="8" fillId="2" borderId="4" xfId="5" applyNumberFormat="1" applyFont="1" applyFill="1" applyBorder="1" applyAlignment="1" applyProtection="1">
      <alignment vertical="center"/>
    </xf>
    <xf numFmtId="3" fontId="8" fillId="2" borderId="4" xfId="5" applyNumberFormat="1" applyFont="1" applyFill="1" applyBorder="1"/>
    <xf numFmtId="3" fontId="8" fillId="2" borderId="4" xfId="7" applyNumberFormat="1" applyFont="1" applyFill="1" applyBorder="1"/>
    <xf numFmtId="166" fontId="8" fillId="2" borderId="4" xfId="7" applyNumberFormat="1" applyFont="1" applyFill="1" applyBorder="1"/>
    <xf numFmtId="166" fontId="8" fillId="2" borderId="4" xfId="7" applyNumberFormat="1" applyFont="1" applyFill="1" applyBorder="1" applyAlignment="1">
      <alignment horizontal="right"/>
    </xf>
    <xf numFmtId="165" fontId="20" fillId="2" borderId="4" xfId="0" applyNumberFormat="1" applyFont="1" applyFill="1" applyBorder="1" applyAlignment="1" applyProtection="1">
      <alignment horizontal="left" vertical="center"/>
    </xf>
    <xf numFmtId="3" fontId="20" fillId="2" borderId="4" xfId="7" applyNumberFormat="1" applyFont="1" applyFill="1" applyBorder="1"/>
    <xf numFmtId="3" fontId="20" fillId="2" borderId="4" xfId="5" applyNumberFormat="1" applyFont="1" applyFill="1" applyBorder="1"/>
    <xf numFmtId="165" fontId="12" fillId="2" borderId="4" xfId="0" applyNumberFormat="1" applyFont="1" applyFill="1" applyBorder="1" applyAlignment="1">
      <alignment horizontal="right" vertical="center"/>
    </xf>
    <xf numFmtId="166" fontId="20" fillId="2" borderId="4" xfId="5" applyNumberFormat="1" applyFont="1" applyFill="1" applyBorder="1"/>
    <xf numFmtId="166" fontId="20" fillId="2" borderId="4" xfId="5" applyNumberFormat="1" applyFont="1" applyFill="1" applyBorder="1" applyAlignment="1">
      <alignment horizontal="right"/>
    </xf>
    <xf numFmtId="3" fontId="20" fillId="2" borderId="4" xfId="5" applyNumberFormat="1" applyFont="1" applyFill="1" applyBorder="1" applyAlignment="1">
      <alignment horizontal="right"/>
    </xf>
    <xf numFmtId="165" fontId="11" fillId="2" borderId="4" xfId="5" applyFont="1" applyFill="1" applyBorder="1" applyAlignment="1" applyProtection="1">
      <alignment horizontal="left" vertical="center"/>
    </xf>
    <xf numFmtId="165" fontId="21" fillId="2" borderId="4" xfId="5" applyFont="1" applyFill="1" applyBorder="1" applyAlignment="1" applyProtection="1">
      <alignment horizontal="left" vertical="center"/>
    </xf>
    <xf numFmtId="165" fontId="12" fillId="2" borderId="4" xfId="5" applyFont="1" applyFill="1" applyBorder="1" applyAlignment="1">
      <alignment horizontal="right" vertical="center"/>
    </xf>
    <xf numFmtId="165" fontId="4" fillId="2" borderId="0" xfId="5" applyFont="1" applyFill="1" applyAlignment="1">
      <alignment horizontal="right" vertical="center"/>
    </xf>
    <xf numFmtId="1" fontId="4" fillId="2" borderId="0" xfId="5" applyNumberFormat="1" applyFont="1" applyFill="1" applyAlignment="1">
      <alignment vertical="center"/>
    </xf>
    <xf numFmtId="165" fontId="8" fillId="2" borderId="0" xfId="5" applyFont="1" applyFill="1" applyBorder="1" applyAlignment="1" applyProtection="1">
      <alignment horizontal="left" vertical="center" wrapText="1"/>
    </xf>
    <xf numFmtId="165" fontId="9" fillId="2" borderId="0" xfId="5" applyFont="1" applyFill="1" applyAlignment="1">
      <alignment vertical="center" wrapText="1"/>
    </xf>
    <xf numFmtId="165" fontId="19" fillId="2" borderId="0" xfId="5" applyFont="1" applyFill="1" applyAlignment="1">
      <alignment vertical="center" wrapText="1"/>
    </xf>
    <xf numFmtId="38" fontId="10" fillId="2" borderId="0" xfId="2" applyNumberFormat="1" applyFont="1" applyFill="1" applyBorder="1" applyAlignment="1" applyProtection="1">
      <alignment vertical="center"/>
    </xf>
    <xf numFmtId="38" fontId="10" fillId="2" borderId="2" xfId="2" applyNumberFormat="1" applyFont="1" applyFill="1" applyBorder="1" applyAlignment="1" applyProtection="1">
      <alignment vertical="center"/>
    </xf>
    <xf numFmtId="165" fontId="20" fillId="2" borderId="0" xfId="5" applyFont="1" applyFill="1" applyBorder="1" applyAlignment="1">
      <alignment vertical="center"/>
    </xf>
    <xf numFmtId="165" fontId="8" fillId="2" borderId="0" xfId="5" applyFont="1" applyFill="1" applyBorder="1" applyAlignment="1">
      <alignment vertical="center"/>
    </xf>
    <xf numFmtId="165" fontId="5" fillId="2" borderId="0" xfId="5" applyFont="1" applyFill="1" applyAlignment="1" applyProtection="1">
      <alignment horizontal="left" vertical="center" indent="2"/>
    </xf>
    <xf numFmtId="165" fontId="10" fillId="2" borderId="0" xfId="0" applyNumberFormat="1" applyFont="1" applyFill="1" applyAlignment="1" applyProtection="1">
      <alignment horizontal="left" vertical="center" indent="2"/>
    </xf>
    <xf numFmtId="165" fontId="10" fillId="2" borderId="2" xfId="0" applyNumberFormat="1" applyFont="1" applyFill="1" applyBorder="1" applyAlignment="1" applyProtection="1">
      <alignment horizontal="left" vertical="center" indent="2"/>
    </xf>
    <xf numFmtId="165" fontId="28" fillId="2" borderId="0" xfId="5" applyFont="1" applyFill="1" applyAlignment="1">
      <alignment horizontal="right" vertical="center"/>
    </xf>
    <xf numFmtId="165" fontId="29" fillId="2" borderId="0" xfId="5" applyFont="1" applyFill="1" applyBorder="1" applyAlignment="1">
      <alignment horizontal="right" vertical="center"/>
    </xf>
    <xf numFmtId="165" fontId="29" fillId="2" borderId="2" xfId="5" applyFont="1" applyFill="1" applyBorder="1" applyAlignment="1">
      <alignment horizontal="right" vertical="center"/>
    </xf>
    <xf numFmtId="165" fontId="27" fillId="2" borderId="0" xfId="5" applyFont="1" applyFill="1" applyAlignment="1">
      <alignment horizontal="right" vertical="center"/>
    </xf>
    <xf numFmtId="165" fontId="30" fillId="2" borderId="0" xfId="5" applyFont="1" applyFill="1" applyBorder="1" applyAlignment="1">
      <alignment horizontal="right" vertical="center" wrapText="1"/>
    </xf>
    <xf numFmtId="165" fontId="28" fillId="2" borderId="0" xfId="5" applyFont="1" applyFill="1" applyBorder="1" applyAlignment="1">
      <alignment horizontal="right" vertical="center" wrapText="1"/>
    </xf>
    <xf numFmtId="165" fontId="29" fillId="2" borderId="0" xfId="0" applyNumberFormat="1" applyFont="1" applyFill="1" applyAlignment="1">
      <alignment horizontal="right" vertical="center" indent="2"/>
    </xf>
    <xf numFmtId="165" fontId="29" fillId="2" borderId="2" xfId="0" applyNumberFormat="1" applyFont="1" applyFill="1" applyBorder="1" applyAlignment="1">
      <alignment horizontal="right" vertical="center" indent="2"/>
    </xf>
    <xf numFmtId="38" fontId="5" fillId="2" borderId="0" xfId="2" applyNumberFormat="1" applyFont="1" applyFill="1" applyBorder="1"/>
    <xf numFmtId="38" fontId="5" fillId="2" borderId="0" xfId="2" applyNumberFormat="1" applyFont="1" applyFill="1" applyBorder="1" applyAlignment="1">
      <alignment horizontal="right"/>
    </xf>
    <xf numFmtId="38" fontId="10" fillId="2" borderId="0" xfId="2" applyNumberFormat="1" applyFont="1" applyFill="1" applyBorder="1"/>
    <xf numFmtId="38" fontId="10" fillId="2" borderId="0" xfId="2" applyNumberFormat="1" applyFont="1" applyFill="1" applyBorder="1" applyAlignment="1">
      <alignment horizontal="right"/>
    </xf>
    <xf numFmtId="165" fontId="30" fillId="2" borderId="5" xfId="5" applyFont="1" applyFill="1" applyBorder="1" applyAlignment="1">
      <alignment horizontal="right" vertical="center" wrapText="1"/>
    </xf>
    <xf numFmtId="0" fontId="13" fillId="2" borderId="5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right" vertical="center" wrapText="1"/>
    </xf>
    <xf numFmtId="165" fontId="8" fillId="2" borderId="0" xfId="5" applyFont="1" applyFill="1" applyBorder="1" applyAlignment="1" applyProtection="1">
      <alignment horizontal="center" vertical="center"/>
    </xf>
    <xf numFmtId="165" fontId="8" fillId="2" borderId="2" xfId="5" applyFont="1" applyFill="1" applyBorder="1" applyAlignment="1" applyProtection="1">
      <alignment horizontal="center" vertical="center"/>
    </xf>
    <xf numFmtId="40" fontId="5" fillId="2" borderId="1" xfId="2" applyNumberFormat="1" applyFont="1" applyFill="1" applyBorder="1" applyAlignment="1" applyProtection="1">
      <alignment vertical="center"/>
    </xf>
    <xf numFmtId="165" fontId="17" fillId="2" borderId="6" xfId="5" applyFont="1" applyFill="1" applyBorder="1" applyAlignment="1">
      <alignment vertical="center"/>
    </xf>
    <xf numFmtId="165" fontId="17" fillId="2" borderId="7" xfId="5" applyFont="1" applyFill="1" applyBorder="1" applyAlignment="1">
      <alignment vertical="center"/>
    </xf>
    <xf numFmtId="43" fontId="31" fillId="2" borderId="7" xfId="1" applyFont="1" applyFill="1" applyBorder="1" applyAlignment="1">
      <alignment vertical="center"/>
    </xf>
    <xf numFmtId="43" fontId="31" fillId="2" borderId="8" xfId="1" applyFont="1" applyFill="1" applyBorder="1" applyAlignment="1">
      <alignment vertical="center"/>
    </xf>
    <xf numFmtId="165" fontId="17" fillId="2" borderId="4" xfId="5" applyFont="1" applyFill="1" applyBorder="1" applyAlignment="1">
      <alignment horizontal="center" vertical="center"/>
    </xf>
    <xf numFmtId="165" fontId="14" fillId="2" borderId="4" xfId="5" applyFont="1" applyFill="1" applyBorder="1" applyAlignment="1" applyProtection="1">
      <alignment horizontal="center" vertical="center"/>
    </xf>
    <xf numFmtId="165" fontId="7" fillId="2" borderId="4" xfId="5" applyFont="1" applyFill="1" applyBorder="1" applyAlignment="1">
      <alignment horizontal="center" vertical="center" wrapText="1"/>
    </xf>
    <xf numFmtId="165" fontId="8" fillId="2" borderId="4" xfId="5" applyFont="1" applyFill="1" applyBorder="1" applyAlignment="1" applyProtection="1">
      <alignment horizontal="center" vertical="center"/>
    </xf>
    <xf numFmtId="165" fontId="26" fillId="2" borderId="0" xfId="5" applyFont="1" applyFill="1" applyAlignment="1">
      <alignment horizontal="center" vertical="center"/>
    </xf>
    <xf numFmtId="165" fontId="22" fillId="2" borderId="0" xfId="5" applyFont="1" applyFill="1" applyBorder="1" applyAlignment="1" applyProtection="1">
      <alignment horizontal="center" vertical="center"/>
    </xf>
    <xf numFmtId="165" fontId="28" fillId="2" borderId="0" xfId="5" applyFont="1" applyFill="1" applyBorder="1" applyAlignment="1">
      <alignment horizontal="center" vertical="center" wrapText="1"/>
    </xf>
    <xf numFmtId="165" fontId="8" fillId="2" borderId="0" xfId="5" applyFont="1" applyFill="1" applyBorder="1" applyAlignment="1" applyProtection="1">
      <alignment horizontal="center" vertical="center"/>
    </xf>
    <xf numFmtId="165" fontId="8" fillId="2" borderId="3" xfId="5" applyFont="1" applyFill="1" applyBorder="1" applyAlignment="1" applyProtection="1">
      <alignment horizontal="right" vertical="center"/>
    </xf>
    <xf numFmtId="165" fontId="13" fillId="2" borderId="3" xfId="5" applyFont="1" applyFill="1" applyBorder="1" applyAlignment="1" applyProtection="1">
      <alignment horizontal="left" vertical="center"/>
    </xf>
  </cellXfs>
  <cellStyles count="9">
    <cellStyle name="1" xfId="8"/>
    <cellStyle name="Comma" xfId="1" builtinId="3"/>
    <cellStyle name="Comma 2" xfId="2"/>
    <cellStyle name="Normal" xfId="0" builtinId="0"/>
    <cellStyle name="Normal 2" xfId="6"/>
    <cellStyle name="Normal 3_agri planning 2009 year book(final)" xfId="4"/>
    <cellStyle name="Normal 4_agri planning 2009 year book(final)" xfId="3"/>
    <cellStyle name="Normal_9.3fig9.1" xfId="7"/>
    <cellStyle name="Normal_Fish &amp;  Agri - 8" xfId="5"/>
  </cellStyles>
  <dxfs count="0"/>
  <tableStyles count="0" defaultTableStyle="TableStyleMedium9" defaultPivotStyle="PivotStyleLight16"/>
  <colors>
    <mruColors>
      <color rgb="FFFF9900"/>
      <color rgb="FF009900"/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2015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CCCC"/>
            </a:solidFill>
          </c:spPr>
          <c:invertIfNegative val="0"/>
          <c:cat>
            <c:strRef>
              <c:f>'9.3'!$A$13:$A$32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'9.3'!$B$13:$B$32</c:f>
              <c:numCache>
                <c:formatCode>#,##0_);[Red]\(#,##0\)</c:formatCode>
                <c:ptCount val="20"/>
                <c:pt idx="0">
                  <c:v>5455.5677523293343</c:v>
                </c:pt>
                <c:pt idx="1">
                  <c:v>3402.7214464188992</c:v>
                </c:pt>
                <c:pt idx="2">
                  <c:v>3128.4374683669444</c:v>
                </c:pt>
                <c:pt idx="3">
                  <c:v>2028.2570049295896</c:v>
                </c:pt>
                <c:pt idx="4">
                  <c:v>6483.1043342321336</c:v>
                </c:pt>
                <c:pt idx="5">
                  <c:v>1829.2509133074132</c:v>
                </c:pt>
                <c:pt idx="6">
                  <c:v>5919.1232883164666</c:v>
                </c:pt>
                <c:pt idx="7">
                  <c:v>4272.7470002415439</c:v>
                </c:pt>
                <c:pt idx="8">
                  <c:v>2752.4573718329693</c:v>
                </c:pt>
                <c:pt idx="9">
                  <c:v>4075.1871960090161</c:v>
                </c:pt>
                <c:pt idx="10">
                  <c:v>312.69729273595999</c:v>
                </c:pt>
                <c:pt idx="11">
                  <c:v>2294.8781910587522</c:v>
                </c:pt>
                <c:pt idx="12">
                  <c:v>3596.7076673388624</c:v>
                </c:pt>
                <c:pt idx="13">
                  <c:v>7183.6101718072623</c:v>
                </c:pt>
                <c:pt idx="14">
                  <c:v>4117.0242744197167</c:v>
                </c:pt>
                <c:pt idx="15">
                  <c:v>10779.729136313419</c:v>
                </c:pt>
                <c:pt idx="16">
                  <c:v>17591.605791181755</c:v>
                </c:pt>
                <c:pt idx="17">
                  <c:v>8520.5992519975225</c:v>
                </c:pt>
                <c:pt idx="18">
                  <c:v>3722.8406026800089</c:v>
                </c:pt>
                <c:pt idx="19">
                  <c:v>10356.911892123186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7-43AA-B9D5-9AD797FA1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76488064"/>
        <c:axId val="83494016"/>
      </c:barChart>
      <c:catAx>
        <c:axId val="7648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494016"/>
        <c:crosses val="autoZero"/>
        <c:auto val="1"/>
        <c:lblAlgn val="ctr"/>
        <c:lblOffset val="100"/>
        <c:noMultiLvlLbl val="0"/>
      </c:catAx>
      <c:valAx>
        <c:axId val="83494016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76488064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title>
      <c:tx>
        <c:rich>
          <a:bodyPr/>
          <a:lstStyle/>
          <a:p>
            <a:pPr>
              <a:defRPr sz="1200">
                <a:latin typeface="Consolas" pitchFamily="49" charset="0"/>
                <a:cs typeface="Consolas" pitchFamily="49" charset="0"/>
              </a:defRPr>
            </a:pPr>
            <a:r>
              <a:rPr lang="en-US" sz="1200">
                <a:latin typeface="Consolas" pitchFamily="49" charset="0"/>
                <a:cs typeface="Consolas" pitchFamily="49" charset="0"/>
              </a:rPr>
              <a:t>Figure 9.1: Fish catch by type of species, 2016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35998585378050363"/>
          <c:y val="0.20568011171305536"/>
          <c:w val="0.33516258124382442"/>
          <c:h val="0.7330631164140694"/>
        </c:manualLayout>
      </c:layout>
      <c:doughnutChart>
        <c:varyColors val="1"/>
        <c:ser>
          <c:idx val="0"/>
          <c:order val="0"/>
          <c:explosion val="3"/>
          <c:dPt>
            <c:idx val="0"/>
            <c:bubble3D val="0"/>
            <c:explosion val="1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1-8775-4F31-986C-4418D8525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8775-4F31-986C-4418D8525DD6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8775-4F31-986C-4418D8525DD6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7-8775-4F31-986C-4418D8525DD6}"/>
              </c:ext>
            </c:extLst>
          </c:dPt>
          <c:dLbls>
            <c:dLbl>
              <c:idx val="0"/>
              <c:layout>
                <c:manualLayout>
                  <c:x val="9.7514516767824799E-2"/>
                  <c:y val="-0.117604083991366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775-4F31-986C-4418D8525DD6}"/>
                </c:ext>
              </c:extLst>
            </c:dLbl>
            <c:dLbl>
              <c:idx val="1"/>
              <c:layout>
                <c:manualLayout>
                  <c:x val="-9.8698264610973627E-2"/>
                  <c:y val="7.48618325785735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775-4F31-986C-4418D8525DD6}"/>
                </c:ext>
              </c:extLst>
            </c:dLbl>
            <c:dLbl>
              <c:idx val="2"/>
              <c:layout>
                <c:manualLayout>
                  <c:x val="-5.4688462482543089E-2"/>
                  <c:y val="-9.486014470405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8775-4F31-986C-4418D8525DD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75-4F31-986C-4418D8525DD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75-4F31-986C-4418D8525D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75-4F31-986C-4418D8525DD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75-4F31-986C-4418D8525DD6}"/>
                </c:ext>
              </c:extLst>
            </c:dLbl>
            <c:dLbl>
              <c:idx val="7"/>
              <c:layout>
                <c:manualLayout>
                  <c:x val="1.1557899145744292E-2"/>
                  <c:y val="-0.13327352568433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8775-4F31-986C-4418D8525D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'9.3'!$D$8:$K$8</c:f>
              <c:strCache>
                <c:ptCount val="8"/>
                <c:pt idx="0">
                  <c:v>Skipjack tuna</c:v>
                </c:pt>
                <c:pt idx="1">
                  <c:v>Yellowfin tuna</c:v>
                </c:pt>
                <c:pt idx="2">
                  <c:v>Big eye tuna</c:v>
                </c:pt>
                <c:pt idx="3">
                  <c:v>Albacore tuna</c:v>
                </c:pt>
                <c:pt idx="4">
                  <c:v>Dogtooth tuna</c:v>
                </c:pt>
                <c:pt idx="5">
                  <c:v>   Little tuna</c:v>
                </c:pt>
                <c:pt idx="6">
                  <c:v>Frigate tuna</c:v>
                </c:pt>
                <c:pt idx="7">
                  <c:v>Other marine fish</c:v>
                </c:pt>
              </c:strCache>
            </c:strRef>
          </c:cat>
          <c:val>
            <c:numRef>
              <c:f>'9.3'!$D$9:$K$9</c:f>
              <c:numCache>
                <c:formatCode>#,##0_);[Red]\(#,##0\)</c:formatCode>
                <c:ptCount val="8"/>
                <c:pt idx="0" formatCode="#,##0.00_);[Red]\(#,##0.00\)">
                  <c:v>69589.480938961424</c:v>
                </c:pt>
                <c:pt idx="1">
                  <c:v>53705.451966178975</c:v>
                </c:pt>
                <c:pt idx="2">
                  <c:v>2480.0423404201256</c:v>
                </c:pt>
                <c:pt idx="3">
                  <c:v>15.290000000000001</c:v>
                </c:pt>
                <c:pt idx="4">
                  <c:v>11.453572517147915</c:v>
                </c:pt>
                <c:pt idx="5">
                  <c:v>29.990173019499927</c:v>
                </c:pt>
                <c:pt idx="6">
                  <c:v>143.18209877120293</c:v>
                </c:pt>
                <c:pt idx="7">
                  <c:v>3216.1040166838452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75-4F31-986C-4418D8525DD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plotVisOnly val="1"/>
    <c:dispBlanksAs val="zero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2"/>
    </mc:Choice>
    <mc:Fallback>
      <c:style val="2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9.2: Fish catch by Atoll, 2016</a:t>
            </a:r>
          </a:p>
        </c:rich>
      </c:tx>
      <c:layout>
        <c:manualLayout>
          <c:xMode val="edge"/>
          <c:yMode val="edge"/>
          <c:x val="0.28172882133048877"/>
          <c:y val="3.89382620114396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930302207521864E-2"/>
          <c:y val="0.18082264349840874"/>
          <c:w val="0.88642575634158582"/>
          <c:h val="0.714300609363242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</c:spPr>
          <c:invertIfNegative val="0"/>
          <c:cat>
            <c:strRef>
              <c:f>'[1]9.3'!$A$13:$A$32</c:f>
              <c:strCache>
                <c:ptCount val="20"/>
                <c:pt idx="0">
                  <c:v> HA</c:v>
                </c:pt>
                <c:pt idx="1">
                  <c:v> HDh</c:v>
                </c:pt>
                <c:pt idx="2">
                  <c:v> Sh</c:v>
                </c:pt>
                <c:pt idx="3">
                  <c:v> N</c:v>
                </c:pt>
                <c:pt idx="4">
                  <c:v> 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 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'[1]9.3'!$B$13:$B$32</c:f>
              <c:numCache>
                <c:formatCode>General</c:formatCode>
                <c:ptCount val="20"/>
                <c:pt idx="0">
                  <c:v>5455.5677523293343</c:v>
                </c:pt>
                <c:pt idx="1">
                  <c:v>3402.7214464188992</c:v>
                </c:pt>
                <c:pt idx="2">
                  <c:v>3128.4374683669444</c:v>
                </c:pt>
                <c:pt idx="3">
                  <c:v>2028.2570049295896</c:v>
                </c:pt>
                <c:pt idx="4">
                  <c:v>6483.1043342321336</c:v>
                </c:pt>
                <c:pt idx="5">
                  <c:v>1829.2509133074132</c:v>
                </c:pt>
                <c:pt idx="6">
                  <c:v>5919.1232883164666</c:v>
                </c:pt>
                <c:pt idx="7">
                  <c:v>4272.7470002415439</c:v>
                </c:pt>
                <c:pt idx="8">
                  <c:v>2752.4573718329693</c:v>
                </c:pt>
                <c:pt idx="9">
                  <c:v>4075.1871960090161</c:v>
                </c:pt>
                <c:pt idx="10">
                  <c:v>312.69729273595999</c:v>
                </c:pt>
                <c:pt idx="11">
                  <c:v>2294.8781910587522</c:v>
                </c:pt>
                <c:pt idx="12">
                  <c:v>3596.7076673388624</c:v>
                </c:pt>
                <c:pt idx="13">
                  <c:v>7183.6101718072623</c:v>
                </c:pt>
                <c:pt idx="14">
                  <c:v>4117.0242744197167</c:v>
                </c:pt>
                <c:pt idx="15">
                  <c:v>10779.729136313419</c:v>
                </c:pt>
                <c:pt idx="16">
                  <c:v>17591.605791181755</c:v>
                </c:pt>
                <c:pt idx="17">
                  <c:v>8520.5992519975225</c:v>
                </c:pt>
                <c:pt idx="18">
                  <c:v>3722.8406026800089</c:v>
                </c:pt>
                <c:pt idx="19">
                  <c:v>10356.911892123186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8-4338-B04D-7DB0D2BC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axId val="83829888"/>
        <c:axId val="83831424"/>
      </c:barChart>
      <c:catAx>
        <c:axId val="8382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31424"/>
        <c:crosses val="autoZero"/>
        <c:auto val="1"/>
        <c:lblAlgn val="ctr"/>
        <c:lblOffset val="100"/>
        <c:noMultiLvlLbl val="0"/>
      </c:catAx>
      <c:valAx>
        <c:axId val="83831424"/>
        <c:scaling>
          <c:orientation val="minMax"/>
          <c:max val="22000"/>
          <c:min val="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in metric ton</a:t>
                </a:r>
              </a:p>
            </c:rich>
          </c:tx>
          <c:layout>
            <c:manualLayout>
              <c:xMode val="edge"/>
              <c:yMode val="edge"/>
              <c:x val="1.005533324727852E-2"/>
              <c:y val="6.680942109959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3829888"/>
        <c:crosses val="autoZero"/>
        <c:crossBetween val="between"/>
        <c:majorUnit val="2000"/>
      </c:valAx>
      <c:spPr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122" l="0.70000000000000062" r="0.70000000000000062" t="0.750000000000001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2" name="Text Box 3"/>
        <xdr:cNvSpPr txBox="1">
          <a:spLocks noChangeArrowheads="1"/>
        </xdr:cNvSpPr>
      </xdr:nvSpPr>
      <xdr:spPr bwMode="auto">
        <a:xfrm>
          <a:off x="1988820" y="13213080"/>
          <a:ext cx="4091940" cy="2133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1988820" y="18806160"/>
          <a:ext cx="4091940" cy="220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8</xdr:col>
      <xdr:colOff>87630</xdr:colOff>
      <xdr:row>36</xdr:row>
      <xdr:rowOff>129540</xdr:rowOff>
    </xdr:to>
    <xdr:sp macro="" textlink="">
      <xdr:nvSpPr>
        <xdr:cNvPr id="6" name="Text Box 3"/>
        <xdr:cNvSpPr txBox="1">
          <a:spLocks noChangeArrowheads="1"/>
        </xdr:cNvSpPr>
      </xdr:nvSpPr>
      <xdr:spPr bwMode="auto">
        <a:xfrm>
          <a:off x="2101215" y="7113270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8</xdr:col>
      <xdr:colOff>87630</xdr:colOff>
      <xdr:row>68</xdr:row>
      <xdr:rowOff>144780</xdr:rowOff>
    </xdr:to>
    <xdr:sp macro="" textlink="">
      <xdr:nvSpPr>
        <xdr:cNvPr id="8" name="Text Box 3"/>
        <xdr:cNvSpPr txBox="1">
          <a:spLocks noChangeArrowheads="1"/>
        </xdr:cNvSpPr>
      </xdr:nvSpPr>
      <xdr:spPr bwMode="auto">
        <a:xfrm>
          <a:off x="2101215" y="130778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248841</xdr:colOff>
      <xdr:row>35</xdr:row>
      <xdr:rowOff>64294</xdr:rowOff>
    </xdr:from>
    <xdr:to>
      <xdr:col>9</xdr:col>
      <xdr:colOff>610791</xdr:colOff>
      <xdr:row>35</xdr:row>
      <xdr:rowOff>64294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2511029" y="7071122"/>
          <a:ext cx="4320778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4</xdr:col>
      <xdr:colOff>648890</xdr:colOff>
      <xdr:row>55</xdr:row>
      <xdr:rowOff>184547</xdr:rowOff>
    </xdr:from>
    <xdr:to>
      <xdr:col>8</xdr:col>
      <xdr:colOff>541733</xdr:colOff>
      <xdr:row>55</xdr:row>
      <xdr:rowOff>184547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2911078" y="10900172"/>
          <a:ext cx="305990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10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11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624840</xdr:colOff>
      <xdr:row>35</xdr:row>
      <xdr:rowOff>83820</xdr:rowOff>
    </xdr:from>
    <xdr:to>
      <xdr:col>7</xdr:col>
      <xdr:colOff>744855</xdr:colOff>
      <xdr:row>36</xdr:row>
      <xdr:rowOff>129540</xdr:rowOff>
    </xdr:to>
    <xdr:sp macro="" textlink="">
      <xdr:nvSpPr>
        <xdr:cNvPr id="14" name="Text Box 3"/>
        <xdr:cNvSpPr txBox="1">
          <a:spLocks noChangeArrowheads="1"/>
        </xdr:cNvSpPr>
      </xdr:nvSpPr>
      <xdr:spPr bwMode="auto">
        <a:xfrm>
          <a:off x="2205990" y="7084695"/>
          <a:ext cx="3549015" cy="20764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121920</xdr:colOff>
      <xdr:row>33</xdr:row>
      <xdr:rowOff>95250</xdr:rowOff>
    </xdr:from>
    <xdr:to>
      <xdr:col>11</xdr:col>
      <xdr:colOff>361950</xdr:colOff>
      <xdr:row>51</xdr:row>
      <xdr:rowOff>76200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624840</xdr:colOff>
      <xdr:row>67</xdr:row>
      <xdr:rowOff>76200</xdr:rowOff>
    </xdr:from>
    <xdr:to>
      <xdr:col>7</xdr:col>
      <xdr:colOff>744855</xdr:colOff>
      <xdr:row>68</xdr:row>
      <xdr:rowOff>144780</xdr:rowOff>
    </xdr:to>
    <xdr:sp macro="" textlink="">
      <xdr:nvSpPr>
        <xdr:cNvPr id="16" name="Text Box 3"/>
        <xdr:cNvSpPr txBox="1">
          <a:spLocks noChangeArrowheads="1"/>
        </xdr:cNvSpPr>
      </xdr:nvSpPr>
      <xdr:spPr bwMode="auto">
        <a:xfrm>
          <a:off x="2205990" y="13039725"/>
          <a:ext cx="3549015" cy="2305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</xdr:col>
      <xdr:colOff>161925</xdr:colOff>
      <xdr:row>54</xdr:row>
      <xdr:rowOff>64769</xdr:rowOff>
    </xdr:from>
    <xdr:to>
      <xdr:col>11</xdr:col>
      <xdr:colOff>390525</xdr:colOff>
      <xdr:row>71</xdr:row>
      <xdr:rowOff>19049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177512</xdr:colOff>
      <xdr:row>34</xdr:row>
      <xdr:rowOff>155863</xdr:rowOff>
    </xdr:from>
    <xdr:to>
      <xdr:col>9</xdr:col>
      <xdr:colOff>268432</xdr:colOff>
      <xdr:row>34</xdr:row>
      <xdr:rowOff>160192</xdr:rowOff>
    </xdr:to>
    <xdr:sp macro="" textlink="">
      <xdr:nvSpPr>
        <xdr:cNvPr id="20" name="Line 4"/>
        <xdr:cNvSpPr>
          <a:spLocks noChangeShapeType="1"/>
        </xdr:cNvSpPr>
      </xdr:nvSpPr>
      <xdr:spPr bwMode="auto">
        <a:xfrm>
          <a:off x="2619376" y="6909954"/>
          <a:ext cx="4117397" cy="4329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4</xdr:col>
      <xdr:colOff>606136</xdr:colOff>
      <xdr:row>56</xdr:row>
      <xdr:rowOff>25977</xdr:rowOff>
    </xdr:from>
    <xdr:to>
      <xdr:col>8</xdr:col>
      <xdr:colOff>380999</xdr:colOff>
      <xdr:row>56</xdr:row>
      <xdr:rowOff>25977</xdr:rowOff>
    </xdr:to>
    <xdr:sp macro="" textlink="">
      <xdr:nvSpPr>
        <xdr:cNvPr id="21" name="Line 4"/>
        <xdr:cNvSpPr>
          <a:spLocks noChangeShapeType="1"/>
        </xdr:cNvSpPr>
      </xdr:nvSpPr>
      <xdr:spPr bwMode="auto">
        <a:xfrm flipV="1">
          <a:off x="3044536" y="10922577"/>
          <a:ext cx="3003838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FISHERIES%20AND%20AGRICULTURE%20_%20Min%20of%20Fisheries%20201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.1"/>
      <sheetName val="9.2"/>
      <sheetName val="9.3"/>
      <sheetName val="9.4"/>
      <sheetName val="9.5"/>
      <sheetName val="9.6"/>
      <sheetName val="9.17"/>
    </sheetNames>
    <sheetDataSet>
      <sheetData sheetId="0"/>
      <sheetData sheetId="1"/>
      <sheetData sheetId="2">
        <row r="8">
          <cell r="D8" t="str">
            <v>Skipjack tuna</v>
          </cell>
        </row>
        <row r="13">
          <cell r="A13" t="str">
            <v xml:space="preserve"> HA</v>
          </cell>
          <cell r="B13">
            <v>5455.5677523293343</v>
          </cell>
        </row>
        <row r="14">
          <cell r="A14" t="str">
            <v xml:space="preserve"> HDh</v>
          </cell>
          <cell r="B14">
            <v>3402.7214464188992</v>
          </cell>
        </row>
        <row r="15">
          <cell r="A15" t="str">
            <v xml:space="preserve"> Sh</v>
          </cell>
          <cell r="B15">
            <v>3128.4374683669444</v>
          </cell>
        </row>
        <row r="16">
          <cell r="A16" t="str">
            <v xml:space="preserve"> N</v>
          </cell>
          <cell r="B16">
            <v>2028.2570049295896</v>
          </cell>
        </row>
        <row r="17">
          <cell r="A17" t="str">
            <v xml:space="preserve"> R</v>
          </cell>
          <cell r="B17">
            <v>6483.1043342321336</v>
          </cell>
        </row>
        <row r="18">
          <cell r="A18" t="str">
            <v>B</v>
          </cell>
          <cell r="B18">
            <v>1829.2509133074132</v>
          </cell>
        </row>
        <row r="19">
          <cell r="A19" t="str">
            <v>Lh</v>
          </cell>
          <cell r="B19">
            <v>5919.1232883164666</v>
          </cell>
        </row>
        <row r="20">
          <cell r="A20" t="str">
            <v>K</v>
          </cell>
          <cell r="B20">
            <v>4272.7470002415439</v>
          </cell>
        </row>
        <row r="21">
          <cell r="A21" t="str">
            <v>AA</v>
          </cell>
          <cell r="B21">
            <v>2752.4573718329693</v>
          </cell>
        </row>
        <row r="22">
          <cell r="A22" t="str">
            <v>ADh</v>
          </cell>
          <cell r="B22">
            <v>4075.1871960090161</v>
          </cell>
        </row>
        <row r="23">
          <cell r="A23" t="str">
            <v>V</v>
          </cell>
          <cell r="B23">
            <v>312.69729273595999</v>
          </cell>
        </row>
        <row r="24">
          <cell r="A24" t="str">
            <v>M</v>
          </cell>
          <cell r="B24">
            <v>2294.8781910587522</v>
          </cell>
        </row>
        <row r="25">
          <cell r="A25" t="str">
            <v>F</v>
          </cell>
          <cell r="B25">
            <v>3596.7076673388624</v>
          </cell>
        </row>
        <row r="26">
          <cell r="A26" t="str">
            <v>Dh</v>
          </cell>
          <cell r="B26">
            <v>7183.6101718072623</v>
          </cell>
        </row>
        <row r="27">
          <cell r="A27" t="str">
            <v>Th</v>
          </cell>
          <cell r="B27">
            <v>4117.0242744197167</v>
          </cell>
        </row>
        <row r="28">
          <cell r="A28" t="str">
            <v xml:space="preserve"> L</v>
          </cell>
          <cell r="B28">
            <v>10779.729136313419</v>
          </cell>
        </row>
        <row r="29">
          <cell r="A29" t="str">
            <v>GA</v>
          </cell>
          <cell r="B29">
            <v>17591.605791181755</v>
          </cell>
        </row>
        <row r="30">
          <cell r="A30" t="str">
            <v>GDh</v>
          </cell>
          <cell r="B30">
            <v>8520.5992519975225</v>
          </cell>
        </row>
        <row r="31">
          <cell r="A31" t="str">
            <v>Gn</v>
          </cell>
          <cell r="B31">
            <v>3722.8406026800089</v>
          </cell>
        </row>
        <row r="32">
          <cell r="A32" t="str">
            <v>S</v>
          </cell>
          <cell r="B32">
            <v>10356.911892123186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F75"/>
  <sheetViews>
    <sheetView tabSelected="1" zoomScaleNormal="100" workbookViewId="0">
      <selection activeCell="Y10" sqref="Y10"/>
    </sheetView>
  </sheetViews>
  <sheetFormatPr defaultColWidth="8.85546875" defaultRowHeight="12.75"/>
  <cols>
    <col min="1" max="1" width="12" style="13" customWidth="1"/>
    <col min="2" max="2" width="10.42578125" style="13" bestFit="1" customWidth="1"/>
    <col min="3" max="3" width="1.28515625" style="13" customWidth="1"/>
    <col min="4" max="5" width="12.85546875" style="13" bestFit="1" customWidth="1"/>
    <col min="6" max="7" width="11.85546875" style="59" customWidth="1"/>
    <col min="8" max="8" width="11.85546875" style="13" customWidth="1"/>
    <col min="9" max="10" width="11.85546875" style="59" customWidth="1"/>
    <col min="11" max="11" width="11.85546875" style="60" customWidth="1"/>
    <col min="12" max="12" width="22.5703125" style="13" customWidth="1"/>
    <col min="13" max="13" width="4.5703125" style="13" customWidth="1"/>
    <col min="14" max="21" width="3.140625" style="13" customWidth="1"/>
    <col min="22" max="22" width="18.42578125" style="13" customWidth="1"/>
    <col min="23" max="25" width="3.140625" style="13" customWidth="1"/>
    <col min="26" max="16384" width="8.85546875" style="13"/>
  </cols>
  <sheetData>
    <row r="1" spans="1:32" s="6" customFormat="1" ht="18.75">
      <c r="A1" s="97" t="s">
        <v>73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2" s="9" customFormat="1" ht="15.75">
      <c r="A2" s="98" t="s">
        <v>74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2" s="11" customFormat="1" ht="14.25">
      <c r="A3" s="99" t="s">
        <v>52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2" s="67" customFormat="1" ht="12">
      <c r="A4" s="100" t="s">
        <v>53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 spans="1:32" s="9" customFormat="1" ht="6" customHeight="1">
      <c r="A5" s="86"/>
      <c r="B5" s="86"/>
      <c r="C5" s="86"/>
      <c r="D5" s="87"/>
      <c r="E5" s="87"/>
      <c r="F5" s="87"/>
      <c r="G5" s="87"/>
      <c r="H5" s="87"/>
      <c r="I5" s="87"/>
      <c r="J5" s="87"/>
      <c r="K5" s="87"/>
      <c r="L5" s="86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2" s="7" customFormat="1" ht="17.25" customHeight="1">
      <c r="A6" s="16"/>
      <c r="B6" s="17"/>
      <c r="C6" s="17"/>
      <c r="D6" s="101" t="s">
        <v>54</v>
      </c>
      <c r="E6" s="101"/>
      <c r="F6" s="101"/>
      <c r="G6" s="101"/>
      <c r="H6" s="102" t="s">
        <v>55</v>
      </c>
      <c r="I6" s="102"/>
      <c r="J6" s="102"/>
      <c r="K6" s="102"/>
      <c r="L6" s="18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2" s="63" customFormat="1" ht="29.45" customHeight="1">
      <c r="A7" s="61" t="s">
        <v>56</v>
      </c>
      <c r="B7" s="75" t="s">
        <v>40</v>
      </c>
      <c r="C7" s="83"/>
      <c r="D7" s="83" t="s">
        <v>57</v>
      </c>
      <c r="E7" s="83" t="s">
        <v>58</v>
      </c>
      <c r="F7" s="83" t="s">
        <v>59</v>
      </c>
      <c r="G7" s="84" t="s">
        <v>71</v>
      </c>
      <c r="H7" s="83" t="s">
        <v>60</v>
      </c>
      <c r="I7" s="83" t="s">
        <v>61</v>
      </c>
      <c r="J7" s="83" t="s">
        <v>62</v>
      </c>
      <c r="K7" s="83" t="s">
        <v>63</v>
      </c>
      <c r="L7" s="76" t="s">
        <v>42</v>
      </c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 spans="1:32" s="9" customFormat="1" ht="24">
      <c r="A8" s="19"/>
      <c r="B8" s="20" t="s">
        <v>0</v>
      </c>
      <c r="C8" s="20"/>
      <c r="D8" s="21" t="s">
        <v>64</v>
      </c>
      <c r="E8" s="21" t="s">
        <v>65</v>
      </c>
      <c r="F8" s="21" t="s">
        <v>70</v>
      </c>
      <c r="G8" s="85" t="s">
        <v>72</v>
      </c>
      <c r="H8" s="21" t="s">
        <v>66</v>
      </c>
      <c r="I8" s="21" t="s">
        <v>67</v>
      </c>
      <c r="J8" s="21" t="s">
        <v>68</v>
      </c>
      <c r="K8" s="21" t="s">
        <v>69</v>
      </c>
      <c r="L8" s="7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2" s="7" customFormat="1" ht="15">
      <c r="A9" s="22" t="s">
        <v>43</v>
      </c>
      <c r="B9" s="23">
        <f t="shared" ref="B9:B32" si="0">SUM(D9:K9)</f>
        <v>129190.9951065522</v>
      </c>
      <c r="C9" s="24"/>
      <c r="D9" s="88">
        <f t="shared" ref="D9:K9" si="1">D10+D11+D12</f>
        <v>69589.480938961424</v>
      </c>
      <c r="E9" s="23">
        <f t="shared" si="1"/>
        <v>53705.451966178975</v>
      </c>
      <c r="F9" s="23">
        <f t="shared" si="1"/>
        <v>2480.0423404201256</v>
      </c>
      <c r="G9" s="23">
        <f>G10+G11+G12</f>
        <v>15.290000000000001</v>
      </c>
      <c r="H9" s="23">
        <f t="shared" si="1"/>
        <v>11.453572517147915</v>
      </c>
      <c r="I9" s="23">
        <f t="shared" si="1"/>
        <v>29.990173019499927</v>
      </c>
      <c r="J9" s="23">
        <f t="shared" si="1"/>
        <v>143.18209877120293</v>
      </c>
      <c r="K9" s="23">
        <f t="shared" si="1"/>
        <v>3216.1040166838452</v>
      </c>
      <c r="L9" s="71" t="s">
        <v>44</v>
      </c>
      <c r="M9" s="1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7" customFormat="1" ht="15">
      <c r="A10" s="22" t="s">
        <v>45</v>
      </c>
      <c r="B10" s="25">
        <f t="shared" si="0"/>
        <v>19525.542058911476</v>
      </c>
      <c r="C10" s="26"/>
      <c r="D10" s="79">
        <v>11606.399567025339</v>
      </c>
      <c r="E10" s="79">
        <v>7761.1787948270094</v>
      </c>
      <c r="F10" s="79">
        <v>76.868425653030101</v>
      </c>
      <c r="G10" s="79">
        <v>0</v>
      </c>
      <c r="H10" s="79">
        <v>0.71822600317208962</v>
      </c>
      <c r="I10" s="79">
        <v>3.3539470105963733</v>
      </c>
      <c r="J10" s="79">
        <v>8.8684086855450239</v>
      </c>
      <c r="K10" s="79">
        <v>68.154689706781141</v>
      </c>
      <c r="L10" s="71" t="s">
        <v>46</v>
      </c>
      <c r="M10" s="1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7" customFormat="1" ht="15">
      <c r="A11" s="22" t="s">
        <v>47</v>
      </c>
      <c r="B11" s="25">
        <f t="shared" si="0"/>
        <v>107823.45804764074</v>
      </c>
      <c r="C11" s="26"/>
      <c r="D11" s="79">
        <f t="shared" ref="D11:K11" si="2">SUM(D13:D32)</f>
        <v>57980.669371936092</v>
      </c>
      <c r="E11" s="79">
        <f t="shared" si="2"/>
        <v>45217.488171351964</v>
      </c>
      <c r="F11" s="79">
        <f t="shared" si="2"/>
        <v>1778.9579147670954</v>
      </c>
      <c r="G11" s="79">
        <f>SUM(G13:G32)</f>
        <v>0</v>
      </c>
      <c r="H11" s="79">
        <f t="shared" si="2"/>
        <v>10.735346513975825</v>
      </c>
      <c r="I11" s="79">
        <f t="shared" si="2"/>
        <v>26.636226008903556</v>
      </c>
      <c r="J11" s="79">
        <f t="shared" si="2"/>
        <v>134.3136900856579</v>
      </c>
      <c r="K11" s="79">
        <f t="shared" si="2"/>
        <v>2674.6573269770643</v>
      </c>
      <c r="L11" s="71" t="s">
        <v>48</v>
      </c>
      <c r="M11" s="1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7" customFormat="1" ht="15.75">
      <c r="A12" s="68" t="s">
        <v>49</v>
      </c>
      <c r="B12" s="25">
        <f>SUM(D12:K12)</f>
        <v>1841.9949999999999</v>
      </c>
      <c r="C12" s="24"/>
      <c r="D12" s="79">
        <v>2.4120000000000004</v>
      </c>
      <c r="E12" s="79">
        <v>726.78499999999997</v>
      </c>
      <c r="F12" s="79">
        <v>624.21599999999989</v>
      </c>
      <c r="G12" s="79">
        <v>15.290000000000001</v>
      </c>
      <c r="H12" s="79">
        <v>0</v>
      </c>
      <c r="I12" s="79">
        <v>0</v>
      </c>
      <c r="J12" s="79">
        <v>0</v>
      </c>
      <c r="K12" s="80">
        <v>473.29199999999992</v>
      </c>
      <c r="L12" s="74" t="s">
        <v>50</v>
      </c>
      <c r="M12" s="12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7" customFormat="1" ht="15">
      <c r="A13" s="69" t="s">
        <v>21</v>
      </c>
      <c r="B13" s="64">
        <f t="shared" si="0"/>
        <v>5455.5677523293343</v>
      </c>
      <c r="C13" s="24"/>
      <c r="D13" s="81">
        <v>1436.742299963729</v>
      </c>
      <c r="E13" s="81">
        <v>3998.2303832825264</v>
      </c>
      <c r="F13" s="81">
        <v>1.2583125408715246</v>
      </c>
      <c r="G13" s="81">
        <v>0</v>
      </c>
      <c r="H13" s="81">
        <v>5.7233634627775892E-2</v>
      </c>
      <c r="I13" s="81">
        <v>0.20640081345964323</v>
      </c>
      <c r="J13" s="81">
        <v>3.9768285382446549</v>
      </c>
      <c r="K13" s="81">
        <v>15.096293555875796</v>
      </c>
      <c r="L13" s="77" t="s">
        <v>1</v>
      </c>
      <c r="M13" s="15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7" customFormat="1" ht="15">
      <c r="A14" s="69" t="s">
        <v>22</v>
      </c>
      <c r="B14" s="64">
        <f t="shared" si="0"/>
        <v>3402.7214464188992</v>
      </c>
      <c r="C14" s="24"/>
      <c r="D14" s="81">
        <v>893.23486204470271</v>
      </c>
      <c r="E14" s="81">
        <v>2330.0259690446487</v>
      </c>
      <c r="F14" s="81">
        <v>113.56899837635942</v>
      </c>
      <c r="G14" s="81">
        <v>0</v>
      </c>
      <c r="H14" s="81">
        <v>0</v>
      </c>
      <c r="I14" s="81">
        <v>6.4716634389384549</v>
      </c>
      <c r="J14" s="81">
        <v>56.674949926835438</v>
      </c>
      <c r="K14" s="81">
        <v>2.7450035874144203</v>
      </c>
      <c r="L14" s="77" t="s">
        <v>2</v>
      </c>
      <c r="M14" s="15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7" customFormat="1" ht="15">
      <c r="A15" s="69" t="s">
        <v>23</v>
      </c>
      <c r="B15" s="64">
        <f t="shared" si="0"/>
        <v>3128.4374683669444</v>
      </c>
      <c r="C15" s="24"/>
      <c r="D15" s="81">
        <v>97.43313585669361</v>
      </c>
      <c r="E15" s="81">
        <v>2978.7259502573816</v>
      </c>
      <c r="F15" s="81">
        <v>52.031223565037536</v>
      </c>
      <c r="G15" s="81">
        <v>0</v>
      </c>
      <c r="H15" s="81">
        <v>0</v>
      </c>
      <c r="I15" s="81">
        <v>0.12037840514384884</v>
      </c>
      <c r="J15" s="81">
        <v>0</v>
      </c>
      <c r="K15" s="81">
        <v>0.12678028268750863</v>
      </c>
      <c r="L15" s="77" t="s">
        <v>3</v>
      </c>
      <c r="M15" s="15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7" customFormat="1" ht="15">
      <c r="A16" s="69" t="s">
        <v>24</v>
      </c>
      <c r="B16" s="64">
        <f t="shared" si="0"/>
        <v>2028.2570049295896</v>
      </c>
      <c r="C16" s="24"/>
      <c r="D16" s="81">
        <v>231.46374686940723</v>
      </c>
      <c r="E16" s="81">
        <v>1775.3917604256228</v>
      </c>
      <c r="F16" s="81">
        <v>21.391313194815915</v>
      </c>
      <c r="G16" s="81">
        <v>0</v>
      </c>
      <c r="H16" s="81">
        <v>0</v>
      </c>
      <c r="I16" s="81">
        <v>0</v>
      </c>
      <c r="J16" s="81">
        <v>0</v>
      </c>
      <c r="K16" s="81">
        <v>1.0184439743591829E-2</v>
      </c>
      <c r="L16" s="77" t="s">
        <v>4</v>
      </c>
      <c r="M16" s="15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3" customFormat="1" ht="15">
      <c r="A17" s="69" t="s">
        <v>25</v>
      </c>
      <c r="B17" s="64">
        <f t="shared" si="0"/>
        <v>6483.1043342321336</v>
      </c>
      <c r="C17" s="24"/>
      <c r="D17" s="81">
        <v>2124.6750349844287</v>
      </c>
      <c r="E17" s="81">
        <v>4231.9999207977144</v>
      </c>
      <c r="F17" s="81">
        <v>31.143235386570225</v>
      </c>
      <c r="G17" s="81">
        <v>0</v>
      </c>
      <c r="H17" s="81">
        <v>0</v>
      </c>
      <c r="I17" s="81">
        <v>3.1907259310618277</v>
      </c>
      <c r="J17" s="81">
        <v>14.499121598943969</v>
      </c>
      <c r="K17" s="81">
        <v>77.596295533414334</v>
      </c>
      <c r="L17" s="77" t="s">
        <v>5</v>
      </c>
      <c r="M17" s="15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3" customFormat="1" ht="15">
      <c r="A18" s="69" t="s">
        <v>26</v>
      </c>
      <c r="B18" s="64">
        <f t="shared" si="0"/>
        <v>1829.2509133074132</v>
      </c>
      <c r="C18" s="24"/>
      <c r="D18" s="81">
        <v>282.64894426788976</v>
      </c>
      <c r="E18" s="81">
        <v>1134.7213752038808</v>
      </c>
      <c r="F18" s="81">
        <v>30.425997238273457</v>
      </c>
      <c r="G18" s="81">
        <v>0</v>
      </c>
      <c r="H18" s="81">
        <v>4.9917829448590192</v>
      </c>
      <c r="I18" s="81">
        <v>0.14142055036299364</v>
      </c>
      <c r="J18" s="81">
        <v>7.8426874135629043E-2</v>
      </c>
      <c r="K18" s="81">
        <v>376.24296622801143</v>
      </c>
      <c r="L18" s="77" t="s">
        <v>6</v>
      </c>
      <c r="M18" s="15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3" customFormat="1" ht="15">
      <c r="A19" s="69" t="s">
        <v>27</v>
      </c>
      <c r="B19" s="64">
        <f t="shared" si="0"/>
        <v>5919.1232883164666</v>
      </c>
      <c r="C19" s="24"/>
      <c r="D19" s="81">
        <v>3272.9866977988795</v>
      </c>
      <c r="E19" s="81">
        <v>2350.7634487647829</v>
      </c>
      <c r="F19" s="81">
        <v>129.75089765196722</v>
      </c>
      <c r="G19" s="81">
        <v>0</v>
      </c>
      <c r="H19" s="81">
        <v>0</v>
      </c>
      <c r="I19" s="81">
        <v>2.8742992553007132</v>
      </c>
      <c r="J19" s="81">
        <v>9.6900205887512652</v>
      </c>
      <c r="K19" s="81">
        <v>153.0579242567843</v>
      </c>
      <c r="L19" s="77" t="s">
        <v>7</v>
      </c>
      <c r="M19" s="15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3" customFormat="1" ht="15">
      <c r="A20" s="69" t="s">
        <v>28</v>
      </c>
      <c r="B20" s="64">
        <f t="shared" si="0"/>
        <v>4272.7470002415439</v>
      </c>
      <c r="C20" s="24"/>
      <c r="D20" s="81">
        <v>2201.9411150972569</v>
      </c>
      <c r="E20" s="81">
        <v>2003.3299908614367</v>
      </c>
      <c r="F20" s="81">
        <v>40.133878491097271</v>
      </c>
      <c r="G20" s="81">
        <v>0</v>
      </c>
      <c r="H20" s="81">
        <v>0</v>
      </c>
      <c r="I20" s="81">
        <v>9.2024475596266697</v>
      </c>
      <c r="J20" s="81">
        <v>17.869232856514586</v>
      </c>
      <c r="K20" s="81">
        <v>0.27033537561111598</v>
      </c>
      <c r="L20" s="77" t="s">
        <v>8</v>
      </c>
      <c r="M20" s="15"/>
      <c r="AB20" s="4"/>
      <c r="AC20" s="4"/>
      <c r="AD20" s="4"/>
      <c r="AE20" s="4"/>
      <c r="AF20" s="4"/>
    </row>
    <row r="21" spans="1:32" s="3" customFormat="1" ht="15">
      <c r="A21" s="69" t="s">
        <v>51</v>
      </c>
      <c r="B21" s="64">
        <f t="shared" si="0"/>
        <v>2752.4573718329693</v>
      </c>
      <c r="C21" s="24"/>
      <c r="D21" s="81">
        <v>99.091010598410179</v>
      </c>
      <c r="E21" s="81">
        <v>2384.348210725082</v>
      </c>
      <c r="F21" s="81">
        <v>240.35248047881637</v>
      </c>
      <c r="G21" s="81">
        <v>0</v>
      </c>
      <c r="H21" s="81">
        <v>8.8656022266554807E-2</v>
      </c>
      <c r="I21" s="81">
        <v>0.15962176522074356</v>
      </c>
      <c r="J21" s="81">
        <v>5.4659416667054144</v>
      </c>
      <c r="K21" s="81">
        <v>22.951450576467831</v>
      </c>
      <c r="L21" s="77" t="s">
        <v>9</v>
      </c>
      <c r="M21" s="15"/>
      <c r="AB21" s="4"/>
      <c r="AC21" s="4"/>
      <c r="AD21" s="4"/>
      <c r="AE21" s="4"/>
      <c r="AF21" s="4"/>
    </row>
    <row r="22" spans="1:32" s="3" customFormat="1" ht="15">
      <c r="A22" s="69" t="s">
        <v>29</v>
      </c>
      <c r="B22" s="64">
        <f t="shared" si="0"/>
        <v>4075.1871960090161</v>
      </c>
      <c r="C22" s="24"/>
      <c r="D22" s="81">
        <v>84.329468492857629</v>
      </c>
      <c r="E22" s="81">
        <v>3898.9221627450752</v>
      </c>
      <c r="F22" s="81">
        <v>55.403501174573215</v>
      </c>
      <c r="G22" s="81">
        <v>0</v>
      </c>
      <c r="H22" s="81">
        <v>2.594591436459174</v>
      </c>
      <c r="I22" s="81">
        <v>7.8727476964077139E-3</v>
      </c>
      <c r="J22" s="81">
        <v>0.28440651812936379</v>
      </c>
      <c r="K22" s="81">
        <v>33.64519289422509</v>
      </c>
      <c r="L22" s="77" t="s">
        <v>10</v>
      </c>
      <c r="M22" s="15"/>
      <c r="AB22" s="4"/>
      <c r="AC22" s="4"/>
      <c r="AD22" s="4"/>
      <c r="AE22" s="4"/>
      <c r="AF22" s="4"/>
    </row>
    <row r="23" spans="1:32" s="3" customFormat="1" ht="15">
      <c r="A23" s="69" t="s">
        <v>30</v>
      </c>
      <c r="B23" s="64">
        <f t="shared" si="0"/>
        <v>312.69729273595999</v>
      </c>
      <c r="C23" s="24"/>
      <c r="D23" s="81">
        <v>115.52055187158284</v>
      </c>
      <c r="E23" s="81">
        <v>195.07802672203661</v>
      </c>
      <c r="F23" s="81">
        <v>0</v>
      </c>
      <c r="G23" s="81">
        <v>0</v>
      </c>
      <c r="H23" s="81">
        <v>0</v>
      </c>
      <c r="I23" s="81">
        <v>0.12601211450458097</v>
      </c>
      <c r="J23" s="81">
        <v>1.9126681227989657</v>
      </c>
      <c r="K23" s="81">
        <v>6.0033905037004287E-2</v>
      </c>
      <c r="L23" s="77" t="s">
        <v>11</v>
      </c>
      <c r="M23" s="15"/>
      <c r="AB23" s="4"/>
      <c r="AC23" s="4"/>
      <c r="AD23" s="4"/>
      <c r="AE23" s="4"/>
      <c r="AF23" s="4"/>
    </row>
    <row r="24" spans="1:32" s="3" customFormat="1" ht="15">
      <c r="A24" s="69" t="s">
        <v>31</v>
      </c>
      <c r="B24" s="64">
        <f t="shared" si="0"/>
        <v>2294.8781910587522</v>
      </c>
      <c r="C24" s="24"/>
      <c r="D24" s="81">
        <v>1384.4870902163682</v>
      </c>
      <c r="E24" s="81">
        <v>867.60803013660109</v>
      </c>
      <c r="F24" s="81">
        <v>37.522879968788857</v>
      </c>
      <c r="G24" s="81">
        <v>0</v>
      </c>
      <c r="H24" s="82">
        <v>0</v>
      </c>
      <c r="I24" s="81">
        <v>0</v>
      </c>
      <c r="J24" s="81">
        <v>0.53302843709032455</v>
      </c>
      <c r="K24" s="81">
        <v>4.7271622999038012</v>
      </c>
      <c r="L24" s="77" t="s">
        <v>12</v>
      </c>
      <c r="M24" s="15"/>
      <c r="AB24" s="4"/>
      <c r="AC24" s="4"/>
      <c r="AD24" s="4"/>
      <c r="AE24" s="4"/>
      <c r="AF24" s="4"/>
    </row>
    <row r="25" spans="1:32" s="3" customFormat="1" ht="15">
      <c r="A25" s="69" t="s">
        <v>32</v>
      </c>
      <c r="B25" s="64">
        <f t="shared" si="0"/>
        <v>3596.7076673388624</v>
      </c>
      <c r="C25" s="24"/>
      <c r="D25" s="81">
        <v>155.28216839865283</v>
      </c>
      <c r="E25" s="81">
        <v>2039.4282771821652</v>
      </c>
      <c r="F25" s="81">
        <v>52.762932307554323</v>
      </c>
      <c r="G25" s="81">
        <v>0</v>
      </c>
      <c r="H25" s="81">
        <v>1.5711193819389461E-2</v>
      </c>
      <c r="I25" s="81">
        <v>2.3112653787618981E-2</v>
      </c>
      <c r="J25" s="81">
        <v>1.54297705473515</v>
      </c>
      <c r="K25" s="81">
        <v>1347.6524885481481</v>
      </c>
      <c r="L25" s="77" t="s">
        <v>13</v>
      </c>
      <c r="M25" s="15"/>
      <c r="AB25" s="4"/>
      <c r="AC25" s="4"/>
      <c r="AD25" s="4"/>
      <c r="AE25" s="4"/>
      <c r="AF25" s="4"/>
    </row>
    <row r="26" spans="1:32" s="3" customFormat="1" ht="15">
      <c r="A26" s="69" t="s">
        <v>33</v>
      </c>
      <c r="B26" s="64">
        <f t="shared" si="0"/>
        <v>7183.6101718072623</v>
      </c>
      <c r="C26" s="24"/>
      <c r="D26" s="81">
        <v>1546.2628897618022</v>
      </c>
      <c r="E26" s="81">
        <v>5198.804644968608</v>
      </c>
      <c r="F26" s="81">
        <v>419.34712483965541</v>
      </c>
      <c r="G26" s="81">
        <v>0</v>
      </c>
      <c r="H26" s="81">
        <v>8.977825039651121E-3</v>
      </c>
      <c r="I26" s="81">
        <v>0.59194876945436214</v>
      </c>
      <c r="J26" s="81">
        <v>0.64973361068483759</v>
      </c>
      <c r="K26" s="81">
        <v>17.944852032017295</v>
      </c>
      <c r="L26" s="77" t="s">
        <v>14</v>
      </c>
      <c r="M26" s="15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1:32" ht="15">
      <c r="A27" s="69" t="s">
        <v>34</v>
      </c>
      <c r="B27" s="64">
        <f t="shared" si="0"/>
        <v>4117.0242744197167</v>
      </c>
      <c r="C27" s="24"/>
      <c r="D27" s="81">
        <v>2144.3150782013468</v>
      </c>
      <c r="E27" s="81">
        <v>1304.6390275458939</v>
      </c>
      <c r="F27" s="81">
        <v>41.442523533603669</v>
      </c>
      <c r="G27" s="81">
        <v>0</v>
      </c>
      <c r="H27" s="81">
        <v>2.9783934569042598</v>
      </c>
      <c r="I27" s="81">
        <v>1.0216756001368754</v>
      </c>
      <c r="J27" s="81">
        <v>5.784511878814369</v>
      </c>
      <c r="K27" s="81">
        <v>616.84306420301698</v>
      </c>
      <c r="L27" s="77" t="s">
        <v>15</v>
      </c>
      <c r="M27" s="15"/>
    </row>
    <row r="28" spans="1:32" ht="15">
      <c r="A28" s="69" t="s">
        <v>35</v>
      </c>
      <c r="B28" s="64">
        <f t="shared" si="0"/>
        <v>10779.729136313419</v>
      </c>
      <c r="C28" s="24"/>
      <c r="D28" s="81">
        <v>7849.398959885435</v>
      </c>
      <c r="E28" s="81">
        <v>2556.5705551924011</v>
      </c>
      <c r="F28" s="81">
        <v>360.75191390516181</v>
      </c>
      <c r="G28" s="81">
        <v>0</v>
      </c>
      <c r="H28" s="81">
        <v>0</v>
      </c>
      <c r="I28" s="81">
        <v>1.2776963921968119</v>
      </c>
      <c r="J28" s="81">
        <v>11.699818337864464</v>
      </c>
      <c r="K28" s="81">
        <v>3.0192600361765319E-2</v>
      </c>
      <c r="L28" s="77" t="s">
        <v>16</v>
      </c>
      <c r="M28" s="15"/>
    </row>
    <row r="29" spans="1:32" ht="15">
      <c r="A29" s="69" t="s">
        <v>36</v>
      </c>
      <c r="B29" s="64">
        <f t="shared" si="0"/>
        <v>17591.605791181755</v>
      </c>
      <c r="C29" s="24"/>
      <c r="D29" s="81">
        <v>15245.568980357286</v>
      </c>
      <c r="E29" s="81">
        <v>2248.9704757243135</v>
      </c>
      <c r="F29" s="81">
        <v>93.86382398631136</v>
      </c>
      <c r="G29" s="81">
        <v>0</v>
      </c>
      <c r="H29" s="82">
        <v>0</v>
      </c>
      <c r="I29" s="81">
        <v>0.31835273024342253</v>
      </c>
      <c r="J29" s="81">
        <v>2.0928379687862209</v>
      </c>
      <c r="K29" s="81">
        <v>0.79132041481722859</v>
      </c>
      <c r="L29" s="77" t="s">
        <v>17</v>
      </c>
      <c r="M29" s="15"/>
    </row>
    <row r="30" spans="1:32" ht="15">
      <c r="A30" s="69" t="s">
        <v>37</v>
      </c>
      <c r="B30" s="64">
        <f t="shared" si="0"/>
        <v>8520.5992519975225</v>
      </c>
      <c r="C30" s="24"/>
      <c r="D30" s="81">
        <v>7640.3528098312408</v>
      </c>
      <c r="E30" s="81">
        <v>862.57708695521649</v>
      </c>
      <c r="F30" s="81">
        <v>16.345479905921103</v>
      </c>
      <c r="G30" s="81">
        <v>0</v>
      </c>
      <c r="H30" s="81">
        <v>0</v>
      </c>
      <c r="I30" s="81">
        <v>9.3895156012202122E-2</v>
      </c>
      <c r="J30" s="81">
        <v>0.20385999874682587</v>
      </c>
      <c r="K30" s="81">
        <v>1.0261201503842823</v>
      </c>
      <c r="L30" s="77" t="s">
        <v>18</v>
      </c>
      <c r="M30" s="15"/>
    </row>
    <row r="31" spans="1:32" ht="15">
      <c r="A31" s="69" t="s">
        <v>38</v>
      </c>
      <c r="B31" s="64">
        <f t="shared" si="0"/>
        <v>3722.8406026800089</v>
      </c>
      <c r="C31" s="24"/>
      <c r="D31" s="81">
        <v>2380.0952397511514</v>
      </c>
      <c r="E31" s="81">
        <v>1324.274266699643</v>
      </c>
      <c r="F31" s="81">
        <v>17.389879314844467</v>
      </c>
      <c r="G31" s="81">
        <v>0</v>
      </c>
      <c r="H31" s="81">
        <v>0</v>
      </c>
      <c r="I31" s="81">
        <v>0.57998315598306371</v>
      </c>
      <c r="J31" s="81">
        <v>0.50123375838669115</v>
      </c>
      <c r="K31" s="81">
        <v>0</v>
      </c>
      <c r="L31" s="77" t="s">
        <v>19</v>
      </c>
      <c r="M31" s="15"/>
    </row>
    <row r="32" spans="1:32" ht="15">
      <c r="A32" s="70" t="s">
        <v>3</v>
      </c>
      <c r="B32" s="65">
        <f t="shared" si="0"/>
        <v>10356.911892123186</v>
      </c>
      <c r="C32" s="28"/>
      <c r="D32" s="29">
        <v>8794.8392876869784</v>
      </c>
      <c r="E32" s="29">
        <v>1533.0786081169322</v>
      </c>
      <c r="F32" s="29">
        <v>24.071518906872264</v>
      </c>
      <c r="G32" s="29">
        <v>0</v>
      </c>
      <c r="H32" s="29">
        <v>0</v>
      </c>
      <c r="I32" s="29">
        <v>0.2287189697733128</v>
      </c>
      <c r="J32" s="29">
        <v>0.85409234948975987</v>
      </c>
      <c r="K32" s="29">
        <v>3.8396660931420117</v>
      </c>
      <c r="L32" s="78" t="s">
        <v>20</v>
      </c>
      <c r="M32" s="30"/>
    </row>
    <row r="33" spans="1:30" ht="14.25">
      <c r="A33" s="1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72" t="s">
        <v>41</v>
      </c>
    </row>
    <row r="34" spans="1:30" s="6" customFormat="1" ht="19.5">
      <c r="A34" s="89"/>
      <c r="B34" s="90"/>
      <c r="C34" s="90"/>
      <c r="D34" s="91"/>
      <c r="E34" s="91"/>
      <c r="F34" s="91"/>
      <c r="G34" s="91"/>
      <c r="H34" s="91"/>
      <c r="I34" s="91"/>
      <c r="J34" s="91"/>
      <c r="K34" s="9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s="6" customFormat="1" ht="19.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s="9" customFormat="1">
      <c r="A36" s="94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8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8"/>
    </row>
    <row r="37" spans="1:30" s="11" customFormat="1" ht="15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10"/>
    </row>
    <row r="38" spans="1:30" s="9" customFormat="1" ht="12">
      <c r="A38" s="96"/>
      <c r="B38" s="96"/>
      <c r="C38" s="96"/>
      <c r="D38" s="96"/>
      <c r="E38" s="96"/>
      <c r="F38" s="96"/>
      <c r="G38" s="96"/>
      <c r="H38" s="96"/>
      <c r="I38" s="96"/>
      <c r="J38" s="96"/>
      <c r="K38" s="96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8"/>
    </row>
    <row r="39" spans="1:30" s="7" customFormat="1" ht="15">
      <c r="A39" s="31"/>
      <c r="B39" s="32"/>
      <c r="C39" s="32"/>
      <c r="D39" s="33"/>
      <c r="E39" s="34"/>
      <c r="F39" s="35"/>
      <c r="G39" s="35"/>
      <c r="H39" s="34"/>
      <c r="I39" s="36"/>
      <c r="J39" s="37"/>
      <c r="K39" s="38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4"/>
    </row>
    <row r="40" spans="1:30" s="7" customFormat="1" ht="15">
      <c r="A40" s="32"/>
      <c r="B40" s="39"/>
      <c r="C40" s="39"/>
      <c r="D40" s="39"/>
      <c r="E40" s="39"/>
      <c r="F40" s="39"/>
      <c r="G40" s="39"/>
      <c r="H40" s="39"/>
      <c r="I40" s="39"/>
      <c r="J40" s="39"/>
      <c r="K40" s="37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4"/>
    </row>
    <row r="41" spans="1:30" s="9" customFormat="1" ht="12">
      <c r="A41" s="40"/>
      <c r="B41" s="41"/>
      <c r="C41" s="41"/>
      <c r="D41" s="42"/>
      <c r="E41" s="42"/>
      <c r="F41" s="42"/>
      <c r="G41" s="42"/>
      <c r="H41" s="42"/>
      <c r="I41" s="42"/>
      <c r="J41" s="42"/>
      <c r="K41" s="40"/>
      <c r="L41" s="8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8"/>
    </row>
    <row r="42" spans="1:30" s="7" customFormat="1" ht="15">
      <c r="A42" s="32"/>
      <c r="B42" s="43"/>
      <c r="C42" s="43"/>
      <c r="D42" s="44"/>
      <c r="E42" s="44"/>
      <c r="F42" s="44"/>
      <c r="G42" s="44"/>
      <c r="H42" s="44"/>
      <c r="I42" s="44"/>
      <c r="J42" s="44"/>
      <c r="K42" s="37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4"/>
    </row>
    <row r="43" spans="1:30" s="7" customFormat="1" ht="15">
      <c r="A43" s="32"/>
      <c r="B43" s="45"/>
      <c r="C43" s="45"/>
      <c r="D43" s="46"/>
      <c r="E43" s="46"/>
      <c r="F43" s="46"/>
      <c r="G43" s="46"/>
      <c r="H43" s="46"/>
      <c r="I43" s="46"/>
      <c r="J43" s="46"/>
      <c r="K43" s="37"/>
      <c r="L43" s="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4"/>
    </row>
    <row r="44" spans="1:30" s="7" customFormat="1" ht="15">
      <c r="A44" s="32"/>
      <c r="B44" s="45"/>
      <c r="C44" s="45"/>
      <c r="D44" s="45"/>
      <c r="E44" s="45"/>
      <c r="F44" s="45"/>
      <c r="G44" s="45"/>
      <c r="H44" s="45"/>
      <c r="I44" s="45"/>
      <c r="J44" s="45"/>
      <c r="K44" s="37"/>
      <c r="L44" s="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4"/>
    </row>
    <row r="45" spans="1:30" s="7" customFormat="1" ht="15">
      <c r="A45" s="32"/>
      <c r="B45" s="44"/>
      <c r="C45" s="44"/>
      <c r="D45" s="47"/>
      <c r="E45" s="46"/>
      <c r="F45" s="48"/>
      <c r="G45" s="48"/>
      <c r="H45" s="48"/>
      <c r="I45" s="48"/>
      <c r="J45" s="46"/>
      <c r="K45" s="37"/>
      <c r="L45" s="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4"/>
    </row>
    <row r="46" spans="1:30" s="7" customFormat="1" ht="15">
      <c r="A46" s="49"/>
      <c r="B46" s="44"/>
      <c r="C46" s="44"/>
      <c r="D46" s="50"/>
      <c r="E46" s="51"/>
      <c r="F46" s="51"/>
      <c r="G46" s="51"/>
      <c r="H46" s="51"/>
      <c r="I46" s="51"/>
      <c r="J46" s="51"/>
      <c r="K46" s="52"/>
      <c r="L46" s="4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4"/>
    </row>
    <row r="47" spans="1:30" s="7" customFormat="1" ht="15">
      <c r="A47" s="49"/>
      <c r="B47" s="44"/>
      <c r="C47" s="44"/>
      <c r="D47" s="50"/>
      <c r="E47" s="51"/>
      <c r="F47" s="51"/>
      <c r="G47" s="51"/>
      <c r="H47" s="51"/>
      <c r="I47" s="51"/>
      <c r="J47" s="51"/>
      <c r="K47" s="52"/>
      <c r="L47" s="4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4"/>
    </row>
    <row r="48" spans="1:30" s="7" customFormat="1" ht="15">
      <c r="A48" s="49"/>
      <c r="B48" s="44"/>
      <c r="C48" s="44"/>
      <c r="D48" s="50"/>
      <c r="E48" s="51"/>
      <c r="F48" s="51"/>
      <c r="G48" s="51"/>
      <c r="H48" s="51"/>
      <c r="I48" s="51"/>
      <c r="J48" s="51"/>
      <c r="K48" s="52"/>
      <c r="L48" s="4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4"/>
    </row>
    <row r="49" spans="1:30" s="7" customFormat="1" ht="15">
      <c r="A49" s="49"/>
      <c r="B49" s="44"/>
      <c r="C49" s="44"/>
      <c r="D49" s="50"/>
      <c r="E49" s="51"/>
      <c r="F49" s="53"/>
      <c r="G49" s="53"/>
      <c r="H49" s="51"/>
      <c r="I49" s="51"/>
      <c r="J49" s="51"/>
      <c r="K49" s="52"/>
      <c r="L49" s="4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4"/>
    </row>
    <row r="50" spans="1:30" s="3" customFormat="1" ht="15">
      <c r="A50" s="49"/>
      <c r="B50" s="44"/>
      <c r="C50" s="44"/>
      <c r="D50" s="50"/>
      <c r="E50" s="51"/>
      <c r="F50" s="51"/>
      <c r="G50" s="51"/>
      <c r="H50" s="51"/>
      <c r="I50" s="51"/>
      <c r="J50" s="51"/>
      <c r="K50" s="52"/>
      <c r="L50" s="4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4"/>
    </row>
    <row r="51" spans="1:30" s="3" customFormat="1" ht="15">
      <c r="A51" s="49"/>
      <c r="B51" s="44"/>
      <c r="C51" s="44"/>
      <c r="D51" s="50"/>
      <c r="E51" s="51"/>
      <c r="F51" s="51"/>
      <c r="G51" s="51"/>
      <c r="H51" s="51"/>
      <c r="I51" s="51"/>
      <c r="J51" s="51"/>
      <c r="K51" s="52"/>
      <c r="L51" s="4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4"/>
    </row>
    <row r="52" spans="1:30" s="3" customFormat="1" ht="15">
      <c r="A52" s="49"/>
      <c r="B52" s="44"/>
      <c r="C52" s="44"/>
      <c r="D52" s="50"/>
      <c r="E52" s="51"/>
      <c r="F52" s="51"/>
      <c r="G52" s="51"/>
      <c r="H52" s="51"/>
      <c r="I52" s="51"/>
      <c r="J52" s="51"/>
      <c r="K52" s="52"/>
      <c r="L52" s="4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4"/>
    </row>
    <row r="53" spans="1:30" s="3" customFormat="1" ht="15">
      <c r="A53" s="49"/>
      <c r="B53" s="44"/>
      <c r="C53" s="44"/>
      <c r="D53" s="50"/>
      <c r="E53" s="51"/>
      <c r="F53" s="51"/>
      <c r="G53" s="51"/>
      <c r="H53" s="51"/>
      <c r="I53" s="51"/>
      <c r="J53" s="51"/>
      <c r="K53" s="52"/>
      <c r="W53" s="4"/>
      <c r="X53" s="4"/>
      <c r="Y53" s="4"/>
      <c r="Z53" s="4"/>
      <c r="AA53" s="4"/>
      <c r="AB53" s="4"/>
      <c r="AC53" s="4"/>
      <c r="AD53" s="4"/>
    </row>
    <row r="54" spans="1:30" s="3" customFormat="1" ht="15">
      <c r="A54" s="49"/>
      <c r="B54" s="44"/>
      <c r="C54" s="44"/>
      <c r="D54" s="50"/>
      <c r="E54" s="51"/>
      <c r="F54" s="51"/>
      <c r="G54" s="51"/>
      <c r="H54" s="51"/>
      <c r="I54" s="51"/>
      <c r="J54" s="51"/>
      <c r="K54" s="52"/>
      <c r="W54" s="4"/>
      <c r="X54" s="4"/>
      <c r="Y54" s="4"/>
      <c r="Z54" s="4"/>
      <c r="AA54" s="4"/>
      <c r="AB54" s="4"/>
      <c r="AC54" s="4"/>
      <c r="AD54" s="4"/>
    </row>
    <row r="55" spans="1:30" s="3" customFormat="1" ht="15">
      <c r="A55" s="49"/>
      <c r="B55" s="44"/>
      <c r="C55" s="44"/>
      <c r="D55" s="50"/>
      <c r="E55" s="51"/>
      <c r="F55" s="51"/>
      <c r="G55" s="51"/>
      <c r="H55" s="51"/>
      <c r="I55" s="51"/>
      <c r="J55" s="51"/>
      <c r="K55" s="52"/>
      <c r="W55" s="4"/>
      <c r="X55" s="4"/>
      <c r="Y55" s="4"/>
      <c r="Z55" s="4"/>
      <c r="AA55" s="4"/>
      <c r="AB55" s="4"/>
      <c r="AC55" s="4"/>
      <c r="AD55" s="4"/>
    </row>
    <row r="56" spans="1:30" s="3" customFormat="1" ht="15">
      <c r="A56" s="49"/>
      <c r="B56" s="44"/>
      <c r="C56" s="44"/>
      <c r="D56" s="50"/>
      <c r="E56" s="51"/>
      <c r="F56" s="51"/>
      <c r="G56" s="51"/>
      <c r="H56" s="51"/>
      <c r="I56" s="51"/>
      <c r="J56" s="51"/>
      <c r="K56" s="52"/>
      <c r="W56" s="4"/>
      <c r="X56" s="4"/>
      <c r="Y56" s="4"/>
      <c r="Z56" s="4"/>
      <c r="AA56" s="4"/>
      <c r="AB56" s="4"/>
      <c r="AC56" s="4"/>
      <c r="AD56" s="4"/>
    </row>
    <row r="57" spans="1:30" s="3" customFormat="1" ht="15">
      <c r="A57" s="49"/>
      <c r="B57" s="44"/>
      <c r="C57" s="44"/>
      <c r="D57" s="50"/>
      <c r="E57" s="51"/>
      <c r="F57" s="54"/>
      <c r="G57" s="54"/>
      <c r="H57" s="51"/>
      <c r="I57" s="51"/>
      <c r="J57" s="51"/>
      <c r="K57" s="52"/>
      <c r="W57" s="4"/>
      <c r="X57" s="4"/>
      <c r="Y57" s="4"/>
      <c r="Z57" s="4"/>
      <c r="AA57" s="4"/>
      <c r="AB57" s="4"/>
      <c r="AC57" s="4"/>
      <c r="AD57" s="4"/>
    </row>
    <row r="58" spans="1:30" s="3" customFormat="1" ht="15">
      <c r="A58" s="49"/>
      <c r="B58" s="44"/>
      <c r="C58" s="44"/>
      <c r="D58" s="50"/>
      <c r="E58" s="51"/>
      <c r="F58" s="51"/>
      <c r="G58" s="51"/>
      <c r="H58" s="51"/>
      <c r="I58" s="51"/>
      <c r="J58" s="51"/>
      <c r="K58" s="52"/>
      <c r="W58" s="4"/>
      <c r="X58" s="4"/>
      <c r="Y58" s="4"/>
      <c r="Z58" s="4"/>
      <c r="AA58" s="4"/>
      <c r="AB58" s="4"/>
      <c r="AC58" s="4"/>
      <c r="AD58" s="4"/>
    </row>
    <row r="59" spans="1:30" s="3" customFormat="1" ht="15">
      <c r="A59" s="49"/>
      <c r="B59" s="44"/>
      <c r="C59" s="44"/>
      <c r="D59" s="50"/>
      <c r="E59" s="51"/>
      <c r="F59" s="51"/>
      <c r="G59" s="51"/>
      <c r="H59" s="51"/>
      <c r="I59" s="51"/>
      <c r="J59" s="51"/>
      <c r="K59" s="52"/>
      <c r="L59" s="27"/>
      <c r="M59" s="27"/>
      <c r="N59" s="27"/>
      <c r="O59" s="27"/>
      <c r="P59" s="27"/>
      <c r="Q59" s="27"/>
      <c r="R59" s="27"/>
      <c r="S59" s="27"/>
    </row>
    <row r="60" spans="1:30" ht="15">
      <c r="A60" s="49"/>
      <c r="B60" s="44"/>
      <c r="C60" s="44"/>
      <c r="D60" s="50"/>
      <c r="E60" s="51"/>
      <c r="F60" s="51"/>
      <c r="G60" s="51"/>
      <c r="H60" s="51"/>
      <c r="I60" s="51"/>
      <c r="J60" s="51"/>
      <c r="K60" s="52"/>
    </row>
    <row r="61" spans="1:30" ht="15">
      <c r="A61" s="49"/>
      <c r="B61" s="44"/>
      <c r="C61" s="44"/>
      <c r="D61" s="50"/>
      <c r="E61" s="51"/>
      <c r="F61" s="51"/>
      <c r="G61" s="51"/>
      <c r="H61" s="51"/>
      <c r="I61" s="51"/>
      <c r="J61" s="51"/>
      <c r="K61" s="52"/>
    </row>
    <row r="62" spans="1:30" ht="15">
      <c r="A62" s="49"/>
      <c r="B62" s="44"/>
      <c r="C62" s="44"/>
      <c r="D62" s="50"/>
      <c r="E62" s="51"/>
      <c r="F62" s="55"/>
      <c r="G62" s="55"/>
      <c r="H62" s="53"/>
      <c r="I62" s="51"/>
      <c r="J62" s="51"/>
      <c r="K62" s="52"/>
    </row>
    <row r="63" spans="1:30" ht="15">
      <c r="A63" s="49"/>
      <c r="B63" s="44"/>
      <c r="C63" s="44"/>
      <c r="D63" s="50"/>
      <c r="E63" s="51"/>
      <c r="F63" s="53"/>
      <c r="G63" s="53"/>
      <c r="H63" s="51"/>
      <c r="I63" s="51"/>
      <c r="J63" s="51"/>
      <c r="K63" s="52"/>
    </row>
    <row r="64" spans="1:30" ht="15">
      <c r="A64" s="49"/>
      <c r="B64" s="44"/>
      <c r="C64" s="44"/>
      <c r="D64" s="50"/>
      <c r="E64" s="51"/>
      <c r="F64" s="53"/>
      <c r="G64" s="53"/>
      <c r="H64" s="53"/>
      <c r="I64" s="53"/>
      <c r="J64" s="51"/>
      <c r="K64" s="52"/>
    </row>
    <row r="65" spans="1:11" ht="15">
      <c r="A65" s="49"/>
      <c r="B65" s="44"/>
      <c r="C65" s="44"/>
      <c r="D65" s="50"/>
      <c r="E65" s="51"/>
      <c r="F65" s="53"/>
      <c r="G65" s="53"/>
      <c r="H65" s="53"/>
      <c r="I65" s="53"/>
      <c r="J65" s="51"/>
      <c r="K65" s="52"/>
    </row>
    <row r="66" spans="1:11" ht="15">
      <c r="A66" s="56"/>
      <c r="B66" s="57"/>
      <c r="C66" s="57"/>
      <c r="D66" s="57"/>
      <c r="E66" s="57"/>
      <c r="F66" s="57"/>
      <c r="G66" s="57"/>
      <c r="H66" s="57"/>
      <c r="I66" s="57"/>
      <c r="J66" s="57"/>
      <c r="K66" s="58"/>
    </row>
    <row r="67" spans="1:11">
      <c r="A67" s="5"/>
    </row>
    <row r="71" spans="1:11">
      <c r="B71" s="60"/>
      <c r="C71" s="60"/>
      <c r="D71" s="60"/>
      <c r="E71" s="60"/>
      <c r="F71" s="60"/>
      <c r="G71" s="60"/>
      <c r="H71" s="60"/>
      <c r="I71" s="60"/>
      <c r="J71" s="60"/>
    </row>
    <row r="72" spans="1:11">
      <c r="B72" s="60"/>
      <c r="C72" s="60"/>
      <c r="D72" s="60"/>
      <c r="E72" s="60"/>
      <c r="F72" s="60"/>
      <c r="G72" s="60"/>
      <c r="H72" s="60"/>
      <c r="I72" s="60"/>
      <c r="J72" s="60"/>
    </row>
    <row r="73" spans="1:11">
      <c r="B73" s="60"/>
      <c r="C73" s="60"/>
      <c r="D73" s="60"/>
      <c r="E73" s="60"/>
      <c r="F73" s="60"/>
      <c r="G73" s="60"/>
      <c r="H73" s="60"/>
      <c r="I73" s="60"/>
      <c r="J73" s="60"/>
    </row>
    <row r="74" spans="1:11">
      <c r="B74" s="60"/>
      <c r="C74" s="60"/>
      <c r="D74" s="60"/>
      <c r="E74" s="60"/>
      <c r="F74" s="60"/>
      <c r="G74" s="60"/>
      <c r="H74" s="60"/>
      <c r="I74" s="60"/>
      <c r="J74" s="60"/>
    </row>
    <row r="75" spans="1:11">
      <c r="B75" s="60"/>
      <c r="C75" s="60"/>
      <c r="D75" s="60"/>
      <c r="E75" s="60"/>
      <c r="F75" s="60"/>
      <c r="G75" s="60"/>
      <c r="H75" s="60"/>
      <c r="I75" s="60"/>
      <c r="J75" s="60"/>
    </row>
  </sheetData>
  <mergeCells count="10">
    <mergeCell ref="A35:K35"/>
    <mergeCell ref="A36:K36"/>
    <mergeCell ref="A37:K37"/>
    <mergeCell ref="A38:K38"/>
    <mergeCell ref="A1:L1"/>
    <mergeCell ref="A2:L2"/>
    <mergeCell ref="A3:L3"/>
    <mergeCell ref="A4:L4"/>
    <mergeCell ref="D6:G6"/>
    <mergeCell ref="H6:K6"/>
  </mergeCells>
  <pageMargins left="0.25" right="0.33" top="0.53" bottom="0.51" header="0.3" footer="0.3"/>
  <pageSetup paperSize="9" scale="70" orientation="portrait" r:id="rId1"/>
  <ignoredErrors>
    <ignoredError sqref="D11:K14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9.3</vt:lpstr>
      <vt:lpstr>'9.3'!Print_Area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2017-01-23T07:36:10Z</cp:lastPrinted>
  <dcterms:created xsi:type="dcterms:W3CDTF">2014-03-04T03:52:57Z</dcterms:created>
  <dcterms:modified xsi:type="dcterms:W3CDTF">2017-10-22T07:44:59Z</dcterms:modified>
</cp:coreProperties>
</file>