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Dissemination\Publications\Statistical Year Book\YEARBOOK 2017\WEB\Shahuda not checked\9. FISHERIES AND AGRICULTURE\"/>
    </mc:Choice>
  </mc:AlternateContent>
  <bookViews>
    <workbookView xWindow="0" yWindow="0" windowWidth="28800" windowHeight="12345" tabRatio="898"/>
  </bookViews>
  <sheets>
    <sheet name="9.2" sheetId="7" r:id="rId1"/>
  </sheets>
  <externalReferences>
    <externalReference r:id="rId2"/>
    <externalReference r:id="rId3"/>
  </externalReferences>
  <definedNames>
    <definedName name="_xlnm.Print_Area" localSheetId="0">'9.2'!$A$1:$R$33</definedName>
  </definedNames>
  <calcPr calcId="162913"/>
</workbook>
</file>

<file path=xl/calcChain.xml><?xml version="1.0" encoding="utf-8"?>
<calcChain xmlns="http://schemas.openxmlformats.org/spreadsheetml/2006/main">
  <c r="O31" i="7" l="1"/>
  <c r="N31" i="7"/>
  <c r="M31" i="7"/>
  <c r="O30" i="7"/>
  <c r="N30" i="7"/>
  <c r="M30" i="7"/>
  <c r="O29" i="7"/>
  <c r="N29" i="7"/>
  <c r="M29" i="7"/>
  <c r="O28" i="7"/>
  <c r="N28" i="7"/>
  <c r="M28" i="7"/>
  <c r="O27" i="7"/>
  <c r="N27" i="7"/>
  <c r="M27" i="7"/>
  <c r="O26" i="7"/>
  <c r="N26" i="7"/>
  <c r="M26" i="7"/>
  <c r="O25" i="7"/>
  <c r="N25" i="7"/>
  <c r="M25" i="7"/>
  <c r="O24" i="7"/>
  <c r="N24" i="7"/>
  <c r="M24" i="7"/>
  <c r="O23" i="7"/>
  <c r="N23" i="7"/>
  <c r="M23" i="7"/>
  <c r="O22" i="7"/>
  <c r="N22" i="7"/>
  <c r="M22" i="7"/>
  <c r="O21" i="7"/>
  <c r="N21" i="7"/>
  <c r="M21" i="7"/>
  <c r="O20" i="7"/>
  <c r="N20" i="7"/>
  <c r="M20" i="7"/>
  <c r="O19" i="7"/>
  <c r="N19" i="7"/>
  <c r="M19" i="7"/>
  <c r="O18" i="7"/>
  <c r="N18" i="7"/>
  <c r="M18" i="7"/>
  <c r="O17" i="7"/>
  <c r="N17" i="7"/>
  <c r="M17" i="7"/>
  <c r="O16" i="7"/>
  <c r="N16" i="7"/>
  <c r="M16" i="7"/>
  <c r="O15" i="7"/>
  <c r="N15" i="7"/>
  <c r="M15" i="7"/>
  <c r="O14" i="7"/>
  <c r="N14" i="7"/>
  <c r="M14" i="7"/>
  <c r="O13" i="7"/>
  <c r="N13" i="7"/>
  <c r="M13" i="7"/>
  <c r="O12" i="7"/>
  <c r="N12" i="7"/>
  <c r="M12" i="7"/>
  <c r="O11" i="7"/>
  <c r="N11" i="7"/>
  <c r="M11" i="7"/>
  <c r="E10" i="7"/>
  <c r="D10" i="7"/>
  <c r="C10" i="7"/>
  <c r="B10" i="7"/>
  <c r="B8" i="7" s="1"/>
  <c r="O9" i="7"/>
  <c r="N9" i="7"/>
  <c r="M9" i="7"/>
  <c r="E8" i="7"/>
  <c r="G29" i="7"/>
  <c r="O10" i="7" l="1"/>
  <c r="C8" i="7"/>
  <c r="I31" i="7" s="1"/>
  <c r="D8" i="7"/>
  <c r="G9" i="7"/>
  <c r="M10" i="7"/>
  <c r="G12" i="7"/>
  <c r="G16" i="7"/>
  <c r="G20" i="7"/>
  <c r="G24" i="7"/>
  <c r="G28" i="7"/>
  <c r="N10" i="7"/>
  <c r="F10" i="7"/>
  <c r="G8" i="7"/>
  <c r="G15" i="7"/>
  <c r="G19" i="7"/>
  <c r="G23" i="7"/>
  <c r="G27" i="7"/>
  <c r="G31" i="7"/>
  <c r="G11" i="7"/>
  <c r="G14" i="7"/>
  <c r="G18" i="7"/>
  <c r="G22" i="7"/>
  <c r="G26" i="7"/>
  <c r="G30" i="7"/>
  <c r="G10" i="7"/>
  <c r="G13" i="7"/>
  <c r="G17" i="7"/>
  <c r="G21" i="7"/>
  <c r="G25" i="7"/>
  <c r="I28" i="7" l="1"/>
  <c r="I8" i="7"/>
  <c r="I12" i="7"/>
  <c r="I29" i="7"/>
  <c r="I13" i="7"/>
  <c r="I14" i="7"/>
  <c r="I21" i="7"/>
  <c r="I22" i="7"/>
  <c r="I16" i="7"/>
  <c r="I17" i="7"/>
  <c r="I18" i="7"/>
  <c r="I27" i="7"/>
  <c r="I24" i="7"/>
  <c r="I25" i="7"/>
  <c r="I26" i="7"/>
  <c r="I11" i="7"/>
  <c r="I23" i="7"/>
  <c r="I9" i="7"/>
  <c r="I19" i="7"/>
  <c r="I30" i="7"/>
  <c r="I20" i="7"/>
  <c r="I15" i="7"/>
  <c r="M8" i="7"/>
  <c r="I10" i="7"/>
  <c r="J31" i="7"/>
  <c r="J27" i="7"/>
  <c r="J23" i="7"/>
  <c r="J19" i="7"/>
  <c r="J15" i="7"/>
  <c r="O8" i="7"/>
  <c r="K28" i="7"/>
  <c r="K24" i="7"/>
  <c r="K20" i="7"/>
  <c r="K16" i="7"/>
  <c r="K12" i="7"/>
  <c r="K9" i="7"/>
  <c r="N8" i="7"/>
  <c r="J28" i="7"/>
  <c r="J24" i="7"/>
  <c r="J20" i="7"/>
  <c r="J16" i="7"/>
  <c r="J12" i="7"/>
  <c r="J9" i="7"/>
  <c r="K29" i="7"/>
  <c r="K25" i="7"/>
  <c r="K21" i="7"/>
  <c r="K17" i="7"/>
  <c r="K13" i="7"/>
  <c r="K10" i="7"/>
  <c r="J29" i="7"/>
  <c r="J25" i="7"/>
  <c r="J21" i="7"/>
  <c r="J17" i="7"/>
  <c r="J13" i="7"/>
  <c r="K30" i="7"/>
  <c r="K26" i="7"/>
  <c r="K22" i="7"/>
  <c r="K18" i="7"/>
  <c r="K14" i="7"/>
  <c r="K11" i="7"/>
  <c r="J8" i="7"/>
  <c r="J30" i="7"/>
  <c r="J26" i="7"/>
  <c r="J22" i="7"/>
  <c r="J18" i="7"/>
  <c r="J14" i="7"/>
  <c r="J11" i="7"/>
  <c r="K31" i="7"/>
  <c r="K27" i="7"/>
  <c r="K23" i="7"/>
  <c r="K19" i="7"/>
  <c r="K15" i="7"/>
  <c r="F29" i="7"/>
  <c r="F25" i="7"/>
  <c r="F21" i="7"/>
  <c r="F17" i="7"/>
  <c r="F13" i="7"/>
  <c r="F30" i="7"/>
  <c r="F26" i="7"/>
  <c r="F22" i="7"/>
  <c r="F18" i="7"/>
  <c r="F14" i="7"/>
  <c r="F11" i="7"/>
  <c r="F31" i="7"/>
  <c r="F27" i="7"/>
  <c r="F23" i="7"/>
  <c r="F19" i="7"/>
  <c r="F15" i="7"/>
  <c r="F8" i="7"/>
  <c r="F28" i="7"/>
  <c r="F24" i="7"/>
  <c r="F20" i="7"/>
  <c r="F16" i="7"/>
  <c r="F12" i="7"/>
  <c r="F9" i="7"/>
  <c r="K8" i="7"/>
  <c r="J10" i="7"/>
</calcChain>
</file>

<file path=xl/sharedStrings.xml><?xml version="1.0" encoding="utf-8"?>
<sst xmlns="http://schemas.openxmlformats.org/spreadsheetml/2006/main" count="63" uniqueCount="62">
  <si>
    <t>% change over previous year</t>
  </si>
  <si>
    <t>ah</t>
  </si>
  <si>
    <t>dh</t>
  </si>
  <si>
    <t>S</t>
  </si>
  <si>
    <t>n</t>
  </si>
  <si>
    <t>r</t>
  </si>
  <si>
    <t>b</t>
  </si>
  <si>
    <t>L</t>
  </si>
  <si>
    <t>k</t>
  </si>
  <si>
    <t xml:space="preserve"> aa</t>
  </si>
  <si>
    <t>da</t>
  </si>
  <si>
    <t>v</t>
  </si>
  <si>
    <t>m</t>
  </si>
  <si>
    <t>f</t>
  </si>
  <si>
    <t>d</t>
  </si>
  <si>
    <t>t</t>
  </si>
  <si>
    <t>l</t>
  </si>
  <si>
    <t>ag</t>
  </si>
  <si>
    <t>dg</t>
  </si>
  <si>
    <t>N</t>
  </si>
  <si>
    <t>s</t>
  </si>
  <si>
    <t xml:space="preserve"> HA</t>
  </si>
  <si>
    <t xml:space="preserve"> HDh</t>
  </si>
  <si>
    <t xml:space="preserve"> Sh</t>
  </si>
  <si>
    <t xml:space="preserve"> N</t>
  </si>
  <si>
    <t xml:space="preserve"> R</t>
  </si>
  <si>
    <t>B</t>
  </si>
  <si>
    <t>Lh</t>
  </si>
  <si>
    <t>K</t>
  </si>
  <si>
    <t>ADh</t>
  </si>
  <si>
    <t>V</t>
  </si>
  <si>
    <t>M</t>
  </si>
  <si>
    <t>F</t>
  </si>
  <si>
    <t>Dh</t>
  </si>
  <si>
    <t>Th</t>
  </si>
  <si>
    <t xml:space="preserve"> L</t>
  </si>
  <si>
    <t>GA</t>
  </si>
  <si>
    <t>GDh</t>
  </si>
  <si>
    <t>Gn</t>
  </si>
  <si>
    <t>Source: Ministry of Fisheries  and Agriculture</t>
  </si>
  <si>
    <t>(cnuhWh cnwT ckircTem )</t>
  </si>
  <si>
    <t>(In '000 metric tons)</t>
  </si>
  <si>
    <t>cniawtcaws ctogWviawfiheb</t>
  </si>
  <si>
    <t>Percentage share</t>
  </si>
  <si>
    <t xml:space="preserve"> rwCclwkircgea cDcnea  czIrwxif cfoa IrcTcsinim :ctWrwf ivcaedutWmUluAwm</t>
  </si>
  <si>
    <t xml:space="preserve"> Locality</t>
  </si>
  <si>
    <t>udwdwA ununEb cswm</t>
  </si>
  <si>
    <t>(cnia %) urwvcnim ivurutia eruvcSwrwhwa wyidim</t>
  </si>
  <si>
    <t>cnwt</t>
  </si>
  <si>
    <t>Fish catch</t>
  </si>
  <si>
    <t>Republic</t>
  </si>
  <si>
    <t>ejcaWriLum</t>
  </si>
  <si>
    <t>Male'</t>
  </si>
  <si>
    <t>elWm</t>
  </si>
  <si>
    <t>Atolls</t>
  </si>
  <si>
    <t>cawtuLotwa</t>
  </si>
  <si>
    <t>EEZ</t>
  </si>
  <si>
    <t xml:space="preserve">      cnudcawHwrws IdWBitcqia</t>
  </si>
  <si>
    <t>AA</t>
  </si>
  <si>
    <r>
      <t>Note:</t>
    </r>
    <r>
      <rPr>
        <b/>
        <i/>
        <vertAlign val="superscript"/>
        <sz val="9"/>
        <rFont val="Calibri"/>
        <family val="2"/>
      </rPr>
      <t xml:space="preserve"> </t>
    </r>
    <r>
      <rPr>
        <i/>
        <sz val="9"/>
        <rFont val="Calibri"/>
        <family val="2"/>
      </rPr>
      <t>Fish catch data for 2010 shows a substantial upward revision from 94.3 to 116.7 thousand metric tons, based on the fish collection data by vessel, newly available at the MOFA. Some vessesls had not reported catch data while reporting collection. Hence this ajustment could not be  brought to previous years catch data to make it consistent.</t>
    </r>
  </si>
  <si>
    <r>
      <t>2016 - 2013 ,urwvcnim eguhwm inEb wtwvun ifih cnutogegunwt</t>
    </r>
    <r>
      <rPr>
        <b/>
        <sz val="10"/>
        <rFont val="A_Waheed"/>
      </rPr>
      <t xml:space="preserve"> : </t>
    </r>
    <r>
      <rPr>
        <b/>
        <sz val="12"/>
        <rFont val="A_Waheed"/>
      </rPr>
      <t>9.2 ulwvWt</t>
    </r>
  </si>
  <si>
    <t>Table 9.2 :  FISH CATCH BY LOCALITY, 2013 -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</si>
</sst>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mmmm\ d\,\ yyyy;@"/>
    <numFmt numFmtId="165" formatCode="General_)"/>
    <numFmt numFmtId="167" formatCode="#,##0.0"/>
  </numFmts>
  <fonts count="22" x14ac:knownFonts="1">
    <font>
      <sz val="11"/>
      <color theme="1"/>
      <name val="Calibri"/>
      <family val="2"/>
      <scheme val="minor"/>
    </font>
    <font>
      <sz val="10"/>
      <name val="Courier"/>
      <family val="3"/>
    </font>
    <font>
      <b/>
      <sz val="10"/>
      <name val="Arial"/>
      <family val="2"/>
    </font>
    <font>
      <sz val="10"/>
      <name val="Arial"/>
      <family val="2"/>
    </font>
    <font>
      <sz val="10"/>
      <name val="MS Sans Serif"/>
      <family val="2"/>
    </font>
    <font>
      <sz val="10"/>
      <name val="Calibri"/>
      <family val="2"/>
    </font>
    <font>
      <b/>
      <sz val="9"/>
      <name val="A_Randhoo"/>
    </font>
    <font>
      <b/>
      <sz val="9"/>
      <name val="Calibri"/>
      <family val="2"/>
    </font>
    <font>
      <sz val="9"/>
      <name val="Courier"/>
      <family val="3"/>
    </font>
    <font>
      <i/>
      <sz val="9"/>
      <name val="Calibri"/>
      <family val="2"/>
    </font>
    <font>
      <i/>
      <sz val="9"/>
      <name val="Calibri"/>
      <family val="2"/>
      <scheme val="minor"/>
    </font>
    <font>
      <b/>
      <sz val="10"/>
      <name val="Calibri"/>
      <family val="2"/>
    </font>
    <font>
      <sz val="9"/>
      <name val="Arial"/>
      <family val="2"/>
    </font>
    <font>
      <b/>
      <sz val="9"/>
      <name val="Arial"/>
      <family val="2"/>
    </font>
    <font>
      <sz val="9"/>
      <name val="Calibri"/>
      <family val="2"/>
    </font>
    <font>
      <i/>
      <sz val="9"/>
      <name val="Arial"/>
      <family val="2"/>
    </font>
    <font>
      <b/>
      <i/>
      <vertAlign val="superscript"/>
      <sz val="9"/>
      <name val="Calibri"/>
      <family val="2"/>
    </font>
    <font>
      <b/>
      <sz val="12"/>
      <name val="A_Waheed"/>
    </font>
    <font>
      <b/>
      <sz val="10"/>
      <name val="A_Waheed"/>
    </font>
    <font>
      <sz val="10"/>
      <name val="A_Waheed"/>
    </font>
    <font>
      <b/>
      <sz val="9"/>
      <name val="A_Waheed"/>
    </font>
    <font>
      <sz val="9"/>
      <name val="A_Waheed"/>
    </font>
  </fonts>
  <fills count="3">
    <fill>
      <patternFill patternType="none"/>
    </fill>
    <fill>
      <patternFill patternType="gray125"/>
    </fill>
    <fill>
      <patternFill patternType="solid">
        <fgColor theme="0"/>
        <bgColor indexed="64"/>
      </patternFill>
    </fill>
  </fills>
  <borders count="15">
    <border>
      <left/>
      <right/>
      <top/>
      <bottom/>
      <diagonal/>
    </border>
    <border>
      <left/>
      <right/>
      <top style="thin">
        <color indexed="64"/>
      </top>
      <bottom/>
      <diagonal/>
    </border>
    <border>
      <left/>
      <right/>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style="hair">
        <color indexed="64"/>
      </right>
      <top/>
      <bottom/>
      <diagonal/>
    </border>
    <border>
      <left style="hair">
        <color indexed="64"/>
      </left>
      <right/>
      <top style="thin">
        <color indexed="64"/>
      </top>
      <bottom/>
      <diagonal/>
    </border>
    <border>
      <left style="hair">
        <color indexed="64"/>
      </left>
      <right/>
      <top/>
      <bottom style="thin">
        <color indexed="64"/>
      </bottom>
      <diagonal/>
    </border>
    <border>
      <left style="hair">
        <color indexed="64"/>
      </left>
      <right/>
      <top/>
      <bottom/>
      <diagonal/>
    </border>
    <border>
      <left/>
      <right/>
      <top style="hair">
        <color indexed="64"/>
      </top>
      <bottom style="thin">
        <color indexed="64"/>
      </bottom>
      <diagonal/>
    </border>
    <border>
      <left/>
      <right/>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bottom style="hair">
        <color indexed="64"/>
      </bottom>
      <diagonal/>
    </border>
    <border>
      <left/>
      <right style="hair">
        <color indexed="64"/>
      </right>
      <top/>
      <bottom style="hair">
        <color indexed="64"/>
      </bottom>
      <diagonal/>
    </border>
  </borders>
  <cellStyleXfs count="7">
    <xf numFmtId="0" fontId="0" fillId="0" borderId="0"/>
    <xf numFmtId="40" fontId="4" fillId="0" borderId="0" applyFont="0" applyFill="0" applyBorder="0" applyAlignment="0" applyProtection="0"/>
    <xf numFmtId="164" fontId="1" fillId="0" borderId="0"/>
    <xf numFmtId="164" fontId="1" fillId="0" borderId="0"/>
    <xf numFmtId="165" fontId="1" fillId="0" borderId="0"/>
    <xf numFmtId="0" fontId="1" fillId="0" borderId="0"/>
    <xf numFmtId="0" fontId="3" fillId="0" borderId="0"/>
  </cellStyleXfs>
  <cellXfs count="79">
    <xf numFmtId="0" fontId="0" fillId="0" borderId="0" xfId="0"/>
    <xf numFmtId="165" fontId="9" fillId="2" borderId="0" xfId="4" applyFont="1" applyFill="1" applyAlignment="1" applyProtection="1">
      <alignment horizontal="left" vertical="center"/>
    </xf>
    <xf numFmtId="165" fontId="1" fillId="2" borderId="0" xfId="4" applyFont="1" applyFill="1" applyAlignment="1">
      <alignment vertical="center"/>
    </xf>
    <xf numFmtId="165" fontId="12" fillId="2" borderId="0" xfId="4" applyFont="1" applyFill="1" applyAlignment="1">
      <alignment vertical="center"/>
    </xf>
    <xf numFmtId="165" fontId="8" fillId="2" borderId="0" xfId="4" applyFont="1" applyFill="1" applyAlignment="1">
      <alignment vertical="center"/>
    </xf>
    <xf numFmtId="165" fontId="15" fillId="2" borderId="0" xfId="4" applyFont="1" applyFill="1" applyAlignment="1" applyProtection="1">
      <alignment horizontal="left" vertical="center"/>
    </xf>
    <xf numFmtId="165" fontId="12" fillId="2" borderId="0" xfId="4" applyFont="1" applyFill="1" applyAlignment="1">
      <alignment horizontal="left" vertical="center"/>
    </xf>
    <xf numFmtId="165" fontId="10" fillId="2" borderId="0" xfId="4" applyFont="1" applyFill="1" applyBorder="1" applyAlignment="1">
      <alignment horizontal="left" vertical="top"/>
    </xf>
    <xf numFmtId="165" fontId="12" fillId="2" borderId="0" xfId="4" applyFont="1" applyFill="1" applyBorder="1" applyAlignment="1">
      <alignment vertical="center"/>
    </xf>
    <xf numFmtId="165" fontId="2" fillId="2" borderId="0" xfId="4" applyFont="1" applyFill="1" applyAlignment="1">
      <alignment vertical="center"/>
    </xf>
    <xf numFmtId="165" fontId="13" fillId="2" borderId="0" xfId="4" applyFont="1" applyFill="1" applyAlignment="1">
      <alignment vertical="center"/>
    </xf>
    <xf numFmtId="165" fontId="12" fillId="2" borderId="0" xfId="4" applyFont="1" applyFill="1" applyBorder="1" applyAlignment="1">
      <alignment horizontal="centerContinuous" vertical="center"/>
    </xf>
    <xf numFmtId="165" fontId="7" fillId="2" borderId="2" xfId="4" applyFont="1" applyFill="1" applyBorder="1" applyAlignment="1" applyProtection="1">
      <alignment horizontal="centerContinuous" vertical="center"/>
    </xf>
    <xf numFmtId="165" fontId="13" fillId="2" borderId="2" xfId="4" applyFont="1" applyFill="1" applyBorder="1" applyAlignment="1">
      <alignment horizontal="centerContinuous" vertical="center"/>
    </xf>
    <xf numFmtId="165" fontId="14" fillId="2" borderId="0" xfId="4" applyFont="1" applyFill="1" applyAlignment="1">
      <alignment vertical="center"/>
    </xf>
    <xf numFmtId="165" fontId="7" fillId="2" borderId="0" xfId="4" applyFont="1" applyFill="1" applyAlignment="1">
      <alignment vertical="center"/>
    </xf>
    <xf numFmtId="165" fontId="11" fillId="2" borderId="0" xfId="4" applyFont="1" applyFill="1" applyAlignment="1" applyProtection="1">
      <alignment horizontal="left" vertical="center"/>
    </xf>
    <xf numFmtId="167" fontId="11" fillId="2" borderId="0" xfId="4" applyNumberFormat="1" applyFont="1" applyFill="1" applyAlignment="1" applyProtection="1">
      <alignment horizontal="right"/>
    </xf>
    <xf numFmtId="167" fontId="11" fillId="2" borderId="0" xfId="4" applyNumberFormat="1" applyFont="1" applyFill="1" applyBorder="1" applyAlignment="1" applyProtection="1">
      <alignment horizontal="right"/>
    </xf>
    <xf numFmtId="167" fontId="11" fillId="2" borderId="0" xfId="4" applyNumberFormat="1" applyFont="1" applyFill="1" applyBorder="1" applyAlignment="1">
      <alignment horizontal="right" vertical="center"/>
    </xf>
    <xf numFmtId="167" fontId="2" fillId="2" borderId="0" xfId="4" applyNumberFormat="1" applyFont="1" applyFill="1" applyBorder="1" applyAlignment="1">
      <alignment horizontal="right" vertical="center"/>
    </xf>
    <xf numFmtId="167" fontId="11" fillId="2" borderId="0" xfId="4" applyNumberFormat="1" applyFont="1" applyFill="1" applyAlignment="1">
      <alignment horizontal="right" vertical="center"/>
    </xf>
    <xf numFmtId="167" fontId="5" fillId="2" borderId="0" xfId="4" applyNumberFormat="1" applyFont="1" applyFill="1" applyBorder="1" applyAlignment="1" applyProtection="1">
      <alignment horizontal="right"/>
    </xf>
    <xf numFmtId="167" fontId="5" fillId="2" borderId="0" xfId="4" applyNumberFormat="1" applyFont="1" applyFill="1" applyBorder="1" applyAlignment="1">
      <alignment horizontal="right" vertical="center"/>
    </xf>
    <xf numFmtId="167" fontId="3" fillId="2" borderId="0" xfId="4" applyNumberFormat="1" applyFont="1" applyFill="1" applyBorder="1" applyAlignment="1">
      <alignment horizontal="right" vertical="center"/>
    </xf>
    <xf numFmtId="167" fontId="5" fillId="2" borderId="2" xfId="4" applyNumberFormat="1" applyFont="1" applyFill="1" applyBorder="1" applyAlignment="1">
      <alignment horizontal="right" vertical="center"/>
    </xf>
    <xf numFmtId="167" fontId="5" fillId="2" borderId="2" xfId="4" applyNumberFormat="1" applyFont="1" applyFill="1" applyBorder="1" applyAlignment="1" applyProtection="1">
      <alignment horizontal="right"/>
    </xf>
    <xf numFmtId="167" fontId="3" fillId="2" borderId="2" xfId="4" applyNumberFormat="1" applyFont="1" applyFill="1" applyBorder="1" applyAlignment="1">
      <alignment horizontal="right" vertical="center"/>
    </xf>
    <xf numFmtId="165" fontId="15" fillId="2" borderId="0" xfId="4" applyFont="1" applyFill="1" applyBorder="1" applyAlignment="1" applyProtection="1">
      <alignment horizontal="left" vertical="center"/>
    </xf>
    <xf numFmtId="165" fontId="9" fillId="2" borderId="0" xfId="4" applyFont="1" applyFill="1" applyAlignment="1" applyProtection="1">
      <alignment vertical="center" wrapText="1"/>
    </xf>
    <xf numFmtId="165" fontId="12" fillId="2" borderId="0" xfId="4" applyFont="1" applyFill="1" applyBorder="1" applyAlignment="1">
      <alignment horizontal="left" vertical="center"/>
    </xf>
    <xf numFmtId="167" fontId="11" fillId="2" borderId="0" xfId="4" applyNumberFormat="1" applyFont="1" applyFill="1" applyBorder="1" applyAlignment="1">
      <alignment horizontal="left" vertical="center"/>
    </xf>
    <xf numFmtId="165" fontId="3" fillId="2" borderId="0" xfId="4" applyFont="1" applyFill="1" applyAlignment="1">
      <alignment vertical="center"/>
    </xf>
    <xf numFmtId="165" fontId="3" fillId="2" borderId="0" xfId="4" applyFont="1" applyFill="1" applyBorder="1" applyAlignment="1">
      <alignment vertical="center"/>
    </xf>
    <xf numFmtId="165" fontId="2" fillId="2" borderId="0" xfId="4" applyFont="1" applyFill="1" applyAlignment="1">
      <alignment horizontal="right" vertical="center"/>
    </xf>
    <xf numFmtId="165" fontId="7" fillId="2" borderId="0" xfId="4" applyFont="1" applyFill="1" applyBorder="1" applyAlignment="1">
      <alignment vertical="center"/>
    </xf>
    <xf numFmtId="165" fontId="2" fillId="2" borderId="2" xfId="4" applyFont="1" applyFill="1" applyBorder="1" applyAlignment="1">
      <alignment horizontal="right" vertical="center" wrapText="1"/>
    </xf>
    <xf numFmtId="165" fontId="1" fillId="2" borderId="0" xfId="4" applyFont="1" applyFill="1" applyAlignment="1">
      <alignment horizontal="right" vertical="center"/>
    </xf>
    <xf numFmtId="165" fontId="6" fillId="2" borderId="1" xfId="4" applyFont="1" applyFill="1" applyBorder="1" applyAlignment="1">
      <alignment horizontal="center" vertical="center"/>
    </xf>
    <xf numFmtId="165" fontId="5" fillId="2" borderId="0" xfId="0" applyNumberFormat="1" applyFont="1" applyFill="1" applyAlignment="1" applyProtection="1">
      <alignment horizontal="left" vertical="center" indent="1"/>
    </xf>
    <xf numFmtId="165" fontId="5" fillId="2" borderId="2" xfId="0" applyNumberFormat="1" applyFont="1" applyFill="1" applyBorder="1" applyAlignment="1" applyProtection="1">
      <alignment horizontal="left" vertical="center" indent="1"/>
    </xf>
    <xf numFmtId="165" fontId="21" fillId="2" borderId="0" xfId="4" applyFont="1" applyFill="1" applyBorder="1" applyAlignment="1">
      <alignment horizontal="right" vertical="center"/>
    </xf>
    <xf numFmtId="165" fontId="18" fillId="2" borderId="0" xfId="4" applyFont="1" applyFill="1" applyAlignment="1">
      <alignment horizontal="right" vertical="center" indent="1"/>
    </xf>
    <xf numFmtId="165" fontId="21" fillId="2" borderId="0" xfId="4" applyFont="1" applyFill="1" applyBorder="1" applyAlignment="1">
      <alignment horizontal="centerContinuous" vertical="center"/>
    </xf>
    <xf numFmtId="165" fontId="20" fillId="2" borderId="0" xfId="4" applyFont="1" applyFill="1" applyBorder="1" applyAlignment="1">
      <alignment horizontal="centerContinuous" vertical="center" wrapText="1"/>
    </xf>
    <xf numFmtId="167" fontId="11" fillId="2" borderId="8" xfId="4" applyNumberFormat="1" applyFont="1" applyFill="1" applyBorder="1" applyAlignment="1" applyProtection="1">
      <alignment horizontal="right"/>
    </xf>
    <xf numFmtId="167" fontId="5" fillId="2" borderId="8" xfId="4" applyNumberFormat="1" applyFont="1" applyFill="1" applyBorder="1" applyAlignment="1" applyProtection="1">
      <alignment horizontal="right"/>
    </xf>
    <xf numFmtId="167" fontId="5" fillId="2" borderId="7" xfId="4" applyNumberFormat="1" applyFont="1" applyFill="1" applyBorder="1" applyAlignment="1" applyProtection="1">
      <alignment horizontal="right"/>
    </xf>
    <xf numFmtId="165" fontId="19" fillId="2" borderId="0" xfId="0" applyNumberFormat="1" applyFont="1" applyFill="1" applyAlignment="1">
      <alignment horizontal="right" vertical="center" indent="3"/>
    </xf>
    <xf numFmtId="165" fontId="19" fillId="2" borderId="2" xfId="0" applyNumberFormat="1" applyFont="1" applyFill="1" applyBorder="1" applyAlignment="1">
      <alignment horizontal="right" vertical="center" indent="3"/>
    </xf>
    <xf numFmtId="165" fontId="20" fillId="2" borderId="1" xfId="4" applyFont="1" applyFill="1" applyBorder="1" applyAlignment="1">
      <alignment vertical="center"/>
    </xf>
    <xf numFmtId="1" fontId="11" fillId="2" borderId="9" xfId="4" applyNumberFormat="1" applyFont="1" applyFill="1" applyBorder="1" applyAlignment="1" applyProtection="1">
      <alignment horizontal="right" vertical="center"/>
    </xf>
    <xf numFmtId="1" fontId="11" fillId="2" borderId="11" xfId="4" applyNumberFormat="1" applyFont="1" applyFill="1" applyBorder="1" applyAlignment="1" applyProtection="1">
      <alignment horizontal="right" vertical="center"/>
    </xf>
    <xf numFmtId="1" fontId="11" fillId="2" borderId="9" xfId="4" applyNumberFormat="1" applyFont="1" applyFill="1" applyBorder="1" applyAlignment="1">
      <alignment horizontal="right" vertical="center"/>
    </xf>
    <xf numFmtId="165" fontId="11" fillId="2" borderId="11" xfId="4" applyFont="1" applyFill="1" applyBorder="1" applyAlignment="1">
      <alignment horizontal="right" vertical="center" wrapText="1"/>
    </xf>
    <xf numFmtId="165" fontId="11" fillId="2" borderId="9" xfId="4" applyFont="1" applyFill="1" applyBorder="1" applyAlignment="1">
      <alignment horizontal="right" vertical="center" wrapText="1"/>
    </xf>
    <xf numFmtId="165" fontId="7" fillId="2" borderId="0" xfId="4" applyFont="1" applyFill="1" applyBorder="1" applyAlignment="1">
      <alignment horizontal="center" vertical="center" wrapText="1"/>
    </xf>
    <xf numFmtId="165" fontId="11" fillId="2" borderId="12" xfId="4" applyFont="1" applyFill="1" applyBorder="1" applyAlignment="1">
      <alignment horizontal="right" vertical="center" wrapText="1"/>
    </xf>
    <xf numFmtId="167" fontId="11" fillId="2" borderId="5" xfId="4" applyNumberFormat="1" applyFont="1" applyFill="1" applyBorder="1" applyAlignment="1" applyProtection="1">
      <alignment horizontal="right"/>
    </xf>
    <xf numFmtId="167" fontId="5" fillId="2" borderId="5" xfId="4" applyNumberFormat="1" applyFont="1" applyFill="1" applyBorder="1" applyAlignment="1" applyProtection="1">
      <alignment horizontal="right"/>
    </xf>
    <xf numFmtId="167" fontId="5" fillId="2" borderId="4" xfId="4" applyNumberFormat="1" applyFont="1" applyFill="1" applyBorder="1" applyAlignment="1" applyProtection="1">
      <alignment horizontal="right"/>
    </xf>
    <xf numFmtId="165" fontId="9" fillId="2" borderId="0" xfId="4" applyFont="1" applyFill="1" applyAlignment="1" applyProtection="1">
      <alignment horizontal="left" vertical="center" wrapText="1"/>
    </xf>
    <xf numFmtId="165" fontId="17" fillId="2" borderId="0" xfId="4" applyFont="1" applyFill="1" applyAlignment="1">
      <alignment horizontal="center" vertical="center"/>
    </xf>
    <xf numFmtId="165" fontId="11" fillId="2" borderId="0" xfId="4" applyFont="1" applyFill="1" applyBorder="1" applyAlignment="1" applyProtection="1">
      <alignment horizontal="center" vertical="center"/>
    </xf>
    <xf numFmtId="165" fontId="7" fillId="2" borderId="1" xfId="4" applyFont="1" applyFill="1" applyBorder="1" applyAlignment="1" applyProtection="1">
      <alignment horizontal="left" vertical="center"/>
    </xf>
    <xf numFmtId="165" fontId="7" fillId="2" borderId="0" xfId="4" applyFont="1" applyFill="1" applyBorder="1" applyAlignment="1" applyProtection="1">
      <alignment horizontal="left" vertical="center"/>
    </xf>
    <xf numFmtId="165" fontId="7" fillId="2" borderId="2" xfId="4" applyFont="1" applyFill="1" applyBorder="1" applyAlignment="1" applyProtection="1">
      <alignment horizontal="left" vertical="center"/>
    </xf>
    <xf numFmtId="165" fontId="20" fillId="2" borderId="1" xfId="4" applyFont="1" applyFill="1" applyBorder="1" applyAlignment="1">
      <alignment horizontal="right" vertical="center"/>
    </xf>
    <xf numFmtId="165" fontId="20" fillId="2" borderId="0" xfId="4" applyFont="1" applyFill="1" applyBorder="1" applyAlignment="1">
      <alignment horizontal="right" vertical="center"/>
    </xf>
    <xf numFmtId="165" fontId="20" fillId="2" borderId="2" xfId="4" applyFont="1" applyFill="1" applyBorder="1" applyAlignment="1">
      <alignment horizontal="right" vertical="center"/>
    </xf>
    <xf numFmtId="165" fontId="7" fillId="2" borderId="0" xfId="4" applyFont="1" applyFill="1" applyBorder="1" applyAlignment="1">
      <alignment horizontal="center" vertical="center"/>
    </xf>
    <xf numFmtId="165" fontId="20" fillId="2" borderId="6" xfId="4" applyFont="1" applyFill="1" applyBorder="1" applyAlignment="1">
      <alignment horizontal="center" vertical="center"/>
    </xf>
    <xf numFmtId="165" fontId="20" fillId="2" borderId="1" xfId="4" applyFont="1" applyFill="1" applyBorder="1" applyAlignment="1">
      <alignment horizontal="center" vertical="center"/>
    </xf>
    <xf numFmtId="165" fontId="20" fillId="2" borderId="3" xfId="4" applyFont="1" applyFill="1" applyBorder="1" applyAlignment="1">
      <alignment horizontal="center" vertical="center"/>
    </xf>
    <xf numFmtId="165" fontId="7" fillId="2" borderId="13" xfId="4" applyFont="1" applyFill="1" applyBorder="1" applyAlignment="1">
      <alignment horizontal="center" vertical="center" wrapText="1"/>
    </xf>
    <xf numFmtId="165" fontId="7" fillId="2" borderId="10" xfId="4" applyFont="1" applyFill="1" applyBorder="1" applyAlignment="1">
      <alignment horizontal="center" vertical="center" wrapText="1"/>
    </xf>
    <xf numFmtId="165" fontId="7" fillId="2" borderId="13" xfId="4" applyFont="1" applyFill="1" applyBorder="1" applyAlignment="1">
      <alignment horizontal="center" vertical="center"/>
    </xf>
    <xf numFmtId="165" fontId="7" fillId="2" borderId="10" xfId="4" applyFont="1" applyFill="1" applyBorder="1" applyAlignment="1">
      <alignment horizontal="center" vertical="center"/>
    </xf>
    <xf numFmtId="165" fontId="7" fillId="2" borderId="14" xfId="4" applyFont="1" applyFill="1" applyBorder="1" applyAlignment="1">
      <alignment horizontal="center" vertical="center"/>
    </xf>
  </cellXfs>
  <cellStyles count="7">
    <cellStyle name="1" xfId="6"/>
    <cellStyle name="Comma 2" xfId="1"/>
    <cellStyle name="Normal" xfId="0" builtinId="0"/>
    <cellStyle name="Normal 2" xfId="5"/>
    <cellStyle name="Normal 3_agri planning 2009 year book(final)" xfId="3"/>
    <cellStyle name="Normal 4_agri planning 2009 year book(final)" xfId="2"/>
    <cellStyle name="Normal_Fish &amp;  Agri - 8" xfId="4"/>
  </cellStyles>
  <dxfs count="0"/>
  <tableStyles count="0" defaultTableStyle="TableStyleMedium9" defaultPivotStyle="PivotStyleLight16"/>
  <colors>
    <mruColors>
      <color rgb="FFFF9900"/>
      <color rgb="FF009900"/>
      <color rgb="FF33CCCC"/>
      <color rgb="FF1C706E"/>
      <color rgb="FF81E1DF"/>
      <color rgb="FFFF3399"/>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athimath.shifaza\AppData\Local\Microsoft\Windows\INetCache\Content.Outlook\362P0D1J\FISHERIES%20AND%20AGRICULTURE%20_%20Min%20of%20Fisheries%202017%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fathimath.shifaza\Documents\Agri_SYB%202017%20_%20for%20Recheck%20_4%20O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
      <sheetName val="9.2"/>
      <sheetName val="9.3"/>
      <sheetName val="9.4"/>
      <sheetName val="9.5"/>
      <sheetName val="9.6"/>
      <sheetName val="9.17"/>
    </sheetNames>
    <sheetDataSet>
      <sheetData sheetId="0"/>
      <sheetData sheetId="1"/>
      <sheetData sheetId="2">
        <row r="8">
          <cell r="D8" t="str">
            <v>Skipjack tuna</v>
          </cell>
          <cell r="E8" t="str">
            <v>Yellowfin tuna</v>
          </cell>
          <cell r="F8" t="str">
            <v>Big eye tuna</v>
          </cell>
          <cell r="G8" t="str">
            <v>Albacore tuna</v>
          </cell>
          <cell r="H8" t="str">
            <v>Dogtooth tuna</v>
          </cell>
          <cell r="I8" t="str">
            <v xml:space="preserve">   Little tuna</v>
          </cell>
          <cell r="J8" t="str">
            <v>Frigate tuna</v>
          </cell>
          <cell r="K8" t="str">
            <v>Other marine fish</v>
          </cell>
        </row>
        <row r="9">
          <cell r="D9">
            <v>69589.480938961424</v>
          </cell>
          <cell r="E9">
            <v>53705.451966178975</v>
          </cell>
          <cell r="F9">
            <v>2480.0423404201256</v>
          </cell>
          <cell r="G9">
            <v>15.290000000000001</v>
          </cell>
          <cell r="H9">
            <v>11.453572517147915</v>
          </cell>
          <cell r="I9">
            <v>29.990173019499927</v>
          </cell>
          <cell r="J9">
            <v>143.18209877120293</v>
          </cell>
          <cell r="K9">
            <v>3216.1040166838452</v>
          </cell>
        </row>
        <row r="13">
          <cell r="A13" t="str">
            <v xml:space="preserve"> HA</v>
          </cell>
          <cell r="B13">
            <v>5455.5677523293343</v>
          </cell>
        </row>
        <row r="14">
          <cell r="A14" t="str">
            <v xml:space="preserve"> HDh</v>
          </cell>
          <cell r="B14">
            <v>3402.7214464188992</v>
          </cell>
        </row>
        <row r="15">
          <cell r="A15" t="str">
            <v xml:space="preserve"> Sh</v>
          </cell>
          <cell r="B15">
            <v>3128.4374683669444</v>
          </cell>
        </row>
        <row r="16">
          <cell r="A16" t="str">
            <v xml:space="preserve"> N</v>
          </cell>
          <cell r="B16">
            <v>2028.2570049295896</v>
          </cell>
        </row>
        <row r="17">
          <cell r="A17" t="str">
            <v xml:space="preserve"> R</v>
          </cell>
          <cell r="B17">
            <v>6483.1043342321336</v>
          </cell>
        </row>
        <row r="18">
          <cell r="A18" t="str">
            <v>B</v>
          </cell>
          <cell r="B18">
            <v>1829.2509133074132</v>
          </cell>
        </row>
        <row r="19">
          <cell r="A19" t="str">
            <v>Lh</v>
          </cell>
          <cell r="B19">
            <v>5919.1232883164666</v>
          </cell>
        </row>
        <row r="20">
          <cell r="A20" t="str">
            <v>K</v>
          </cell>
          <cell r="B20">
            <v>4272.7470002415439</v>
          </cell>
        </row>
        <row r="21">
          <cell r="A21" t="str">
            <v>AA</v>
          </cell>
          <cell r="B21">
            <v>2752.4573718329693</v>
          </cell>
        </row>
        <row r="22">
          <cell r="A22" t="str">
            <v>ADh</v>
          </cell>
          <cell r="B22">
            <v>4075.1871960090161</v>
          </cell>
        </row>
        <row r="23">
          <cell r="A23" t="str">
            <v>V</v>
          </cell>
          <cell r="B23">
            <v>312.69729273595999</v>
          </cell>
        </row>
        <row r="24">
          <cell r="A24" t="str">
            <v>M</v>
          </cell>
          <cell r="B24">
            <v>2294.8781910587522</v>
          </cell>
        </row>
        <row r="25">
          <cell r="A25" t="str">
            <v>F</v>
          </cell>
          <cell r="B25">
            <v>3596.7076673388624</v>
          </cell>
        </row>
        <row r="26">
          <cell r="A26" t="str">
            <v>Dh</v>
          </cell>
          <cell r="B26">
            <v>7183.6101718072623</v>
          </cell>
        </row>
        <row r="27">
          <cell r="A27" t="str">
            <v>Th</v>
          </cell>
          <cell r="B27">
            <v>4117.0242744197167</v>
          </cell>
        </row>
        <row r="28">
          <cell r="A28" t="str">
            <v xml:space="preserve"> L</v>
          </cell>
          <cell r="B28">
            <v>10779.729136313419</v>
          </cell>
        </row>
        <row r="29">
          <cell r="A29" t="str">
            <v>GA</v>
          </cell>
          <cell r="B29">
            <v>17591.605791181755</v>
          </cell>
        </row>
        <row r="30">
          <cell r="A30" t="str">
            <v>GDh</v>
          </cell>
          <cell r="B30">
            <v>8520.5992519975225</v>
          </cell>
        </row>
        <row r="31">
          <cell r="A31" t="str">
            <v>Gn</v>
          </cell>
          <cell r="B31">
            <v>3722.8406026800089</v>
          </cell>
        </row>
        <row r="32">
          <cell r="A32" t="str">
            <v>S</v>
          </cell>
          <cell r="B32">
            <v>10356.911892123186</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8"/>
      <sheetName val="9.19"/>
      <sheetName val="9.20"/>
    </sheetNames>
    <sheetDataSet>
      <sheetData sheetId="0">
        <row r="6">
          <cell r="F6">
            <v>2012</v>
          </cell>
          <cell r="G6">
            <v>2013</v>
          </cell>
          <cell r="H6">
            <v>2014</v>
          </cell>
        </row>
        <row r="8">
          <cell r="A8" t="str">
            <v>January</v>
          </cell>
          <cell r="F8">
            <v>13736.8205</v>
          </cell>
          <cell r="G8">
            <v>5494.0505000000003</v>
          </cell>
          <cell r="H8">
            <v>3075.7</v>
          </cell>
        </row>
        <row r="9">
          <cell r="A9" t="str">
            <v>February</v>
          </cell>
          <cell r="F9">
            <v>13129.5085</v>
          </cell>
          <cell r="G9">
            <v>6652.4795000000004</v>
          </cell>
          <cell r="H9">
            <v>2827.83</v>
          </cell>
        </row>
        <row r="10">
          <cell r="A10" t="str">
            <v>March</v>
          </cell>
          <cell r="F10">
            <v>10113.8855</v>
          </cell>
          <cell r="G10">
            <v>2169.9749999999999</v>
          </cell>
          <cell r="H10">
            <v>4973.7240000000002</v>
          </cell>
        </row>
        <row r="11">
          <cell r="A11" t="str">
            <v>April</v>
          </cell>
          <cell r="F11">
            <v>8310.6272499999995</v>
          </cell>
          <cell r="G11">
            <v>4903.4449999999997</v>
          </cell>
          <cell r="H11">
            <v>3393.68</v>
          </cell>
        </row>
        <row r="12">
          <cell r="A12" t="str">
            <v>May</v>
          </cell>
          <cell r="F12">
            <v>9784.75</v>
          </cell>
          <cell r="G12">
            <v>1682.45</v>
          </cell>
          <cell r="H12">
            <v>1162.385</v>
          </cell>
        </row>
        <row r="13">
          <cell r="A13" t="str">
            <v>June</v>
          </cell>
          <cell r="F13" t="str">
            <v>-</v>
          </cell>
          <cell r="G13">
            <v>629.17499999999995</v>
          </cell>
          <cell r="H13">
            <v>135.19999999999999</v>
          </cell>
        </row>
        <row r="14">
          <cell r="A14" t="str">
            <v>July</v>
          </cell>
          <cell r="F14">
            <v>7576.585</v>
          </cell>
          <cell r="G14" t="str">
            <v>-</v>
          </cell>
          <cell r="H14">
            <v>10021.85</v>
          </cell>
        </row>
        <row r="15">
          <cell r="A15" t="str">
            <v>August</v>
          </cell>
          <cell r="F15">
            <v>4974.5874999999996</v>
          </cell>
          <cell r="G15" t="str">
            <v>-</v>
          </cell>
          <cell r="H15">
            <v>921.5</v>
          </cell>
        </row>
        <row r="16">
          <cell r="A16" t="str">
            <v>September</v>
          </cell>
          <cell r="F16" t="str">
            <v>-</v>
          </cell>
          <cell r="G16">
            <v>7582.9790000000003</v>
          </cell>
          <cell r="H16">
            <v>1818.71</v>
          </cell>
        </row>
        <row r="17">
          <cell r="A17" t="str">
            <v>October</v>
          </cell>
          <cell r="F17">
            <v>3558.34175</v>
          </cell>
          <cell r="G17">
            <v>3918.48</v>
          </cell>
          <cell r="H17">
            <v>1463.45</v>
          </cell>
        </row>
        <row r="18">
          <cell r="A18" t="str">
            <v>November</v>
          </cell>
          <cell r="F18">
            <v>9511.2639999999992</v>
          </cell>
          <cell r="G18">
            <v>386.66500000000002</v>
          </cell>
          <cell r="H18">
            <v>2034.43</v>
          </cell>
        </row>
        <row r="19">
          <cell r="A19" t="str">
            <v>December</v>
          </cell>
          <cell r="F19">
            <v>8162.64</v>
          </cell>
          <cell r="G19">
            <v>1173.1075000000001</v>
          </cell>
          <cell r="H19">
            <v>1197.5820000000001</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H67"/>
  <sheetViews>
    <sheetView tabSelected="1" zoomScale="130" zoomScaleNormal="130" workbookViewId="0">
      <selection activeCell="V10" sqref="V10"/>
    </sheetView>
  </sheetViews>
  <sheetFormatPr defaultColWidth="8.85546875" defaultRowHeight="12.75" x14ac:dyDescent="0.25"/>
  <cols>
    <col min="1" max="1" width="7.85546875" style="32" customWidth="1"/>
    <col min="2" max="3" width="7.7109375" style="32" customWidth="1"/>
    <col min="4" max="5" width="8.7109375" style="32" customWidth="1"/>
    <col min="6" max="6" width="13.5703125" style="33" hidden="1" customWidth="1"/>
    <col min="7" max="7" width="8.7109375" style="33" hidden="1" customWidth="1"/>
    <col min="8" max="8" width="8.28515625" style="33" customWidth="1"/>
    <col min="9" max="11" width="8.5703125" style="33" customWidth="1"/>
    <col min="12" max="12" width="8.5703125" style="32" customWidth="1"/>
    <col min="13" max="15" width="8" style="32" customWidth="1"/>
    <col min="16" max="16" width="8.85546875" style="32"/>
    <col min="17" max="17" width="12" style="32" customWidth="1"/>
    <col min="18" max="18" width="2.42578125" style="32" customWidth="1"/>
    <col min="19" max="16384" width="8.85546875" style="32"/>
  </cols>
  <sheetData>
    <row r="1" spans="1:34" s="9" customFormat="1" ht="18.75" x14ac:dyDescent="0.25">
      <c r="A1" s="62" t="s">
        <v>60</v>
      </c>
      <c r="B1" s="62"/>
      <c r="C1" s="62"/>
      <c r="D1" s="62"/>
      <c r="E1" s="62"/>
      <c r="F1" s="62"/>
      <c r="G1" s="62"/>
      <c r="H1" s="62"/>
      <c r="I1" s="62"/>
      <c r="J1" s="62"/>
      <c r="K1" s="62"/>
      <c r="L1" s="62"/>
      <c r="M1" s="62"/>
      <c r="N1" s="62"/>
      <c r="O1" s="62"/>
      <c r="P1" s="62"/>
      <c r="Q1" s="62"/>
      <c r="R1" s="2"/>
      <c r="S1" s="2"/>
      <c r="T1" s="2"/>
      <c r="U1" s="2"/>
      <c r="V1" s="2"/>
      <c r="W1" s="2"/>
      <c r="X1" s="2"/>
      <c r="Y1" s="2"/>
      <c r="Z1" s="2"/>
      <c r="AA1" s="2"/>
      <c r="AB1" s="2"/>
      <c r="AC1" s="2"/>
      <c r="AD1" s="2"/>
      <c r="AE1" s="2"/>
      <c r="AF1" s="2"/>
      <c r="AG1" s="2"/>
      <c r="AH1" s="2"/>
    </row>
    <row r="2" spans="1:34" s="10" customFormat="1" x14ac:dyDescent="0.25">
      <c r="A2" s="63" t="s">
        <v>61</v>
      </c>
      <c r="B2" s="63"/>
      <c r="C2" s="63"/>
      <c r="D2" s="63"/>
      <c r="E2" s="63"/>
      <c r="F2" s="63"/>
      <c r="G2" s="63"/>
      <c r="H2" s="63"/>
      <c r="I2" s="63"/>
      <c r="J2" s="63"/>
      <c r="K2" s="63"/>
      <c r="L2" s="63"/>
      <c r="M2" s="63"/>
      <c r="N2" s="63"/>
      <c r="O2" s="63"/>
      <c r="P2" s="63"/>
      <c r="Q2" s="63"/>
      <c r="R2" s="4"/>
      <c r="S2" s="4"/>
      <c r="T2" s="4"/>
      <c r="U2" s="4"/>
      <c r="V2" s="4"/>
      <c r="W2" s="4"/>
      <c r="X2" s="4"/>
      <c r="Y2" s="4"/>
      <c r="Z2" s="4"/>
      <c r="AA2" s="4"/>
      <c r="AB2" s="4"/>
      <c r="AC2" s="4"/>
      <c r="AD2" s="4"/>
      <c r="AE2" s="4"/>
      <c r="AF2" s="4"/>
      <c r="AG2" s="4"/>
      <c r="AH2" s="4"/>
    </row>
    <row r="3" spans="1:34" s="10" customFormat="1" ht="14.25" x14ac:dyDescent="0.25">
      <c r="A3" s="44" t="s">
        <v>40</v>
      </c>
      <c r="B3" s="11"/>
      <c r="C3" s="11"/>
      <c r="D3" s="11"/>
      <c r="E3" s="11"/>
      <c r="F3" s="11"/>
      <c r="G3" s="11"/>
      <c r="H3" s="11"/>
      <c r="I3" s="43"/>
      <c r="J3" s="11"/>
      <c r="K3" s="11"/>
      <c r="L3" s="11"/>
      <c r="M3" s="11"/>
      <c r="N3" s="11"/>
      <c r="O3" s="11"/>
      <c r="P3" s="11"/>
      <c r="Q3" s="11"/>
      <c r="R3" s="4"/>
      <c r="S3" s="4"/>
      <c r="T3" s="4"/>
      <c r="U3" s="4"/>
      <c r="V3" s="4"/>
      <c r="W3" s="4"/>
      <c r="X3" s="4"/>
      <c r="Y3" s="4"/>
      <c r="Z3" s="4"/>
      <c r="AA3" s="4"/>
      <c r="AB3" s="4"/>
      <c r="AC3" s="4"/>
      <c r="AD3" s="4"/>
      <c r="AE3" s="4"/>
      <c r="AF3" s="4"/>
      <c r="AG3" s="4"/>
      <c r="AH3" s="4"/>
    </row>
    <row r="4" spans="1:34" s="10" customFormat="1" ht="12" x14ac:dyDescent="0.25">
      <c r="A4" s="12" t="s">
        <v>41</v>
      </c>
      <c r="B4" s="13"/>
      <c r="C4" s="13"/>
      <c r="D4" s="13"/>
      <c r="E4" s="13"/>
      <c r="F4" s="13"/>
      <c r="G4" s="13"/>
      <c r="H4" s="13"/>
      <c r="I4" s="13"/>
      <c r="J4" s="13"/>
      <c r="K4" s="13"/>
      <c r="L4" s="13"/>
      <c r="M4" s="13"/>
      <c r="N4" s="13"/>
      <c r="O4" s="13"/>
      <c r="P4" s="13"/>
      <c r="Q4" s="13"/>
      <c r="R4" s="4"/>
      <c r="S4" s="4"/>
      <c r="T4" s="4"/>
      <c r="U4" s="4"/>
      <c r="V4" s="4"/>
      <c r="W4" s="4"/>
      <c r="X4" s="4"/>
      <c r="Y4" s="4"/>
      <c r="Z4" s="4"/>
      <c r="AA4" s="4"/>
      <c r="AB4" s="4"/>
      <c r="AC4" s="4"/>
      <c r="AD4" s="4"/>
      <c r="AE4" s="4"/>
      <c r="AF4" s="4"/>
      <c r="AG4" s="4"/>
      <c r="AH4" s="4"/>
    </row>
    <row r="5" spans="1:34" s="10" customFormat="1" ht="15" x14ac:dyDescent="0.25">
      <c r="A5" s="64" t="s">
        <v>45</v>
      </c>
      <c r="B5" s="72" t="s">
        <v>46</v>
      </c>
      <c r="C5" s="72"/>
      <c r="D5" s="72"/>
      <c r="E5" s="72"/>
      <c r="F5" s="50"/>
      <c r="G5" s="50"/>
      <c r="H5" s="71" t="s">
        <v>42</v>
      </c>
      <c r="I5" s="72"/>
      <c r="J5" s="72"/>
      <c r="K5" s="73"/>
      <c r="L5" s="71" t="s">
        <v>47</v>
      </c>
      <c r="M5" s="72"/>
      <c r="N5" s="72"/>
      <c r="O5" s="72"/>
      <c r="P5" s="38"/>
      <c r="Q5" s="67" t="s">
        <v>48</v>
      </c>
      <c r="R5" s="4"/>
      <c r="S5" s="4"/>
      <c r="T5" s="4"/>
      <c r="U5" s="4"/>
      <c r="V5" s="4"/>
      <c r="W5" s="4"/>
      <c r="X5" s="4"/>
      <c r="Y5" s="4"/>
      <c r="Z5" s="4"/>
      <c r="AA5" s="4"/>
      <c r="AB5" s="4"/>
      <c r="AC5" s="4"/>
      <c r="AD5" s="4"/>
      <c r="AE5" s="4"/>
      <c r="AF5" s="4"/>
      <c r="AG5" s="4"/>
      <c r="AH5" s="4"/>
    </row>
    <row r="6" spans="1:34" s="15" customFormat="1" ht="12" customHeight="1" x14ac:dyDescent="0.25">
      <c r="A6" s="65"/>
      <c r="B6" s="70" t="s">
        <v>49</v>
      </c>
      <c r="C6" s="70"/>
      <c r="D6" s="70"/>
      <c r="E6" s="70"/>
      <c r="G6" s="35"/>
      <c r="H6" s="76" t="s">
        <v>43</v>
      </c>
      <c r="I6" s="77"/>
      <c r="J6" s="77"/>
      <c r="K6" s="78"/>
      <c r="L6" s="74" t="s">
        <v>0</v>
      </c>
      <c r="M6" s="75"/>
      <c r="N6" s="75"/>
      <c r="O6" s="75"/>
      <c r="P6" s="56"/>
      <c r="Q6" s="68"/>
      <c r="R6" s="14"/>
      <c r="S6" s="14"/>
      <c r="T6" s="14"/>
      <c r="U6" s="14"/>
      <c r="V6" s="14"/>
      <c r="W6" s="14"/>
      <c r="X6" s="14"/>
      <c r="Y6" s="14"/>
      <c r="Z6" s="14"/>
      <c r="AA6" s="14"/>
      <c r="AB6" s="14"/>
      <c r="AC6" s="14"/>
      <c r="AD6" s="14"/>
      <c r="AE6" s="14"/>
      <c r="AF6" s="14"/>
      <c r="AG6" s="14"/>
      <c r="AH6" s="14"/>
    </row>
    <row r="7" spans="1:34" s="34" customFormat="1" x14ac:dyDescent="0.25">
      <c r="A7" s="66"/>
      <c r="B7" s="51">
        <v>2013</v>
      </c>
      <c r="C7" s="51">
        <v>2014</v>
      </c>
      <c r="D7" s="51">
        <v>2015</v>
      </c>
      <c r="E7" s="51">
        <v>2016</v>
      </c>
      <c r="F7" s="52">
        <v>2010</v>
      </c>
      <c r="G7" s="53">
        <v>2011</v>
      </c>
      <c r="H7" s="54">
        <v>2013</v>
      </c>
      <c r="I7" s="55">
        <v>2014</v>
      </c>
      <c r="J7" s="55">
        <v>2015</v>
      </c>
      <c r="K7" s="57">
        <v>2016</v>
      </c>
      <c r="L7" s="55">
        <v>2013</v>
      </c>
      <c r="M7" s="55">
        <v>2014</v>
      </c>
      <c r="N7" s="55">
        <v>2015</v>
      </c>
      <c r="O7" s="55">
        <v>2016</v>
      </c>
      <c r="P7" s="36"/>
      <c r="Q7" s="69"/>
      <c r="R7" s="37"/>
      <c r="S7" s="37"/>
      <c r="T7" s="37"/>
      <c r="U7" s="37"/>
      <c r="V7" s="37"/>
      <c r="W7" s="37"/>
      <c r="X7" s="37"/>
      <c r="Y7" s="37"/>
      <c r="Z7" s="37"/>
      <c r="AA7" s="37"/>
      <c r="AB7" s="37"/>
      <c r="AC7" s="37"/>
      <c r="AD7" s="37"/>
      <c r="AE7" s="37"/>
      <c r="AF7" s="37"/>
      <c r="AG7" s="37"/>
      <c r="AH7" s="37"/>
    </row>
    <row r="8" spans="1:34" s="10" customFormat="1" ht="15" x14ac:dyDescent="0.2">
      <c r="A8" s="16" t="s">
        <v>50</v>
      </c>
      <c r="B8" s="17">
        <f>B9+B10+B11</f>
        <v>129.84314697257253</v>
      </c>
      <c r="C8" s="17">
        <f>C9+C10+C11</f>
        <v>128.68322700000019</v>
      </c>
      <c r="D8" s="17">
        <f>D9+D10+D11</f>
        <v>127.35181848143279</v>
      </c>
      <c r="E8" s="17">
        <f>E9+E10+E11</f>
        <v>129.19099510655224</v>
      </c>
      <c r="F8" s="45" t="e">
        <f>(#REF!/#REF!)*100</f>
        <v>#REF!</v>
      </c>
      <c r="G8" s="18" t="e">
        <f>(#REF!/#REF!)*100</f>
        <v>#REF!</v>
      </c>
      <c r="H8" s="45">
        <v>100</v>
      </c>
      <c r="I8" s="18">
        <f t="shared" ref="I8:I30" si="0">(C8/$C$8)*100</f>
        <v>100</v>
      </c>
      <c r="J8" s="18">
        <f t="shared" ref="J8:K23" si="1">(D8/$D$8)*100</f>
        <v>100</v>
      </c>
      <c r="K8" s="58">
        <f>(E8/$D$8)*100</f>
        <v>101.44416989647273</v>
      </c>
      <c r="L8" s="19">
        <v>8.201784458182205</v>
      </c>
      <c r="M8" s="19">
        <f>((C8-B8)/B8)*100</f>
        <v>-0.89332398329605778</v>
      </c>
      <c r="N8" s="19">
        <f>((D8-C8)/C8)*100</f>
        <v>-1.0346402943154343</v>
      </c>
      <c r="O8" s="19">
        <f>((E8-D8)/D8)*100</f>
        <v>1.4441698964727321</v>
      </c>
      <c r="P8" s="20"/>
      <c r="Q8" s="42" t="s">
        <v>51</v>
      </c>
      <c r="R8" s="4"/>
      <c r="S8" s="4"/>
      <c r="T8" s="4"/>
      <c r="U8" s="4"/>
      <c r="V8" s="4"/>
      <c r="W8" s="4"/>
      <c r="X8" s="4"/>
      <c r="Y8" s="4"/>
      <c r="Z8" s="4"/>
      <c r="AA8" s="4"/>
      <c r="AB8" s="4"/>
      <c r="AC8" s="4"/>
      <c r="AD8" s="4"/>
      <c r="AE8" s="4"/>
      <c r="AF8" s="4"/>
      <c r="AG8" s="4"/>
      <c r="AH8" s="4"/>
    </row>
    <row r="9" spans="1:34" s="10" customFormat="1" ht="15" x14ac:dyDescent="0.2">
      <c r="A9" s="16" t="s">
        <v>52</v>
      </c>
      <c r="B9" s="18">
        <v>27.369233978176553</v>
      </c>
      <c r="C9" s="18">
        <v>17.203263173371155</v>
      </c>
      <c r="D9" s="18">
        <v>14.788513434148374</v>
      </c>
      <c r="E9" s="18">
        <v>19.525542058911476</v>
      </c>
      <c r="F9" s="45" t="e">
        <f>(#REF!/#REF!)*100</f>
        <v>#REF!</v>
      </c>
      <c r="G9" s="18" t="e">
        <f>(#REF!/#REF!)*100</f>
        <v>#REF!</v>
      </c>
      <c r="H9" s="45">
        <v>21.078689646946021</v>
      </c>
      <c r="I9" s="18">
        <f t="shared" si="0"/>
        <v>13.368691145250134</v>
      </c>
      <c r="J9" s="18">
        <f t="shared" si="1"/>
        <v>11.612330008702985</v>
      </c>
      <c r="K9" s="58">
        <f t="shared" si="1"/>
        <v>15.331969571960368</v>
      </c>
      <c r="L9" s="19">
        <v>35.278854378708054</v>
      </c>
      <c r="M9" s="19">
        <f t="shared" ref="M9:O30" si="2">((C9-B9)/B9)*100</f>
        <v>-37.143790041443808</v>
      </c>
      <c r="N9" s="19">
        <f t="shared" si="2"/>
        <v>-14.036579658681037</v>
      </c>
      <c r="O9" s="19">
        <f t="shared" si="2"/>
        <v>32.031810674254515</v>
      </c>
      <c r="P9" s="20"/>
      <c r="Q9" s="42" t="s">
        <v>53</v>
      </c>
      <c r="R9" s="4"/>
      <c r="S9" s="4"/>
      <c r="T9" s="4"/>
      <c r="U9" s="4"/>
      <c r="V9" s="4"/>
      <c r="W9" s="4"/>
      <c r="X9" s="4"/>
      <c r="Y9" s="4"/>
      <c r="Z9" s="4"/>
      <c r="AA9" s="4"/>
      <c r="AB9" s="4"/>
      <c r="AC9" s="4"/>
      <c r="AD9" s="4"/>
      <c r="AE9" s="4"/>
      <c r="AF9" s="4"/>
      <c r="AG9" s="4"/>
      <c r="AH9" s="4"/>
    </row>
    <row r="10" spans="1:34" s="10" customFormat="1" ht="15" x14ac:dyDescent="0.2">
      <c r="A10" s="16" t="s">
        <v>54</v>
      </c>
      <c r="B10" s="21">
        <f>SUM(B12:B31)</f>
        <v>100.87349034439596</v>
      </c>
      <c r="C10" s="21">
        <f>SUM(C12:C31)</f>
        <v>109.35672582662903</v>
      </c>
      <c r="D10" s="21">
        <f>SUM(D12:D31)</f>
        <v>112.07942735728442</v>
      </c>
      <c r="E10" s="21">
        <f>SUM(E12:E31)</f>
        <v>107.82345804764077</v>
      </c>
      <c r="F10" s="45" t="e">
        <f>(#REF!/#REF!)*100</f>
        <v>#REF!</v>
      </c>
      <c r="G10" s="18" t="e">
        <f>(#REF!/#REF!)*100</f>
        <v>#REF!</v>
      </c>
      <c r="H10" s="45">
        <v>77.688728821170685</v>
      </c>
      <c r="I10" s="18">
        <f t="shared" si="0"/>
        <v>84.981336244100305</v>
      </c>
      <c r="J10" s="18">
        <f t="shared" si="1"/>
        <v>88.007716492579959</v>
      </c>
      <c r="K10" s="58">
        <f t="shared" si="1"/>
        <v>84.665817365898747</v>
      </c>
      <c r="L10" s="19">
        <v>1.2435666986051757</v>
      </c>
      <c r="M10" s="19">
        <f t="shared" si="2"/>
        <v>8.4097768930867147</v>
      </c>
      <c r="N10" s="19">
        <f t="shared" si="2"/>
        <v>2.4897430954286954</v>
      </c>
      <c r="O10" s="19">
        <f t="shared" si="2"/>
        <v>-3.7972796703150147</v>
      </c>
      <c r="P10" s="20"/>
      <c r="Q10" s="42" t="s">
        <v>55</v>
      </c>
      <c r="R10" s="4"/>
      <c r="S10" s="4"/>
      <c r="T10" s="4"/>
      <c r="U10" s="4"/>
      <c r="V10" s="4"/>
      <c r="W10" s="4"/>
      <c r="X10" s="4"/>
      <c r="Y10" s="4"/>
      <c r="Z10" s="4"/>
      <c r="AA10" s="4"/>
      <c r="AB10" s="4"/>
      <c r="AC10" s="4"/>
      <c r="AD10" s="4"/>
      <c r="AE10" s="4"/>
      <c r="AF10" s="4"/>
      <c r="AG10" s="4"/>
      <c r="AH10" s="4"/>
    </row>
    <row r="11" spans="1:34" s="10" customFormat="1" ht="15" x14ac:dyDescent="0.2">
      <c r="A11" s="16" t="s">
        <v>56</v>
      </c>
      <c r="B11" s="18">
        <v>1.6004226500000003</v>
      </c>
      <c r="C11" s="18">
        <v>2.1232380000000006</v>
      </c>
      <c r="D11" s="18">
        <v>0.48387768999999992</v>
      </c>
      <c r="E11" s="18">
        <v>1.8419949999999998</v>
      </c>
      <c r="F11" s="45" t="e">
        <f>(#REF!/#REF!)*100</f>
        <v>#REF!</v>
      </c>
      <c r="G11" s="18" t="e">
        <f>(#REF!/#REF!)*100</f>
        <v>#REF!</v>
      </c>
      <c r="H11" s="45">
        <v>1.2325815318832856</v>
      </c>
      <c r="I11" s="18">
        <f t="shared" si="0"/>
        <v>1.6499726106495587</v>
      </c>
      <c r="J11" s="18">
        <f t="shared" si="1"/>
        <v>0.37995349871705736</v>
      </c>
      <c r="K11" s="58">
        <f t="shared" si="1"/>
        <v>1.4463829586136243</v>
      </c>
      <c r="L11" s="19">
        <v>1087.7517228959096</v>
      </c>
      <c r="M11" s="19">
        <f>((C11-B11)/B11)*100</f>
        <v>32.667330095584454</v>
      </c>
      <c r="N11" s="19">
        <f t="shared" si="2"/>
        <v>-77.210388566896427</v>
      </c>
      <c r="O11" s="19">
        <f t="shared" si="2"/>
        <v>280.67367809414816</v>
      </c>
      <c r="P11" s="20"/>
      <c r="Q11" s="42" t="s">
        <v>57</v>
      </c>
      <c r="R11" s="4"/>
      <c r="S11" s="4"/>
      <c r="T11" s="4"/>
      <c r="U11" s="4"/>
      <c r="V11" s="4"/>
      <c r="W11" s="4"/>
      <c r="X11" s="4"/>
      <c r="Y11" s="4"/>
      <c r="Z11" s="4"/>
      <c r="AA11" s="4"/>
      <c r="AB11" s="4"/>
      <c r="AC11" s="4"/>
      <c r="AD11" s="4"/>
      <c r="AE11" s="4"/>
      <c r="AF11" s="4"/>
      <c r="AG11" s="4"/>
      <c r="AH11" s="4"/>
    </row>
    <row r="12" spans="1:34" s="10" customFormat="1" ht="15" x14ac:dyDescent="0.2">
      <c r="A12" s="39" t="s">
        <v>21</v>
      </c>
      <c r="B12" s="22">
        <v>5.7152006351276752</v>
      </c>
      <c r="C12" s="22">
        <v>3.612260380041731</v>
      </c>
      <c r="D12" s="22">
        <v>3.4878232343030295</v>
      </c>
      <c r="E12" s="22">
        <v>5.4555677523293342</v>
      </c>
      <c r="F12" s="46" t="e">
        <f>(#REF!/#REF!)*100</f>
        <v>#REF!</v>
      </c>
      <c r="G12" s="22" t="e">
        <f>(#REF!/#REF!)*100</f>
        <v>#REF!</v>
      </c>
      <c r="H12" s="46">
        <v>4.4016190059956939</v>
      </c>
      <c r="I12" s="22">
        <f t="shared" si="0"/>
        <v>2.8070949604346849</v>
      </c>
      <c r="J12" s="22">
        <f t="shared" si="1"/>
        <v>2.7387306093407182</v>
      </c>
      <c r="K12" s="59">
        <f t="shared" si="1"/>
        <v>4.2838553994615527</v>
      </c>
      <c r="L12" s="23">
        <v>81.850097453692584</v>
      </c>
      <c r="M12" s="23">
        <f t="shared" si="2"/>
        <v>-36.795563084181474</v>
      </c>
      <c r="N12" s="23">
        <f t="shared" si="2"/>
        <v>-3.4448553716181411</v>
      </c>
      <c r="O12" s="23">
        <f t="shared" si="2"/>
        <v>56.417552892972758</v>
      </c>
      <c r="P12" s="24"/>
      <c r="Q12" s="48" t="s">
        <v>1</v>
      </c>
      <c r="R12" s="4"/>
      <c r="S12" s="4"/>
      <c r="T12" s="4"/>
      <c r="U12" s="4"/>
      <c r="V12" s="4"/>
      <c r="W12" s="4"/>
      <c r="X12" s="4"/>
      <c r="Y12" s="4"/>
      <c r="Z12" s="4"/>
      <c r="AA12" s="4"/>
      <c r="AB12" s="4"/>
      <c r="AC12" s="4"/>
      <c r="AD12" s="4"/>
      <c r="AE12" s="4"/>
      <c r="AF12" s="4"/>
      <c r="AG12" s="4"/>
      <c r="AH12" s="4"/>
    </row>
    <row r="13" spans="1:34" s="10" customFormat="1" ht="15" x14ac:dyDescent="0.2">
      <c r="A13" s="39" t="s">
        <v>22</v>
      </c>
      <c r="B13" s="22">
        <v>4.9765748983919904</v>
      </c>
      <c r="C13" s="22">
        <v>2.9861145487854035</v>
      </c>
      <c r="D13" s="22">
        <v>2.1431918991752941</v>
      </c>
      <c r="E13" s="22">
        <v>3.4027214464188993</v>
      </c>
      <c r="F13" s="46" t="e">
        <f>(#REF!/#REF!)*100</f>
        <v>#REF!</v>
      </c>
      <c r="G13" s="22" t="e">
        <f>(#REF!/#REF!)*100</f>
        <v>#REF!</v>
      </c>
      <c r="H13" s="46">
        <v>3.8327589976259735</v>
      </c>
      <c r="I13" s="22">
        <f t="shared" si="0"/>
        <v>2.3205157489448092</v>
      </c>
      <c r="J13" s="22">
        <f t="shared" si="1"/>
        <v>1.6828906918889108</v>
      </c>
      <c r="K13" s="59">
        <f t="shared" si="1"/>
        <v>2.6719064454623376</v>
      </c>
      <c r="L13" s="23">
        <v>-44.735317620810605</v>
      </c>
      <c r="M13" s="23">
        <f t="shared" si="2"/>
        <v>-39.996591837686111</v>
      </c>
      <c r="N13" s="23">
        <f t="shared" si="2"/>
        <v>-28.228074839023392</v>
      </c>
      <c r="O13" s="23">
        <f t="shared" si="2"/>
        <v>58.768864688611202</v>
      </c>
      <c r="P13" s="24"/>
      <c r="Q13" s="48" t="s">
        <v>2</v>
      </c>
      <c r="R13" s="4"/>
      <c r="S13" s="4"/>
      <c r="T13" s="4"/>
      <c r="U13" s="4"/>
      <c r="V13" s="4"/>
      <c r="W13" s="4"/>
      <c r="X13" s="4"/>
      <c r="Y13" s="4"/>
      <c r="Z13" s="4"/>
      <c r="AA13" s="4"/>
      <c r="AB13" s="4"/>
      <c r="AC13" s="4"/>
      <c r="AD13" s="4"/>
      <c r="AE13" s="4"/>
      <c r="AF13" s="4"/>
      <c r="AG13" s="4"/>
      <c r="AH13" s="4"/>
    </row>
    <row r="14" spans="1:34" s="10" customFormat="1" ht="15" x14ac:dyDescent="0.2">
      <c r="A14" s="39" t="s">
        <v>23</v>
      </c>
      <c r="B14" s="22">
        <v>2.1201342336535731</v>
      </c>
      <c r="C14" s="22">
        <v>2.1018988912779415</v>
      </c>
      <c r="D14" s="22">
        <v>2.543805271979108</v>
      </c>
      <c r="E14" s="22">
        <v>3.1284374683669443</v>
      </c>
      <c r="F14" s="46" t="e">
        <f>(#REF!/#REF!)*100</f>
        <v>#REF!</v>
      </c>
      <c r="G14" s="22" t="e">
        <f>(#REF!/#REF!)*100</f>
        <v>#REF!</v>
      </c>
      <c r="H14" s="46">
        <v>1.6328426128653679</v>
      </c>
      <c r="I14" s="22">
        <f t="shared" si="0"/>
        <v>1.633389945433944</v>
      </c>
      <c r="J14" s="22">
        <f t="shared" si="1"/>
        <v>1.9974628570772872</v>
      </c>
      <c r="K14" s="59">
        <f t="shared" si="1"/>
        <v>2.4565314462494729</v>
      </c>
      <c r="L14" s="23">
        <v>-22.940301710145008</v>
      </c>
      <c r="M14" s="23">
        <f t="shared" si="2"/>
        <v>-0.86010319941898805</v>
      </c>
      <c r="N14" s="23">
        <f t="shared" si="2"/>
        <v>21.024150235527749</v>
      </c>
      <c r="O14" s="23">
        <f t="shared" si="2"/>
        <v>22.98258450942615</v>
      </c>
      <c r="P14" s="24"/>
      <c r="Q14" s="48" t="s">
        <v>3</v>
      </c>
      <c r="R14" s="4"/>
      <c r="S14" s="4"/>
      <c r="T14" s="4"/>
      <c r="U14" s="4"/>
      <c r="V14" s="4"/>
      <c r="W14" s="4"/>
      <c r="X14" s="4"/>
      <c r="Y14" s="4"/>
      <c r="Z14" s="4"/>
      <c r="AA14" s="4"/>
      <c r="AB14" s="4"/>
      <c r="AC14" s="4"/>
      <c r="AD14" s="4"/>
      <c r="AE14" s="4"/>
      <c r="AF14" s="4"/>
      <c r="AG14" s="4"/>
      <c r="AH14" s="4"/>
    </row>
    <row r="15" spans="1:34" s="10" customFormat="1" ht="15" x14ac:dyDescent="0.2">
      <c r="A15" s="39" t="s">
        <v>24</v>
      </c>
      <c r="B15" s="22">
        <v>0.97883688999999985</v>
      </c>
      <c r="C15" s="22">
        <v>1.4568490041561279</v>
      </c>
      <c r="D15" s="22">
        <v>1.6440892896197707</v>
      </c>
      <c r="E15" s="22">
        <v>2.0282570049295896</v>
      </c>
      <c r="F15" s="46" t="e">
        <f>(#REF!/#REF!)*100</f>
        <v>#REF!</v>
      </c>
      <c r="G15" s="22" t="e">
        <f>(#REF!/#REF!)*100</f>
        <v>#REF!</v>
      </c>
      <c r="H15" s="46">
        <v>0.75386103373385183</v>
      </c>
      <c r="I15" s="22">
        <f t="shared" si="0"/>
        <v>1.1321203533045732</v>
      </c>
      <c r="J15" s="22">
        <f t="shared" si="1"/>
        <v>1.2909821855896546</v>
      </c>
      <c r="K15" s="59">
        <f t="shared" si="1"/>
        <v>1.5926407876345312</v>
      </c>
      <c r="L15" s="23">
        <v>-5.882310574040452</v>
      </c>
      <c r="M15" s="23">
        <f t="shared" si="2"/>
        <v>48.834705663384646</v>
      </c>
      <c r="N15" s="23">
        <f t="shared" si="2"/>
        <v>12.852415379320711</v>
      </c>
      <c r="O15" s="23">
        <f t="shared" si="2"/>
        <v>23.366596798320209</v>
      </c>
      <c r="P15" s="24"/>
      <c r="Q15" s="48" t="s">
        <v>4</v>
      </c>
      <c r="R15" s="4"/>
      <c r="S15" s="4"/>
      <c r="T15" s="4"/>
      <c r="U15" s="4"/>
      <c r="V15" s="4"/>
      <c r="W15" s="4"/>
      <c r="X15" s="4"/>
      <c r="Y15" s="4"/>
      <c r="Z15" s="4"/>
      <c r="AA15" s="4"/>
      <c r="AB15" s="4"/>
      <c r="AC15" s="4"/>
      <c r="AD15" s="4"/>
      <c r="AE15" s="4"/>
      <c r="AF15" s="4"/>
      <c r="AG15" s="4"/>
      <c r="AH15" s="4"/>
    </row>
    <row r="16" spans="1:34" s="10" customFormat="1" ht="15" x14ac:dyDescent="0.2">
      <c r="A16" s="39" t="s">
        <v>25</v>
      </c>
      <c r="B16" s="22">
        <v>7.3334399256405201</v>
      </c>
      <c r="C16" s="22">
        <v>5.412259509708238</v>
      </c>
      <c r="D16" s="22">
        <v>4.7879967742133633</v>
      </c>
      <c r="E16" s="22">
        <v>6.4831043342321335</v>
      </c>
      <c r="F16" s="46" t="e">
        <f>(#REF!/#REF!)*100</f>
        <v>#REF!</v>
      </c>
      <c r="G16" s="22" t="e">
        <f>(#REF!/#REF!)*100</f>
        <v>#REF!</v>
      </c>
      <c r="H16" s="46">
        <v>5.647922202000851</v>
      </c>
      <c r="I16" s="22">
        <f t="shared" si="0"/>
        <v>4.2058779810582694</v>
      </c>
      <c r="J16" s="22">
        <f t="shared" si="1"/>
        <v>3.7596610957788781</v>
      </c>
      <c r="K16" s="59">
        <f t="shared" si="1"/>
        <v>5.0907041701782489</v>
      </c>
      <c r="L16" s="23">
        <v>23.067154264357541</v>
      </c>
      <c r="M16" s="23">
        <f t="shared" si="2"/>
        <v>-26.197533973314464</v>
      </c>
      <c r="N16" s="23">
        <f t="shared" si="2"/>
        <v>-11.534235089339372</v>
      </c>
      <c r="O16" s="23">
        <f t="shared" si="2"/>
        <v>35.403272808120576</v>
      </c>
      <c r="P16" s="24"/>
      <c r="Q16" s="48" t="s">
        <v>5</v>
      </c>
      <c r="R16" s="4"/>
      <c r="S16" s="4"/>
      <c r="T16" s="4"/>
      <c r="U16" s="4"/>
      <c r="V16" s="4"/>
      <c r="W16" s="4"/>
      <c r="X16" s="4"/>
      <c r="Y16" s="4"/>
      <c r="Z16" s="4"/>
      <c r="AA16" s="4"/>
      <c r="AB16" s="4"/>
      <c r="AC16" s="4"/>
      <c r="AD16" s="4"/>
      <c r="AE16" s="4"/>
      <c r="AF16" s="4"/>
      <c r="AG16" s="4"/>
      <c r="AH16" s="4"/>
    </row>
    <row r="17" spans="1:34" s="3" customFormat="1" ht="15" x14ac:dyDescent="0.2">
      <c r="A17" s="39" t="s">
        <v>26</v>
      </c>
      <c r="B17" s="22">
        <v>2.3429787494957006</v>
      </c>
      <c r="C17" s="22">
        <v>3.2542377798601869</v>
      </c>
      <c r="D17" s="22">
        <v>3.8495688450349665</v>
      </c>
      <c r="E17" s="22">
        <v>1.8292509133074131</v>
      </c>
      <c r="F17" s="46" t="e">
        <f>(#REF!/#REF!)*100</f>
        <v>#REF!</v>
      </c>
      <c r="G17" s="22" t="e">
        <f>(#REF!/#REF!)*100</f>
        <v>#REF!</v>
      </c>
      <c r="H17" s="46">
        <v>1.8044685484946084</v>
      </c>
      <c r="I17" s="22">
        <f t="shared" si="0"/>
        <v>2.5288748625026183</v>
      </c>
      <c r="J17" s="22">
        <f t="shared" si="1"/>
        <v>3.022782784681016</v>
      </c>
      <c r="K17" s="59">
        <f t="shared" si="1"/>
        <v>1.4363759662953757</v>
      </c>
      <c r="L17" s="23">
        <v>-31.967897022715825</v>
      </c>
      <c r="M17" s="23">
        <f t="shared" si="2"/>
        <v>38.893183754254039</v>
      </c>
      <c r="N17" s="23">
        <f t="shared" si="2"/>
        <v>18.294024759320354</v>
      </c>
      <c r="O17" s="23">
        <f t="shared" si="2"/>
        <v>-52.481667767373111</v>
      </c>
      <c r="P17" s="24"/>
      <c r="Q17" s="48" t="s">
        <v>6</v>
      </c>
      <c r="R17" s="4"/>
      <c r="S17" s="4"/>
      <c r="T17" s="4"/>
      <c r="U17" s="4"/>
      <c r="V17" s="4"/>
      <c r="W17" s="4"/>
      <c r="X17" s="4"/>
      <c r="Y17" s="4"/>
      <c r="Z17" s="4"/>
      <c r="AA17" s="4"/>
      <c r="AB17" s="4"/>
      <c r="AC17" s="4"/>
      <c r="AD17" s="4"/>
      <c r="AE17" s="4"/>
      <c r="AF17" s="4"/>
      <c r="AG17" s="4"/>
      <c r="AH17" s="4"/>
    </row>
    <row r="18" spans="1:34" s="3" customFormat="1" ht="15" x14ac:dyDescent="0.2">
      <c r="A18" s="39" t="s">
        <v>27</v>
      </c>
      <c r="B18" s="22">
        <v>3.1741366475837705</v>
      </c>
      <c r="C18" s="22">
        <v>6.5635837207718097</v>
      </c>
      <c r="D18" s="22">
        <v>4.9655628535871399</v>
      </c>
      <c r="E18" s="22">
        <v>5.9191232883164666</v>
      </c>
      <c r="F18" s="46" t="e">
        <f>(#REF!/#REF!)*100</f>
        <v>#REF!</v>
      </c>
      <c r="G18" s="22" t="e">
        <f>(#REF!/#REF!)*100</f>
        <v>#REF!</v>
      </c>
      <c r="H18" s="46">
        <v>2.4445931276251804</v>
      </c>
      <c r="I18" s="22">
        <f>(C18/$C$8)*100</f>
        <v>5.1005743901431693</v>
      </c>
      <c r="J18" s="22">
        <f t="shared" si="1"/>
        <v>3.8990906551609958</v>
      </c>
      <c r="K18" s="59">
        <f t="shared" si="1"/>
        <v>4.6478514079321478</v>
      </c>
      <c r="L18" s="23">
        <v>-29.063752747793369</v>
      </c>
      <c r="M18" s="23">
        <f>((C18-B18)/B18)*100</f>
        <v>106.78327524960743</v>
      </c>
      <c r="N18" s="23">
        <f>((D18-C18)/C18)*100</f>
        <v>-24.346773579308579</v>
      </c>
      <c r="O18" s="23">
        <f>((E18-D18)/D18)*100</f>
        <v>19.203471244764756</v>
      </c>
      <c r="P18" s="24"/>
      <c r="Q18" s="48" t="s">
        <v>7</v>
      </c>
      <c r="R18" s="4"/>
      <c r="S18" s="4"/>
      <c r="T18" s="4"/>
      <c r="U18" s="4"/>
      <c r="V18" s="4"/>
      <c r="W18" s="4"/>
      <c r="X18" s="4"/>
      <c r="Y18" s="4"/>
      <c r="Z18" s="4"/>
      <c r="AA18" s="4"/>
      <c r="AB18" s="4"/>
      <c r="AC18" s="4"/>
      <c r="AD18" s="4"/>
      <c r="AE18" s="4"/>
      <c r="AF18" s="4"/>
      <c r="AG18" s="4"/>
      <c r="AH18" s="4"/>
    </row>
    <row r="19" spans="1:34" s="3" customFormat="1" ht="15" x14ac:dyDescent="0.2">
      <c r="A19" s="39" t="s">
        <v>28</v>
      </c>
      <c r="B19" s="22">
        <v>7.3967283598061551</v>
      </c>
      <c r="C19" s="22">
        <v>3.2771785756210088</v>
      </c>
      <c r="D19" s="22">
        <v>3.2643403035589014</v>
      </c>
      <c r="E19" s="22">
        <v>4.2727470002415435</v>
      </c>
      <c r="F19" s="46" t="e">
        <f>(#REF!/#REF!)*100</f>
        <v>#REF!</v>
      </c>
      <c r="G19" s="22" t="e">
        <f>(#REF!/#REF!)*100</f>
        <v>#REF!</v>
      </c>
      <c r="H19" s="46">
        <v>5.6966644233974133</v>
      </c>
      <c r="I19" s="22">
        <f t="shared" si="0"/>
        <v>2.5467022020057084</v>
      </c>
      <c r="J19" s="22">
        <f t="shared" si="1"/>
        <v>2.56324592964868</v>
      </c>
      <c r="K19" s="59">
        <f t="shared" si="1"/>
        <v>3.3550734109576039</v>
      </c>
      <c r="L19" s="23">
        <v>28.188707379607379</v>
      </c>
      <c r="M19" s="23">
        <f t="shared" si="2"/>
        <v>-55.694214844643916</v>
      </c>
      <c r="N19" s="23">
        <f t="shared" si="2"/>
        <v>-0.39174771120535068</v>
      </c>
      <c r="O19" s="23">
        <f t="shared" si="2"/>
        <v>30.891592263932804</v>
      </c>
      <c r="P19" s="24"/>
      <c r="Q19" s="48" t="s">
        <v>8</v>
      </c>
      <c r="R19" s="4"/>
      <c r="S19" s="4"/>
      <c r="T19" s="4"/>
      <c r="U19" s="4"/>
      <c r="V19" s="4"/>
      <c r="W19" s="4"/>
      <c r="X19" s="4"/>
      <c r="Y19" s="4"/>
      <c r="Z19" s="4"/>
      <c r="AA19" s="4"/>
      <c r="AB19" s="4"/>
      <c r="AC19" s="4"/>
      <c r="AD19" s="4"/>
      <c r="AE19" s="4"/>
      <c r="AF19" s="4"/>
      <c r="AG19" s="4"/>
      <c r="AH19" s="4"/>
    </row>
    <row r="20" spans="1:34" s="3" customFormat="1" ht="15" x14ac:dyDescent="0.2">
      <c r="A20" s="39" t="s">
        <v>58</v>
      </c>
      <c r="B20" s="22">
        <v>3.9265395700280759</v>
      </c>
      <c r="C20" s="22">
        <v>2.6868825685070652</v>
      </c>
      <c r="D20" s="22">
        <v>2.9063640120344196</v>
      </c>
      <c r="E20" s="22">
        <v>2.7524573718329695</v>
      </c>
      <c r="F20" s="46" t="e">
        <f>(#REF!/#REF!)*100</f>
        <v>#REF!</v>
      </c>
      <c r="G20" s="22" t="e">
        <f>(#REF!/#REF!)*100</f>
        <v>#REF!</v>
      </c>
      <c r="H20" s="46">
        <v>3.0240637735447833</v>
      </c>
      <c r="I20" s="22">
        <f t="shared" si="0"/>
        <v>2.0879819624876688</v>
      </c>
      <c r="J20" s="22">
        <f t="shared" si="1"/>
        <v>2.2821535229653214</v>
      </c>
      <c r="K20" s="59">
        <f t="shared" si="1"/>
        <v>2.161301977980207</v>
      </c>
      <c r="L20" s="23">
        <v>-33.048901723756408</v>
      </c>
      <c r="M20" s="23">
        <f t="shared" si="2"/>
        <v>-31.571234146817645</v>
      </c>
      <c r="N20" s="23">
        <f t="shared" si="2"/>
        <v>8.1686280636115303</v>
      </c>
      <c r="O20" s="23">
        <f t="shared" si="2"/>
        <v>-5.2955046086507727</v>
      </c>
      <c r="P20" s="24"/>
      <c r="Q20" s="48" t="s">
        <v>9</v>
      </c>
      <c r="R20" s="4"/>
      <c r="S20" s="4"/>
      <c r="T20" s="4"/>
      <c r="U20" s="4"/>
      <c r="V20" s="4"/>
      <c r="W20" s="4"/>
      <c r="X20" s="4"/>
      <c r="Y20" s="4"/>
      <c r="Z20" s="4"/>
      <c r="AA20" s="4"/>
      <c r="AB20" s="4"/>
      <c r="AC20" s="4"/>
      <c r="AD20" s="4"/>
      <c r="AE20" s="4"/>
      <c r="AF20" s="4"/>
      <c r="AG20" s="4"/>
      <c r="AH20" s="4"/>
    </row>
    <row r="21" spans="1:34" s="3" customFormat="1" ht="15" x14ac:dyDescent="0.2">
      <c r="A21" s="39" t="s">
        <v>29</v>
      </c>
      <c r="B21" s="22">
        <v>5.2962855117830294</v>
      </c>
      <c r="C21" s="22">
        <v>4.8564435251275615</v>
      </c>
      <c r="D21" s="22">
        <v>3.9660017230785827</v>
      </c>
      <c r="E21" s="22">
        <v>4.0751871960090158</v>
      </c>
      <c r="F21" s="46" t="e">
        <f>(#REF!/#REF!)*100</f>
        <v>#REF!</v>
      </c>
      <c r="G21" s="22" t="e">
        <f>(#REF!/#REF!)*100</f>
        <v>#REF!</v>
      </c>
      <c r="H21" s="46">
        <v>4.0789873283815217</v>
      </c>
      <c r="I21" s="22">
        <f t="shared" si="0"/>
        <v>3.77395223786823</v>
      </c>
      <c r="J21" s="22">
        <f t="shared" si="1"/>
        <v>3.1142089452431372</v>
      </c>
      <c r="K21" s="59">
        <f t="shared" si="1"/>
        <v>3.1999442525456798</v>
      </c>
      <c r="L21" s="23">
        <v>-37.958949771932801</v>
      </c>
      <c r="M21" s="23">
        <f t="shared" si="2"/>
        <v>-8.3047257493373348</v>
      </c>
      <c r="N21" s="23">
        <f t="shared" si="2"/>
        <v>-18.335265250008032</v>
      </c>
      <c r="O21" s="23">
        <f t="shared" si="2"/>
        <v>2.7530364471369575</v>
      </c>
      <c r="P21" s="24"/>
      <c r="Q21" s="48" t="s">
        <v>10</v>
      </c>
      <c r="R21" s="4"/>
      <c r="S21" s="4"/>
      <c r="T21" s="4"/>
      <c r="U21" s="4"/>
      <c r="V21" s="4"/>
      <c r="W21" s="4"/>
      <c r="X21" s="4"/>
      <c r="Y21" s="4"/>
      <c r="Z21" s="4"/>
      <c r="AA21" s="4"/>
      <c r="AB21" s="4"/>
      <c r="AC21" s="4"/>
      <c r="AD21" s="4"/>
      <c r="AE21" s="4"/>
      <c r="AF21" s="4"/>
      <c r="AG21" s="4"/>
      <c r="AH21" s="4"/>
    </row>
    <row r="22" spans="1:34" s="3" customFormat="1" ht="15" x14ac:dyDescent="0.2">
      <c r="A22" s="39" t="s">
        <v>30</v>
      </c>
      <c r="B22" s="22">
        <v>0.69458426939423545</v>
      </c>
      <c r="C22" s="22">
        <v>0.7782534712837853</v>
      </c>
      <c r="D22" s="22">
        <v>0.30394247344899167</v>
      </c>
      <c r="E22" s="22">
        <v>0.31269729273595998</v>
      </c>
      <c r="F22" s="46" t="e">
        <f>(#REF!/#REF!)*100</f>
        <v>#REF!</v>
      </c>
      <c r="G22" s="22" t="e">
        <f>(#REF!/#REF!)*100</f>
        <v>#REF!</v>
      </c>
      <c r="H22" s="46">
        <v>0.53494103122820658</v>
      </c>
      <c r="I22" s="22">
        <f>(C22/$C$8)*100</f>
        <v>0.60478237096415377</v>
      </c>
      <c r="J22" s="22">
        <f t="shared" si="1"/>
        <v>0.23866363046343531</v>
      </c>
      <c r="K22" s="59">
        <f t="shared" si="1"/>
        <v>0.24553814501011587</v>
      </c>
      <c r="L22" s="23">
        <v>55.116045460468534</v>
      </c>
      <c r="M22" s="23">
        <f t="shared" si="2"/>
        <v>12.045939647110044</v>
      </c>
      <c r="N22" s="23">
        <f t="shared" si="2"/>
        <v>-60.945567907635976</v>
      </c>
      <c r="O22" s="23">
        <f t="shared" si="2"/>
        <v>2.8804198332739968</v>
      </c>
      <c r="P22" s="24"/>
      <c r="Q22" s="48" t="s">
        <v>11</v>
      </c>
      <c r="R22" s="4"/>
      <c r="S22" s="4"/>
      <c r="T22" s="4"/>
      <c r="U22" s="4"/>
      <c r="V22" s="4"/>
      <c r="W22" s="4"/>
      <c r="X22" s="4"/>
      <c r="Y22" s="4"/>
      <c r="Z22" s="4"/>
      <c r="AA22" s="4"/>
      <c r="AB22" s="4"/>
      <c r="AC22" s="4"/>
      <c r="AD22" s="4"/>
      <c r="AE22" s="4"/>
      <c r="AF22" s="4"/>
      <c r="AG22" s="4"/>
      <c r="AH22" s="4"/>
    </row>
    <row r="23" spans="1:34" s="3" customFormat="1" ht="15" x14ac:dyDescent="0.2">
      <c r="A23" s="39" t="s">
        <v>31</v>
      </c>
      <c r="B23" s="22">
        <v>4.1488570930622419</v>
      </c>
      <c r="C23" s="22">
        <v>3.6170414694011317</v>
      </c>
      <c r="D23" s="22">
        <v>3.8464425361310637</v>
      </c>
      <c r="E23" s="22">
        <v>2.2948781910587521</v>
      </c>
      <c r="F23" s="46" t="e">
        <f>(#REF!/#REF!)*100</f>
        <v>#REF!</v>
      </c>
      <c r="G23" s="22" t="e">
        <f>(#REF!/#REF!)*100</f>
        <v>#REF!</v>
      </c>
      <c r="H23" s="46">
        <v>3.1952838403852204</v>
      </c>
      <c r="I23" s="22">
        <f t="shared" si="0"/>
        <v>2.8108103547955992</v>
      </c>
      <c r="J23" s="22">
        <f t="shared" si="1"/>
        <v>3.0203279246396111</v>
      </c>
      <c r="K23" s="59">
        <f t="shared" si="1"/>
        <v>1.8019987609311863</v>
      </c>
      <c r="L23" s="23">
        <v>62.267952541270709</v>
      </c>
      <c r="M23" s="23">
        <f t="shared" si="2"/>
        <v>-12.818364473204378</v>
      </c>
      <c r="N23" s="23">
        <f t="shared" si="2"/>
        <v>6.3422293791924256</v>
      </c>
      <c r="O23" s="23">
        <f t="shared" si="2"/>
        <v>-40.337645252668956</v>
      </c>
      <c r="P23" s="24"/>
      <c r="Q23" s="48" t="s">
        <v>12</v>
      </c>
      <c r="R23" s="4"/>
      <c r="S23" s="4"/>
      <c r="T23" s="4"/>
      <c r="U23" s="4"/>
      <c r="V23" s="4"/>
      <c r="W23" s="4"/>
      <c r="X23" s="4"/>
      <c r="Y23" s="4"/>
      <c r="Z23" s="4"/>
      <c r="AA23" s="4"/>
      <c r="AB23" s="4"/>
      <c r="AC23" s="4"/>
      <c r="AD23" s="4"/>
      <c r="AE23" s="4"/>
      <c r="AF23" s="4"/>
      <c r="AG23" s="4"/>
      <c r="AH23" s="4"/>
    </row>
    <row r="24" spans="1:34" s="3" customFormat="1" ht="15" x14ac:dyDescent="0.2">
      <c r="A24" s="39" t="s">
        <v>32</v>
      </c>
      <c r="B24" s="22">
        <v>2.3510120797228331</v>
      </c>
      <c r="C24" s="22">
        <v>2.8558977392270024</v>
      </c>
      <c r="D24" s="22">
        <v>3.8642766938192219</v>
      </c>
      <c r="E24" s="22">
        <v>3.5967076673388623</v>
      </c>
      <c r="F24" s="46" t="e">
        <f>(#REF!/#REF!)*100</f>
        <v>#REF!</v>
      </c>
      <c r="G24" s="22" t="e">
        <f>(#REF!/#REF!)*100</f>
        <v>#REF!</v>
      </c>
      <c r="H24" s="46">
        <v>1.8106554982215965</v>
      </c>
      <c r="I24" s="22">
        <f t="shared" si="0"/>
        <v>2.2193239987889006</v>
      </c>
      <c r="J24" s="22">
        <f t="shared" ref="J24:K30" si="3">(D24/$D$8)*100</f>
        <v>3.0343317746833844</v>
      </c>
      <c r="K24" s="59">
        <f t="shared" si="3"/>
        <v>2.8242295321941104</v>
      </c>
      <c r="L24" s="23">
        <v>-1.7382886605079619</v>
      </c>
      <c r="M24" s="23">
        <f t="shared" si="2"/>
        <v>21.475247356606165</v>
      </c>
      <c r="N24" s="23">
        <f t="shared" si="2"/>
        <v>35.30865061243945</v>
      </c>
      <c r="O24" s="23">
        <f t="shared" si="2"/>
        <v>-6.9241684196250004</v>
      </c>
      <c r="P24" s="24"/>
      <c r="Q24" s="48" t="s">
        <v>13</v>
      </c>
      <c r="R24" s="4"/>
      <c r="S24" s="4"/>
      <c r="T24" s="4"/>
      <c r="U24" s="4"/>
      <c r="V24" s="4"/>
      <c r="W24" s="4"/>
      <c r="X24" s="4"/>
      <c r="Y24" s="4"/>
      <c r="Z24" s="4"/>
      <c r="AA24" s="4"/>
      <c r="AB24" s="4"/>
      <c r="AC24" s="4"/>
      <c r="AD24" s="4"/>
      <c r="AE24" s="4"/>
      <c r="AF24" s="4"/>
      <c r="AG24" s="4"/>
      <c r="AH24" s="4"/>
    </row>
    <row r="25" spans="1:34" s="3" customFormat="1" ht="15" x14ac:dyDescent="0.2">
      <c r="A25" s="39" t="s">
        <v>33</v>
      </c>
      <c r="B25" s="22">
        <v>4.8873762700000016</v>
      </c>
      <c r="C25" s="22">
        <v>5.5584618312959835</v>
      </c>
      <c r="D25" s="22">
        <v>8.2203993305057246</v>
      </c>
      <c r="E25" s="22">
        <v>7.1836101718072625</v>
      </c>
      <c r="F25" s="46" t="e">
        <f>(#REF!/#REF!)*100</f>
        <v>#REF!</v>
      </c>
      <c r="G25" s="22" t="e">
        <f>(#REF!/#REF!)*100</f>
        <v>#REF!</v>
      </c>
      <c r="H25" s="46">
        <v>3.7640617806593899</v>
      </c>
      <c r="I25" s="22">
        <f t="shared" si="0"/>
        <v>4.3194921054443061</v>
      </c>
      <c r="J25" s="22">
        <f t="shared" si="3"/>
        <v>6.4548739299739282</v>
      </c>
      <c r="K25" s="59">
        <f t="shared" si="3"/>
        <v>5.6407597924128545</v>
      </c>
      <c r="L25" s="23">
        <v>37.093088826382903</v>
      </c>
      <c r="M25" s="23">
        <f t="shared" si="2"/>
        <v>13.73099847898516</v>
      </c>
      <c r="N25" s="23">
        <f t="shared" si="2"/>
        <v>47.889822400545242</v>
      </c>
      <c r="O25" s="23">
        <f t="shared" si="2"/>
        <v>-12.612394082255346</v>
      </c>
      <c r="P25" s="24"/>
      <c r="Q25" s="48" t="s">
        <v>14</v>
      </c>
      <c r="R25" s="4"/>
      <c r="S25" s="4"/>
      <c r="T25" s="4"/>
      <c r="U25" s="4"/>
      <c r="V25" s="4"/>
      <c r="W25" s="4"/>
      <c r="X25" s="4"/>
      <c r="Y25" s="4"/>
      <c r="Z25" s="4"/>
      <c r="AA25" s="4"/>
      <c r="AB25" s="4"/>
      <c r="AC25" s="4"/>
      <c r="AD25" s="4"/>
      <c r="AE25" s="4"/>
      <c r="AF25" s="4"/>
      <c r="AG25" s="4"/>
      <c r="AH25" s="4"/>
    </row>
    <row r="26" spans="1:34" s="3" customFormat="1" ht="15" x14ac:dyDescent="0.2">
      <c r="A26" s="39" t="s">
        <v>34</v>
      </c>
      <c r="B26" s="22">
        <v>6.1023330901973196</v>
      </c>
      <c r="C26" s="22">
        <v>3.8321071489999445</v>
      </c>
      <c r="D26" s="22">
        <v>3.5789821165928566</v>
      </c>
      <c r="E26" s="22">
        <v>4.117024274419717</v>
      </c>
      <c r="F26" s="46" t="e">
        <f>(#REF!/#REF!)*100</f>
        <v>#REF!</v>
      </c>
      <c r="G26" s="22" t="e">
        <f>(#REF!/#REF!)*100</f>
        <v>#REF!</v>
      </c>
      <c r="H26" s="46">
        <v>4.6997729433393571</v>
      </c>
      <c r="I26" s="22">
        <f t="shared" si="0"/>
        <v>2.9779383361282501</v>
      </c>
      <c r="J26" s="22">
        <f t="shared" si="3"/>
        <v>2.8103109631800454</v>
      </c>
      <c r="K26" s="59">
        <f t="shared" si="3"/>
        <v>3.232795827740738</v>
      </c>
      <c r="L26" s="23">
        <v>35.85916711309531</v>
      </c>
      <c r="M26" s="23">
        <f t="shared" si="2"/>
        <v>-37.202589692198643</v>
      </c>
      <c r="N26" s="23">
        <f t="shared" si="2"/>
        <v>-6.6053746037123569</v>
      </c>
      <c r="O26" s="23">
        <f t="shared" si="2"/>
        <v>15.033384920600534</v>
      </c>
      <c r="P26" s="24"/>
      <c r="Q26" s="48" t="s">
        <v>15</v>
      </c>
      <c r="S26" s="5"/>
      <c r="T26" s="5"/>
      <c r="V26" s="4"/>
      <c r="W26" s="4"/>
      <c r="X26" s="4"/>
      <c r="Y26" s="4"/>
      <c r="Z26" s="4"/>
      <c r="AA26" s="4"/>
      <c r="AB26" s="4"/>
      <c r="AC26" s="4"/>
      <c r="AD26" s="4"/>
      <c r="AE26" s="4"/>
      <c r="AF26" s="4"/>
      <c r="AG26" s="4"/>
      <c r="AH26" s="4"/>
    </row>
    <row r="27" spans="1:34" s="3" customFormat="1" ht="15" x14ac:dyDescent="0.2">
      <c r="A27" s="39" t="s">
        <v>35</v>
      </c>
      <c r="B27" s="22">
        <v>8.2431673173022482</v>
      </c>
      <c r="C27" s="22">
        <v>14.670648390734787</v>
      </c>
      <c r="D27" s="22">
        <v>12.555886331006292</v>
      </c>
      <c r="E27" s="22">
        <v>10.779729136313419</v>
      </c>
      <c r="F27" s="46" t="e">
        <f>(#REF!/#REF!)*100</f>
        <v>#REF!</v>
      </c>
      <c r="G27" s="22" t="e">
        <f>(#REF!/#REF!)*100</f>
        <v>#REF!</v>
      </c>
      <c r="H27" s="46">
        <v>6.3485578634685265</v>
      </c>
      <c r="I27" s="22">
        <f>(C27/$C$8)*100</f>
        <v>11.400590996008178</v>
      </c>
      <c r="J27" s="22">
        <f t="shared" si="3"/>
        <v>9.8592124405643045</v>
      </c>
      <c r="K27" s="59">
        <f t="shared" si="3"/>
        <v>8.4645270596470095</v>
      </c>
      <c r="L27" s="23">
        <v>27.974706847765301</v>
      </c>
      <c r="M27" s="23">
        <f t="shared" si="2"/>
        <v>77.973439407706564</v>
      </c>
      <c r="N27" s="23">
        <f t="shared" si="2"/>
        <v>-14.414918846150441</v>
      </c>
      <c r="O27" s="23">
        <f t="shared" si="2"/>
        <v>-14.1460120605482</v>
      </c>
      <c r="P27" s="24"/>
      <c r="Q27" s="48" t="s">
        <v>16</v>
      </c>
    </row>
    <row r="28" spans="1:34" s="3" customFormat="1" ht="15" x14ac:dyDescent="0.2">
      <c r="A28" s="39" t="s">
        <v>36</v>
      </c>
      <c r="B28" s="22">
        <v>15.669094098018947</v>
      </c>
      <c r="C28" s="22">
        <v>19.57691873198684</v>
      </c>
      <c r="D28" s="22">
        <v>20.006961722130814</v>
      </c>
      <c r="E28" s="22">
        <v>17.591605791181756</v>
      </c>
      <c r="F28" s="46" t="e">
        <f>(#REF!/#REF!)*100</f>
        <v>#REF!</v>
      </c>
      <c r="G28" s="22" t="e">
        <f>(#REF!/#REF!)*100</f>
        <v>#REF!</v>
      </c>
      <c r="H28" s="46">
        <v>12.067709743147873</v>
      </c>
      <c r="I28" s="22">
        <f t="shared" si="0"/>
        <v>15.213263755024432</v>
      </c>
      <c r="J28" s="22">
        <f t="shared" si="3"/>
        <v>15.709992963349576</v>
      </c>
      <c r="K28" s="59">
        <f t="shared" si="3"/>
        <v>13.813391909866224</v>
      </c>
      <c r="L28" s="23">
        <v>24.306020573939122</v>
      </c>
      <c r="M28" s="23">
        <f t="shared" si="2"/>
        <v>24.939697276193918</v>
      </c>
      <c r="N28" s="23">
        <f t="shared" si="2"/>
        <v>2.1966837377800648</v>
      </c>
      <c r="O28" s="23">
        <f t="shared" si="2"/>
        <v>-12.07257735829673</v>
      </c>
      <c r="P28" s="24"/>
      <c r="Q28" s="48" t="s">
        <v>17</v>
      </c>
    </row>
    <row r="29" spans="1:34" s="3" customFormat="1" ht="15" x14ac:dyDescent="0.2">
      <c r="A29" s="39" t="s">
        <v>37</v>
      </c>
      <c r="B29" s="22">
        <v>6.5185484876734998</v>
      </c>
      <c r="C29" s="22">
        <v>10.485499486109854</v>
      </c>
      <c r="D29" s="22">
        <v>12.824944463209524</v>
      </c>
      <c r="E29" s="22">
        <v>8.5205992519975222</v>
      </c>
      <c r="F29" s="46" t="e">
        <f>(#REF!/#REF!)*100</f>
        <v>#REF!</v>
      </c>
      <c r="G29" s="22" t="e">
        <f>(#REF!/#REF!)*100</f>
        <v>#REF!</v>
      </c>
      <c r="H29" s="46">
        <v>5.0203254000385931</v>
      </c>
      <c r="I29" s="22">
        <f t="shared" si="0"/>
        <v>8.1483031864827566</v>
      </c>
      <c r="J29" s="22">
        <f t="shared" si="3"/>
        <v>10.070483968063112</v>
      </c>
      <c r="K29" s="59">
        <f t="shared" si="3"/>
        <v>6.6905988101298925</v>
      </c>
      <c r="L29" s="23">
        <v>-4.6730088484620538</v>
      </c>
      <c r="M29" s="23">
        <f t="shared" si="2"/>
        <v>60.856354845527541</v>
      </c>
      <c r="N29" s="23">
        <f t="shared" si="2"/>
        <v>22.311240205568982</v>
      </c>
      <c r="O29" s="23">
        <f t="shared" si="2"/>
        <v>-33.562291232993083</v>
      </c>
      <c r="P29" s="24"/>
      <c r="Q29" s="48" t="s">
        <v>18</v>
      </c>
    </row>
    <row r="30" spans="1:34" s="3" customFormat="1" ht="15" x14ac:dyDescent="0.2">
      <c r="A30" s="39" t="s">
        <v>38</v>
      </c>
      <c r="B30" s="22">
        <v>4.0198049527051953</v>
      </c>
      <c r="C30" s="22">
        <v>4.1304595743684711</v>
      </c>
      <c r="D30" s="22">
        <v>4.1757914603981243</v>
      </c>
      <c r="E30" s="22">
        <v>3.7228406026800092</v>
      </c>
      <c r="F30" s="46" t="e">
        <f>(#REF!/#REF!)*100</f>
        <v>#REF!</v>
      </c>
      <c r="G30" s="22" t="e">
        <f>(#REF!/#REF!)*100</f>
        <v>#REF!</v>
      </c>
      <c r="H30" s="46">
        <v>3.0958930420519772</v>
      </c>
      <c r="I30" s="22">
        <f t="shared" si="0"/>
        <v>3.2097886186584872</v>
      </c>
      <c r="J30" s="22">
        <f t="shared" si="3"/>
        <v>3.2789413690287685</v>
      </c>
      <c r="K30" s="59">
        <f t="shared" si="3"/>
        <v>2.9232724330691671</v>
      </c>
      <c r="L30" s="23">
        <v>-3.2112259970483512</v>
      </c>
      <c r="M30" s="23">
        <f t="shared" si="2"/>
        <v>2.7527360895659601</v>
      </c>
      <c r="N30" s="23">
        <f t="shared" si="2"/>
        <v>1.0975022322203518</v>
      </c>
      <c r="O30" s="23">
        <f t="shared" si="2"/>
        <v>-10.84706604756863</v>
      </c>
      <c r="P30" s="24"/>
      <c r="Q30" s="48" t="s">
        <v>19</v>
      </c>
    </row>
    <row r="31" spans="1:34" s="3" customFormat="1" ht="15" x14ac:dyDescent="0.2">
      <c r="A31" s="40" t="s">
        <v>3</v>
      </c>
      <c r="B31" s="26">
        <v>4.9778572648089474</v>
      </c>
      <c r="C31" s="26">
        <v>7.643729479364147</v>
      </c>
      <c r="D31" s="26">
        <v>9.1430560234572287</v>
      </c>
      <c r="E31" s="26">
        <v>10.356911892123186</v>
      </c>
      <c r="F31" s="47" t="e">
        <f>(#REF!/#REF!)*100</f>
        <v>#REF!</v>
      </c>
      <c r="G31" s="26" t="e">
        <f>(#REF!/#REF!)*100</f>
        <v>#REF!</v>
      </c>
      <c r="H31" s="47">
        <v>3.8337466249646948</v>
      </c>
      <c r="I31" s="26">
        <f>(C31/$C$8)*100</f>
        <v>5.9399578776215618</v>
      </c>
      <c r="J31" s="26">
        <f>(D31/$D$8)*100</f>
        <v>7.1793682512591976</v>
      </c>
      <c r="K31" s="60">
        <f>(E31/$D$8)*100</f>
        <v>8.1325198302002804</v>
      </c>
      <c r="L31" s="25">
        <v>-19.119517583990476</v>
      </c>
      <c r="M31" s="25">
        <f>((C31-B31)/B31)*100</f>
        <v>53.554613415728724</v>
      </c>
      <c r="N31" s="25">
        <f>((D31-C31)/C31)*100</f>
        <v>19.615117831430698</v>
      </c>
      <c r="O31" s="25">
        <f>((E31-D31)/D31)*100</f>
        <v>13.276259770821866</v>
      </c>
      <c r="P31" s="27"/>
      <c r="Q31" s="49" t="s">
        <v>20</v>
      </c>
    </row>
    <row r="32" spans="1:34" s="3" customFormat="1" ht="14.25" x14ac:dyDescent="0.25">
      <c r="A32" s="1" t="s">
        <v>39</v>
      </c>
      <c r="B32" s="5"/>
      <c r="C32" s="5"/>
      <c r="D32" s="5"/>
      <c r="E32" s="5"/>
      <c r="F32" s="28"/>
      <c r="G32" s="28"/>
      <c r="H32" s="28"/>
      <c r="I32" s="28"/>
      <c r="J32" s="28"/>
      <c r="K32" s="28"/>
      <c r="L32" s="5"/>
      <c r="M32" s="5"/>
      <c r="N32" s="5"/>
      <c r="O32" s="5"/>
      <c r="P32" s="5"/>
      <c r="Q32" s="41" t="s">
        <v>44</v>
      </c>
    </row>
    <row r="33" spans="1:17" s="6" customFormat="1" ht="27" customHeight="1" x14ac:dyDescent="0.25">
      <c r="A33" s="61" t="s">
        <v>59</v>
      </c>
      <c r="B33" s="61"/>
      <c r="C33" s="61"/>
      <c r="D33" s="61"/>
      <c r="E33" s="61"/>
      <c r="F33" s="61"/>
      <c r="G33" s="61"/>
      <c r="H33" s="61"/>
      <c r="I33" s="61"/>
      <c r="J33" s="61"/>
      <c r="K33" s="61"/>
      <c r="L33" s="29"/>
      <c r="M33" s="29"/>
      <c r="N33" s="29"/>
      <c r="O33" s="29"/>
      <c r="P33" s="29"/>
      <c r="Q33" s="29"/>
    </row>
    <row r="34" spans="1:17" s="6" customFormat="1" x14ac:dyDescent="0.25">
      <c r="A34" s="7"/>
      <c r="F34" s="30"/>
      <c r="G34" s="30"/>
      <c r="H34" s="30"/>
      <c r="I34" s="30"/>
      <c r="J34" s="30"/>
      <c r="K34" s="30"/>
      <c r="L34" s="31"/>
      <c r="M34" s="31"/>
      <c r="N34" s="31"/>
      <c r="O34" s="31"/>
    </row>
    <row r="35" spans="1:17" s="3" customFormat="1" ht="12" x14ac:dyDescent="0.25">
      <c r="F35" s="8"/>
      <c r="G35" s="8"/>
      <c r="H35" s="8"/>
      <c r="I35" s="8"/>
      <c r="J35" s="8"/>
      <c r="K35" s="8"/>
    </row>
    <row r="36" spans="1:17" s="3" customFormat="1" ht="12" x14ac:dyDescent="0.25">
      <c r="F36" s="8"/>
      <c r="G36" s="8"/>
      <c r="H36" s="8"/>
      <c r="I36" s="8"/>
      <c r="J36" s="8"/>
      <c r="K36" s="8"/>
    </row>
    <row r="37" spans="1:17" s="3" customFormat="1" ht="12" x14ac:dyDescent="0.25">
      <c r="F37" s="8"/>
      <c r="G37" s="8"/>
      <c r="H37" s="8"/>
      <c r="I37" s="8"/>
      <c r="J37" s="8"/>
      <c r="K37" s="8"/>
    </row>
    <row r="38" spans="1:17" s="3" customFormat="1" ht="12" x14ac:dyDescent="0.25">
      <c r="F38" s="8"/>
      <c r="G38" s="8"/>
      <c r="H38" s="8"/>
      <c r="I38" s="8"/>
      <c r="J38" s="8"/>
      <c r="K38" s="8"/>
    </row>
    <row r="39" spans="1:17" s="3" customFormat="1" ht="12" x14ac:dyDescent="0.25">
      <c r="F39" s="8"/>
      <c r="G39" s="8"/>
      <c r="H39" s="8"/>
      <c r="I39" s="8"/>
      <c r="J39" s="8"/>
      <c r="K39" s="8"/>
    </row>
    <row r="40" spans="1:17" s="3" customFormat="1" ht="12" x14ac:dyDescent="0.25">
      <c r="F40" s="8"/>
      <c r="G40" s="8"/>
      <c r="H40" s="8"/>
      <c r="I40" s="8"/>
      <c r="J40" s="8"/>
      <c r="K40" s="8"/>
    </row>
    <row r="41" spans="1:17" s="3" customFormat="1" ht="12" x14ac:dyDescent="0.25">
      <c r="F41" s="8"/>
      <c r="G41" s="8"/>
      <c r="H41" s="8"/>
      <c r="I41" s="8"/>
      <c r="J41" s="8"/>
      <c r="K41" s="8"/>
    </row>
    <row r="42" spans="1:17" s="3" customFormat="1" ht="12" x14ac:dyDescent="0.25">
      <c r="F42" s="8"/>
      <c r="G42" s="8"/>
      <c r="H42" s="8"/>
      <c r="I42" s="8"/>
      <c r="J42" s="8"/>
      <c r="K42" s="8"/>
    </row>
    <row r="43" spans="1:17" s="3" customFormat="1" ht="12" x14ac:dyDescent="0.25">
      <c r="F43" s="8"/>
      <c r="G43" s="8"/>
      <c r="H43" s="8"/>
      <c r="I43" s="8"/>
      <c r="J43" s="8"/>
      <c r="K43" s="8"/>
    </row>
    <row r="44" spans="1:17" s="3" customFormat="1" ht="12" x14ac:dyDescent="0.25">
      <c r="F44" s="8"/>
      <c r="G44" s="8"/>
      <c r="H44" s="8"/>
      <c r="I44" s="8"/>
      <c r="J44" s="8"/>
      <c r="K44" s="8"/>
    </row>
    <row r="45" spans="1:17" s="3" customFormat="1" ht="12" x14ac:dyDescent="0.25">
      <c r="F45" s="8"/>
      <c r="G45" s="8"/>
      <c r="H45" s="8"/>
      <c r="I45" s="8"/>
      <c r="J45" s="8"/>
      <c r="K45" s="8"/>
    </row>
    <row r="46" spans="1:17" s="3" customFormat="1" ht="12" x14ac:dyDescent="0.25">
      <c r="F46" s="8"/>
      <c r="G46" s="8"/>
      <c r="H46" s="8"/>
      <c r="I46" s="8"/>
      <c r="J46" s="8"/>
      <c r="K46" s="8"/>
    </row>
    <row r="47" spans="1:17" s="3" customFormat="1" ht="12" x14ac:dyDescent="0.25">
      <c r="F47" s="8"/>
      <c r="G47" s="8"/>
      <c r="H47" s="8"/>
      <c r="I47" s="8"/>
      <c r="J47" s="8"/>
      <c r="K47" s="8"/>
    </row>
    <row r="48" spans="1:17" s="3" customFormat="1" ht="12" x14ac:dyDescent="0.25">
      <c r="F48" s="8"/>
      <c r="G48" s="8"/>
      <c r="H48" s="8"/>
      <c r="I48" s="8"/>
      <c r="J48" s="8"/>
      <c r="K48" s="8"/>
    </row>
    <row r="49" spans="1:17" s="3" customFormat="1" ht="12" x14ac:dyDescent="0.25">
      <c r="F49" s="8"/>
      <c r="G49" s="8"/>
      <c r="H49" s="8"/>
      <c r="I49" s="8"/>
      <c r="J49" s="8"/>
      <c r="K49" s="8"/>
    </row>
    <row r="50" spans="1:17" s="3" customFormat="1" ht="12" x14ac:dyDescent="0.25">
      <c r="F50" s="8"/>
      <c r="G50" s="8"/>
      <c r="H50" s="8"/>
      <c r="I50" s="8"/>
      <c r="J50" s="8"/>
      <c r="K50" s="8"/>
    </row>
    <row r="51" spans="1:17" s="3" customFormat="1" ht="12" x14ac:dyDescent="0.25">
      <c r="F51" s="8"/>
      <c r="G51" s="8"/>
      <c r="H51" s="8"/>
      <c r="I51" s="8"/>
      <c r="J51" s="8"/>
      <c r="K51" s="8"/>
    </row>
    <row r="52" spans="1:17" s="3" customFormat="1" ht="12" x14ac:dyDescent="0.25">
      <c r="F52" s="8"/>
      <c r="G52" s="8"/>
      <c r="H52" s="8"/>
      <c r="I52" s="8"/>
      <c r="J52" s="8"/>
      <c r="K52" s="8"/>
    </row>
    <row r="53" spans="1:17" s="3" customFormat="1" ht="12" x14ac:dyDescent="0.25">
      <c r="F53" s="8"/>
      <c r="G53" s="8"/>
      <c r="H53" s="8"/>
      <c r="I53" s="8"/>
      <c r="J53" s="8"/>
      <c r="K53" s="8"/>
    </row>
    <row r="54" spans="1:17" s="3" customFormat="1" ht="12" x14ac:dyDescent="0.25">
      <c r="F54" s="8"/>
      <c r="G54" s="8"/>
      <c r="H54" s="8"/>
      <c r="I54" s="8"/>
      <c r="J54" s="8"/>
      <c r="K54" s="8"/>
    </row>
    <row r="55" spans="1:17" s="3" customFormat="1" ht="12" x14ac:dyDescent="0.25">
      <c r="F55" s="8"/>
      <c r="G55" s="8"/>
      <c r="H55" s="8"/>
      <c r="I55" s="8"/>
      <c r="J55" s="8"/>
      <c r="K55" s="8"/>
    </row>
    <row r="56" spans="1:17" s="3" customFormat="1" ht="12" x14ac:dyDescent="0.25">
      <c r="F56" s="8"/>
      <c r="G56" s="8"/>
      <c r="H56" s="8"/>
      <c r="I56" s="8"/>
      <c r="J56" s="8"/>
      <c r="K56" s="8"/>
    </row>
    <row r="57" spans="1:17" s="3" customFormat="1" ht="12" x14ac:dyDescent="0.25">
      <c r="F57" s="8"/>
      <c r="G57" s="8"/>
      <c r="H57" s="8"/>
      <c r="I57" s="8"/>
      <c r="J57" s="8"/>
      <c r="K57" s="8"/>
    </row>
    <row r="58" spans="1:17" s="3" customFormat="1" ht="12" x14ac:dyDescent="0.25">
      <c r="F58" s="8"/>
      <c r="G58" s="8"/>
      <c r="H58" s="8"/>
      <c r="I58" s="8"/>
      <c r="J58" s="8"/>
      <c r="K58" s="8"/>
    </row>
    <row r="59" spans="1:17" s="3" customFormat="1" ht="12" x14ac:dyDescent="0.25">
      <c r="F59" s="8"/>
      <c r="G59" s="8"/>
      <c r="H59" s="8"/>
      <c r="I59" s="8"/>
      <c r="J59" s="8"/>
      <c r="K59" s="8"/>
    </row>
    <row r="60" spans="1:17" s="3" customFormat="1" ht="12" x14ac:dyDescent="0.25">
      <c r="F60" s="8"/>
      <c r="G60" s="8"/>
      <c r="H60" s="8"/>
      <c r="I60" s="8"/>
      <c r="J60" s="8"/>
      <c r="K60" s="8"/>
    </row>
    <row r="61" spans="1:17" s="3" customFormat="1" ht="12" x14ac:dyDescent="0.25">
      <c r="F61" s="8"/>
      <c r="G61" s="8"/>
      <c r="H61" s="8"/>
      <c r="I61" s="8"/>
      <c r="J61" s="8"/>
      <c r="K61" s="8"/>
    </row>
    <row r="62" spans="1:17" x14ac:dyDescent="0.25">
      <c r="A62" s="3"/>
      <c r="B62" s="3"/>
      <c r="C62" s="3"/>
      <c r="D62" s="3"/>
      <c r="E62" s="3"/>
      <c r="F62" s="8"/>
      <c r="G62" s="8"/>
      <c r="H62" s="8"/>
      <c r="I62" s="8"/>
      <c r="J62" s="8"/>
      <c r="K62" s="8"/>
      <c r="L62" s="3"/>
      <c r="M62" s="3"/>
      <c r="N62" s="3"/>
      <c r="O62" s="3"/>
      <c r="P62" s="3"/>
      <c r="Q62" s="3"/>
    </row>
    <row r="63" spans="1:17" x14ac:dyDescent="0.25">
      <c r="A63" s="3"/>
      <c r="B63" s="3"/>
      <c r="C63" s="3"/>
      <c r="D63" s="3"/>
      <c r="E63" s="3"/>
      <c r="F63" s="8"/>
      <c r="G63" s="8"/>
      <c r="H63" s="8"/>
      <c r="I63" s="8"/>
      <c r="J63" s="8"/>
      <c r="K63" s="8"/>
      <c r="L63" s="3"/>
      <c r="M63" s="3"/>
      <c r="N63" s="3"/>
      <c r="O63" s="3"/>
      <c r="P63" s="3"/>
      <c r="Q63" s="3"/>
    </row>
    <row r="64" spans="1:17" x14ac:dyDescent="0.25">
      <c r="A64" s="3"/>
      <c r="B64" s="3"/>
      <c r="C64" s="3"/>
      <c r="D64" s="3"/>
      <c r="E64" s="3"/>
      <c r="F64" s="8"/>
      <c r="G64" s="8"/>
      <c r="H64" s="8"/>
      <c r="I64" s="8"/>
      <c r="J64" s="8"/>
      <c r="K64" s="8"/>
      <c r="L64" s="3"/>
      <c r="M64" s="3"/>
      <c r="N64" s="3"/>
      <c r="O64" s="3"/>
      <c r="P64" s="3"/>
      <c r="Q64" s="3"/>
    </row>
    <row r="65" spans="1:17" x14ac:dyDescent="0.25">
      <c r="A65" s="3"/>
      <c r="B65" s="3"/>
      <c r="C65" s="3"/>
      <c r="D65" s="3"/>
      <c r="E65" s="3"/>
      <c r="F65" s="8"/>
      <c r="G65" s="8"/>
      <c r="H65" s="8"/>
      <c r="I65" s="8"/>
      <c r="J65" s="8"/>
      <c r="K65" s="8"/>
      <c r="L65" s="3"/>
      <c r="M65" s="3"/>
      <c r="N65" s="3"/>
      <c r="O65" s="3"/>
      <c r="P65" s="3"/>
      <c r="Q65" s="3"/>
    </row>
    <row r="66" spans="1:17" x14ac:dyDescent="0.25">
      <c r="A66" s="3"/>
      <c r="B66" s="3"/>
      <c r="C66" s="3"/>
      <c r="D66" s="3"/>
      <c r="E66" s="3"/>
      <c r="F66" s="8"/>
      <c r="G66" s="8"/>
      <c r="H66" s="8"/>
      <c r="I66" s="8"/>
      <c r="J66" s="8"/>
      <c r="K66" s="8"/>
      <c r="L66" s="3"/>
      <c r="M66" s="3"/>
      <c r="N66" s="3"/>
      <c r="O66" s="3"/>
      <c r="P66" s="3"/>
      <c r="Q66" s="3"/>
    </row>
    <row r="67" spans="1:17" x14ac:dyDescent="0.25">
      <c r="A67" s="3"/>
      <c r="B67" s="3"/>
      <c r="C67" s="3"/>
      <c r="D67" s="3"/>
      <c r="E67" s="3"/>
      <c r="F67" s="8"/>
      <c r="G67" s="8"/>
      <c r="H67" s="8"/>
      <c r="I67" s="8"/>
      <c r="J67" s="8"/>
      <c r="K67" s="8"/>
      <c r="L67" s="3"/>
      <c r="M67" s="3"/>
      <c r="N67" s="3"/>
      <c r="O67" s="3"/>
      <c r="P67" s="3"/>
      <c r="Q67" s="3"/>
    </row>
  </sheetData>
  <mergeCells count="11">
    <mergeCell ref="H5:K5"/>
    <mergeCell ref="H6:K6"/>
    <mergeCell ref="A33:K33"/>
    <mergeCell ref="A1:Q1"/>
    <mergeCell ref="A2:Q2"/>
    <mergeCell ref="A5:A7"/>
    <mergeCell ref="Q5:Q7"/>
    <mergeCell ref="B5:E5"/>
    <mergeCell ref="B6:E6"/>
    <mergeCell ref="L5:O5"/>
    <mergeCell ref="L6:O6"/>
  </mergeCells>
  <pageMargins left="0.38" right="0.17" top="0.41" bottom="0.27" header="0.3" footer="0.17"/>
  <pageSetup paperSize="9" scale="95" orientation="landscape" r:id="rId1"/>
  <ignoredErrors>
    <ignoredError sqref="B10:G10 M10:P10 I10:K10"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9.2</vt:lpstr>
      <vt:lpstr>'9.2'!Print_Area</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2017-10-22T07:13:57Z</cp:lastPrinted>
  <dcterms:created xsi:type="dcterms:W3CDTF">2014-03-04T03:52:57Z</dcterms:created>
  <dcterms:modified xsi:type="dcterms:W3CDTF">2017-10-22T07:14:09Z</dcterms:modified>
</cp:coreProperties>
</file>