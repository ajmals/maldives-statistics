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Shahuda not checked\9. FISHERIES AND AGRICULTURE\"/>
    </mc:Choice>
  </mc:AlternateContent>
  <bookViews>
    <workbookView xWindow="0" yWindow="0" windowWidth="28800" windowHeight="12345" tabRatio="898"/>
  </bookViews>
  <sheets>
    <sheet name="9.14" sheetId="27" r:id="rId1"/>
  </sheets>
  <externalReferences>
    <externalReference r:id="rId2"/>
    <externalReference r:id="rId3"/>
  </externalReferences>
  <definedNames>
    <definedName name="_xlnm.Print_Area" localSheetId="0">'9.14'!$A$1:$G$49</definedName>
  </definedNames>
  <calcPr calcId="162913"/>
</workbook>
</file>

<file path=xl/calcChain.xml><?xml version="1.0" encoding="utf-8"?>
<calcChain xmlns="http://schemas.openxmlformats.org/spreadsheetml/2006/main">
  <c r="F6" i="27" l="1"/>
  <c r="E6" i="27" l="1"/>
  <c r="D6" i="27"/>
  <c r="C6" i="27"/>
  <c r="B6" i="27"/>
</calcChain>
</file>

<file path=xl/sharedStrings.xml><?xml version="1.0" encoding="utf-8"?>
<sst xmlns="http://schemas.openxmlformats.org/spreadsheetml/2006/main" count="54" uniqueCount="54">
  <si>
    <t>Total</t>
  </si>
  <si>
    <t>(ރުފިޔާއިން )</t>
  </si>
  <si>
    <t>(Value in MVR)</t>
  </si>
  <si>
    <t>Agricultural crops</t>
  </si>
  <si>
    <t>ޖުމްލަ</t>
  </si>
  <si>
    <t>Banana &amp; Plaintain (Fresh)</t>
  </si>
  <si>
    <t>ފަތްކެޔޮ</t>
  </si>
  <si>
    <t>ބީންސް</t>
  </si>
  <si>
    <t>ފާގަ</t>
  </si>
  <si>
    <t>ކަދޫ</t>
  </si>
  <si>
    <t>ބަނބުކެޔޮ</t>
  </si>
  <si>
    <t>Cabbage Lettuce, Fresh or Chilled</t>
  </si>
  <si>
    <t>ކެބެޖް ލެޓިއުސް</t>
  </si>
  <si>
    <t>ދަނޑިއަލުވި</t>
  </si>
  <si>
    <t>ގިތެޔޮމިރުސް</t>
  </si>
  <si>
    <t>ކިއުކަމްބަރ</t>
  </si>
  <si>
    <t>މުރަނގަތޮޅި</t>
  </si>
  <si>
    <t>ފޭރު</t>
  </si>
  <si>
    <t>Lettuce, Fresh Or Chilled, (Excl. Cabbage Lettuce)</t>
  </si>
  <si>
    <t>ލެޓިއުސް</t>
  </si>
  <si>
    <t>އަނބު</t>
  </si>
  <si>
    <t>Melons, Fresh, (Excl.Watermelons)</t>
  </si>
  <si>
    <t>މެލަން</t>
  </si>
  <si>
    <t>Papaws (Papayas), Fresh</t>
  </si>
  <si>
    <t>ފަޅޯ</t>
  </si>
  <si>
    <t>Passion Fruit (Fresh Or Dried )</t>
  </si>
  <si>
    <t>ފެޝަންފްރުޓް</t>
  </si>
  <si>
    <t>ބަރަބޯ</t>
  </si>
  <si>
    <t>ސަބްދެލި</t>
  </si>
  <si>
    <t>ޗިޗަންޑާ</t>
  </si>
  <si>
    <t>ކައްޓަލަ</t>
  </si>
  <si>
    <t>ކަރާ</t>
  </si>
  <si>
    <t>Source: Maldives Customs Service</t>
  </si>
  <si>
    <t xml:space="preserve"> cswsivrWs cscmwTcswk cscviDclOM :ctWrwf ivcaedutWmUluAwm</t>
  </si>
  <si>
    <t>Bottle Gourd ( Fresh Or Chilled )</t>
  </si>
  <si>
    <t>ދަނޑުވެރިކަމުގެ ބާވަތްތަށް</t>
  </si>
  <si>
    <t>Beans, Fresh or Chilled</t>
  </si>
  <si>
    <t>Bitter Gourd ( Fresh or Chilled )</t>
  </si>
  <si>
    <t>Bread Fruit ( Fresh or Chilled)</t>
  </si>
  <si>
    <t>Cabbage ( Fresh or Chilled )</t>
  </si>
  <si>
    <t>ބޮނޑި ކޮޕީ</t>
  </si>
  <si>
    <t>Cassava &amp; Manioc ( Fresh , Chilled or Frozen )</t>
  </si>
  <si>
    <t>Chillies( Fresh or Chilled )</t>
  </si>
  <si>
    <t>Cucumber ( Fresh or Chilled )</t>
  </si>
  <si>
    <t>Drumstick ( Fresh or Chilled )</t>
  </si>
  <si>
    <t>Guava ( Fresh or Dried )</t>
  </si>
  <si>
    <t>Mango ( Fresh or Dried )</t>
  </si>
  <si>
    <t>Pumpkin ( Fresh or Chilled)</t>
  </si>
  <si>
    <t>Sapodila ( Fresh )</t>
  </si>
  <si>
    <t>Snake Gourd ( Fresh or Chilled )</t>
  </si>
  <si>
    <t>Sweet Potato ( Fresh , Chilled or Frozen )</t>
  </si>
  <si>
    <t>Watermelons, (Fresh)</t>
  </si>
  <si>
    <t>Table 9.14:  IMPORTS OF FRESH AGRICULTURAL CROPS MAINLY PRODUCED IN MALDIVES FROM, 2012 - 2016</t>
  </si>
  <si>
    <t>2016 - 2012 ,cawtctwvWb egumwkirevuDnwd Wdcawh cSokumcaWa iawgEjcaWr cniaeret egukwtctwvWb unuveruk cTrOpcmia cSwaejcaWr  : 9.14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</si>
</sst>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[$-409]mmmm\ d\,\ yyyy;@"/>
    <numFmt numFmtId="165" formatCode="General_)"/>
    <numFmt numFmtId="170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MS Sans Serif"/>
      <family val="2"/>
    </font>
    <font>
      <sz val="10"/>
      <name val="Calibri"/>
      <family val="2"/>
    </font>
    <font>
      <sz val="10"/>
      <name val="Calibri"/>
      <family val="2"/>
      <scheme val="minor"/>
    </font>
    <font>
      <i/>
      <sz val="9"/>
      <name val="Calibri"/>
      <family val="2"/>
    </font>
    <font>
      <sz val="9"/>
      <name val="A_Randhoo"/>
    </font>
    <font>
      <b/>
      <sz val="11"/>
      <name val="A_Randhoo"/>
    </font>
    <font>
      <i/>
      <sz val="9"/>
      <name val="Arial"/>
      <family val="2"/>
    </font>
    <font>
      <sz val="11"/>
      <color indexed="8"/>
      <name val="Calibri"/>
      <family val="2"/>
    </font>
    <font>
      <b/>
      <sz val="11"/>
      <color indexed="8"/>
      <name val="Faruma"/>
    </font>
    <font>
      <b/>
      <sz val="9"/>
      <color indexed="8"/>
      <name val="Calibri"/>
      <family val="2"/>
    </font>
    <font>
      <b/>
      <sz val="10"/>
      <color indexed="8"/>
      <name val="Faruma"/>
    </font>
    <font>
      <b/>
      <sz val="11"/>
      <color indexed="8"/>
      <name val="Calibri"/>
      <family val="2"/>
    </font>
    <font>
      <sz val="11"/>
      <color indexed="8"/>
      <name val="Faruma"/>
    </font>
    <font>
      <sz val="9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0" fontId="4" fillId="0" borderId="0" applyFont="0" applyFill="0" applyBorder="0" applyAlignment="0" applyProtection="0"/>
    <xf numFmtId="164" fontId="2" fillId="0" borderId="0"/>
    <xf numFmtId="164" fontId="2" fillId="0" borderId="0"/>
    <xf numFmtId="165" fontId="2" fillId="0" borderId="0"/>
    <xf numFmtId="0" fontId="2" fillId="0" borderId="0"/>
    <xf numFmtId="0" fontId="3" fillId="0" borderId="0"/>
    <xf numFmtId="0" fontId="11" fillId="0" borderId="0"/>
    <xf numFmtId="0" fontId="3" fillId="0" borderId="0"/>
  </cellStyleXfs>
  <cellXfs count="44">
    <xf numFmtId="0" fontId="0" fillId="0" borderId="0" xfId="0"/>
    <xf numFmtId="165" fontId="0" fillId="2" borderId="0" xfId="0" applyNumberFormat="1" applyFill="1"/>
    <xf numFmtId="165" fontId="11" fillId="2" borderId="2" xfId="8" applyNumberFormat="1" applyFill="1" applyBorder="1"/>
    <xf numFmtId="165" fontId="11" fillId="2" borderId="2" xfId="8" applyNumberFormat="1" applyFont="1" applyFill="1" applyBorder="1"/>
    <xf numFmtId="165" fontId="2" fillId="2" borderId="2" xfId="8" applyNumberFormat="1" applyFont="1" applyFill="1" applyBorder="1"/>
    <xf numFmtId="165" fontId="10" fillId="2" borderId="9" xfId="5" applyFont="1" applyFill="1" applyBorder="1" applyAlignment="1" applyProtection="1">
      <alignment horizontal="left" vertical="center"/>
    </xf>
    <xf numFmtId="2" fontId="14" fillId="2" borderId="0" xfId="8" applyNumberFormat="1" applyFont="1" applyFill="1" applyBorder="1" applyAlignment="1">
      <alignment horizontal="right" vertical="center"/>
    </xf>
    <xf numFmtId="165" fontId="11" fillId="2" borderId="0" xfId="8" applyNumberFormat="1" applyFill="1" applyBorder="1"/>
    <xf numFmtId="165" fontId="11" fillId="2" borderId="9" xfId="8" applyNumberFormat="1" applyFill="1" applyBorder="1"/>
    <xf numFmtId="0" fontId="17" fillId="2" borderId="6" xfId="8" applyNumberFormat="1" applyFont="1" applyFill="1" applyBorder="1" applyAlignment="1">
      <alignment horizontal="left" vertical="center" indent="1"/>
    </xf>
    <xf numFmtId="165" fontId="7" fillId="2" borderId="9" xfId="5" applyFont="1" applyFill="1" applyBorder="1" applyAlignment="1" applyProtection="1">
      <alignment horizontal="left" vertical="center"/>
    </xf>
    <xf numFmtId="165" fontId="8" fillId="2" borderId="9" xfId="5" applyFont="1" applyFill="1" applyBorder="1" applyAlignment="1">
      <alignment horizontal="left" vertical="center" indent="1"/>
    </xf>
    <xf numFmtId="165" fontId="11" fillId="2" borderId="3" xfId="8" applyNumberFormat="1" applyFont="1" applyFill="1" applyBorder="1"/>
    <xf numFmtId="2" fontId="15" fillId="2" borderId="13" xfId="8" applyNumberFormat="1" applyFont="1" applyFill="1" applyBorder="1" applyAlignment="1">
      <alignment horizontal="left" vertical="center"/>
    </xf>
    <xf numFmtId="0" fontId="15" fillId="2" borderId="13" xfId="2" applyNumberFormat="1" applyFont="1" applyFill="1" applyBorder="1" applyAlignment="1">
      <alignment horizontal="right" vertical="center"/>
    </xf>
    <xf numFmtId="2" fontId="15" fillId="2" borderId="0" xfId="8" applyNumberFormat="1" applyFont="1" applyFill="1" applyBorder="1" applyAlignment="1">
      <alignment horizontal="left" vertical="center"/>
    </xf>
    <xf numFmtId="38" fontId="15" fillId="2" borderId="10" xfId="2" applyNumberFormat="1" applyFont="1" applyFill="1" applyBorder="1" applyAlignment="1">
      <alignment horizontal="right" vertical="center"/>
    </xf>
    <xf numFmtId="1" fontId="6" fillId="2" borderId="0" xfId="0" applyNumberFormat="1" applyFont="1" applyFill="1" applyBorder="1" applyAlignment="1">
      <alignment horizontal="left" vertical="center" indent="1"/>
    </xf>
    <xf numFmtId="38" fontId="5" fillId="2" borderId="0" xfId="2" applyNumberFormat="1" applyFont="1" applyFill="1" applyBorder="1" applyAlignment="1">
      <alignment horizontal="right" vertical="center"/>
    </xf>
    <xf numFmtId="0" fontId="17" fillId="2" borderId="9" xfId="8" applyNumberFormat="1" applyFont="1" applyFill="1" applyBorder="1" applyAlignment="1">
      <alignment horizontal="left" vertical="center" indent="1"/>
    </xf>
    <xf numFmtId="0" fontId="17" fillId="2" borderId="2" xfId="8" applyNumberFormat="1" applyFont="1" applyFill="1" applyBorder="1" applyAlignment="1">
      <alignment horizontal="left" vertical="center" indent="1"/>
    </xf>
    <xf numFmtId="0" fontId="17" fillId="2" borderId="14" xfId="8" applyNumberFormat="1" applyFont="1" applyFill="1" applyBorder="1" applyAlignment="1">
      <alignment horizontal="left" vertical="center" indent="1"/>
    </xf>
    <xf numFmtId="38" fontId="5" fillId="2" borderId="1" xfId="2" applyNumberFormat="1" applyFont="1" applyFill="1" applyBorder="1" applyAlignment="1">
      <alignment horizontal="right" vertical="center"/>
    </xf>
    <xf numFmtId="0" fontId="9" fillId="2" borderId="6" xfId="7" applyFont="1" applyFill="1" applyBorder="1" applyAlignment="1">
      <alignment horizontal="center" vertical="center"/>
    </xf>
    <xf numFmtId="0" fontId="9" fillId="2" borderId="11" xfId="7" applyFont="1" applyFill="1" applyBorder="1" applyAlignment="1">
      <alignment horizontal="center" vertical="center"/>
    </xf>
    <xf numFmtId="0" fontId="9" fillId="2" borderId="5" xfId="7" applyFont="1" applyFill="1" applyBorder="1" applyAlignment="1">
      <alignment horizontal="center" vertical="center"/>
    </xf>
    <xf numFmtId="0" fontId="15" fillId="2" borderId="6" xfId="8" applyNumberFormat="1" applyFont="1" applyFill="1" applyBorder="1" applyAlignment="1">
      <alignment horizontal="center" vertical="center"/>
    </xf>
    <xf numFmtId="0" fontId="15" fillId="2" borderId="11" xfId="8" applyNumberFormat="1" applyFont="1" applyFill="1" applyBorder="1" applyAlignment="1">
      <alignment horizontal="center" vertical="center"/>
    </xf>
    <xf numFmtId="0" fontId="15" fillId="2" borderId="5" xfId="8" applyNumberFormat="1" applyFont="1" applyFill="1" applyBorder="1" applyAlignment="1">
      <alignment horizontal="center" vertical="center"/>
    </xf>
    <xf numFmtId="0" fontId="12" fillId="2" borderId="6" xfId="8" applyNumberFormat="1" applyFont="1" applyFill="1" applyBorder="1" applyAlignment="1">
      <alignment horizontal="center" vertical="center"/>
    </xf>
    <xf numFmtId="0" fontId="12" fillId="2" borderId="11" xfId="8" applyNumberFormat="1" applyFont="1" applyFill="1" applyBorder="1" applyAlignment="1">
      <alignment horizontal="center" vertical="center"/>
    </xf>
    <xf numFmtId="0" fontId="12" fillId="2" borderId="5" xfId="8" applyNumberFormat="1" applyFont="1" applyFill="1" applyBorder="1" applyAlignment="1">
      <alignment horizontal="center" vertical="center"/>
    </xf>
    <xf numFmtId="0" fontId="13" fillId="2" borderId="7" xfId="8" applyNumberFormat="1" applyFont="1" applyFill="1" applyBorder="1" applyAlignment="1">
      <alignment horizontal="center" vertical="center"/>
    </xf>
    <xf numFmtId="0" fontId="13" fillId="2" borderId="12" xfId="8" applyNumberFormat="1" applyFont="1" applyFill="1" applyBorder="1" applyAlignment="1">
      <alignment horizontal="center" vertical="center"/>
    </xf>
    <xf numFmtId="0" fontId="13" fillId="2" borderId="8" xfId="8" applyNumberFormat="1" applyFont="1" applyFill="1" applyBorder="1" applyAlignment="1">
      <alignment horizontal="center" vertical="center"/>
    </xf>
    <xf numFmtId="2" fontId="14" fillId="2" borderId="16" xfId="8" applyNumberFormat="1" applyFont="1" applyFill="1" applyBorder="1" applyAlignment="1">
      <alignment horizontal="right" vertical="center"/>
    </xf>
    <xf numFmtId="0" fontId="16" fillId="2" borderId="15" xfId="8" applyNumberFormat="1" applyFont="1" applyFill="1" applyBorder="1" applyAlignment="1">
      <alignment horizontal="right" vertical="center" indent="1"/>
    </xf>
    <xf numFmtId="0" fontId="16" fillId="2" borderId="11" xfId="8" applyNumberFormat="1" applyFont="1" applyFill="1" applyBorder="1" applyAlignment="1">
      <alignment horizontal="right" vertical="center" indent="1"/>
    </xf>
    <xf numFmtId="0" fontId="16" fillId="2" borderId="12" xfId="8" applyNumberFormat="1" applyFont="1" applyFill="1" applyBorder="1" applyAlignment="1">
      <alignment horizontal="right" vertical="center" indent="1"/>
    </xf>
    <xf numFmtId="165" fontId="8" fillId="2" borderId="4" xfId="5" applyFont="1" applyFill="1" applyBorder="1" applyAlignment="1">
      <alignment horizontal="right" vertical="center" indent="1"/>
    </xf>
    <xf numFmtId="165" fontId="2" fillId="2" borderId="6" xfId="8" applyNumberFormat="1" applyFont="1" applyFill="1" applyBorder="1"/>
    <xf numFmtId="165" fontId="11" fillId="2" borderId="0" xfId="8" applyNumberFormat="1" applyFont="1" applyFill="1" applyBorder="1"/>
    <xf numFmtId="165" fontId="0" fillId="2" borderId="0" xfId="0" applyNumberFormat="1" applyFill="1" applyBorder="1"/>
    <xf numFmtId="170" fontId="0" fillId="2" borderId="0" xfId="1" applyNumberFormat="1" applyFont="1" applyFill="1" applyBorder="1"/>
  </cellXfs>
  <cellStyles count="10">
    <cellStyle name="1" xfId="9"/>
    <cellStyle name="Comma" xfId="1" builtinId="3"/>
    <cellStyle name="Comma 2" xfId="2"/>
    <cellStyle name="Normal" xfId="0" builtinId="0"/>
    <cellStyle name="Normal 2" xfId="6"/>
    <cellStyle name="Normal 3_agri planning 2009 year book(final)" xfId="4"/>
    <cellStyle name="Normal 4_agri planning 2009 year book(final)" xfId="3"/>
    <cellStyle name="Normal_agri planning 2009 year book(final)" xfId="8"/>
    <cellStyle name="Normal_Fish &amp;  Agri - 8" xfId="5"/>
    <cellStyle name="Normal_mmifco" xfId="7"/>
  </cellStyles>
  <dxfs count="0"/>
  <tableStyles count="0" defaultTableStyle="TableStyleMedium9" defaultPivotStyle="PivotStyleLight16"/>
  <colors>
    <mruColors>
      <color rgb="FFFF9900"/>
      <color rgb="FF009900"/>
      <color rgb="FF33CCCC"/>
      <color rgb="FF1C706E"/>
      <color rgb="FF81E1DF"/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83688815168628"/>
          <c:y val="0.18298716597433196"/>
          <c:w val="0.84649662682275595"/>
          <c:h val="0.71617445457113138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FFC000"/>
            </a:solidFill>
          </c:spPr>
          <c:invertIfNegative val="0"/>
          <c:cat>
            <c:numRef>
              <c:f>'9.14'!$B$5:$F$5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'9.14'!$B$6:$F$6</c:f>
              <c:numCache>
                <c:formatCode>#,##0_);[Red]\(#,##0\)</c:formatCode>
                <c:ptCount val="5"/>
                <c:pt idx="0">
                  <c:v>240437873.07000005</c:v>
                </c:pt>
                <c:pt idx="1">
                  <c:v>276241360.56999999</c:v>
                </c:pt>
                <c:pt idx="2">
                  <c:v>302002607.58999997</c:v>
                </c:pt>
                <c:pt idx="3">
                  <c:v>330503715.94</c:v>
                </c:pt>
                <c:pt idx="4">
                  <c:v>356030840.86999995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08-4B58-B2E3-DB7F8ABA6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2"/>
        <c:axId val="122804864"/>
        <c:axId val="123797888"/>
      </c:barChart>
      <c:catAx>
        <c:axId val="12280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 sz="1050"/>
            </a:pPr>
            <a:endParaRPr lang="en-US"/>
          </a:p>
        </c:txPr>
        <c:crossAx val="123797888"/>
        <c:crosses val="autoZero"/>
        <c:auto val="0"/>
        <c:lblAlgn val="ctr"/>
        <c:lblOffset val="100"/>
        <c:tickLblSkip val="1"/>
        <c:noMultiLvlLbl val="0"/>
      </c:catAx>
      <c:valAx>
        <c:axId val="123797888"/>
        <c:scaling>
          <c:orientation val="minMax"/>
          <c:max val="40000000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 MVR</a:t>
                </a:r>
              </a:p>
            </c:rich>
          </c:tx>
          <c:layout>
            <c:manualLayout>
              <c:xMode val="edge"/>
              <c:yMode val="edge"/>
              <c:x val="0"/>
              <c:y val="0.3796795137449929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22804864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 orientation="landscape" horizontalDpi="1200" verticalDpi="12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289560</xdr:colOff>
      <xdr:row>29</xdr:row>
      <xdr:rowOff>100965</xdr:rowOff>
    </xdr:from>
    <xdr:to>
      <xdr:col>6</xdr:col>
      <xdr:colOff>1095375</xdr:colOff>
      <xdr:row>47</xdr:row>
      <xdr:rowOff>85725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1028699</xdr:colOff>
      <xdr:row>31</xdr:row>
      <xdr:rowOff>38100</xdr:rowOff>
    </xdr:from>
    <xdr:to>
      <xdr:col>6</xdr:col>
      <xdr:colOff>838199</xdr:colOff>
      <xdr:row>31</xdr:row>
      <xdr:rowOff>47625</xdr:rowOff>
    </xdr:to>
    <xdr:sp macro="" textlink="">
      <xdr:nvSpPr>
        <xdr:cNvPr id="3" name="Line 4"/>
        <xdr:cNvSpPr>
          <a:spLocks noChangeShapeType="1"/>
        </xdr:cNvSpPr>
      </xdr:nvSpPr>
      <xdr:spPr bwMode="auto">
        <a:xfrm>
          <a:off x="1028699" y="7829550"/>
          <a:ext cx="7134225" cy="9525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0.08562</cdr:x>
      <cdr:y>0.03084</cdr:y>
    </cdr:from>
    <cdr:to>
      <cdr:x>0.98423</cdr:x>
      <cdr:y>0.12927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72465" y="89535"/>
          <a:ext cx="7058025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9.7: Imports of fresh agricultural crops mainly produced in Maldives,  2007 - 2016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FISHERIES%20AND%20AGRICULTURE%20_%20Min%20of%20Fisheries%202017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Documents\Agri_SYB%202017%20_%20for%20Recheck%20_4%20O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17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69589.480938961424</v>
          </cell>
          <cell r="E9">
            <v>53705.451966178975</v>
          </cell>
          <cell r="F9">
            <v>2480.0423404201256</v>
          </cell>
          <cell r="G9">
            <v>15.290000000000001</v>
          </cell>
          <cell r="H9">
            <v>11.453572517147915</v>
          </cell>
          <cell r="I9">
            <v>29.990173019499927</v>
          </cell>
          <cell r="J9">
            <v>143.18209877120293</v>
          </cell>
          <cell r="K9">
            <v>3216.1040166838452</v>
          </cell>
        </row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8"/>
      <sheetName val="9.19"/>
      <sheetName val="9.20"/>
    </sheetNames>
    <sheetDataSet>
      <sheetData sheetId="0">
        <row r="6">
          <cell r="F6">
            <v>2012</v>
          </cell>
          <cell r="G6">
            <v>2013</v>
          </cell>
          <cell r="H6">
            <v>2014</v>
          </cell>
        </row>
        <row r="8">
          <cell r="A8" t="str">
            <v>January</v>
          </cell>
          <cell r="F8">
            <v>13736.8205</v>
          </cell>
          <cell r="G8">
            <v>5494.0505000000003</v>
          </cell>
          <cell r="H8">
            <v>3075.7</v>
          </cell>
        </row>
        <row r="9">
          <cell r="A9" t="str">
            <v>February</v>
          </cell>
          <cell r="F9">
            <v>13129.5085</v>
          </cell>
          <cell r="G9">
            <v>6652.4795000000004</v>
          </cell>
          <cell r="H9">
            <v>2827.83</v>
          </cell>
        </row>
        <row r="10">
          <cell r="A10" t="str">
            <v>March</v>
          </cell>
          <cell r="F10">
            <v>10113.8855</v>
          </cell>
          <cell r="G10">
            <v>2169.9749999999999</v>
          </cell>
          <cell r="H10">
            <v>4973.7240000000002</v>
          </cell>
        </row>
        <row r="11">
          <cell r="A11" t="str">
            <v>April</v>
          </cell>
          <cell r="F11">
            <v>8310.6272499999995</v>
          </cell>
          <cell r="G11">
            <v>4903.4449999999997</v>
          </cell>
          <cell r="H11">
            <v>3393.68</v>
          </cell>
        </row>
        <row r="12">
          <cell r="A12" t="str">
            <v>May</v>
          </cell>
          <cell r="F12">
            <v>9784.75</v>
          </cell>
          <cell r="G12">
            <v>1682.45</v>
          </cell>
          <cell r="H12">
            <v>1162.385</v>
          </cell>
        </row>
        <row r="13">
          <cell r="A13" t="str">
            <v>June</v>
          </cell>
          <cell r="F13" t="str">
            <v>-</v>
          </cell>
          <cell r="G13">
            <v>629.17499999999995</v>
          </cell>
          <cell r="H13">
            <v>135.19999999999999</v>
          </cell>
        </row>
        <row r="14">
          <cell r="A14" t="str">
            <v>July</v>
          </cell>
          <cell r="F14">
            <v>7576.585</v>
          </cell>
          <cell r="G14" t="str">
            <v>-</v>
          </cell>
          <cell r="H14">
            <v>10021.85</v>
          </cell>
        </row>
        <row r="15">
          <cell r="A15" t="str">
            <v>August</v>
          </cell>
          <cell r="F15">
            <v>4974.5874999999996</v>
          </cell>
          <cell r="G15" t="str">
            <v>-</v>
          </cell>
          <cell r="H15">
            <v>921.5</v>
          </cell>
        </row>
        <row r="16">
          <cell r="A16" t="str">
            <v>September</v>
          </cell>
          <cell r="F16" t="str">
            <v>-</v>
          </cell>
          <cell r="G16">
            <v>7582.9790000000003</v>
          </cell>
          <cell r="H16">
            <v>1818.71</v>
          </cell>
        </row>
        <row r="17">
          <cell r="A17" t="str">
            <v>October</v>
          </cell>
          <cell r="F17">
            <v>3558.34175</v>
          </cell>
          <cell r="G17">
            <v>3918.48</v>
          </cell>
          <cell r="H17">
            <v>1463.45</v>
          </cell>
        </row>
        <row r="18">
          <cell r="A18" t="str">
            <v>November</v>
          </cell>
          <cell r="F18">
            <v>9511.2639999999992</v>
          </cell>
          <cell r="G18">
            <v>386.66500000000002</v>
          </cell>
          <cell r="H18">
            <v>2034.43</v>
          </cell>
        </row>
        <row r="19">
          <cell r="A19" t="str">
            <v>December</v>
          </cell>
          <cell r="F19">
            <v>8162.64</v>
          </cell>
          <cell r="G19">
            <v>1173.1075000000001</v>
          </cell>
          <cell r="H19">
            <v>1197.5820000000001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R30"/>
  <sheetViews>
    <sheetView tabSelected="1" zoomScaleNormal="100" workbookViewId="0">
      <selection activeCell="P18" sqref="P18"/>
    </sheetView>
  </sheetViews>
  <sheetFormatPr defaultColWidth="8.85546875" defaultRowHeight="15" x14ac:dyDescent="0.25"/>
  <cols>
    <col min="1" max="1" width="39.85546875" style="1" customWidth="1"/>
    <col min="2" max="6" width="14" style="1" customWidth="1"/>
    <col min="7" max="7" width="20.7109375" style="1" customWidth="1"/>
    <col min="8" max="10" width="8.85546875" style="42"/>
    <col min="11" max="11" width="11.5703125" style="42" bestFit="1" customWidth="1"/>
    <col min="12" max="22" width="8.85546875" style="42"/>
    <col min="23" max="28" width="13.28515625" style="42" customWidth="1"/>
    <col min="29" max="29" width="12.85546875" style="42" customWidth="1"/>
    <col min="30" max="434" width="8.85546875" style="42"/>
    <col min="435" max="16384" width="8.85546875" style="1"/>
  </cols>
  <sheetData>
    <row r="1" spans="1:434" s="2" customFormat="1" ht="18" x14ac:dyDescent="0.25">
      <c r="A1" s="23" t="s">
        <v>53</v>
      </c>
      <c r="B1" s="24"/>
      <c r="C1" s="24"/>
      <c r="D1" s="24"/>
      <c r="E1" s="24"/>
      <c r="F1" s="24"/>
      <c r="G1" s="25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</row>
    <row r="2" spans="1:434" s="3" customFormat="1" x14ac:dyDescent="0.25">
      <c r="A2" s="26" t="s">
        <v>52</v>
      </c>
      <c r="B2" s="27"/>
      <c r="C2" s="27"/>
      <c r="D2" s="27"/>
      <c r="E2" s="27"/>
      <c r="F2" s="27"/>
      <c r="G2" s="28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  <c r="DE2" s="41"/>
      <c r="DF2" s="41"/>
      <c r="DG2" s="41"/>
      <c r="DH2" s="41"/>
      <c r="DI2" s="41"/>
      <c r="DJ2" s="41"/>
      <c r="DK2" s="41"/>
      <c r="DL2" s="41"/>
      <c r="DM2" s="41"/>
      <c r="DN2" s="41"/>
      <c r="DO2" s="41"/>
      <c r="DP2" s="41"/>
      <c r="DQ2" s="41"/>
      <c r="DR2" s="41"/>
      <c r="DS2" s="41"/>
      <c r="DT2" s="41"/>
      <c r="DU2" s="41"/>
      <c r="DV2" s="41"/>
      <c r="DW2" s="41"/>
      <c r="DX2" s="41"/>
      <c r="DY2" s="41"/>
      <c r="DZ2" s="41"/>
      <c r="EA2" s="41"/>
      <c r="EB2" s="41"/>
      <c r="EC2" s="41"/>
      <c r="ED2" s="41"/>
      <c r="EE2" s="41"/>
      <c r="EF2" s="41"/>
      <c r="EG2" s="41"/>
      <c r="EH2" s="41"/>
      <c r="EI2" s="41"/>
      <c r="EJ2" s="41"/>
      <c r="EK2" s="41"/>
      <c r="EL2" s="41"/>
      <c r="EM2" s="41"/>
      <c r="EN2" s="41"/>
      <c r="EO2" s="41"/>
      <c r="EP2" s="41"/>
      <c r="EQ2" s="41"/>
      <c r="ER2" s="41"/>
      <c r="ES2" s="41"/>
      <c r="ET2" s="41"/>
      <c r="EU2" s="41"/>
      <c r="EV2" s="41"/>
      <c r="EW2" s="41"/>
      <c r="EX2" s="41"/>
      <c r="EY2" s="41"/>
      <c r="EZ2" s="41"/>
      <c r="FA2" s="41"/>
      <c r="FB2" s="41"/>
      <c r="FC2" s="41"/>
      <c r="FD2" s="41"/>
      <c r="FE2" s="41"/>
      <c r="FF2" s="41"/>
      <c r="FG2" s="41"/>
      <c r="FH2" s="41"/>
      <c r="FI2" s="41"/>
      <c r="FJ2" s="41"/>
      <c r="FK2" s="41"/>
      <c r="FL2" s="41"/>
      <c r="FM2" s="41"/>
      <c r="FN2" s="41"/>
      <c r="FO2" s="41"/>
      <c r="FP2" s="41"/>
      <c r="FQ2" s="41"/>
      <c r="FR2" s="41"/>
      <c r="FS2" s="41"/>
      <c r="FT2" s="41"/>
      <c r="FU2" s="41"/>
      <c r="FV2" s="41"/>
      <c r="FW2" s="41"/>
      <c r="FX2" s="41"/>
      <c r="FY2" s="41"/>
      <c r="FZ2" s="41"/>
      <c r="GA2" s="41"/>
      <c r="GB2" s="41"/>
      <c r="GC2" s="41"/>
      <c r="GD2" s="41"/>
      <c r="GE2" s="41"/>
      <c r="GF2" s="41"/>
      <c r="GG2" s="41"/>
      <c r="GH2" s="41"/>
      <c r="GI2" s="41"/>
      <c r="GJ2" s="41"/>
      <c r="GK2" s="41"/>
      <c r="GL2" s="41"/>
      <c r="GM2" s="41"/>
      <c r="GN2" s="41"/>
      <c r="GO2" s="41"/>
      <c r="GP2" s="41"/>
      <c r="GQ2" s="41"/>
      <c r="GR2" s="41"/>
      <c r="GS2" s="41"/>
      <c r="GT2" s="41"/>
      <c r="GU2" s="41"/>
      <c r="GV2" s="41"/>
      <c r="GW2" s="41"/>
      <c r="GX2" s="41"/>
      <c r="GY2" s="41"/>
      <c r="GZ2" s="41"/>
      <c r="HA2" s="41"/>
      <c r="HB2" s="41"/>
      <c r="HC2" s="41"/>
      <c r="HD2" s="41"/>
      <c r="HE2" s="41"/>
      <c r="HF2" s="41"/>
      <c r="HG2" s="41"/>
      <c r="HH2" s="41"/>
      <c r="HI2" s="41"/>
      <c r="HJ2" s="41"/>
      <c r="HK2" s="41"/>
      <c r="HL2" s="41"/>
      <c r="HM2" s="41"/>
      <c r="HN2" s="41"/>
      <c r="HO2" s="41"/>
      <c r="HP2" s="41"/>
      <c r="HQ2" s="41"/>
      <c r="HR2" s="41"/>
      <c r="HS2" s="41"/>
      <c r="HT2" s="41"/>
      <c r="HU2" s="41"/>
      <c r="HV2" s="41"/>
      <c r="HW2" s="41"/>
      <c r="HX2" s="41"/>
      <c r="HY2" s="41"/>
      <c r="HZ2" s="41"/>
      <c r="IA2" s="41"/>
      <c r="IB2" s="41"/>
      <c r="IC2" s="41"/>
      <c r="ID2" s="41"/>
      <c r="IE2" s="41"/>
      <c r="IF2" s="41"/>
      <c r="IG2" s="41"/>
      <c r="IH2" s="41"/>
      <c r="II2" s="41"/>
      <c r="IJ2" s="41"/>
      <c r="IK2" s="41"/>
      <c r="IL2" s="41"/>
      <c r="IM2" s="41"/>
      <c r="IN2" s="41"/>
      <c r="IO2" s="41"/>
      <c r="IP2" s="41"/>
      <c r="IQ2" s="41"/>
      <c r="IR2" s="41"/>
      <c r="IS2" s="41"/>
      <c r="IT2" s="41"/>
      <c r="IU2" s="41"/>
      <c r="IV2" s="41"/>
      <c r="IW2" s="41"/>
      <c r="IX2" s="41"/>
      <c r="IY2" s="41"/>
      <c r="IZ2" s="41"/>
      <c r="JA2" s="41"/>
      <c r="JB2" s="41"/>
      <c r="JC2" s="41"/>
      <c r="JD2" s="41"/>
      <c r="JE2" s="41"/>
      <c r="JF2" s="41"/>
      <c r="JG2" s="41"/>
      <c r="JH2" s="41"/>
      <c r="JI2" s="41"/>
      <c r="JJ2" s="41"/>
      <c r="JK2" s="41"/>
      <c r="JL2" s="41"/>
      <c r="JM2" s="41"/>
      <c r="JN2" s="41"/>
      <c r="JO2" s="41"/>
      <c r="JP2" s="41"/>
      <c r="JQ2" s="41"/>
      <c r="JR2" s="41"/>
      <c r="JS2" s="41"/>
      <c r="JT2" s="41"/>
      <c r="JU2" s="41"/>
      <c r="JV2" s="41"/>
      <c r="JW2" s="41"/>
      <c r="JX2" s="41"/>
      <c r="JY2" s="41"/>
      <c r="JZ2" s="41"/>
      <c r="KA2" s="41"/>
      <c r="KB2" s="41"/>
      <c r="KC2" s="41"/>
      <c r="KD2" s="41"/>
      <c r="KE2" s="41"/>
      <c r="KF2" s="41"/>
      <c r="KG2" s="41"/>
      <c r="KH2" s="41"/>
      <c r="KI2" s="41"/>
      <c r="KJ2" s="41"/>
      <c r="KK2" s="41"/>
      <c r="KL2" s="41"/>
      <c r="KM2" s="41"/>
      <c r="KN2" s="41"/>
      <c r="KO2" s="41"/>
      <c r="KP2" s="41"/>
      <c r="KQ2" s="41"/>
      <c r="KR2" s="41"/>
      <c r="KS2" s="41"/>
      <c r="KT2" s="41"/>
      <c r="KU2" s="41"/>
      <c r="KV2" s="41"/>
      <c r="KW2" s="41"/>
      <c r="KX2" s="41"/>
      <c r="KY2" s="41"/>
      <c r="KZ2" s="41"/>
      <c r="LA2" s="41"/>
      <c r="LB2" s="41"/>
      <c r="LC2" s="41"/>
      <c r="LD2" s="41"/>
      <c r="LE2" s="41"/>
      <c r="LF2" s="41"/>
      <c r="LG2" s="41"/>
      <c r="LH2" s="41"/>
      <c r="LI2" s="41"/>
      <c r="LJ2" s="41"/>
      <c r="LK2" s="41"/>
      <c r="LL2" s="41"/>
      <c r="LM2" s="41"/>
      <c r="LN2" s="41"/>
      <c r="LO2" s="41"/>
      <c r="LP2" s="41"/>
      <c r="LQ2" s="41"/>
      <c r="LR2" s="41"/>
      <c r="LS2" s="41"/>
      <c r="LT2" s="41"/>
      <c r="LU2" s="41"/>
      <c r="LV2" s="41"/>
      <c r="LW2" s="41"/>
      <c r="LX2" s="41"/>
      <c r="LY2" s="41"/>
      <c r="LZ2" s="41"/>
      <c r="MA2" s="41"/>
      <c r="MB2" s="41"/>
      <c r="MC2" s="41"/>
      <c r="MD2" s="41"/>
      <c r="ME2" s="41"/>
      <c r="MF2" s="41"/>
      <c r="MG2" s="41"/>
      <c r="MH2" s="41"/>
      <c r="MI2" s="41"/>
      <c r="MJ2" s="41"/>
      <c r="MK2" s="41"/>
      <c r="ML2" s="41"/>
      <c r="MM2" s="41"/>
      <c r="MN2" s="41"/>
      <c r="MO2" s="41"/>
      <c r="MP2" s="41"/>
      <c r="MQ2" s="41"/>
      <c r="MR2" s="41"/>
      <c r="MS2" s="41"/>
      <c r="MT2" s="41"/>
      <c r="MU2" s="41"/>
      <c r="MV2" s="41"/>
      <c r="MW2" s="41"/>
      <c r="MX2" s="41"/>
      <c r="MY2" s="41"/>
      <c r="MZ2" s="41"/>
      <c r="NA2" s="41"/>
      <c r="NB2" s="41"/>
      <c r="NC2" s="41"/>
      <c r="ND2" s="41"/>
      <c r="NE2" s="41"/>
      <c r="NF2" s="41"/>
      <c r="NG2" s="41"/>
      <c r="NH2" s="41"/>
      <c r="NI2" s="41"/>
      <c r="NJ2" s="41"/>
      <c r="NK2" s="41"/>
      <c r="NL2" s="41"/>
      <c r="NM2" s="41"/>
      <c r="NN2" s="41"/>
      <c r="NO2" s="41"/>
      <c r="NP2" s="41"/>
      <c r="NQ2" s="41"/>
      <c r="NR2" s="41"/>
      <c r="NS2" s="41"/>
      <c r="NT2" s="41"/>
      <c r="NU2" s="41"/>
      <c r="NV2" s="41"/>
      <c r="NW2" s="41"/>
      <c r="NX2" s="41"/>
      <c r="NY2" s="41"/>
      <c r="NZ2" s="41"/>
      <c r="OA2" s="41"/>
      <c r="OB2" s="41"/>
      <c r="OC2" s="41"/>
      <c r="OD2" s="41"/>
      <c r="OE2" s="41"/>
      <c r="OF2" s="41"/>
      <c r="OG2" s="41"/>
      <c r="OH2" s="41"/>
      <c r="OI2" s="41"/>
      <c r="OJ2" s="41"/>
      <c r="OK2" s="41"/>
      <c r="OL2" s="41"/>
      <c r="OM2" s="41"/>
      <c r="ON2" s="41"/>
      <c r="OO2" s="41"/>
      <c r="OP2" s="41"/>
      <c r="OQ2" s="41"/>
      <c r="OR2" s="41"/>
      <c r="OS2" s="41"/>
      <c r="OT2" s="41"/>
      <c r="OU2" s="41"/>
      <c r="OV2" s="41"/>
      <c r="OW2" s="41"/>
      <c r="OX2" s="41"/>
      <c r="OY2" s="41"/>
      <c r="OZ2" s="41"/>
      <c r="PA2" s="41"/>
      <c r="PB2" s="41"/>
      <c r="PC2" s="41"/>
      <c r="PD2" s="41"/>
      <c r="PE2" s="41"/>
      <c r="PF2" s="41"/>
      <c r="PG2" s="41"/>
      <c r="PH2" s="41"/>
      <c r="PI2" s="41"/>
      <c r="PJ2" s="41"/>
      <c r="PK2" s="41"/>
      <c r="PL2" s="41"/>
      <c r="PM2" s="41"/>
      <c r="PN2" s="41"/>
      <c r="PO2" s="41"/>
      <c r="PP2" s="41"/>
      <c r="PQ2" s="41"/>
      <c r="PR2" s="41"/>
    </row>
    <row r="3" spans="1:434" s="2" customFormat="1" ht="21" x14ac:dyDescent="0.25">
      <c r="A3" s="29" t="s">
        <v>1</v>
      </c>
      <c r="B3" s="30"/>
      <c r="C3" s="30"/>
      <c r="D3" s="30"/>
      <c r="E3" s="30"/>
      <c r="F3" s="30"/>
      <c r="G3" s="31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/>
      <c r="LB3" s="7"/>
      <c r="LC3" s="7"/>
      <c r="LD3" s="7"/>
      <c r="LE3" s="7"/>
      <c r="LF3" s="7"/>
      <c r="LG3" s="7"/>
      <c r="LH3" s="7"/>
      <c r="LI3" s="7"/>
      <c r="LJ3" s="7"/>
      <c r="LK3" s="7"/>
      <c r="LL3" s="7"/>
      <c r="LM3" s="7"/>
      <c r="LN3" s="7"/>
      <c r="LO3" s="7"/>
      <c r="LP3" s="7"/>
      <c r="LQ3" s="7"/>
      <c r="LR3" s="7"/>
      <c r="LS3" s="7"/>
      <c r="LT3" s="7"/>
      <c r="LU3" s="7"/>
      <c r="LV3" s="7"/>
      <c r="LW3" s="7"/>
      <c r="LX3" s="7"/>
      <c r="LY3" s="7"/>
      <c r="LZ3" s="7"/>
      <c r="MA3" s="7"/>
      <c r="MB3" s="7"/>
      <c r="MC3" s="7"/>
      <c r="MD3" s="7"/>
      <c r="ME3" s="7"/>
      <c r="MF3" s="7"/>
      <c r="MG3" s="7"/>
      <c r="MH3" s="7"/>
      <c r="MI3" s="7"/>
      <c r="MJ3" s="7"/>
      <c r="MK3" s="7"/>
      <c r="ML3" s="7"/>
      <c r="MM3" s="7"/>
      <c r="MN3" s="7"/>
      <c r="MO3" s="7"/>
      <c r="MP3" s="7"/>
      <c r="MQ3" s="7"/>
      <c r="MR3" s="7"/>
      <c r="MS3" s="7"/>
      <c r="MT3" s="7"/>
      <c r="MU3" s="7"/>
      <c r="MV3" s="7"/>
      <c r="MW3" s="7"/>
      <c r="MX3" s="7"/>
      <c r="MY3" s="7"/>
      <c r="MZ3" s="7"/>
      <c r="NA3" s="7"/>
      <c r="NB3" s="7"/>
      <c r="NC3" s="7"/>
      <c r="ND3" s="7"/>
      <c r="NE3" s="7"/>
      <c r="NF3" s="7"/>
      <c r="NG3" s="7"/>
      <c r="NH3" s="7"/>
      <c r="NI3" s="7"/>
      <c r="NJ3" s="7"/>
      <c r="NK3" s="7"/>
      <c r="NL3" s="7"/>
      <c r="NM3" s="7"/>
      <c r="NN3" s="7"/>
      <c r="NO3" s="7"/>
      <c r="NP3" s="7"/>
      <c r="NQ3" s="7"/>
      <c r="NR3" s="7"/>
      <c r="NS3" s="7"/>
      <c r="NT3" s="7"/>
      <c r="NU3" s="7"/>
      <c r="NV3" s="7"/>
      <c r="NW3" s="7"/>
      <c r="NX3" s="7"/>
      <c r="NY3" s="7"/>
      <c r="NZ3" s="7"/>
      <c r="OA3" s="7"/>
      <c r="OB3" s="7"/>
      <c r="OC3" s="7"/>
      <c r="OD3" s="7"/>
      <c r="OE3" s="7"/>
      <c r="OF3" s="7"/>
      <c r="OG3" s="7"/>
      <c r="OH3" s="7"/>
      <c r="OI3" s="7"/>
      <c r="OJ3" s="7"/>
      <c r="OK3" s="7"/>
      <c r="OL3" s="7"/>
      <c r="OM3" s="7"/>
      <c r="ON3" s="7"/>
      <c r="OO3" s="7"/>
      <c r="OP3" s="7"/>
      <c r="OQ3" s="7"/>
      <c r="OR3" s="7"/>
      <c r="OS3" s="7"/>
      <c r="OT3" s="7"/>
      <c r="OU3" s="7"/>
      <c r="OV3" s="7"/>
      <c r="OW3" s="7"/>
      <c r="OX3" s="7"/>
      <c r="OY3" s="7"/>
      <c r="OZ3" s="7"/>
      <c r="PA3" s="7"/>
      <c r="PB3" s="7"/>
      <c r="PC3" s="7"/>
      <c r="PD3" s="7"/>
      <c r="PE3" s="7"/>
      <c r="PF3" s="7"/>
      <c r="PG3" s="7"/>
      <c r="PH3" s="7"/>
      <c r="PI3" s="7"/>
      <c r="PJ3" s="7"/>
      <c r="PK3" s="7"/>
      <c r="PL3" s="7"/>
      <c r="PM3" s="7"/>
      <c r="PN3" s="7"/>
      <c r="PO3" s="7"/>
      <c r="PP3" s="7"/>
      <c r="PQ3" s="7"/>
      <c r="PR3" s="7"/>
    </row>
    <row r="4" spans="1:434" s="12" customFormat="1" x14ac:dyDescent="0.25">
      <c r="A4" s="32" t="s">
        <v>2</v>
      </c>
      <c r="B4" s="33"/>
      <c r="C4" s="33"/>
      <c r="D4" s="33"/>
      <c r="E4" s="33"/>
      <c r="F4" s="33"/>
      <c r="G4" s="34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/>
      <c r="CF4" s="41"/>
      <c r="CG4" s="41"/>
      <c r="CH4" s="41"/>
      <c r="CI4" s="41"/>
      <c r="CJ4" s="41"/>
      <c r="CK4" s="41"/>
      <c r="CL4" s="41"/>
      <c r="CM4" s="41"/>
      <c r="CN4" s="41"/>
      <c r="CO4" s="41"/>
      <c r="CP4" s="41"/>
      <c r="CQ4" s="41"/>
      <c r="CR4" s="41"/>
      <c r="CS4" s="41"/>
      <c r="CT4" s="41"/>
      <c r="CU4" s="41"/>
      <c r="CV4" s="41"/>
      <c r="CW4" s="41"/>
      <c r="CX4" s="41"/>
      <c r="CY4" s="41"/>
      <c r="CZ4" s="41"/>
      <c r="DA4" s="41"/>
      <c r="DB4" s="41"/>
      <c r="DC4" s="41"/>
      <c r="DD4" s="41"/>
      <c r="DE4" s="41"/>
      <c r="DF4" s="41"/>
      <c r="DG4" s="41"/>
      <c r="DH4" s="41"/>
      <c r="DI4" s="41"/>
      <c r="DJ4" s="41"/>
      <c r="DK4" s="41"/>
      <c r="DL4" s="41"/>
      <c r="DM4" s="41"/>
      <c r="DN4" s="41"/>
      <c r="DO4" s="41"/>
      <c r="DP4" s="41"/>
      <c r="DQ4" s="41"/>
      <c r="DR4" s="41"/>
      <c r="DS4" s="41"/>
      <c r="DT4" s="41"/>
      <c r="DU4" s="41"/>
      <c r="DV4" s="41"/>
      <c r="DW4" s="41"/>
      <c r="DX4" s="41"/>
      <c r="DY4" s="41"/>
      <c r="DZ4" s="41"/>
      <c r="EA4" s="41"/>
      <c r="EB4" s="41"/>
      <c r="EC4" s="41"/>
      <c r="ED4" s="41"/>
      <c r="EE4" s="41"/>
      <c r="EF4" s="41"/>
      <c r="EG4" s="41"/>
      <c r="EH4" s="41"/>
      <c r="EI4" s="41"/>
      <c r="EJ4" s="41"/>
      <c r="EK4" s="41"/>
      <c r="EL4" s="41"/>
      <c r="EM4" s="41"/>
      <c r="EN4" s="41"/>
      <c r="EO4" s="41"/>
      <c r="EP4" s="41"/>
      <c r="EQ4" s="41"/>
      <c r="ER4" s="41"/>
      <c r="ES4" s="41"/>
      <c r="ET4" s="41"/>
      <c r="EU4" s="41"/>
      <c r="EV4" s="41"/>
      <c r="EW4" s="41"/>
      <c r="EX4" s="41"/>
      <c r="EY4" s="41"/>
      <c r="EZ4" s="41"/>
      <c r="FA4" s="41"/>
      <c r="FB4" s="41"/>
      <c r="FC4" s="41"/>
      <c r="FD4" s="41"/>
      <c r="FE4" s="41"/>
      <c r="FF4" s="41"/>
      <c r="FG4" s="41"/>
      <c r="FH4" s="41"/>
      <c r="FI4" s="41"/>
      <c r="FJ4" s="41"/>
      <c r="FK4" s="41"/>
      <c r="FL4" s="41"/>
      <c r="FM4" s="41"/>
      <c r="FN4" s="41"/>
      <c r="FO4" s="41"/>
      <c r="FP4" s="41"/>
      <c r="FQ4" s="41"/>
      <c r="FR4" s="41"/>
      <c r="FS4" s="41"/>
      <c r="FT4" s="41"/>
      <c r="FU4" s="41"/>
      <c r="FV4" s="41"/>
      <c r="FW4" s="41"/>
      <c r="FX4" s="41"/>
      <c r="FY4" s="41"/>
      <c r="FZ4" s="41"/>
      <c r="GA4" s="41"/>
      <c r="GB4" s="41"/>
      <c r="GC4" s="41"/>
      <c r="GD4" s="41"/>
      <c r="GE4" s="41"/>
      <c r="GF4" s="41"/>
      <c r="GG4" s="41"/>
      <c r="GH4" s="41"/>
      <c r="GI4" s="41"/>
      <c r="GJ4" s="41"/>
      <c r="GK4" s="41"/>
      <c r="GL4" s="41"/>
      <c r="GM4" s="41"/>
      <c r="GN4" s="41"/>
      <c r="GO4" s="41"/>
      <c r="GP4" s="41"/>
      <c r="GQ4" s="41"/>
      <c r="GR4" s="41"/>
      <c r="GS4" s="41"/>
      <c r="GT4" s="41"/>
      <c r="GU4" s="41"/>
      <c r="GV4" s="41"/>
      <c r="GW4" s="41"/>
      <c r="GX4" s="41"/>
      <c r="GY4" s="41"/>
      <c r="GZ4" s="41"/>
      <c r="HA4" s="41"/>
      <c r="HB4" s="41"/>
      <c r="HC4" s="41"/>
      <c r="HD4" s="41"/>
      <c r="HE4" s="41"/>
      <c r="HF4" s="41"/>
      <c r="HG4" s="41"/>
      <c r="HH4" s="41"/>
      <c r="HI4" s="41"/>
      <c r="HJ4" s="41"/>
      <c r="HK4" s="41"/>
      <c r="HL4" s="41"/>
      <c r="HM4" s="41"/>
      <c r="HN4" s="41"/>
      <c r="HO4" s="41"/>
      <c r="HP4" s="41"/>
      <c r="HQ4" s="41"/>
      <c r="HR4" s="41"/>
      <c r="HS4" s="41"/>
      <c r="HT4" s="41"/>
      <c r="HU4" s="41"/>
      <c r="HV4" s="41"/>
      <c r="HW4" s="41"/>
      <c r="HX4" s="41"/>
      <c r="HY4" s="41"/>
      <c r="HZ4" s="41"/>
      <c r="IA4" s="41"/>
      <c r="IB4" s="41"/>
      <c r="IC4" s="41"/>
      <c r="ID4" s="41"/>
      <c r="IE4" s="41"/>
      <c r="IF4" s="41"/>
      <c r="IG4" s="41"/>
      <c r="IH4" s="41"/>
      <c r="II4" s="41"/>
      <c r="IJ4" s="41"/>
      <c r="IK4" s="41"/>
      <c r="IL4" s="41"/>
      <c r="IM4" s="41"/>
      <c r="IN4" s="41"/>
      <c r="IO4" s="41"/>
      <c r="IP4" s="41"/>
      <c r="IQ4" s="41"/>
      <c r="IR4" s="41"/>
      <c r="IS4" s="41"/>
      <c r="IT4" s="41"/>
      <c r="IU4" s="41"/>
      <c r="IV4" s="41"/>
      <c r="IW4" s="41"/>
      <c r="IX4" s="41"/>
      <c r="IY4" s="41"/>
      <c r="IZ4" s="41"/>
      <c r="JA4" s="41"/>
      <c r="JB4" s="41"/>
      <c r="JC4" s="41"/>
      <c r="JD4" s="41"/>
      <c r="JE4" s="41"/>
      <c r="JF4" s="41"/>
      <c r="JG4" s="41"/>
      <c r="JH4" s="41"/>
      <c r="JI4" s="41"/>
      <c r="JJ4" s="41"/>
      <c r="JK4" s="41"/>
      <c r="JL4" s="41"/>
      <c r="JM4" s="41"/>
      <c r="JN4" s="41"/>
      <c r="JO4" s="41"/>
      <c r="JP4" s="41"/>
      <c r="JQ4" s="41"/>
      <c r="JR4" s="41"/>
      <c r="JS4" s="41"/>
      <c r="JT4" s="41"/>
      <c r="JU4" s="41"/>
      <c r="JV4" s="41"/>
      <c r="JW4" s="41"/>
      <c r="JX4" s="41"/>
      <c r="JY4" s="41"/>
      <c r="JZ4" s="41"/>
      <c r="KA4" s="41"/>
      <c r="KB4" s="41"/>
      <c r="KC4" s="41"/>
      <c r="KD4" s="41"/>
      <c r="KE4" s="41"/>
      <c r="KF4" s="41"/>
      <c r="KG4" s="41"/>
      <c r="KH4" s="41"/>
      <c r="KI4" s="41"/>
      <c r="KJ4" s="41"/>
      <c r="KK4" s="41"/>
      <c r="KL4" s="41"/>
      <c r="KM4" s="41"/>
      <c r="KN4" s="41"/>
      <c r="KO4" s="41"/>
      <c r="KP4" s="41"/>
      <c r="KQ4" s="41"/>
      <c r="KR4" s="41"/>
      <c r="KS4" s="41"/>
      <c r="KT4" s="41"/>
      <c r="KU4" s="41"/>
      <c r="KV4" s="41"/>
      <c r="KW4" s="41"/>
      <c r="KX4" s="41"/>
      <c r="KY4" s="41"/>
      <c r="KZ4" s="41"/>
      <c r="LA4" s="41"/>
      <c r="LB4" s="41"/>
      <c r="LC4" s="41"/>
      <c r="LD4" s="41"/>
      <c r="LE4" s="41"/>
      <c r="LF4" s="41"/>
      <c r="LG4" s="41"/>
      <c r="LH4" s="41"/>
      <c r="LI4" s="41"/>
      <c r="LJ4" s="41"/>
      <c r="LK4" s="41"/>
      <c r="LL4" s="41"/>
      <c r="LM4" s="41"/>
      <c r="LN4" s="41"/>
      <c r="LO4" s="41"/>
      <c r="LP4" s="41"/>
      <c r="LQ4" s="41"/>
      <c r="LR4" s="41"/>
      <c r="LS4" s="41"/>
      <c r="LT4" s="41"/>
      <c r="LU4" s="41"/>
      <c r="LV4" s="41"/>
      <c r="LW4" s="41"/>
      <c r="LX4" s="41"/>
      <c r="LY4" s="41"/>
      <c r="LZ4" s="41"/>
      <c r="MA4" s="41"/>
      <c r="MB4" s="41"/>
      <c r="MC4" s="41"/>
      <c r="MD4" s="41"/>
      <c r="ME4" s="41"/>
      <c r="MF4" s="41"/>
      <c r="MG4" s="41"/>
      <c r="MH4" s="41"/>
      <c r="MI4" s="41"/>
      <c r="MJ4" s="41"/>
      <c r="MK4" s="41"/>
      <c r="ML4" s="41"/>
      <c r="MM4" s="41"/>
      <c r="MN4" s="41"/>
      <c r="MO4" s="41"/>
      <c r="MP4" s="41"/>
      <c r="MQ4" s="41"/>
      <c r="MR4" s="41"/>
      <c r="MS4" s="41"/>
      <c r="MT4" s="41"/>
      <c r="MU4" s="41"/>
      <c r="MV4" s="41"/>
      <c r="MW4" s="41"/>
      <c r="MX4" s="41"/>
      <c r="MY4" s="41"/>
      <c r="MZ4" s="41"/>
      <c r="NA4" s="41"/>
      <c r="NB4" s="41"/>
      <c r="NC4" s="41"/>
      <c r="ND4" s="41"/>
      <c r="NE4" s="41"/>
      <c r="NF4" s="41"/>
      <c r="NG4" s="41"/>
      <c r="NH4" s="41"/>
      <c r="NI4" s="41"/>
      <c r="NJ4" s="41"/>
      <c r="NK4" s="41"/>
      <c r="NL4" s="41"/>
      <c r="NM4" s="41"/>
      <c r="NN4" s="41"/>
      <c r="NO4" s="41"/>
      <c r="NP4" s="41"/>
      <c r="NQ4" s="41"/>
      <c r="NR4" s="41"/>
      <c r="NS4" s="41"/>
      <c r="NT4" s="41"/>
      <c r="NU4" s="41"/>
      <c r="NV4" s="41"/>
      <c r="NW4" s="41"/>
      <c r="NX4" s="41"/>
      <c r="NY4" s="41"/>
      <c r="NZ4" s="41"/>
      <c r="OA4" s="41"/>
      <c r="OB4" s="41"/>
      <c r="OC4" s="41"/>
      <c r="OD4" s="41"/>
      <c r="OE4" s="41"/>
      <c r="OF4" s="41"/>
      <c r="OG4" s="41"/>
      <c r="OH4" s="41"/>
      <c r="OI4" s="41"/>
      <c r="OJ4" s="41"/>
      <c r="OK4" s="41"/>
      <c r="OL4" s="41"/>
      <c r="OM4" s="41"/>
      <c r="ON4" s="41"/>
      <c r="OO4" s="41"/>
      <c r="OP4" s="41"/>
      <c r="OQ4" s="41"/>
      <c r="OR4" s="41"/>
      <c r="OS4" s="41"/>
      <c r="OT4" s="41"/>
      <c r="OU4" s="41"/>
      <c r="OV4" s="41"/>
      <c r="OW4" s="41"/>
      <c r="OX4" s="41"/>
      <c r="OY4" s="41"/>
      <c r="OZ4" s="41"/>
      <c r="PA4" s="41"/>
      <c r="PB4" s="41"/>
      <c r="PC4" s="41"/>
      <c r="PD4" s="41"/>
      <c r="PE4" s="41"/>
      <c r="PF4" s="41"/>
      <c r="PG4" s="41"/>
      <c r="PH4" s="41"/>
      <c r="PI4" s="41"/>
      <c r="PJ4" s="41"/>
      <c r="PK4" s="41"/>
      <c r="PL4" s="41"/>
      <c r="PM4" s="41"/>
      <c r="PN4" s="41"/>
      <c r="PO4" s="41"/>
      <c r="PP4" s="41"/>
      <c r="PQ4" s="41"/>
      <c r="PR4" s="41"/>
    </row>
    <row r="5" spans="1:434" ht="18.75" x14ac:dyDescent="0.25">
      <c r="A5" s="13" t="s">
        <v>3</v>
      </c>
      <c r="B5" s="14">
        <v>2012</v>
      </c>
      <c r="C5" s="14">
        <v>2013</v>
      </c>
      <c r="D5" s="14">
        <v>2014</v>
      </c>
      <c r="E5" s="14">
        <v>2015</v>
      </c>
      <c r="F5" s="14">
        <v>2016</v>
      </c>
      <c r="G5" s="35" t="s">
        <v>35</v>
      </c>
    </row>
    <row r="6" spans="1:434" ht="18.75" x14ac:dyDescent="0.25">
      <c r="A6" s="15" t="s">
        <v>0</v>
      </c>
      <c r="B6" s="16">
        <f t="shared" ref="B6:E6" si="0">SUM(B7:B28)</f>
        <v>240437873.07000005</v>
      </c>
      <c r="C6" s="16">
        <f t="shared" si="0"/>
        <v>276241360.56999999</v>
      </c>
      <c r="D6" s="16">
        <f t="shared" si="0"/>
        <v>302002607.58999997</v>
      </c>
      <c r="E6" s="16">
        <f t="shared" si="0"/>
        <v>330503715.94</v>
      </c>
      <c r="F6" s="16">
        <f t="shared" ref="F6" si="1">SUM(F7:F28)</f>
        <v>356030840.86999995</v>
      </c>
      <c r="G6" s="6" t="s">
        <v>4</v>
      </c>
    </row>
    <row r="7" spans="1:434" ht="21" x14ac:dyDescent="0.25">
      <c r="A7" s="17" t="s">
        <v>5</v>
      </c>
      <c r="B7" s="18">
        <v>9803119.1999999993</v>
      </c>
      <c r="C7" s="18">
        <v>10544188.779999999</v>
      </c>
      <c r="D7" s="18">
        <v>12221744.27</v>
      </c>
      <c r="E7" s="18">
        <v>13238111.77</v>
      </c>
      <c r="F7" s="18">
        <v>17081042.779999997</v>
      </c>
      <c r="G7" s="36" t="s">
        <v>6</v>
      </c>
    </row>
    <row r="8" spans="1:434" ht="21" x14ac:dyDescent="0.25">
      <c r="A8" s="19" t="s">
        <v>36</v>
      </c>
      <c r="B8" s="18">
        <v>16114005.610000001</v>
      </c>
      <c r="C8" s="18">
        <v>16944467.640000001</v>
      </c>
      <c r="D8" s="18">
        <v>18913407.449999996</v>
      </c>
      <c r="E8" s="18">
        <v>20715561.630000003</v>
      </c>
      <c r="F8" s="18">
        <v>24120305.060000002</v>
      </c>
      <c r="G8" s="36" t="s">
        <v>7</v>
      </c>
      <c r="K8" s="43"/>
    </row>
    <row r="9" spans="1:434" ht="21" x14ac:dyDescent="0.25">
      <c r="A9" s="20" t="s">
        <v>37</v>
      </c>
      <c r="B9" s="18">
        <v>1265551.76</v>
      </c>
      <c r="C9" s="18">
        <v>1722671.9</v>
      </c>
      <c r="D9" s="18">
        <v>2751398.1399999997</v>
      </c>
      <c r="E9" s="18">
        <v>3467316.6799999997</v>
      </c>
      <c r="F9" s="18">
        <v>4845857.2200000007</v>
      </c>
      <c r="G9" s="37" t="s">
        <v>8</v>
      </c>
    </row>
    <row r="10" spans="1:434" ht="21" x14ac:dyDescent="0.25">
      <c r="A10" s="9" t="s">
        <v>34</v>
      </c>
      <c r="B10" s="18">
        <v>242183.70999999996</v>
      </c>
      <c r="C10" s="18">
        <v>315563.79000000004</v>
      </c>
      <c r="D10" s="18">
        <v>422854.74999999994</v>
      </c>
      <c r="E10" s="18">
        <v>452155.70000000007</v>
      </c>
      <c r="F10" s="18">
        <v>538392.48</v>
      </c>
      <c r="G10" s="37" t="s">
        <v>9</v>
      </c>
    </row>
    <row r="11" spans="1:434" ht="21" x14ac:dyDescent="0.25">
      <c r="A11" s="20" t="s">
        <v>38</v>
      </c>
      <c r="B11" s="18">
        <v>242183.70999999996</v>
      </c>
      <c r="C11" s="18">
        <v>216019.32</v>
      </c>
      <c r="D11" s="18">
        <v>274316.98999999993</v>
      </c>
      <c r="E11" s="18">
        <v>224452.07</v>
      </c>
      <c r="F11" s="18">
        <v>244232.02</v>
      </c>
      <c r="G11" s="37" t="s">
        <v>10</v>
      </c>
    </row>
    <row r="12" spans="1:434" ht="21" x14ac:dyDescent="0.25">
      <c r="A12" s="20" t="s">
        <v>39</v>
      </c>
      <c r="B12" s="18">
        <v>205739.85</v>
      </c>
      <c r="C12" s="18">
        <v>34419388.659999996</v>
      </c>
      <c r="D12" s="18">
        <v>39517745.910000004</v>
      </c>
      <c r="E12" s="18">
        <v>40422165.909999996</v>
      </c>
      <c r="F12" s="18">
        <v>39006764.509999998</v>
      </c>
      <c r="G12" s="37" t="s">
        <v>40</v>
      </c>
    </row>
    <row r="13" spans="1:434" ht="21" x14ac:dyDescent="0.25">
      <c r="A13" s="20" t="s">
        <v>11</v>
      </c>
      <c r="B13" s="18">
        <v>31059084.560000002</v>
      </c>
      <c r="C13" s="18">
        <v>8533.4</v>
      </c>
      <c r="D13" s="18">
        <v>38324.959999999999</v>
      </c>
      <c r="E13" s="18">
        <v>4069700.3699999996</v>
      </c>
      <c r="F13" s="18">
        <v>3689920.4900000012</v>
      </c>
      <c r="G13" s="37" t="s">
        <v>12</v>
      </c>
    </row>
    <row r="14" spans="1:434" ht="21" x14ac:dyDescent="0.25">
      <c r="A14" s="20" t="s">
        <v>41</v>
      </c>
      <c r="B14" s="18">
        <v>744433.48</v>
      </c>
      <c r="C14" s="18">
        <v>973391.22</v>
      </c>
      <c r="D14" s="18">
        <v>1082982.1000000001</v>
      </c>
      <c r="E14" s="18">
        <v>1908585.6300000001</v>
      </c>
      <c r="F14" s="18">
        <v>2815394.2500000005</v>
      </c>
      <c r="G14" s="37" t="s">
        <v>13</v>
      </c>
    </row>
    <row r="15" spans="1:434" ht="21" x14ac:dyDescent="0.25">
      <c r="A15" s="20" t="s">
        <v>42</v>
      </c>
      <c r="B15" s="18">
        <v>11602621.949999999</v>
      </c>
      <c r="C15" s="18">
        <v>14107847.99</v>
      </c>
      <c r="D15" s="18">
        <v>15756571.040000003</v>
      </c>
      <c r="E15" s="18">
        <v>16994521.91</v>
      </c>
      <c r="F15" s="18">
        <v>19841767.939999998</v>
      </c>
      <c r="G15" s="37" t="s">
        <v>14</v>
      </c>
    </row>
    <row r="16" spans="1:434" ht="21" x14ac:dyDescent="0.25">
      <c r="A16" s="20" t="s">
        <v>43</v>
      </c>
      <c r="B16" s="18">
        <v>12031737.810000001</v>
      </c>
      <c r="C16" s="18">
        <v>12840202.800000001</v>
      </c>
      <c r="D16" s="18">
        <v>14509431</v>
      </c>
      <c r="E16" s="18">
        <v>17227099.289999999</v>
      </c>
      <c r="F16" s="18">
        <v>20076685.020000003</v>
      </c>
      <c r="G16" s="37" t="s">
        <v>15</v>
      </c>
    </row>
    <row r="17" spans="1:7" ht="21" x14ac:dyDescent="0.25">
      <c r="A17" s="20" t="s">
        <v>44</v>
      </c>
      <c r="B17" s="18">
        <v>2348941.8000000003</v>
      </c>
      <c r="C17" s="18">
        <v>2256028.5699999998</v>
      </c>
      <c r="D17" s="18">
        <v>2903471.7900000005</v>
      </c>
      <c r="E17" s="18">
        <v>2964794.07</v>
      </c>
      <c r="F17" s="18">
        <v>4215047.790000001</v>
      </c>
      <c r="G17" s="37" t="s">
        <v>16</v>
      </c>
    </row>
    <row r="18" spans="1:7" ht="21" x14ac:dyDescent="0.25">
      <c r="A18" s="20" t="s">
        <v>45</v>
      </c>
      <c r="B18" s="18">
        <v>9320034.2699999996</v>
      </c>
      <c r="C18" s="18">
        <v>11549591.65</v>
      </c>
      <c r="D18" s="18">
        <v>13917414.25</v>
      </c>
      <c r="E18" s="18">
        <v>15382242.4</v>
      </c>
      <c r="F18" s="18">
        <v>16604722.810000001</v>
      </c>
      <c r="G18" s="37" t="s">
        <v>17</v>
      </c>
    </row>
    <row r="19" spans="1:7" ht="21" x14ac:dyDescent="0.25">
      <c r="A19" s="20" t="s">
        <v>18</v>
      </c>
      <c r="B19" s="18">
        <v>43682263.599999994</v>
      </c>
      <c r="C19" s="18">
        <v>46837434.590000004</v>
      </c>
      <c r="D19" s="18">
        <v>43389494.639999978</v>
      </c>
      <c r="E19" s="18">
        <v>43191210.880000003</v>
      </c>
      <c r="F19" s="18">
        <v>44715142.609999992</v>
      </c>
      <c r="G19" s="37" t="s">
        <v>19</v>
      </c>
    </row>
    <row r="20" spans="1:7" ht="21" x14ac:dyDescent="0.25">
      <c r="A20" s="20" t="s">
        <v>46</v>
      </c>
      <c r="B20" s="18">
        <v>38076891.210000001</v>
      </c>
      <c r="C20" s="18">
        <v>41692653.950000003</v>
      </c>
      <c r="D20" s="18">
        <v>47096171.509999998</v>
      </c>
      <c r="E20" s="18">
        <v>50645238.269999996</v>
      </c>
      <c r="F20" s="18">
        <v>52746917.140000001</v>
      </c>
      <c r="G20" s="37" t="s">
        <v>20</v>
      </c>
    </row>
    <row r="21" spans="1:7" ht="21" x14ac:dyDescent="0.25">
      <c r="A21" s="20" t="s">
        <v>21</v>
      </c>
      <c r="B21" s="18">
        <v>35933620.75</v>
      </c>
      <c r="C21" s="18">
        <v>49499892.689999998</v>
      </c>
      <c r="D21" s="18">
        <v>45159790.809999995</v>
      </c>
      <c r="E21" s="18">
        <v>46656649.280000001</v>
      </c>
      <c r="F21" s="18">
        <v>40429276.899999999</v>
      </c>
      <c r="G21" s="37" t="s">
        <v>22</v>
      </c>
    </row>
    <row r="22" spans="1:7" ht="21" x14ac:dyDescent="0.25">
      <c r="A22" s="20" t="s">
        <v>23</v>
      </c>
      <c r="B22" s="18">
        <v>2707532.08</v>
      </c>
      <c r="C22" s="18">
        <v>3021880.47</v>
      </c>
      <c r="D22" s="18">
        <v>3760516.94</v>
      </c>
      <c r="E22" s="18">
        <v>4107271.3699999996</v>
      </c>
      <c r="F22" s="18">
        <v>4594617.17</v>
      </c>
      <c r="G22" s="37" t="s">
        <v>24</v>
      </c>
    </row>
    <row r="23" spans="1:7" ht="21" x14ac:dyDescent="0.25">
      <c r="A23" s="9" t="s">
        <v>25</v>
      </c>
      <c r="B23" s="18">
        <v>9800926.6500000004</v>
      </c>
      <c r="C23" s="18">
        <v>10996014.18</v>
      </c>
      <c r="D23" s="18">
        <v>12534411.449999999</v>
      </c>
      <c r="E23" s="18">
        <v>13374230.66</v>
      </c>
      <c r="F23" s="18">
        <v>15574229.49</v>
      </c>
      <c r="G23" s="37" t="s">
        <v>26</v>
      </c>
    </row>
    <row r="24" spans="1:7" ht="21" x14ac:dyDescent="0.25">
      <c r="A24" s="20" t="s">
        <v>47</v>
      </c>
      <c r="B24" s="18">
        <v>2373623.81</v>
      </c>
      <c r="C24" s="18">
        <v>3577389.12</v>
      </c>
      <c r="D24" s="18">
        <v>3163815.42</v>
      </c>
      <c r="E24" s="18">
        <v>4002983.0300000003</v>
      </c>
      <c r="F24" s="18">
        <v>5801563.6899999995</v>
      </c>
      <c r="G24" s="37" t="s">
        <v>27</v>
      </c>
    </row>
    <row r="25" spans="1:7" ht="21" x14ac:dyDescent="0.25">
      <c r="A25" s="20" t="s">
        <v>48</v>
      </c>
      <c r="B25" s="18">
        <v>393201.31</v>
      </c>
      <c r="C25" s="18">
        <v>545938.93999999994</v>
      </c>
      <c r="D25" s="18">
        <v>480351.89</v>
      </c>
      <c r="E25" s="18">
        <v>528890.76</v>
      </c>
      <c r="F25" s="18">
        <v>630283.23</v>
      </c>
      <c r="G25" s="37" t="s">
        <v>28</v>
      </c>
    </row>
    <row r="26" spans="1:7" ht="21" x14ac:dyDescent="0.25">
      <c r="A26" s="20" t="s">
        <v>49</v>
      </c>
      <c r="B26" s="18">
        <v>886886.56</v>
      </c>
      <c r="C26" s="18">
        <v>906720.42</v>
      </c>
      <c r="D26" s="18">
        <v>1068217.42</v>
      </c>
      <c r="E26" s="18">
        <v>1131382.9400000002</v>
      </c>
      <c r="F26" s="18">
        <v>1116699.8099999996</v>
      </c>
      <c r="G26" s="37" t="s">
        <v>29</v>
      </c>
    </row>
    <row r="27" spans="1:7" ht="21" x14ac:dyDescent="0.25">
      <c r="A27" s="20" t="s">
        <v>50</v>
      </c>
      <c r="B27" s="18">
        <v>2053134.65</v>
      </c>
      <c r="C27" s="18">
        <v>2496719.4900000002</v>
      </c>
      <c r="D27" s="18">
        <v>4039323.37</v>
      </c>
      <c r="E27" s="18">
        <v>6000472.21</v>
      </c>
      <c r="F27" s="18">
        <v>7318284.9400000013</v>
      </c>
      <c r="G27" s="37" t="s">
        <v>30</v>
      </c>
    </row>
    <row r="28" spans="1:7" ht="21" x14ac:dyDescent="0.25">
      <c r="A28" s="21" t="s">
        <v>51</v>
      </c>
      <c r="B28" s="22">
        <v>9550154.7400000002</v>
      </c>
      <c r="C28" s="22">
        <v>10768821</v>
      </c>
      <c r="D28" s="22">
        <v>19000851.489999998</v>
      </c>
      <c r="E28" s="22">
        <v>23798679.109999999</v>
      </c>
      <c r="F28" s="22">
        <v>30023693.520000003</v>
      </c>
      <c r="G28" s="38" t="s">
        <v>31</v>
      </c>
    </row>
    <row r="29" spans="1:7" x14ac:dyDescent="0.25">
      <c r="A29" s="10" t="s">
        <v>32</v>
      </c>
      <c r="C29" s="11"/>
      <c r="D29" s="2"/>
      <c r="E29" s="8"/>
      <c r="F29" s="8"/>
      <c r="G29" s="39" t="s">
        <v>33</v>
      </c>
    </row>
    <row r="30" spans="1:7" x14ac:dyDescent="0.25">
      <c r="A30" s="5"/>
      <c r="B30" s="4"/>
      <c r="C30" s="4"/>
      <c r="D30" s="4"/>
      <c r="E30" s="4"/>
      <c r="F30" s="4"/>
      <c r="G30" s="40"/>
    </row>
  </sheetData>
  <mergeCells count="4">
    <mergeCell ref="A1:G1"/>
    <mergeCell ref="A2:G2"/>
    <mergeCell ref="A3:G3"/>
    <mergeCell ref="A4:G4"/>
  </mergeCells>
  <pageMargins left="0.7" right="0.7" top="0.75" bottom="0.75" header="0.3" footer="0.3"/>
  <pageSetup paperSize="9" scale="86" orientation="landscape" r:id="rId1"/>
  <rowBreaks count="1" manualBreakCount="1">
    <brk id="29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9.14</vt:lpstr>
      <vt:lpstr>'9.14'!Print_Area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2017-10-22T07:44:45Z</cp:lastPrinted>
  <dcterms:created xsi:type="dcterms:W3CDTF">2014-03-04T03:52:57Z</dcterms:created>
  <dcterms:modified xsi:type="dcterms:W3CDTF">2017-10-22T07:44:53Z</dcterms:modified>
</cp:coreProperties>
</file>