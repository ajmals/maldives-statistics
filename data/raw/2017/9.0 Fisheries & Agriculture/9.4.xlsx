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Shahuda not checked\9. FISHERIES AND AGRICULTURE\"/>
    </mc:Choice>
  </mc:AlternateContent>
  <bookViews>
    <workbookView xWindow="0" yWindow="0" windowWidth="28800" windowHeight="12345" tabRatio="898"/>
  </bookViews>
  <sheets>
    <sheet name="9.4" sheetId="9" r:id="rId1"/>
  </sheets>
  <externalReferences>
    <externalReference r:id="rId2"/>
    <externalReference r:id="rId3"/>
  </externalReferences>
  <definedNames>
    <definedName name="_xlnm.Print_Area" localSheetId="0">'9.4'!$A$1:$Q$44</definedName>
  </definedNames>
  <calcPr calcId="162913"/>
</workbook>
</file>

<file path=xl/calcChain.xml><?xml version="1.0" encoding="utf-8"?>
<calcChain xmlns="http://schemas.openxmlformats.org/spreadsheetml/2006/main">
  <c r="Q11" i="9" l="1"/>
  <c r="AN7" i="9" s="1"/>
  <c r="AM7" i="9" l="1"/>
  <c r="Q10" i="9" l="1"/>
  <c r="Q12" i="9"/>
  <c r="Q13" i="9"/>
  <c r="Q14" i="9"/>
  <c r="Q15" i="9"/>
  <c r="Q16" i="9"/>
  <c r="Q17" i="9"/>
  <c r="Q18" i="9"/>
  <c r="Q19" i="9"/>
  <c r="Q20" i="9"/>
  <c r="Q21" i="9"/>
  <c r="Q22" i="9"/>
  <c r="F9" i="9"/>
  <c r="O9" i="9" s="1"/>
  <c r="AM18" i="9" l="1"/>
  <c r="AM8" i="9"/>
  <c r="AM9" i="9"/>
  <c r="AM10" i="9"/>
  <c r="AM11" i="9"/>
  <c r="AM12" i="9"/>
  <c r="AM13" i="9"/>
  <c r="AM14" i="9"/>
  <c r="AM15" i="9"/>
  <c r="AM16" i="9"/>
  <c r="AM17" i="9"/>
  <c r="AN10" i="9" l="1"/>
  <c r="AN18" i="9"/>
  <c r="AN17" i="9"/>
  <c r="AN16" i="9"/>
  <c r="AN15" i="9"/>
  <c r="AN14" i="9"/>
  <c r="AN13" i="9"/>
  <c r="AN12" i="9"/>
  <c r="AN11" i="9"/>
  <c r="AN9" i="9"/>
  <c r="AN8" i="9"/>
  <c r="G9" i="9"/>
  <c r="Q9" i="9" l="1"/>
  <c r="P9" i="9"/>
  <c r="E9" i="9" l="1"/>
  <c r="D9" i="9"/>
  <c r="M17" i="9" s="1"/>
  <c r="C9" i="9"/>
  <c r="L18" i="9" s="1"/>
  <c r="B9" i="9"/>
  <c r="K21" i="9" s="1"/>
  <c r="J16" i="9"/>
  <c r="I19" i="9"/>
  <c r="H22" i="9"/>
  <c r="O10" i="9" l="1"/>
  <c r="O14" i="9"/>
  <c r="O18" i="9"/>
  <c r="O22" i="9"/>
  <c r="P13" i="9"/>
  <c r="P10" i="9"/>
  <c r="P14" i="9"/>
  <c r="P18" i="9"/>
  <c r="P22" i="9"/>
  <c r="O11" i="9"/>
  <c r="O15" i="9"/>
  <c r="O19" i="9"/>
  <c r="P11" i="9"/>
  <c r="P15" i="9"/>
  <c r="P19" i="9"/>
  <c r="P21" i="9"/>
  <c r="O12" i="9"/>
  <c r="O16" i="9"/>
  <c r="O20" i="9"/>
  <c r="P12" i="9"/>
  <c r="P16" i="9"/>
  <c r="P20" i="9"/>
  <c r="P17" i="9"/>
  <c r="O13" i="9"/>
  <c r="O17" i="9"/>
  <c r="O21" i="9"/>
  <c r="N10" i="9"/>
  <c r="N20" i="9"/>
  <c r="M15" i="9"/>
  <c r="H19" i="9"/>
  <c r="L10" i="9"/>
  <c r="H16" i="9"/>
  <c r="L15" i="9"/>
  <c r="H11" i="9"/>
  <c r="H17" i="9"/>
  <c r="J18" i="9"/>
  <c r="H9" i="9"/>
  <c r="M10" i="9"/>
  <c r="L12" i="9"/>
  <c r="K16" i="9"/>
  <c r="K18" i="9"/>
  <c r="L20" i="9"/>
  <c r="J9" i="9"/>
  <c r="M12" i="9"/>
  <c r="M18" i="9"/>
  <c r="M20" i="9"/>
  <c r="M9" i="9"/>
  <c r="K15" i="9"/>
  <c r="J11" i="9"/>
  <c r="J13" i="9"/>
  <c r="N15" i="9"/>
  <c r="J21" i="9"/>
  <c r="L13" i="9"/>
  <c r="J19" i="9"/>
  <c r="L21" i="9"/>
  <c r="I9" i="9"/>
  <c r="K11" i="9"/>
  <c r="H12" i="9"/>
  <c r="M13" i="9"/>
  <c r="J14" i="9"/>
  <c r="L16" i="9"/>
  <c r="I17" i="9"/>
  <c r="N18" i="9"/>
  <c r="K19" i="9"/>
  <c r="H20" i="9"/>
  <c r="M21" i="9"/>
  <c r="J22" i="9"/>
  <c r="L11" i="9"/>
  <c r="I12" i="9"/>
  <c r="N13" i="9"/>
  <c r="K14" i="9"/>
  <c r="H15" i="9"/>
  <c r="M16" i="9"/>
  <c r="J17" i="9"/>
  <c r="L19" i="9"/>
  <c r="I20" i="9"/>
  <c r="N21" i="9"/>
  <c r="K22" i="9"/>
  <c r="I14" i="9"/>
  <c r="K9" i="9"/>
  <c r="H10" i="9"/>
  <c r="M11" i="9"/>
  <c r="J12" i="9"/>
  <c r="L14" i="9"/>
  <c r="I15" i="9"/>
  <c r="N16" i="9"/>
  <c r="K17" i="9"/>
  <c r="H18" i="9"/>
  <c r="M19" i="9"/>
  <c r="J20" i="9"/>
  <c r="L22" i="9"/>
  <c r="I22" i="9"/>
  <c r="L9" i="9"/>
  <c r="I10" i="9"/>
  <c r="N11" i="9"/>
  <c r="K12" i="9"/>
  <c r="H13" i="9"/>
  <c r="M14" i="9"/>
  <c r="J15" i="9"/>
  <c r="L17" i="9"/>
  <c r="I18" i="9"/>
  <c r="N19" i="9"/>
  <c r="K20" i="9"/>
  <c r="H21" i="9"/>
  <c r="M22" i="9"/>
  <c r="I13" i="9"/>
  <c r="N14" i="9"/>
  <c r="I21" i="9"/>
  <c r="N22" i="9"/>
  <c r="I16" i="9"/>
  <c r="N17" i="9"/>
  <c r="N9" i="9"/>
  <c r="I11" i="9"/>
  <c r="N12" i="9"/>
  <c r="K13" i="9"/>
  <c r="H14" i="9"/>
</calcChain>
</file>

<file path=xl/sharedStrings.xml><?xml version="1.0" encoding="utf-8"?>
<sst xmlns="http://schemas.openxmlformats.org/spreadsheetml/2006/main" count="45" uniqueCount="32">
  <si>
    <t>Month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</si>
  <si>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</si>
  <si>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</si>
  <si>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</si>
  <si>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</si>
  <si>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</si>
  <si>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</si>
  <si>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</si>
  <si>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</si>
  <si>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</si>
  <si>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</si>
  <si>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</si>
  <si>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</si>
  <si>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</si>
  <si>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Source: Ministry of Fisheries  and Agriculture</t>
  </si>
  <si>
    <t>cniawtcaws ctogWviawfiheb</t>
  </si>
  <si>
    <t>Percentage share</t>
  </si>
  <si>
    <t xml:space="preserve"> rwCclwkircgea cDcnea  czIrwxif cfoa IrcTcsinim :ctWrwf ivcaedutWmUluAwm</t>
  </si>
  <si>
    <t>udwdwA ununEb cswm</t>
  </si>
  <si>
    <t>Fish catch</t>
  </si>
  <si>
    <t>EEZ</t>
  </si>
  <si>
    <t>(cnunwTckircTem)</t>
  </si>
  <si>
    <t>(In metric tons)</t>
  </si>
  <si>
    <t xml:space="preserve"> eruvcSwrwhwa wyidim</t>
  </si>
  <si>
    <t>(cnia % ) urwvcnim ivurutia</t>
  </si>
  <si>
    <t>% change over</t>
  </si>
  <si>
    <t>Fish Catch</t>
  </si>
  <si>
    <t>Growth</t>
  </si>
  <si>
    <t>_</t>
  </si>
  <si>
    <t xml:space="preserve"> previous year 2015</t>
  </si>
  <si>
    <t>Table  9.4 :  FISH CATCH  BY MONTH, 2011 - 2016</t>
  </si>
  <si>
    <t>2016 - 2011 ,urwvcnim eguhwminEb wtwvun ifih iawguhwmcswmikea : 9.4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</si>
</sst>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[$-409]mmmm\ d\,\ yyyy;@"/>
    <numFmt numFmtId="165" formatCode="General_)"/>
    <numFmt numFmtId="166" formatCode="0.0"/>
    <numFmt numFmtId="167" formatCode="#,##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9"/>
      <name val="A_Randhoo"/>
    </font>
    <font>
      <b/>
      <sz val="9"/>
      <name val="Calibri"/>
      <family val="2"/>
    </font>
    <font>
      <sz val="9"/>
      <name val="Courier"/>
      <family val="3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b/>
      <sz val="10"/>
      <name val="Calibri"/>
      <family val="2"/>
    </font>
    <font>
      <b/>
      <sz val="10"/>
      <name val="A_Randhoo"/>
    </font>
    <font>
      <b/>
      <sz val="12"/>
      <name val="A_Randhoo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i/>
      <sz val="9"/>
      <name val="Arial"/>
      <family val="2"/>
    </font>
    <font>
      <b/>
      <sz val="12"/>
      <name val="Calibri"/>
      <family val="2"/>
    </font>
    <font>
      <b/>
      <sz val="12"/>
      <name val="A_Waheed"/>
    </font>
    <font>
      <b/>
      <sz val="9"/>
      <name val="A_Waheed"/>
    </font>
    <font>
      <sz val="9"/>
      <name val="A_Waheed"/>
    </font>
    <font>
      <b/>
      <sz val="11"/>
      <name val="A_Wahe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0" fontId="5" fillId="0" borderId="0" applyFont="0" applyFill="0" applyBorder="0" applyAlignment="0" applyProtection="0"/>
    <xf numFmtId="164" fontId="2" fillId="0" borderId="0"/>
    <xf numFmtId="164" fontId="2" fillId="0" borderId="0"/>
    <xf numFmtId="165" fontId="2" fillId="0" borderId="0"/>
    <xf numFmtId="0" fontId="2" fillId="0" borderId="0"/>
    <xf numFmtId="0" fontId="4" fillId="0" borderId="0"/>
  </cellStyleXfs>
  <cellXfs count="93">
    <xf numFmtId="0" fontId="0" fillId="0" borderId="0" xfId="0"/>
    <xf numFmtId="165" fontId="11" fillId="2" borderId="0" xfId="5" applyFont="1" applyFill="1" applyAlignment="1" applyProtection="1">
      <alignment horizontal="left" vertical="center"/>
    </xf>
    <xf numFmtId="165" fontId="17" fillId="2" borderId="0" xfId="5" applyFont="1" applyFill="1" applyAlignment="1">
      <alignment vertical="center"/>
    </xf>
    <xf numFmtId="1" fontId="9" fillId="2" borderId="2" xfId="5" applyNumberFormat="1" applyFont="1" applyFill="1" applyBorder="1" applyAlignment="1" applyProtection="1">
      <alignment horizontal="right" vertical="center"/>
    </xf>
    <xf numFmtId="165" fontId="10" fillId="2" borderId="0" xfId="5" applyFont="1" applyFill="1" applyAlignment="1">
      <alignment vertical="center"/>
    </xf>
    <xf numFmtId="165" fontId="20" fillId="2" borderId="0" xfId="5" applyFont="1" applyFill="1" applyAlignment="1" applyProtection="1">
      <alignment horizontal="left" vertical="center"/>
    </xf>
    <xf numFmtId="165" fontId="12" fillId="2" borderId="0" xfId="5" applyFont="1" applyFill="1" applyBorder="1" applyAlignment="1">
      <alignment horizontal="right" vertical="center"/>
    </xf>
    <xf numFmtId="165" fontId="17" fillId="2" borderId="0" xfId="5" applyFont="1" applyFill="1" applyBorder="1" applyAlignment="1">
      <alignment vertical="center"/>
    </xf>
    <xf numFmtId="165" fontId="3" fillId="2" borderId="0" xfId="5" applyFont="1" applyFill="1" applyAlignment="1">
      <alignment vertical="center"/>
    </xf>
    <xf numFmtId="165" fontId="18" fillId="2" borderId="0" xfId="5" applyFont="1" applyFill="1" applyAlignment="1">
      <alignment vertical="center"/>
    </xf>
    <xf numFmtId="165" fontId="9" fillId="2" borderId="0" xfId="5" applyFont="1" applyFill="1" applyAlignment="1">
      <alignment vertical="center"/>
    </xf>
    <xf numFmtId="165" fontId="14" fillId="2" borderId="0" xfId="5" applyFont="1" applyFill="1" applyAlignment="1" applyProtection="1">
      <alignment horizontal="left" vertical="center"/>
    </xf>
    <xf numFmtId="167" fontId="14" fillId="2" borderId="0" xfId="5" applyNumberFormat="1" applyFont="1" applyFill="1" applyBorder="1" applyAlignment="1">
      <alignment horizontal="right" vertical="center"/>
    </xf>
    <xf numFmtId="167" fontId="7" fillId="2" borderId="0" xfId="5" applyNumberFormat="1" applyFont="1" applyFill="1" applyBorder="1" applyAlignment="1">
      <alignment horizontal="right" vertical="center"/>
    </xf>
    <xf numFmtId="167" fontId="7" fillId="2" borderId="2" xfId="5" applyNumberFormat="1" applyFont="1" applyFill="1" applyBorder="1" applyAlignment="1">
      <alignment horizontal="right" vertical="center"/>
    </xf>
    <xf numFmtId="165" fontId="20" fillId="2" borderId="0" xfId="5" applyFont="1" applyFill="1" applyBorder="1" applyAlignment="1" applyProtection="1">
      <alignment horizontal="left" vertical="center"/>
    </xf>
    <xf numFmtId="165" fontId="4" fillId="2" borderId="0" xfId="5" applyFont="1" applyFill="1" applyAlignment="1">
      <alignment vertical="center"/>
    </xf>
    <xf numFmtId="1" fontId="9" fillId="2" borderId="3" xfId="5" applyNumberFormat="1" applyFont="1" applyFill="1" applyBorder="1" applyAlignment="1" applyProtection="1">
      <alignment horizontal="right" vertical="center"/>
    </xf>
    <xf numFmtId="167" fontId="14" fillId="2" borderId="0" xfId="5" applyNumberFormat="1" applyFont="1" applyFill="1" applyBorder="1" applyAlignment="1" applyProtection="1">
      <alignment horizontal="right" vertical="center"/>
    </xf>
    <xf numFmtId="167" fontId="7" fillId="2" borderId="0" xfId="5" applyNumberFormat="1" applyFont="1" applyFill="1" applyBorder="1" applyAlignment="1" applyProtection="1">
      <alignment horizontal="right" vertical="center"/>
    </xf>
    <xf numFmtId="167" fontId="7" fillId="2" borderId="2" xfId="5" applyNumberFormat="1" applyFont="1" applyFill="1" applyBorder="1" applyAlignment="1" applyProtection="1">
      <alignment horizontal="right" vertical="center"/>
    </xf>
    <xf numFmtId="165" fontId="4" fillId="2" borderId="0" xfId="5" applyFont="1" applyFill="1" applyAlignment="1">
      <alignment horizontal="right" vertical="center"/>
    </xf>
    <xf numFmtId="165" fontId="16" fillId="2" borderId="0" xfId="5" applyFont="1" applyFill="1" applyAlignment="1">
      <alignment vertical="center"/>
    </xf>
    <xf numFmtId="165" fontId="9" fillId="2" borderId="0" xfId="5" applyFont="1" applyFill="1" applyBorder="1" applyAlignment="1">
      <alignment vertical="center"/>
    </xf>
    <xf numFmtId="165" fontId="14" fillId="2" borderId="0" xfId="5" applyFont="1" applyFill="1" applyAlignment="1" applyProtection="1">
      <alignment vertical="center"/>
    </xf>
    <xf numFmtId="165" fontId="18" fillId="2" borderId="0" xfId="5" applyFont="1" applyFill="1" applyAlignment="1">
      <alignment horizontal="centerContinuous" vertical="center"/>
    </xf>
    <xf numFmtId="167" fontId="17" fillId="2" borderId="0" xfId="5" applyNumberFormat="1" applyFont="1" applyFill="1" applyBorder="1" applyAlignment="1" applyProtection="1">
      <alignment horizontal="right" vertical="center"/>
    </xf>
    <xf numFmtId="165" fontId="9" fillId="2" borderId="0" xfId="5" applyFont="1" applyFill="1" applyBorder="1" applyAlignment="1">
      <alignment horizontal="centerContinuous" vertical="center"/>
    </xf>
    <xf numFmtId="167" fontId="9" fillId="2" borderId="0" xfId="5" applyNumberFormat="1" applyFont="1" applyFill="1" applyBorder="1" applyAlignment="1">
      <alignment horizontal="left" vertical="center"/>
    </xf>
    <xf numFmtId="167" fontId="19" fillId="2" borderId="0" xfId="5" applyNumberFormat="1" applyFont="1" applyFill="1" applyBorder="1" applyAlignment="1" applyProtection="1">
      <alignment horizontal="right" vertical="center"/>
    </xf>
    <xf numFmtId="165" fontId="8" fillId="2" borderId="0" xfId="5" applyFont="1" applyFill="1" applyBorder="1" applyAlignment="1">
      <alignment horizontal="center"/>
    </xf>
    <xf numFmtId="165" fontId="18" fillId="2" borderId="0" xfId="5" applyFont="1" applyFill="1" applyBorder="1" applyAlignment="1">
      <alignment horizontal="right" vertical="center"/>
    </xf>
    <xf numFmtId="165" fontId="18" fillId="2" borderId="0" xfId="5" applyFont="1" applyFill="1" applyBorder="1" applyAlignment="1">
      <alignment horizontal="center" vertical="center"/>
    </xf>
    <xf numFmtId="165" fontId="18" fillId="2" borderId="0" xfId="5" applyFont="1" applyFill="1" applyBorder="1" applyAlignment="1">
      <alignment horizontal="right" vertical="center" wrapText="1"/>
    </xf>
    <xf numFmtId="167" fontId="18" fillId="2" borderId="0" xfId="5" applyNumberFormat="1" applyFont="1" applyFill="1" applyBorder="1" applyAlignment="1">
      <alignment horizontal="right" vertical="center"/>
    </xf>
    <xf numFmtId="167" fontId="18" fillId="2" borderId="0" xfId="5" applyNumberFormat="1" applyFont="1" applyFill="1" applyBorder="1" applyAlignment="1" applyProtection="1">
      <alignment horizontal="right" vertical="center"/>
    </xf>
    <xf numFmtId="1" fontId="18" fillId="2" borderId="0" xfId="5" applyNumberFormat="1" applyFont="1" applyFill="1" applyAlignment="1">
      <alignment vertical="center"/>
    </xf>
    <xf numFmtId="165" fontId="17" fillId="2" borderId="0" xfId="5" applyFont="1" applyFill="1"/>
    <xf numFmtId="165" fontId="17" fillId="2" borderId="0" xfId="5" applyFont="1" applyFill="1" applyAlignment="1">
      <alignment horizontal="right"/>
    </xf>
    <xf numFmtId="165" fontId="4" fillId="2" borderId="0" xfId="5" applyFont="1" applyFill="1"/>
    <xf numFmtId="165" fontId="4" fillId="2" borderId="0" xfId="5" applyFont="1" applyFill="1" applyAlignment="1">
      <alignment horizontal="right"/>
    </xf>
    <xf numFmtId="3" fontId="17" fillId="2" borderId="0" xfId="5" applyNumberFormat="1" applyFont="1" applyFill="1" applyAlignment="1">
      <alignment horizontal="right"/>
    </xf>
    <xf numFmtId="166" fontId="17" fillId="2" borderId="0" xfId="5" applyNumberFormat="1" applyFont="1" applyFill="1" applyAlignment="1">
      <alignment horizontal="right"/>
    </xf>
    <xf numFmtId="166" fontId="4" fillId="2" borderId="0" xfId="5" applyNumberFormat="1" applyFont="1" applyFill="1" applyAlignment="1">
      <alignment horizontal="right"/>
    </xf>
    <xf numFmtId="165" fontId="7" fillId="2" borderId="0" xfId="5" applyFont="1" applyFill="1" applyAlignment="1" applyProtection="1">
      <alignment horizontal="left" vertical="center"/>
    </xf>
    <xf numFmtId="165" fontId="7" fillId="2" borderId="2" xfId="5" applyFont="1" applyFill="1" applyBorder="1" applyAlignment="1" applyProtection="1">
      <alignment horizontal="left" vertical="center"/>
    </xf>
    <xf numFmtId="165" fontId="19" fillId="2" borderId="0" xfId="5" applyFont="1" applyFill="1" applyBorder="1" applyAlignment="1" applyProtection="1">
      <alignment horizontal="left" vertical="center"/>
    </xf>
    <xf numFmtId="165" fontId="10" fillId="2" borderId="0" xfId="5" applyFont="1" applyFill="1" applyBorder="1" applyAlignment="1">
      <alignment vertical="center"/>
    </xf>
    <xf numFmtId="165" fontId="18" fillId="2" borderId="0" xfId="5" applyFont="1" applyFill="1" applyBorder="1" applyAlignment="1">
      <alignment vertical="center"/>
    </xf>
    <xf numFmtId="3" fontId="14" fillId="2" borderId="0" xfId="5" applyNumberFormat="1" applyFont="1" applyFill="1" applyBorder="1" applyAlignment="1" applyProtection="1">
      <alignment horizontal="right" vertical="center"/>
    </xf>
    <xf numFmtId="165" fontId="14" fillId="2" borderId="0" xfId="5" applyFont="1" applyFill="1" applyAlignment="1" applyProtection="1">
      <alignment horizontal="center" vertical="center"/>
    </xf>
    <xf numFmtId="165" fontId="8" fillId="2" borderId="0" xfId="5" applyFont="1" applyFill="1" applyAlignment="1">
      <alignment horizontal="center" vertical="center"/>
    </xf>
    <xf numFmtId="165" fontId="8" fillId="2" borderId="0" xfId="5" applyFont="1" applyFill="1" applyBorder="1" applyAlignment="1">
      <alignment horizontal="right" vertical="center"/>
    </xf>
    <xf numFmtId="3" fontId="14" fillId="2" borderId="1" xfId="5" applyNumberFormat="1" applyFont="1" applyFill="1" applyBorder="1" applyAlignment="1">
      <alignment horizontal="right" vertical="center"/>
    </xf>
    <xf numFmtId="167" fontId="14" fillId="2" borderId="1" xfId="5" applyNumberFormat="1" applyFont="1" applyFill="1" applyBorder="1" applyAlignment="1">
      <alignment horizontal="right" vertical="center"/>
    </xf>
    <xf numFmtId="3" fontId="7" fillId="2" borderId="0" xfId="5" applyNumberFormat="1" applyFont="1" applyFill="1" applyBorder="1" applyAlignment="1" applyProtection="1">
      <alignment horizontal="right" vertical="center"/>
    </xf>
    <xf numFmtId="3" fontId="7" fillId="2" borderId="2" xfId="5" applyNumberFormat="1" applyFont="1" applyFill="1" applyBorder="1" applyAlignment="1" applyProtection="1">
      <alignment horizontal="right" vertical="center"/>
    </xf>
    <xf numFmtId="165" fontId="14" fillId="2" borderId="0" xfId="5" applyFont="1" applyFill="1" applyBorder="1" applyAlignment="1" applyProtection="1">
      <alignment vertical="center"/>
    </xf>
    <xf numFmtId="165" fontId="18" fillId="2" borderId="0" xfId="5" applyFont="1" applyFill="1" applyBorder="1" applyAlignment="1">
      <alignment horizontal="centerContinuous" vertical="center"/>
    </xf>
    <xf numFmtId="3" fontId="19" fillId="2" borderId="0" xfId="5" applyNumberFormat="1" applyFont="1" applyFill="1" applyBorder="1" applyAlignment="1" applyProtection="1">
      <alignment horizontal="center" vertical="center"/>
    </xf>
    <xf numFmtId="165" fontId="17" fillId="2" borderId="0" xfId="5" applyFont="1" applyFill="1" applyBorder="1"/>
    <xf numFmtId="165" fontId="16" fillId="2" borderId="0" xfId="5" applyFont="1" applyFill="1" applyAlignment="1">
      <alignment horizontal="center" vertical="center"/>
    </xf>
    <xf numFmtId="43" fontId="17" fillId="2" borderId="0" xfId="1" applyFont="1" applyFill="1" applyAlignment="1">
      <alignment horizontal="right"/>
    </xf>
    <xf numFmtId="165" fontId="9" fillId="2" borderId="0" xfId="5" applyFont="1" applyFill="1" applyBorder="1" applyAlignment="1" applyProtection="1">
      <alignment horizontal="center" vertical="center"/>
    </xf>
    <xf numFmtId="165" fontId="14" fillId="2" borderId="0" xfId="5" applyFont="1" applyFill="1" applyBorder="1" applyAlignment="1">
      <alignment horizontal="center" vertical="center"/>
    </xf>
    <xf numFmtId="165" fontId="24" fillId="2" borderId="0" xfId="5" applyFont="1" applyFill="1" applyBorder="1" applyAlignment="1">
      <alignment horizontal="right" vertical="center"/>
    </xf>
    <xf numFmtId="165" fontId="23" fillId="2" borderId="0" xfId="5" applyFont="1" applyFill="1" applyBorder="1" applyAlignment="1">
      <alignment horizontal="center" vertical="center"/>
    </xf>
    <xf numFmtId="165" fontId="23" fillId="2" borderId="1" xfId="5" applyFont="1" applyFill="1" applyBorder="1" applyAlignment="1">
      <alignment horizontal="center" vertical="center"/>
    </xf>
    <xf numFmtId="1" fontId="9" fillId="2" borderId="7" xfId="5" applyNumberFormat="1" applyFont="1" applyFill="1" applyBorder="1" applyAlignment="1" applyProtection="1">
      <alignment horizontal="right" vertical="center"/>
    </xf>
    <xf numFmtId="3" fontId="14" fillId="2" borderId="8" xfId="5" applyNumberFormat="1" applyFont="1" applyFill="1" applyBorder="1" applyAlignment="1">
      <alignment horizontal="right" vertical="center"/>
    </xf>
    <xf numFmtId="167" fontId="14" fillId="2" borderId="1" xfId="5" applyNumberFormat="1" applyFont="1" applyFill="1" applyBorder="1" applyAlignment="1">
      <alignment horizontal="center" vertical="center"/>
    </xf>
    <xf numFmtId="167" fontId="14" fillId="2" borderId="0" xfId="5" applyNumberFormat="1" applyFont="1" applyFill="1" applyBorder="1" applyAlignment="1">
      <alignment horizontal="center" vertical="center"/>
    </xf>
    <xf numFmtId="167" fontId="7" fillId="2" borderId="0" xfId="5" applyNumberFormat="1" applyFont="1" applyFill="1" applyBorder="1" applyAlignment="1">
      <alignment horizontal="center" vertical="center"/>
    </xf>
    <xf numFmtId="167" fontId="7" fillId="2" borderId="2" xfId="5" applyNumberFormat="1" applyFont="1" applyFill="1" applyBorder="1" applyAlignment="1">
      <alignment horizontal="center" vertical="center"/>
    </xf>
    <xf numFmtId="165" fontId="14" fillId="2" borderId="0" xfId="5" applyFont="1" applyFill="1" applyBorder="1" applyAlignment="1">
      <alignment horizontal="center" vertical="center" wrapText="1"/>
    </xf>
    <xf numFmtId="3" fontId="14" fillId="2" borderId="4" xfId="5" applyNumberFormat="1" applyFont="1" applyFill="1" applyBorder="1" applyAlignment="1" applyProtection="1">
      <alignment horizontal="right" vertical="center"/>
    </xf>
    <xf numFmtId="3" fontId="7" fillId="2" borderId="4" xfId="5" applyNumberFormat="1" applyFont="1" applyFill="1" applyBorder="1" applyAlignment="1" applyProtection="1">
      <alignment horizontal="right" vertical="center"/>
    </xf>
    <xf numFmtId="3" fontId="7" fillId="2" borderId="9" xfId="5" applyNumberFormat="1" applyFont="1" applyFill="1" applyBorder="1" applyAlignment="1" applyProtection="1">
      <alignment horizontal="right" vertical="center"/>
    </xf>
    <xf numFmtId="165" fontId="22" fillId="2" borderId="0" xfId="5" applyFont="1" applyFill="1" applyAlignment="1">
      <alignment horizontal="center" vertical="center"/>
    </xf>
    <xf numFmtId="165" fontId="9" fillId="2" borderId="1" xfId="5" applyFont="1" applyFill="1" applyBorder="1" applyAlignment="1" applyProtection="1">
      <alignment horizontal="left" vertical="center"/>
    </xf>
    <xf numFmtId="165" fontId="9" fillId="2" borderId="0" xfId="5" applyFont="1" applyFill="1" applyBorder="1" applyAlignment="1" applyProtection="1">
      <alignment horizontal="left" vertical="center"/>
    </xf>
    <xf numFmtId="165" fontId="9" fillId="2" borderId="2" xfId="5" applyFont="1" applyFill="1" applyBorder="1" applyAlignment="1" applyProtection="1">
      <alignment horizontal="left" vertical="center"/>
    </xf>
    <xf numFmtId="165" fontId="21" fillId="2" borderId="0" xfId="5" applyFont="1" applyFill="1" applyAlignment="1" applyProtection="1">
      <alignment horizontal="center" vertical="center"/>
    </xf>
    <xf numFmtId="165" fontId="15" fillId="2" borderId="0" xfId="5" applyFont="1" applyFill="1" applyAlignment="1">
      <alignment horizontal="center" vertical="center"/>
    </xf>
    <xf numFmtId="165" fontId="14" fillId="2" borderId="2" xfId="5" applyFont="1" applyFill="1" applyBorder="1" applyAlignment="1" applyProtection="1">
      <alignment horizontal="center" vertical="center"/>
    </xf>
    <xf numFmtId="165" fontId="25" fillId="2" borderId="0" xfId="5" applyFont="1" applyFill="1" applyBorder="1" applyAlignment="1">
      <alignment horizontal="center" vertical="center"/>
    </xf>
    <xf numFmtId="165" fontId="25" fillId="2" borderId="4" xfId="5" applyFont="1" applyFill="1" applyBorder="1" applyAlignment="1">
      <alignment horizontal="center" vertical="center"/>
    </xf>
    <xf numFmtId="165" fontId="6" fillId="2" borderId="2" xfId="5" applyFont="1" applyFill="1" applyBorder="1" applyAlignment="1">
      <alignment horizontal="center" vertical="center"/>
    </xf>
    <xf numFmtId="165" fontId="6" fillId="2" borderId="9" xfId="5" applyFont="1" applyFill="1" applyBorder="1" applyAlignment="1">
      <alignment horizontal="center" vertical="center"/>
    </xf>
    <xf numFmtId="165" fontId="13" fillId="2" borderId="1" xfId="5" applyFont="1" applyFill="1" applyBorder="1" applyAlignment="1">
      <alignment horizontal="center" vertical="center"/>
    </xf>
    <xf numFmtId="165" fontId="13" fillId="2" borderId="8" xfId="5" applyFont="1" applyFill="1" applyBorder="1" applyAlignment="1">
      <alignment horizontal="center" vertical="center"/>
    </xf>
    <xf numFmtId="165" fontId="25" fillId="2" borderId="5" xfId="5" applyFont="1" applyFill="1" applyBorder="1" applyAlignment="1">
      <alignment horizontal="center" vertical="center"/>
    </xf>
    <xf numFmtId="165" fontId="6" fillId="2" borderId="6" xfId="5" applyFont="1" applyFill="1" applyBorder="1" applyAlignment="1">
      <alignment horizontal="center" vertical="center"/>
    </xf>
  </cellXfs>
  <cellStyles count="8">
    <cellStyle name="1" xfId="7"/>
    <cellStyle name="Comma" xfId="1" builtinId="3"/>
    <cellStyle name="Comma 2" xfId="2"/>
    <cellStyle name="Normal" xfId="0" builtinId="0"/>
    <cellStyle name="Normal 2" xfId="6"/>
    <cellStyle name="Normal 3_agri planning 2009 year book(final)" xfId="4"/>
    <cellStyle name="Normal 4_agri planning 2009 year book(final)" xfId="3"/>
    <cellStyle name="Normal_Fish &amp;  Agri - 8" xfId="5"/>
  </cellStyles>
  <dxfs count="0"/>
  <tableStyles count="0" defaultTableStyle="TableStyleMedium9" defaultPivotStyle="PivotStyleLight16"/>
  <colors>
    <mruColors>
      <color rgb="FFFF9900"/>
      <color rgb="FF009900"/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9.3: Fish Catch and Fish Catch Growth by Month, 2016</a:t>
            </a:r>
          </a:p>
        </c:rich>
      </c:tx>
      <c:layout>
        <c:manualLayout>
          <c:xMode val="edge"/>
          <c:yMode val="edge"/>
          <c:x val="0.20239741855016716"/>
          <c:y val="5.02715525943872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9433820772406E-2"/>
          <c:y val="0.20680631267245442"/>
          <c:w val="0.88703977792249655"/>
          <c:h val="0.675393027794602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'9.4'!$AM$6</c:f>
              <c:strCache>
                <c:ptCount val="1"/>
                <c:pt idx="0">
                  <c:v>Fish Catch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'9.4'!$AL$7:$AL$18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'9.4'!$AM$7:$AM$18</c:f>
              <c:numCache>
                <c:formatCode>_(* #,##0.00_);_(* \(#,##0.00\);_(* "-"??_);_(@_)</c:formatCode>
                <c:ptCount val="12"/>
                <c:pt idx="0">
                  <c:v>9242.4340000792708</c:v>
                </c:pt>
                <c:pt idx="1">
                  <c:v>9580.713106420797</c:v>
                </c:pt>
                <c:pt idx="2">
                  <c:v>11081.115236540205</c:v>
                </c:pt>
                <c:pt idx="3">
                  <c:v>16088.390172322903</c:v>
                </c:pt>
                <c:pt idx="4">
                  <c:v>11028.292071055752</c:v>
                </c:pt>
                <c:pt idx="5">
                  <c:v>3361.4459041135619</c:v>
                </c:pt>
                <c:pt idx="6">
                  <c:v>4321.9839660894231</c:v>
                </c:pt>
                <c:pt idx="7">
                  <c:v>6688.7992346372639</c:v>
                </c:pt>
                <c:pt idx="8">
                  <c:v>7126.7487685126462</c:v>
                </c:pt>
                <c:pt idx="9">
                  <c:v>17174.598309801167</c:v>
                </c:pt>
                <c:pt idx="10">
                  <c:v>15969.368894941832</c:v>
                </c:pt>
                <c:pt idx="11">
                  <c:v>15685.110442037339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4-4E2E-8BA3-758658199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83864192"/>
        <c:axId val="83874176"/>
      </c:barChart>
      <c:lineChart>
        <c:grouping val="standard"/>
        <c:varyColors val="0"/>
        <c:ser>
          <c:idx val="1"/>
          <c:order val="1"/>
          <c:tx>
            <c:strRef>
              <c:f>'9.4'!$AN$6</c:f>
              <c:strCache>
                <c:ptCount val="1"/>
                <c:pt idx="0">
                  <c:v>Growth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'9.4'!$AL$7:$AL$18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'9.4'!$AN$7:$AN$18</c:f>
              <c:numCache>
                <c:formatCode>#,##0</c:formatCode>
                <c:ptCount val="12"/>
                <c:pt idx="0">
                  <c:v>-52.025199285151757</c:v>
                </c:pt>
                <c:pt idx="1">
                  <c:v>-7.254312370057943</c:v>
                </c:pt>
                <c:pt idx="2">
                  <c:v>16.653176108201848</c:v>
                </c:pt>
                <c:pt idx="3">
                  <c:v>-4.3895930426448171</c:v>
                </c:pt>
                <c:pt idx="4">
                  <c:v>19.584719957563017</c:v>
                </c:pt>
                <c:pt idx="5">
                  <c:v>-49.491724648959902</c:v>
                </c:pt>
                <c:pt idx="6">
                  <c:v>-24.229968196818394</c:v>
                </c:pt>
                <c:pt idx="7">
                  <c:v>-10.866511899966927</c:v>
                </c:pt>
                <c:pt idx="8">
                  <c:v>20.420213479445525</c:v>
                </c:pt>
                <c:pt idx="9">
                  <c:v>19.806378337191287</c:v>
                </c:pt>
                <c:pt idx="10">
                  <c:v>26.621323834013904</c:v>
                </c:pt>
                <c:pt idx="11">
                  <c:v>74.370561613106659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B4-4E2E-8BA3-758658199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875712"/>
        <c:axId val="83877248"/>
      </c:lineChart>
      <c:catAx>
        <c:axId val="8386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741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3874176"/>
        <c:scaling>
          <c:orientation val="minMax"/>
          <c:max val="2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64192"/>
        <c:crosses val="autoZero"/>
        <c:crossBetween val="between"/>
      </c:valAx>
      <c:catAx>
        <c:axId val="83875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83877248"/>
        <c:crosses val="autoZero"/>
        <c:auto val="0"/>
        <c:lblAlgn val="ctr"/>
        <c:lblOffset val="100"/>
        <c:noMultiLvlLbl val="0"/>
      </c:catAx>
      <c:valAx>
        <c:axId val="83877248"/>
        <c:scaling>
          <c:orientation val="minMax"/>
          <c:max val="120"/>
        </c:scaling>
        <c:delete val="0"/>
        <c:axPos val="r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75712"/>
        <c:crosses val="max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5569988432475467"/>
          <c:y val="0.28154485497005183"/>
          <c:w val="0.21524729285196498"/>
          <c:h val="6.683222289521501E-2"/>
        </c:manualLayout>
      </c:layout>
      <c:overlay val="0"/>
    </c:legend>
    <c:plotVisOnly val="1"/>
    <c:dispBlanksAs val="gap"/>
    <c:showDLblsOverMax val="0"/>
  </c:chart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59055</xdr:rowOff>
    </xdr:from>
    <xdr:to>
      <xdr:col>1</xdr:col>
      <xdr:colOff>171608</xdr:colOff>
      <xdr:row>28</xdr:row>
      <xdr:rowOff>9593</xdr:rowOff>
    </xdr:to>
    <xdr:sp macro="" textlink="">
      <xdr:nvSpPr>
        <xdr:cNvPr id="7" name="TextBox 6"/>
        <xdr:cNvSpPr txBox="1"/>
      </xdr:nvSpPr>
      <xdr:spPr>
        <a:xfrm>
          <a:off x="3017598" y="4583430"/>
          <a:ext cx="69731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26</xdr:row>
      <xdr:rowOff>68580</xdr:rowOff>
    </xdr:from>
    <xdr:to>
      <xdr:col>2</xdr:col>
      <xdr:colOff>72534</xdr:colOff>
      <xdr:row>28</xdr:row>
      <xdr:rowOff>19118</xdr:rowOff>
    </xdr:to>
    <xdr:sp macro="" textlink="">
      <xdr:nvSpPr>
        <xdr:cNvPr id="8" name="TextBox 7"/>
        <xdr:cNvSpPr txBox="1"/>
      </xdr:nvSpPr>
      <xdr:spPr>
        <a:xfrm>
          <a:off x="2933778" y="4592955"/>
          <a:ext cx="1272606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  <xdr:twoCellAnchor>
    <xdr:from>
      <xdr:col>0</xdr:col>
      <xdr:colOff>161925</xdr:colOff>
      <xdr:row>24</xdr:row>
      <xdr:rowOff>114300</xdr:rowOff>
    </xdr:from>
    <xdr:to>
      <xdr:col>16</xdr:col>
      <xdr:colOff>1390649</xdr:colOff>
      <xdr:row>43</xdr:row>
      <xdr:rowOff>47625</xdr:rowOff>
    </xdr:to>
    <xdr:graphicFrame macro="">
      <xdr:nvGraphicFramePr>
        <xdr:cNvPr id="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485777</xdr:colOff>
      <xdr:row>27</xdr:row>
      <xdr:rowOff>104775</xdr:rowOff>
    </xdr:from>
    <xdr:to>
      <xdr:col>16</xdr:col>
      <xdr:colOff>1343025</xdr:colOff>
      <xdr:row>28</xdr:row>
      <xdr:rowOff>76200</xdr:rowOff>
    </xdr:to>
    <xdr:sp macro="" textlink="">
      <xdr:nvSpPr>
        <xdr:cNvPr id="11" name="TextBox 10"/>
        <xdr:cNvSpPr txBox="1"/>
      </xdr:nvSpPr>
      <xdr:spPr>
        <a:xfrm>
          <a:off x="6953252" y="6086475"/>
          <a:ext cx="857248" cy="123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</a:t>
          </a:r>
          <a:r>
            <a:rPr lang="en-US" sz="900"/>
            <a:t>Percent</a:t>
          </a:r>
          <a:endParaRPr lang="en-US" sz="1000"/>
        </a:p>
      </xdr:txBody>
    </xdr:sp>
    <xdr:clientData/>
  </xdr:twoCellAnchor>
  <xdr:twoCellAnchor>
    <xdr:from>
      <xdr:col>3</xdr:col>
      <xdr:colOff>142874</xdr:colOff>
      <xdr:row>27</xdr:row>
      <xdr:rowOff>47625</xdr:rowOff>
    </xdr:from>
    <xdr:to>
      <xdr:col>14</xdr:col>
      <xdr:colOff>323849</xdr:colOff>
      <xdr:row>27</xdr:row>
      <xdr:rowOff>66675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 flipV="1">
          <a:off x="1914524" y="5972175"/>
          <a:ext cx="5095875" cy="1905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Documents\Agri_SYB%202017%20_%20for%20Recheck%20_4%20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8"/>
      <sheetName val="9.19"/>
      <sheetName val="9.20"/>
    </sheetNames>
    <sheetDataSet>
      <sheetData sheetId="0">
        <row r="6">
          <cell r="F6">
            <v>2012</v>
          </cell>
          <cell r="G6">
            <v>2013</v>
          </cell>
          <cell r="H6">
            <v>2014</v>
          </cell>
        </row>
        <row r="8">
          <cell r="A8" t="str">
            <v>January</v>
          </cell>
          <cell r="F8">
            <v>13736.8205</v>
          </cell>
          <cell r="G8">
            <v>5494.0505000000003</v>
          </cell>
          <cell r="H8">
            <v>3075.7</v>
          </cell>
        </row>
        <row r="9">
          <cell r="A9" t="str">
            <v>February</v>
          </cell>
          <cell r="F9">
            <v>13129.5085</v>
          </cell>
          <cell r="G9">
            <v>6652.4795000000004</v>
          </cell>
          <cell r="H9">
            <v>2827.83</v>
          </cell>
        </row>
        <row r="10">
          <cell r="A10" t="str">
            <v>March</v>
          </cell>
          <cell r="F10">
            <v>10113.8855</v>
          </cell>
          <cell r="G10">
            <v>2169.9749999999999</v>
          </cell>
          <cell r="H10">
            <v>4973.7240000000002</v>
          </cell>
        </row>
        <row r="11">
          <cell r="A11" t="str">
            <v>April</v>
          </cell>
          <cell r="F11">
            <v>8310.6272499999995</v>
          </cell>
          <cell r="G11">
            <v>4903.4449999999997</v>
          </cell>
          <cell r="H11">
            <v>3393.68</v>
          </cell>
        </row>
        <row r="12">
          <cell r="A12" t="str">
            <v>May</v>
          </cell>
          <cell r="F12">
            <v>9784.75</v>
          </cell>
          <cell r="G12">
            <v>1682.45</v>
          </cell>
          <cell r="H12">
            <v>1162.385</v>
          </cell>
        </row>
        <row r="13">
          <cell r="A13" t="str">
            <v>June</v>
          </cell>
          <cell r="F13" t="str">
            <v>-</v>
          </cell>
          <cell r="G13">
            <v>629.17499999999995</v>
          </cell>
          <cell r="H13">
            <v>135.19999999999999</v>
          </cell>
        </row>
        <row r="14">
          <cell r="A14" t="str">
            <v>July</v>
          </cell>
          <cell r="F14">
            <v>7576.585</v>
          </cell>
          <cell r="G14" t="str">
            <v>-</v>
          </cell>
          <cell r="H14">
            <v>10021.85</v>
          </cell>
        </row>
        <row r="15">
          <cell r="A15" t="str">
            <v>August</v>
          </cell>
          <cell r="F15">
            <v>4974.5874999999996</v>
          </cell>
          <cell r="G15" t="str">
            <v>-</v>
          </cell>
          <cell r="H15">
            <v>921.5</v>
          </cell>
        </row>
        <row r="16">
          <cell r="A16" t="str">
            <v>September</v>
          </cell>
          <cell r="F16" t="str">
            <v>-</v>
          </cell>
          <cell r="G16">
            <v>7582.9790000000003</v>
          </cell>
          <cell r="H16">
            <v>1818.71</v>
          </cell>
        </row>
        <row r="17">
          <cell r="A17" t="str">
            <v>October</v>
          </cell>
          <cell r="F17">
            <v>3558.34175</v>
          </cell>
          <cell r="G17">
            <v>3918.48</v>
          </cell>
          <cell r="H17">
            <v>1463.45</v>
          </cell>
        </row>
        <row r="18">
          <cell r="A18" t="str">
            <v>November</v>
          </cell>
          <cell r="F18">
            <v>9511.2639999999992</v>
          </cell>
          <cell r="G18">
            <v>386.66500000000002</v>
          </cell>
          <cell r="H18">
            <v>2034.43</v>
          </cell>
        </row>
        <row r="19">
          <cell r="A19" t="str">
            <v>December</v>
          </cell>
          <cell r="F19">
            <v>8162.64</v>
          </cell>
          <cell r="G19">
            <v>1173.1075000000001</v>
          </cell>
          <cell r="H19">
            <v>1197.5820000000001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T63"/>
  <sheetViews>
    <sheetView tabSelected="1" zoomScaleNormal="100" zoomScaleSheetLayoutView="100" workbookViewId="0">
      <selection activeCell="Z17" sqref="Z17"/>
    </sheetView>
  </sheetViews>
  <sheetFormatPr defaultColWidth="8.85546875" defaultRowHeight="12.75" x14ac:dyDescent="0.2"/>
  <cols>
    <col min="1" max="1" width="8.85546875" style="39"/>
    <col min="2" max="4" width="8.85546875" style="40"/>
    <col min="5" max="7" width="11.140625" style="40" customWidth="1"/>
    <col min="8" max="10" width="7.85546875" style="40" hidden="1" customWidth="1"/>
    <col min="11" max="16" width="7.85546875" style="40" customWidth="1"/>
    <col min="17" max="17" width="23.28515625" style="40" customWidth="1"/>
    <col min="18" max="20" width="3.28515625" style="40" customWidth="1"/>
    <col min="21" max="38" width="8.85546875" style="39"/>
    <col min="39" max="39" width="10" style="39" bestFit="1" customWidth="1"/>
    <col min="40" max="16384" width="8.85546875" style="39"/>
  </cols>
  <sheetData>
    <row r="1" spans="1:46" s="8" customFormat="1" ht="19.5" x14ac:dyDescent="0.25">
      <c r="A1" s="78" t="s">
        <v>31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61"/>
      <c r="S1" s="61"/>
      <c r="T1" s="61"/>
      <c r="U1" s="22"/>
      <c r="V1" s="22"/>
      <c r="W1" s="22"/>
    </row>
    <row r="2" spans="1:46" s="10" customFormat="1" ht="15.75" x14ac:dyDescent="0.25">
      <c r="A2" s="82" t="s">
        <v>30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50"/>
      <c r="S2" s="50"/>
      <c r="T2" s="50"/>
      <c r="U2" s="24"/>
      <c r="V2" s="24"/>
      <c r="W2" s="57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46" s="9" customFormat="1" ht="15.75" x14ac:dyDescent="0.25">
      <c r="A3" s="83" t="s">
        <v>21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51"/>
      <c r="S3" s="51"/>
      <c r="T3" s="51"/>
      <c r="U3" s="25"/>
      <c r="V3" s="25"/>
      <c r="W3" s="58"/>
      <c r="X3" s="48"/>
      <c r="Y3" s="48"/>
      <c r="Z3" s="48"/>
      <c r="AA3" s="48"/>
      <c r="AB3" s="48"/>
      <c r="AC3" s="48"/>
      <c r="AD3" s="48"/>
      <c r="AE3" s="48"/>
      <c r="AF3" s="26"/>
      <c r="AG3" s="48"/>
      <c r="AH3" s="48"/>
      <c r="AI3" s="48"/>
      <c r="AJ3" s="48"/>
      <c r="AK3" s="48"/>
      <c r="AL3" s="48"/>
      <c r="AM3" s="48"/>
      <c r="AN3" s="48"/>
    </row>
    <row r="4" spans="1:46" s="10" customFormat="1" x14ac:dyDescent="0.25">
      <c r="A4" s="84" t="s">
        <v>22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63"/>
      <c r="S4" s="63"/>
      <c r="T4" s="63"/>
      <c r="U4" s="27"/>
      <c r="V4" s="27"/>
      <c r="W4" s="27"/>
      <c r="X4" s="46"/>
      <c r="Y4" s="59"/>
      <c r="Z4" s="28"/>
      <c r="AA4" s="28"/>
      <c r="AB4" s="28"/>
      <c r="AC4" s="28"/>
      <c r="AD4" s="28"/>
      <c r="AE4" s="28"/>
      <c r="AF4" s="23"/>
      <c r="AG4" s="23"/>
      <c r="AH4" s="29"/>
      <c r="AI4" s="23"/>
      <c r="AJ4" s="23"/>
      <c r="AK4" s="23"/>
      <c r="AL4" s="23"/>
      <c r="AM4" s="23"/>
      <c r="AN4" s="23"/>
    </row>
    <row r="5" spans="1:46" s="9" customFormat="1" ht="13.5" customHeight="1" x14ac:dyDescent="0.4">
      <c r="A5" s="79" t="s">
        <v>0</v>
      </c>
      <c r="B5" s="89"/>
      <c r="C5" s="89"/>
      <c r="D5" s="89"/>
      <c r="E5" s="89"/>
      <c r="F5" s="89"/>
      <c r="G5" s="90"/>
      <c r="Q5" s="67" t="s">
        <v>23</v>
      </c>
      <c r="R5" s="52"/>
      <c r="S5" s="52"/>
      <c r="T5" s="52"/>
      <c r="U5" s="30"/>
      <c r="W5" s="7"/>
      <c r="X5" s="46"/>
      <c r="Y5" s="59"/>
      <c r="Z5" s="28"/>
      <c r="AA5" s="28"/>
      <c r="AB5" s="28"/>
      <c r="AC5" s="28"/>
      <c r="AD5" s="28"/>
      <c r="AE5" s="28"/>
      <c r="AF5" s="48"/>
      <c r="AG5" s="48"/>
      <c r="AH5" s="26"/>
      <c r="AI5" s="48"/>
      <c r="AJ5" s="48"/>
      <c r="AK5" s="40"/>
      <c r="AL5" s="40"/>
      <c r="AM5" s="39"/>
      <c r="AN5" s="39"/>
    </row>
    <row r="6" spans="1:46" s="2" customFormat="1" ht="20.45" customHeight="1" x14ac:dyDescent="0.2">
      <c r="A6" s="80"/>
      <c r="B6" s="85" t="s">
        <v>18</v>
      </c>
      <c r="C6" s="85"/>
      <c r="D6" s="85"/>
      <c r="E6" s="85"/>
      <c r="F6" s="85"/>
      <c r="G6" s="86"/>
      <c r="H6" s="91" t="s">
        <v>15</v>
      </c>
      <c r="I6" s="85"/>
      <c r="J6" s="85"/>
      <c r="K6" s="85"/>
      <c r="L6" s="85"/>
      <c r="M6" s="85"/>
      <c r="N6" s="85"/>
      <c r="O6" s="85"/>
      <c r="P6" s="85"/>
      <c r="Q6" s="66" t="s">
        <v>24</v>
      </c>
      <c r="R6" s="52"/>
      <c r="S6" s="52"/>
      <c r="T6" s="52"/>
      <c r="W6" s="7"/>
      <c r="X6" s="46"/>
      <c r="Y6" s="59"/>
      <c r="Z6" s="28"/>
      <c r="AA6" s="28"/>
      <c r="AB6" s="28"/>
      <c r="AC6" s="28"/>
      <c r="AD6" s="28"/>
      <c r="AE6" s="28"/>
      <c r="AF6" s="7"/>
      <c r="AG6" s="7"/>
      <c r="AH6" s="26"/>
      <c r="AI6" s="7"/>
      <c r="AJ6" s="7"/>
      <c r="AK6" s="40"/>
      <c r="AL6" s="38" t="s">
        <v>0</v>
      </c>
      <c r="AM6" s="23" t="s">
        <v>26</v>
      </c>
      <c r="AN6" s="23" t="s">
        <v>27</v>
      </c>
    </row>
    <row r="7" spans="1:46" s="2" customFormat="1" ht="15" x14ac:dyDescent="0.2">
      <c r="A7" s="80"/>
      <c r="B7" s="87" t="s">
        <v>19</v>
      </c>
      <c r="C7" s="87"/>
      <c r="D7" s="87"/>
      <c r="E7" s="87"/>
      <c r="F7" s="87"/>
      <c r="G7" s="88"/>
      <c r="H7" s="92" t="s">
        <v>16</v>
      </c>
      <c r="I7" s="87"/>
      <c r="J7" s="87"/>
      <c r="K7" s="87"/>
      <c r="L7" s="87"/>
      <c r="M7" s="87"/>
      <c r="N7" s="87"/>
      <c r="O7" s="87"/>
      <c r="P7" s="87"/>
      <c r="Q7" s="64" t="s">
        <v>25</v>
      </c>
      <c r="R7" s="31"/>
      <c r="S7" s="31"/>
      <c r="T7" s="31"/>
      <c r="U7" s="32"/>
      <c r="W7" s="52"/>
      <c r="X7" s="46"/>
      <c r="Y7" s="59"/>
      <c r="Z7" s="28"/>
      <c r="AA7" s="28"/>
      <c r="AB7" s="28"/>
      <c r="AC7" s="28"/>
      <c r="AD7" s="28"/>
      <c r="AE7" s="28"/>
      <c r="AF7" s="7"/>
      <c r="AG7" s="7"/>
      <c r="AH7" s="26"/>
      <c r="AI7" s="7"/>
      <c r="AJ7" s="7"/>
      <c r="AK7" s="40"/>
      <c r="AL7" s="39" t="s">
        <v>2</v>
      </c>
      <c r="AM7" s="62">
        <f>G11</f>
        <v>9242.4340000792708</v>
      </c>
      <c r="AN7" s="41">
        <f>Q11</f>
        <v>-52.025199285151757</v>
      </c>
    </row>
    <row r="8" spans="1:46" s="2" customFormat="1" ht="18" customHeight="1" x14ac:dyDescent="0.2">
      <c r="A8" s="81"/>
      <c r="B8" s="17">
        <v>2011</v>
      </c>
      <c r="C8" s="17">
        <v>2012</v>
      </c>
      <c r="D8" s="17">
        <v>2013</v>
      </c>
      <c r="E8" s="17">
        <v>2014</v>
      </c>
      <c r="F8" s="17">
        <v>2015</v>
      </c>
      <c r="G8" s="68">
        <v>2016</v>
      </c>
      <c r="H8" s="3">
        <v>2008</v>
      </c>
      <c r="I8" s="3">
        <v>2009</v>
      </c>
      <c r="J8" s="3">
        <v>2010</v>
      </c>
      <c r="K8" s="3">
        <v>2011</v>
      </c>
      <c r="L8" s="3">
        <v>2012</v>
      </c>
      <c r="M8" s="3">
        <v>2013</v>
      </c>
      <c r="N8" s="3">
        <v>2014</v>
      </c>
      <c r="O8" s="3">
        <v>2015</v>
      </c>
      <c r="P8" s="3">
        <v>2016</v>
      </c>
      <c r="Q8" s="74" t="s">
        <v>29</v>
      </c>
      <c r="R8" s="33"/>
      <c r="S8" s="33"/>
      <c r="T8" s="33"/>
      <c r="U8" s="9"/>
      <c r="V8" s="9"/>
      <c r="W8" s="48"/>
      <c r="X8" s="46"/>
      <c r="Y8" s="59"/>
      <c r="Z8" s="28"/>
      <c r="AA8" s="28"/>
      <c r="AB8" s="28"/>
      <c r="AC8" s="28"/>
      <c r="AD8" s="28"/>
      <c r="AE8" s="28"/>
      <c r="AF8" s="7"/>
      <c r="AG8" s="7"/>
      <c r="AH8" s="26"/>
      <c r="AI8" s="7"/>
      <c r="AJ8" s="7"/>
      <c r="AK8" s="40"/>
      <c r="AL8" s="39" t="s">
        <v>3</v>
      </c>
      <c r="AM8" s="62">
        <f t="shared" ref="AM8:AM18" si="0">G12</f>
        <v>9580.713106420797</v>
      </c>
      <c r="AN8" s="41">
        <f t="shared" ref="AN8:AN18" si="1">Q12</f>
        <v>-7.254312370057943</v>
      </c>
    </row>
    <row r="9" spans="1:46" s="2" customFormat="1" ht="19.5" customHeight="1" x14ac:dyDescent="0.2">
      <c r="A9" s="11" t="s">
        <v>1</v>
      </c>
      <c r="B9" s="53">
        <f t="shared" ref="B9" si="2">SUM(B10:B22)</f>
        <v>120836.031774473</v>
      </c>
      <c r="C9" s="53">
        <f>SUM(C10:C22)</f>
        <v>120000.92939572019</v>
      </c>
      <c r="D9" s="53">
        <f>SUM(D10:D22)</f>
        <v>129843.14697257247</v>
      </c>
      <c r="E9" s="53">
        <f>SUM(E10:E22)</f>
        <v>128683.22700000019</v>
      </c>
      <c r="F9" s="53">
        <f>SUM(F10:F22)</f>
        <v>127351.81848143281</v>
      </c>
      <c r="G9" s="69">
        <f>SUM(G10:G22)</f>
        <v>129190.99510655216</v>
      </c>
      <c r="H9" s="54" t="e">
        <f>#REF!/#REF!*100</f>
        <v>#REF!</v>
      </c>
      <c r="I9" s="54" t="e">
        <f>#REF!/#REF!*100</f>
        <v>#REF!</v>
      </c>
      <c r="J9" s="54" t="e">
        <f>#REF!/#REF!*100</f>
        <v>#REF!</v>
      </c>
      <c r="K9" s="54">
        <f t="shared" ref="K9:N9" si="3">B9/B9*100</f>
        <v>100</v>
      </c>
      <c r="L9" s="54">
        <f t="shared" si="3"/>
        <v>100</v>
      </c>
      <c r="M9" s="54">
        <f t="shared" si="3"/>
        <v>100</v>
      </c>
      <c r="N9" s="54">
        <f t="shared" si="3"/>
        <v>100</v>
      </c>
      <c r="O9" s="54">
        <f t="shared" ref="O9:P9" si="4">F9/F9*100</f>
        <v>100</v>
      </c>
      <c r="P9" s="54">
        <f t="shared" si="4"/>
        <v>100</v>
      </c>
      <c r="Q9" s="70">
        <f>((G9-F9)/F9)*100</f>
        <v>1.4441698964726517</v>
      </c>
      <c r="R9" s="34"/>
      <c r="S9" s="34"/>
      <c r="T9" s="34"/>
      <c r="U9" s="9"/>
      <c r="V9" s="9"/>
      <c r="W9" s="48"/>
      <c r="X9" s="46"/>
      <c r="Y9" s="59"/>
      <c r="Z9" s="28"/>
      <c r="AA9" s="28"/>
      <c r="AB9" s="28"/>
      <c r="AC9" s="28"/>
      <c r="AD9" s="28"/>
      <c r="AE9" s="28"/>
      <c r="AF9" s="7"/>
      <c r="AG9" s="7"/>
      <c r="AH9" s="26"/>
      <c r="AI9" s="7"/>
      <c r="AJ9" s="7"/>
      <c r="AK9" s="21"/>
      <c r="AL9" s="16" t="s">
        <v>4</v>
      </c>
      <c r="AM9" s="62">
        <f t="shared" si="0"/>
        <v>11081.115236540205</v>
      </c>
      <c r="AN9" s="41">
        <f t="shared" si="1"/>
        <v>16.653176108201848</v>
      </c>
    </row>
    <row r="10" spans="1:46" s="2" customFormat="1" ht="19.5" customHeight="1" x14ac:dyDescent="0.2">
      <c r="A10" s="11" t="s">
        <v>20</v>
      </c>
      <c r="B10" s="49" t="s">
        <v>28</v>
      </c>
      <c r="C10" s="49">
        <v>134.74387105900701</v>
      </c>
      <c r="D10" s="49">
        <v>1600.4226499999997</v>
      </c>
      <c r="E10" s="49">
        <v>2123.2380000000007</v>
      </c>
      <c r="F10" s="49">
        <v>483.87768999999992</v>
      </c>
      <c r="G10" s="75">
        <v>1841.9949999999999</v>
      </c>
      <c r="H10" s="18" t="e">
        <f>(#REF!/#REF!)*100</f>
        <v>#REF!</v>
      </c>
      <c r="I10" s="18" t="e">
        <f>(#REF!/#REF!)*100</f>
        <v>#REF!</v>
      </c>
      <c r="J10" s="18">
        <v>0</v>
      </c>
      <c r="K10" s="18">
        <v>0</v>
      </c>
      <c r="L10" s="18">
        <f>(C10/C9)*100</f>
        <v>0.11228568956717815</v>
      </c>
      <c r="M10" s="12">
        <f t="shared" ref="M10:M22" si="5">D10/$D$9*100</f>
        <v>1.2325815318832856</v>
      </c>
      <c r="N10" s="12">
        <f>E10/$E$9*100</f>
        <v>1.6499726106495587</v>
      </c>
      <c r="O10" s="12">
        <f t="shared" ref="O10:P22" si="6">F10/$E$9*100</f>
        <v>0.37602234671966939</v>
      </c>
      <c r="P10" s="12">
        <f t="shared" si="6"/>
        <v>1.4314180977136959</v>
      </c>
      <c r="Q10" s="71">
        <f t="shared" ref="Q10:Q22" si="7">((G10-F10)/F10)*100</f>
        <v>280.67367809414822</v>
      </c>
      <c r="R10" s="35"/>
      <c r="T10" s="35"/>
      <c r="U10" s="36"/>
      <c r="V10" s="9"/>
      <c r="W10" s="48"/>
      <c r="X10" s="46"/>
      <c r="Y10" s="59"/>
      <c r="Z10" s="28"/>
      <c r="AA10" s="28"/>
      <c r="AB10" s="28"/>
      <c r="AC10" s="28"/>
      <c r="AD10" s="28"/>
      <c r="AE10" s="28"/>
      <c r="AF10" s="7"/>
      <c r="AG10" s="7"/>
      <c r="AH10" s="26"/>
      <c r="AI10" s="7"/>
      <c r="AJ10" s="7"/>
      <c r="AK10" s="21"/>
      <c r="AL10" s="16" t="s">
        <v>5</v>
      </c>
      <c r="AM10" s="62">
        <f t="shared" si="0"/>
        <v>16088.390172322903</v>
      </c>
      <c r="AN10" s="41">
        <f t="shared" si="1"/>
        <v>-4.3895930426448171</v>
      </c>
    </row>
    <row r="11" spans="1:46" s="2" customFormat="1" ht="19.5" customHeight="1" x14ac:dyDescent="0.2">
      <c r="A11" s="44" t="s">
        <v>2</v>
      </c>
      <c r="B11" s="55">
        <v>14955.189976228001</v>
      </c>
      <c r="C11" s="55">
        <v>7654.3823507463503</v>
      </c>
      <c r="D11" s="55">
        <v>9767.2253264603569</v>
      </c>
      <c r="E11" s="55">
        <v>15131.434517689773</v>
      </c>
      <c r="F11" s="55">
        <v>19265.18476859192</v>
      </c>
      <c r="G11" s="76">
        <v>9242.4340000792708</v>
      </c>
      <c r="H11" s="19" t="e">
        <f>(#REF!/#REF!)*100</f>
        <v>#REF!</v>
      </c>
      <c r="I11" s="19" t="e">
        <f>(#REF!/#REF!)*100</f>
        <v>#REF!</v>
      </c>
      <c r="J11" s="19" t="e">
        <f>(#REF!/#REF!)*100</f>
        <v>#REF!</v>
      </c>
      <c r="K11" s="19">
        <f t="shared" ref="K11:K22" si="8">(B11/$B$9)*100</f>
        <v>12.376432556259543</v>
      </c>
      <c r="L11" s="19">
        <f t="shared" ref="L11:L22" si="9">(C11/$C$9)*100</f>
        <v>6.3786025569059825</v>
      </c>
      <c r="M11" s="13">
        <f t="shared" si="5"/>
        <v>7.5223264024273417</v>
      </c>
      <c r="N11" s="13">
        <f>E11/$E$9*100</f>
        <v>11.758668841658556</v>
      </c>
      <c r="O11" s="13">
        <f t="shared" si="6"/>
        <v>14.971014651809977</v>
      </c>
      <c r="P11" s="13">
        <f t="shared" si="6"/>
        <v>7.1823144441965674</v>
      </c>
      <c r="Q11" s="72">
        <f>((G11-F11)/F11)*100</f>
        <v>-52.025199285151757</v>
      </c>
      <c r="R11" s="26"/>
      <c r="T11" s="26"/>
      <c r="U11" s="36"/>
      <c r="V11" s="9"/>
      <c r="W11" s="48"/>
      <c r="X11" s="46"/>
      <c r="Y11" s="59"/>
      <c r="Z11" s="28"/>
      <c r="AA11" s="28"/>
      <c r="AB11" s="28"/>
      <c r="AC11" s="28"/>
      <c r="AD11" s="28"/>
      <c r="AE11" s="28"/>
      <c r="AF11" s="7"/>
      <c r="AG11" s="7"/>
      <c r="AH11" s="26"/>
      <c r="AI11" s="7"/>
      <c r="AJ11" s="7"/>
      <c r="AK11" s="21"/>
      <c r="AL11" s="16" t="s">
        <v>6</v>
      </c>
      <c r="AM11" s="62">
        <f t="shared" si="0"/>
        <v>11028.292071055752</v>
      </c>
      <c r="AN11" s="41">
        <f t="shared" si="1"/>
        <v>19.584719957563017</v>
      </c>
    </row>
    <row r="12" spans="1:46" s="2" customFormat="1" ht="19.5" customHeight="1" x14ac:dyDescent="0.2">
      <c r="A12" s="44" t="s">
        <v>3</v>
      </c>
      <c r="B12" s="55">
        <v>12368.042381476002</v>
      </c>
      <c r="C12" s="55">
        <v>7719.8029243069659</v>
      </c>
      <c r="D12" s="55">
        <v>9293.4740501910273</v>
      </c>
      <c r="E12" s="55">
        <v>9148.580069118716</v>
      </c>
      <c r="F12" s="55">
        <v>10330.090111195375</v>
      </c>
      <c r="G12" s="76">
        <v>9580.713106420797</v>
      </c>
      <c r="H12" s="19" t="e">
        <f>(#REF!/#REF!)*100</f>
        <v>#REF!</v>
      </c>
      <c r="I12" s="19" t="e">
        <f>(#REF!/#REF!)*100</f>
        <v>#REF!</v>
      </c>
      <c r="J12" s="19" t="e">
        <f>(#REF!/#REF!)*100</f>
        <v>#REF!</v>
      </c>
      <c r="K12" s="19">
        <f t="shared" si="8"/>
        <v>10.235392705182155</v>
      </c>
      <c r="L12" s="19">
        <f t="shared" si="9"/>
        <v>6.433119279309758</v>
      </c>
      <c r="M12" s="13">
        <f t="shared" si="5"/>
        <v>7.1574621124626177</v>
      </c>
      <c r="N12" s="13">
        <f t="shared" ref="N12:N22" si="10">E12/$E$9*100</f>
        <v>7.1093803616835798</v>
      </c>
      <c r="O12" s="13">
        <f t="shared" si="6"/>
        <v>8.0275342420464479</v>
      </c>
      <c r="P12" s="13">
        <f t="shared" si="6"/>
        <v>7.4451918325150359</v>
      </c>
      <c r="Q12" s="72">
        <f t="shared" si="7"/>
        <v>-7.254312370057943</v>
      </c>
      <c r="R12" s="26"/>
      <c r="T12" s="26"/>
      <c r="U12" s="36"/>
      <c r="V12" s="9"/>
      <c r="W12" s="48"/>
      <c r="X12" s="46"/>
      <c r="Y12" s="59"/>
      <c r="Z12" s="28"/>
      <c r="AA12" s="28"/>
      <c r="AB12" s="28"/>
      <c r="AC12" s="28"/>
      <c r="AD12" s="28"/>
      <c r="AE12" s="28"/>
      <c r="AF12" s="7"/>
      <c r="AG12" s="7"/>
      <c r="AH12" s="26"/>
      <c r="AI12" s="7"/>
      <c r="AJ12" s="7"/>
      <c r="AK12" s="21"/>
      <c r="AL12" s="16" t="s">
        <v>7</v>
      </c>
      <c r="AM12" s="62">
        <f t="shared" si="0"/>
        <v>3361.4459041135619</v>
      </c>
      <c r="AN12" s="41">
        <f t="shared" si="1"/>
        <v>-49.491724648959902</v>
      </c>
    </row>
    <row r="13" spans="1:46" s="2" customFormat="1" ht="19.5" customHeight="1" x14ac:dyDescent="0.2">
      <c r="A13" s="44" t="s">
        <v>4</v>
      </c>
      <c r="B13" s="55">
        <v>9653.7175542229998</v>
      </c>
      <c r="C13" s="55">
        <v>7106.4788059804832</v>
      </c>
      <c r="D13" s="55">
        <v>9850.8752725132399</v>
      </c>
      <c r="E13" s="55">
        <v>8322.4547200830148</v>
      </c>
      <c r="F13" s="55">
        <v>9499.19719825022</v>
      </c>
      <c r="G13" s="76">
        <v>11081.115236540205</v>
      </c>
      <c r="H13" s="19" t="e">
        <f>(#REF!/#REF!)*100</f>
        <v>#REF!</v>
      </c>
      <c r="I13" s="19" t="e">
        <f>(#REF!/#REF!)*100</f>
        <v>#REF!</v>
      </c>
      <c r="J13" s="19" t="e">
        <f>(#REF!/#REF!)*100</f>
        <v>#REF!</v>
      </c>
      <c r="K13" s="19">
        <f t="shared" si="8"/>
        <v>7.9891050810412159</v>
      </c>
      <c r="L13" s="19">
        <f t="shared" si="9"/>
        <v>5.9220198058182163</v>
      </c>
      <c r="M13" s="13">
        <f t="shared" si="5"/>
        <v>7.5867502461212668</v>
      </c>
      <c r="N13" s="13">
        <f t="shared" si="10"/>
        <v>6.4673966561959171</v>
      </c>
      <c r="O13" s="13">
        <f t="shared" si="6"/>
        <v>7.3818456528528049</v>
      </c>
      <c r="P13" s="13">
        <f t="shared" si="6"/>
        <v>8.6111574094580234</v>
      </c>
      <c r="Q13" s="72">
        <f t="shared" si="7"/>
        <v>16.653176108201848</v>
      </c>
      <c r="R13" s="26"/>
      <c r="T13" s="26"/>
      <c r="U13" s="36"/>
      <c r="V13" s="9"/>
      <c r="W13" s="48"/>
      <c r="X13" s="46"/>
      <c r="Y13" s="59"/>
      <c r="Z13" s="28"/>
      <c r="AA13" s="28"/>
      <c r="AB13" s="28"/>
      <c r="AC13" s="28"/>
      <c r="AD13" s="28"/>
      <c r="AE13" s="28"/>
      <c r="AF13" s="7"/>
      <c r="AG13" s="7"/>
      <c r="AH13" s="26"/>
      <c r="AI13" s="7"/>
      <c r="AJ13" s="7"/>
      <c r="AK13" s="21"/>
      <c r="AL13" s="16" t="s">
        <v>8</v>
      </c>
      <c r="AM13" s="62">
        <f t="shared" si="0"/>
        <v>4321.9839660894231</v>
      </c>
      <c r="AN13" s="41">
        <f t="shared" si="1"/>
        <v>-24.229968196818394</v>
      </c>
    </row>
    <row r="14" spans="1:46" s="2" customFormat="1" ht="19.5" customHeight="1" x14ac:dyDescent="0.2">
      <c r="A14" s="44" t="s">
        <v>5</v>
      </c>
      <c r="B14" s="55">
        <v>10557.514762582001</v>
      </c>
      <c r="C14" s="55">
        <v>11496.477852750637</v>
      </c>
      <c r="D14" s="55">
        <v>7526.4802679976619</v>
      </c>
      <c r="E14" s="55">
        <v>16024.174764017633</v>
      </c>
      <c r="F14" s="55">
        <v>16827.028232918994</v>
      </c>
      <c r="G14" s="76">
        <v>16088.390172322903</v>
      </c>
      <c r="H14" s="19" t="e">
        <f>(#REF!/#REF!)*100</f>
        <v>#REF!</v>
      </c>
      <c r="I14" s="19" t="e">
        <f>(#REF!/#REF!)*100</f>
        <v>#REF!</v>
      </c>
      <c r="J14" s="19" t="e">
        <f>(#REF!/#REF!)*100</f>
        <v>#REF!</v>
      </c>
      <c r="K14" s="19">
        <f t="shared" si="8"/>
        <v>8.7370584812702443</v>
      </c>
      <c r="L14" s="19">
        <f t="shared" si="9"/>
        <v>9.5803240113577459</v>
      </c>
      <c r="M14" s="13">
        <f t="shared" si="5"/>
        <v>5.7965941549364359</v>
      </c>
      <c r="N14" s="13">
        <f t="shared" si="10"/>
        <v>12.452419120650129</v>
      </c>
      <c r="O14" s="13">
        <f t="shared" si="6"/>
        <v>13.076318200288037</v>
      </c>
      <c r="P14" s="13">
        <f t="shared" si="6"/>
        <v>12.502321046334094</v>
      </c>
      <c r="Q14" s="72">
        <f t="shared" si="7"/>
        <v>-4.3895930426448171</v>
      </c>
      <c r="R14" s="26"/>
      <c r="T14" s="26"/>
      <c r="U14" s="36"/>
      <c r="V14" s="9"/>
      <c r="W14" s="48"/>
      <c r="X14" s="46"/>
      <c r="Y14" s="59"/>
      <c r="Z14" s="28"/>
      <c r="AA14" s="28"/>
      <c r="AB14" s="28"/>
      <c r="AC14" s="28"/>
      <c r="AD14" s="28"/>
      <c r="AE14" s="28"/>
      <c r="AF14" s="7"/>
      <c r="AG14" s="7"/>
      <c r="AH14" s="26"/>
      <c r="AI14" s="7"/>
      <c r="AJ14" s="7"/>
      <c r="AK14" s="21"/>
      <c r="AL14" s="16" t="s">
        <v>9</v>
      </c>
      <c r="AM14" s="62">
        <f t="shared" si="0"/>
        <v>6688.7992346372639</v>
      </c>
      <c r="AN14" s="41">
        <f t="shared" si="1"/>
        <v>-10.866511899966927</v>
      </c>
    </row>
    <row r="15" spans="1:46" s="2" customFormat="1" ht="19.5" customHeight="1" x14ac:dyDescent="0.2">
      <c r="A15" s="44" t="s">
        <v>6</v>
      </c>
      <c r="B15" s="55">
        <v>7156.1713736889997</v>
      </c>
      <c r="C15" s="55">
        <v>13126.340141529225</v>
      </c>
      <c r="D15" s="55">
        <v>6692.1508321880965</v>
      </c>
      <c r="E15" s="55">
        <v>12472.820144779125</v>
      </c>
      <c r="F15" s="55">
        <v>9222.1582113244549</v>
      </c>
      <c r="G15" s="76">
        <v>11028.292071055752</v>
      </c>
      <c r="H15" s="19" t="e">
        <f>(#REF!/#REF!)*100</f>
        <v>#REF!</v>
      </c>
      <c r="I15" s="19" t="e">
        <f>(#REF!/#REF!)*100</f>
        <v>#REF!</v>
      </c>
      <c r="J15" s="19" t="e">
        <f>(#REF!/#REF!)*100</f>
        <v>#REF!</v>
      </c>
      <c r="K15" s="19">
        <f t="shared" si="8"/>
        <v>5.9222164685490482</v>
      </c>
      <c r="L15" s="19">
        <f t="shared" si="9"/>
        <v>10.93853206606696</v>
      </c>
      <c r="M15" s="13">
        <f t="shared" si="5"/>
        <v>5.1540269842671931</v>
      </c>
      <c r="N15" s="13">
        <f t="shared" si="10"/>
        <v>9.692654152027993</v>
      </c>
      <c r="O15" s="13">
        <f t="shared" si="6"/>
        <v>7.1665580871114161</v>
      </c>
      <c r="P15" s="13">
        <f t="shared" si="6"/>
        <v>8.570108419068271</v>
      </c>
      <c r="Q15" s="72">
        <f t="shared" si="7"/>
        <v>19.584719957563017</v>
      </c>
      <c r="R15" s="26"/>
      <c r="T15" s="26"/>
      <c r="U15" s="36"/>
      <c r="V15" s="9"/>
      <c r="W15" s="48"/>
      <c r="X15" s="46"/>
      <c r="Y15" s="59"/>
      <c r="Z15" s="28"/>
      <c r="AA15" s="28"/>
      <c r="AB15" s="28"/>
      <c r="AC15" s="28"/>
      <c r="AD15" s="28"/>
      <c r="AE15" s="28"/>
      <c r="AF15" s="7"/>
      <c r="AG15" s="7"/>
      <c r="AH15" s="26"/>
      <c r="AI15" s="7"/>
      <c r="AJ15" s="7"/>
      <c r="AK15" s="21"/>
      <c r="AL15" s="16" t="s">
        <v>10</v>
      </c>
      <c r="AM15" s="62">
        <f t="shared" si="0"/>
        <v>7126.7487685126462</v>
      </c>
      <c r="AN15" s="41">
        <f t="shared" si="1"/>
        <v>20.420213479445525</v>
      </c>
    </row>
    <row r="16" spans="1:46" s="2" customFormat="1" ht="19.5" customHeight="1" x14ac:dyDescent="0.2">
      <c r="A16" s="44" t="s">
        <v>7</v>
      </c>
      <c r="B16" s="55">
        <v>10604.482355167002</v>
      </c>
      <c r="C16" s="55">
        <v>8892.1734252299484</v>
      </c>
      <c r="D16" s="55">
        <v>11226.887568886428</v>
      </c>
      <c r="E16" s="55">
        <v>10574.246900258211</v>
      </c>
      <c r="F16" s="55">
        <v>6655.2379402207025</v>
      </c>
      <c r="G16" s="76">
        <v>3361.4459041135619</v>
      </c>
      <c r="H16" s="19" t="e">
        <f>(#REF!/#REF!)*100</f>
        <v>#REF!</v>
      </c>
      <c r="I16" s="19" t="e">
        <f>(#REF!/#REF!)*100</f>
        <v>#REF!</v>
      </c>
      <c r="J16" s="19" t="e">
        <f>(#REF!/#REF!)*100</f>
        <v>#REF!</v>
      </c>
      <c r="K16" s="19">
        <f t="shared" si="8"/>
        <v>8.7759273450481121</v>
      </c>
      <c r="L16" s="19">
        <f t="shared" si="9"/>
        <v>7.4100871301644151</v>
      </c>
      <c r="M16" s="13">
        <f t="shared" si="5"/>
        <v>8.6464998967238138</v>
      </c>
      <c r="N16" s="13">
        <f t="shared" si="10"/>
        <v>8.2172689842928754</v>
      </c>
      <c r="O16" s="13">
        <f t="shared" si="6"/>
        <v>5.1717990723225276</v>
      </c>
      <c r="P16" s="13">
        <f t="shared" si="6"/>
        <v>2.6121865160511999</v>
      </c>
      <c r="Q16" s="72">
        <f t="shared" si="7"/>
        <v>-49.491724648959902</v>
      </c>
      <c r="R16" s="26"/>
      <c r="T16" s="26"/>
      <c r="U16" s="36"/>
      <c r="V16" s="9"/>
      <c r="W16" s="48"/>
      <c r="X16" s="15"/>
      <c r="Y16" s="15"/>
      <c r="Z16" s="7"/>
      <c r="AA16" s="7"/>
      <c r="AB16" s="7"/>
      <c r="AC16" s="7"/>
      <c r="AD16" s="7"/>
      <c r="AE16" s="7"/>
      <c r="AF16" s="47"/>
      <c r="AG16" s="47"/>
      <c r="AH16" s="47"/>
      <c r="AI16" s="47"/>
      <c r="AJ16" s="47"/>
      <c r="AK16" s="21"/>
      <c r="AL16" s="16" t="s">
        <v>11</v>
      </c>
      <c r="AM16" s="62">
        <f t="shared" si="0"/>
        <v>17174.598309801167</v>
      </c>
      <c r="AN16" s="41">
        <f t="shared" si="1"/>
        <v>19.806378337191287</v>
      </c>
      <c r="AO16" s="4"/>
      <c r="AP16" s="4"/>
      <c r="AQ16" s="4"/>
      <c r="AR16" s="4"/>
      <c r="AS16" s="4"/>
      <c r="AT16" s="4"/>
    </row>
    <row r="17" spans="1:40" s="2" customFormat="1" ht="19.5" customHeight="1" x14ac:dyDescent="0.2">
      <c r="A17" s="44" t="s">
        <v>8</v>
      </c>
      <c r="B17" s="55">
        <v>8156.2926204970008</v>
      </c>
      <c r="C17" s="55">
        <v>8574.5320683597911</v>
      </c>
      <c r="D17" s="55">
        <v>11224.360457733363</v>
      </c>
      <c r="E17" s="55">
        <v>5943.6414964833157</v>
      </c>
      <c r="F17" s="55">
        <v>5704.0809713741492</v>
      </c>
      <c r="G17" s="76">
        <v>4321.9839660894231</v>
      </c>
      <c r="H17" s="19" t="e">
        <f>(#REF!/#REF!)*100</f>
        <v>#REF!</v>
      </c>
      <c r="I17" s="19" t="e">
        <f>(#REF!/#REF!)*100</f>
        <v>#REF!</v>
      </c>
      <c r="J17" s="19" t="e">
        <f>(#REF!/#REF!)*100</f>
        <v>#REF!</v>
      </c>
      <c r="K17" s="19">
        <f t="shared" si="8"/>
        <v>6.749884534208979</v>
      </c>
      <c r="L17" s="19">
        <f t="shared" si="9"/>
        <v>7.1453880495242235</v>
      </c>
      <c r="M17" s="13">
        <f t="shared" si="5"/>
        <v>8.6445536167606516</v>
      </c>
      <c r="N17" s="13">
        <f t="shared" si="10"/>
        <v>4.6188160143693837</v>
      </c>
      <c r="O17" s="13">
        <f t="shared" si="6"/>
        <v>4.4326530382814697</v>
      </c>
      <c r="P17" s="13">
        <f t="shared" si="6"/>
        <v>3.3586226168305657</v>
      </c>
      <c r="Q17" s="72">
        <f t="shared" si="7"/>
        <v>-24.229968196818394</v>
      </c>
      <c r="R17" s="26"/>
      <c r="T17" s="26"/>
      <c r="U17" s="36"/>
      <c r="V17" s="9"/>
      <c r="W17" s="48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21"/>
      <c r="AL17" s="16" t="s">
        <v>12</v>
      </c>
      <c r="AM17" s="62">
        <f t="shared" si="0"/>
        <v>15969.368894941832</v>
      </c>
      <c r="AN17" s="41">
        <f t="shared" si="1"/>
        <v>26.621323834013904</v>
      </c>
    </row>
    <row r="18" spans="1:40" s="2" customFormat="1" ht="19.5" customHeight="1" x14ac:dyDescent="0.2">
      <c r="A18" s="44" t="s">
        <v>9</v>
      </c>
      <c r="B18" s="55">
        <v>9236.857506600998</v>
      </c>
      <c r="C18" s="55">
        <v>7636.4221581192196</v>
      </c>
      <c r="D18" s="55">
        <v>11467.470863380531</v>
      </c>
      <c r="E18" s="55">
        <v>8151.8591659124086</v>
      </c>
      <c r="F18" s="55">
        <v>7504.2493873128051</v>
      </c>
      <c r="G18" s="76">
        <v>6688.7992346372639</v>
      </c>
      <c r="H18" s="19" t="e">
        <f>(#REF!/#REF!)*100</f>
        <v>#REF!</v>
      </c>
      <c r="I18" s="19" t="e">
        <f>(#REF!/#REF!)*100</f>
        <v>#REF!</v>
      </c>
      <c r="J18" s="19" t="e">
        <f>(#REF!/#REF!)*100</f>
        <v>#REF!</v>
      </c>
      <c r="K18" s="19">
        <f t="shared" si="8"/>
        <v>7.6441251594893194</v>
      </c>
      <c r="L18" s="19">
        <f t="shared" si="9"/>
        <v>6.3636358456333513</v>
      </c>
      <c r="M18" s="13">
        <f t="shared" si="5"/>
        <v>8.8317875303830036</v>
      </c>
      <c r="N18" s="13">
        <f t="shared" si="10"/>
        <v>6.3348265006692728</v>
      </c>
      <c r="O18" s="13">
        <f t="shared" si="6"/>
        <v>5.8315676116148332</v>
      </c>
      <c r="P18" s="13">
        <f t="shared" si="6"/>
        <v>5.1978796231440905</v>
      </c>
      <c r="Q18" s="72">
        <f t="shared" si="7"/>
        <v>-10.866511899966927</v>
      </c>
      <c r="R18" s="26"/>
      <c r="T18" s="26"/>
      <c r="U18" s="36"/>
      <c r="V18" s="9"/>
      <c r="W18" s="48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21"/>
      <c r="AL18" s="16" t="s">
        <v>13</v>
      </c>
      <c r="AM18" s="62">
        <f t="shared" si="0"/>
        <v>15685.110442037339</v>
      </c>
      <c r="AN18" s="41">
        <f t="shared" si="1"/>
        <v>74.370561613106659</v>
      </c>
    </row>
    <row r="19" spans="1:40" s="2" customFormat="1" ht="19.5" customHeight="1" x14ac:dyDescent="0.25">
      <c r="A19" s="44" t="s">
        <v>10</v>
      </c>
      <c r="B19" s="55">
        <v>8492.9045429220023</v>
      </c>
      <c r="C19" s="55">
        <v>8898.5551975141716</v>
      </c>
      <c r="D19" s="55">
        <v>9268.4341059480703</v>
      </c>
      <c r="E19" s="55">
        <v>10124.88573889277</v>
      </c>
      <c r="F19" s="55">
        <v>5918.2329632135288</v>
      </c>
      <c r="G19" s="76">
        <v>7126.7487685126462</v>
      </c>
      <c r="H19" s="19" t="e">
        <f>(#REF!/#REF!)*100</f>
        <v>#REF!</v>
      </c>
      <c r="I19" s="19" t="e">
        <f>(#REF!/#REF!)*100</f>
        <v>#REF!</v>
      </c>
      <c r="J19" s="19" t="e">
        <f>(#REF!/#REF!)*100</f>
        <v>#REF!</v>
      </c>
      <c r="K19" s="19">
        <f t="shared" si="8"/>
        <v>7.0284536972987182</v>
      </c>
      <c r="L19" s="19">
        <f t="shared" si="9"/>
        <v>7.415405232546088</v>
      </c>
      <c r="M19" s="13">
        <f t="shared" si="5"/>
        <v>7.1381773486327278</v>
      </c>
      <c r="N19" s="13">
        <f t="shared" si="10"/>
        <v>7.868069502867499</v>
      </c>
      <c r="O19" s="13">
        <f t="shared" si="6"/>
        <v>4.5990709909796719</v>
      </c>
      <c r="P19" s="13">
        <f t="shared" si="6"/>
        <v>5.5382111054089709</v>
      </c>
      <c r="Q19" s="72">
        <f t="shared" si="7"/>
        <v>20.420213479445525</v>
      </c>
      <c r="R19" s="26"/>
      <c r="T19" s="26"/>
      <c r="U19" s="36"/>
      <c r="V19" s="9"/>
      <c r="W19" s="48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s="2" customFormat="1" ht="19.5" customHeight="1" x14ac:dyDescent="0.25">
      <c r="A20" s="44" t="s">
        <v>11</v>
      </c>
      <c r="B20" s="55">
        <v>12514.620116255997</v>
      </c>
      <c r="C20" s="55">
        <v>10731.297585609453</v>
      </c>
      <c r="D20" s="55">
        <v>14779.970038353686</v>
      </c>
      <c r="E20" s="55">
        <v>8516.499470765677</v>
      </c>
      <c r="F20" s="55">
        <v>14335.29545602639</v>
      </c>
      <c r="G20" s="76">
        <v>17174.598309801167</v>
      </c>
      <c r="H20" s="19" t="e">
        <f>(#REF!/#REF!)*100</f>
        <v>#REF!</v>
      </c>
      <c r="I20" s="19" t="e">
        <f>(#REF!/#REF!)*100</f>
        <v>#REF!</v>
      </c>
      <c r="J20" s="19" t="e">
        <f>(#REF!/#REF!)*100</f>
        <v>#REF!</v>
      </c>
      <c r="K20" s="19">
        <f t="shared" si="8"/>
        <v>10.356695707794463</v>
      </c>
      <c r="L20" s="19">
        <f t="shared" si="9"/>
        <v>8.942678727280077</v>
      </c>
      <c r="M20" s="13">
        <f t="shared" si="5"/>
        <v>11.382941944156471</v>
      </c>
      <c r="N20" s="13">
        <f t="shared" si="10"/>
        <v>6.6181892304936252</v>
      </c>
      <c r="O20" s="13">
        <f t="shared" si="6"/>
        <v>11.139987541675785</v>
      </c>
      <c r="P20" s="13">
        <f t="shared" si="6"/>
        <v>13.346415620896066</v>
      </c>
      <c r="Q20" s="72">
        <f t="shared" si="7"/>
        <v>19.806378337191287</v>
      </c>
      <c r="R20" s="26"/>
      <c r="T20" s="26"/>
      <c r="U20" s="36"/>
      <c r="V20" s="9"/>
      <c r="W20" s="48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s="2" customFormat="1" ht="19.5" customHeight="1" x14ac:dyDescent="0.25">
      <c r="A21" s="44" t="s">
        <v>12</v>
      </c>
      <c r="B21" s="55">
        <v>8293.5629008889991</v>
      </c>
      <c r="C21" s="55">
        <v>13742.635969865547</v>
      </c>
      <c r="D21" s="55">
        <v>15548.262440127372</v>
      </c>
      <c r="E21" s="55">
        <v>10254.910819876141</v>
      </c>
      <c r="F21" s="55">
        <v>12611.911178464577</v>
      </c>
      <c r="G21" s="76">
        <v>15969.368894941832</v>
      </c>
      <c r="H21" s="19" t="e">
        <f>(#REF!/#REF!)*100</f>
        <v>#REF!</v>
      </c>
      <c r="I21" s="19" t="e">
        <f>(#REF!/#REF!)*100</f>
        <v>#REF!</v>
      </c>
      <c r="J21" s="19" t="e">
        <f>(#REF!/#REF!)*100</f>
        <v>#REF!</v>
      </c>
      <c r="K21" s="19">
        <f t="shared" si="8"/>
        <v>6.8634849879612156</v>
      </c>
      <c r="L21" s="19">
        <f t="shared" si="9"/>
        <v>11.452107945387025</v>
      </c>
      <c r="M21" s="13">
        <f t="shared" si="5"/>
        <v>11.974650031712279</v>
      </c>
      <c r="N21" s="13">
        <f t="shared" si="10"/>
        <v>7.9691122603539668</v>
      </c>
      <c r="O21" s="13">
        <f t="shared" si="6"/>
        <v>9.8007420799795124</v>
      </c>
      <c r="P21" s="13">
        <f t="shared" si="6"/>
        <v>12.40982936722733</v>
      </c>
      <c r="Q21" s="72">
        <f t="shared" si="7"/>
        <v>26.621323834013904</v>
      </c>
      <c r="R21" s="26"/>
      <c r="T21" s="26"/>
      <c r="U21" s="36"/>
      <c r="V21" s="9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s="2" customFormat="1" ht="19.5" customHeight="1" x14ac:dyDescent="0.25">
      <c r="A22" s="45" t="s">
        <v>13</v>
      </c>
      <c r="B22" s="56">
        <v>8846.6756839430018</v>
      </c>
      <c r="C22" s="56">
        <v>14287.087044649401</v>
      </c>
      <c r="D22" s="56">
        <v>11597.133098792654</v>
      </c>
      <c r="E22" s="56">
        <v>11894.48119212342</v>
      </c>
      <c r="F22" s="56">
        <v>8995.2743725397049</v>
      </c>
      <c r="G22" s="77">
        <v>15685.110442037339</v>
      </c>
      <c r="H22" s="20" t="e">
        <f>(#REF!/#REF!)*100</f>
        <v>#REF!</v>
      </c>
      <c r="I22" s="20" t="e">
        <f>(#REF!/#REF!)*100</f>
        <v>#REF!</v>
      </c>
      <c r="J22" s="20" t="e">
        <f>(#REF!/#REF!)*100</f>
        <v>#REF!</v>
      </c>
      <c r="K22" s="20">
        <f t="shared" si="8"/>
        <v>7.3212232758969913</v>
      </c>
      <c r="L22" s="20">
        <f t="shared" si="9"/>
        <v>11.905813660438989</v>
      </c>
      <c r="M22" s="14">
        <f t="shared" si="5"/>
        <v>8.9316481995329209</v>
      </c>
      <c r="N22" s="14">
        <f t="shared" si="10"/>
        <v>9.2432257640876543</v>
      </c>
      <c r="O22" s="14">
        <f t="shared" si="6"/>
        <v>6.9902461900024404</v>
      </c>
      <c r="P22" s="14">
        <f t="shared" si="6"/>
        <v>12.188931539646045</v>
      </c>
      <c r="Q22" s="73">
        <f t="shared" si="7"/>
        <v>74.370561613106659</v>
      </c>
      <c r="R22" s="26"/>
      <c r="T22" s="26"/>
      <c r="U22" s="36"/>
      <c r="V22" s="9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s="37" customFormat="1" ht="15" x14ac:dyDescent="0.2">
      <c r="A23" s="1" t="s">
        <v>14</v>
      </c>
      <c r="B23" s="5"/>
      <c r="C23" s="5"/>
      <c r="D23" s="15"/>
      <c r="E23" s="15"/>
      <c r="F23" s="15"/>
      <c r="G23" s="15"/>
      <c r="H23" s="5"/>
      <c r="I23" s="5"/>
      <c r="J23" s="5"/>
      <c r="K23" s="5"/>
      <c r="L23" s="5"/>
      <c r="M23" s="5"/>
      <c r="N23" s="5"/>
      <c r="O23" s="5"/>
      <c r="P23" s="5"/>
      <c r="Q23" s="65" t="s">
        <v>17</v>
      </c>
      <c r="R23" s="6"/>
      <c r="S23" s="6"/>
      <c r="T23" s="6"/>
      <c r="U23" s="5"/>
      <c r="V23" s="2"/>
      <c r="W23" s="7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</row>
    <row r="24" spans="1:40" s="37" customFormat="1" ht="12" x14ac:dyDescent="0.2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spans="1:40" s="37" customFormat="1" ht="12" x14ac:dyDescent="0.2"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</row>
    <row r="26" spans="1:40" s="37" customFormat="1" ht="12" x14ac:dyDescent="0.2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</row>
    <row r="27" spans="1:40" s="37" customFormat="1" ht="12" x14ac:dyDescent="0.2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</row>
    <row r="28" spans="1:40" s="37" customFormat="1" ht="12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</row>
    <row r="29" spans="1:40" x14ac:dyDescent="0.2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7"/>
      <c r="V29" s="37"/>
      <c r="W29" s="37"/>
    </row>
    <row r="30" spans="1:40" x14ac:dyDescent="0.2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7"/>
      <c r="V30" s="37"/>
      <c r="W30" s="37"/>
    </row>
    <row r="31" spans="1:40" x14ac:dyDescent="0.2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7"/>
      <c r="V31" s="37"/>
      <c r="W31" s="37"/>
    </row>
    <row r="32" spans="1:40" x14ac:dyDescent="0.2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7"/>
      <c r="V32" s="37"/>
      <c r="W32" s="37"/>
    </row>
    <row r="33" spans="1:23" x14ac:dyDescent="0.2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7"/>
      <c r="V33" s="37"/>
      <c r="W33" s="37"/>
    </row>
    <row r="34" spans="1:23" x14ac:dyDescent="0.2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7"/>
      <c r="V34" s="37"/>
      <c r="W34" s="37"/>
    </row>
    <row r="35" spans="1:23" x14ac:dyDescent="0.2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7"/>
      <c r="V35" s="37"/>
      <c r="W35" s="37"/>
    </row>
    <row r="36" spans="1:23" x14ac:dyDescent="0.2"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spans="1:23" x14ac:dyDescent="0.2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</row>
    <row r="38" spans="1:23" x14ac:dyDescent="0.2"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</row>
    <row r="39" spans="1:23" x14ac:dyDescent="0.2"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23" x14ac:dyDescent="0.2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spans="1:23" x14ac:dyDescent="0.2"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spans="1:23" x14ac:dyDescent="0.2"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spans="1:23" x14ac:dyDescent="0.2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1:23" x14ac:dyDescent="0.2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</row>
    <row r="45" spans="1:23" x14ac:dyDescent="0.2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</row>
    <row r="46" spans="1:23" x14ac:dyDescent="0.2"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spans="1:23" x14ac:dyDescent="0.2"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</row>
    <row r="48" spans="1:23" x14ac:dyDescent="0.2"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spans="2:16" x14ac:dyDescent="0.2"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0" spans="2:16" x14ac:dyDescent="0.2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spans="2:16" x14ac:dyDescent="0.2">
      <c r="C51" s="23"/>
      <c r="D51" s="23"/>
      <c r="E51" s="23"/>
      <c r="F51" s="23"/>
      <c r="G51" s="23"/>
      <c r="H51" s="23"/>
      <c r="I51" s="23"/>
      <c r="J51" s="23"/>
      <c r="K51" s="38"/>
      <c r="L51" s="38"/>
      <c r="M51" s="38"/>
      <c r="N51" s="38"/>
      <c r="O51" s="38"/>
      <c r="P51" s="38"/>
    </row>
    <row r="52" spans="2:16" x14ac:dyDescent="0.2">
      <c r="C52" s="42"/>
      <c r="D52" s="42"/>
      <c r="E52" s="42"/>
      <c r="F52" s="42"/>
      <c r="G52" s="42"/>
      <c r="H52" s="38"/>
      <c r="I52" s="38"/>
      <c r="J52" s="38"/>
      <c r="K52" s="38"/>
      <c r="L52" s="38"/>
      <c r="M52" s="38"/>
      <c r="N52" s="38"/>
      <c r="O52" s="38"/>
      <c r="P52" s="38"/>
    </row>
    <row r="53" spans="2:16" x14ac:dyDescent="0.2">
      <c r="C53" s="42"/>
      <c r="D53" s="42"/>
      <c r="E53" s="42"/>
      <c r="F53" s="42"/>
      <c r="G53" s="42"/>
      <c r="H53" s="38"/>
      <c r="I53" s="38"/>
      <c r="J53" s="38"/>
      <c r="K53" s="38"/>
      <c r="L53" s="38"/>
      <c r="M53" s="38"/>
      <c r="N53" s="38"/>
      <c r="O53" s="38"/>
      <c r="P53" s="38"/>
    </row>
    <row r="54" spans="2:16" x14ac:dyDescent="0.2">
      <c r="C54" s="42"/>
      <c r="D54" s="42"/>
      <c r="E54" s="42"/>
      <c r="F54" s="42"/>
      <c r="G54" s="42"/>
      <c r="H54" s="38"/>
      <c r="I54" s="38"/>
      <c r="J54" s="38"/>
      <c r="K54" s="38"/>
      <c r="L54" s="38"/>
      <c r="M54" s="38"/>
      <c r="N54" s="38"/>
      <c r="O54" s="38"/>
      <c r="P54" s="38"/>
    </row>
    <row r="55" spans="2:16" x14ac:dyDescent="0.2">
      <c r="C55" s="42"/>
      <c r="D55" s="42"/>
      <c r="E55" s="42"/>
      <c r="F55" s="42"/>
      <c r="G55" s="42"/>
      <c r="H55" s="38"/>
      <c r="I55" s="38"/>
      <c r="J55" s="38"/>
      <c r="K55" s="38"/>
      <c r="L55" s="38"/>
      <c r="M55" s="38"/>
      <c r="N55" s="38"/>
      <c r="O55" s="38"/>
      <c r="P55" s="38"/>
    </row>
    <row r="56" spans="2:16" x14ac:dyDescent="0.2">
      <c r="C56" s="42"/>
      <c r="D56" s="42"/>
      <c r="E56" s="42"/>
      <c r="F56" s="42"/>
      <c r="G56" s="42"/>
      <c r="H56" s="38"/>
      <c r="I56" s="38"/>
      <c r="J56" s="38"/>
      <c r="K56" s="38"/>
      <c r="L56" s="38"/>
      <c r="M56" s="38"/>
      <c r="N56" s="38"/>
      <c r="O56" s="38"/>
      <c r="P56" s="38"/>
    </row>
    <row r="57" spans="2:16" x14ac:dyDescent="0.2">
      <c r="C57" s="42"/>
      <c r="D57" s="42"/>
      <c r="E57" s="42"/>
      <c r="F57" s="42"/>
      <c r="G57" s="42"/>
      <c r="H57" s="38"/>
      <c r="I57" s="38"/>
      <c r="J57" s="38"/>
      <c r="K57" s="38"/>
      <c r="L57" s="38"/>
      <c r="M57" s="38"/>
      <c r="N57" s="38"/>
      <c r="O57" s="38"/>
      <c r="P57" s="38"/>
    </row>
    <row r="58" spans="2:16" x14ac:dyDescent="0.2">
      <c r="C58" s="42"/>
      <c r="D58" s="42"/>
      <c r="E58" s="42"/>
      <c r="F58" s="42"/>
      <c r="G58" s="42"/>
      <c r="H58" s="38"/>
      <c r="I58" s="38"/>
      <c r="J58" s="38"/>
      <c r="K58" s="38"/>
      <c r="L58" s="38"/>
      <c r="M58" s="38"/>
      <c r="N58" s="38"/>
      <c r="O58" s="38"/>
      <c r="P58" s="38"/>
    </row>
    <row r="59" spans="2:16" x14ac:dyDescent="0.2">
      <c r="C59" s="43"/>
      <c r="D59" s="43"/>
      <c r="E59" s="43"/>
      <c r="F59" s="43"/>
      <c r="G59" s="43"/>
    </row>
    <row r="60" spans="2:16" x14ac:dyDescent="0.2">
      <c r="C60" s="43"/>
      <c r="D60" s="43"/>
      <c r="E60" s="43"/>
      <c r="F60" s="43"/>
      <c r="G60" s="43"/>
    </row>
    <row r="61" spans="2:16" x14ac:dyDescent="0.2">
      <c r="C61" s="43"/>
      <c r="D61" s="43"/>
      <c r="E61" s="43"/>
      <c r="F61" s="43"/>
      <c r="G61" s="43"/>
    </row>
    <row r="62" spans="2:16" x14ac:dyDescent="0.2">
      <c r="C62" s="43"/>
      <c r="D62" s="43"/>
      <c r="E62" s="43"/>
      <c r="F62" s="43"/>
      <c r="G62" s="43"/>
    </row>
    <row r="63" spans="2:16" x14ac:dyDescent="0.2">
      <c r="C63" s="43"/>
      <c r="D63" s="43"/>
      <c r="E63" s="43"/>
      <c r="F63" s="43"/>
      <c r="G63" s="43"/>
    </row>
  </sheetData>
  <mergeCells count="10">
    <mergeCell ref="A1:Q1"/>
    <mergeCell ref="A2:Q2"/>
    <mergeCell ref="A3:Q3"/>
    <mergeCell ref="A4:Q4"/>
    <mergeCell ref="A5:A8"/>
    <mergeCell ref="B5:G5"/>
    <mergeCell ref="H6:P6"/>
    <mergeCell ref="H7:P7"/>
    <mergeCell ref="B6:G6"/>
    <mergeCell ref="B7:G7"/>
  </mergeCells>
  <pageMargins left="0.5" right="0.16" top="0.75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9.4</vt:lpstr>
      <vt:lpstr>'9.4'!Print_Area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2017-10-22T07:29:32Z</cp:lastPrinted>
  <dcterms:created xsi:type="dcterms:W3CDTF">2014-03-04T03:52:57Z</dcterms:created>
  <dcterms:modified xsi:type="dcterms:W3CDTF">2017-10-22T07:30:51Z</dcterms:modified>
</cp:coreProperties>
</file>