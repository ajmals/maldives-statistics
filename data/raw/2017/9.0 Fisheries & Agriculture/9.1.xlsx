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Z:\Dissemination\Publications\Statistical Year Book\YEARBOOK 2017\WEB\Shahuda not checked\9. FISHERIES AND AGRICULTURE\"/>
    </mc:Choice>
  </mc:AlternateContent>
  <bookViews>
    <workbookView xWindow="0" yWindow="0" windowWidth="28800" windowHeight="12345" tabRatio="898"/>
  </bookViews>
  <sheets>
    <sheet name="9.1" sheetId="6" r:id="rId1"/>
  </sheets>
  <externalReferences>
    <externalReference r:id="rId2"/>
    <externalReference r:id="rId3"/>
  </externalReferences>
  <definedNames>
    <definedName name="_xlnm.Print_Area" localSheetId="0">'9.1'!$A$1:$Y$22</definedName>
  </definedNames>
  <calcPr calcId="162913"/>
</workbook>
</file>

<file path=xl/calcChain.xml><?xml version="1.0" encoding="utf-8"?>
<calcChain xmlns="http://schemas.openxmlformats.org/spreadsheetml/2006/main">
  <c r="V10" i="6" l="1"/>
  <c r="M11" i="6"/>
  <c r="X9" i="6" l="1"/>
  <c r="X8" i="6"/>
  <c r="X16" i="6"/>
  <c r="X15" i="6"/>
  <c r="X14" i="6"/>
  <c r="X13" i="6"/>
  <c r="X12" i="6"/>
  <c r="X10" i="6"/>
  <c r="X11" i="6"/>
  <c r="L11" i="6" l="1"/>
  <c r="W8" i="6" s="1"/>
  <c r="L9" i="6" l="1"/>
  <c r="W9" i="6" s="1"/>
  <c r="W11" i="6"/>
  <c r="W10" i="6"/>
  <c r="K11" i="6" l="1"/>
  <c r="J11" i="6"/>
  <c r="I11" i="6"/>
  <c r="H11" i="6"/>
  <c r="G11" i="6"/>
  <c r="F11" i="6"/>
  <c r="E11" i="6"/>
  <c r="D11" i="6"/>
  <c r="C11" i="6"/>
  <c r="R8" i="6" l="1"/>
  <c r="S16" i="6"/>
  <c r="P15" i="6"/>
  <c r="T15" i="6"/>
  <c r="N12" i="6"/>
  <c r="W16" i="6"/>
  <c r="V8" i="6"/>
  <c r="W12" i="6"/>
  <c r="W13" i="6"/>
  <c r="W14" i="6"/>
  <c r="W15" i="6"/>
  <c r="Q10" i="6"/>
  <c r="O11" i="6"/>
  <c r="S10" i="6"/>
  <c r="G9" i="6"/>
  <c r="R9" i="6" s="1"/>
  <c r="U13" i="6"/>
  <c r="U12" i="6"/>
  <c r="V11" i="6"/>
  <c r="V13" i="6"/>
  <c r="V16" i="6"/>
  <c r="V14" i="6"/>
  <c r="V12" i="6"/>
  <c r="V15" i="6"/>
  <c r="Q9" i="6"/>
  <c r="U9" i="6"/>
  <c r="T10" i="6"/>
  <c r="R15" i="6"/>
  <c r="V9" i="6"/>
  <c r="R10" i="6"/>
  <c r="P8" i="6"/>
  <c r="P11" i="6"/>
  <c r="H9" i="6"/>
  <c r="S9" i="6" s="1"/>
  <c r="T11" i="6"/>
  <c r="S8" i="6"/>
  <c r="I9" i="6"/>
  <c r="T9" i="6" s="1"/>
  <c r="S13" i="6"/>
  <c r="T8" i="6"/>
  <c r="P9" i="6"/>
  <c r="T13" i="6"/>
  <c r="P10" i="6"/>
  <c r="P12" i="6"/>
  <c r="P16" i="6"/>
  <c r="S12" i="6"/>
  <c r="T16" i="6"/>
  <c r="T12" i="6"/>
  <c r="O13" i="6"/>
  <c r="P13" i="6"/>
  <c r="O12" i="6"/>
  <c r="N13" i="6"/>
  <c r="U15" i="6"/>
  <c r="Q11" i="6"/>
  <c r="N15" i="6"/>
  <c r="U16" i="6"/>
  <c r="U8" i="6"/>
  <c r="R11" i="6"/>
  <c r="Q12" i="6"/>
  <c r="O15" i="6"/>
  <c r="N16" i="6"/>
  <c r="U10" i="6"/>
  <c r="S11" i="6"/>
  <c r="R12" i="6"/>
  <c r="Q13" i="6"/>
  <c r="O16" i="6"/>
  <c r="R13" i="6"/>
  <c r="Q15" i="6"/>
  <c r="U11" i="6"/>
  <c r="Q16" i="6"/>
  <c r="Q8" i="6"/>
  <c r="N11" i="6"/>
  <c r="S15" i="6"/>
  <c r="R16" i="6"/>
</calcChain>
</file>

<file path=xl/sharedStrings.xml><?xml version="1.0" encoding="utf-8"?>
<sst xmlns="http://schemas.openxmlformats.org/spreadsheetml/2006/main" count="34" uniqueCount="34">
  <si>
    <t>(cnuhWh cnwT ckircTem )</t>
  </si>
  <si>
    <t>(In '000 metric tons)</t>
  </si>
  <si>
    <t>udwdwA unuverukcnunEb cswm</t>
  </si>
  <si>
    <t>cniawtcaws ctogWviawfiheb</t>
  </si>
  <si>
    <t>Items</t>
  </si>
  <si>
    <t>Fish Production</t>
  </si>
  <si>
    <t>Percentage share</t>
  </si>
  <si>
    <t>cawtcmwTiawa</t>
  </si>
  <si>
    <t>Exports (Excluding  previous years stock)</t>
  </si>
  <si>
    <t>(Enemihun ckoTcs egurwhwaIruk) cTrOpcsckea</t>
  </si>
  <si>
    <t>Local consumption</t>
  </si>
  <si>
    <t>unuverukcnunEb</t>
  </si>
  <si>
    <t xml:space="preserve">Stock of current years </t>
  </si>
  <si>
    <t>ckoTcs iruh uriaunumin urwhwa</t>
  </si>
  <si>
    <t xml:space="preserve">Total Catch       </t>
  </si>
  <si>
    <t>wlcmuj eguhwm inEb / Wfih</t>
  </si>
  <si>
    <t>Skipjack Tuna ( Including EEZ )</t>
  </si>
  <si>
    <t>(iawfWnwmih udcawHwrws IdWBitcqia)  cswmwlibuLwk</t>
  </si>
  <si>
    <t>Yellowfin Tuna (Including EEZ)</t>
  </si>
  <si>
    <t>(iawfWnwmih udcawHwrws IdWBitcqia) ilencnwk</t>
  </si>
  <si>
    <t>Other Tuna Related Species</t>
  </si>
  <si>
    <t>cswmiSov idwa ,iDnogWr ,iTcawl</t>
  </si>
  <si>
    <t>Other Marine Fishes ( Including EEZ )</t>
  </si>
  <si>
    <t>(iawfWnwmih udcawHwrws IdWBitcqia)  cswmurwf cnehinehea</t>
  </si>
  <si>
    <t>މަޢުލޫމާތުދެއްވި ފަރާތް: ރަށު ކައުންސިލްތައް، މޯލްޑިވްސް ކަސްޓަމްސް ސަރވިސަސް</t>
  </si>
  <si>
    <t xml:space="preserve"> rwCclwkircgea cDcnea  czIrwxif cfoa IrcTcsinim :ctWrwf ivcaedutWmUluAwm</t>
  </si>
  <si>
    <r>
      <t xml:space="preserve">Note: </t>
    </r>
    <r>
      <rPr>
        <b/>
        <i/>
        <vertAlign val="superscript"/>
        <sz val="11"/>
        <rFont val="Arial"/>
        <family val="2"/>
      </rPr>
      <t/>
    </r>
  </si>
  <si>
    <t>Fish catch data for 2010 shows a substantial upward revision from 94.3 to 116.7 thousand metric tons, based on the fish collection data by vessel, newly available at the MOFA. Some vessesls had not reported catch data while reporting collection. Hence this ajustment could not be  brought to previous years catch data to make it consistent.</t>
  </si>
  <si>
    <t>ilencnwk uDobOl</t>
  </si>
  <si>
    <t>Bigeye tuna</t>
  </si>
  <si>
    <t xml:space="preserve">Table 9.1 :FISH PRODUCTION BY TYPE AND UTILIZATION, 2010 - 2016                                                       </t>
  </si>
  <si>
    <t>2016 - 2010 ,urwvcnim eguhwminEb wtwvun Wfih ecnutog egumunEbunuveruk iaWncnutwvWb eguhwm : 9.1 ulwvWt</t>
  </si>
  <si>
    <t>The Export in metric tons does not include: Articles Made Of Shells, Dried Shark Fins, Fish Soup, Flours, Meals And Pellets Of Fish, Etc, Unfit For Human Consumption, Live Grouper, Live Ornamental Fish,  Other Hides And Skins, Fresh Or Preserved, Not Tanned, Nes, Salted Dried Shark Fins &amp; Shark-Liver Oil</t>
  </si>
  <si>
    <t>Source: Island Councils, Maldives Customs Services and Ministry of Fisheries  and Agriculture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</si>
</sst>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409]mmmm\ d\,\ yyyy;@"/>
    <numFmt numFmtId="165" formatCode="General_)"/>
    <numFmt numFmtId="167" formatCode="#,##0.0"/>
  </numFmts>
  <fonts count="30" x14ac:knownFonts="1">
    <font>
      <sz val="11"/>
      <color theme="1"/>
      <name val="Calibri"/>
      <family val="2"/>
      <scheme val="minor"/>
    </font>
    <font>
      <sz val="10"/>
      <name val="Courier"/>
      <family val="3"/>
    </font>
    <font>
      <sz val="10"/>
      <name val="Arial"/>
      <family val="2"/>
    </font>
    <font>
      <sz val="10"/>
      <name val="MS Sans Serif"/>
      <family val="2"/>
    </font>
    <font>
      <b/>
      <sz val="11"/>
      <name val="Calibri"/>
      <family val="2"/>
    </font>
    <font>
      <sz val="10"/>
      <name val="Calibri"/>
      <family val="2"/>
    </font>
    <font>
      <b/>
      <sz val="9"/>
      <name val="Calibri"/>
      <family val="2"/>
    </font>
    <font>
      <sz val="9"/>
      <name val="Courier"/>
      <family val="3"/>
    </font>
    <font>
      <i/>
      <sz val="9"/>
      <name val="Calibri"/>
      <family val="2"/>
    </font>
    <font>
      <i/>
      <sz val="9"/>
      <name val="Calibri"/>
      <family val="2"/>
      <scheme val="minor"/>
    </font>
    <font>
      <b/>
      <sz val="10"/>
      <name val="Calibri"/>
      <family val="2"/>
    </font>
    <font>
      <sz val="9"/>
      <name val="Arial"/>
      <family val="2"/>
    </font>
    <font>
      <b/>
      <sz val="9"/>
      <name val="Arial"/>
      <family val="2"/>
    </font>
    <font>
      <i/>
      <sz val="9"/>
      <name val="Arial"/>
      <family val="2"/>
    </font>
    <font>
      <sz val="9"/>
      <name val="Faruma"/>
    </font>
    <font>
      <b/>
      <i/>
      <vertAlign val="superscript"/>
      <sz val="11"/>
      <name val="Arial"/>
      <family val="2"/>
    </font>
    <font>
      <b/>
      <sz val="12"/>
      <name val="Calibri"/>
      <family val="2"/>
    </font>
    <font>
      <sz val="9.5"/>
      <name val="Courier"/>
      <family val="3"/>
    </font>
    <font>
      <b/>
      <sz val="9.5"/>
      <name val="Arial"/>
      <family val="2"/>
    </font>
    <font>
      <b/>
      <sz val="9.5"/>
      <name val="Calibri"/>
      <family val="2"/>
    </font>
    <font>
      <sz val="9.5"/>
      <name val="Arial"/>
      <family val="2"/>
    </font>
    <font>
      <sz val="10"/>
      <name val="AKKO"/>
      <family val="2"/>
    </font>
    <font>
      <sz val="11"/>
      <name val="A_Utheem"/>
    </font>
    <font>
      <b/>
      <sz val="12"/>
      <name val="A_Waheed"/>
    </font>
    <font>
      <b/>
      <sz val="10"/>
      <name val="A_Waheed"/>
    </font>
    <font>
      <sz val="10"/>
      <name val="A_Waheed"/>
    </font>
    <font>
      <b/>
      <sz val="9"/>
      <name val="A_Waheed"/>
    </font>
    <font>
      <sz val="9"/>
      <name val="A_Waheed"/>
    </font>
    <font>
      <b/>
      <sz val="11"/>
      <name val="A_Waheed"/>
    </font>
    <font>
      <sz val="9.5"/>
      <name val="A_Waheed"/>
    </font>
  </fonts>
  <fills count="3">
    <fill>
      <patternFill patternType="none"/>
    </fill>
    <fill>
      <patternFill patternType="gray125"/>
    </fill>
    <fill>
      <patternFill patternType="solid">
        <fgColor theme="0"/>
        <bgColor indexed="64"/>
      </patternFill>
    </fill>
  </fills>
  <borders count="13">
    <border>
      <left/>
      <right/>
      <top/>
      <bottom/>
      <diagonal/>
    </border>
    <border>
      <left/>
      <right/>
      <top style="thin">
        <color indexed="64"/>
      </top>
      <bottom/>
      <diagonal/>
    </border>
    <border>
      <left/>
      <right/>
      <top/>
      <bottom style="thin">
        <color indexed="64"/>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right/>
      <top style="thin">
        <color indexed="64"/>
      </top>
      <bottom style="hair">
        <color indexed="64"/>
      </bottom>
      <diagonal/>
    </border>
    <border>
      <left/>
      <right/>
      <top style="hair">
        <color indexed="64"/>
      </top>
      <bottom style="thin">
        <color indexed="64"/>
      </bottom>
      <diagonal/>
    </border>
    <border>
      <left/>
      <right/>
      <top/>
      <bottom style="hair">
        <color indexed="64"/>
      </bottom>
      <diagonal/>
    </border>
    <border>
      <left/>
      <right style="thin">
        <color indexed="64"/>
      </right>
      <top/>
      <bottom style="hair">
        <color indexed="64"/>
      </bottom>
      <diagonal/>
    </border>
    <border>
      <left/>
      <right style="thin">
        <color indexed="64"/>
      </right>
      <top style="hair">
        <color indexed="64"/>
      </top>
      <bottom style="thin">
        <color indexed="64"/>
      </bottom>
      <diagonal/>
    </border>
    <border>
      <left style="thin">
        <color indexed="64"/>
      </left>
      <right/>
      <top/>
      <bottom style="hair">
        <color indexed="64"/>
      </bottom>
      <diagonal/>
    </border>
  </borders>
  <cellStyleXfs count="7">
    <xf numFmtId="0" fontId="0" fillId="0" borderId="0"/>
    <xf numFmtId="40" fontId="3" fillId="0" borderId="0" applyFont="0" applyFill="0" applyBorder="0" applyAlignment="0" applyProtection="0"/>
    <xf numFmtId="164" fontId="1" fillId="0" borderId="0"/>
    <xf numFmtId="164" fontId="1" fillId="0" borderId="0"/>
    <xf numFmtId="165" fontId="1" fillId="0" borderId="0"/>
    <xf numFmtId="0" fontId="1" fillId="0" borderId="0"/>
    <xf numFmtId="0" fontId="2" fillId="0" borderId="0"/>
  </cellStyleXfs>
  <cellXfs count="60">
    <xf numFmtId="0" fontId="0" fillId="0" borderId="0" xfId="0"/>
    <xf numFmtId="165" fontId="8" fillId="2" borderId="0" xfId="4" applyFont="1" applyFill="1" applyAlignment="1" applyProtection="1">
      <alignment horizontal="left" vertical="center"/>
    </xf>
    <xf numFmtId="165" fontId="1" fillId="2" borderId="0" xfId="4" applyFont="1" applyFill="1" applyAlignment="1">
      <alignment vertical="center"/>
    </xf>
    <xf numFmtId="165" fontId="11" fillId="2" borderId="0" xfId="4" applyFont="1" applyFill="1" applyAlignment="1">
      <alignment vertical="center"/>
    </xf>
    <xf numFmtId="165" fontId="12" fillId="2" borderId="0" xfId="4" applyFont="1" applyFill="1" applyBorder="1" applyAlignment="1" applyProtection="1">
      <alignment horizontal="center" vertical="center"/>
    </xf>
    <xf numFmtId="165" fontId="12" fillId="2" borderId="2" xfId="4" applyFont="1" applyFill="1" applyBorder="1" applyAlignment="1" applyProtection="1">
      <alignment horizontal="center" vertical="center"/>
    </xf>
    <xf numFmtId="165" fontId="0" fillId="2" borderId="1" xfId="0" applyNumberFormat="1" applyFill="1" applyBorder="1" applyAlignment="1">
      <alignment vertical="center"/>
    </xf>
    <xf numFmtId="165" fontId="7" fillId="2" borderId="0" xfId="4" applyFont="1" applyFill="1" applyAlignment="1">
      <alignment vertical="center"/>
    </xf>
    <xf numFmtId="165" fontId="13" fillId="2" borderId="0" xfId="4" applyFont="1" applyFill="1" applyAlignment="1" applyProtection="1">
      <alignment horizontal="left" vertical="center"/>
    </xf>
    <xf numFmtId="165" fontId="14" fillId="2" borderId="0" xfId="4" applyFont="1" applyFill="1" applyBorder="1" applyAlignment="1">
      <alignment horizontal="right" vertical="center"/>
    </xf>
    <xf numFmtId="165" fontId="9" fillId="2" borderId="0" xfId="4" applyFont="1" applyFill="1" applyAlignment="1" applyProtection="1">
      <alignment horizontal="left" vertical="center"/>
    </xf>
    <xf numFmtId="165" fontId="9" fillId="2" borderId="0" xfId="4" applyFont="1" applyFill="1" applyBorder="1" applyAlignment="1">
      <alignment horizontal="left" vertical="top"/>
    </xf>
    <xf numFmtId="165" fontId="11" fillId="2" borderId="0" xfId="4" applyFont="1" applyFill="1" applyBorder="1" applyAlignment="1">
      <alignment vertical="center"/>
    </xf>
    <xf numFmtId="165" fontId="10" fillId="2" borderId="0" xfId="4" applyFont="1" applyFill="1" applyAlignment="1" applyProtection="1">
      <alignment horizontal="left" vertical="center"/>
    </xf>
    <xf numFmtId="165" fontId="8" fillId="2" borderId="0" xfId="4" applyFont="1" applyFill="1" applyAlignment="1" applyProtection="1">
      <alignment vertical="center" wrapText="1"/>
    </xf>
    <xf numFmtId="165" fontId="2" fillId="2" borderId="0" xfId="4" applyFont="1" applyFill="1" applyAlignment="1">
      <alignment vertical="center"/>
    </xf>
    <xf numFmtId="165" fontId="12" fillId="2" borderId="7" xfId="4" applyFont="1" applyFill="1" applyBorder="1" applyAlignment="1" applyProtection="1">
      <alignment horizontal="center" vertical="center"/>
    </xf>
    <xf numFmtId="165" fontId="5" fillId="2" borderId="0" xfId="4" applyFont="1" applyFill="1" applyAlignment="1" applyProtection="1">
      <alignment horizontal="left" vertical="center"/>
    </xf>
    <xf numFmtId="165" fontId="5" fillId="2" borderId="2" xfId="4" applyFont="1" applyFill="1" applyBorder="1" applyAlignment="1" applyProtection="1">
      <alignment horizontal="left" vertical="center"/>
    </xf>
    <xf numFmtId="165" fontId="1" fillId="2" borderId="0" xfId="4" applyFont="1" applyFill="1" applyBorder="1" applyAlignment="1">
      <alignment vertical="center"/>
    </xf>
    <xf numFmtId="165" fontId="7" fillId="2" borderId="0" xfId="4" applyFont="1" applyFill="1" applyBorder="1" applyAlignment="1">
      <alignment vertical="center"/>
    </xf>
    <xf numFmtId="167" fontId="5" fillId="2" borderId="0" xfId="4" applyNumberFormat="1" applyFont="1" applyFill="1" applyBorder="1" applyAlignment="1" applyProtection="1">
      <alignment horizontal="right" vertical="center"/>
      <protection locked="0"/>
    </xf>
    <xf numFmtId="167" fontId="5" fillId="2" borderId="1" xfId="4" applyNumberFormat="1" applyFont="1" applyFill="1" applyBorder="1" applyAlignment="1" applyProtection="1">
      <alignment horizontal="right" vertical="center"/>
      <protection locked="0"/>
    </xf>
    <xf numFmtId="167" fontId="10" fillId="2" borderId="0" xfId="4" applyNumberFormat="1" applyFont="1" applyFill="1" applyBorder="1" applyAlignment="1" applyProtection="1">
      <alignment horizontal="right" vertical="center"/>
      <protection locked="0"/>
    </xf>
    <xf numFmtId="167" fontId="5" fillId="2" borderId="2" xfId="4" applyNumberFormat="1" applyFont="1" applyFill="1" applyBorder="1" applyAlignment="1" applyProtection="1">
      <alignment horizontal="right" vertical="center"/>
      <protection locked="0"/>
    </xf>
    <xf numFmtId="165" fontId="17" fillId="2" borderId="2" xfId="4" applyFont="1" applyFill="1" applyBorder="1" applyAlignment="1">
      <alignment vertical="center"/>
    </xf>
    <xf numFmtId="1" fontId="18" fillId="2" borderId="2" xfId="4" applyNumberFormat="1" applyFont="1" applyFill="1" applyBorder="1" applyAlignment="1">
      <alignment horizontal="right" vertical="center"/>
    </xf>
    <xf numFmtId="1" fontId="19" fillId="2" borderId="2" xfId="4" applyNumberFormat="1" applyFont="1" applyFill="1" applyBorder="1" applyAlignment="1">
      <alignment horizontal="right" vertical="center"/>
    </xf>
    <xf numFmtId="1" fontId="19" fillId="2" borderId="2" xfId="4" applyNumberFormat="1" applyFont="1" applyFill="1" applyBorder="1" applyAlignment="1" applyProtection="1">
      <alignment horizontal="right" vertical="center"/>
    </xf>
    <xf numFmtId="165" fontId="20" fillId="2" borderId="0" xfId="4" applyFont="1" applyFill="1" applyAlignment="1">
      <alignment vertical="center"/>
    </xf>
    <xf numFmtId="165" fontId="17" fillId="2" borderId="0" xfId="4" applyFont="1" applyFill="1" applyAlignment="1">
      <alignment vertical="center"/>
    </xf>
    <xf numFmtId="165" fontId="21" fillId="2" borderId="0" xfId="4" applyFont="1" applyFill="1" applyBorder="1" applyAlignment="1">
      <alignment horizontal="right" vertical="center"/>
    </xf>
    <xf numFmtId="1" fontId="19" fillId="2" borderId="11" xfId="4" applyNumberFormat="1" applyFont="1" applyFill="1" applyBorder="1" applyAlignment="1">
      <alignment horizontal="right" vertical="center"/>
    </xf>
    <xf numFmtId="165" fontId="6" fillId="2" borderId="0" xfId="4" applyFont="1" applyFill="1" applyBorder="1" applyAlignment="1" applyProtection="1">
      <alignment horizontal="left" vertical="center"/>
    </xf>
    <xf numFmtId="165" fontId="27" fillId="2" borderId="0" xfId="4" applyFont="1" applyFill="1" applyBorder="1" applyAlignment="1">
      <alignment horizontal="right" vertical="center"/>
    </xf>
    <xf numFmtId="165" fontId="25" fillId="2" borderId="2" xfId="4" applyFont="1" applyFill="1" applyBorder="1" applyAlignment="1">
      <alignment horizontal="right" vertical="center"/>
    </xf>
    <xf numFmtId="165" fontId="24" fillId="2" borderId="0" xfId="0" applyNumberFormat="1" applyFont="1" applyFill="1" applyAlignment="1">
      <alignment horizontal="right" vertical="center"/>
    </xf>
    <xf numFmtId="165" fontId="26" fillId="2" borderId="0" xfId="4" applyFont="1" applyFill="1" applyBorder="1" applyAlignment="1">
      <alignment horizontal="right" vertical="center"/>
    </xf>
    <xf numFmtId="165" fontId="29" fillId="2" borderId="2" xfId="4" applyFont="1" applyFill="1" applyBorder="1" applyAlignment="1">
      <alignment vertical="center"/>
    </xf>
    <xf numFmtId="165" fontId="25" fillId="2" borderId="0" xfId="4" applyFont="1" applyFill="1" applyAlignment="1">
      <alignment horizontal="right" vertical="center"/>
    </xf>
    <xf numFmtId="165" fontId="25" fillId="2" borderId="0" xfId="4" applyFont="1" applyFill="1" applyBorder="1" applyAlignment="1">
      <alignment horizontal="right" vertical="center"/>
    </xf>
    <xf numFmtId="165" fontId="24" fillId="2" borderId="0" xfId="4" applyFont="1" applyFill="1" applyBorder="1" applyAlignment="1">
      <alignment horizontal="right" vertical="center"/>
    </xf>
    <xf numFmtId="1" fontId="19" fillId="2" borderId="8" xfId="4" applyNumberFormat="1" applyFont="1" applyFill="1" applyBorder="1" applyAlignment="1">
      <alignment horizontal="right" vertical="center"/>
    </xf>
    <xf numFmtId="167" fontId="5" fillId="2" borderId="5" xfId="4" applyNumberFormat="1" applyFont="1" applyFill="1" applyBorder="1" applyAlignment="1" applyProtection="1">
      <alignment horizontal="right" vertical="center"/>
      <protection locked="0"/>
    </xf>
    <xf numFmtId="167" fontId="5" fillId="2" borderId="3" xfId="4" applyNumberFormat="1" applyFont="1" applyFill="1" applyBorder="1" applyAlignment="1" applyProtection="1">
      <alignment horizontal="right" vertical="center"/>
      <protection locked="0"/>
    </xf>
    <xf numFmtId="167" fontId="10" fillId="2" borderId="3" xfId="4" applyNumberFormat="1" applyFont="1" applyFill="1" applyBorder="1" applyAlignment="1" applyProtection="1">
      <alignment horizontal="right" vertical="center"/>
      <protection locked="0"/>
    </xf>
    <xf numFmtId="167" fontId="5" fillId="2" borderId="6" xfId="4" applyNumberFormat="1" applyFont="1" applyFill="1" applyBorder="1" applyAlignment="1" applyProtection="1">
      <alignment horizontal="right" vertical="center"/>
      <protection locked="0"/>
    </xf>
    <xf numFmtId="3" fontId="11" fillId="2" borderId="0" xfId="4" applyNumberFormat="1" applyFont="1" applyFill="1" applyBorder="1" applyAlignment="1">
      <alignment vertical="center"/>
    </xf>
    <xf numFmtId="165" fontId="4" fillId="2" borderId="9" xfId="4" applyFont="1" applyFill="1" applyBorder="1" applyAlignment="1">
      <alignment horizontal="center" vertical="center"/>
    </xf>
    <xf numFmtId="165" fontId="4" fillId="2" borderId="10" xfId="4" applyFont="1" applyFill="1" applyBorder="1" applyAlignment="1">
      <alignment horizontal="center" vertical="center"/>
    </xf>
    <xf numFmtId="165" fontId="8" fillId="2" borderId="0" xfId="4" applyFont="1" applyFill="1" applyAlignment="1" applyProtection="1">
      <alignment horizontal="left" vertical="center" wrapText="1"/>
    </xf>
    <xf numFmtId="165" fontId="28" fillId="2" borderId="4" xfId="4" applyFont="1" applyFill="1" applyBorder="1" applyAlignment="1">
      <alignment horizontal="center" vertical="center"/>
    </xf>
    <xf numFmtId="165" fontId="28" fillId="2" borderId="1" xfId="4" applyFont="1" applyFill="1" applyBorder="1" applyAlignment="1">
      <alignment horizontal="center" vertical="center"/>
    </xf>
    <xf numFmtId="165" fontId="4" fillId="2" borderId="12" xfId="4" applyFont="1" applyFill="1" applyBorder="1" applyAlignment="1">
      <alignment horizontal="center" vertical="center"/>
    </xf>
    <xf numFmtId="165" fontId="9" fillId="2" borderId="0" xfId="4" applyFont="1" applyFill="1" applyAlignment="1" applyProtection="1">
      <alignment horizontal="left" vertical="center" wrapText="1"/>
    </xf>
    <xf numFmtId="165" fontId="23" fillId="2" borderId="0" xfId="4" applyFont="1" applyFill="1" applyAlignment="1">
      <alignment horizontal="center" vertical="center"/>
    </xf>
    <xf numFmtId="165" fontId="16" fillId="2" borderId="0" xfId="4" applyFont="1" applyFill="1" applyBorder="1" applyAlignment="1" applyProtection="1">
      <alignment horizontal="center" vertical="center" wrapText="1"/>
    </xf>
    <xf numFmtId="165" fontId="22" fillId="2" borderId="0" xfId="4" applyFont="1" applyFill="1" applyBorder="1" applyAlignment="1">
      <alignment horizontal="center" vertical="center"/>
    </xf>
    <xf numFmtId="165" fontId="4" fillId="2" borderId="2" xfId="4" applyFont="1" applyFill="1" applyBorder="1" applyAlignment="1" applyProtection="1">
      <alignment horizontal="center" vertical="center"/>
    </xf>
    <xf numFmtId="165" fontId="28" fillId="2" borderId="5" xfId="4" applyFont="1" applyFill="1" applyBorder="1" applyAlignment="1">
      <alignment horizontal="center" vertical="center"/>
    </xf>
  </cellXfs>
  <cellStyles count="7">
    <cellStyle name="1" xfId="6"/>
    <cellStyle name="Comma 2" xfId="1"/>
    <cellStyle name="Normal" xfId="0" builtinId="0"/>
    <cellStyle name="Normal 2" xfId="5"/>
    <cellStyle name="Normal 3_agri planning 2009 year book(final)" xfId="3"/>
    <cellStyle name="Normal 4_agri planning 2009 year book(final)" xfId="2"/>
    <cellStyle name="Normal_Fish &amp;  Agri - 8" xfId="4"/>
  </cellStyles>
  <dxfs count="0"/>
  <tableStyles count="0" defaultTableStyle="TableStyleMedium9" defaultPivotStyle="PivotStyleLight16"/>
  <colors>
    <mruColors>
      <color rgb="FFFF9900"/>
      <color rgb="FF009900"/>
      <color rgb="FF33CCCC"/>
      <color rgb="FF1C706E"/>
      <color rgb="FF81E1DF"/>
      <color rgb="FFFF3399"/>
      <color rgb="FFE8F5F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rgbClr val="9999FF"/>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0-3756-4FD4-8031-4F19F0400592}"/>
            </c:ext>
          </c:extLst>
        </c:ser>
        <c:ser>
          <c:idx val="1"/>
          <c:order val="1"/>
          <c:spPr>
            <a:solidFill>
              <a:srgbClr val="993366"/>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1-3756-4FD4-8031-4F19F0400592}"/>
            </c:ext>
          </c:extLst>
        </c:ser>
        <c:ser>
          <c:idx val="2"/>
          <c:order val="2"/>
          <c:spPr>
            <a:solidFill>
              <a:srgbClr val="FFFFCC"/>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2-3756-4FD4-8031-4F19F0400592}"/>
            </c:ext>
          </c:extLst>
        </c:ser>
        <c:dLbls>
          <c:showLegendKey val="0"/>
          <c:showVal val="0"/>
          <c:showCatName val="0"/>
          <c:showSerName val="0"/>
          <c:showPercent val="0"/>
          <c:showBubbleSize val="0"/>
        </c:dLbls>
        <c:gapWidth val="150"/>
        <c:axId val="76088448"/>
        <c:axId val="76089984"/>
      </c:barChart>
      <c:catAx>
        <c:axId val="76088448"/>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76089984"/>
        <c:crosses val="autoZero"/>
        <c:auto val="1"/>
        <c:lblAlgn val="ctr"/>
        <c:lblOffset val="100"/>
        <c:tickLblSkip val="1"/>
        <c:tickMarkSkip val="1"/>
        <c:noMultiLvlLbl val="0"/>
      </c:catAx>
      <c:valAx>
        <c:axId val="76089984"/>
        <c:scaling>
          <c:orientation val="minMax"/>
        </c:scaling>
        <c:delete val="0"/>
        <c:axPos val="l"/>
        <c:majorGridlines>
          <c:spPr>
            <a:ln w="3175">
              <a:solidFill>
                <a:srgbClr val="000000"/>
              </a:solidFill>
              <a:prstDash val="solid"/>
            </a:ln>
          </c:spPr>
        </c:majorGridlines>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76088448"/>
        <c:crosses val="autoZero"/>
        <c:crossBetween val="between"/>
      </c:valAx>
      <c:spPr>
        <a:solidFill>
          <a:srgbClr val="C0C0C0"/>
        </a:solid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10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275" b="0" i="0" u="none" strike="noStrike" baseline="0">
          <a:solidFill>
            <a:srgbClr val="000000"/>
          </a:solidFill>
          <a:latin typeface="Arial"/>
          <a:ea typeface="Arial"/>
          <a:cs typeface="Arial"/>
        </a:defRPr>
      </a:pPr>
      <a:endParaRPr lang="en-US"/>
    </a:p>
  </c:txPr>
  <c:printSettings>
    <c:headerFooter alignWithMargins="0"/>
    <c:pageMargins b="1" l="0.750000000000005" r="0.750000000000005" t="1" header="0.5" footer="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rgbClr val="9999FF"/>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0-626A-4ED2-8B8C-74C004759C89}"/>
            </c:ext>
          </c:extLst>
        </c:ser>
        <c:ser>
          <c:idx val="1"/>
          <c:order val="1"/>
          <c:spPr>
            <a:solidFill>
              <a:srgbClr val="993366"/>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1-626A-4ED2-8B8C-74C004759C89}"/>
            </c:ext>
          </c:extLst>
        </c:ser>
        <c:ser>
          <c:idx val="2"/>
          <c:order val="2"/>
          <c:spPr>
            <a:solidFill>
              <a:srgbClr val="FFFFCC"/>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2-626A-4ED2-8B8C-74C004759C89}"/>
            </c:ext>
          </c:extLst>
        </c:ser>
        <c:dLbls>
          <c:showLegendKey val="0"/>
          <c:showVal val="0"/>
          <c:showCatName val="0"/>
          <c:showSerName val="0"/>
          <c:showPercent val="0"/>
          <c:showBubbleSize val="0"/>
        </c:dLbls>
        <c:gapWidth val="150"/>
        <c:axId val="76111872"/>
        <c:axId val="76113408"/>
      </c:barChart>
      <c:catAx>
        <c:axId val="76111872"/>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76113408"/>
        <c:crosses val="autoZero"/>
        <c:auto val="1"/>
        <c:lblAlgn val="ctr"/>
        <c:lblOffset val="100"/>
        <c:tickLblSkip val="1"/>
        <c:tickMarkSkip val="1"/>
        <c:noMultiLvlLbl val="0"/>
      </c:catAx>
      <c:valAx>
        <c:axId val="76113408"/>
        <c:scaling>
          <c:orientation val="minMax"/>
        </c:scaling>
        <c:delete val="0"/>
        <c:axPos val="l"/>
        <c:majorGridlines>
          <c:spPr>
            <a:ln w="3175">
              <a:solidFill>
                <a:srgbClr val="000000"/>
              </a:solidFill>
              <a:prstDash val="solid"/>
            </a:ln>
          </c:spPr>
        </c:majorGridlines>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76111872"/>
        <c:crosses val="autoZero"/>
        <c:crossBetween val="between"/>
      </c:valAx>
      <c:spPr>
        <a:solidFill>
          <a:srgbClr val="C0C0C0"/>
        </a:solid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10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275" b="0" i="0" u="none" strike="noStrike" baseline="0">
          <a:solidFill>
            <a:srgbClr val="000000"/>
          </a:solidFill>
          <a:latin typeface="Arial"/>
          <a:ea typeface="Arial"/>
          <a:cs typeface="Arial"/>
        </a:defRPr>
      </a:pPr>
      <a:endParaRPr lang="en-US"/>
    </a:p>
  </c:txPr>
  <c:printSettings>
    <c:headerFooter alignWithMargins="0"/>
    <c:pageMargins b="1" l="0.750000000000005" r="0.750000000000005" t="1" header="0.5" footer="0.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rgbClr val="9999FF"/>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0-C4E9-4B07-B3B2-A671FA924B54}"/>
            </c:ext>
          </c:extLst>
        </c:ser>
        <c:ser>
          <c:idx val="1"/>
          <c:order val="1"/>
          <c:spPr>
            <a:solidFill>
              <a:srgbClr val="993366"/>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1-C4E9-4B07-B3B2-A671FA924B54}"/>
            </c:ext>
          </c:extLst>
        </c:ser>
        <c:ser>
          <c:idx val="2"/>
          <c:order val="2"/>
          <c:spPr>
            <a:solidFill>
              <a:srgbClr val="FFFFCC"/>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2-C4E9-4B07-B3B2-A671FA924B54}"/>
            </c:ext>
          </c:extLst>
        </c:ser>
        <c:dLbls>
          <c:showLegendKey val="0"/>
          <c:showVal val="0"/>
          <c:showCatName val="0"/>
          <c:showSerName val="0"/>
          <c:showPercent val="0"/>
          <c:showBubbleSize val="0"/>
        </c:dLbls>
        <c:gapWidth val="150"/>
        <c:axId val="76126848"/>
        <c:axId val="76128640"/>
      </c:barChart>
      <c:catAx>
        <c:axId val="76126848"/>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76128640"/>
        <c:crosses val="autoZero"/>
        <c:auto val="1"/>
        <c:lblAlgn val="ctr"/>
        <c:lblOffset val="100"/>
        <c:tickLblSkip val="1"/>
        <c:tickMarkSkip val="1"/>
        <c:noMultiLvlLbl val="0"/>
      </c:catAx>
      <c:valAx>
        <c:axId val="76128640"/>
        <c:scaling>
          <c:orientation val="minMax"/>
        </c:scaling>
        <c:delete val="0"/>
        <c:axPos val="l"/>
        <c:majorGridlines>
          <c:spPr>
            <a:ln w="3175">
              <a:solidFill>
                <a:srgbClr val="000000"/>
              </a:solidFill>
              <a:prstDash val="solid"/>
            </a:ln>
          </c:spPr>
        </c:majorGridlines>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76126848"/>
        <c:crosses val="autoZero"/>
        <c:crossBetween val="between"/>
      </c:valAx>
      <c:spPr>
        <a:solidFill>
          <a:srgbClr val="C0C0C0"/>
        </a:solid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10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275" b="0" i="0" u="none" strike="noStrike" baseline="0">
          <a:solidFill>
            <a:srgbClr val="000000"/>
          </a:solidFill>
          <a:latin typeface="Arial"/>
          <a:ea typeface="Arial"/>
          <a:cs typeface="Arial"/>
        </a:defRPr>
      </a:pPr>
      <a:endParaRPr lang="en-US"/>
    </a:p>
  </c:txPr>
  <c:printSettings>
    <c:headerFooter alignWithMargins="0"/>
    <c:pageMargins b="1" l="0.75000000000000555" r="0.75000000000000555" t="1" header="0.5" footer="0.5"/>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rgbClr val="9999FF"/>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0-1A5A-4A05-84FC-84BC4D73A217}"/>
            </c:ext>
          </c:extLst>
        </c:ser>
        <c:ser>
          <c:idx val="1"/>
          <c:order val="1"/>
          <c:spPr>
            <a:solidFill>
              <a:srgbClr val="993366"/>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1-1A5A-4A05-84FC-84BC4D73A217}"/>
            </c:ext>
          </c:extLst>
        </c:ser>
        <c:ser>
          <c:idx val="2"/>
          <c:order val="2"/>
          <c:spPr>
            <a:solidFill>
              <a:srgbClr val="FFFFCC"/>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2-1A5A-4A05-84FC-84BC4D73A217}"/>
            </c:ext>
          </c:extLst>
        </c:ser>
        <c:dLbls>
          <c:showLegendKey val="0"/>
          <c:showVal val="0"/>
          <c:showCatName val="0"/>
          <c:showSerName val="0"/>
          <c:showPercent val="0"/>
          <c:showBubbleSize val="0"/>
        </c:dLbls>
        <c:gapWidth val="150"/>
        <c:axId val="76142080"/>
        <c:axId val="76143616"/>
      </c:barChart>
      <c:catAx>
        <c:axId val="76142080"/>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76143616"/>
        <c:crosses val="autoZero"/>
        <c:auto val="1"/>
        <c:lblAlgn val="ctr"/>
        <c:lblOffset val="100"/>
        <c:tickLblSkip val="1"/>
        <c:tickMarkSkip val="1"/>
        <c:noMultiLvlLbl val="0"/>
      </c:catAx>
      <c:valAx>
        <c:axId val="76143616"/>
        <c:scaling>
          <c:orientation val="minMax"/>
        </c:scaling>
        <c:delete val="0"/>
        <c:axPos val="l"/>
        <c:majorGridlines>
          <c:spPr>
            <a:ln w="3175">
              <a:solidFill>
                <a:srgbClr val="000000"/>
              </a:solidFill>
              <a:prstDash val="solid"/>
            </a:ln>
          </c:spPr>
        </c:majorGridlines>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76142080"/>
        <c:crosses val="autoZero"/>
        <c:crossBetween val="between"/>
      </c:valAx>
      <c:spPr>
        <a:solidFill>
          <a:srgbClr val="C0C0C0"/>
        </a:solid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10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275" b="0" i="0" u="none" strike="noStrike" baseline="0">
          <a:solidFill>
            <a:srgbClr val="000000"/>
          </a:solidFill>
          <a:latin typeface="Arial"/>
          <a:ea typeface="Arial"/>
          <a:cs typeface="Arial"/>
        </a:defRPr>
      </a:pPr>
      <a:endParaRPr lang="en-US"/>
    </a:p>
  </c:txPr>
  <c:printSettings>
    <c:headerFooter alignWithMargins="0"/>
    <c:pageMargins b="1" l="0.75000000000000555" r="0.75000000000000555" t="1" header="0.5" footer="0.5"/>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1440180</xdr:colOff>
      <xdr:row>22</xdr:row>
      <xdr:rowOff>0</xdr:rowOff>
    </xdr:from>
    <xdr:to>
      <xdr:col>4</xdr:col>
      <xdr:colOff>0</xdr:colOff>
      <xdr:row>22</xdr:row>
      <xdr:rowOff>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1440180</xdr:colOff>
      <xdr:row>22</xdr:row>
      <xdr:rowOff>0</xdr:rowOff>
    </xdr:from>
    <xdr:to>
      <xdr:col>4</xdr:col>
      <xdr:colOff>0</xdr:colOff>
      <xdr:row>22</xdr:row>
      <xdr:rowOff>0</xdr:rowOff>
    </xdr:to>
    <xdr:graphicFrame macro="">
      <xdr:nvGraphicFramePr>
        <xdr:cNvPr id="3"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1440180</xdr:colOff>
      <xdr:row>22</xdr:row>
      <xdr:rowOff>0</xdr:rowOff>
    </xdr:from>
    <xdr:to>
      <xdr:col>4</xdr:col>
      <xdr:colOff>0</xdr:colOff>
      <xdr:row>22</xdr:row>
      <xdr:rowOff>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1440180</xdr:colOff>
      <xdr:row>22</xdr:row>
      <xdr:rowOff>0</xdr:rowOff>
    </xdr:from>
    <xdr:to>
      <xdr:col>4</xdr:col>
      <xdr:colOff>0</xdr:colOff>
      <xdr:row>22</xdr:row>
      <xdr:rowOff>0</xdr:rowOff>
    </xdr:to>
    <xdr:graphicFrame macro="">
      <xdr:nvGraphicFramePr>
        <xdr:cNvPr id="5"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fathimath.shifaza\AppData\Local\Microsoft\Windows\INetCache\Content.Outlook\362P0D1J\FISHERIES%20AND%20AGRICULTURE%20_%20Min%20of%20Fisheries%202017%20(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fathimath.shifaza\Documents\Agri_SYB%202017%20_%20for%20Recheck%20_4%20Oc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9.1"/>
      <sheetName val="9.2"/>
      <sheetName val="9.3"/>
      <sheetName val="9.4"/>
      <sheetName val="9.5"/>
      <sheetName val="9.6"/>
      <sheetName val="9.17"/>
    </sheetNames>
    <sheetDataSet>
      <sheetData sheetId="0"/>
      <sheetData sheetId="1"/>
      <sheetData sheetId="2">
        <row r="8">
          <cell r="D8" t="str">
            <v>Skipjack tuna</v>
          </cell>
          <cell r="E8" t="str">
            <v>Yellowfin tuna</v>
          </cell>
          <cell r="F8" t="str">
            <v>Big eye tuna</v>
          </cell>
          <cell r="G8" t="str">
            <v>Albacore tuna</v>
          </cell>
          <cell r="H8" t="str">
            <v>Dogtooth tuna</v>
          </cell>
          <cell r="I8" t="str">
            <v xml:space="preserve">   Little tuna</v>
          </cell>
          <cell r="J8" t="str">
            <v>Frigate tuna</v>
          </cell>
          <cell r="K8" t="str">
            <v>Other marine fish</v>
          </cell>
        </row>
        <row r="9">
          <cell r="D9">
            <v>69589.480938961424</v>
          </cell>
          <cell r="E9">
            <v>53705.451966178975</v>
          </cell>
          <cell r="F9">
            <v>2480.0423404201256</v>
          </cell>
          <cell r="G9">
            <v>15.290000000000001</v>
          </cell>
          <cell r="H9">
            <v>11.453572517147915</v>
          </cell>
          <cell r="I9">
            <v>29.990173019499927</v>
          </cell>
          <cell r="J9">
            <v>143.18209877120293</v>
          </cell>
          <cell r="K9">
            <v>3216.1040166838452</v>
          </cell>
        </row>
        <row r="13">
          <cell r="A13" t="str">
            <v xml:space="preserve"> HA</v>
          </cell>
          <cell r="B13">
            <v>5455.5677523293343</v>
          </cell>
        </row>
        <row r="14">
          <cell r="A14" t="str">
            <v xml:space="preserve"> HDh</v>
          </cell>
          <cell r="B14">
            <v>3402.7214464188992</v>
          </cell>
        </row>
        <row r="15">
          <cell r="A15" t="str">
            <v xml:space="preserve"> Sh</v>
          </cell>
          <cell r="B15">
            <v>3128.4374683669444</v>
          </cell>
        </row>
        <row r="16">
          <cell r="A16" t="str">
            <v xml:space="preserve"> N</v>
          </cell>
          <cell r="B16">
            <v>2028.2570049295896</v>
          </cell>
        </row>
        <row r="17">
          <cell r="A17" t="str">
            <v xml:space="preserve"> R</v>
          </cell>
          <cell r="B17">
            <v>6483.1043342321336</v>
          </cell>
        </row>
        <row r="18">
          <cell r="A18" t="str">
            <v>B</v>
          </cell>
          <cell r="B18">
            <v>1829.2509133074132</v>
          </cell>
        </row>
        <row r="19">
          <cell r="A19" t="str">
            <v>Lh</v>
          </cell>
          <cell r="B19">
            <v>5919.1232883164666</v>
          </cell>
        </row>
        <row r="20">
          <cell r="A20" t="str">
            <v>K</v>
          </cell>
          <cell r="B20">
            <v>4272.7470002415439</v>
          </cell>
        </row>
        <row r="21">
          <cell r="A21" t="str">
            <v>AA</v>
          </cell>
          <cell r="B21">
            <v>2752.4573718329693</v>
          </cell>
        </row>
        <row r="22">
          <cell r="A22" t="str">
            <v>ADh</v>
          </cell>
          <cell r="B22">
            <v>4075.1871960090161</v>
          </cell>
        </row>
        <row r="23">
          <cell r="A23" t="str">
            <v>V</v>
          </cell>
          <cell r="B23">
            <v>312.69729273595999</v>
          </cell>
        </row>
        <row r="24">
          <cell r="A24" t="str">
            <v>M</v>
          </cell>
          <cell r="B24">
            <v>2294.8781910587522</v>
          </cell>
        </row>
        <row r="25">
          <cell r="A25" t="str">
            <v>F</v>
          </cell>
          <cell r="B25">
            <v>3596.7076673388624</v>
          </cell>
        </row>
        <row r="26">
          <cell r="A26" t="str">
            <v>Dh</v>
          </cell>
          <cell r="B26">
            <v>7183.6101718072623</v>
          </cell>
        </row>
        <row r="27">
          <cell r="A27" t="str">
            <v>Th</v>
          </cell>
          <cell r="B27">
            <v>4117.0242744197167</v>
          </cell>
        </row>
        <row r="28">
          <cell r="A28" t="str">
            <v xml:space="preserve"> L</v>
          </cell>
          <cell r="B28">
            <v>10779.729136313419</v>
          </cell>
        </row>
        <row r="29">
          <cell r="A29" t="str">
            <v>GA</v>
          </cell>
          <cell r="B29">
            <v>17591.605791181755</v>
          </cell>
        </row>
        <row r="30">
          <cell r="A30" t="str">
            <v>GDh</v>
          </cell>
          <cell r="B30">
            <v>8520.5992519975225</v>
          </cell>
        </row>
        <row r="31">
          <cell r="A31" t="str">
            <v>Gn</v>
          </cell>
          <cell r="B31">
            <v>3722.8406026800089</v>
          </cell>
        </row>
        <row r="32">
          <cell r="A32" t="str">
            <v>S</v>
          </cell>
          <cell r="B32">
            <v>10356.911892123186</v>
          </cell>
        </row>
      </sheetData>
      <sheetData sheetId="3"/>
      <sheetData sheetId="4"/>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9.18"/>
      <sheetName val="9.19"/>
      <sheetName val="9.20"/>
    </sheetNames>
    <sheetDataSet>
      <sheetData sheetId="0">
        <row r="6">
          <cell r="F6">
            <v>2012</v>
          </cell>
          <cell r="G6">
            <v>2013</v>
          </cell>
          <cell r="H6">
            <v>2014</v>
          </cell>
        </row>
        <row r="8">
          <cell r="A8" t="str">
            <v>January</v>
          </cell>
          <cell r="F8">
            <v>13736.8205</v>
          </cell>
          <cell r="G8">
            <v>5494.0505000000003</v>
          </cell>
          <cell r="H8">
            <v>3075.7</v>
          </cell>
        </row>
        <row r="9">
          <cell r="A9" t="str">
            <v>February</v>
          </cell>
          <cell r="F9">
            <v>13129.5085</v>
          </cell>
          <cell r="G9">
            <v>6652.4795000000004</v>
          </cell>
          <cell r="H9">
            <v>2827.83</v>
          </cell>
        </row>
        <row r="10">
          <cell r="A10" t="str">
            <v>March</v>
          </cell>
          <cell r="F10">
            <v>10113.8855</v>
          </cell>
          <cell r="G10">
            <v>2169.9749999999999</v>
          </cell>
          <cell r="H10">
            <v>4973.7240000000002</v>
          </cell>
        </row>
        <row r="11">
          <cell r="A11" t="str">
            <v>April</v>
          </cell>
          <cell r="F11">
            <v>8310.6272499999995</v>
          </cell>
          <cell r="G11">
            <v>4903.4449999999997</v>
          </cell>
          <cell r="H11">
            <v>3393.68</v>
          </cell>
        </row>
        <row r="12">
          <cell r="A12" t="str">
            <v>May</v>
          </cell>
          <cell r="F12">
            <v>9784.75</v>
          </cell>
          <cell r="G12">
            <v>1682.45</v>
          </cell>
          <cell r="H12">
            <v>1162.385</v>
          </cell>
        </row>
        <row r="13">
          <cell r="A13" t="str">
            <v>June</v>
          </cell>
          <cell r="F13" t="str">
            <v>-</v>
          </cell>
          <cell r="G13">
            <v>629.17499999999995</v>
          </cell>
          <cell r="H13">
            <v>135.19999999999999</v>
          </cell>
        </row>
        <row r="14">
          <cell r="A14" t="str">
            <v>July</v>
          </cell>
          <cell r="F14">
            <v>7576.585</v>
          </cell>
          <cell r="G14" t="str">
            <v>-</v>
          </cell>
          <cell r="H14">
            <v>10021.85</v>
          </cell>
        </row>
        <row r="15">
          <cell r="A15" t="str">
            <v>August</v>
          </cell>
          <cell r="F15">
            <v>4974.5874999999996</v>
          </cell>
          <cell r="G15" t="str">
            <v>-</v>
          </cell>
          <cell r="H15">
            <v>921.5</v>
          </cell>
        </row>
        <row r="16">
          <cell r="A16" t="str">
            <v>September</v>
          </cell>
          <cell r="F16" t="str">
            <v>-</v>
          </cell>
          <cell r="G16">
            <v>7582.9790000000003</v>
          </cell>
          <cell r="H16">
            <v>1818.71</v>
          </cell>
        </row>
        <row r="17">
          <cell r="A17" t="str">
            <v>October</v>
          </cell>
          <cell r="F17">
            <v>3558.34175</v>
          </cell>
          <cell r="G17">
            <v>3918.48</v>
          </cell>
          <cell r="H17">
            <v>1463.45</v>
          </cell>
        </row>
        <row r="18">
          <cell r="A18" t="str">
            <v>November</v>
          </cell>
          <cell r="F18">
            <v>9511.2639999999992</v>
          </cell>
          <cell r="G18">
            <v>386.66500000000002</v>
          </cell>
          <cell r="H18">
            <v>2034.43</v>
          </cell>
        </row>
        <row r="19">
          <cell r="A19" t="str">
            <v>December</v>
          </cell>
          <cell r="F19">
            <v>8162.64</v>
          </cell>
          <cell r="G19">
            <v>1173.1075000000001</v>
          </cell>
          <cell r="H19">
            <v>1197.5820000000001</v>
          </cell>
        </row>
      </sheetData>
      <sheetData sheetId="1"/>
      <sheetData sheetId="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AK37"/>
  <sheetViews>
    <sheetView tabSelected="1" zoomScaleNormal="100" workbookViewId="0">
      <selection activeCell="AC16" sqref="AC16"/>
    </sheetView>
  </sheetViews>
  <sheetFormatPr defaultColWidth="8.85546875" defaultRowHeight="12" x14ac:dyDescent="0.25"/>
  <cols>
    <col min="1" max="1" width="33.28515625" style="2" customWidth="1"/>
    <col min="2" max="2" width="0" style="2" hidden="1" customWidth="1"/>
    <col min="3" max="6" width="7" style="2" hidden="1" customWidth="1"/>
    <col min="7" max="13" width="7" style="2" customWidth="1"/>
    <col min="14" max="15" width="7.28515625" style="2" hidden="1" customWidth="1"/>
    <col min="16" max="16" width="7.140625" style="2" hidden="1" customWidth="1"/>
    <col min="17" max="17" width="5.140625" style="2" hidden="1" customWidth="1"/>
    <col min="18" max="24" width="7.28515625" style="2" customWidth="1"/>
    <col min="25" max="25" width="41.7109375" style="2" customWidth="1"/>
    <col min="26" max="16384" width="8.85546875" style="2"/>
  </cols>
  <sheetData>
    <row r="1" spans="1:37" ht="18.75" x14ac:dyDescent="0.25">
      <c r="A1" s="55" t="s">
        <v>31</v>
      </c>
      <c r="B1" s="55"/>
      <c r="C1" s="55"/>
      <c r="D1" s="55"/>
      <c r="E1" s="55"/>
      <c r="F1" s="55"/>
      <c r="G1" s="55"/>
      <c r="H1" s="55"/>
      <c r="I1" s="55"/>
      <c r="J1" s="55"/>
      <c r="K1" s="55"/>
      <c r="L1" s="55"/>
      <c r="M1" s="55"/>
      <c r="N1" s="55"/>
      <c r="O1" s="55"/>
      <c r="P1" s="55"/>
      <c r="Q1" s="55"/>
      <c r="R1" s="55"/>
      <c r="S1" s="55"/>
      <c r="T1" s="55"/>
      <c r="U1" s="55"/>
      <c r="V1" s="55"/>
      <c r="W1" s="55"/>
      <c r="X1" s="55"/>
      <c r="Y1" s="55"/>
      <c r="Z1" s="55"/>
    </row>
    <row r="2" spans="1:37" ht="15.75" x14ac:dyDescent="0.25">
      <c r="A2" s="56" t="s">
        <v>30</v>
      </c>
      <c r="B2" s="56"/>
      <c r="C2" s="56"/>
      <c r="D2" s="56"/>
      <c r="E2" s="56"/>
      <c r="F2" s="56"/>
      <c r="G2" s="56"/>
      <c r="H2" s="56"/>
      <c r="I2" s="56"/>
      <c r="J2" s="56"/>
      <c r="K2" s="56"/>
      <c r="L2" s="56"/>
      <c r="M2" s="56"/>
      <c r="N2" s="56"/>
      <c r="O2" s="56"/>
      <c r="P2" s="56"/>
      <c r="Q2" s="56"/>
      <c r="R2" s="56"/>
      <c r="S2" s="56"/>
      <c r="T2" s="56"/>
      <c r="U2" s="56"/>
      <c r="V2" s="56"/>
      <c r="W2" s="56"/>
      <c r="X2" s="56"/>
      <c r="Y2" s="56"/>
      <c r="Z2" s="3"/>
      <c r="AA2" s="3"/>
      <c r="AB2" s="3"/>
      <c r="AC2" s="3"/>
      <c r="AD2" s="3"/>
      <c r="AE2" s="3"/>
      <c r="AF2" s="3"/>
      <c r="AG2" s="3"/>
      <c r="AH2" s="3"/>
      <c r="AI2" s="3"/>
    </row>
    <row r="3" spans="1:37" ht="17.25" x14ac:dyDescent="0.25">
      <c r="A3" s="57" t="s">
        <v>0</v>
      </c>
      <c r="B3" s="57"/>
      <c r="C3" s="57"/>
      <c r="D3" s="57"/>
      <c r="E3" s="57"/>
      <c r="F3" s="57"/>
      <c r="G3" s="57"/>
      <c r="H3" s="57"/>
      <c r="I3" s="57"/>
      <c r="J3" s="57"/>
      <c r="K3" s="57"/>
      <c r="L3" s="57"/>
      <c r="M3" s="57"/>
      <c r="N3" s="57"/>
      <c r="O3" s="57"/>
      <c r="P3" s="57"/>
      <c r="Q3" s="57"/>
      <c r="R3" s="57"/>
      <c r="S3" s="57"/>
      <c r="T3" s="57"/>
      <c r="U3" s="57"/>
      <c r="V3" s="57"/>
      <c r="W3" s="57"/>
      <c r="X3" s="57"/>
      <c r="Y3" s="57"/>
      <c r="Z3" s="3"/>
      <c r="AA3" s="3"/>
      <c r="AB3" s="3"/>
      <c r="AC3" s="3"/>
      <c r="AD3" s="3"/>
      <c r="AE3" s="3"/>
      <c r="AF3" s="3"/>
      <c r="AG3" s="3"/>
      <c r="AH3" s="3"/>
      <c r="AI3" s="3"/>
    </row>
    <row r="4" spans="1:37" ht="15" x14ac:dyDescent="0.25">
      <c r="A4" s="58" t="s">
        <v>1</v>
      </c>
      <c r="B4" s="58"/>
      <c r="C4" s="58"/>
      <c r="D4" s="58"/>
      <c r="E4" s="58"/>
      <c r="F4" s="58"/>
      <c r="G4" s="58"/>
      <c r="H4" s="58"/>
      <c r="I4" s="58"/>
      <c r="J4" s="58"/>
      <c r="K4" s="58"/>
      <c r="L4" s="58"/>
      <c r="M4" s="58"/>
      <c r="N4" s="58"/>
      <c r="O4" s="58"/>
      <c r="P4" s="58"/>
      <c r="Q4" s="58"/>
      <c r="R4" s="58"/>
      <c r="S4" s="58"/>
      <c r="T4" s="58"/>
      <c r="U4" s="58"/>
      <c r="V4" s="58"/>
      <c r="W4" s="58"/>
      <c r="X4" s="58"/>
      <c r="Y4" s="58"/>
      <c r="Z4" s="3"/>
      <c r="AA4" s="3"/>
      <c r="AB4" s="3"/>
      <c r="AC4" s="3"/>
      <c r="AD4" s="3"/>
      <c r="AE4" s="3"/>
      <c r="AF4" s="3"/>
      <c r="AG4" s="3"/>
      <c r="AH4" s="3"/>
      <c r="AI4" s="3"/>
    </row>
    <row r="5" spans="1:37" ht="17.25" x14ac:dyDescent="0.25">
      <c r="A5" s="4"/>
      <c r="B5" s="16"/>
      <c r="C5" s="52" t="s">
        <v>2</v>
      </c>
      <c r="D5" s="52"/>
      <c r="E5" s="52"/>
      <c r="F5" s="52"/>
      <c r="G5" s="52"/>
      <c r="H5" s="52"/>
      <c r="I5" s="52"/>
      <c r="J5" s="52"/>
      <c r="K5" s="52"/>
      <c r="L5" s="52"/>
      <c r="M5" s="59"/>
      <c r="N5" s="51" t="s">
        <v>3</v>
      </c>
      <c r="O5" s="52"/>
      <c r="P5" s="52"/>
      <c r="Q5" s="52"/>
      <c r="R5" s="52"/>
      <c r="S5" s="52"/>
      <c r="T5" s="52"/>
      <c r="U5" s="52"/>
      <c r="V5" s="52"/>
      <c r="W5" s="52"/>
      <c r="X5" s="52"/>
      <c r="Y5" s="6"/>
      <c r="Z5" s="3"/>
      <c r="AA5" s="3"/>
      <c r="AB5" s="3"/>
      <c r="AC5" s="3"/>
      <c r="AD5" s="3"/>
      <c r="AE5" s="3"/>
      <c r="AF5" s="3"/>
      <c r="AG5" s="3"/>
      <c r="AH5" s="3"/>
      <c r="AI5" s="3"/>
    </row>
    <row r="6" spans="1:37" ht="15" x14ac:dyDescent="0.25">
      <c r="A6" s="33" t="s">
        <v>4</v>
      </c>
      <c r="B6" s="5"/>
      <c r="C6" s="48" t="s">
        <v>5</v>
      </c>
      <c r="D6" s="48"/>
      <c r="E6" s="48"/>
      <c r="F6" s="48"/>
      <c r="G6" s="48"/>
      <c r="H6" s="48"/>
      <c r="I6" s="48"/>
      <c r="J6" s="48"/>
      <c r="K6" s="48"/>
      <c r="L6" s="48"/>
      <c r="M6" s="49"/>
      <c r="N6" s="53" t="s">
        <v>6</v>
      </c>
      <c r="O6" s="48"/>
      <c r="P6" s="48"/>
      <c r="Q6" s="48"/>
      <c r="R6" s="48"/>
      <c r="S6" s="48"/>
      <c r="T6" s="48"/>
      <c r="U6" s="48"/>
      <c r="V6" s="48"/>
      <c r="W6" s="48"/>
      <c r="X6" s="48"/>
      <c r="Y6" s="37" t="s">
        <v>7</v>
      </c>
      <c r="Z6" s="3"/>
      <c r="AA6" s="3"/>
      <c r="AB6" s="3"/>
      <c r="AC6" s="3"/>
      <c r="AD6" s="3"/>
      <c r="AE6" s="3"/>
      <c r="AF6" s="3"/>
      <c r="AG6" s="3"/>
      <c r="AH6" s="3"/>
      <c r="AI6" s="3"/>
    </row>
    <row r="7" spans="1:37" s="30" customFormat="1" ht="19.5" customHeight="1" x14ac:dyDescent="0.25">
      <c r="A7" s="25"/>
      <c r="B7" s="26">
        <v>2005</v>
      </c>
      <c r="C7" s="27">
        <v>2006</v>
      </c>
      <c r="D7" s="27">
        <v>2007</v>
      </c>
      <c r="E7" s="28">
        <v>2008</v>
      </c>
      <c r="F7" s="28">
        <v>2009</v>
      </c>
      <c r="G7" s="28">
        <v>2010</v>
      </c>
      <c r="H7" s="27">
        <v>2011</v>
      </c>
      <c r="I7" s="27">
        <v>2012</v>
      </c>
      <c r="J7" s="27">
        <v>2013</v>
      </c>
      <c r="K7" s="27">
        <v>2014</v>
      </c>
      <c r="L7" s="42">
        <v>2015</v>
      </c>
      <c r="M7" s="32">
        <v>2016</v>
      </c>
      <c r="N7" s="27">
        <v>2006</v>
      </c>
      <c r="O7" s="27">
        <v>2007</v>
      </c>
      <c r="P7" s="28">
        <v>2008</v>
      </c>
      <c r="Q7" s="28">
        <v>2009</v>
      </c>
      <c r="R7" s="28">
        <v>2010</v>
      </c>
      <c r="S7" s="27">
        <v>2011</v>
      </c>
      <c r="T7" s="27">
        <v>2012</v>
      </c>
      <c r="U7" s="27">
        <v>2013</v>
      </c>
      <c r="V7" s="27">
        <v>2014</v>
      </c>
      <c r="W7" s="27">
        <v>2015</v>
      </c>
      <c r="X7" s="27">
        <v>2016</v>
      </c>
      <c r="Y7" s="38"/>
      <c r="Z7" s="29"/>
      <c r="AA7" s="29"/>
      <c r="AB7" s="29"/>
      <c r="AC7" s="29"/>
      <c r="AD7" s="29"/>
      <c r="AE7" s="29"/>
      <c r="AF7" s="29"/>
      <c r="AG7" s="29"/>
      <c r="AH7" s="29"/>
      <c r="AI7" s="29"/>
    </row>
    <row r="8" spans="1:37" ht="22.5" customHeight="1" x14ac:dyDescent="0.25">
      <c r="A8" s="17" t="s">
        <v>8</v>
      </c>
      <c r="B8" s="21">
        <v>129.6</v>
      </c>
      <c r="C8" s="21">
        <v>148.44467879000001</v>
      </c>
      <c r="D8" s="21">
        <v>97.947148769999984</v>
      </c>
      <c r="E8" s="21">
        <v>88.402086870000019</v>
      </c>
      <c r="F8" s="21">
        <v>65.609831299999996</v>
      </c>
      <c r="G8" s="21">
        <v>59.360208729999997</v>
      </c>
      <c r="H8" s="22">
        <v>57.483915529999997</v>
      </c>
      <c r="I8" s="22">
        <v>56.340714440000021</v>
      </c>
      <c r="J8" s="22">
        <v>65.590923509000007</v>
      </c>
      <c r="K8" s="22">
        <v>64.930000000000007</v>
      </c>
      <c r="L8" s="22">
        <v>65.035457479999991</v>
      </c>
      <c r="M8" s="43">
        <v>68.271629390000015</v>
      </c>
      <c r="N8" s="21">
        <v>80.607141466592196</v>
      </c>
      <c r="O8" s="21">
        <v>67.939331235392913</v>
      </c>
      <c r="P8" s="21">
        <f t="shared" ref="P8:V8" si="0">E8/E11*100</f>
        <v>66.681109676479323</v>
      </c>
      <c r="Q8" s="21">
        <f t="shared" si="0"/>
        <v>56.203664117415016</v>
      </c>
      <c r="R8" s="21">
        <f t="shared" si="0"/>
        <v>48.586160791769423</v>
      </c>
      <c r="S8" s="21">
        <f t="shared" si="0"/>
        <v>47.571833240342848</v>
      </c>
      <c r="T8" s="21">
        <f t="shared" si="0"/>
        <v>46.950231738796376</v>
      </c>
      <c r="U8" s="21">
        <f t="shared" si="0"/>
        <v>50.515506623430049</v>
      </c>
      <c r="V8" s="21">
        <f t="shared" si="0"/>
        <v>50.457236357617887</v>
      </c>
      <c r="W8" s="21">
        <f>L8/L11*100</f>
        <v>51.068053109979104</v>
      </c>
      <c r="X8" s="21">
        <f>M8/M11*100</f>
        <v>52.851756708961119</v>
      </c>
      <c r="Y8" s="39" t="s">
        <v>9</v>
      </c>
      <c r="AB8" s="31"/>
      <c r="AC8" s="15"/>
      <c r="AD8" s="15"/>
      <c r="AE8" s="15"/>
      <c r="AF8" s="15"/>
      <c r="AG8" s="15"/>
      <c r="AH8" s="15"/>
      <c r="AI8" s="15"/>
      <c r="AJ8" s="15"/>
      <c r="AK8" s="15"/>
    </row>
    <row r="9" spans="1:37" ht="22.5" customHeight="1" x14ac:dyDescent="0.25">
      <c r="A9" s="17" t="s">
        <v>10</v>
      </c>
      <c r="B9" s="21">
        <v>50.023182311000042</v>
      </c>
      <c r="C9" s="21">
        <v>33.123882013540019</v>
      </c>
      <c r="D9" s="21">
        <v>43.955257966350025</v>
      </c>
      <c r="E9" s="21">
        <v>42.582126319403983</v>
      </c>
      <c r="F9" s="21">
        <v>50.555216612999985</v>
      </c>
      <c r="G9" s="21">
        <f>G11-G8</f>
        <v>62.814928722012297</v>
      </c>
      <c r="H9" s="21">
        <f>H11-H8</f>
        <v>63.352116244473017</v>
      </c>
      <c r="I9" s="21">
        <f>I11-I8</f>
        <v>63.6602149557201</v>
      </c>
      <c r="J9" s="21">
        <v>64.252223463572804</v>
      </c>
      <c r="K9" s="21">
        <v>63.753227000000351</v>
      </c>
      <c r="L9" s="21">
        <f>L11-L8</f>
        <v>62.315114001432789</v>
      </c>
      <c r="M9" s="44">
        <v>60.919365716552136</v>
      </c>
      <c r="N9" s="21">
        <v>17.986643004533665</v>
      </c>
      <c r="O9" s="21">
        <v>30.262677948493977</v>
      </c>
      <c r="P9" s="21">
        <f t="shared" ref="P9:W10" si="1">E9/E11*100</f>
        <v>32.119416361034524</v>
      </c>
      <c r="Q9" s="21">
        <f t="shared" si="1"/>
        <v>43.307357412763402</v>
      </c>
      <c r="R9" s="21">
        <f t="shared" si="1"/>
        <v>51.413839208230584</v>
      </c>
      <c r="S9" s="21">
        <f t="shared" si="1"/>
        <v>52.428166759657159</v>
      </c>
      <c r="T9" s="21">
        <f t="shared" si="1"/>
        <v>53.049768261203624</v>
      </c>
      <c r="U9" s="21">
        <f t="shared" si="1"/>
        <v>49.484493376569993</v>
      </c>
      <c r="V9" s="21">
        <f t="shared" si="1"/>
        <v>49.542763642382312</v>
      </c>
      <c r="W9" s="21">
        <f t="shared" si="1"/>
        <v>48.931946890020903</v>
      </c>
      <c r="X9" s="21">
        <f>M9/M11*100</f>
        <v>47.160079882128031</v>
      </c>
      <c r="Y9" s="40" t="s">
        <v>11</v>
      </c>
      <c r="AA9" s="15"/>
      <c r="AB9" s="15"/>
      <c r="AC9" s="15"/>
      <c r="AD9" s="15"/>
      <c r="AE9" s="15"/>
      <c r="AF9" s="15"/>
      <c r="AG9" s="15"/>
      <c r="AH9" s="15"/>
      <c r="AI9" s="15"/>
      <c r="AJ9" s="15"/>
      <c r="AK9" s="15"/>
    </row>
    <row r="10" spans="1:37" ht="22.5" customHeight="1" x14ac:dyDescent="0.25">
      <c r="A10" s="17" t="s">
        <v>12</v>
      </c>
      <c r="B10" s="21">
        <v>6.3</v>
      </c>
      <c r="C10" s="21">
        <v>2.5896615199999995</v>
      </c>
      <c r="D10" s="21">
        <v>2.5921372899999997</v>
      </c>
      <c r="E10" s="21">
        <v>2.0914010000000003</v>
      </c>
      <c r="F10" s="21">
        <v>0.57081322000000001</v>
      </c>
      <c r="G10" s="21">
        <v>0</v>
      </c>
      <c r="H10" s="21">
        <v>0</v>
      </c>
      <c r="I10" s="21">
        <v>0</v>
      </c>
      <c r="J10" s="21">
        <v>0</v>
      </c>
      <c r="K10" s="21">
        <v>0</v>
      </c>
      <c r="L10" s="21">
        <v>0</v>
      </c>
      <c r="M10" s="44">
        <v>0</v>
      </c>
      <c r="N10" s="21">
        <v>1.4062155288741296</v>
      </c>
      <c r="O10" s="21">
        <v>1.7979908161131024</v>
      </c>
      <c r="P10" s="21">
        <f t="shared" ref="P10:U10" si="2">E10/E11*100</f>
        <v>1.5775299474952149</v>
      </c>
      <c r="Q10" s="21">
        <f t="shared" si="2"/>
        <v>0.48897846336422646</v>
      </c>
      <c r="R10" s="21">
        <f t="shared" si="2"/>
        <v>0</v>
      </c>
      <c r="S10" s="21">
        <f t="shared" si="2"/>
        <v>0</v>
      </c>
      <c r="T10" s="21">
        <f t="shared" si="2"/>
        <v>0</v>
      </c>
      <c r="U10" s="21">
        <f t="shared" si="2"/>
        <v>0</v>
      </c>
      <c r="V10" s="21">
        <f t="shared" si="1"/>
        <v>0</v>
      </c>
      <c r="W10" s="21">
        <f>N10/L11*100</f>
        <v>1.1042082595437355</v>
      </c>
      <c r="X10" s="21">
        <f>M10/M11*100</f>
        <v>0</v>
      </c>
      <c r="Y10" s="40" t="s">
        <v>13</v>
      </c>
      <c r="AA10" s="15"/>
      <c r="AB10" s="15"/>
      <c r="AC10" s="15"/>
      <c r="AD10" s="15"/>
      <c r="AE10" s="15"/>
      <c r="AF10" s="15"/>
      <c r="AG10" s="15"/>
      <c r="AH10" s="15"/>
      <c r="AI10" s="15"/>
      <c r="AJ10" s="15"/>
      <c r="AK10" s="15"/>
    </row>
    <row r="11" spans="1:37" ht="22.5" customHeight="1" x14ac:dyDescent="0.25">
      <c r="A11" s="13" t="s">
        <v>14</v>
      </c>
      <c r="B11" s="23">
        <v>185.92318231100003</v>
      </c>
      <c r="C11" s="23">
        <f t="shared" ref="C11:K11" si="3">SUM(C12:C16)</f>
        <v>184.15822232267499</v>
      </c>
      <c r="D11" s="23">
        <f t="shared" si="3"/>
        <v>144.16855006704401</v>
      </c>
      <c r="E11" s="23">
        <f t="shared" si="3"/>
        <v>132.57440870271301</v>
      </c>
      <c r="F11" s="23">
        <f t="shared" si="3"/>
        <v>116.73586114053802</v>
      </c>
      <c r="G11" s="23">
        <f t="shared" si="3"/>
        <v>122.17513745201229</v>
      </c>
      <c r="H11" s="23">
        <f t="shared" si="3"/>
        <v>120.83603177447301</v>
      </c>
      <c r="I11" s="23">
        <f t="shared" si="3"/>
        <v>120.00092939572012</v>
      </c>
      <c r="J11" s="23">
        <f t="shared" si="3"/>
        <v>129.84314697257275</v>
      </c>
      <c r="K11" s="23">
        <f t="shared" si="3"/>
        <v>128.6832270000001</v>
      </c>
      <c r="L11" s="23">
        <f t="shared" ref="L11:M11" si="4">SUM(L12:L16)</f>
        <v>127.35057148143278</v>
      </c>
      <c r="M11" s="45">
        <f t="shared" si="4"/>
        <v>129.17570510655216</v>
      </c>
      <c r="N11" s="23">
        <f t="shared" ref="N11:W11" si="5">C11/C11*100</f>
        <v>100</v>
      </c>
      <c r="O11" s="23">
        <f t="shared" si="5"/>
        <v>100</v>
      </c>
      <c r="P11" s="23">
        <f t="shared" si="5"/>
        <v>100</v>
      </c>
      <c r="Q11" s="23">
        <f t="shared" si="5"/>
        <v>100</v>
      </c>
      <c r="R11" s="23">
        <f t="shared" si="5"/>
        <v>100</v>
      </c>
      <c r="S11" s="23">
        <f t="shared" si="5"/>
        <v>100</v>
      </c>
      <c r="T11" s="23">
        <f t="shared" si="5"/>
        <v>100</v>
      </c>
      <c r="U11" s="23">
        <f t="shared" si="5"/>
        <v>100</v>
      </c>
      <c r="V11" s="23">
        <f t="shared" si="5"/>
        <v>100</v>
      </c>
      <c r="W11" s="23">
        <f t="shared" si="5"/>
        <v>100</v>
      </c>
      <c r="X11" s="23">
        <f>M11/M11*100</f>
        <v>100</v>
      </c>
      <c r="Y11" s="41" t="s">
        <v>15</v>
      </c>
      <c r="AA11" s="15"/>
      <c r="AB11" s="15"/>
      <c r="AC11" s="15"/>
      <c r="AD11" s="15"/>
      <c r="AE11" s="15"/>
      <c r="AF11" s="15"/>
      <c r="AG11" s="15"/>
      <c r="AH11" s="15"/>
      <c r="AI11" s="15"/>
      <c r="AJ11" s="15"/>
      <c r="AK11" s="15"/>
    </row>
    <row r="12" spans="1:37" ht="22.5" customHeight="1" x14ac:dyDescent="0.25">
      <c r="A12" s="17" t="s">
        <v>16</v>
      </c>
      <c r="B12" s="21">
        <v>131.99824860000001</v>
      </c>
      <c r="C12" s="21">
        <v>138.45835473299999</v>
      </c>
      <c r="D12" s="21">
        <v>97.341794686838995</v>
      </c>
      <c r="E12" s="21">
        <v>87.072147391601007</v>
      </c>
      <c r="F12" s="21">
        <v>66.188623244799999</v>
      </c>
      <c r="G12" s="21">
        <v>73.72129191542227</v>
      </c>
      <c r="H12" s="21">
        <v>57.671721671347001</v>
      </c>
      <c r="I12" s="21">
        <v>53.391687689080399</v>
      </c>
      <c r="J12" s="21">
        <v>74.421630037020805</v>
      </c>
      <c r="K12" s="21">
        <v>68.521958485088447</v>
      </c>
      <c r="L12" s="21">
        <v>69.244324399131258</v>
      </c>
      <c r="M12" s="44">
        <v>69.589480938961444</v>
      </c>
      <c r="N12" s="21">
        <f>(C12/$C$11)*100</f>
        <v>75.184454425498615</v>
      </c>
      <c r="O12" s="21">
        <f>(D12/$D$11)*100</f>
        <v>67.519437936756148</v>
      </c>
      <c r="P12" s="21">
        <f>(E12/$E$11)*100</f>
        <v>65.677945120504361</v>
      </c>
      <c r="Q12" s="21">
        <f>(F12/$F$11)*100</f>
        <v>56.699477434030044</v>
      </c>
      <c r="R12" s="21">
        <f>(G12/$G$11)*100</f>
        <v>60.340666237742823</v>
      </c>
      <c r="S12" s="21">
        <f>(H12/$H$11)*100</f>
        <v>47.727255541612656</v>
      </c>
      <c r="T12" s="21">
        <f>(I12/$I$11)*100</f>
        <v>44.492728479638458</v>
      </c>
      <c r="U12" s="21">
        <f>(J12/$J$11)*100</f>
        <v>57.316563694147959</v>
      </c>
      <c r="V12" s="21">
        <f>(K12/$K$11)*100</f>
        <v>53.248554673786963</v>
      </c>
      <c r="W12" s="21">
        <f>(L12/$K$11)*100</f>
        <v>53.809906709233523</v>
      </c>
      <c r="X12" s="21">
        <f>(M12/$M$11)*100</f>
        <v>53.87195748733069</v>
      </c>
      <c r="Y12" s="40" t="s">
        <v>17</v>
      </c>
      <c r="AA12" s="15"/>
      <c r="AB12" s="15"/>
      <c r="AC12" s="15"/>
      <c r="AD12" s="15"/>
      <c r="AE12" s="15"/>
      <c r="AF12" s="15"/>
      <c r="AG12" s="15"/>
      <c r="AH12" s="15"/>
      <c r="AI12" s="15"/>
      <c r="AJ12" s="15"/>
      <c r="AK12" s="15"/>
    </row>
    <row r="13" spans="1:37" ht="22.5" customHeight="1" x14ac:dyDescent="0.25">
      <c r="A13" s="17" t="s">
        <v>18</v>
      </c>
      <c r="B13" s="21">
        <v>24.57092359</v>
      </c>
      <c r="C13" s="21">
        <v>22.953538301159995</v>
      </c>
      <c r="D13" s="21">
        <v>24.414838911040007</v>
      </c>
      <c r="E13" s="21">
        <v>23.768766590410003</v>
      </c>
      <c r="F13" s="21">
        <v>20.733008264210007</v>
      </c>
      <c r="G13" s="21">
        <v>21.835377509832018</v>
      </c>
      <c r="H13" s="21">
        <v>35.57521338092301</v>
      </c>
      <c r="I13" s="21">
        <v>44.977381086497097</v>
      </c>
      <c r="J13" s="21">
        <v>47.146416175683598</v>
      </c>
      <c r="K13" s="21">
        <v>49.100552219018809</v>
      </c>
      <c r="L13" s="21">
        <v>51.472456475638047</v>
      </c>
      <c r="M13" s="44">
        <v>53.705451966178899</v>
      </c>
      <c r="N13" s="21">
        <f>(C13/$C$11)*100</f>
        <v>12.464031207328709</v>
      </c>
      <c r="O13" s="21">
        <f>(D13/$D$11)*100</f>
        <v>16.934927138884419</v>
      </c>
      <c r="P13" s="21">
        <f>(E13/$E$11)*100</f>
        <v>17.928623497548056</v>
      </c>
      <c r="Q13" s="21">
        <f>(F13/$F$11)*100</f>
        <v>17.760616199378173</v>
      </c>
      <c r="R13" s="21">
        <f>(G13/$G$11)*100</f>
        <v>17.872193938319466</v>
      </c>
      <c r="S13" s="21">
        <f>(H13/$H$11)*100</f>
        <v>29.440898429468604</v>
      </c>
      <c r="T13" s="21">
        <f>(I13/$I$11)*100</f>
        <v>37.480860617485547</v>
      </c>
      <c r="U13" s="21">
        <f>(J13/$J$11)*100</f>
        <v>36.310284581782746</v>
      </c>
      <c r="V13" s="21">
        <f t="shared" ref="V13:W16" si="6">(K13/$K$11)*100</f>
        <v>38.156139975428786</v>
      </c>
      <c r="W13" s="21">
        <f t="shared" si="6"/>
        <v>39.999351644824706</v>
      </c>
      <c r="X13" s="21">
        <f>(M13/$M$11)*100</f>
        <v>41.575505178686115</v>
      </c>
      <c r="Y13" s="40" t="s">
        <v>19</v>
      </c>
      <c r="AA13" s="15"/>
      <c r="AB13" s="15"/>
      <c r="AC13" s="15"/>
      <c r="AD13" s="31"/>
      <c r="AE13" s="15"/>
      <c r="AF13" s="15"/>
      <c r="AG13" s="15"/>
      <c r="AH13" s="15"/>
      <c r="AI13" s="15"/>
      <c r="AJ13" s="15"/>
      <c r="AK13" s="15"/>
    </row>
    <row r="14" spans="1:37" ht="22.5" customHeight="1" x14ac:dyDescent="0.25">
      <c r="A14" s="17" t="s">
        <v>29</v>
      </c>
      <c r="B14" s="21"/>
      <c r="C14" s="21">
        <v>0</v>
      </c>
      <c r="D14" s="21">
        <v>0</v>
      </c>
      <c r="E14" s="21">
        <v>0</v>
      </c>
      <c r="F14" s="21">
        <v>0</v>
      </c>
      <c r="G14" s="21">
        <v>0</v>
      </c>
      <c r="H14" s="21">
        <v>0</v>
      </c>
      <c r="I14" s="21">
        <v>0</v>
      </c>
      <c r="J14" s="21">
        <v>0</v>
      </c>
      <c r="K14" s="21">
        <v>2.3340795325544512</v>
      </c>
      <c r="L14" s="21">
        <v>1.8282678227461437</v>
      </c>
      <c r="M14" s="44">
        <v>2.4800423404201255</v>
      </c>
      <c r="N14" s="21">
        <v>0</v>
      </c>
      <c r="O14" s="21">
        <v>0</v>
      </c>
      <c r="P14" s="21">
        <v>0</v>
      </c>
      <c r="Q14" s="21">
        <v>0</v>
      </c>
      <c r="R14" s="21">
        <v>0</v>
      </c>
      <c r="S14" s="21">
        <v>0</v>
      </c>
      <c r="T14" s="21">
        <v>0</v>
      </c>
      <c r="U14" s="21">
        <v>0</v>
      </c>
      <c r="V14" s="21">
        <f t="shared" si="6"/>
        <v>1.8138179986381981</v>
      </c>
      <c r="W14" s="21">
        <f t="shared" si="6"/>
        <v>1.420750680075922</v>
      </c>
      <c r="X14" s="21">
        <f>(M14/$M$11)*100</f>
        <v>1.9198984347516681</v>
      </c>
      <c r="Y14" s="36" t="s">
        <v>28</v>
      </c>
      <c r="AA14" s="15"/>
      <c r="AB14" s="15"/>
      <c r="AC14" s="15"/>
      <c r="AD14" s="31"/>
      <c r="AE14" s="15"/>
      <c r="AF14" s="15"/>
      <c r="AG14" s="15"/>
      <c r="AH14" s="15"/>
      <c r="AI14" s="15"/>
      <c r="AJ14" s="15"/>
      <c r="AK14" s="15"/>
    </row>
    <row r="15" spans="1:37" ht="22.5" customHeight="1" x14ac:dyDescent="0.25">
      <c r="A15" s="17" t="s">
        <v>20</v>
      </c>
      <c r="B15" s="21">
        <v>8.3012412409999996</v>
      </c>
      <c r="C15" s="21">
        <v>5.7175900621500002</v>
      </c>
      <c r="D15" s="21">
        <v>7.0996787907630008</v>
      </c>
      <c r="E15" s="21">
        <v>6.6990521868619997</v>
      </c>
      <c r="F15" s="21">
        <v>8.876155542958001</v>
      </c>
      <c r="G15" s="21">
        <v>7.1236269087170054</v>
      </c>
      <c r="H15" s="21">
        <v>4.9472398022119997</v>
      </c>
      <c r="I15" s="21">
        <v>2.5377990840052944</v>
      </c>
      <c r="J15" s="21">
        <v>1.6640466762930248</v>
      </c>
      <c r="K15" s="21">
        <v>1.5901763812155898</v>
      </c>
      <c r="L15" s="21">
        <v>0.38814185000950413</v>
      </c>
      <c r="M15" s="44">
        <v>0.18462584430785087</v>
      </c>
      <c r="N15" s="21">
        <f>(C15/$C$11)*100</f>
        <v>3.1047161457346486</v>
      </c>
      <c r="O15" s="21">
        <f>(D15/$D$11)*100</f>
        <v>4.92456835243288</v>
      </c>
      <c r="P15" s="21">
        <f>(E15/$E$11)*100</f>
        <v>5.053050775345385</v>
      </c>
      <c r="Q15" s="21">
        <f>(F15/$F$11)*100</f>
        <v>7.6036236476398784</v>
      </c>
      <c r="R15" s="21">
        <f>(G15/$G$11)*100</f>
        <v>5.8306682171853579</v>
      </c>
      <c r="S15" s="21">
        <f>(H15/$H$11)*100</f>
        <v>4.094175991682242</v>
      </c>
      <c r="T15" s="21">
        <f>(I15/$I$11)*100</f>
        <v>2.1148161908284404</v>
      </c>
      <c r="U15" s="21">
        <f t="shared" ref="U15:U16" si="7">(J15/$J$11)*100</f>
        <v>1.2815822129176579</v>
      </c>
      <c r="V15" s="21">
        <f t="shared" si="6"/>
        <v>1.2357293318542506</v>
      </c>
      <c r="W15" s="21">
        <f t="shared" si="6"/>
        <v>0.30162582883432337</v>
      </c>
      <c r="X15" s="21">
        <f>(M15/$M$11)*100</f>
        <v>0.14292613626963366</v>
      </c>
      <c r="Y15" s="40" t="s">
        <v>21</v>
      </c>
      <c r="AA15" s="15"/>
      <c r="AB15" s="15"/>
      <c r="AC15" s="15"/>
      <c r="AD15" s="15"/>
      <c r="AE15" s="15"/>
      <c r="AF15" s="15"/>
      <c r="AG15" s="15"/>
      <c r="AH15" s="15"/>
      <c r="AI15" s="15"/>
      <c r="AJ15" s="15"/>
      <c r="AK15" s="15"/>
    </row>
    <row r="16" spans="1:37" ht="22.5" customHeight="1" x14ac:dyDescent="0.25">
      <c r="A16" s="18" t="s">
        <v>22</v>
      </c>
      <c r="B16" s="24">
        <v>21.052768879999999</v>
      </c>
      <c r="C16" s="24">
        <v>17.028739226365001</v>
      </c>
      <c r="D16" s="24">
        <v>15.312237678402001</v>
      </c>
      <c r="E16" s="24">
        <v>15.03444253384</v>
      </c>
      <c r="F16" s="24">
        <v>20.938074088570005</v>
      </c>
      <c r="G16" s="24">
        <v>19.494841118041013</v>
      </c>
      <c r="H16" s="24">
        <v>22.641856919991007</v>
      </c>
      <c r="I16" s="24">
        <v>19.094061536137332</v>
      </c>
      <c r="J16" s="24">
        <v>6.6110540835753202</v>
      </c>
      <c r="K16" s="24">
        <v>7.1364603821227925</v>
      </c>
      <c r="L16" s="24">
        <v>4.4173809339078227</v>
      </c>
      <c r="M16" s="46">
        <v>3.2161040166838455</v>
      </c>
      <c r="N16" s="24">
        <f>(C16/$C$11)*100</f>
        <v>9.2467982214380289</v>
      </c>
      <c r="O16" s="24">
        <f>(D16/$D$11)*100</f>
        <v>10.62106657192655</v>
      </c>
      <c r="P16" s="24">
        <f>(E16/$E$11)*100</f>
        <v>11.340380606602196</v>
      </c>
      <c r="Q16" s="24">
        <f>(F16/$F$11)*100</f>
        <v>17.936282718951897</v>
      </c>
      <c r="R16" s="24">
        <f>(G16/$G$11)*100</f>
        <v>15.956471606752363</v>
      </c>
      <c r="S16" s="24">
        <f>(H16/$H$11)*100</f>
        <v>18.737670037236501</v>
      </c>
      <c r="T16" s="24">
        <f>(I16/$I$11)*100</f>
        <v>15.911594712047563</v>
      </c>
      <c r="U16" s="24">
        <f t="shared" si="7"/>
        <v>5.0915695111516346</v>
      </c>
      <c r="V16" s="24">
        <f t="shared" si="6"/>
        <v>5.545758020291788</v>
      </c>
      <c r="W16" s="24">
        <f t="shared" si="6"/>
        <v>3.4327557964549795</v>
      </c>
      <c r="X16" s="24">
        <f>(M16/$M$11)*100</f>
        <v>2.4897127629618923</v>
      </c>
      <c r="Y16" s="35" t="s">
        <v>23</v>
      </c>
      <c r="AA16" s="15"/>
      <c r="AB16" s="15"/>
      <c r="AC16" s="15"/>
      <c r="AD16" s="15"/>
      <c r="AE16" s="15"/>
      <c r="AF16" s="15"/>
      <c r="AG16" s="15"/>
      <c r="AH16" s="15"/>
      <c r="AI16" s="15"/>
      <c r="AJ16" s="15"/>
      <c r="AK16" s="15"/>
    </row>
    <row r="17" spans="1:35" ht="17.25" x14ac:dyDescent="0.25">
      <c r="A17" s="10" t="s">
        <v>26</v>
      </c>
      <c r="B17" s="10"/>
      <c r="C17" s="10"/>
      <c r="D17" s="10"/>
      <c r="E17" s="10"/>
      <c r="F17" s="10"/>
      <c r="G17" s="10"/>
      <c r="H17" s="10"/>
      <c r="I17" s="10"/>
      <c r="J17" s="10"/>
      <c r="K17" s="10"/>
      <c r="L17" s="10"/>
      <c r="N17" s="10"/>
      <c r="O17" s="10"/>
      <c r="P17" s="10"/>
      <c r="Q17" s="10"/>
      <c r="R17" s="8"/>
      <c r="Y17" s="9" t="s">
        <v>24</v>
      </c>
    </row>
    <row r="18" spans="1:35" ht="36.75" customHeight="1" x14ac:dyDescent="0.25">
      <c r="A18" s="50" t="s">
        <v>27</v>
      </c>
      <c r="B18" s="50"/>
      <c r="C18" s="50"/>
      <c r="D18" s="50"/>
      <c r="E18" s="50"/>
      <c r="F18" s="50"/>
      <c r="G18" s="50"/>
      <c r="H18" s="50"/>
      <c r="I18" s="50"/>
      <c r="J18" s="50"/>
      <c r="K18" s="50"/>
      <c r="L18" s="50"/>
      <c r="M18" s="50"/>
      <c r="N18" s="50"/>
      <c r="O18" s="50"/>
      <c r="P18" s="50"/>
      <c r="Q18" s="50"/>
      <c r="R18" s="50"/>
      <c r="S18" s="50"/>
      <c r="T18" s="50"/>
      <c r="U18" s="50"/>
      <c r="V18" s="50"/>
      <c r="W18" s="14"/>
      <c r="X18" s="14"/>
      <c r="Y18" s="34" t="s">
        <v>25</v>
      </c>
    </row>
    <row r="19" spans="1:35" s="7" customFormat="1" ht="24.75" customHeight="1" x14ac:dyDescent="0.25">
      <c r="A19" s="54" t="s">
        <v>32</v>
      </c>
      <c r="B19" s="54"/>
      <c r="C19" s="54"/>
      <c r="D19" s="54"/>
      <c r="E19" s="54"/>
      <c r="F19" s="54"/>
      <c r="G19" s="54"/>
      <c r="H19" s="54"/>
      <c r="I19" s="54"/>
      <c r="J19" s="54"/>
      <c r="K19" s="54"/>
      <c r="L19" s="54"/>
      <c r="M19" s="54"/>
      <c r="N19" s="54"/>
      <c r="O19" s="54"/>
      <c r="P19" s="54"/>
      <c r="Q19" s="54"/>
      <c r="R19" s="54"/>
      <c r="S19" s="54"/>
      <c r="T19" s="54"/>
      <c r="U19" s="54"/>
      <c r="V19" s="54"/>
      <c r="W19" s="54"/>
      <c r="X19" s="8"/>
      <c r="AB19" s="8"/>
      <c r="AC19" s="8"/>
      <c r="AE19" s="3"/>
      <c r="AF19" s="3"/>
      <c r="AG19" s="3"/>
      <c r="AH19" s="3"/>
      <c r="AI19" s="3"/>
    </row>
    <row r="20" spans="1:35" s="7" customFormat="1" ht="12.75" x14ac:dyDescent="0.25">
      <c r="A20" s="1" t="s">
        <v>33</v>
      </c>
      <c r="B20" s="8"/>
      <c r="C20" s="8"/>
      <c r="D20" s="8"/>
      <c r="E20" s="8"/>
      <c r="F20" s="8"/>
      <c r="G20" s="8"/>
      <c r="H20" s="8"/>
      <c r="I20" s="8"/>
      <c r="J20" s="8"/>
      <c r="K20" s="8"/>
      <c r="L20" s="8"/>
      <c r="M20" s="8"/>
      <c r="N20" s="8"/>
      <c r="O20" s="8"/>
      <c r="P20" s="8"/>
      <c r="Q20" s="8"/>
      <c r="R20" s="23"/>
      <c r="S20" s="8"/>
      <c r="T20" s="8"/>
      <c r="U20" s="8"/>
      <c r="V20" s="8"/>
      <c r="W20" s="8"/>
      <c r="X20" s="8"/>
      <c r="AB20" s="8"/>
      <c r="AC20" s="8"/>
      <c r="AE20" s="3"/>
      <c r="AF20" s="3"/>
      <c r="AG20" s="3"/>
      <c r="AH20" s="3"/>
      <c r="AI20" s="3"/>
    </row>
    <row r="21" spans="1:35" s="7" customFormat="1" ht="12.75" x14ac:dyDescent="0.25">
      <c r="A21" s="1"/>
      <c r="B21" s="8"/>
      <c r="C21" s="8"/>
      <c r="D21" s="8"/>
      <c r="E21" s="8"/>
      <c r="F21" s="8"/>
      <c r="G21" s="8"/>
      <c r="H21" s="8"/>
      <c r="I21" s="8"/>
      <c r="J21" s="8"/>
      <c r="K21" s="8"/>
      <c r="L21" s="8"/>
      <c r="M21" s="8"/>
      <c r="N21" s="8"/>
      <c r="O21" s="8"/>
      <c r="P21" s="8"/>
      <c r="Q21" s="8"/>
      <c r="R21" s="23"/>
      <c r="S21" s="8"/>
      <c r="T21" s="8"/>
      <c r="U21" s="8"/>
      <c r="V21" s="8"/>
      <c r="W21" s="8"/>
      <c r="X21" s="8"/>
      <c r="AB21" s="8"/>
      <c r="AC21" s="8"/>
      <c r="AE21" s="3"/>
      <c r="AF21" s="3"/>
      <c r="AG21" s="3"/>
      <c r="AH21" s="3"/>
      <c r="AI21" s="3"/>
    </row>
    <row r="22" spans="1:35" s="7" customFormat="1" ht="12.75" x14ac:dyDescent="0.25">
      <c r="A22" s="20"/>
      <c r="B22" s="47"/>
      <c r="C22" s="47"/>
      <c r="D22" s="47"/>
      <c r="E22" s="47"/>
      <c r="F22" s="12"/>
      <c r="G22" s="21"/>
      <c r="H22" s="21"/>
      <c r="I22" s="21"/>
      <c r="J22" s="21"/>
      <c r="K22" s="21"/>
      <c r="L22" s="21"/>
      <c r="M22" s="20"/>
      <c r="N22" s="21"/>
      <c r="O22" s="21"/>
      <c r="P22" s="21"/>
      <c r="Q22" s="21"/>
      <c r="R22" s="21"/>
      <c r="S22" s="21"/>
      <c r="T22" s="21"/>
      <c r="U22" s="21"/>
      <c r="V22" s="21"/>
      <c r="W22" s="21"/>
      <c r="X22" s="21"/>
      <c r="Y22" s="12"/>
      <c r="Z22" s="3"/>
      <c r="AA22" s="3"/>
      <c r="AB22" s="3"/>
      <c r="AC22" s="3"/>
      <c r="AD22" s="3"/>
      <c r="AE22" s="3"/>
      <c r="AF22" s="3"/>
      <c r="AG22" s="3"/>
      <c r="AH22" s="3"/>
      <c r="AI22" s="3"/>
    </row>
    <row r="23" spans="1:35" ht="12.75" x14ac:dyDescent="0.25">
      <c r="A23" s="11"/>
      <c r="B23" s="12"/>
      <c r="C23" s="19"/>
      <c r="D23" s="12"/>
      <c r="E23" s="12"/>
      <c r="F23" s="12"/>
      <c r="G23" s="21"/>
      <c r="H23" s="21"/>
      <c r="I23" s="21"/>
      <c r="J23" s="21"/>
      <c r="K23" s="21"/>
      <c r="L23" s="21"/>
      <c r="M23" s="20"/>
      <c r="N23" s="21"/>
      <c r="O23" s="21"/>
      <c r="P23" s="21"/>
      <c r="Q23" s="21"/>
      <c r="R23" s="21"/>
      <c r="S23" s="21"/>
      <c r="T23" s="21"/>
      <c r="U23" s="21"/>
      <c r="V23" s="21"/>
      <c r="W23" s="21"/>
      <c r="X23" s="21"/>
      <c r="Y23" s="12"/>
      <c r="Z23" s="3"/>
      <c r="AA23" s="3"/>
      <c r="AB23" s="3"/>
      <c r="AC23" s="3"/>
      <c r="AD23" s="3"/>
      <c r="AE23" s="3"/>
      <c r="AF23" s="3"/>
      <c r="AG23" s="3"/>
      <c r="AH23" s="3"/>
      <c r="AI23" s="3"/>
    </row>
    <row r="24" spans="1:35" ht="12.75" x14ac:dyDescent="0.25">
      <c r="A24" s="12"/>
      <c r="B24" s="12"/>
      <c r="C24" s="12"/>
      <c r="D24" s="12"/>
      <c r="E24" s="12"/>
      <c r="F24" s="12"/>
      <c r="G24" s="21"/>
      <c r="H24" s="21"/>
      <c r="I24" s="21"/>
      <c r="J24" s="21"/>
      <c r="K24" s="21"/>
      <c r="L24" s="21"/>
      <c r="M24" s="20"/>
      <c r="N24" s="21"/>
      <c r="O24" s="21"/>
      <c r="P24" s="21"/>
      <c r="Q24" s="21"/>
      <c r="R24" s="21"/>
      <c r="S24" s="21"/>
      <c r="T24" s="21"/>
      <c r="U24" s="21"/>
      <c r="V24" s="21"/>
      <c r="W24" s="21"/>
      <c r="X24" s="21"/>
      <c r="Y24" s="12"/>
      <c r="Z24" s="3"/>
      <c r="AA24" s="3"/>
      <c r="AB24" s="3"/>
      <c r="AC24" s="3"/>
      <c r="AD24" s="3"/>
      <c r="AE24" s="3"/>
      <c r="AF24" s="3"/>
      <c r="AG24" s="3"/>
      <c r="AH24" s="3"/>
      <c r="AI24" s="3"/>
    </row>
    <row r="25" spans="1:35" ht="12.75" x14ac:dyDescent="0.25">
      <c r="A25" s="12"/>
      <c r="B25" s="12"/>
      <c r="C25" s="12"/>
      <c r="D25" s="12"/>
      <c r="E25" s="12"/>
      <c r="F25" s="12"/>
      <c r="G25" s="23"/>
      <c r="H25" s="23"/>
      <c r="I25" s="23"/>
      <c r="J25" s="23"/>
      <c r="K25" s="23"/>
      <c r="L25" s="23"/>
      <c r="M25" s="20"/>
      <c r="N25" s="23"/>
      <c r="O25" s="23"/>
      <c r="P25" s="23"/>
      <c r="Q25" s="23"/>
      <c r="R25" s="23"/>
      <c r="S25" s="23"/>
      <c r="T25" s="23"/>
      <c r="U25" s="23"/>
      <c r="V25" s="23"/>
      <c r="W25" s="23"/>
      <c r="X25" s="23"/>
      <c r="Y25" s="12"/>
      <c r="Z25" s="3"/>
      <c r="AA25" s="3"/>
      <c r="AB25" s="3"/>
      <c r="AC25" s="3"/>
      <c r="AD25" s="3"/>
      <c r="AE25" s="3"/>
      <c r="AF25" s="3"/>
      <c r="AG25" s="3"/>
      <c r="AH25" s="3"/>
      <c r="AI25" s="3"/>
    </row>
    <row r="26" spans="1:35" ht="12.75" x14ac:dyDescent="0.25">
      <c r="A26" s="12"/>
      <c r="B26" s="12"/>
      <c r="C26" s="12"/>
      <c r="D26" s="12"/>
      <c r="E26" s="12"/>
      <c r="F26" s="12"/>
      <c r="G26" s="21"/>
      <c r="H26" s="21"/>
      <c r="I26" s="21"/>
      <c r="J26" s="21"/>
      <c r="K26" s="21"/>
      <c r="L26" s="21"/>
      <c r="M26" s="20"/>
      <c r="N26" s="21"/>
      <c r="O26" s="21"/>
      <c r="P26" s="21"/>
      <c r="Q26" s="21"/>
      <c r="R26" s="21"/>
      <c r="S26" s="21"/>
      <c r="T26" s="21"/>
      <c r="U26" s="21"/>
      <c r="V26" s="21"/>
      <c r="W26" s="21"/>
      <c r="X26" s="21"/>
      <c r="Y26" s="12"/>
      <c r="Z26" s="3"/>
      <c r="AA26" s="3"/>
      <c r="AB26" s="3"/>
      <c r="AC26" s="3"/>
      <c r="AD26" s="3"/>
      <c r="AE26" s="3"/>
      <c r="AF26" s="3"/>
      <c r="AG26" s="3"/>
      <c r="AH26" s="3"/>
      <c r="AI26" s="3"/>
    </row>
    <row r="27" spans="1:35" ht="12.75" x14ac:dyDescent="0.25">
      <c r="A27" s="12"/>
      <c r="B27" s="12"/>
      <c r="C27" s="12"/>
      <c r="D27" s="12"/>
      <c r="E27" s="12"/>
      <c r="F27" s="12"/>
      <c r="G27" s="21"/>
      <c r="H27" s="21"/>
      <c r="I27" s="21"/>
      <c r="J27" s="21"/>
      <c r="K27" s="21"/>
      <c r="L27" s="21"/>
      <c r="M27" s="20"/>
      <c r="N27" s="21"/>
      <c r="O27" s="21"/>
      <c r="P27" s="21"/>
      <c r="Q27" s="21"/>
      <c r="R27" s="21"/>
      <c r="S27" s="21"/>
      <c r="T27" s="21"/>
      <c r="U27" s="21"/>
      <c r="V27" s="21"/>
      <c r="W27" s="21"/>
      <c r="X27" s="21"/>
      <c r="Y27" s="12"/>
      <c r="Z27" s="3"/>
      <c r="AA27" s="3"/>
      <c r="AB27" s="3"/>
      <c r="AC27" s="3"/>
      <c r="AD27" s="3"/>
      <c r="AE27" s="3"/>
      <c r="AF27" s="3"/>
      <c r="AG27" s="3"/>
      <c r="AH27" s="3"/>
      <c r="AI27" s="3"/>
    </row>
    <row r="28" spans="1:35" ht="12.75" x14ac:dyDescent="0.25">
      <c r="A28" s="12"/>
      <c r="B28" s="12"/>
      <c r="C28" s="12"/>
      <c r="D28" s="12"/>
      <c r="E28" s="12"/>
      <c r="F28" s="12"/>
      <c r="G28" s="21"/>
      <c r="H28" s="21"/>
      <c r="I28" s="21"/>
      <c r="J28" s="21"/>
      <c r="K28" s="21"/>
      <c r="L28" s="21"/>
      <c r="M28" s="20"/>
      <c r="N28" s="21"/>
      <c r="O28" s="21"/>
      <c r="P28" s="21"/>
      <c r="Q28" s="21"/>
      <c r="R28" s="21"/>
      <c r="S28" s="21"/>
      <c r="T28" s="21"/>
      <c r="U28" s="21"/>
      <c r="V28" s="21"/>
      <c r="W28" s="21"/>
      <c r="X28" s="21"/>
      <c r="Y28" s="12"/>
      <c r="Z28" s="3"/>
      <c r="AA28" s="3"/>
      <c r="AB28" s="3"/>
      <c r="AC28" s="3"/>
      <c r="AD28" s="3"/>
      <c r="AE28" s="3"/>
      <c r="AF28" s="3"/>
      <c r="AG28" s="3"/>
      <c r="AH28" s="3"/>
      <c r="AI28" s="3"/>
    </row>
    <row r="29" spans="1:35" ht="12.75" x14ac:dyDescent="0.25">
      <c r="A29" s="12"/>
      <c r="B29" s="12"/>
      <c r="C29" s="12"/>
      <c r="D29" s="12"/>
      <c r="E29" s="12"/>
      <c r="F29" s="12"/>
      <c r="G29" s="21"/>
      <c r="H29" s="21"/>
      <c r="I29" s="21"/>
      <c r="J29" s="21"/>
      <c r="K29" s="21"/>
      <c r="L29" s="21"/>
      <c r="M29" s="20"/>
      <c r="N29" s="21"/>
      <c r="O29" s="21"/>
      <c r="P29" s="21"/>
      <c r="Q29" s="21"/>
      <c r="R29" s="21"/>
      <c r="S29" s="21"/>
      <c r="T29" s="21"/>
      <c r="U29" s="21"/>
      <c r="V29" s="21"/>
      <c r="W29" s="21"/>
      <c r="X29" s="21"/>
      <c r="Y29" s="12"/>
      <c r="Z29" s="3"/>
      <c r="AA29" s="3"/>
      <c r="AB29" s="3"/>
      <c r="AC29" s="3"/>
      <c r="AD29" s="3"/>
      <c r="AE29" s="3"/>
      <c r="AF29" s="3"/>
      <c r="AG29" s="3"/>
      <c r="AH29" s="3"/>
      <c r="AI29" s="3"/>
    </row>
    <row r="30" spans="1:35" ht="12.75" x14ac:dyDescent="0.25">
      <c r="A30" s="12"/>
      <c r="B30" s="12"/>
      <c r="C30" s="12"/>
      <c r="D30" s="12"/>
      <c r="E30" s="12"/>
      <c r="F30" s="12"/>
      <c r="G30" s="21"/>
      <c r="H30" s="21"/>
      <c r="I30" s="21"/>
      <c r="J30" s="21"/>
      <c r="K30" s="21"/>
      <c r="L30" s="21"/>
      <c r="M30" s="20"/>
      <c r="N30" s="21"/>
      <c r="O30" s="21"/>
      <c r="P30" s="21"/>
      <c r="Q30" s="21"/>
      <c r="R30" s="21"/>
      <c r="S30" s="21"/>
      <c r="T30" s="21"/>
      <c r="U30" s="21"/>
      <c r="V30" s="21"/>
      <c r="W30" s="21"/>
      <c r="X30" s="21"/>
      <c r="Y30" s="12"/>
      <c r="Z30" s="3"/>
      <c r="AA30" s="3"/>
      <c r="AB30" s="3"/>
      <c r="AC30" s="3"/>
      <c r="AD30" s="3"/>
      <c r="AE30" s="3"/>
      <c r="AF30" s="3"/>
      <c r="AG30" s="3"/>
      <c r="AH30" s="3"/>
      <c r="AI30" s="3"/>
    </row>
    <row r="31" spans="1:35" ht="12.75" x14ac:dyDescent="0.25">
      <c r="A31" s="12"/>
      <c r="B31" s="12"/>
      <c r="C31" s="12"/>
      <c r="D31" s="12"/>
      <c r="E31" s="12"/>
      <c r="F31" s="12"/>
      <c r="G31" s="21"/>
      <c r="H31" s="21"/>
      <c r="I31" s="21"/>
      <c r="J31" s="21"/>
      <c r="K31" s="21"/>
      <c r="L31" s="21"/>
      <c r="M31" s="20"/>
      <c r="N31" s="21"/>
      <c r="O31" s="21"/>
      <c r="P31" s="21"/>
      <c r="Q31" s="21"/>
      <c r="R31" s="21"/>
      <c r="S31" s="21"/>
      <c r="T31" s="21"/>
      <c r="U31" s="21"/>
      <c r="V31" s="21"/>
      <c r="W31" s="21"/>
      <c r="X31" s="21"/>
      <c r="Y31" s="12"/>
      <c r="Z31" s="3"/>
      <c r="AA31" s="3"/>
      <c r="AB31" s="3"/>
      <c r="AC31" s="3"/>
      <c r="AD31" s="3"/>
      <c r="AE31" s="3"/>
      <c r="AF31" s="3"/>
      <c r="AG31" s="3"/>
      <c r="AH31" s="3"/>
      <c r="AI31" s="3"/>
    </row>
    <row r="32" spans="1:35" x14ac:dyDescent="0.25">
      <c r="A32" s="12"/>
      <c r="B32" s="12"/>
      <c r="C32" s="12"/>
      <c r="D32" s="12"/>
      <c r="E32" s="12"/>
      <c r="F32" s="12"/>
      <c r="G32" s="12"/>
      <c r="H32" s="12"/>
      <c r="I32" s="12"/>
      <c r="J32" s="12"/>
      <c r="K32" s="12"/>
      <c r="L32" s="12"/>
      <c r="M32" s="20"/>
      <c r="N32" s="12"/>
      <c r="O32" s="12"/>
      <c r="P32" s="12"/>
      <c r="Q32" s="12"/>
      <c r="R32" s="12"/>
      <c r="S32" s="12"/>
      <c r="T32" s="12"/>
      <c r="U32" s="12"/>
      <c r="V32" s="12"/>
      <c r="W32" s="12"/>
      <c r="X32" s="12"/>
      <c r="Y32" s="12"/>
      <c r="Z32" s="3"/>
      <c r="AA32" s="3"/>
      <c r="AB32" s="3"/>
      <c r="AC32" s="3"/>
      <c r="AD32" s="3"/>
      <c r="AE32" s="3"/>
      <c r="AF32" s="3"/>
      <c r="AG32" s="3"/>
      <c r="AH32" s="3"/>
      <c r="AI32" s="3"/>
    </row>
    <row r="33" spans="1:35" x14ac:dyDescent="0.25">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3"/>
      <c r="AA33" s="3"/>
      <c r="AB33" s="3"/>
      <c r="AC33" s="3"/>
      <c r="AD33" s="3"/>
      <c r="AE33" s="3"/>
      <c r="AF33" s="3"/>
      <c r="AG33" s="3"/>
      <c r="AH33" s="3"/>
      <c r="AI33" s="3"/>
    </row>
    <row r="34" spans="1:35" x14ac:dyDescent="0.25">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3"/>
      <c r="AA34" s="3"/>
      <c r="AB34" s="3"/>
      <c r="AC34" s="3"/>
      <c r="AD34" s="3"/>
      <c r="AE34" s="3"/>
      <c r="AF34" s="3"/>
      <c r="AG34" s="3"/>
      <c r="AH34" s="3"/>
      <c r="AI34" s="3"/>
    </row>
    <row r="35" spans="1:35" x14ac:dyDescent="0.25">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3"/>
      <c r="AA35" s="3"/>
      <c r="AB35" s="3"/>
      <c r="AC35" s="3"/>
      <c r="AD35" s="3"/>
      <c r="AE35" s="3"/>
      <c r="AF35" s="3"/>
      <c r="AG35" s="3"/>
      <c r="AH35" s="3"/>
      <c r="AI35" s="3"/>
    </row>
    <row r="36" spans="1:35" x14ac:dyDescent="0.25">
      <c r="A36" s="12"/>
      <c r="B36" s="12"/>
      <c r="C36" s="12"/>
      <c r="D36" s="12"/>
      <c r="E36" s="12"/>
      <c r="F36" s="12"/>
      <c r="G36" s="12"/>
      <c r="H36" s="12"/>
      <c r="I36" s="12"/>
      <c r="J36" s="12"/>
      <c r="K36" s="12"/>
      <c r="L36" s="12"/>
      <c r="M36" s="12"/>
      <c r="N36" s="12"/>
      <c r="O36" s="12"/>
      <c r="P36" s="19"/>
      <c r="Q36" s="19"/>
      <c r="R36" s="19"/>
      <c r="S36" s="19"/>
      <c r="T36" s="19"/>
      <c r="U36" s="19"/>
      <c r="V36" s="19"/>
      <c r="W36" s="19"/>
      <c r="X36" s="19"/>
      <c r="Y36" s="12"/>
      <c r="Z36" s="3"/>
      <c r="AA36" s="3"/>
      <c r="AB36" s="3"/>
      <c r="AC36" s="3"/>
      <c r="AD36" s="3"/>
      <c r="AE36" s="3"/>
      <c r="AF36" s="3"/>
      <c r="AG36" s="3"/>
      <c r="AH36" s="3"/>
      <c r="AI36" s="3"/>
    </row>
    <row r="37" spans="1:35" x14ac:dyDescent="0.25">
      <c r="A37" s="19"/>
      <c r="B37" s="12"/>
      <c r="C37" s="12"/>
      <c r="D37" s="12"/>
      <c r="E37" s="12"/>
      <c r="F37" s="12"/>
      <c r="G37" s="12"/>
      <c r="H37" s="12"/>
      <c r="I37" s="12"/>
      <c r="J37" s="12"/>
      <c r="K37" s="12"/>
      <c r="L37" s="12"/>
      <c r="M37" s="12"/>
      <c r="N37" s="12"/>
      <c r="O37" s="12"/>
      <c r="P37" s="19"/>
      <c r="Q37" s="19"/>
      <c r="R37" s="19"/>
      <c r="S37" s="19"/>
      <c r="T37" s="19"/>
      <c r="U37" s="19"/>
      <c r="V37" s="19"/>
      <c r="W37" s="19"/>
      <c r="X37" s="19"/>
      <c r="Y37" s="19"/>
      <c r="Z37" s="3"/>
      <c r="AA37" s="3"/>
      <c r="AB37" s="3"/>
      <c r="AC37" s="3"/>
      <c r="AD37" s="3"/>
      <c r="AE37" s="3"/>
      <c r="AF37" s="3"/>
      <c r="AG37" s="3"/>
      <c r="AH37" s="3"/>
      <c r="AI37" s="3"/>
    </row>
  </sheetData>
  <mergeCells count="10">
    <mergeCell ref="A1:Z1"/>
    <mergeCell ref="A2:Y2"/>
    <mergeCell ref="A3:Y3"/>
    <mergeCell ref="A4:Y4"/>
    <mergeCell ref="C5:M5"/>
    <mergeCell ref="C6:M6"/>
    <mergeCell ref="A18:V18"/>
    <mergeCell ref="N5:X5"/>
    <mergeCell ref="N6:X6"/>
    <mergeCell ref="A19:W19"/>
  </mergeCells>
  <pageMargins left="0.17" right="0.16" top="0.75" bottom="0.75" header="0.3" footer="0.3"/>
  <pageSetup paperSize="9" scale="80" orientation="landscape" r:id="rId1"/>
  <ignoredErrors>
    <ignoredError sqref="P9:U9 C9:K9 N15:T16 P12:T13 N11:O13 C11:K11 C10:J10 P8:U8 P11:U11 P10:U10 U15:U16 U14:W14 V15:W16 V11 V9 V8:W8 V10:W10 W9 W11:X11 L11:M14 L9 L10 U12:W12 U13:W13 X8:X10 X12:X16" unlockedFormula="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9.1</vt:lpstr>
      <vt:lpstr>'9.1'!Print_Area</vt:lpstr>
    </vt:vector>
  </TitlesOfParts>
  <Company>Department of National Planning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f.shifaza</dc:creator>
  <cp:lastModifiedBy>Fathimath Shifaza</cp:lastModifiedBy>
  <cp:lastPrinted>2017-10-22T07:09:45Z</cp:lastPrinted>
  <dcterms:created xsi:type="dcterms:W3CDTF">2014-03-04T03:52:57Z</dcterms:created>
  <dcterms:modified xsi:type="dcterms:W3CDTF">2017-10-22T07:09:58Z</dcterms:modified>
</cp:coreProperties>
</file>