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WEB\Shahuda not checked\9. FISHERIES AND AGRICULTURE\"/>
    </mc:Choice>
  </mc:AlternateContent>
  <bookViews>
    <workbookView xWindow="0" yWindow="0" windowWidth="28800" windowHeight="12345" tabRatio="898"/>
  </bookViews>
  <sheets>
    <sheet name="9.12" sheetId="25" r:id="rId1"/>
  </sheets>
  <externalReferences>
    <externalReference r:id="rId2"/>
    <externalReference r:id="rId3"/>
  </externalReferences>
  <definedNames>
    <definedName name="_xlnm.Print_Area" localSheetId="0">'9.12'!$A$1:$I$45</definedName>
  </definedNames>
  <calcPr calcId="162913"/>
</workbook>
</file>

<file path=xl/calcChain.xml><?xml version="1.0" encoding="utf-8"?>
<calcChain xmlns="http://schemas.openxmlformats.org/spreadsheetml/2006/main">
  <c r="B8" i="25" l="1"/>
  <c r="C7" i="25"/>
  <c r="B29" i="25" l="1"/>
  <c r="B28" i="25"/>
  <c r="B27" i="25"/>
  <c r="B26" i="25"/>
  <c r="B25" i="25"/>
  <c r="B24" i="25"/>
  <c r="B23" i="25"/>
  <c r="B22" i="25"/>
  <c r="B21" i="25"/>
  <c r="B20" i="25"/>
  <c r="B19" i="25"/>
  <c r="B18" i="25"/>
  <c r="B17" i="25"/>
  <c r="B16" i="25"/>
  <c r="B15" i="25"/>
  <c r="B14" i="25"/>
  <c r="B13" i="25"/>
  <c r="B12" i="25"/>
  <c r="B11" i="25"/>
  <c r="B10" i="25"/>
  <c r="B9" i="25"/>
  <c r="H7" i="25"/>
  <c r="G7" i="25"/>
  <c r="F7" i="25"/>
  <c r="E7" i="25"/>
  <c r="D7" i="25"/>
  <c r="B7" i="25" l="1"/>
</calcChain>
</file>

<file path=xl/sharedStrings.xml><?xml version="1.0" encoding="utf-8"?>
<sst xmlns="http://schemas.openxmlformats.org/spreadsheetml/2006/main" count="80" uniqueCount="67">
  <si>
    <t>Total</t>
  </si>
  <si>
    <t>(ރުފިޔާއިން )</t>
  </si>
  <si>
    <t>(Value in MVR)</t>
  </si>
  <si>
    <t>Agricultural crops</t>
  </si>
  <si>
    <t>ޖުމްލަ</t>
  </si>
  <si>
    <t>އިންޑިއާ</t>
  </si>
  <si>
    <t>ސްރީލަންކާ</t>
  </si>
  <si>
    <t>ޔޫ. އޭ. އީ</t>
  </si>
  <si>
    <t>އޮސްޓްރޭލިއާ</t>
  </si>
  <si>
    <t>ތައިލޭންޑް</t>
  </si>
  <si>
    <t>އެހެނިހެން ޤައުމުތައް</t>
  </si>
  <si>
    <t>ދަނޑުވެރިކަމުގެ ބާވަތްތައް</t>
  </si>
  <si>
    <t xml:space="preserve"> Total</t>
  </si>
  <si>
    <t>India</t>
  </si>
  <si>
    <t>Srilanka</t>
  </si>
  <si>
    <t>U.A.E</t>
  </si>
  <si>
    <t>Australia</t>
  </si>
  <si>
    <t>Thailand</t>
  </si>
  <si>
    <t>Other Countries</t>
  </si>
  <si>
    <t>Banana &amp; Plaintain (Fresh)</t>
  </si>
  <si>
    <t>ފަތްކެޔޮ</t>
  </si>
  <si>
    <t>Beans, Fresh Or Chilled</t>
  </si>
  <si>
    <t>ބީންސް</t>
  </si>
  <si>
    <t>Bitter Gourd (Fresh Or Chilled )</t>
  </si>
  <si>
    <t>ފާގަ</t>
  </si>
  <si>
    <t>Bottle Gourd (Fresh Or Chilled )</t>
  </si>
  <si>
    <t>ކަދޫ</t>
  </si>
  <si>
    <t>Bread Fruit (Fresh Or Chilled)</t>
  </si>
  <si>
    <t>ބަނބުކެޔޮ</t>
  </si>
  <si>
    <t>Cabbage (Fresh Or Chilled )</t>
  </si>
  <si>
    <t>ބޮނޑިކޮޕީ</t>
  </si>
  <si>
    <t>Cabbage Lettuce, Fresh or Chilled</t>
  </si>
  <si>
    <t>ކެބެޖް ލެޓިއުސް</t>
  </si>
  <si>
    <t>Cassava &amp; Manioc (Fresh , Chilled Or Frozen )</t>
  </si>
  <si>
    <t>ދަނޑިއަލުވި</t>
  </si>
  <si>
    <t>Chillies(Fresh Or Chilled )</t>
  </si>
  <si>
    <t>ގިތެޔޮމިރުސް</t>
  </si>
  <si>
    <t>Cucumber (Fresh Or Chilled )</t>
  </si>
  <si>
    <t>ކިއުކަމްބަރ</t>
  </si>
  <si>
    <t>Drumstick (Fresh Or Chilled )</t>
  </si>
  <si>
    <t>މުރަނގަތޮޅި</t>
  </si>
  <si>
    <t>Guava (Fresh Or Dried )</t>
  </si>
  <si>
    <t>ފޭރު</t>
  </si>
  <si>
    <t>Lettuce, Fresh Or Chilled, (Excl. Cabbage Lettuce)</t>
  </si>
  <si>
    <t>ލެޓިއުސް</t>
  </si>
  <si>
    <t>Mango (Fresh Or Dried )</t>
  </si>
  <si>
    <t>އަނބު</t>
  </si>
  <si>
    <t>Melons, Fresh, (Excl.Watermelons)</t>
  </si>
  <si>
    <t>މެލަން</t>
  </si>
  <si>
    <t>Papaws (Papayas), Fresh</t>
  </si>
  <si>
    <t>ފަޅޯ</t>
  </si>
  <si>
    <t>Passion Fruit (Fresh Or Dried )</t>
  </si>
  <si>
    <t>ފެޝަންފްރުޓް</t>
  </si>
  <si>
    <t>Pumpkin (Fresh Or Chilled)</t>
  </si>
  <si>
    <t>ބަރަބޯ</t>
  </si>
  <si>
    <t>Sapodilla (Fresh)</t>
  </si>
  <si>
    <t>ސަބްދެލި</t>
  </si>
  <si>
    <t>Snake Gourd (Fresh Or Chilled )</t>
  </si>
  <si>
    <t>ޗިޗަންޑާ</t>
  </si>
  <si>
    <t>Sweet Potato (Fresh , Chilled Or Frozen )</t>
  </si>
  <si>
    <t>ކައްޓަލަ</t>
  </si>
  <si>
    <t>Watermelons, Fresh</t>
  </si>
  <si>
    <t>ކަރާ</t>
  </si>
  <si>
    <t>Source: Maldives Customs Service</t>
  </si>
  <si>
    <t xml:space="preserve"> cswsivrWs cscmwTcswk cscviDclOM :ctWrwf ivcaedutWmUluAwm</t>
  </si>
  <si>
    <t>Table 9.12: IMPORTS OF FRESH AGRICULTURAL CROPS MAINLY PRODUCED IN MALDIVES, 2016</t>
  </si>
  <si>
    <t>2016 ,cawtctwvWb egumwkirevuDnwd Wdcawh cSokumcaWa iawgEjcaWr cniaeret egukwtctwvWb unuveruk cTrOpcmia cSwaejcaWr  : 9.12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</si>
</sst>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mmmm\ d\,\ yyyy;@"/>
    <numFmt numFmtId="165" formatCode="General_)"/>
  </numFmts>
  <fonts count="18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i/>
      <sz val="9"/>
      <name val="Calibri"/>
      <family val="2"/>
    </font>
    <font>
      <sz val="9"/>
      <name val="A_Randhoo"/>
    </font>
    <font>
      <b/>
      <sz val="11"/>
      <name val="A_Randhoo"/>
    </font>
    <font>
      <i/>
      <sz val="9"/>
      <name val="Arial"/>
      <family val="2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11"/>
      <color indexed="8"/>
      <name val="Faruma"/>
    </font>
    <font>
      <b/>
      <sz val="9"/>
      <color indexed="8"/>
      <name val="Calibri"/>
      <family val="2"/>
    </font>
    <font>
      <b/>
      <sz val="10"/>
      <color indexed="8"/>
      <name val="Faruma"/>
    </font>
    <font>
      <b/>
      <sz val="11"/>
      <color indexed="8"/>
      <name val="Calibri"/>
      <family val="2"/>
    </font>
    <font>
      <sz val="11"/>
      <color indexed="8"/>
      <name val="Faruma"/>
    </font>
    <font>
      <sz val="9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64"/>
      </top>
      <bottom/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</borders>
  <cellStyleXfs count="9">
    <xf numFmtId="0" fontId="0" fillId="0" borderId="0"/>
    <xf numFmtId="40" fontId="4" fillId="0" borderId="0" applyFont="0" applyFill="0" applyBorder="0" applyAlignment="0" applyProtection="0"/>
    <xf numFmtId="164" fontId="1" fillId="0" borderId="0"/>
    <xf numFmtId="164" fontId="1" fillId="0" borderId="0"/>
    <xf numFmtId="165" fontId="1" fillId="0" borderId="0"/>
    <xf numFmtId="0" fontId="1" fillId="0" borderId="0"/>
    <xf numFmtId="0" fontId="2" fillId="0" borderId="0"/>
    <xf numFmtId="0" fontId="10" fillId="0" borderId="0"/>
    <xf numFmtId="0" fontId="2" fillId="0" borderId="0"/>
  </cellStyleXfs>
  <cellXfs count="58">
    <xf numFmtId="0" fontId="0" fillId="0" borderId="0" xfId="0"/>
    <xf numFmtId="165" fontId="9" fillId="2" borderId="0" xfId="4" applyFont="1" applyFill="1" applyBorder="1" applyAlignment="1" applyProtection="1">
      <alignment horizontal="left" vertical="center"/>
    </xf>
    <xf numFmtId="38" fontId="5" fillId="2" borderId="2" xfId="1" applyNumberFormat="1" applyFont="1" applyFill="1" applyBorder="1"/>
    <xf numFmtId="38" fontId="3" fillId="2" borderId="0" xfId="1" applyNumberFormat="1" applyFont="1" applyFill="1" applyBorder="1"/>
    <xf numFmtId="38" fontId="5" fillId="2" borderId="0" xfId="1" applyNumberFormat="1" applyFont="1" applyFill="1" applyBorder="1"/>
    <xf numFmtId="165" fontId="10" fillId="2" borderId="4" xfId="7" applyNumberFormat="1" applyFill="1" applyBorder="1"/>
    <xf numFmtId="165" fontId="10" fillId="2" borderId="4" xfId="7" applyNumberFormat="1" applyFont="1" applyFill="1" applyBorder="1"/>
    <xf numFmtId="2" fontId="14" fillId="2" borderId="3" xfId="7" applyNumberFormat="1" applyFont="1" applyFill="1" applyBorder="1" applyAlignment="1">
      <alignment horizontal="right" vertical="center"/>
    </xf>
    <xf numFmtId="0" fontId="15" fillId="2" borderId="2" xfId="7" applyNumberFormat="1" applyFont="1" applyFill="1" applyBorder="1" applyAlignment="1">
      <alignment horizontal="right" vertical="center"/>
    </xf>
    <xf numFmtId="165" fontId="1" fillId="2" borderId="4" xfId="7" applyNumberFormat="1" applyFont="1" applyFill="1" applyBorder="1"/>
    <xf numFmtId="0" fontId="13" fillId="2" borderId="1" xfId="7" applyNumberFormat="1" applyFont="1" applyFill="1" applyBorder="1" applyAlignment="1">
      <alignment horizontal="left" vertical="center"/>
    </xf>
    <xf numFmtId="38" fontId="15" fillId="2" borderId="1" xfId="7" applyNumberFormat="1" applyFont="1" applyFill="1" applyBorder="1" applyAlignment="1">
      <alignment horizontal="right" vertical="center"/>
    </xf>
    <xf numFmtId="1" fontId="5" fillId="2" borderId="0" xfId="0" applyNumberFormat="1" applyFont="1" applyFill="1" applyBorder="1"/>
    <xf numFmtId="0" fontId="16" fillId="2" borderId="10" xfId="7" applyNumberFormat="1" applyFont="1" applyFill="1" applyBorder="1" applyAlignment="1">
      <alignment vertical="center"/>
    </xf>
    <xf numFmtId="0" fontId="17" fillId="2" borderId="11" xfId="7" applyNumberFormat="1" applyFont="1" applyFill="1" applyBorder="1" applyAlignment="1">
      <alignment horizontal="left" vertical="center"/>
    </xf>
    <xf numFmtId="0" fontId="16" fillId="2" borderId="12" xfId="7" applyNumberFormat="1" applyFont="1" applyFill="1" applyBorder="1" applyAlignment="1">
      <alignment vertical="center"/>
    </xf>
    <xf numFmtId="0" fontId="17" fillId="2" borderId="13" xfId="7" applyNumberFormat="1" applyFont="1" applyFill="1" applyBorder="1" applyAlignment="1">
      <alignment horizontal="left" vertical="center"/>
    </xf>
    <xf numFmtId="0" fontId="17" fillId="2" borderId="14" xfId="7" applyNumberFormat="1" applyFont="1" applyFill="1" applyBorder="1" applyAlignment="1">
      <alignment horizontal="left" vertical="center"/>
    </xf>
    <xf numFmtId="38" fontId="3" fillId="2" borderId="2" xfId="1" applyNumberFormat="1" applyFont="1" applyFill="1" applyBorder="1"/>
    <xf numFmtId="0" fontId="16" fillId="2" borderId="15" xfId="7" applyNumberFormat="1" applyFont="1" applyFill="1" applyBorder="1" applyAlignment="1">
      <alignment vertical="center"/>
    </xf>
    <xf numFmtId="165" fontId="6" fillId="2" borderId="11" xfId="4" applyFont="1" applyFill="1" applyBorder="1" applyAlignment="1" applyProtection="1">
      <alignment horizontal="left" vertical="center"/>
    </xf>
    <xf numFmtId="165" fontId="1" fillId="2" borderId="16" xfId="7" applyNumberFormat="1" applyFont="1" applyFill="1" applyBorder="1"/>
    <xf numFmtId="165" fontId="7" fillId="2" borderId="16" xfId="4" applyFont="1" applyFill="1" applyBorder="1" applyAlignment="1">
      <alignment horizontal="right" vertical="center" indent="1"/>
    </xf>
    <xf numFmtId="165" fontId="6" fillId="2" borderId="0" xfId="4" applyFont="1" applyFill="1" applyBorder="1" applyAlignment="1" applyProtection="1">
      <alignment horizontal="left" vertical="center"/>
    </xf>
    <xf numFmtId="165" fontId="1" fillId="2" borderId="12" xfId="7" applyNumberFormat="1" applyFont="1" applyFill="1" applyBorder="1"/>
    <xf numFmtId="165" fontId="9" fillId="2" borderId="16" xfId="4" applyFont="1" applyFill="1" applyBorder="1" applyAlignment="1" applyProtection="1">
      <alignment horizontal="left" vertical="center"/>
    </xf>
    <xf numFmtId="165" fontId="7" fillId="2" borderId="16" xfId="4" applyFont="1" applyFill="1" applyBorder="1" applyAlignment="1">
      <alignment horizontal="left" vertical="center" indent="1" readingOrder="2"/>
    </xf>
    <xf numFmtId="165" fontId="6" fillId="2" borderId="17" xfId="4" applyFont="1" applyFill="1" applyBorder="1" applyAlignment="1" applyProtection="1">
      <alignment horizontal="left" vertical="center"/>
    </xf>
    <xf numFmtId="165" fontId="1" fillId="2" borderId="18" xfId="7" applyNumberFormat="1" applyFont="1" applyFill="1" applyBorder="1"/>
    <xf numFmtId="165" fontId="9" fillId="2" borderId="19" xfId="4" applyFont="1" applyFill="1" applyBorder="1" applyAlignment="1" applyProtection="1">
      <alignment horizontal="left" vertical="center"/>
    </xf>
    <xf numFmtId="165" fontId="7" fillId="2" borderId="19" xfId="4" applyFont="1" applyFill="1" applyBorder="1" applyAlignment="1">
      <alignment horizontal="left" vertical="center" indent="1" readingOrder="2"/>
    </xf>
    <xf numFmtId="165" fontId="1" fillId="2" borderId="5" xfId="7" applyNumberFormat="1" applyFont="1" applyFill="1" applyBorder="1"/>
    <xf numFmtId="165" fontId="1" fillId="2" borderId="0" xfId="7" applyNumberFormat="1" applyFont="1" applyFill="1" applyBorder="1"/>
    <xf numFmtId="165" fontId="7" fillId="2" borderId="0" xfId="4" applyFont="1" applyFill="1" applyBorder="1" applyAlignment="1">
      <alignment horizontal="left" vertical="center" indent="1" readingOrder="2"/>
    </xf>
    <xf numFmtId="165" fontId="10" fillId="2" borderId="12" xfId="7" applyNumberFormat="1" applyFill="1" applyBorder="1"/>
    <xf numFmtId="165" fontId="10" fillId="2" borderId="12" xfId="7" applyNumberFormat="1" applyFont="1" applyFill="1" applyBorder="1"/>
    <xf numFmtId="2" fontId="14" fillId="2" borderId="0" xfId="7" applyNumberFormat="1" applyFont="1" applyFill="1" applyBorder="1" applyAlignment="1">
      <alignment horizontal="right" vertical="center"/>
    </xf>
    <xf numFmtId="0" fontId="15" fillId="2" borderId="0" xfId="7" applyNumberFormat="1" applyFont="1" applyFill="1" applyBorder="1" applyAlignment="1">
      <alignment horizontal="right" vertical="center"/>
    </xf>
    <xf numFmtId="38" fontId="15" fillId="2" borderId="0" xfId="7" applyNumberFormat="1" applyFont="1" applyFill="1" applyBorder="1" applyAlignment="1">
      <alignment horizontal="right" vertical="center"/>
    </xf>
    <xf numFmtId="0" fontId="16" fillId="2" borderId="0" xfId="7" applyNumberFormat="1" applyFont="1" applyFill="1" applyBorder="1" applyAlignment="1">
      <alignment vertical="center"/>
    </xf>
    <xf numFmtId="0" fontId="17" fillId="2" borderId="0" xfId="7" applyNumberFormat="1" applyFont="1" applyFill="1" applyBorder="1" applyAlignment="1">
      <alignment horizontal="left" vertical="center"/>
    </xf>
    <xf numFmtId="0" fontId="12" fillId="2" borderId="7" xfId="7" applyNumberFormat="1" applyFont="1" applyFill="1" applyBorder="1" applyAlignment="1">
      <alignment horizontal="right" vertical="center"/>
    </xf>
    <xf numFmtId="0" fontId="13" fillId="2" borderId="0" xfId="7" applyNumberFormat="1" applyFont="1" applyFill="1" applyBorder="1" applyAlignment="1">
      <alignment horizontal="left" vertical="center"/>
    </xf>
    <xf numFmtId="0" fontId="12" fillId="2" borderId="0" xfId="7" applyNumberFormat="1" applyFont="1" applyFill="1" applyBorder="1" applyAlignment="1">
      <alignment horizontal="right" vertical="center"/>
    </xf>
    <xf numFmtId="0" fontId="8" fillId="2" borderId="4" xfId="6" applyFont="1" applyFill="1" applyBorder="1" applyAlignment="1">
      <alignment horizontal="center" vertical="center"/>
    </xf>
    <xf numFmtId="0" fontId="11" fillId="2" borderId="4" xfId="7" applyNumberFormat="1" applyFont="1" applyFill="1" applyBorder="1" applyAlignment="1">
      <alignment horizontal="center" vertical="center"/>
    </xf>
    <xf numFmtId="0" fontId="12" fillId="2" borderId="4" xfId="7" applyNumberFormat="1" applyFont="1" applyFill="1" applyBorder="1" applyAlignment="1">
      <alignment horizontal="center" vertical="center"/>
    </xf>
    <xf numFmtId="0" fontId="13" fillId="2" borderId="5" xfId="7" applyNumberFormat="1" applyFont="1" applyFill="1" applyBorder="1" applyAlignment="1">
      <alignment horizontal="center" vertical="center"/>
    </xf>
    <xf numFmtId="0" fontId="13" fillId="2" borderId="6" xfId="7" applyNumberFormat="1" applyFont="1" applyFill="1" applyBorder="1" applyAlignment="1">
      <alignment horizontal="left" vertical="center"/>
    </xf>
    <xf numFmtId="0" fontId="13" fillId="2" borderId="8" xfId="7" applyNumberFormat="1" applyFont="1" applyFill="1" applyBorder="1" applyAlignment="1">
      <alignment horizontal="left" vertical="center"/>
    </xf>
    <xf numFmtId="0" fontId="12" fillId="2" borderId="7" xfId="7" applyNumberFormat="1" applyFont="1" applyFill="1" applyBorder="1" applyAlignment="1">
      <alignment horizontal="right" vertical="center"/>
    </xf>
    <xf numFmtId="0" fontId="12" fillId="2" borderId="9" xfId="7" applyNumberFormat="1" applyFont="1" applyFill="1" applyBorder="1" applyAlignment="1">
      <alignment horizontal="right" vertical="center"/>
    </xf>
    <xf numFmtId="0" fontId="8" fillId="2" borderId="0" xfId="6" applyFont="1" applyFill="1" applyBorder="1" applyAlignment="1">
      <alignment horizontal="center" vertical="center"/>
    </xf>
    <xf numFmtId="0" fontId="11" fillId="2" borderId="0" xfId="7" applyNumberFormat="1" applyFont="1" applyFill="1" applyBorder="1" applyAlignment="1">
      <alignment horizontal="center" vertical="center"/>
    </xf>
    <xf numFmtId="0" fontId="12" fillId="2" borderId="0" xfId="7" applyNumberFormat="1" applyFont="1" applyFill="1" applyBorder="1" applyAlignment="1">
      <alignment horizontal="center" vertical="center"/>
    </xf>
    <xf numFmtId="0" fontId="13" fillId="2" borderId="0" xfId="7" applyNumberFormat="1" applyFont="1" applyFill="1" applyBorder="1" applyAlignment="1">
      <alignment horizontal="center" vertical="center"/>
    </xf>
    <xf numFmtId="0" fontId="13" fillId="2" borderId="0" xfId="7" applyNumberFormat="1" applyFont="1" applyFill="1" applyBorder="1" applyAlignment="1">
      <alignment horizontal="left" vertical="center"/>
    </xf>
    <xf numFmtId="0" fontId="12" fillId="2" borderId="0" xfId="7" applyNumberFormat="1" applyFont="1" applyFill="1" applyBorder="1" applyAlignment="1">
      <alignment horizontal="right" vertical="center"/>
    </xf>
  </cellXfs>
  <cellStyles count="9">
    <cellStyle name="1" xfId="8"/>
    <cellStyle name="Comma 2" xfId="1"/>
    <cellStyle name="Normal" xfId="0" builtinId="0"/>
    <cellStyle name="Normal 2" xfId="5"/>
    <cellStyle name="Normal 3_agri planning 2009 year book(final)" xfId="3"/>
    <cellStyle name="Normal 4_agri planning 2009 year book(final)" xfId="2"/>
    <cellStyle name="Normal_agri planning 2009 year book(final)" xfId="7"/>
    <cellStyle name="Normal_Fish &amp;  Agri - 8" xfId="4"/>
    <cellStyle name="Normal_mmifco" xfId="6"/>
  </cellStyles>
  <dxfs count="0"/>
  <tableStyles count="0" defaultTableStyle="TableStyleMedium9" defaultPivotStyle="PivotStyleLight16"/>
  <colors>
    <mruColors>
      <color rgb="FFFF9900"/>
      <color rgb="FF009900"/>
      <color rgb="FF33CCCC"/>
      <color rgb="FF1C706E"/>
      <color rgb="FF81E1DF"/>
      <color rgb="FFFF3399"/>
      <color rgb="FFE8F5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050">
                <a:latin typeface="Consolas" pitchFamily="49" charset="0"/>
                <a:cs typeface="Consolas" pitchFamily="49" charset="0"/>
              </a:defRPr>
            </a:pPr>
            <a:r>
              <a:rPr lang="en-US" sz="1050">
                <a:latin typeface="Consolas" pitchFamily="49" charset="0"/>
                <a:cs typeface="Consolas" pitchFamily="49" charset="0"/>
              </a:rPr>
              <a:t>Figure 9.7: Imports of fresh agricultural crops by Country, 2016</a:t>
            </a:r>
          </a:p>
        </c:rich>
      </c:tx>
      <c:layout>
        <c:manualLayout>
          <c:xMode val="edge"/>
          <c:yMode val="edge"/>
          <c:x val="0.2323128127050525"/>
          <c:y val="5.51674115059941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26278245980971"/>
          <c:y val="0.17630082683349171"/>
          <c:w val="0.84210906742125979"/>
          <c:h val="0.70603639072143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C000"/>
            </a:solidFill>
          </c:spPr>
          <c:invertIfNegative val="0"/>
          <c:cat>
            <c:strRef>
              <c:f>'9.12'!$AC$15:$AC$20</c:f>
              <c:strCache>
                <c:ptCount val="6"/>
                <c:pt idx="0">
                  <c:v>India</c:v>
                </c:pt>
                <c:pt idx="1">
                  <c:v>Srilanka</c:v>
                </c:pt>
                <c:pt idx="2">
                  <c:v>U.A.E</c:v>
                </c:pt>
                <c:pt idx="3">
                  <c:v>Thailand</c:v>
                </c:pt>
                <c:pt idx="4">
                  <c:v>Other Countries</c:v>
                </c:pt>
                <c:pt idx="5">
                  <c:v>Australia</c:v>
                </c:pt>
              </c:strCache>
            </c:strRef>
          </c:cat>
          <c:val>
            <c:numRef>
              <c:f>'9.12'!$AD$15:$AD$20</c:f>
              <c:numCache>
                <c:formatCode>#,##0_);[Red]\(#,##0\)</c:formatCode>
                <c:ptCount val="6"/>
                <c:pt idx="0">
                  <c:v>89937464.079999998</c:v>
                </c:pt>
                <c:pt idx="1">
                  <c:v>74097648.560000017</c:v>
                </c:pt>
                <c:pt idx="2">
                  <c:v>67743119.049999997</c:v>
                </c:pt>
                <c:pt idx="3">
                  <c:v>57324348.640000001</c:v>
                </c:pt>
                <c:pt idx="4">
                  <c:v>48115376.18</c:v>
                </c:pt>
                <c:pt idx="5">
                  <c:v>18812884.359999999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76-4C35-8065-751D9F530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280512"/>
        <c:axId val="99570816"/>
      </c:barChart>
      <c:catAx>
        <c:axId val="9528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99570816"/>
        <c:crosses val="autoZero"/>
        <c:auto val="1"/>
        <c:lblAlgn val="ctr"/>
        <c:lblOffset val="100"/>
        <c:noMultiLvlLbl val="0"/>
      </c:catAx>
      <c:valAx>
        <c:axId val="99570816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(Value in MVR)</a:t>
                </a:r>
              </a:p>
            </c:rich>
          </c:tx>
          <c:layout>
            <c:manualLayout>
              <c:xMode val="edge"/>
              <c:yMode val="edge"/>
              <c:x val="9.8238086450131226E-3"/>
              <c:y val="0.32085053557494503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95280512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1226820</xdr:colOff>
      <xdr:row>31</xdr:row>
      <xdr:rowOff>114300</xdr:rowOff>
    </xdr:from>
    <xdr:to>
      <xdr:col>7</xdr:col>
      <xdr:colOff>962025</xdr:colOff>
      <xdr:row>43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420872</xdr:colOff>
      <xdr:row>33</xdr:row>
      <xdr:rowOff>99680</xdr:rowOff>
    </xdr:from>
    <xdr:to>
      <xdr:col>6</xdr:col>
      <xdr:colOff>675611</xdr:colOff>
      <xdr:row>33</xdr:row>
      <xdr:rowOff>99680</xdr:rowOff>
    </xdr:to>
    <xdr:sp macro="" textlink="">
      <xdr:nvSpPr>
        <xdr:cNvPr id="3" name="Line 4"/>
        <xdr:cNvSpPr>
          <a:spLocks noChangeShapeType="1"/>
        </xdr:cNvSpPr>
      </xdr:nvSpPr>
      <xdr:spPr bwMode="auto">
        <a:xfrm>
          <a:off x="2990407" y="8284535"/>
          <a:ext cx="4928634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FISHERIES%20AND%20AGRICULTURE%20_%20Min%20of%20Fisheries%202017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Documents\Agri_SYB%202017%20_%20for%20Recheck%20_4%20O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17"/>
    </sheetNames>
    <sheetDataSet>
      <sheetData sheetId="0"/>
      <sheetData sheetId="1"/>
      <sheetData sheetId="2">
        <row r="8">
          <cell r="D8" t="str">
            <v>Skipjack tuna</v>
          </cell>
          <cell r="E8" t="str">
            <v>Yellowfin tuna</v>
          </cell>
          <cell r="F8" t="str">
            <v>Big eye tuna</v>
          </cell>
          <cell r="G8" t="str">
            <v>Albacore tuna</v>
          </cell>
          <cell r="H8" t="str">
            <v>Dogtooth tuna</v>
          </cell>
          <cell r="I8" t="str">
            <v xml:space="preserve">   Little tuna</v>
          </cell>
          <cell r="J8" t="str">
            <v>Frigate tuna</v>
          </cell>
          <cell r="K8" t="str">
            <v>Other marine fish</v>
          </cell>
        </row>
        <row r="9">
          <cell r="D9">
            <v>69589.480938961424</v>
          </cell>
          <cell r="E9">
            <v>53705.451966178975</v>
          </cell>
          <cell r="F9">
            <v>2480.0423404201256</v>
          </cell>
          <cell r="G9">
            <v>15.290000000000001</v>
          </cell>
          <cell r="H9">
            <v>11.453572517147915</v>
          </cell>
          <cell r="I9">
            <v>29.990173019499927</v>
          </cell>
          <cell r="J9">
            <v>143.18209877120293</v>
          </cell>
          <cell r="K9">
            <v>3216.1040166838452</v>
          </cell>
        </row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8"/>
      <sheetName val="9.19"/>
      <sheetName val="9.20"/>
    </sheetNames>
    <sheetDataSet>
      <sheetData sheetId="0">
        <row r="6">
          <cell r="F6">
            <v>2012</v>
          </cell>
          <cell r="G6">
            <v>2013</v>
          </cell>
          <cell r="H6">
            <v>2014</v>
          </cell>
        </row>
        <row r="8">
          <cell r="A8" t="str">
            <v>January</v>
          </cell>
          <cell r="F8">
            <v>13736.8205</v>
          </cell>
          <cell r="G8">
            <v>5494.0505000000003</v>
          </cell>
          <cell r="H8">
            <v>3075.7</v>
          </cell>
        </row>
        <row r="9">
          <cell r="A9" t="str">
            <v>February</v>
          </cell>
          <cell r="F9">
            <v>13129.5085</v>
          </cell>
          <cell r="G9">
            <v>6652.4795000000004</v>
          </cell>
          <cell r="H9">
            <v>2827.83</v>
          </cell>
        </row>
        <row r="10">
          <cell r="A10" t="str">
            <v>March</v>
          </cell>
          <cell r="F10">
            <v>10113.8855</v>
          </cell>
          <cell r="G10">
            <v>2169.9749999999999</v>
          </cell>
          <cell r="H10">
            <v>4973.7240000000002</v>
          </cell>
        </row>
        <row r="11">
          <cell r="A11" t="str">
            <v>April</v>
          </cell>
          <cell r="F11">
            <v>8310.6272499999995</v>
          </cell>
          <cell r="G11">
            <v>4903.4449999999997</v>
          </cell>
          <cell r="H11">
            <v>3393.68</v>
          </cell>
        </row>
        <row r="12">
          <cell r="A12" t="str">
            <v>May</v>
          </cell>
          <cell r="F12">
            <v>9784.75</v>
          </cell>
          <cell r="G12">
            <v>1682.45</v>
          </cell>
          <cell r="H12">
            <v>1162.385</v>
          </cell>
        </row>
        <row r="13">
          <cell r="A13" t="str">
            <v>June</v>
          </cell>
          <cell r="F13" t="str">
            <v>-</v>
          </cell>
          <cell r="G13">
            <v>629.17499999999995</v>
          </cell>
          <cell r="H13">
            <v>135.19999999999999</v>
          </cell>
        </row>
        <row r="14">
          <cell r="A14" t="str">
            <v>July</v>
          </cell>
          <cell r="F14">
            <v>7576.585</v>
          </cell>
          <cell r="G14" t="str">
            <v>-</v>
          </cell>
          <cell r="H14">
            <v>10021.85</v>
          </cell>
        </row>
        <row r="15">
          <cell r="A15" t="str">
            <v>August</v>
          </cell>
          <cell r="F15">
            <v>4974.5874999999996</v>
          </cell>
          <cell r="G15" t="str">
            <v>-</v>
          </cell>
          <cell r="H15">
            <v>921.5</v>
          </cell>
        </row>
        <row r="16">
          <cell r="A16" t="str">
            <v>September</v>
          </cell>
          <cell r="F16" t="str">
            <v>-</v>
          </cell>
          <cell r="G16">
            <v>7582.9790000000003</v>
          </cell>
          <cell r="H16">
            <v>1818.71</v>
          </cell>
        </row>
        <row r="17">
          <cell r="A17" t="str">
            <v>October</v>
          </cell>
          <cell r="F17">
            <v>3558.34175</v>
          </cell>
          <cell r="G17">
            <v>3918.48</v>
          </cell>
          <cell r="H17">
            <v>1463.45</v>
          </cell>
        </row>
        <row r="18">
          <cell r="A18" t="str">
            <v>November</v>
          </cell>
          <cell r="F18">
            <v>9511.2639999999992</v>
          </cell>
          <cell r="G18">
            <v>386.66500000000002</v>
          </cell>
          <cell r="H18">
            <v>2034.43</v>
          </cell>
        </row>
        <row r="19">
          <cell r="A19" t="str">
            <v>December</v>
          </cell>
          <cell r="F19">
            <v>8162.64</v>
          </cell>
          <cell r="G19">
            <v>1173.1075000000001</v>
          </cell>
          <cell r="H19">
            <v>1197.5820000000001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D60"/>
  <sheetViews>
    <sheetView tabSelected="1" zoomScale="86" zoomScaleNormal="86" workbookViewId="0">
      <selection activeCell="L38" sqref="L38"/>
    </sheetView>
  </sheetViews>
  <sheetFormatPr defaultColWidth="8.85546875" defaultRowHeight="15" x14ac:dyDescent="0.25"/>
  <cols>
    <col min="1" max="1" width="38.5703125" style="5" customWidth="1"/>
    <col min="2" max="2" width="18.85546875" style="5" customWidth="1"/>
    <col min="3" max="7" width="12.7109375" style="5" customWidth="1"/>
    <col min="8" max="8" width="17.140625" style="5" customWidth="1"/>
    <col min="9" max="9" width="28" style="5" customWidth="1"/>
    <col min="10" max="10" width="13.85546875" style="5" customWidth="1"/>
    <col min="11" max="23" width="8.85546875" style="5"/>
    <col min="24" max="29" width="11.140625" style="5" customWidth="1"/>
    <col min="30" max="30" width="10.5703125" style="5" customWidth="1"/>
    <col min="31" max="32" width="8.85546875" style="5"/>
    <col min="33" max="33" width="9" style="5" bestFit="1" customWidth="1"/>
    <col min="34" max="16384" width="8.85546875" style="5"/>
  </cols>
  <sheetData>
    <row r="1" spans="1:30" ht="18" x14ac:dyDescent="0.25">
      <c r="A1" s="44" t="s">
        <v>66</v>
      </c>
      <c r="B1" s="44"/>
      <c r="C1" s="44"/>
      <c r="D1" s="44"/>
      <c r="E1" s="44"/>
      <c r="F1" s="44"/>
      <c r="G1" s="44"/>
      <c r="H1" s="44"/>
      <c r="I1" s="44"/>
    </row>
    <row r="2" spans="1:30" s="6" customFormat="1" ht="15.75" x14ac:dyDescent="0.25">
      <c r="A2" s="45" t="s">
        <v>65</v>
      </c>
      <c r="B2" s="45"/>
      <c r="C2" s="45"/>
      <c r="D2" s="45"/>
      <c r="E2" s="45"/>
      <c r="F2" s="45"/>
      <c r="G2" s="45"/>
      <c r="H2" s="45"/>
      <c r="I2" s="45"/>
    </row>
    <row r="3" spans="1:30" ht="21" x14ac:dyDescent="0.25">
      <c r="A3" s="46" t="s">
        <v>1</v>
      </c>
      <c r="B3" s="46"/>
      <c r="C3" s="46"/>
      <c r="D3" s="46"/>
      <c r="E3" s="46"/>
      <c r="F3" s="46"/>
      <c r="G3" s="46"/>
      <c r="H3" s="46"/>
      <c r="I3" s="46"/>
    </row>
    <row r="4" spans="1:30" x14ac:dyDescent="0.25">
      <c r="A4" s="47" t="s">
        <v>2</v>
      </c>
      <c r="B4" s="47"/>
      <c r="C4" s="47"/>
      <c r="D4" s="47"/>
      <c r="E4" s="47"/>
      <c r="F4" s="47"/>
      <c r="G4" s="47"/>
      <c r="H4" s="47"/>
      <c r="I4" s="47"/>
    </row>
    <row r="5" spans="1:30" ht="18.75" x14ac:dyDescent="0.25">
      <c r="A5" s="48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50" t="s">
        <v>11</v>
      </c>
    </row>
    <row r="6" spans="1:30" x14ac:dyDescent="0.25">
      <c r="A6" s="49"/>
      <c r="B6" s="8" t="s">
        <v>12</v>
      </c>
      <c r="C6" s="8" t="s">
        <v>13</v>
      </c>
      <c r="D6" s="8" t="s">
        <v>14</v>
      </c>
      <c r="E6" s="8" t="s">
        <v>15</v>
      </c>
      <c r="F6" s="8" t="s">
        <v>16</v>
      </c>
      <c r="G6" s="8" t="s">
        <v>17</v>
      </c>
      <c r="H6" s="8" t="s">
        <v>18</v>
      </c>
      <c r="I6" s="51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spans="1:30" ht="21" x14ac:dyDescent="0.25">
      <c r="A7" s="10" t="s">
        <v>0</v>
      </c>
      <c r="B7" s="11">
        <f>SUM(B8:B29)</f>
        <v>356030840.86999995</v>
      </c>
      <c r="C7" s="11">
        <f>SUM(C8:C29)</f>
        <v>89937464.079999998</v>
      </c>
      <c r="D7" s="11">
        <f t="shared" ref="D7:H7" si="0">SUM(D8:D29)</f>
        <v>74097648.560000017</v>
      </c>
      <c r="E7" s="11">
        <f t="shared" si="0"/>
        <v>67743119.049999997</v>
      </c>
      <c r="F7" s="11">
        <f t="shared" si="0"/>
        <v>18812884.359999999</v>
      </c>
      <c r="G7" s="11">
        <f t="shared" si="0"/>
        <v>57324348.640000001</v>
      </c>
      <c r="H7" s="11">
        <f t="shared" si="0"/>
        <v>48115376.18</v>
      </c>
      <c r="I7" s="41" t="s">
        <v>4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 spans="1:30" ht="21" x14ac:dyDescent="0.25">
      <c r="A8" s="12" t="s">
        <v>19</v>
      </c>
      <c r="B8" s="3">
        <f>SUM(C8:H8)</f>
        <v>17081042.779999997</v>
      </c>
      <c r="C8" s="4">
        <v>10893334.289999997</v>
      </c>
      <c r="D8" s="4">
        <v>3857880.13</v>
      </c>
      <c r="E8" s="4">
        <v>1055104.52</v>
      </c>
      <c r="F8" s="4">
        <v>106721.30999999998</v>
      </c>
      <c r="G8" s="4">
        <v>526472.73999999987</v>
      </c>
      <c r="H8" s="4">
        <v>641529.78999999992</v>
      </c>
      <c r="I8" s="13" t="s">
        <v>20</v>
      </c>
    </row>
    <row r="9" spans="1:30" ht="21" x14ac:dyDescent="0.25">
      <c r="A9" s="14" t="s">
        <v>21</v>
      </c>
      <c r="B9" s="3">
        <f t="shared" ref="B9:B29" si="1">SUM(C9:H9)</f>
        <v>24120305.060000002</v>
      </c>
      <c r="C9" s="4">
        <v>12396574.43</v>
      </c>
      <c r="D9" s="4">
        <v>6226309.290000001</v>
      </c>
      <c r="E9" s="4">
        <v>2316295.16</v>
      </c>
      <c r="F9" s="4">
        <v>328964.09999999998</v>
      </c>
      <c r="G9" s="4">
        <v>1507295.2799999998</v>
      </c>
      <c r="H9" s="4">
        <v>1344866.8000000003</v>
      </c>
      <c r="I9" s="15" t="s">
        <v>22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30" ht="21" x14ac:dyDescent="0.25">
      <c r="A10" s="16" t="s">
        <v>23</v>
      </c>
      <c r="B10" s="3">
        <f t="shared" si="1"/>
        <v>4845857.2200000007</v>
      </c>
      <c r="C10" s="4">
        <v>1713394.07</v>
      </c>
      <c r="D10" s="4">
        <v>2576286.0300000003</v>
      </c>
      <c r="E10" s="4">
        <v>215813.00999999998</v>
      </c>
      <c r="F10" s="4">
        <v>484.58</v>
      </c>
      <c r="G10" s="4">
        <v>47695.820000000007</v>
      </c>
      <c r="H10" s="4">
        <v>292183.70999999996</v>
      </c>
      <c r="I10" s="15" t="s">
        <v>24</v>
      </c>
    </row>
    <row r="11" spans="1:30" ht="21" x14ac:dyDescent="0.25">
      <c r="A11" s="16" t="s">
        <v>25</v>
      </c>
      <c r="B11" s="3">
        <f t="shared" si="1"/>
        <v>538392.48</v>
      </c>
      <c r="C11" s="4">
        <v>144040.44</v>
      </c>
      <c r="D11" s="4">
        <v>290855.53000000003</v>
      </c>
      <c r="E11" s="4">
        <v>56867.619999999995</v>
      </c>
      <c r="F11" s="4">
        <v>186.31</v>
      </c>
      <c r="G11" s="4">
        <v>11741.95</v>
      </c>
      <c r="H11" s="4">
        <v>34700.630000000005</v>
      </c>
      <c r="I11" s="15" t="s">
        <v>26</v>
      </c>
    </row>
    <row r="12" spans="1:30" ht="21" x14ac:dyDescent="0.25">
      <c r="A12" s="16" t="s">
        <v>27</v>
      </c>
      <c r="B12" s="3">
        <f t="shared" si="1"/>
        <v>244232.02</v>
      </c>
      <c r="C12" s="4">
        <v>2255.12</v>
      </c>
      <c r="D12" s="4">
        <v>150494.37</v>
      </c>
      <c r="E12" s="4">
        <v>59637.36</v>
      </c>
      <c r="F12" s="4">
        <v>3179.13</v>
      </c>
      <c r="G12" s="4">
        <v>10632.98</v>
      </c>
      <c r="H12" s="4">
        <v>18033.059999999998</v>
      </c>
      <c r="I12" s="15" t="s">
        <v>28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spans="1:30" ht="21" x14ac:dyDescent="0.25">
      <c r="A13" s="16" t="s">
        <v>29</v>
      </c>
      <c r="B13" s="3">
        <f t="shared" si="1"/>
        <v>39006764.509999998</v>
      </c>
      <c r="C13" s="4">
        <v>21399680.379999999</v>
      </c>
      <c r="D13" s="4">
        <v>9989151.7700000014</v>
      </c>
      <c r="E13" s="4">
        <v>2390969.8400000003</v>
      </c>
      <c r="F13" s="4">
        <v>678542.2300000001</v>
      </c>
      <c r="G13" s="4">
        <v>721089.80000000016</v>
      </c>
      <c r="H13" s="4">
        <v>3827330.49</v>
      </c>
      <c r="I13" s="15" t="s">
        <v>30</v>
      </c>
    </row>
    <row r="14" spans="1:30" ht="21" x14ac:dyDescent="0.25">
      <c r="A14" s="16" t="s">
        <v>31</v>
      </c>
      <c r="B14" s="3">
        <f t="shared" si="1"/>
        <v>3689920.4900000012</v>
      </c>
      <c r="C14" s="4">
        <v>61967.54</v>
      </c>
      <c r="D14" s="4">
        <v>385427.56000000006</v>
      </c>
      <c r="E14" s="4">
        <v>1004584.6100000001</v>
      </c>
      <c r="F14" s="4">
        <v>216173.05000000002</v>
      </c>
      <c r="G14" s="4">
        <v>1521781.9900000005</v>
      </c>
      <c r="H14" s="4">
        <v>499985.74</v>
      </c>
      <c r="I14" s="15" t="s">
        <v>32</v>
      </c>
    </row>
    <row r="15" spans="1:30" ht="21" x14ac:dyDescent="0.25">
      <c r="A15" s="16" t="s">
        <v>33</v>
      </c>
      <c r="B15" s="3">
        <f t="shared" si="1"/>
        <v>2815394.2500000005</v>
      </c>
      <c r="C15" s="4">
        <v>173895.75999999998</v>
      </c>
      <c r="D15" s="4">
        <v>2299491.6500000004</v>
      </c>
      <c r="E15" s="4">
        <v>122322.66</v>
      </c>
      <c r="F15" s="4">
        <v>362.19</v>
      </c>
      <c r="G15" s="4">
        <v>3624.8100000000004</v>
      </c>
      <c r="H15" s="4">
        <v>215697.17999999996</v>
      </c>
      <c r="I15" s="15" t="s">
        <v>34</v>
      </c>
      <c r="AC15" s="8" t="s">
        <v>13</v>
      </c>
      <c r="AD15" s="11">
        <v>89937464.079999998</v>
      </c>
    </row>
    <row r="16" spans="1:30" ht="21" x14ac:dyDescent="0.25">
      <c r="A16" s="16" t="s">
        <v>35</v>
      </c>
      <c r="B16" s="3">
        <f t="shared" si="1"/>
        <v>19841767.939999998</v>
      </c>
      <c r="C16" s="4">
        <v>7489795.1800000006</v>
      </c>
      <c r="D16" s="4">
        <v>3815741.5399999996</v>
      </c>
      <c r="E16" s="4">
        <v>1605372.12</v>
      </c>
      <c r="F16" s="4">
        <v>76062.850000000006</v>
      </c>
      <c r="G16" s="4">
        <v>2082505.6900000002</v>
      </c>
      <c r="H16" s="4">
        <v>4772290.5600000005</v>
      </c>
      <c r="I16" s="15" t="s">
        <v>36</v>
      </c>
      <c r="AC16" s="8" t="s">
        <v>14</v>
      </c>
      <c r="AD16" s="11">
        <v>74097648.560000017</v>
      </c>
    </row>
    <row r="17" spans="1:30" ht="21" x14ac:dyDescent="0.25">
      <c r="A17" s="16" t="s">
        <v>37</v>
      </c>
      <c r="B17" s="3">
        <f t="shared" si="1"/>
        <v>20076685.020000003</v>
      </c>
      <c r="C17" s="4">
        <v>2497257.08</v>
      </c>
      <c r="D17" s="4">
        <v>8515060.3000000007</v>
      </c>
      <c r="E17" s="4">
        <v>5760872.3000000017</v>
      </c>
      <c r="F17" s="4">
        <v>791861.73</v>
      </c>
      <c r="G17" s="4">
        <v>400129.55000000005</v>
      </c>
      <c r="H17" s="4">
        <v>2111504.06</v>
      </c>
      <c r="I17" s="15" t="s">
        <v>38</v>
      </c>
      <c r="AC17" s="8" t="s">
        <v>15</v>
      </c>
      <c r="AD17" s="11">
        <v>67743119.049999997</v>
      </c>
    </row>
    <row r="18" spans="1:30" ht="21" x14ac:dyDescent="0.25">
      <c r="A18" s="16" t="s">
        <v>39</v>
      </c>
      <c r="B18" s="3">
        <f t="shared" si="1"/>
        <v>4215047.790000001</v>
      </c>
      <c r="C18" s="4">
        <v>2787399.4400000009</v>
      </c>
      <c r="D18" s="4">
        <v>1110341.02</v>
      </c>
      <c r="E18" s="4">
        <v>245397.09000000003</v>
      </c>
      <c r="F18" s="4">
        <v>9194.2099999999991</v>
      </c>
      <c r="G18" s="4">
        <v>15081.300000000001</v>
      </c>
      <c r="H18" s="4">
        <v>47634.729999999989</v>
      </c>
      <c r="I18" s="15" t="s">
        <v>40</v>
      </c>
      <c r="AC18" s="8" t="s">
        <v>17</v>
      </c>
      <c r="AD18" s="11">
        <v>57324348.640000001</v>
      </c>
    </row>
    <row r="19" spans="1:30" ht="21" x14ac:dyDescent="0.25">
      <c r="A19" s="16" t="s">
        <v>41</v>
      </c>
      <c r="B19" s="3">
        <f t="shared" si="1"/>
        <v>16604722.810000001</v>
      </c>
      <c r="C19" s="4">
        <v>2468318.7300000004</v>
      </c>
      <c r="D19" s="4">
        <v>3205637.9</v>
      </c>
      <c r="E19" s="4">
        <v>2211097.5200000005</v>
      </c>
      <c r="F19" s="4">
        <v>10548.8</v>
      </c>
      <c r="G19" s="4">
        <v>6516047.6899999995</v>
      </c>
      <c r="H19" s="4">
        <v>2193072.17</v>
      </c>
      <c r="I19" s="15" t="s">
        <v>42</v>
      </c>
      <c r="AC19" s="8" t="s">
        <v>18</v>
      </c>
      <c r="AD19" s="11">
        <v>48115376.18</v>
      </c>
    </row>
    <row r="20" spans="1:30" ht="21" x14ac:dyDescent="0.25">
      <c r="A20" s="16" t="s">
        <v>43</v>
      </c>
      <c r="B20" s="3">
        <f t="shared" si="1"/>
        <v>44715142.609999992</v>
      </c>
      <c r="C20" s="4">
        <v>1455270.37</v>
      </c>
      <c r="D20" s="4">
        <v>4001351.3400000003</v>
      </c>
      <c r="E20" s="4">
        <v>20533525.869999997</v>
      </c>
      <c r="F20" s="4">
        <v>7137183.2399999993</v>
      </c>
      <c r="G20" s="4">
        <v>4406053.3599999994</v>
      </c>
      <c r="H20" s="4">
        <v>7181758.4300000006</v>
      </c>
      <c r="I20" s="15" t="s">
        <v>44</v>
      </c>
      <c r="AC20" s="8" t="s">
        <v>16</v>
      </c>
      <c r="AD20" s="11">
        <v>18812884.359999999</v>
      </c>
    </row>
    <row r="21" spans="1:30" ht="21" x14ac:dyDescent="0.25">
      <c r="A21" s="16" t="s">
        <v>45</v>
      </c>
      <c r="B21" s="3">
        <f t="shared" si="1"/>
        <v>52746917.140000001</v>
      </c>
      <c r="C21" s="4">
        <v>5262903.13</v>
      </c>
      <c r="D21" s="4">
        <v>6856067.6200000001</v>
      </c>
      <c r="E21" s="4">
        <v>7577622.870000001</v>
      </c>
      <c r="F21" s="4">
        <v>879548.39000000013</v>
      </c>
      <c r="G21" s="4">
        <v>20719391.069999997</v>
      </c>
      <c r="H21" s="4">
        <v>11451384.060000001</v>
      </c>
      <c r="I21" s="15" t="s">
        <v>46</v>
      </c>
    </row>
    <row r="22" spans="1:30" ht="21" x14ac:dyDescent="0.25">
      <c r="A22" s="16" t="s">
        <v>47</v>
      </c>
      <c r="B22" s="3">
        <f t="shared" si="1"/>
        <v>40429276.899999999</v>
      </c>
      <c r="C22" s="4">
        <v>5250667.3899999987</v>
      </c>
      <c r="D22" s="4">
        <v>2531124.1200000006</v>
      </c>
      <c r="E22" s="4">
        <v>15591440.539999997</v>
      </c>
      <c r="F22" s="4">
        <v>4019695.0199999991</v>
      </c>
      <c r="G22" s="4">
        <v>7877891.8999999994</v>
      </c>
      <c r="H22" s="4">
        <v>5158457.9300000006</v>
      </c>
      <c r="I22" s="15" t="s">
        <v>48</v>
      </c>
    </row>
    <row r="23" spans="1:30" ht="21" x14ac:dyDescent="0.25">
      <c r="A23" s="16" t="s">
        <v>49</v>
      </c>
      <c r="B23" s="3">
        <f t="shared" si="1"/>
        <v>4594617.17</v>
      </c>
      <c r="C23" s="4">
        <v>80148.81</v>
      </c>
      <c r="D23" s="4">
        <v>2066396.08</v>
      </c>
      <c r="E23" s="4">
        <v>301835.67</v>
      </c>
      <c r="F23" s="4">
        <v>1763.59</v>
      </c>
      <c r="G23" s="4">
        <v>1711206.5599999998</v>
      </c>
      <c r="H23" s="4">
        <v>433266.45999999996</v>
      </c>
      <c r="I23" s="15" t="s">
        <v>50</v>
      </c>
    </row>
    <row r="24" spans="1:30" ht="21" x14ac:dyDescent="0.25">
      <c r="A24" s="16" t="s">
        <v>51</v>
      </c>
      <c r="B24" s="3">
        <f t="shared" si="1"/>
        <v>15574229.49</v>
      </c>
      <c r="C24" s="4">
        <v>273231.75000000006</v>
      </c>
      <c r="D24" s="4">
        <v>7652905.0200000005</v>
      </c>
      <c r="E24" s="4">
        <v>2113684.2200000002</v>
      </c>
      <c r="F24" s="4">
        <v>140277.97</v>
      </c>
      <c r="G24" s="4">
        <v>2503565.7199999997</v>
      </c>
      <c r="H24" s="4">
        <v>2890564.81</v>
      </c>
      <c r="I24" s="15" t="s">
        <v>52</v>
      </c>
    </row>
    <row r="25" spans="1:30" ht="21" x14ac:dyDescent="0.25">
      <c r="A25" s="16" t="s">
        <v>53</v>
      </c>
      <c r="B25" s="3">
        <f t="shared" si="1"/>
        <v>5801563.6899999995</v>
      </c>
      <c r="C25" s="4">
        <v>2366041.8199999998</v>
      </c>
      <c r="D25" s="4">
        <v>1664868.5399999998</v>
      </c>
      <c r="E25" s="4">
        <v>876675.48</v>
      </c>
      <c r="F25" s="4">
        <v>421004.98</v>
      </c>
      <c r="G25" s="4">
        <v>62705.390000000007</v>
      </c>
      <c r="H25" s="4">
        <v>410267.48</v>
      </c>
      <c r="I25" s="15" t="s">
        <v>54</v>
      </c>
    </row>
    <row r="26" spans="1:30" ht="21" x14ac:dyDescent="0.25">
      <c r="A26" s="16" t="s">
        <v>55</v>
      </c>
      <c r="B26" s="3">
        <f t="shared" si="1"/>
        <v>630283.23</v>
      </c>
      <c r="C26" s="4">
        <v>28774.670000000002</v>
      </c>
      <c r="D26" s="4">
        <v>17762.760000000002</v>
      </c>
      <c r="E26" s="4">
        <v>327785.19999999995</v>
      </c>
      <c r="F26" s="4">
        <v>6481.6200000000008</v>
      </c>
      <c r="G26" s="4">
        <v>214938.08000000002</v>
      </c>
      <c r="H26" s="4">
        <v>34540.9</v>
      </c>
      <c r="I26" s="15" t="s">
        <v>56</v>
      </c>
    </row>
    <row r="27" spans="1:30" ht="21" x14ac:dyDescent="0.25">
      <c r="A27" s="16" t="s">
        <v>57</v>
      </c>
      <c r="B27" s="3">
        <f t="shared" si="1"/>
        <v>1116699.8099999996</v>
      </c>
      <c r="C27" s="4">
        <v>156790.15</v>
      </c>
      <c r="D27" s="4">
        <v>852194.01999999967</v>
      </c>
      <c r="E27" s="4">
        <v>36278.260000000009</v>
      </c>
      <c r="F27" s="4">
        <v>412.95</v>
      </c>
      <c r="G27" s="4">
        <v>6632.45</v>
      </c>
      <c r="H27" s="4">
        <v>64391.98</v>
      </c>
      <c r="I27" s="15" t="s">
        <v>58</v>
      </c>
    </row>
    <row r="28" spans="1:30" ht="21" x14ac:dyDescent="0.25">
      <c r="A28" s="16" t="s">
        <v>59</v>
      </c>
      <c r="B28" s="3">
        <f t="shared" si="1"/>
        <v>7318284.9400000013</v>
      </c>
      <c r="C28" s="4">
        <v>902855.75</v>
      </c>
      <c r="D28" s="4">
        <v>3952810.6800000006</v>
      </c>
      <c r="E28" s="4">
        <v>897840.52</v>
      </c>
      <c r="F28" s="4">
        <v>252928.33000000002</v>
      </c>
      <c r="G28" s="4">
        <v>123258.99000000003</v>
      </c>
      <c r="H28" s="4">
        <v>1188590.6700000002</v>
      </c>
      <c r="I28" s="15" t="s">
        <v>60</v>
      </c>
    </row>
    <row r="29" spans="1:30" ht="21" x14ac:dyDescent="0.25">
      <c r="A29" s="17" t="s">
        <v>61</v>
      </c>
      <c r="B29" s="18">
        <f t="shared" si="1"/>
        <v>30023693.520000003</v>
      </c>
      <c r="C29" s="2">
        <v>12132867.780000003</v>
      </c>
      <c r="D29" s="2">
        <v>2079491.29</v>
      </c>
      <c r="E29" s="2">
        <v>2442096.6100000008</v>
      </c>
      <c r="F29" s="2">
        <v>3731307.78</v>
      </c>
      <c r="G29" s="2">
        <v>6334605.5199999986</v>
      </c>
      <c r="H29" s="2">
        <v>3303324.5400000005</v>
      </c>
      <c r="I29" s="19" t="s">
        <v>62</v>
      </c>
    </row>
    <row r="30" spans="1:30" s="9" customFormat="1" x14ac:dyDescent="0.25">
      <c r="A30" s="20" t="s">
        <v>63</v>
      </c>
      <c r="B30" s="20"/>
      <c r="C30" s="21"/>
      <c r="D30" s="21"/>
      <c r="E30" s="21"/>
      <c r="F30" s="21"/>
      <c r="G30" s="21"/>
      <c r="H30" s="21"/>
      <c r="I30" s="22" t="s">
        <v>64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30" s="9" customFormat="1" x14ac:dyDescent="0.25">
      <c r="A31" s="20"/>
      <c r="B31" s="23"/>
      <c r="C31" s="12"/>
      <c r="D31" s="24"/>
      <c r="E31" s="25"/>
      <c r="F31" s="25"/>
      <c r="G31" s="25"/>
      <c r="H31" s="26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30" s="9" customFormat="1" x14ac:dyDescent="0.25">
      <c r="A32" s="27"/>
      <c r="B32" s="23"/>
      <c r="C32" s="12"/>
      <c r="D32" s="28"/>
      <c r="E32" s="29"/>
      <c r="F32" s="29"/>
      <c r="G32" s="29"/>
      <c r="H32" s="30"/>
      <c r="I32" s="31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s="9" customFormat="1" x14ac:dyDescent="0.25">
      <c r="A33" s="23"/>
      <c r="B33" s="23"/>
      <c r="C33" s="12"/>
      <c r="D33" s="32"/>
      <c r="E33" s="1"/>
      <c r="F33" s="1"/>
      <c r="G33" s="1"/>
      <c r="H33" s="33"/>
      <c r="I33" s="32"/>
      <c r="J33" s="34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ht="18" x14ac:dyDescent="0.25">
      <c r="A34" s="52"/>
      <c r="B34" s="52"/>
      <c r="C34" s="52"/>
      <c r="D34" s="52"/>
      <c r="E34" s="52"/>
      <c r="F34" s="52"/>
      <c r="G34" s="52"/>
      <c r="H34" s="52"/>
      <c r="I34" s="52"/>
      <c r="J34" s="34"/>
    </row>
    <row r="35" spans="1:24" s="6" customFormat="1" ht="15.75" x14ac:dyDescent="0.25">
      <c r="A35" s="53"/>
      <c r="B35" s="53"/>
      <c r="C35" s="53"/>
      <c r="D35" s="53"/>
      <c r="E35" s="53"/>
      <c r="F35" s="53"/>
      <c r="G35" s="53"/>
      <c r="H35" s="53"/>
      <c r="I35" s="53"/>
      <c r="J35" s="35"/>
    </row>
    <row r="36" spans="1:24" ht="21" x14ac:dyDescent="0.25">
      <c r="A36" s="54"/>
      <c r="B36" s="54"/>
      <c r="C36" s="54"/>
      <c r="D36" s="54"/>
      <c r="E36" s="54"/>
      <c r="F36" s="54"/>
      <c r="G36" s="54"/>
      <c r="H36" s="54"/>
      <c r="I36" s="54"/>
      <c r="J36" s="34"/>
    </row>
    <row r="37" spans="1:24" x14ac:dyDescent="0.25">
      <c r="A37" s="55"/>
      <c r="B37" s="55"/>
      <c r="C37" s="55"/>
      <c r="D37" s="55"/>
      <c r="E37" s="55"/>
      <c r="F37" s="55"/>
      <c r="G37" s="55"/>
      <c r="H37" s="55"/>
      <c r="I37" s="55"/>
      <c r="J37" s="34"/>
    </row>
    <row r="38" spans="1:24" ht="18.75" x14ac:dyDescent="0.25">
      <c r="A38" s="56"/>
      <c r="B38" s="36"/>
      <c r="C38" s="36"/>
      <c r="D38" s="36"/>
      <c r="E38" s="36"/>
      <c r="F38" s="36"/>
      <c r="G38" s="36"/>
      <c r="H38" s="36"/>
      <c r="I38" s="57"/>
      <c r="J38" s="34"/>
    </row>
    <row r="39" spans="1:24" x14ac:dyDescent="0.25">
      <c r="A39" s="56"/>
      <c r="B39" s="37"/>
      <c r="C39" s="37"/>
      <c r="D39" s="37"/>
      <c r="E39" s="37"/>
      <c r="F39" s="37"/>
      <c r="G39" s="37"/>
      <c r="H39" s="37"/>
      <c r="I39" s="57"/>
      <c r="J39" s="24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</row>
    <row r="40" spans="1:24" ht="21" x14ac:dyDescent="0.25">
      <c r="A40" s="42"/>
      <c r="B40" s="38"/>
      <c r="C40" s="38"/>
      <c r="D40" s="38"/>
      <c r="E40" s="38"/>
      <c r="F40" s="38"/>
      <c r="G40" s="38"/>
      <c r="H40" s="38"/>
      <c r="I40" s="43"/>
      <c r="J40" s="24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</row>
    <row r="41" spans="1:24" ht="21" x14ac:dyDescent="0.25">
      <c r="A41" s="12"/>
      <c r="B41" s="3"/>
      <c r="C41" s="4"/>
      <c r="D41" s="4"/>
      <c r="E41" s="4"/>
      <c r="F41" s="4"/>
      <c r="G41" s="4"/>
      <c r="H41" s="4"/>
      <c r="I41" s="39"/>
      <c r="J41" s="34"/>
    </row>
    <row r="42" spans="1:24" ht="21" x14ac:dyDescent="0.25">
      <c r="A42" s="40"/>
      <c r="B42" s="3"/>
      <c r="C42" s="4"/>
      <c r="D42" s="4"/>
      <c r="E42" s="4"/>
      <c r="F42" s="4"/>
      <c r="G42" s="4"/>
      <c r="H42" s="4"/>
      <c r="I42" s="39"/>
      <c r="J42" s="35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spans="1:24" ht="21" x14ac:dyDescent="0.25">
      <c r="A43" s="40"/>
      <c r="B43" s="3"/>
      <c r="C43" s="4"/>
      <c r="D43" s="4"/>
      <c r="E43" s="4"/>
      <c r="F43" s="4"/>
      <c r="G43" s="4"/>
      <c r="H43" s="4"/>
      <c r="I43" s="39"/>
      <c r="J43" s="34"/>
    </row>
    <row r="44" spans="1:24" ht="21" x14ac:dyDescent="0.25">
      <c r="A44" s="40"/>
      <c r="B44" s="3"/>
      <c r="C44" s="4"/>
      <c r="D44" s="4"/>
      <c r="E44" s="4"/>
      <c r="F44" s="4"/>
      <c r="G44" s="4"/>
      <c r="H44" s="4"/>
      <c r="I44" s="39"/>
      <c r="J44" s="34"/>
    </row>
    <row r="45" spans="1:24" ht="21" x14ac:dyDescent="0.25">
      <c r="A45" s="40"/>
      <c r="B45" s="3"/>
      <c r="C45" s="4"/>
      <c r="D45" s="4"/>
      <c r="E45" s="4"/>
      <c r="F45" s="4"/>
      <c r="G45" s="4"/>
      <c r="H45" s="4"/>
      <c r="I45" s="39"/>
      <c r="J45" s="24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spans="1:24" ht="21" x14ac:dyDescent="0.25">
      <c r="A46" s="40"/>
      <c r="B46" s="3"/>
      <c r="C46" s="4"/>
      <c r="D46" s="4"/>
      <c r="E46" s="4"/>
      <c r="F46" s="4"/>
      <c r="G46" s="4"/>
      <c r="H46" s="4"/>
      <c r="I46" s="39"/>
      <c r="J46" s="34"/>
    </row>
    <row r="47" spans="1:24" ht="21" x14ac:dyDescent="0.25">
      <c r="A47" s="40"/>
      <c r="B47" s="3"/>
      <c r="C47" s="4"/>
      <c r="D47" s="4"/>
      <c r="E47" s="4"/>
      <c r="F47" s="4"/>
      <c r="G47" s="4"/>
      <c r="H47" s="4"/>
      <c r="I47" s="39"/>
      <c r="J47" s="34"/>
    </row>
    <row r="48" spans="1:24" x14ac:dyDescent="0.25">
      <c r="A48" s="20"/>
      <c r="B48" s="20"/>
      <c r="C48" s="21"/>
      <c r="D48" s="21"/>
      <c r="E48" s="21"/>
      <c r="F48" s="21"/>
      <c r="G48" s="21"/>
      <c r="H48" s="21"/>
      <c r="I48" s="22"/>
    </row>
    <row r="49" spans="1:9" x14ac:dyDescent="0.25">
      <c r="A49" s="20"/>
      <c r="B49" s="23"/>
      <c r="C49" s="12"/>
      <c r="D49" s="24"/>
      <c r="E49" s="25"/>
      <c r="F49" s="25"/>
      <c r="G49" s="25"/>
      <c r="H49" s="26"/>
      <c r="I49" s="9"/>
    </row>
    <row r="59" spans="1:9" x14ac:dyDescent="0.25">
      <c r="B59" s="8" t="s">
        <v>13</v>
      </c>
      <c r="C59" s="8" t="s">
        <v>14</v>
      </c>
      <c r="D59" s="8" t="s">
        <v>15</v>
      </c>
      <c r="E59" s="8" t="s">
        <v>16</v>
      </c>
      <c r="F59" s="8" t="s">
        <v>17</v>
      </c>
      <c r="G59" s="8" t="s">
        <v>18</v>
      </c>
    </row>
    <row r="60" spans="1:9" x14ac:dyDescent="0.25">
      <c r="B60" s="11">
        <v>89937464.079999998</v>
      </c>
      <c r="C60" s="11">
        <v>74097648.560000017</v>
      </c>
      <c r="D60" s="11">
        <v>67743119.049999997</v>
      </c>
      <c r="E60" s="11">
        <v>18812884.359999999</v>
      </c>
      <c r="F60" s="11">
        <v>57324348.640000001</v>
      </c>
      <c r="G60" s="11">
        <v>48115376.18</v>
      </c>
    </row>
  </sheetData>
  <sortState ref="AC15:AD20">
    <sortCondition descending="1" ref="AD15:AD20"/>
  </sortState>
  <mergeCells count="12">
    <mergeCell ref="A34:I34"/>
    <mergeCell ref="A35:I35"/>
    <mergeCell ref="A36:I36"/>
    <mergeCell ref="A37:I37"/>
    <mergeCell ref="A38:A39"/>
    <mergeCell ref="I38:I39"/>
    <mergeCell ref="A1:I1"/>
    <mergeCell ref="A2:I2"/>
    <mergeCell ref="A3:I3"/>
    <mergeCell ref="A4:I4"/>
    <mergeCell ref="A5:A6"/>
    <mergeCell ref="I5:I6"/>
  </mergeCells>
  <pageMargins left="0.7" right="0.7" top="0.75" bottom="0.75" header="0.3" footer="0.3"/>
  <pageSetup paperSize="9" scale="76" orientation="landscape" r:id="rId1"/>
  <rowBreaks count="1" manualBreakCount="1">
    <brk id="30" max="8" man="1"/>
  </rowBreaks>
  <colBreaks count="1" manualBreakCount="1">
    <brk id="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9.12</vt:lpstr>
      <vt:lpstr>'9.12'!Print_Area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2017-10-22T07:38:08Z</cp:lastPrinted>
  <dcterms:created xsi:type="dcterms:W3CDTF">2014-03-04T03:52:57Z</dcterms:created>
  <dcterms:modified xsi:type="dcterms:W3CDTF">2017-10-22T07:38:15Z</dcterms:modified>
</cp:coreProperties>
</file>