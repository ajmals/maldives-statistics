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8800" windowHeight="12345" tabRatio="898"/>
  </bookViews>
  <sheets>
    <sheet name="9.11" sheetId="27" r:id="rId1"/>
  </sheets>
  <externalReferences>
    <externalReference r:id="rId2"/>
  </externalReferences>
  <definedNames>
    <definedName name="_xlnm.Print_Area" localSheetId="0">'9.11'!$A$1:$H$42</definedName>
  </definedNames>
  <calcPr calcId="162913"/>
</workbook>
</file>

<file path=xl/calcChain.xml><?xml version="1.0" encoding="utf-8"?>
<calcChain xmlns="http://schemas.openxmlformats.org/spreadsheetml/2006/main">
  <c r="F5" i="27" l="1"/>
  <c r="E5" i="27"/>
  <c r="D5" i="27"/>
  <c r="C5" i="27"/>
  <c r="B5" i="27"/>
</calcChain>
</file>

<file path=xl/sharedStrings.xml><?xml version="1.0" encoding="utf-8"?>
<sst xmlns="http://schemas.openxmlformats.org/spreadsheetml/2006/main" count="69" uniqueCount="46">
  <si>
    <t>Atolls</t>
  </si>
  <si>
    <r>
      <t xml:space="preserve">No. of Fisherman    </t>
    </r>
    <r>
      <rPr>
        <b/>
        <sz val="11"/>
        <color theme="1"/>
        <rFont val="Faruma"/>
      </rPr>
      <t xml:space="preserve">މަސްވެރިންގެ އަދަދު  </t>
    </r>
  </si>
  <si>
    <t xml:space="preserve">އަތޮޅުތައް </t>
  </si>
  <si>
    <t>Atoll total</t>
  </si>
  <si>
    <t>އަޔޮޅުތަކުގެ ޖުމްލަ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</si>
  <si>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</si>
  <si>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</si>
  <si>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</si>
  <si>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</si>
  <si>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</si>
  <si>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</si>
  <si>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</si>
  <si>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</si>
  <si>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</si>
  <si>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</si>
  <si>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</si>
  <si>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</si>
  <si>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</si>
  <si>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</si>
  <si>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</si>
  <si>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 xml:space="preserve"> 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</si>
  <si>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</si>
  <si>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</si>
  <si>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</si>
  <si>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</si>
  <si>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</si>
  <si>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</si>
  <si>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</si>
  <si>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</si>
  <si>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</si>
  <si>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</si>
  <si>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</si>
  <si>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</si>
  <si>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</si>
  <si>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</si>
  <si>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</si>
  <si>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</si>
  <si>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</si>
  <si>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</si>
  <si>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</si>
  <si>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</si>
  <si>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</si>
  <si>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Fisheries and Agriculture</t>
  </si>
  <si>
    <t xml:space="preserve">މައުލޫމާތު ދެއްވި ފަރާތް: މިނިސްޓްރީ އޮފް ފިޝަރީޒް އެންޑް އެގްރިކަލްޗަރ </t>
  </si>
  <si>
    <t>TABLE 9.10: NUMBER OF FISHERMAN BY ATOLL, 2014  - 2016</t>
  </si>
  <si>
    <t>ތާވަލު 9.10: މަސްވެރިންގެ އަދަދު،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</si>
</sst>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\ d\,\ yyyy;@"/>
    <numFmt numFmtId="165" formatCode="General_)"/>
  </numFmts>
  <fonts count="1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Faruma"/>
    </font>
    <font>
      <b/>
      <sz val="11"/>
      <color theme="1"/>
      <name val="Faruma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_Waheed"/>
    </font>
    <font>
      <i/>
      <sz val="9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0" fontId="3" fillId="0" borderId="0" applyFont="0" applyFill="0" applyBorder="0" applyAlignment="0" applyProtection="0"/>
    <xf numFmtId="164" fontId="1" fillId="0" borderId="0"/>
    <xf numFmtId="164" fontId="1" fillId="0" borderId="0"/>
    <xf numFmtId="0" fontId="1" fillId="0" borderId="0"/>
    <xf numFmtId="0" fontId="2" fillId="0" borderId="0"/>
    <xf numFmtId="0" fontId="1" fillId="0" borderId="0"/>
  </cellStyleXfs>
  <cellXfs count="26">
    <xf numFmtId="0" fontId="0" fillId="0" borderId="0" xfId="0"/>
    <xf numFmtId="165" fontId="0" fillId="2" borderId="0" xfId="0" applyNumberFormat="1" applyFill="1"/>
    <xf numFmtId="165" fontId="7" fillId="2" borderId="0" xfId="0" applyNumberFormat="1" applyFont="1" applyFill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0" fontId="6" fillId="2" borderId="2" xfId="0" applyNumberFormat="1" applyFont="1" applyFill="1" applyBorder="1" applyAlignment="1">
      <alignment horizontal="left"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horizontal="right" vertical="center" wrapText="1"/>
    </xf>
    <xf numFmtId="0" fontId="8" fillId="2" borderId="1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left" vertical="center"/>
    </xf>
    <xf numFmtId="38" fontId="9" fillId="2" borderId="0" xfId="1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horizontal="right" vertical="center"/>
    </xf>
    <xf numFmtId="0" fontId="10" fillId="2" borderId="0" xfId="0" applyNumberFormat="1" applyFont="1" applyFill="1" applyAlignment="1">
      <alignment horizontal="left" vertical="center" indent="2"/>
    </xf>
    <xf numFmtId="38" fontId="4" fillId="2" borderId="0" xfId="1" applyNumberFormat="1" applyFont="1" applyFill="1" applyBorder="1" applyAlignment="1">
      <alignment vertical="center"/>
    </xf>
    <xf numFmtId="165" fontId="11" fillId="2" borderId="0" xfId="6" applyNumberFormat="1" applyFont="1" applyFill="1" applyAlignment="1">
      <alignment horizontal="right" vertical="center" indent="1"/>
    </xf>
    <xf numFmtId="1" fontId="10" fillId="2" borderId="0" xfId="0" applyNumberFormat="1" applyFont="1" applyFill="1" applyAlignment="1">
      <alignment horizontal="center" vertical="center" wrapText="1"/>
    </xf>
    <xf numFmtId="165" fontId="5" fillId="2" borderId="0" xfId="0" applyNumberFormat="1" applyFont="1" applyFill="1"/>
    <xf numFmtId="165" fontId="11" fillId="2" borderId="0" xfId="6" applyNumberFormat="1" applyFont="1" applyFill="1" applyBorder="1" applyAlignment="1">
      <alignment horizontal="right" vertical="center" indent="1"/>
    </xf>
    <xf numFmtId="0" fontId="10" fillId="2" borderId="1" xfId="0" applyNumberFormat="1" applyFont="1" applyFill="1" applyBorder="1" applyAlignment="1">
      <alignment horizontal="left" vertical="center" indent="2"/>
    </xf>
    <xf numFmtId="38" fontId="4" fillId="2" borderId="1" xfId="1" applyNumberFormat="1" applyFont="1" applyFill="1" applyBorder="1" applyAlignment="1">
      <alignment vertical="center"/>
    </xf>
    <xf numFmtId="165" fontId="11" fillId="2" borderId="1" xfId="6" applyNumberFormat="1" applyFont="1" applyFill="1" applyBorder="1" applyAlignment="1">
      <alignment horizontal="right" vertical="center" indent="1"/>
    </xf>
    <xf numFmtId="1" fontId="10" fillId="2" borderId="1" xfId="0" applyNumberFormat="1" applyFont="1" applyFill="1" applyBorder="1" applyAlignment="1">
      <alignment horizontal="center" vertical="center" wrapText="1"/>
    </xf>
    <xf numFmtId="165" fontId="12" fillId="2" borderId="0" xfId="0" applyNumberFormat="1" applyFont="1" applyFill="1" applyBorder="1" applyAlignment="1" applyProtection="1">
      <alignment horizontal="left" vertical="center"/>
    </xf>
    <xf numFmtId="0" fontId="13" fillId="2" borderId="0" xfId="0" applyNumberFormat="1" applyFont="1" applyFill="1" applyBorder="1"/>
  </cellXfs>
  <cellStyles count="7">
    <cellStyle name="1" xfId="5"/>
    <cellStyle name="Comma 2" xfId="1"/>
    <cellStyle name="Normal" xfId="0" builtinId="0"/>
    <cellStyle name="Normal 2" xfId="4"/>
    <cellStyle name="Normal 3_agri planning 2009 year book(final)" xfId="3"/>
    <cellStyle name="Normal 4_agri planning 2009 year book(final)" xfId="2"/>
    <cellStyle name="Normal_3 Population." xfId="6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Figure: 9.5: Number of fisherman by Atolls, 2014 - 2016</a:t>
            </a:r>
          </a:p>
        </c:rich>
      </c:tx>
      <c:layout>
        <c:manualLayout>
          <c:xMode val="edge"/>
          <c:yMode val="edge"/>
          <c:x val="0.21377434729119157"/>
          <c:y val="3.56779839819057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21649539057534"/>
          <c:y val="0.18086580196892871"/>
          <c:w val="0.87329396352787891"/>
          <c:h val="0.666537439700771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'9.11'!$D$4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strRef>
              <c:f>'9.11'!$A$6:$A$25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'9.11'!$D$6:$D$25</c:f>
              <c:numCache>
                <c:formatCode>#,##0_);[Red]\(#,##0\)</c:formatCode>
                <c:ptCount val="20"/>
                <c:pt idx="0">
                  <c:v>568.85151227601443</c:v>
                </c:pt>
                <c:pt idx="1">
                  <c:v>388.74236583905287</c:v>
                </c:pt>
                <c:pt idx="2">
                  <c:v>722.4287432247761</c:v>
                </c:pt>
                <c:pt idx="3">
                  <c:v>258.70881416309669</c:v>
                </c:pt>
                <c:pt idx="4">
                  <c:v>655.64619144133758</c:v>
                </c:pt>
                <c:pt idx="5">
                  <c:v>607.51747785096802</c:v>
                </c:pt>
                <c:pt idx="6">
                  <c:v>303.75873892548401</c:v>
                </c:pt>
                <c:pt idx="7">
                  <c:v>484.90924040720427</c:v>
                </c:pt>
                <c:pt idx="8">
                  <c:v>371.31098791591808</c:v>
                </c:pt>
                <c:pt idx="9">
                  <c:v>245.44285641899671</c:v>
                </c:pt>
                <c:pt idx="10">
                  <c:v>78.237457275784237</c:v>
                </c:pt>
                <c:pt idx="11">
                  <c:v>324.99332657730275</c:v>
                </c:pt>
                <c:pt idx="12">
                  <c:v>284.51630875059493</c:v>
                </c:pt>
                <c:pt idx="13">
                  <c:v>344.41686197736726</c:v>
                </c:pt>
                <c:pt idx="14">
                  <c:v>594.52317794463124</c:v>
                </c:pt>
                <c:pt idx="15">
                  <c:v>710.06831160655338</c:v>
                </c:pt>
                <c:pt idx="16">
                  <c:v>656.77809909868381</c:v>
                </c:pt>
                <c:pt idx="17">
                  <c:v>686.61518494633549</c:v>
                </c:pt>
                <c:pt idx="18">
                  <c:v>58.134777281311884</c:v>
                </c:pt>
                <c:pt idx="19">
                  <c:v>250.33269749873324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4-48C6-83E6-FF5332E5C74F}"/>
            </c:ext>
          </c:extLst>
        </c:ser>
        <c:ser>
          <c:idx val="0"/>
          <c:order val="1"/>
          <c:tx>
            <c:strRef>
              <c:f>'9.11'!$E$4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'9.11'!$A$6:$A$25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'9.11'!$E$6:$E$25</c:f>
              <c:numCache>
                <c:formatCode>#,##0_);[Red]\(#,##0\)</c:formatCode>
                <c:ptCount val="20"/>
                <c:pt idx="0">
                  <c:v>523.36913906674647</c:v>
                </c:pt>
                <c:pt idx="1">
                  <c:v>357.66057211294856</c:v>
                </c:pt>
                <c:pt idx="2">
                  <c:v>664.66714286445438</c:v>
                </c:pt>
                <c:pt idx="3">
                  <c:v>238.02381889743629</c:v>
                </c:pt>
                <c:pt idx="4">
                  <c:v>603.22417246303371</c:v>
                </c:pt>
                <c:pt idx="5">
                  <c:v>558.94357752289102</c:v>
                </c:pt>
                <c:pt idx="6">
                  <c:v>279.47178876144551</c:v>
                </c:pt>
                <c:pt idx="7">
                  <c:v>446.13844949099439</c:v>
                </c:pt>
                <c:pt idx="8">
                  <c:v>341.62291543189968</c:v>
                </c:pt>
                <c:pt idx="9">
                  <c:v>225.81853731939134</c:v>
                </c:pt>
                <c:pt idx="10">
                  <c:v>71.982001934681477</c:v>
                </c:pt>
                <c:pt idx="11">
                  <c:v>299.00857053654141</c:v>
                </c:pt>
                <c:pt idx="12">
                  <c:v>261.76788203561244</c:v>
                </c:pt>
                <c:pt idx="13">
                  <c:v>316.87910226685295</c:v>
                </c:pt>
                <c:pt idx="14">
                  <c:v>546.98823345156393</c:v>
                </c:pt>
                <c:pt idx="15">
                  <c:v>653.29498630880175</c:v>
                </c:pt>
                <c:pt idx="16">
                  <c:v>604.26557874102366</c:v>
                </c:pt>
                <c:pt idx="17">
                  <c:v>631.7170482288451</c:v>
                </c:pt>
                <c:pt idx="18">
                  <c:v>53.486626437575801</c:v>
                </c:pt>
                <c:pt idx="19">
                  <c:v>230.31741244030889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4-48C6-83E6-FF5332E5C74F}"/>
            </c:ext>
          </c:extLst>
        </c:ser>
        <c:ser>
          <c:idx val="1"/>
          <c:order val="2"/>
          <c:tx>
            <c:strRef>
              <c:f>'9.11'!$F$4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'9.11'!$A$6:$A$25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'9.11'!$F$6:$F$25</c:f>
              <c:numCache>
                <c:formatCode>#,##0_);[Red]\(#,##0\)</c:formatCode>
                <c:ptCount val="20"/>
                <c:pt idx="0">
                  <c:v>466.18763460825454</c:v>
                </c:pt>
                <c:pt idx="1">
                  <c:v>318.58381333544037</c:v>
                </c:pt>
                <c:pt idx="2">
                  <c:v>592.04790654324313</c:v>
                </c:pt>
                <c:pt idx="3">
                  <c:v>212.01815856029657</c:v>
                </c:pt>
                <c:pt idx="4">
                  <c:v>537.31798286868298</c:v>
                </c:pt>
                <c:pt idx="5">
                  <c:v>497.87533278999985</c:v>
                </c:pt>
                <c:pt idx="6">
                  <c:v>248.93766639499992</c:v>
                </c:pt>
                <c:pt idx="7">
                  <c:v>397.39490342680705</c:v>
                </c:pt>
                <c:pt idx="8">
                  <c:v>304.29837563055514</c:v>
                </c:pt>
                <c:pt idx="9">
                  <c:v>201.14638389138392</c:v>
                </c:pt>
                <c:pt idx="10">
                  <c:v>64.117497023484873</c:v>
                </c:pt>
                <c:pt idx="11">
                  <c:v>266.33992687186014</c:v>
                </c:pt>
                <c:pt idx="12">
                  <c:v>233.16802737012662</c:v>
                </c:pt>
                <c:pt idx="13">
                  <c:v>282.25798602873226</c:v>
                </c:pt>
                <c:pt idx="14">
                  <c:v>487.22618831908551</c:v>
                </c:pt>
                <c:pt idx="15">
                  <c:v>581.91823253432483</c:v>
                </c:pt>
                <c:pt idx="16">
                  <c:v>538.24560869367531</c:v>
                </c:pt>
                <c:pt idx="17">
                  <c:v>562.69782544047905</c:v>
                </c:pt>
                <c:pt idx="18">
                  <c:v>47.642862371617213</c:v>
                </c:pt>
                <c:pt idx="19">
                  <c:v>205.15372745535169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24-48C6-83E6-FF5332E5C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45824"/>
        <c:axId val="51651712"/>
      </c:barChart>
      <c:catAx>
        <c:axId val="5164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1651712"/>
        <c:crosses val="autoZero"/>
        <c:auto val="1"/>
        <c:lblAlgn val="ctr"/>
        <c:lblOffset val="100"/>
        <c:noMultiLvlLbl val="0"/>
      </c:catAx>
      <c:valAx>
        <c:axId val="516517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196286529165841E-3"/>
              <c:y val="0.36092650115983205"/>
            </c:manualLayout>
          </c:layout>
          <c:overlay val="0"/>
        </c:title>
        <c:numFmt formatCode="#,##0_);[Red]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164582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392432708370303"/>
          <c:y val="0.23884353905303121"/>
          <c:w val="0.26660477599997406"/>
          <c:h val="0.1140960573001989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1028699</xdr:colOff>
      <xdr:row>31</xdr:row>
      <xdr:rowOff>38100</xdr:rowOff>
    </xdr:from>
    <xdr:to>
      <xdr:col>6</xdr:col>
      <xdr:colOff>838199</xdr:colOff>
      <xdr:row>31</xdr:row>
      <xdr:rowOff>47625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028699" y="7829550"/>
          <a:ext cx="713422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126365</xdr:colOff>
      <xdr:row>26</xdr:row>
      <xdr:rowOff>125712</xdr:rowOff>
    </xdr:from>
    <xdr:to>
      <xdr:col>6</xdr:col>
      <xdr:colOff>891574</xdr:colOff>
      <xdr:row>41</xdr:row>
      <xdr:rowOff>12700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724330</xdr:colOff>
      <xdr:row>28</xdr:row>
      <xdr:rowOff>67791</xdr:rowOff>
    </xdr:from>
    <xdr:to>
      <xdr:col>6</xdr:col>
      <xdr:colOff>33894</xdr:colOff>
      <xdr:row>28</xdr:row>
      <xdr:rowOff>67791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613330" y="5592291"/>
          <a:ext cx="4707064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Checking/9.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>
            <v>2014</v>
          </cell>
          <cell r="E4">
            <v>2015</v>
          </cell>
          <cell r="F4">
            <v>2016</v>
          </cell>
        </row>
        <row r="6">
          <cell r="A6" t="str">
            <v>HA</v>
          </cell>
          <cell r="D6">
            <v>568.85151227601443</v>
          </cell>
          <cell r="E6">
            <v>523.36913906674647</v>
          </cell>
          <cell r="F6">
            <v>466.18763460825454</v>
          </cell>
        </row>
        <row r="7">
          <cell r="A7" t="str">
            <v>HDh</v>
          </cell>
          <cell r="D7">
            <v>388.74236583905287</v>
          </cell>
          <cell r="E7">
            <v>357.66057211294856</v>
          </cell>
          <cell r="F7">
            <v>318.58381333544037</v>
          </cell>
        </row>
        <row r="8">
          <cell r="A8" t="str">
            <v>Sh</v>
          </cell>
          <cell r="D8">
            <v>722.4287432247761</v>
          </cell>
          <cell r="E8">
            <v>664.66714286445438</v>
          </cell>
          <cell r="F8">
            <v>592.04790654324313</v>
          </cell>
        </row>
        <row r="9">
          <cell r="A9" t="str">
            <v>N</v>
          </cell>
          <cell r="D9">
            <v>258.70881416309669</v>
          </cell>
          <cell r="E9">
            <v>238.02381889743629</v>
          </cell>
          <cell r="F9">
            <v>212.01815856029657</v>
          </cell>
        </row>
        <row r="10">
          <cell r="A10" t="str">
            <v>R</v>
          </cell>
          <cell r="D10">
            <v>655.64619144133758</v>
          </cell>
          <cell r="E10">
            <v>603.22417246303371</v>
          </cell>
          <cell r="F10">
            <v>537.31798286868298</v>
          </cell>
        </row>
        <row r="11">
          <cell r="A11" t="str">
            <v>B</v>
          </cell>
          <cell r="D11">
            <v>607.51747785096802</v>
          </cell>
          <cell r="E11">
            <v>558.94357752289102</v>
          </cell>
          <cell r="F11">
            <v>497.87533278999985</v>
          </cell>
        </row>
        <row r="12">
          <cell r="A12" t="str">
            <v>Lh</v>
          </cell>
          <cell r="D12">
            <v>303.75873892548401</v>
          </cell>
          <cell r="E12">
            <v>279.47178876144551</v>
          </cell>
          <cell r="F12">
            <v>248.93766639499992</v>
          </cell>
        </row>
        <row r="13">
          <cell r="A13" t="str">
            <v>K</v>
          </cell>
          <cell r="D13">
            <v>484.90924040720427</v>
          </cell>
          <cell r="E13">
            <v>446.13844949099439</v>
          </cell>
          <cell r="F13">
            <v>397.39490342680705</v>
          </cell>
        </row>
        <row r="14">
          <cell r="A14" t="str">
            <v>AA</v>
          </cell>
          <cell r="D14">
            <v>371.31098791591808</v>
          </cell>
          <cell r="E14">
            <v>341.62291543189968</v>
          </cell>
          <cell r="F14">
            <v>304.29837563055514</v>
          </cell>
        </row>
        <row r="15">
          <cell r="A15" t="str">
            <v>ADh</v>
          </cell>
          <cell r="D15">
            <v>245.44285641899671</v>
          </cell>
          <cell r="E15">
            <v>225.81853731939134</v>
          </cell>
          <cell r="F15">
            <v>201.14638389138392</v>
          </cell>
        </row>
        <row r="16">
          <cell r="A16" t="str">
            <v>V</v>
          </cell>
          <cell r="D16">
            <v>78.237457275784237</v>
          </cell>
          <cell r="E16">
            <v>71.982001934681477</v>
          </cell>
          <cell r="F16">
            <v>64.117497023484873</v>
          </cell>
        </row>
        <row r="17">
          <cell r="A17" t="str">
            <v>M</v>
          </cell>
          <cell r="D17">
            <v>324.99332657730275</v>
          </cell>
          <cell r="E17">
            <v>299.00857053654141</v>
          </cell>
          <cell r="F17">
            <v>266.33992687186014</v>
          </cell>
        </row>
        <row r="18">
          <cell r="A18" t="str">
            <v>F</v>
          </cell>
          <cell r="D18">
            <v>284.51630875059493</v>
          </cell>
          <cell r="E18">
            <v>261.76788203561244</v>
          </cell>
          <cell r="F18">
            <v>233.16802737012662</v>
          </cell>
        </row>
        <row r="19">
          <cell r="A19" t="str">
            <v>Dh</v>
          </cell>
          <cell r="D19">
            <v>344.41686197736726</v>
          </cell>
          <cell r="E19">
            <v>316.87910226685295</v>
          </cell>
          <cell r="F19">
            <v>282.25798602873226</v>
          </cell>
        </row>
        <row r="20">
          <cell r="A20" t="str">
            <v>Th</v>
          </cell>
          <cell r="D20">
            <v>594.52317794463124</v>
          </cell>
          <cell r="E20">
            <v>546.98823345156393</v>
          </cell>
          <cell r="F20">
            <v>487.22618831908551</v>
          </cell>
        </row>
        <row r="21">
          <cell r="A21" t="str">
            <v>L</v>
          </cell>
          <cell r="D21">
            <v>710.06831160655338</v>
          </cell>
          <cell r="E21">
            <v>653.29498630880175</v>
          </cell>
          <cell r="F21">
            <v>581.91823253432483</v>
          </cell>
        </row>
        <row r="22">
          <cell r="A22" t="str">
            <v>GA</v>
          </cell>
          <cell r="D22">
            <v>656.77809909868381</v>
          </cell>
          <cell r="E22">
            <v>604.26557874102366</v>
          </cell>
          <cell r="F22">
            <v>538.24560869367531</v>
          </cell>
        </row>
        <row r="23">
          <cell r="A23" t="str">
            <v>GDh</v>
          </cell>
          <cell r="D23">
            <v>686.61518494633549</v>
          </cell>
          <cell r="E23">
            <v>631.7170482288451</v>
          </cell>
          <cell r="F23">
            <v>562.69782544047905</v>
          </cell>
        </row>
        <row r="24">
          <cell r="A24" t="str">
            <v>Gn</v>
          </cell>
          <cell r="D24">
            <v>58.134777281311884</v>
          </cell>
          <cell r="E24">
            <v>53.486626437575801</v>
          </cell>
          <cell r="F24">
            <v>47.642862371617213</v>
          </cell>
        </row>
        <row r="25">
          <cell r="A25" t="str">
            <v>S</v>
          </cell>
          <cell r="D25">
            <v>250.33269749873324</v>
          </cell>
          <cell r="E25">
            <v>230.31741244030889</v>
          </cell>
          <cell r="F25">
            <v>205.15372745535169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26"/>
  <sheetViews>
    <sheetView tabSelected="1" zoomScaleNormal="100" workbookViewId="0">
      <selection activeCell="S21" sqref="S21"/>
    </sheetView>
  </sheetViews>
  <sheetFormatPr defaultColWidth="10" defaultRowHeight="15" x14ac:dyDescent="0.25"/>
  <cols>
    <col min="1" max="1" width="13.42578125" style="1" customWidth="1"/>
    <col min="2" max="6" width="16.28515625" style="1" customWidth="1"/>
    <col min="7" max="7" width="14.42578125" style="1" customWidth="1"/>
    <col min="8" max="8" width="1.85546875" style="1" customWidth="1"/>
    <col min="9" max="16384" width="10" style="1"/>
  </cols>
  <sheetData>
    <row r="1" spans="1:30" ht="21" x14ac:dyDescent="0.25">
      <c r="A1" s="2" t="s">
        <v>45</v>
      </c>
      <c r="B1" s="2"/>
      <c r="C1" s="2"/>
      <c r="D1" s="2"/>
      <c r="E1" s="2"/>
      <c r="F1" s="2"/>
      <c r="G1" s="2"/>
    </row>
    <row r="2" spans="1:30" s="4" customFormat="1" x14ac:dyDescent="0.25">
      <c r="A2" s="3" t="s">
        <v>44</v>
      </c>
      <c r="B2" s="3"/>
      <c r="C2" s="3"/>
      <c r="D2" s="3"/>
      <c r="E2" s="3"/>
      <c r="F2" s="3"/>
      <c r="G2" s="3"/>
    </row>
    <row r="3" spans="1:30" s="4" customFormat="1" ht="15" customHeight="1" x14ac:dyDescent="0.25">
      <c r="A3" s="5" t="s">
        <v>0</v>
      </c>
      <c r="B3" s="6" t="s">
        <v>1</v>
      </c>
      <c r="C3" s="6"/>
      <c r="D3" s="6"/>
      <c r="E3" s="6"/>
      <c r="F3" s="6"/>
      <c r="G3" s="7" t="s">
        <v>2</v>
      </c>
    </row>
    <row r="4" spans="1:30" x14ac:dyDescent="0.25">
      <c r="A4" s="8"/>
      <c r="B4" s="9">
        <v>2012</v>
      </c>
      <c r="C4" s="9">
        <v>2013</v>
      </c>
      <c r="D4" s="9">
        <v>2014</v>
      </c>
      <c r="E4" s="9">
        <v>2015</v>
      </c>
      <c r="F4" s="9">
        <v>2016</v>
      </c>
      <c r="G4" s="10"/>
    </row>
    <row r="5" spans="1:30" ht="21" x14ac:dyDescent="0.25">
      <c r="A5" s="11" t="s">
        <v>3</v>
      </c>
      <c r="B5" s="12">
        <f>SUM(B6:B25)</f>
        <v>9973.2153715049062</v>
      </c>
      <c r="C5" s="12">
        <f>SUM(C6:C25)</f>
        <v>9284.1709889907397</v>
      </c>
      <c r="D5" s="12">
        <f>SUM(D6:D25)</f>
        <v>8595.9331314201481</v>
      </c>
      <c r="E5" s="12">
        <f>SUM(E6:E25)</f>
        <v>7908.6475563130498</v>
      </c>
      <c r="F5" s="12">
        <f>SUM(F6:F25)</f>
        <v>7044.5760401584021</v>
      </c>
      <c r="G5" s="13" t="s">
        <v>4</v>
      </c>
      <c r="AC5" s="1">
        <v>2013</v>
      </c>
      <c r="AD5" s="1">
        <v>2014</v>
      </c>
    </row>
    <row r="6" spans="1:30" x14ac:dyDescent="0.25">
      <c r="A6" s="14" t="s">
        <v>5</v>
      </c>
      <c r="B6" s="15">
        <v>659.99566999861804</v>
      </c>
      <c r="C6" s="15">
        <v>614.39690450965031</v>
      </c>
      <c r="D6" s="15">
        <v>568.85151227601443</v>
      </c>
      <c r="E6" s="15">
        <v>523.36913906674647</v>
      </c>
      <c r="F6" s="15">
        <v>466.18763460825454</v>
      </c>
      <c r="G6" s="16" t="s">
        <v>6</v>
      </c>
      <c r="AB6" s="14" t="s">
        <v>5</v>
      </c>
      <c r="AC6" s="17">
        <v>614.39690450965031</v>
      </c>
      <c r="AD6" s="17">
        <v>568.85151227601443</v>
      </c>
    </row>
    <row r="7" spans="1:30" x14ac:dyDescent="0.25">
      <c r="A7" s="14" t="s">
        <v>7</v>
      </c>
      <c r="B7" s="15">
        <v>451.02855958358282</v>
      </c>
      <c r="C7" s="15">
        <v>419.86722557464651</v>
      </c>
      <c r="D7" s="15">
        <v>388.74236583905287</v>
      </c>
      <c r="E7" s="15">
        <v>357.66057211294856</v>
      </c>
      <c r="F7" s="15">
        <v>318.58381333544037</v>
      </c>
      <c r="G7" s="16" t="s">
        <v>8</v>
      </c>
      <c r="AB7" s="14" t="s">
        <v>7</v>
      </c>
      <c r="AC7" s="17">
        <v>419.86722557464651</v>
      </c>
      <c r="AD7" s="17">
        <v>388.74236583905287</v>
      </c>
    </row>
    <row r="8" spans="1:30" x14ac:dyDescent="0.25">
      <c r="A8" s="14" t="s">
        <v>9</v>
      </c>
      <c r="B8" s="15">
        <v>838.17979230324352</v>
      </c>
      <c r="C8" s="15">
        <v>780.27037634160934</v>
      </c>
      <c r="D8" s="15">
        <v>722.4287432247761</v>
      </c>
      <c r="E8" s="15">
        <v>664.66714286445438</v>
      </c>
      <c r="F8" s="15">
        <v>592.04790654324313</v>
      </c>
      <c r="G8" s="16" t="s">
        <v>10</v>
      </c>
      <c r="I8" s="18"/>
      <c r="AB8" s="14" t="s">
        <v>9</v>
      </c>
      <c r="AC8" s="17">
        <v>780.27037634160934</v>
      </c>
      <c r="AD8" s="17">
        <v>722.4287432247761</v>
      </c>
    </row>
    <row r="9" spans="1:30" x14ac:dyDescent="0.25">
      <c r="A9" s="14" t="s">
        <v>11</v>
      </c>
      <c r="B9" s="15">
        <v>300.16039942471377</v>
      </c>
      <c r="C9" s="15">
        <v>279.42246994334147</v>
      </c>
      <c r="D9" s="15">
        <v>258.70881416309669</v>
      </c>
      <c r="E9" s="15">
        <v>238.02381889743629</v>
      </c>
      <c r="F9" s="15">
        <v>212.01815856029657</v>
      </c>
      <c r="G9" s="16" t="s">
        <v>12</v>
      </c>
      <c r="AB9" s="14" t="s">
        <v>11</v>
      </c>
      <c r="AC9" s="17">
        <v>279.42246994334147</v>
      </c>
      <c r="AD9" s="17">
        <v>258.70881416309669</v>
      </c>
    </row>
    <row r="10" spans="1:30" x14ac:dyDescent="0.25">
      <c r="A10" s="14" t="s">
        <v>13</v>
      </c>
      <c r="B10" s="15">
        <v>760.6970150628772</v>
      </c>
      <c r="C10" s="15">
        <v>708.14084481090788</v>
      </c>
      <c r="D10" s="15">
        <v>655.64619144133758</v>
      </c>
      <c r="E10" s="15">
        <v>603.22417246303371</v>
      </c>
      <c r="F10" s="15">
        <v>537.31798286868298</v>
      </c>
      <c r="G10" s="16" t="s">
        <v>14</v>
      </c>
      <c r="AB10" s="14" t="s">
        <v>13</v>
      </c>
      <c r="AC10" s="17">
        <v>708.14084481090788</v>
      </c>
      <c r="AD10" s="17">
        <v>655.64619144133758</v>
      </c>
    </row>
    <row r="11" spans="1:30" x14ac:dyDescent="0.25">
      <c r="A11" s="14" t="s">
        <v>15</v>
      </c>
      <c r="B11" s="15">
        <v>704.85688475337929</v>
      </c>
      <c r="C11" s="15">
        <v>656.15868073149386</v>
      </c>
      <c r="D11" s="15">
        <v>607.51747785096802</v>
      </c>
      <c r="E11" s="15">
        <v>558.94357752289102</v>
      </c>
      <c r="F11" s="15">
        <v>497.87533278999985</v>
      </c>
      <c r="G11" s="16" t="s">
        <v>16</v>
      </c>
      <c r="AB11" s="14" t="s">
        <v>15</v>
      </c>
      <c r="AC11" s="17">
        <v>656.15868073149386</v>
      </c>
      <c r="AD11" s="17">
        <v>607.51747785096802</v>
      </c>
    </row>
    <row r="12" spans="1:30" x14ac:dyDescent="0.25">
      <c r="A12" s="14" t="s">
        <v>17</v>
      </c>
      <c r="B12" s="15">
        <v>352.42844237668965</v>
      </c>
      <c r="C12" s="15">
        <v>328.07934036574693</v>
      </c>
      <c r="D12" s="15">
        <v>303.75873892548401</v>
      </c>
      <c r="E12" s="15">
        <v>279.47178876144551</v>
      </c>
      <c r="F12" s="15">
        <v>248.93766639499992</v>
      </c>
      <c r="G12" s="16" t="s">
        <v>18</v>
      </c>
      <c r="AB12" s="14" t="s">
        <v>17</v>
      </c>
      <c r="AC12" s="17">
        <v>328.07934036574693</v>
      </c>
      <c r="AD12" s="17">
        <v>303.75873892548401</v>
      </c>
    </row>
    <row r="13" spans="1:30" x14ac:dyDescent="0.25">
      <c r="A13" s="14" t="s">
        <v>19</v>
      </c>
      <c r="B13" s="15">
        <v>562.60375880971026</v>
      </c>
      <c r="C13" s="15">
        <v>523.73375097885662</v>
      </c>
      <c r="D13" s="15">
        <v>484.90924040720427</v>
      </c>
      <c r="E13" s="15">
        <v>446.13844949099439</v>
      </c>
      <c r="F13" s="15">
        <v>397.39490342680705</v>
      </c>
      <c r="G13" s="16" t="s">
        <v>20</v>
      </c>
      <c r="AB13" s="14" t="s">
        <v>19</v>
      </c>
      <c r="AC13" s="17">
        <v>523.73375097885662</v>
      </c>
      <c r="AD13" s="17">
        <v>484.90924040720427</v>
      </c>
    </row>
    <row r="14" spans="1:30" x14ac:dyDescent="0.25">
      <c r="A14" s="14" t="s">
        <v>21</v>
      </c>
      <c r="B14" s="15">
        <v>430.80424145643639</v>
      </c>
      <c r="C14" s="15">
        <v>401.0401953107006</v>
      </c>
      <c r="D14" s="15">
        <v>371.31098791591808</v>
      </c>
      <c r="E14" s="15">
        <v>341.62291543189968</v>
      </c>
      <c r="F14" s="15">
        <v>304.29837563055514</v>
      </c>
      <c r="G14" s="16" t="s">
        <v>22</v>
      </c>
      <c r="AB14" s="14" t="s">
        <v>21</v>
      </c>
      <c r="AC14" s="17">
        <v>401.0401953107006</v>
      </c>
      <c r="AD14" s="17">
        <v>371.31098791591808</v>
      </c>
    </row>
    <row r="15" spans="1:30" x14ac:dyDescent="0.25">
      <c r="A15" s="14" t="s">
        <v>23</v>
      </c>
      <c r="B15" s="15">
        <v>284.76890536950879</v>
      </c>
      <c r="C15" s="15">
        <v>265.09436639181905</v>
      </c>
      <c r="D15" s="15">
        <v>245.44285641899671</v>
      </c>
      <c r="E15" s="15">
        <v>225.81853731939134</v>
      </c>
      <c r="F15" s="15">
        <v>201.14638389138392</v>
      </c>
      <c r="G15" s="16" t="s">
        <v>24</v>
      </c>
      <c r="AB15" s="14" t="s">
        <v>23</v>
      </c>
      <c r="AC15" s="17">
        <v>265.09436639181905</v>
      </c>
      <c r="AD15" s="17">
        <v>245.44285641899671</v>
      </c>
    </row>
    <row r="16" spans="1:30" x14ac:dyDescent="0.25">
      <c r="A16" s="14" t="s">
        <v>25</v>
      </c>
      <c r="B16" s="15">
        <v>90.773043438205349</v>
      </c>
      <c r="C16" s="15">
        <v>84.501579989865959</v>
      </c>
      <c r="D16" s="15">
        <v>78.237457275784237</v>
      </c>
      <c r="E16" s="15">
        <v>71.982001934681477</v>
      </c>
      <c r="F16" s="15">
        <v>64.117497023484873</v>
      </c>
      <c r="G16" s="16" t="s">
        <v>26</v>
      </c>
      <c r="AB16" s="14" t="s">
        <v>25</v>
      </c>
      <c r="AC16" s="17">
        <v>84.501579989865959</v>
      </c>
      <c r="AD16" s="17">
        <v>78.237457275784237</v>
      </c>
    </row>
    <row r="17" spans="1:30" x14ac:dyDescent="0.25">
      <c r="A17" s="14" t="s">
        <v>27</v>
      </c>
      <c r="B17" s="15">
        <v>377.06533900430441</v>
      </c>
      <c r="C17" s="15">
        <v>351.01408632364451</v>
      </c>
      <c r="D17" s="15">
        <v>324.99332657730275</v>
      </c>
      <c r="E17" s="15">
        <v>299.00857053654141</v>
      </c>
      <c r="F17" s="15">
        <v>266.33992687186014</v>
      </c>
      <c r="G17" s="16" t="s">
        <v>28</v>
      </c>
      <c r="AB17" s="14" t="s">
        <v>27</v>
      </c>
      <c r="AC17" s="17">
        <v>351.01408632364451</v>
      </c>
      <c r="AD17" s="17">
        <v>324.99332657730275</v>
      </c>
    </row>
    <row r="18" spans="1:30" x14ac:dyDescent="0.25">
      <c r="A18" s="14" t="s">
        <v>29</v>
      </c>
      <c r="B18" s="15">
        <v>330.10289639217729</v>
      </c>
      <c r="C18" s="15">
        <v>307.29625500944303</v>
      </c>
      <c r="D18" s="15">
        <v>284.51630875059493</v>
      </c>
      <c r="E18" s="15">
        <v>261.76788203561244</v>
      </c>
      <c r="F18" s="15">
        <v>233.16802737012662</v>
      </c>
      <c r="G18" s="16" t="s">
        <v>30</v>
      </c>
      <c r="AB18" s="14" t="s">
        <v>29</v>
      </c>
      <c r="AC18" s="17">
        <v>307.29625500944303</v>
      </c>
      <c r="AD18" s="17">
        <v>284.51630875059493</v>
      </c>
    </row>
    <row r="19" spans="1:30" x14ac:dyDescent="0.25">
      <c r="A19" s="14" t="s">
        <v>31</v>
      </c>
      <c r="B19" s="15">
        <v>399.6010077745533</v>
      </c>
      <c r="C19" s="15">
        <v>371.99277718918427</v>
      </c>
      <c r="D19" s="15">
        <v>344.41686197736726</v>
      </c>
      <c r="E19" s="15">
        <v>316.87910226685295</v>
      </c>
      <c r="F19" s="15">
        <v>282.25798602873226</v>
      </c>
      <c r="G19" s="16" t="s">
        <v>32</v>
      </c>
      <c r="AB19" s="14" t="s">
        <v>31</v>
      </c>
      <c r="AC19" s="17">
        <v>371.99277718918427</v>
      </c>
      <c r="AD19" s="17">
        <v>344.41686197736726</v>
      </c>
    </row>
    <row r="20" spans="1:30" x14ac:dyDescent="0.25">
      <c r="A20" s="14" t="s">
        <v>33</v>
      </c>
      <c r="B20" s="15">
        <v>689.78057487677927</v>
      </c>
      <c r="C20" s="15">
        <v>642.12398544382518</v>
      </c>
      <c r="D20" s="15">
        <v>594.52317794463124</v>
      </c>
      <c r="E20" s="15">
        <v>546.98823345156393</v>
      </c>
      <c r="F20" s="15">
        <v>487.22618831908551</v>
      </c>
      <c r="G20" s="16" t="s">
        <v>34</v>
      </c>
      <c r="AB20" s="14" t="s">
        <v>33</v>
      </c>
      <c r="AC20" s="17">
        <v>642.12398544382518</v>
      </c>
      <c r="AD20" s="17">
        <v>594.52317794463124</v>
      </c>
    </row>
    <row r="21" spans="1:30" x14ac:dyDescent="0.25">
      <c r="A21" s="14" t="s">
        <v>18</v>
      </c>
      <c r="B21" s="15">
        <v>823.83891217672146</v>
      </c>
      <c r="C21" s="15">
        <v>766.92030033626611</v>
      </c>
      <c r="D21" s="15">
        <v>710.06831160655338</v>
      </c>
      <c r="E21" s="15">
        <v>653.29498630880175</v>
      </c>
      <c r="F21" s="15">
        <v>581.91823253432483</v>
      </c>
      <c r="G21" s="16" t="s">
        <v>35</v>
      </c>
      <c r="AB21" s="14" t="s">
        <v>18</v>
      </c>
      <c r="AC21" s="17">
        <v>766.92030033626611</v>
      </c>
      <c r="AD21" s="17">
        <v>710.06831160655338</v>
      </c>
    </row>
    <row r="22" spans="1:30" x14ac:dyDescent="0.25">
      <c r="A22" s="14" t="s">
        <v>36</v>
      </c>
      <c r="B22" s="15">
        <v>762.01028247373074</v>
      </c>
      <c r="C22" s="15">
        <v>709.36337924363147</v>
      </c>
      <c r="D22" s="15">
        <v>656.77809909868381</v>
      </c>
      <c r="E22" s="15">
        <v>604.26557874102366</v>
      </c>
      <c r="F22" s="15">
        <v>538.24560869367531</v>
      </c>
      <c r="G22" s="16" t="s">
        <v>37</v>
      </c>
      <c r="AB22" s="14" t="s">
        <v>36</v>
      </c>
      <c r="AC22" s="17">
        <v>709.36337924363147</v>
      </c>
      <c r="AD22" s="17">
        <v>656.77809909868381</v>
      </c>
    </row>
    <row r="23" spans="1:30" x14ac:dyDescent="0.25">
      <c r="A23" s="14" t="s">
        <v>38</v>
      </c>
      <c r="B23" s="15">
        <v>796.62801142383341</v>
      </c>
      <c r="C23" s="15">
        <v>741.58938689022978</v>
      </c>
      <c r="D23" s="15">
        <v>686.61518494633549</v>
      </c>
      <c r="E23" s="15">
        <v>631.7170482288451</v>
      </c>
      <c r="F23" s="15">
        <v>562.69782544047905</v>
      </c>
      <c r="G23" s="19" t="s">
        <v>39</v>
      </c>
      <c r="AB23" s="14" t="s">
        <v>38</v>
      </c>
      <c r="AC23" s="17">
        <v>741.58938689022978</v>
      </c>
      <c r="AD23" s="17">
        <v>686.61518494633549</v>
      </c>
    </row>
    <row r="24" spans="1:30" x14ac:dyDescent="0.25">
      <c r="A24" s="14" t="s">
        <v>40</v>
      </c>
      <c r="B24" s="15">
        <v>67.449414221444258</v>
      </c>
      <c r="C24" s="15">
        <v>62.78936846469206</v>
      </c>
      <c r="D24" s="15">
        <v>58.134777281311884</v>
      </c>
      <c r="E24" s="15">
        <v>53.486626437575801</v>
      </c>
      <c r="F24" s="15">
        <v>47.642862371617213</v>
      </c>
      <c r="G24" s="19" t="s">
        <v>11</v>
      </c>
      <c r="AB24" s="14" t="s">
        <v>40</v>
      </c>
      <c r="AC24" s="17">
        <v>62.78936846469206</v>
      </c>
      <c r="AD24" s="17">
        <v>58.134777281311884</v>
      </c>
    </row>
    <row r="25" spans="1:30" x14ac:dyDescent="0.25">
      <c r="A25" s="20" t="s">
        <v>10</v>
      </c>
      <c r="B25" s="21">
        <v>290.44222058439664</v>
      </c>
      <c r="C25" s="21">
        <v>270.37571514118571</v>
      </c>
      <c r="D25" s="21">
        <v>250.33269749873324</v>
      </c>
      <c r="E25" s="21">
        <v>230.31741244030889</v>
      </c>
      <c r="F25" s="21">
        <v>205.15372745535169</v>
      </c>
      <c r="G25" s="22" t="s">
        <v>41</v>
      </c>
      <c r="AB25" s="20" t="s">
        <v>10</v>
      </c>
      <c r="AC25" s="23">
        <v>270.37571514118571</v>
      </c>
      <c r="AD25" s="23">
        <v>250.33269749873324</v>
      </c>
    </row>
    <row r="26" spans="1:30" ht="18" x14ac:dyDescent="0.45">
      <c r="A26" s="24" t="s">
        <v>42</v>
      </c>
      <c r="G26" s="25" t="s">
        <v>43</v>
      </c>
    </row>
  </sheetData>
  <mergeCells count="5">
    <mergeCell ref="A1:G1"/>
    <mergeCell ref="A2:G2"/>
    <mergeCell ref="A3:A4"/>
    <mergeCell ref="B3:F3"/>
    <mergeCell ref="G3:G4"/>
  </mergeCells>
  <pageMargins left="0.7" right="0.7" top="0.75" bottom="0.75" header="0.3" footer="0.3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9.11</vt:lpstr>
      <vt:lpstr>'9.11'!Print_Area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2017-10-23T08:17:39Z</cp:lastPrinted>
  <dcterms:created xsi:type="dcterms:W3CDTF">2014-03-04T03:52:57Z</dcterms:created>
  <dcterms:modified xsi:type="dcterms:W3CDTF">2017-10-23T08:18:31Z</dcterms:modified>
</cp:coreProperties>
</file>