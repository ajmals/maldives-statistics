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6" sheetId="11" r:id="rId1"/>
  </sheets>
  <externalReferences>
    <externalReference r:id="rId2"/>
    <externalReference r:id="rId3"/>
  </externalReferences>
  <definedNames>
    <definedName name="_xlnm.Print_Area" localSheetId="0">'9.6'!$A$1:$O$56</definedName>
  </definedNames>
  <calcPr calcId="162913"/>
</workbook>
</file>

<file path=xl/calcChain.xml><?xml version="1.0" encoding="utf-8"?>
<calcChain xmlns="http://schemas.openxmlformats.org/spreadsheetml/2006/main">
  <c r="N48" i="11" l="1"/>
  <c r="N41" i="11"/>
  <c r="N34" i="11"/>
  <c r="N27" i="11"/>
  <c r="N20" i="11"/>
  <c r="N13" i="11"/>
  <c r="N12" i="11"/>
  <c r="N11" i="11"/>
  <c r="N10" i="11"/>
  <c r="N9" i="11"/>
  <c r="N8" i="11"/>
  <c r="N7" i="11"/>
  <c r="N6" i="11" l="1"/>
  <c r="L9" i="11" l="1"/>
  <c r="H9" i="11"/>
  <c r="I9" i="11"/>
  <c r="J9" i="11"/>
  <c r="K9" i="11"/>
  <c r="H10" i="11"/>
  <c r="I10" i="11"/>
  <c r="J10" i="11"/>
  <c r="K10" i="11"/>
  <c r="G9" i="11"/>
  <c r="G10" i="11"/>
  <c r="L8" i="11" l="1"/>
  <c r="L7" i="11"/>
  <c r="L10" i="11"/>
  <c r="M10" i="11"/>
  <c r="M9" i="11"/>
  <c r="M7" i="11" l="1"/>
  <c r="M8" i="11"/>
  <c r="M11" i="11"/>
  <c r="M12" i="11"/>
  <c r="M13" i="11"/>
  <c r="M20" i="11"/>
  <c r="M27" i="11"/>
  <c r="M34" i="11"/>
  <c r="M41" i="11"/>
  <c r="M48" i="11"/>
  <c r="M6" i="11" l="1"/>
  <c r="K8" i="11" l="1"/>
  <c r="F60" i="11" l="1"/>
  <c r="L48" i="11"/>
  <c r="K48" i="11"/>
  <c r="J48" i="11"/>
  <c r="I48" i="11"/>
  <c r="H48" i="11"/>
  <c r="G48" i="11"/>
  <c r="F48" i="11"/>
  <c r="E48" i="11"/>
  <c r="D48" i="11"/>
  <c r="C48" i="11"/>
  <c r="L41" i="11"/>
  <c r="K41" i="11"/>
  <c r="J41" i="11"/>
  <c r="I41" i="11"/>
  <c r="H41" i="11"/>
  <c r="G41" i="11"/>
  <c r="F41" i="11"/>
  <c r="E41" i="11"/>
  <c r="D41" i="11"/>
  <c r="C41" i="11"/>
  <c r="L34" i="11"/>
  <c r="K34" i="11"/>
  <c r="J34" i="11"/>
  <c r="I34" i="11"/>
  <c r="H34" i="11"/>
  <c r="G34" i="11"/>
  <c r="F34" i="11"/>
  <c r="E34" i="11"/>
  <c r="D34" i="11"/>
  <c r="C34" i="11"/>
  <c r="L27" i="11"/>
  <c r="K27" i="11"/>
  <c r="J27" i="11"/>
  <c r="I27" i="11"/>
  <c r="H27" i="11"/>
  <c r="G27" i="11"/>
  <c r="F27" i="11"/>
  <c r="E27" i="11"/>
  <c r="D27" i="11"/>
  <c r="C27" i="11"/>
  <c r="L20" i="11"/>
  <c r="K20" i="11"/>
  <c r="J20" i="11"/>
  <c r="I20" i="11"/>
  <c r="H20" i="11"/>
  <c r="G20" i="11"/>
  <c r="F20" i="11"/>
  <c r="E20" i="11"/>
  <c r="D20" i="11"/>
  <c r="C20" i="11"/>
  <c r="L13" i="11"/>
  <c r="K13" i="11"/>
  <c r="J13" i="11"/>
  <c r="I13" i="11"/>
  <c r="H13" i="11"/>
  <c r="G13" i="11"/>
  <c r="F13" i="11"/>
  <c r="E13" i="11"/>
  <c r="D13" i="11"/>
  <c r="L12" i="11"/>
  <c r="K12" i="11"/>
  <c r="J12" i="11"/>
  <c r="I12" i="11"/>
  <c r="H12" i="11"/>
  <c r="G12" i="11"/>
  <c r="F12" i="11"/>
  <c r="E12" i="11"/>
  <c r="D12" i="11"/>
  <c r="C12" i="11"/>
  <c r="L11" i="11"/>
  <c r="K11" i="11"/>
  <c r="J11" i="11"/>
  <c r="I11" i="11"/>
  <c r="H11" i="11"/>
  <c r="G11" i="11"/>
  <c r="F11" i="11"/>
  <c r="E11" i="11"/>
  <c r="D11" i="11"/>
  <c r="C11" i="11"/>
  <c r="J8" i="11"/>
  <c r="I8" i="11"/>
  <c r="H8" i="11"/>
  <c r="G8" i="11"/>
  <c r="F8" i="11"/>
  <c r="E8" i="11"/>
  <c r="D8" i="11"/>
  <c r="C8" i="11"/>
  <c r="K7" i="11"/>
  <c r="J7" i="11"/>
  <c r="I7" i="11"/>
  <c r="H7" i="11"/>
  <c r="G7" i="11"/>
  <c r="F7" i="11"/>
  <c r="E7" i="11"/>
  <c r="D7" i="11"/>
  <c r="C7" i="11"/>
  <c r="L6" i="11" l="1"/>
  <c r="K6" i="11"/>
  <c r="E6" i="11"/>
  <c r="I6" i="11"/>
  <c r="J6" i="11"/>
  <c r="D6" i="11"/>
  <c r="G6" i="11"/>
  <c r="H6" i="11"/>
  <c r="F6" i="11"/>
  <c r="C6" i="11"/>
  <c r="C13" i="11"/>
</calcChain>
</file>

<file path=xl/sharedStrings.xml><?xml version="1.0" encoding="utf-8"?>
<sst xmlns="http://schemas.openxmlformats.org/spreadsheetml/2006/main" count="114" uniqueCount="35">
  <si>
    <t>-</t>
  </si>
  <si>
    <t>Source: Ministry of Fisheries  and Agriculture</t>
  </si>
  <si>
    <t xml:space="preserve"> rwCclwkircgea cDcnea  czIrwxif cfoa IrcTcsinim :ctWrwf ivcaedutWmUluAwm</t>
  </si>
  <si>
    <t>EEZ</t>
  </si>
  <si>
    <t>(cnunwT ckircTem)</t>
  </si>
  <si>
    <t>cswmwlibuLwk</t>
  </si>
  <si>
    <t>ilencnwk</t>
  </si>
  <si>
    <t>ilencnwk uDobOl</t>
  </si>
  <si>
    <t>cswmurwf cnehinehea</t>
  </si>
  <si>
    <t>Yellowfin tuna</t>
  </si>
  <si>
    <t>Bigeye tuna</t>
  </si>
  <si>
    <t>Skipjack</t>
  </si>
  <si>
    <t>Other tuna related species</t>
  </si>
  <si>
    <t>Other Marine Fishes</t>
  </si>
  <si>
    <t>(In metric tons)</t>
  </si>
  <si>
    <t xml:space="preserve"> cnudcawHwrws IdWBitcqia</t>
  </si>
  <si>
    <t>Type of vessel &amp; species</t>
  </si>
  <si>
    <t>ctwvWb eguhwm iaWdnwLua</t>
  </si>
  <si>
    <t>All Vessels</t>
  </si>
  <si>
    <t>urwhwf udnwLua Whiruh</t>
  </si>
  <si>
    <t>cswm iSov idwa iDnogWr ,iTcawl</t>
  </si>
  <si>
    <t>Mechanised Masdhoni</t>
  </si>
  <si>
    <t>inOd cswm iLea unIjcnia</t>
  </si>
  <si>
    <t>Sail Masdhoni</t>
  </si>
  <si>
    <t>inOdcswm ulwyir</t>
  </si>
  <si>
    <t>Vadhu dhoni</t>
  </si>
  <si>
    <t>inOd udwv</t>
  </si>
  <si>
    <t>Rowing Boats</t>
  </si>
  <si>
    <t>Wrukcaob</t>
  </si>
  <si>
    <t>Miscellaneous</t>
  </si>
  <si>
    <t>cnutogctog cnehinehea</t>
  </si>
  <si>
    <t>Albacore</t>
  </si>
  <si>
    <t>ilencnwk ugid ctwfcnwk</t>
  </si>
  <si>
    <t>Table 9.6 :  FISH CATCH BY TYPE OF VESSELS AND SPECIES, 2009 - 2016</t>
  </si>
  <si>
    <t>2016 - 2009 ,cswminEb wtwvun ifih cnutog egutwvWb eguhwm iaWncnutog egudnwLua : 9.6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</si>
</sst>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mmmm\ d\,\ yyyy;@"/>
    <numFmt numFmtId="165" formatCode="General_)"/>
    <numFmt numFmtId="166" formatCode="0.0"/>
    <numFmt numFmtId="169" formatCode="#,##0.0_);[Red]\(#,##0.0\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b/>
      <sz val="10"/>
      <name val="Calibri"/>
      <family val="2"/>
    </font>
    <font>
      <sz val="10"/>
      <name val="Faruma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A_Waheed"/>
    </font>
    <font>
      <b/>
      <sz val="10"/>
      <name val="A_Waheed"/>
    </font>
    <font>
      <sz val="10"/>
      <name val="A_Waheed"/>
    </font>
    <font>
      <b/>
      <sz val="9"/>
      <name val="A_Waheed"/>
    </font>
    <font>
      <sz val="9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0" fontId="6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9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4" fillId="0" borderId="0"/>
  </cellStyleXfs>
  <cellXfs count="68">
    <xf numFmtId="0" fontId="0" fillId="0" borderId="0" xfId="0"/>
    <xf numFmtId="165" fontId="12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5" fillId="2" borderId="0" xfId="4" applyFont="1" applyFill="1" applyAlignment="1">
      <alignment vertical="center"/>
    </xf>
    <xf numFmtId="165" fontId="10" fillId="2" borderId="0" xfId="4" applyFont="1" applyFill="1" applyAlignment="1">
      <alignment vertical="center"/>
    </xf>
    <xf numFmtId="165" fontId="18" fillId="2" borderId="0" xfId="4" applyFont="1" applyFill="1" applyAlignment="1" applyProtection="1">
      <alignment horizontal="left" vertical="center"/>
    </xf>
    <xf numFmtId="165" fontId="3" fillId="2" borderId="0" xfId="4" applyFont="1" applyFill="1" applyAlignment="1">
      <alignment vertical="center"/>
    </xf>
    <xf numFmtId="165" fontId="16" fillId="2" borderId="0" xfId="4" applyFont="1" applyFill="1" applyAlignment="1">
      <alignment vertical="center"/>
    </xf>
    <xf numFmtId="165" fontId="17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13" fillId="2" borderId="0" xfId="4" applyFont="1" applyFill="1" applyAlignment="1" applyProtection="1">
      <alignment horizontal="left" vertical="center"/>
    </xf>
    <xf numFmtId="165" fontId="4" fillId="2" borderId="0" xfId="4" applyFont="1" applyFill="1" applyAlignment="1">
      <alignment vertical="center"/>
    </xf>
    <xf numFmtId="165" fontId="5" fillId="2" borderId="0" xfId="4" applyFont="1" applyFill="1" applyAlignment="1" applyProtection="1">
      <alignment horizontal="left" vertical="center"/>
    </xf>
    <xf numFmtId="1" fontId="4" fillId="2" borderId="0" xfId="4" applyNumberFormat="1" applyFont="1" applyFill="1" applyAlignment="1">
      <alignment vertical="center"/>
    </xf>
    <xf numFmtId="165" fontId="9" fillId="2" borderId="0" xfId="4" applyFont="1" applyFill="1" applyAlignment="1">
      <alignment horizontal="centerContinuous" vertical="center"/>
    </xf>
    <xf numFmtId="165" fontId="15" fillId="2" borderId="0" xfId="4" applyFont="1" applyFill="1" applyAlignment="1">
      <alignment horizontal="centerContinuous" vertical="center"/>
    </xf>
    <xf numFmtId="165" fontId="7" fillId="2" borderId="0" xfId="4" applyFont="1" applyFill="1" applyAlignment="1" applyProtection="1">
      <alignment horizontal="left" vertical="center"/>
    </xf>
    <xf numFmtId="165" fontId="7" fillId="2" borderId="1" xfId="4" applyFont="1" applyFill="1" applyBorder="1" applyAlignment="1" applyProtection="1">
      <alignment horizontal="left" vertical="center"/>
    </xf>
    <xf numFmtId="165" fontId="17" fillId="2" borderId="0" xfId="4" applyFont="1" applyFill="1" applyAlignment="1">
      <alignment horizontal="right" vertical="center"/>
    </xf>
    <xf numFmtId="165" fontId="9" fillId="2" borderId="0" xfId="4" applyFont="1" applyFill="1" applyAlignment="1">
      <alignment horizontal="right" vertical="center"/>
    </xf>
    <xf numFmtId="165" fontId="8" fillId="2" borderId="0" xfId="4" applyFont="1" applyFill="1" applyAlignment="1">
      <alignment horizontal="centerContinuous" vertical="center" wrapText="1"/>
    </xf>
    <xf numFmtId="165" fontId="11" fillId="2" borderId="0" xfId="4" applyFont="1" applyFill="1" applyAlignment="1">
      <alignment horizontal="centerContinuous" vertical="center"/>
    </xf>
    <xf numFmtId="165" fontId="9" fillId="2" borderId="0" xfId="4" applyFont="1" applyFill="1" applyAlignment="1" applyProtection="1">
      <alignment horizontal="centerContinuous" vertical="center"/>
    </xf>
    <xf numFmtId="165" fontId="20" fillId="2" borderId="0" xfId="4" applyFont="1" applyFill="1" applyAlignment="1">
      <alignment horizontal="centerContinuous" vertical="center"/>
    </xf>
    <xf numFmtId="165" fontId="5" fillId="2" borderId="0" xfId="4" applyFont="1" applyFill="1" applyAlignment="1">
      <alignment horizontal="centerContinuous" vertical="center"/>
    </xf>
    <xf numFmtId="165" fontId="5" fillId="2" borderId="2" xfId="4" applyFont="1" applyFill="1" applyBorder="1" applyAlignment="1" applyProtection="1">
      <alignment horizontal="right" vertical="center"/>
    </xf>
    <xf numFmtId="38" fontId="13" fillId="2" borderId="0" xfId="7" applyNumberFormat="1" applyFont="1" applyFill="1" applyAlignment="1" applyProtection="1">
      <alignment horizontal="right" vertical="center"/>
    </xf>
    <xf numFmtId="38" fontId="5" fillId="2" borderId="0" xfId="7" applyNumberFormat="1" applyFont="1" applyFill="1" applyAlignment="1" applyProtection="1">
      <alignment horizontal="right" vertical="center"/>
    </xf>
    <xf numFmtId="38" fontId="5" fillId="2" borderId="0" xfId="1" applyNumberFormat="1" applyFont="1" applyFill="1" applyAlignment="1" applyProtection="1">
      <alignment horizontal="right" vertical="center"/>
    </xf>
    <xf numFmtId="9" fontId="10" fillId="2" borderId="0" xfId="6" applyFont="1" applyFill="1" applyAlignment="1">
      <alignment vertical="center"/>
    </xf>
    <xf numFmtId="38" fontId="7" fillId="2" borderId="0" xfId="7" applyNumberFormat="1" applyFont="1" applyFill="1" applyAlignment="1" applyProtection="1">
      <alignment horizontal="right" vertical="center"/>
      <protection locked="0"/>
    </xf>
    <xf numFmtId="38" fontId="11" fillId="2" borderId="0" xfId="7" applyNumberFormat="1" applyFont="1" applyFill="1" applyAlignment="1" applyProtection="1">
      <alignment horizontal="right" vertical="center"/>
      <protection locked="0"/>
    </xf>
    <xf numFmtId="38" fontId="11" fillId="2" borderId="0" xfId="1" applyNumberFormat="1" applyFont="1" applyFill="1" applyAlignment="1" applyProtection="1">
      <alignment horizontal="right" vertical="center"/>
      <protection locked="0"/>
    </xf>
    <xf numFmtId="165" fontId="13" fillId="2" borderId="0" xfId="4" applyFont="1" applyFill="1" applyAlignment="1">
      <alignment horizontal="left" vertical="center"/>
    </xf>
    <xf numFmtId="165" fontId="7" fillId="2" borderId="0" xfId="4" applyFont="1" applyFill="1" applyAlignment="1">
      <alignment horizontal="left" vertical="center"/>
    </xf>
    <xf numFmtId="38" fontId="13" fillId="2" borderId="0" xfId="7" applyNumberFormat="1" applyFont="1" applyFill="1" applyBorder="1" applyAlignment="1" applyProtection="1">
      <alignment horizontal="right" vertical="center"/>
    </xf>
    <xf numFmtId="38" fontId="11" fillId="2" borderId="0" xfId="7" applyNumberFormat="1" applyFont="1" applyFill="1" applyAlignment="1" applyProtection="1">
      <alignment horizontal="right" vertical="center"/>
    </xf>
    <xf numFmtId="169" fontId="15" fillId="2" borderId="0" xfId="7" applyNumberFormat="1" applyFont="1" applyFill="1" applyAlignment="1" applyProtection="1">
      <alignment horizontal="right" vertical="center"/>
    </xf>
    <xf numFmtId="169" fontId="15" fillId="2" borderId="0" xfId="1" applyNumberFormat="1" applyFont="1" applyFill="1" applyAlignment="1" applyProtection="1">
      <alignment horizontal="right" vertical="center"/>
    </xf>
    <xf numFmtId="38" fontId="7" fillId="2" borderId="0" xfId="7" applyNumberFormat="1" applyFont="1" applyFill="1" applyAlignment="1" applyProtection="1">
      <alignment horizontal="right" vertical="center"/>
    </xf>
    <xf numFmtId="38" fontId="11" fillId="2" borderId="0" xfId="1" applyNumberFormat="1" applyFont="1" applyFill="1" applyAlignment="1" applyProtection="1">
      <alignment horizontal="right" vertical="center"/>
    </xf>
    <xf numFmtId="38" fontId="7" fillId="2" borderId="1" xfId="7" applyNumberFormat="1" applyFont="1" applyFill="1" applyBorder="1" applyAlignment="1" applyProtection="1">
      <alignment horizontal="right" vertical="center"/>
      <protection locked="0"/>
    </xf>
    <xf numFmtId="38" fontId="11" fillId="2" borderId="1" xfId="7" applyNumberFormat="1" applyFont="1" applyFill="1" applyBorder="1" applyAlignment="1" applyProtection="1">
      <alignment horizontal="right" vertical="center"/>
      <protection locked="0"/>
    </xf>
    <xf numFmtId="38" fontId="11" fillId="2" borderId="1" xfId="1" applyNumberFormat="1" applyFont="1" applyFill="1" applyBorder="1" applyAlignment="1" applyProtection="1">
      <alignment horizontal="right" vertical="center"/>
      <protection locked="0"/>
    </xf>
    <xf numFmtId="165" fontId="21" fillId="2" borderId="0" xfId="4" applyFont="1" applyFill="1" applyAlignment="1" applyProtection="1">
      <alignment horizontal="left" vertical="center"/>
    </xf>
    <xf numFmtId="165" fontId="7" fillId="2" borderId="0" xfId="4" applyFont="1" applyFill="1" applyAlignment="1">
      <alignment vertical="center"/>
    </xf>
    <xf numFmtId="165" fontId="11" fillId="2" borderId="0" xfId="4" applyFont="1" applyFill="1" applyAlignment="1">
      <alignment vertical="center"/>
    </xf>
    <xf numFmtId="1" fontId="14" fillId="2" borderId="0" xfId="4" applyNumberFormat="1" applyFont="1" applyFill="1" applyAlignment="1">
      <alignment vertical="center" readingOrder="2"/>
    </xf>
    <xf numFmtId="38" fontId="9" fillId="2" borderId="0" xfId="7" applyNumberFormat="1" applyFont="1" applyFill="1" applyAlignment="1" applyProtection="1">
      <alignment horizontal="right" vertical="center"/>
    </xf>
    <xf numFmtId="165" fontId="5" fillId="2" borderId="0" xfId="4" applyFont="1" applyFill="1" applyAlignment="1">
      <alignment vertical="center"/>
    </xf>
    <xf numFmtId="165" fontId="5" fillId="2" borderId="0" xfId="4" applyFont="1" applyFill="1" applyAlignment="1">
      <alignment horizontal="left" vertical="center"/>
    </xf>
    <xf numFmtId="165" fontId="13" fillId="2" borderId="2" xfId="4" applyFont="1" applyFill="1" applyBorder="1" applyAlignment="1" applyProtection="1">
      <alignment horizontal="left" vertical="center"/>
    </xf>
    <xf numFmtId="165" fontId="13" fillId="2" borderId="2" xfId="4" applyFont="1" applyFill="1" applyBorder="1" applyAlignment="1" applyProtection="1">
      <alignment horizontal="right" vertical="center"/>
    </xf>
    <xf numFmtId="1" fontId="10" fillId="2" borderId="0" xfId="4" applyNumberFormat="1" applyFont="1" applyFill="1" applyAlignment="1">
      <alignment vertical="center"/>
    </xf>
    <xf numFmtId="1" fontId="0" fillId="2" borderId="0" xfId="4" applyNumberFormat="1" applyFont="1" applyFill="1" applyAlignment="1">
      <alignment vertical="center"/>
    </xf>
    <xf numFmtId="166" fontId="10" fillId="2" borderId="0" xfId="4" applyNumberFormat="1" applyFont="1" applyFill="1" applyAlignment="1">
      <alignment vertical="center"/>
    </xf>
    <xf numFmtId="165" fontId="24" fillId="2" borderId="0" xfId="0" applyNumberFormat="1" applyFont="1" applyFill="1" applyAlignment="1">
      <alignment horizontal="right" vertical="center"/>
    </xf>
    <xf numFmtId="165" fontId="25" fillId="2" borderId="0" xfId="4" applyFont="1" applyFill="1" applyAlignment="1">
      <alignment horizontal="right" vertical="center"/>
    </xf>
    <xf numFmtId="165" fontId="26" fillId="2" borderId="0" xfId="4" applyFont="1" applyFill="1" applyBorder="1" applyAlignment="1">
      <alignment horizontal="right" vertical="center"/>
    </xf>
    <xf numFmtId="165" fontId="23" fillId="2" borderId="2" xfId="4" applyFont="1" applyFill="1" applyBorder="1" applyAlignment="1">
      <alignment horizontal="right" vertical="center"/>
    </xf>
    <xf numFmtId="165" fontId="26" fillId="2" borderId="0" xfId="4" applyFont="1" applyFill="1" applyAlignment="1">
      <alignment horizontal="right" vertical="center"/>
    </xf>
    <xf numFmtId="165" fontId="26" fillId="2" borderId="1" xfId="4" applyFont="1" applyFill="1" applyBorder="1" applyAlignment="1">
      <alignment horizontal="right" vertical="center"/>
    </xf>
    <xf numFmtId="165" fontId="23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/>
    </xf>
    <xf numFmtId="38" fontId="11" fillId="2" borderId="1" xfId="1" applyNumberFormat="1" applyFont="1" applyFill="1" applyBorder="1" applyAlignment="1" applyProtection="1">
      <alignment horizontal="right" vertical="center"/>
    </xf>
    <xf numFmtId="0" fontId="5" fillId="2" borderId="0" xfId="0" applyFont="1" applyFill="1" applyAlignment="1">
      <alignment horizontal="left"/>
    </xf>
    <xf numFmtId="165" fontId="22" fillId="2" borderId="0" xfId="4" applyFont="1" applyFill="1" applyAlignment="1">
      <alignment horizontal="center" vertical="center"/>
    </xf>
    <xf numFmtId="165" fontId="19" fillId="2" borderId="0" xfId="4" applyFont="1" applyFill="1" applyAlignment="1" applyProtection="1">
      <alignment horizontal="center" vertical="center"/>
    </xf>
  </cellXfs>
  <cellStyles count="9">
    <cellStyle name="1" xfId="8"/>
    <cellStyle name="Comma 2" xfId="1"/>
    <cellStyle name="Comma_Fish &amp;  Agri - 8" xfId="7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  <cellStyle name="Percent" xfId="6" builtinId="5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ocuments\Agri_SYB%202017%20_%20for%20Recheck%20_4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8"/>
      <sheetName val="9.19"/>
      <sheetName val="9.20"/>
    </sheetNames>
    <sheetDataSet>
      <sheetData sheetId="0">
        <row r="6">
          <cell r="F6">
            <v>2012</v>
          </cell>
          <cell r="G6">
            <v>2013</v>
          </cell>
          <cell r="H6">
            <v>2014</v>
          </cell>
        </row>
        <row r="8">
          <cell r="A8" t="str">
            <v>January</v>
          </cell>
          <cell r="F8">
            <v>13736.8205</v>
          </cell>
          <cell r="G8">
            <v>5494.0505000000003</v>
          </cell>
          <cell r="H8">
            <v>3075.7</v>
          </cell>
        </row>
        <row r="9">
          <cell r="A9" t="str">
            <v>February</v>
          </cell>
          <cell r="F9">
            <v>13129.5085</v>
          </cell>
          <cell r="G9">
            <v>6652.4795000000004</v>
          </cell>
          <cell r="H9">
            <v>2827.83</v>
          </cell>
        </row>
        <row r="10">
          <cell r="A10" t="str">
            <v>March</v>
          </cell>
          <cell r="F10">
            <v>10113.8855</v>
          </cell>
          <cell r="G10">
            <v>2169.9749999999999</v>
          </cell>
          <cell r="H10">
            <v>4973.7240000000002</v>
          </cell>
        </row>
        <row r="11">
          <cell r="A11" t="str">
            <v>April</v>
          </cell>
          <cell r="F11">
            <v>8310.6272499999995</v>
          </cell>
          <cell r="G11">
            <v>4903.4449999999997</v>
          </cell>
          <cell r="H11">
            <v>3393.68</v>
          </cell>
        </row>
        <row r="12">
          <cell r="A12" t="str">
            <v>May</v>
          </cell>
          <cell r="F12">
            <v>9784.75</v>
          </cell>
          <cell r="G12">
            <v>1682.45</v>
          </cell>
          <cell r="H12">
            <v>1162.385</v>
          </cell>
        </row>
        <row r="13">
          <cell r="A13" t="str">
            <v>June</v>
          </cell>
          <cell r="F13" t="str">
            <v>-</v>
          </cell>
          <cell r="G13">
            <v>629.17499999999995</v>
          </cell>
          <cell r="H13">
            <v>135.19999999999999</v>
          </cell>
        </row>
        <row r="14">
          <cell r="A14" t="str">
            <v>July</v>
          </cell>
          <cell r="F14">
            <v>7576.585</v>
          </cell>
          <cell r="G14" t="str">
            <v>-</v>
          </cell>
          <cell r="H14">
            <v>10021.85</v>
          </cell>
        </row>
        <row r="15">
          <cell r="A15" t="str">
            <v>August</v>
          </cell>
          <cell r="F15">
            <v>4974.5874999999996</v>
          </cell>
          <cell r="G15" t="str">
            <v>-</v>
          </cell>
          <cell r="H15">
            <v>921.5</v>
          </cell>
        </row>
        <row r="16">
          <cell r="A16" t="str">
            <v>September</v>
          </cell>
          <cell r="F16" t="str">
            <v>-</v>
          </cell>
          <cell r="G16">
            <v>7582.9790000000003</v>
          </cell>
          <cell r="H16">
            <v>1818.71</v>
          </cell>
        </row>
        <row r="17">
          <cell r="A17" t="str">
            <v>October</v>
          </cell>
          <cell r="F17">
            <v>3558.34175</v>
          </cell>
          <cell r="G17">
            <v>3918.48</v>
          </cell>
          <cell r="H17">
            <v>1463.45</v>
          </cell>
        </row>
        <row r="18">
          <cell r="A18" t="str">
            <v>November</v>
          </cell>
          <cell r="F18">
            <v>9511.2639999999992</v>
          </cell>
          <cell r="G18">
            <v>386.66500000000002</v>
          </cell>
          <cell r="H18">
            <v>2034.43</v>
          </cell>
        </row>
        <row r="19">
          <cell r="A19" t="str">
            <v>December</v>
          </cell>
          <cell r="F19">
            <v>8162.64</v>
          </cell>
          <cell r="G19">
            <v>1173.1075000000001</v>
          </cell>
          <cell r="H19">
            <v>1197.5820000000001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U72"/>
  <sheetViews>
    <sheetView tabSelected="1" topLeftCell="A16" zoomScaleNormal="100" workbookViewId="0">
      <selection activeCell="T25" sqref="T25"/>
    </sheetView>
  </sheetViews>
  <sheetFormatPr defaultColWidth="8.85546875" defaultRowHeight="12.75" x14ac:dyDescent="0.25"/>
  <cols>
    <col min="1" max="1" width="24.7109375" style="11" customWidth="1"/>
    <col min="2" max="2" width="0" style="11" hidden="1" customWidth="1"/>
    <col min="3" max="6" width="0" style="46" hidden="1" customWidth="1"/>
    <col min="7" max="7" width="12.7109375" style="46" customWidth="1"/>
    <col min="8" max="8" width="13" style="46" customWidth="1"/>
    <col min="9" max="9" width="13.28515625" style="46" customWidth="1"/>
    <col min="10" max="10" width="13" style="46" customWidth="1"/>
    <col min="11" max="14" width="12.7109375" style="46" customWidth="1"/>
    <col min="15" max="15" width="26.5703125" style="13" customWidth="1"/>
    <col min="16" max="16" width="10.7109375" style="11" customWidth="1"/>
    <col min="17" max="26" width="7.7109375" style="11" customWidth="1"/>
    <col min="27" max="32" width="8.85546875" style="11"/>
    <col min="33" max="33" width="22.28515625" style="11" bestFit="1" customWidth="1"/>
    <col min="34" max="16384" width="8.85546875" style="11"/>
  </cols>
  <sheetData>
    <row r="1" spans="1:47" s="6" customFormat="1" ht="18.75" x14ac:dyDescent="0.25">
      <c r="A1" s="66" t="s">
        <v>34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s="19" customFormat="1" ht="15.75" x14ac:dyDescent="0.25">
      <c r="A2" s="67" t="s">
        <v>33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 s="7" customFormat="1" ht="15" x14ac:dyDescent="0.25">
      <c r="A3" s="20" t="s">
        <v>4</v>
      </c>
      <c r="B3" s="1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1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9" customFormat="1" x14ac:dyDescent="0.25">
      <c r="A4" s="22" t="s">
        <v>14</v>
      </c>
      <c r="B4" s="14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14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 s="6" customFormat="1" ht="15" x14ac:dyDescent="0.25">
      <c r="A5" s="51" t="s">
        <v>16</v>
      </c>
      <c r="B5" s="52">
        <v>2001</v>
      </c>
      <c r="C5" s="25">
        <v>2005</v>
      </c>
      <c r="D5" s="25">
        <v>2006</v>
      </c>
      <c r="E5" s="25">
        <v>2007</v>
      </c>
      <c r="F5" s="25">
        <v>2008</v>
      </c>
      <c r="G5" s="25">
        <v>2009</v>
      </c>
      <c r="H5" s="25">
        <v>2010</v>
      </c>
      <c r="I5" s="25">
        <v>2011</v>
      </c>
      <c r="J5" s="25">
        <v>2012</v>
      </c>
      <c r="K5" s="25">
        <v>2013</v>
      </c>
      <c r="L5" s="25">
        <v>2014</v>
      </c>
      <c r="M5" s="25">
        <v>2015</v>
      </c>
      <c r="N5" s="25">
        <v>2016</v>
      </c>
      <c r="O5" s="59" t="s">
        <v>17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s="7" customFormat="1" ht="14.25" x14ac:dyDescent="0.25">
      <c r="A6" s="10" t="s">
        <v>18</v>
      </c>
      <c r="B6" s="26">
        <v>127183.61479999998</v>
      </c>
      <c r="C6" s="27">
        <f t="shared" ref="C6:I6" si="0">SUM(C7:C12)</f>
        <v>185923.17831394161</v>
      </c>
      <c r="D6" s="27">
        <f t="shared" si="0"/>
        <v>184158.33595340699</v>
      </c>
      <c r="E6" s="27">
        <f t="shared" si="0"/>
        <v>144168.53105676401</v>
      </c>
      <c r="F6" s="27">
        <f t="shared" si="0"/>
        <v>132574.40869348601</v>
      </c>
      <c r="G6" s="27">
        <f t="shared" si="0"/>
        <v>116735.86113909399</v>
      </c>
      <c r="H6" s="27">
        <f t="shared" si="0"/>
        <v>122175.13745201226</v>
      </c>
      <c r="I6" s="27">
        <f t="shared" si="0"/>
        <v>120836.03177447295</v>
      </c>
      <c r="J6" s="28">
        <f>SUM(J7:J12)</f>
        <v>120000.9293957201</v>
      </c>
      <c r="K6" s="27">
        <f>SUM(K7:K12)</f>
        <v>129843.14697257294</v>
      </c>
      <c r="L6" s="27">
        <f>SUM(L7:L12)</f>
        <v>128683.22700000007</v>
      </c>
      <c r="M6" s="27">
        <f>SUM(M7:M12)</f>
        <v>127351.81848143297</v>
      </c>
      <c r="N6" s="27">
        <f>SUM(N7:N12)</f>
        <v>129190.99510655231</v>
      </c>
      <c r="O6" s="57" t="s">
        <v>19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7" customFormat="1" ht="14.25" x14ac:dyDescent="0.25">
      <c r="A7" s="10" t="s">
        <v>11</v>
      </c>
      <c r="B7" s="26">
        <v>88043.980999999985</v>
      </c>
      <c r="C7" s="28">
        <f>C14+C28+C21+C35+C42+P42+C49</f>
        <v>131998.24460528136</v>
      </c>
      <c r="D7" s="28">
        <f t="shared" ref="D7:N8" si="1">D14+D28+D21+D35+D42+AE42+D49</f>
        <v>138458.46836881002</v>
      </c>
      <c r="E7" s="28">
        <f t="shared" si="1"/>
        <v>97341.775686480003</v>
      </c>
      <c r="F7" s="28">
        <f t="shared" si="1"/>
        <v>87072.147384053998</v>
      </c>
      <c r="G7" s="28">
        <f t="shared" si="1"/>
        <v>66188.623245449984</v>
      </c>
      <c r="H7" s="28">
        <f t="shared" si="1"/>
        <v>73721.291915422247</v>
      </c>
      <c r="I7" s="28">
        <f t="shared" si="1"/>
        <v>57671.721671346953</v>
      </c>
      <c r="J7" s="28">
        <f t="shared" si="1"/>
        <v>53391.68768908034</v>
      </c>
      <c r="K7" s="28">
        <f t="shared" si="1"/>
        <v>74421.630037020906</v>
      </c>
      <c r="L7" s="28">
        <f t="shared" si="1"/>
        <v>68521.958485088442</v>
      </c>
      <c r="M7" s="28">
        <f t="shared" si="1"/>
        <v>69244.324399131321</v>
      </c>
      <c r="N7" s="28">
        <f t="shared" si="1"/>
        <v>69589.480938961424</v>
      </c>
      <c r="O7" s="57" t="s">
        <v>5</v>
      </c>
      <c r="P7" s="29"/>
      <c r="Q7" s="4"/>
      <c r="R7" s="4"/>
      <c r="S7" s="4"/>
      <c r="T7" s="4"/>
      <c r="U7" s="4"/>
      <c r="V7" s="4"/>
      <c r="W7" s="4"/>
      <c r="X7" s="4"/>
      <c r="Y7" s="4"/>
      <c r="Z7" s="29"/>
      <c r="AA7" s="29"/>
      <c r="AB7" s="29"/>
      <c r="AC7" s="29"/>
      <c r="AD7" s="29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s="7" customFormat="1" ht="14.25" x14ac:dyDescent="0.25">
      <c r="A8" s="10" t="s">
        <v>9</v>
      </c>
      <c r="B8" s="26">
        <v>15246.67</v>
      </c>
      <c r="C8" s="28">
        <f>C15+C29+C22+C36+C43+P43+C50</f>
        <v>24570.923587693796</v>
      </c>
      <c r="D8" s="28">
        <f t="shared" si="1"/>
        <v>22953.53829973</v>
      </c>
      <c r="E8" s="28">
        <f t="shared" si="1"/>
        <v>24414.838905530003</v>
      </c>
      <c r="F8" s="28">
        <f t="shared" si="1"/>
        <v>23768.766593140997</v>
      </c>
      <c r="G8" s="28">
        <f t="shared" si="1"/>
        <v>20733.008262800002</v>
      </c>
      <c r="H8" s="28">
        <f t="shared" si="1"/>
        <v>21835.377509832</v>
      </c>
      <c r="I8" s="28">
        <f t="shared" si="1"/>
        <v>35575.213380922993</v>
      </c>
      <c r="J8" s="28">
        <f t="shared" si="1"/>
        <v>44977.381086497153</v>
      </c>
      <c r="K8" s="28">
        <f t="shared" si="1"/>
        <v>47146.416175683713</v>
      </c>
      <c r="L8" s="28">
        <f t="shared" si="1"/>
        <v>49100.552219018806</v>
      </c>
      <c r="M8" s="28">
        <f t="shared" si="1"/>
        <v>51472.456475638173</v>
      </c>
      <c r="N8" s="28">
        <f t="shared" si="1"/>
        <v>53705.451966179055</v>
      </c>
      <c r="O8" s="57" t="s">
        <v>6</v>
      </c>
      <c r="P8" s="29"/>
      <c r="Q8" s="4"/>
      <c r="R8" s="4"/>
      <c r="S8" s="4"/>
      <c r="T8" s="4"/>
      <c r="U8" s="4"/>
      <c r="V8" s="4"/>
      <c r="W8" s="4"/>
      <c r="X8" s="4"/>
      <c r="Y8" s="4"/>
      <c r="Z8" s="29"/>
      <c r="AA8" s="29"/>
      <c r="AB8" s="29"/>
      <c r="AC8" s="29"/>
      <c r="AD8" s="29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7" customFormat="1" ht="15" x14ac:dyDescent="0.25">
      <c r="A9" s="10" t="s">
        <v>10</v>
      </c>
      <c r="B9" s="26"/>
      <c r="C9" s="28"/>
      <c r="D9" s="28"/>
      <c r="E9" s="28"/>
      <c r="F9" s="28"/>
      <c r="G9" s="28">
        <f>G16+G30+G23+G37+G44+AH44+G51</f>
        <v>0</v>
      </c>
      <c r="H9" s="28">
        <f t="shared" ref="H9:H10" si="2">H16+H30+H23+H37+H44+AI44+H51</f>
        <v>0</v>
      </c>
      <c r="I9" s="28">
        <f t="shared" ref="I9:I10" si="3">I16+I30+I23+I37+I44+AJ44+I51</f>
        <v>0</v>
      </c>
      <c r="J9" s="28">
        <f t="shared" ref="J9:J10" si="4">J16+J30+J23+J37+J44+AK44+J51</f>
        <v>0</v>
      </c>
      <c r="K9" s="28">
        <f t="shared" ref="K9:K10" si="5">K16+K30+K23+K37+K44+AL44+K51</f>
        <v>0</v>
      </c>
      <c r="L9" s="28">
        <f t="shared" ref="L9:N10" si="6">L16+L23+L30+L37+L44+L51</f>
        <v>2334.0795325544514</v>
      </c>
      <c r="M9" s="28">
        <f t="shared" si="6"/>
        <v>1828.2678227461424</v>
      </c>
      <c r="N9" s="28">
        <f t="shared" si="6"/>
        <v>2480.0423404201283</v>
      </c>
      <c r="O9" s="62" t="s">
        <v>7</v>
      </c>
      <c r="P9" s="29"/>
      <c r="Q9" s="4"/>
      <c r="R9" s="4"/>
      <c r="S9" s="4"/>
      <c r="T9" s="4"/>
      <c r="U9" s="4"/>
      <c r="V9" s="4"/>
      <c r="W9" s="4"/>
      <c r="X9" s="4"/>
      <c r="Y9" s="4"/>
      <c r="Z9" s="29"/>
      <c r="AA9" s="29"/>
      <c r="AB9" s="29"/>
      <c r="AC9" s="29"/>
      <c r="AD9" s="29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s="7" customFormat="1" ht="15" x14ac:dyDescent="0.2">
      <c r="A10" s="65" t="s">
        <v>31</v>
      </c>
      <c r="B10" s="26"/>
      <c r="C10" s="28"/>
      <c r="D10" s="28"/>
      <c r="E10" s="28"/>
      <c r="F10" s="28"/>
      <c r="G10" s="28">
        <f>G17+G31+G24+G38+G45+AH45+G52</f>
        <v>0</v>
      </c>
      <c r="H10" s="28">
        <f t="shared" si="2"/>
        <v>0</v>
      </c>
      <c r="I10" s="28">
        <f t="shared" si="3"/>
        <v>0</v>
      </c>
      <c r="J10" s="28">
        <f t="shared" si="4"/>
        <v>0</v>
      </c>
      <c r="K10" s="28">
        <f t="shared" si="5"/>
        <v>0</v>
      </c>
      <c r="L10" s="28">
        <f t="shared" si="6"/>
        <v>0</v>
      </c>
      <c r="M10" s="28">
        <f t="shared" si="6"/>
        <v>1.2469999999999999</v>
      </c>
      <c r="N10" s="28">
        <f t="shared" si="6"/>
        <v>15.290000000000001</v>
      </c>
      <c r="O10" s="62" t="s">
        <v>32</v>
      </c>
      <c r="P10" s="29"/>
      <c r="Q10" s="4"/>
      <c r="R10" s="4"/>
      <c r="S10" s="4"/>
      <c r="T10" s="4"/>
      <c r="U10" s="4"/>
      <c r="V10" s="4"/>
      <c r="W10" s="4"/>
      <c r="X10" s="4"/>
      <c r="Y10" s="4"/>
      <c r="Z10" s="29"/>
      <c r="AA10" s="29"/>
      <c r="AB10" s="29"/>
      <c r="AC10" s="29"/>
      <c r="AD10" s="29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7" customFormat="1" ht="14.25" x14ac:dyDescent="0.25">
      <c r="A11" s="10" t="s">
        <v>12</v>
      </c>
      <c r="B11" s="26">
        <v>6777.5630000000001</v>
      </c>
      <c r="C11" s="28">
        <f>C18+C32+C25+C39+C46+P46+C53</f>
        <v>8301.2412404214137</v>
      </c>
      <c r="D11" s="28">
        <f t="shared" ref="D11:F12" si="7">D18+D32+D25+D39+D46+AE46+D53</f>
        <v>5717.5900617870002</v>
      </c>
      <c r="E11" s="28">
        <f t="shared" si="7"/>
        <v>7099.678791114</v>
      </c>
      <c r="F11" s="28">
        <f t="shared" si="7"/>
        <v>6699.0521867999996</v>
      </c>
      <c r="G11" s="28">
        <f>G18+G32+G25+G39+G46+AH46+G53</f>
        <v>8876.1555434640031</v>
      </c>
      <c r="H11" s="28">
        <f t="shared" ref="H11:N12" si="8">H18+H32+H25+H39+H46+AI46+H53</f>
        <v>7123.6269087169994</v>
      </c>
      <c r="I11" s="28">
        <f t="shared" si="8"/>
        <v>4947.2398022119987</v>
      </c>
      <c r="J11" s="28">
        <f t="shared" si="8"/>
        <v>2537.7990840052935</v>
      </c>
      <c r="K11" s="28">
        <f t="shared" si="8"/>
        <v>1664.0466762930218</v>
      </c>
      <c r="L11" s="28">
        <f t="shared" si="8"/>
        <v>1590.1763812155898</v>
      </c>
      <c r="M11" s="28">
        <f t="shared" si="8"/>
        <v>388.14185000950374</v>
      </c>
      <c r="N11" s="28">
        <f t="shared" si="8"/>
        <v>184.62584430785094</v>
      </c>
      <c r="O11" s="57" t="s">
        <v>20</v>
      </c>
      <c r="P11" s="29"/>
      <c r="Q11" s="4"/>
      <c r="R11" s="4"/>
      <c r="S11" s="4"/>
      <c r="T11" s="4"/>
      <c r="U11" s="4"/>
      <c r="V11" s="4"/>
      <c r="W11" s="4"/>
      <c r="X11" s="4"/>
      <c r="Y11" s="4"/>
      <c r="Z11" s="29"/>
      <c r="AA11" s="29"/>
      <c r="AB11" s="29"/>
      <c r="AC11" s="29"/>
      <c r="AD11" s="29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7" customFormat="1" ht="14.25" x14ac:dyDescent="0.25">
      <c r="A12" s="10" t="s">
        <v>13</v>
      </c>
      <c r="B12" s="26">
        <v>17115.400799999999</v>
      </c>
      <c r="C12" s="28">
        <f>C19+C33+C26+C40+C47+P47+C54</f>
        <v>21052.768880545005</v>
      </c>
      <c r="D12" s="28">
        <f t="shared" si="7"/>
        <v>17028.739223079996</v>
      </c>
      <c r="E12" s="28">
        <f t="shared" si="7"/>
        <v>15312.23767364</v>
      </c>
      <c r="F12" s="28">
        <f t="shared" si="7"/>
        <v>15034.442529491</v>
      </c>
      <c r="G12" s="28">
        <f>G19+G33+G26+G40+G47+AH47+G54</f>
        <v>20938.074087380002</v>
      </c>
      <c r="H12" s="28">
        <f t="shared" si="8"/>
        <v>19494.841118041018</v>
      </c>
      <c r="I12" s="28">
        <f t="shared" si="8"/>
        <v>22641.856919990998</v>
      </c>
      <c r="J12" s="28">
        <f t="shared" si="8"/>
        <v>19094.061536137309</v>
      </c>
      <c r="K12" s="28">
        <f t="shared" si="8"/>
        <v>6611.0540835753109</v>
      </c>
      <c r="L12" s="28">
        <f t="shared" si="8"/>
        <v>7136.4603821227929</v>
      </c>
      <c r="M12" s="28">
        <f t="shared" si="8"/>
        <v>4417.3809339078243</v>
      </c>
      <c r="N12" s="28">
        <f t="shared" si="8"/>
        <v>3216.1040166838497</v>
      </c>
      <c r="O12" s="57" t="s">
        <v>8</v>
      </c>
      <c r="P12" s="29"/>
      <c r="Q12" s="4"/>
      <c r="R12" s="4"/>
      <c r="S12" s="4"/>
      <c r="T12" s="4"/>
      <c r="U12" s="4"/>
      <c r="V12" s="4"/>
      <c r="W12" s="4"/>
      <c r="X12" s="4"/>
      <c r="Y12" s="4"/>
      <c r="Z12" s="29"/>
      <c r="AA12" s="29"/>
      <c r="AB12" s="29"/>
      <c r="AC12" s="29"/>
      <c r="AD12" s="29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7" customFormat="1" ht="14.25" x14ac:dyDescent="0.25">
      <c r="A13" s="10" t="s">
        <v>21</v>
      </c>
      <c r="B13" s="26">
        <v>123441.52179999999</v>
      </c>
      <c r="C13" s="27">
        <f>SUM(C7:C12)</f>
        <v>185923.17831394161</v>
      </c>
      <c r="D13" s="27">
        <f t="shared" ref="D13:I13" si="9">SUM(D14:D19)</f>
        <v>179098.81922800001</v>
      </c>
      <c r="E13" s="27">
        <f t="shared" si="9"/>
        <v>138531.81159499998</v>
      </c>
      <c r="F13" s="27">
        <f t="shared" si="9"/>
        <v>123326.2542388</v>
      </c>
      <c r="G13" s="27">
        <f t="shared" si="9"/>
        <v>106772.492109</v>
      </c>
      <c r="H13" s="27">
        <f t="shared" si="9"/>
        <v>109453.65800629825</v>
      </c>
      <c r="I13" s="27">
        <f t="shared" si="9"/>
        <v>114902.46807111595</v>
      </c>
      <c r="J13" s="27">
        <f>SUM(J14:J19)</f>
        <v>116940.02259357934</v>
      </c>
      <c r="K13" s="27">
        <f>SUM(K14:K19)</f>
        <v>127749.7519243329</v>
      </c>
      <c r="L13" s="27">
        <f>SUM(L14:L19)</f>
        <v>125719.12905590361</v>
      </c>
      <c r="M13" s="27">
        <f>SUM(M14:M19)</f>
        <v>126033.20197139472</v>
      </c>
      <c r="N13" s="27">
        <f>SUM(N14:N19)</f>
        <v>126998.75543939034</v>
      </c>
      <c r="O13" s="57" t="s">
        <v>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7" customFormat="1" ht="14.25" x14ac:dyDescent="0.25">
      <c r="A14" s="16" t="s">
        <v>11</v>
      </c>
      <c r="B14" s="30">
        <v>87847.14</v>
      </c>
      <c r="C14" s="31">
        <v>131059.01283817913</v>
      </c>
      <c r="D14" s="31">
        <v>137538.1894</v>
      </c>
      <c r="E14" s="31">
        <v>95867.160529999994</v>
      </c>
      <c r="F14" s="32">
        <v>81988.624779999998</v>
      </c>
      <c r="G14" s="32">
        <v>59828.945319999999</v>
      </c>
      <c r="H14" s="32">
        <v>68277.277675476245</v>
      </c>
      <c r="I14" s="32">
        <v>54422.884471610952</v>
      </c>
      <c r="J14" s="32">
        <v>51815.356512558494</v>
      </c>
      <c r="K14" s="32">
        <v>74320.951139064913</v>
      </c>
      <c r="L14" s="32">
        <v>68264.06166711259</v>
      </c>
      <c r="M14" s="32">
        <v>68993.039348680875</v>
      </c>
      <c r="N14" s="32">
        <v>69296.858985614817</v>
      </c>
      <c r="O14" s="60" t="s">
        <v>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7" customFormat="1" ht="14.25" x14ac:dyDescent="0.25">
      <c r="A15" s="16" t="s">
        <v>9</v>
      </c>
      <c r="B15" s="30">
        <v>14539.53</v>
      </c>
      <c r="C15" s="31">
        <v>21460.484190571817</v>
      </c>
      <c r="D15" s="31">
        <v>19627.635699999999</v>
      </c>
      <c r="E15" s="31">
        <v>21449.080109999999</v>
      </c>
      <c r="F15" s="32">
        <v>21301.63421</v>
      </c>
      <c r="G15" s="32">
        <v>18860.525280000002</v>
      </c>
      <c r="H15" s="32">
        <v>16212.205000281998</v>
      </c>
      <c r="I15" s="32">
        <v>33476.492815308986</v>
      </c>
      <c r="J15" s="32">
        <v>44130.616418938866</v>
      </c>
      <c r="K15" s="32">
        <v>45560.500756431487</v>
      </c>
      <c r="L15" s="32">
        <v>48392.262881971219</v>
      </c>
      <c r="M15" s="32">
        <v>50839.521094786913</v>
      </c>
      <c r="N15" s="32">
        <v>52923.722126591507</v>
      </c>
      <c r="O15" s="60" t="s">
        <v>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10"/>
      <c r="AH15" s="4"/>
      <c r="AI15" s="4"/>
      <c r="AJ15" s="4"/>
      <c r="AK15" s="10"/>
      <c r="AL15" s="27"/>
      <c r="AM15" s="55"/>
      <c r="AN15" s="4"/>
      <c r="AO15" s="4"/>
      <c r="AP15" s="4"/>
      <c r="AQ15" s="4"/>
      <c r="AR15" s="4"/>
      <c r="AS15" s="4"/>
      <c r="AT15" s="4"/>
      <c r="AU15" s="4"/>
    </row>
    <row r="16" spans="1:47" s="7" customFormat="1" ht="15" x14ac:dyDescent="0.25">
      <c r="A16" s="16" t="s">
        <v>10</v>
      </c>
      <c r="B16" s="30"/>
      <c r="C16" s="31"/>
      <c r="D16" s="31"/>
      <c r="E16" s="31"/>
      <c r="F16" s="32"/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832.08553255445054</v>
      </c>
      <c r="M16" s="32">
        <v>1597.0517227461426</v>
      </c>
      <c r="N16" s="32">
        <v>1850.7364661923034</v>
      </c>
      <c r="O16" s="56" t="s">
        <v>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10"/>
      <c r="AH16" s="4"/>
      <c r="AI16" s="4"/>
      <c r="AJ16" s="4"/>
      <c r="AK16" s="10"/>
      <c r="AL16" s="27"/>
      <c r="AM16" s="55"/>
      <c r="AN16" s="4"/>
      <c r="AO16" s="4"/>
      <c r="AP16" s="4"/>
      <c r="AQ16" s="4"/>
      <c r="AR16" s="4"/>
      <c r="AS16" s="4"/>
      <c r="AT16" s="4"/>
      <c r="AU16" s="4"/>
    </row>
    <row r="17" spans="1:47" s="7" customFormat="1" ht="15" x14ac:dyDescent="0.2">
      <c r="A17" s="63" t="s">
        <v>31</v>
      </c>
      <c r="B17" s="30"/>
      <c r="C17" s="31"/>
      <c r="D17" s="31"/>
      <c r="E17" s="31"/>
      <c r="F17" s="32"/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56" t="s">
        <v>32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10"/>
      <c r="AH17" s="4"/>
      <c r="AI17" s="4"/>
      <c r="AJ17" s="4"/>
      <c r="AK17" s="10"/>
      <c r="AL17" s="27"/>
      <c r="AM17" s="55"/>
      <c r="AN17" s="4"/>
      <c r="AO17" s="4"/>
      <c r="AP17" s="4"/>
      <c r="AQ17" s="4"/>
      <c r="AR17" s="4"/>
      <c r="AS17" s="4"/>
      <c r="AT17" s="4"/>
      <c r="AU17" s="4"/>
    </row>
    <row r="18" spans="1:47" s="7" customFormat="1" ht="14.25" x14ac:dyDescent="0.25">
      <c r="A18" s="16" t="s">
        <v>12</v>
      </c>
      <c r="B18" s="30">
        <v>6485.2039999999997</v>
      </c>
      <c r="C18" s="31">
        <v>8093.4694342817056</v>
      </c>
      <c r="D18" s="31">
        <v>5580.3521579999997</v>
      </c>
      <c r="E18" s="31">
        <v>6842.8306849999999</v>
      </c>
      <c r="F18" s="32">
        <v>6333.590475</v>
      </c>
      <c r="G18" s="32">
        <v>8375.7986290000008</v>
      </c>
      <c r="H18" s="32">
        <v>6891.0496869969984</v>
      </c>
      <c r="I18" s="32">
        <v>4864.9074575819986</v>
      </c>
      <c r="J18" s="32">
        <v>2458.4200803633976</v>
      </c>
      <c r="K18" s="32">
        <v>1633.567275997812</v>
      </c>
      <c r="L18" s="32">
        <v>1578.9184695880226</v>
      </c>
      <c r="M18" s="32">
        <v>382.14671124456078</v>
      </c>
      <c r="N18" s="32">
        <v>184.62584430785094</v>
      </c>
      <c r="O18" s="60" t="s">
        <v>20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10"/>
      <c r="AH18" s="4"/>
      <c r="AI18" s="4"/>
      <c r="AJ18" s="4"/>
      <c r="AK18" s="10"/>
      <c r="AL18" s="27"/>
      <c r="AM18" s="55"/>
      <c r="AN18" s="4"/>
      <c r="AO18" s="4"/>
      <c r="AP18" s="4"/>
      <c r="AQ18" s="4"/>
      <c r="AR18" s="4"/>
      <c r="AS18" s="4"/>
      <c r="AT18" s="4"/>
      <c r="AU18" s="4"/>
    </row>
    <row r="19" spans="1:47" s="7" customFormat="1" ht="14.25" x14ac:dyDescent="0.25">
      <c r="A19" s="16" t="s">
        <v>13</v>
      </c>
      <c r="B19" s="30">
        <v>14569.647799999999</v>
      </c>
      <c r="C19" s="31">
        <v>19358.525576055014</v>
      </c>
      <c r="D19" s="31">
        <v>16352.641970000001</v>
      </c>
      <c r="E19" s="31">
        <v>14372.74027</v>
      </c>
      <c r="F19" s="32">
        <v>13702.404773800001</v>
      </c>
      <c r="G19" s="32">
        <v>19707.222880000001</v>
      </c>
      <c r="H19" s="32">
        <v>18073.125643543015</v>
      </c>
      <c r="I19" s="32">
        <v>22138.183326613998</v>
      </c>
      <c r="J19" s="32">
        <v>18535.629581718593</v>
      </c>
      <c r="K19" s="32">
        <v>6234.7327528386877</v>
      </c>
      <c r="L19" s="32">
        <v>6651.8005046773324</v>
      </c>
      <c r="M19" s="32">
        <v>4221.4430939362337</v>
      </c>
      <c r="N19" s="32">
        <v>2742.8120166838498</v>
      </c>
      <c r="O19" s="60" t="s">
        <v>8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10"/>
      <c r="AH19" s="4"/>
      <c r="AI19" s="4"/>
      <c r="AJ19" s="4"/>
      <c r="AK19" s="10"/>
      <c r="AL19" s="27"/>
      <c r="AM19" s="55"/>
      <c r="AN19" s="4"/>
      <c r="AO19" s="4"/>
      <c r="AP19" s="4"/>
      <c r="AQ19" s="4"/>
      <c r="AR19" s="4"/>
      <c r="AS19" s="4"/>
      <c r="AT19" s="4"/>
      <c r="AU19" s="4"/>
    </row>
    <row r="20" spans="1:47" s="7" customFormat="1" ht="14.25" x14ac:dyDescent="0.25">
      <c r="A20" s="10" t="s">
        <v>23</v>
      </c>
      <c r="B20" s="26">
        <v>429.96600000000001</v>
      </c>
      <c r="C20" s="27">
        <f>SUM(C21:C26)</f>
        <v>58.925099017143246</v>
      </c>
      <c r="D20" s="27">
        <f t="shared" ref="D20:I20" si="10">SUM(D21:D26)</f>
        <v>69.595798700000003</v>
      </c>
      <c r="E20" s="27">
        <f t="shared" si="10"/>
        <v>231.71674548999999</v>
      </c>
      <c r="F20" s="27">
        <f t="shared" si="10"/>
        <v>5911.7731307599997</v>
      </c>
      <c r="G20" s="27">
        <f t="shared" si="10"/>
        <v>7132.3696824999997</v>
      </c>
      <c r="H20" s="27">
        <f t="shared" si="10"/>
        <v>5020.7373510580001</v>
      </c>
      <c r="I20" s="27">
        <f t="shared" si="10"/>
        <v>2404.4193284139997</v>
      </c>
      <c r="J20" s="27">
        <f>SUM(J21:J26)</f>
        <v>1005.9614987606687</v>
      </c>
      <c r="K20" s="27">
        <f>SUM(K21:K26)</f>
        <v>0.6020000038146972</v>
      </c>
      <c r="L20" s="27">
        <f>SUM(L21:L26)</f>
        <v>0</v>
      </c>
      <c r="M20" s="27">
        <f>SUM(M21:M26)</f>
        <v>28.506898816823021</v>
      </c>
      <c r="N20" s="27">
        <f>SUM(N21:N26)</f>
        <v>0</v>
      </c>
      <c r="O20" s="57" t="s">
        <v>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10"/>
      <c r="AH20" s="4"/>
      <c r="AI20" s="4"/>
      <c r="AJ20" s="4"/>
      <c r="AK20" s="10"/>
      <c r="AL20" s="27"/>
      <c r="AM20" s="55"/>
      <c r="AN20" s="4"/>
      <c r="AO20" s="4"/>
      <c r="AP20" s="4"/>
      <c r="AQ20" s="4"/>
      <c r="AR20" s="4"/>
      <c r="AS20" s="4"/>
      <c r="AT20" s="4"/>
      <c r="AU20" s="4"/>
    </row>
    <row r="21" spans="1:47" s="7" customFormat="1" ht="14.25" x14ac:dyDescent="0.25">
      <c r="A21" s="16" t="s">
        <v>11</v>
      </c>
      <c r="B21" s="30">
        <v>157.41200000000001</v>
      </c>
      <c r="C21" s="31">
        <v>28.089599071979521</v>
      </c>
      <c r="D21" s="31">
        <v>31.27739871</v>
      </c>
      <c r="E21" s="31">
        <v>174.49349509999999</v>
      </c>
      <c r="F21" s="32">
        <v>4254.2962399999997</v>
      </c>
      <c r="G21" s="32">
        <v>5966.0160379999998</v>
      </c>
      <c r="H21" s="32">
        <v>4546.45069642</v>
      </c>
      <c r="I21" s="32">
        <v>1956.0335058009998</v>
      </c>
      <c r="J21" s="32">
        <v>905.66866325578246</v>
      </c>
      <c r="K21" s="32">
        <v>0</v>
      </c>
      <c r="L21" s="32">
        <v>0</v>
      </c>
      <c r="M21" s="32">
        <v>14.624809343511476</v>
      </c>
      <c r="N21" s="32">
        <v>0</v>
      </c>
      <c r="O21" s="60" t="s">
        <v>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10"/>
      <c r="AH21" s="4"/>
      <c r="AI21" s="4"/>
      <c r="AJ21" s="4"/>
      <c r="AK21" s="33"/>
      <c r="AL21" s="27"/>
      <c r="AM21" s="55"/>
      <c r="AN21" s="4"/>
      <c r="AO21" s="4"/>
      <c r="AP21" s="4"/>
      <c r="AQ21" s="4"/>
      <c r="AR21" s="4"/>
      <c r="AS21" s="4"/>
      <c r="AT21" s="4"/>
      <c r="AU21" s="4"/>
    </row>
    <row r="22" spans="1:47" s="7" customFormat="1" ht="14.25" x14ac:dyDescent="0.25">
      <c r="A22" s="16" t="s">
        <v>9</v>
      </c>
      <c r="B22" s="30">
        <v>24.353000000000002</v>
      </c>
      <c r="C22" s="31">
        <v>8.6059995746612543</v>
      </c>
      <c r="D22" s="31">
        <v>13.64219952</v>
      </c>
      <c r="E22" s="31">
        <v>20.61539952</v>
      </c>
      <c r="F22" s="32">
        <v>1286.2701850000001</v>
      </c>
      <c r="G22" s="32">
        <v>657.33698560000005</v>
      </c>
      <c r="H22" s="32">
        <v>279.00243961700028</v>
      </c>
      <c r="I22" s="32">
        <v>393.20454459599989</v>
      </c>
      <c r="J22" s="32">
        <v>85.784520867374269</v>
      </c>
      <c r="K22" s="32">
        <v>0</v>
      </c>
      <c r="L22" s="32">
        <v>0</v>
      </c>
      <c r="M22" s="32">
        <v>6.4858848525716066</v>
      </c>
      <c r="N22" s="32">
        <v>0</v>
      </c>
      <c r="O22" s="60" t="s">
        <v>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10"/>
      <c r="AL22" s="27"/>
      <c r="AM22" s="55"/>
      <c r="AN22" s="4"/>
      <c r="AO22" s="4"/>
      <c r="AP22" s="4"/>
      <c r="AQ22" s="4"/>
      <c r="AR22" s="4"/>
      <c r="AS22" s="4"/>
      <c r="AT22" s="4"/>
      <c r="AU22" s="4"/>
    </row>
    <row r="23" spans="1:47" s="7" customFormat="1" ht="15" x14ac:dyDescent="0.25">
      <c r="A23" s="16" t="s">
        <v>10</v>
      </c>
      <c r="B23" s="30"/>
      <c r="C23" s="31"/>
      <c r="D23" s="31"/>
      <c r="E23" s="31"/>
      <c r="F23" s="32"/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56" t="s">
        <v>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10"/>
      <c r="AL23" s="27"/>
      <c r="AM23" s="55"/>
      <c r="AN23" s="4"/>
      <c r="AO23" s="4"/>
      <c r="AP23" s="4"/>
      <c r="AQ23" s="4"/>
      <c r="AR23" s="4"/>
      <c r="AS23" s="4"/>
      <c r="AT23" s="4"/>
      <c r="AU23" s="4"/>
    </row>
    <row r="24" spans="1:47" s="7" customFormat="1" ht="15" x14ac:dyDescent="0.2">
      <c r="A24" s="63" t="s">
        <v>31</v>
      </c>
      <c r="B24" s="30"/>
      <c r="C24" s="31"/>
      <c r="D24" s="31"/>
      <c r="E24" s="31"/>
      <c r="F24" s="32"/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56" t="s">
        <v>32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10"/>
      <c r="AL24" s="27"/>
      <c r="AM24" s="55"/>
      <c r="AN24" s="4"/>
      <c r="AO24" s="4"/>
      <c r="AP24" s="4"/>
      <c r="AQ24" s="4"/>
      <c r="AR24" s="4"/>
      <c r="AS24" s="4"/>
      <c r="AT24" s="4"/>
      <c r="AU24" s="4"/>
    </row>
    <row r="25" spans="1:47" s="7" customFormat="1" ht="14.25" x14ac:dyDescent="0.25">
      <c r="A25" s="16" t="s">
        <v>12</v>
      </c>
      <c r="B25" s="30">
        <v>89.188999999999993</v>
      </c>
      <c r="C25" s="31">
        <v>14.053500182628632</v>
      </c>
      <c r="D25" s="31">
        <v>10.215200210000001</v>
      </c>
      <c r="E25" s="31">
        <v>23.694000679999998</v>
      </c>
      <c r="F25" s="32">
        <v>156.36760495999999</v>
      </c>
      <c r="G25" s="32">
        <v>237.0726071</v>
      </c>
      <c r="H25" s="32">
        <v>84.076735112000009</v>
      </c>
      <c r="I25" s="32">
        <v>15.668938939</v>
      </c>
      <c r="J25" s="32">
        <v>1.793792020538612</v>
      </c>
      <c r="K25" s="32">
        <v>0</v>
      </c>
      <c r="L25" s="32">
        <v>0</v>
      </c>
      <c r="M25" s="32">
        <v>0.51848814013183042</v>
      </c>
      <c r="N25" s="32">
        <v>0</v>
      </c>
      <c r="O25" s="60" t="s">
        <v>20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1:47" s="7" customFormat="1" ht="14.25" x14ac:dyDescent="0.25">
      <c r="A26" s="16" t="s">
        <v>13</v>
      </c>
      <c r="B26" s="30">
        <v>159.012</v>
      </c>
      <c r="C26" s="31">
        <v>8.1760001878738393</v>
      </c>
      <c r="D26" s="31">
        <v>14.46100026</v>
      </c>
      <c r="E26" s="31">
        <v>12.91385019</v>
      </c>
      <c r="F26" s="32">
        <v>214.83910080000001</v>
      </c>
      <c r="G26" s="32">
        <v>271.94405180000001</v>
      </c>
      <c r="H26" s="32">
        <v>111.207479909</v>
      </c>
      <c r="I26" s="32">
        <v>39.512339077999989</v>
      </c>
      <c r="J26" s="32">
        <v>12.714522616973507</v>
      </c>
      <c r="K26" s="32">
        <v>0.6020000038146972</v>
      </c>
      <c r="L26" s="32">
        <v>0</v>
      </c>
      <c r="M26" s="32">
        <v>6.8777164806081101</v>
      </c>
      <c r="N26" s="32">
        <v>0</v>
      </c>
      <c r="O26" s="60" t="s">
        <v>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7" customFormat="1" ht="14.25" x14ac:dyDescent="0.25">
      <c r="A27" s="10" t="s">
        <v>25</v>
      </c>
      <c r="B27" s="26">
        <v>494.35300000000001</v>
      </c>
      <c r="C27" s="27">
        <f t="shared" ref="C27:I27" si="11">SUM(C28:C33)</f>
        <v>958.59368565398404</v>
      </c>
      <c r="D27" s="27">
        <f t="shared" si="11"/>
        <v>936.79943849999995</v>
      </c>
      <c r="E27" s="27">
        <f t="shared" si="11"/>
        <v>1062.1608945</v>
      </c>
      <c r="F27" s="27">
        <f t="shared" si="11"/>
        <v>1400.660581441</v>
      </c>
      <c r="G27" s="27">
        <f t="shared" si="11"/>
        <v>1276.8185468300001</v>
      </c>
      <c r="H27" s="27">
        <f t="shared" si="11"/>
        <v>6654.937280518001</v>
      </c>
      <c r="I27" s="27">
        <f t="shared" si="11"/>
        <v>1263.1125151400001</v>
      </c>
      <c r="J27" s="27">
        <f>SUM(J28:J33)</f>
        <v>677.87643155977037</v>
      </c>
      <c r="K27" s="27">
        <f>SUM(K28:K33)</f>
        <v>252.82011881650212</v>
      </c>
      <c r="L27" s="27">
        <f>SUM(L28:L33)</f>
        <v>314.2173352024634</v>
      </c>
      <c r="M27" s="27">
        <f>SUM(M28:M33)</f>
        <v>315.75266347874123</v>
      </c>
      <c r="N27" s="27">
        <f>SUM(N28:N33)</f>
        <v>14.645539780114266</v>
      </c>
      <c r="O27" s="57" t="s">
        <v>26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s="7" customFormat="1" ht="14.25" x14ac:dyDescent="0.25">
      <c r="A28" s="16" t="s">
        <v>11</v>
      </c>
      <c r="B28" s="30">
        <v>36.021000000000001</v>
      </c>
      <c r="C28" s="31">
        <v>444.84208123159362</v>
      </c>
      <c r="D28" s="31">
        <v>462.34048530000001</v>
      </c>
      <c r="E28" s="31">
        <v>346.43789149999998</v>
      </c>
      <c r="F28" s="32">
        <v>466.397675553</v>
      </c>
      <c r="G28" s="32">
        <v>363.74428843000004</v>
      </c>
      <c r="H28" s="32">
        <v>468.62655035400002</v>
      </c>
      <c r="I28" s="32">
        <v>633.650235286</v>
      </c>
      <c r="J28" s="32">
        <v>185.25505440912212</v>
      </c>
      <c r="K28" s="32">
        <v>41.467598572444928</v>
      </c>
      <c r="L28" s="32">
        <v>78.107532518178346</v>
      </c>
      <c r="M28" s="32">
        <v>37.348441774257722</v>
      </c>
      <c r="N28" s="32">
        <v>5.9150408684829907</v>
      </c>
      <c r="O28" s="60" t="s">
        <v>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7" customFormat="1" ht="14.25" x14ac:dyDescent="0.25">
      <c r="A29" s="16" t="s">
        <v>9</v>
      </c>
      <c r="B29" s="30">
        <v>12.170999999999999</v>
      </c>
      <c r="C29" s="31">
        <v>159.51779720878596</v>
      </c>
      <c r="D29" s="31">
        <v>129.78399880000001</v>
      </c>
      <c r="E29" s="31">
        <v>139.87019620000001</v>
      </c>
      <c r="F29" s="32">
        <v>99.537197140999993</v>
      </c>
      <c r="G29" s="32">
        <v>118.9375972</v>
      </c>
      <c r="H29" s="32">
        <v>5014.4725112269998</v>
      </c>
      <c r="I29" s="32">
        <v>304.37827534400014</v>
      </c>
      <c r="J29" s="32">
        <v>181.94324589100106</v>
      </c>
      <c r="K29" s="32">
        <v>130.32246941530229</v>
      </c>
      <c r="L29" s="32">
        <v>215.2316031194128</v>
      </c>
      <c r="M29" s="32">
        <v>264.6114803261616</v>
      </c>
      <c r="N29" s="32">
        <v>8.7304989116312743</v>
      </c>
      <c r="O29" s="60" t="s">
        <v>6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s="7" customFormat="1" ht="15" x14ac:dyDescent="0.25">
      <c r="A30" s="16" t="s">
        <v>10</v>
      </c>
      <c r="B30" s="30"/>
      <c r="C30" s="31"/>
      <c r="D30" s="31"/>
      <c r="E30" s="31"/>
      <c r="F30" s="32"/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56" t="s">
        <v>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7" customFormat="1" ht="15" x14ac:dyDescent="0.2">
      <c r="A31" s="63" t="s">
        <v>31</v>
      </c>
      <c r="B31" s="30"/>
      <c r="C31" s="31"/>
      <c r="D31" s="31"/>
      <c r="E31" s="31"/>
      <c r="F31" s="32"/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56" t="s">
        <v>32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s="7" customFormat="1" ht="14.25" x14ac:dyDescent="0.25">
      <c r="A32" s="16" t="s">
        <v>12</v>
      </c>
      <c r="B32" s="30">
        <v>180.09800000000001</v>
      </c>
      <c r="C32" s="31">
        <v>181.32920567214487</v>
      </c>
      <c r="D32" s="31">
        <v>117.4675033</v>
      </c>
      <c r="E32" s="31">
        <v>225.8277052</v>
      </c>
      <c r="F32" s="32">
        <v>206.61990677599999</v>
      </c>
      <c r="G32" s="32">
        <v>253.12230692</v>
      </c>
      <c r="H32" s="32">
        <v>143.59820421200004</v>
      </c>
      <c r="I32" s="32">
        <v>50.260802851000015</v>
      </c>
      <c r="J32" s="32">
        <v>45.024562113577325</v>
      </c>
      <c r="K32" s="32">
        <v>28.441100295853612</v>
      </c>
      <c r="L32" s="32">
        <v>9.7943132893404776</v>
      </c>
      <c r="M32" s="32">
        <v>1.7877318683971772</v>
      </c>
      <c r="N32" s="32">
        <v>0</v>
      </c>
      <c r="O32" s="60" t="s">
        <v>20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7" customFormat="1" ht="14.25" x14ac:dyDescent="0.25">
      <c r="A33" s="16" t="s">
        <v>13</v>
      </c>
      <c r="B33" s="30">
        <v>266.06299999999999</v>
      </c>
      <c r="C33" s="31">
        <v>172.90460154145953</v>
      </c>
      <c r="D33" s="31">
        <v>227.20745109999999</v>
      </c>
      <c r="E33" s="31">
        <v>350.02510160000003</v>
      </c>
      <c r="F33" s="32">
        <v>628.10580197100001</v>
      </c>
      <c r="G33" s="32">
        <v>541.01435428000002</v>
      </c>
      <c r="H33" s="32">
        <v>1028.2400147250005</v>
      </c>
      <c r="I33" s="32">
        <v>274.82320165899995</v>
      </c>
      <c r="J33" s="32">
        <v>265.65356914606991</v>
      </c>
      <c r="K33" s="32">
        <v>52.588950532901286</v>
      </c>
      <c r="L33" s="32">
        <v>11.083886275531746</v>
      </c>
      <c r="M33" s="32">
        <v>12.005009509924733</v>
      </c>
      <c r="N33" s="32">
        <v>0</v>
      </c>
      <c r="O33" s="60" t="s">
        <v>8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s="7" customFormat="1" ht="14.25" x14ac:dyDescent="0.25">
      <c r="A34" s="10" t="s">
        <v>27</v>
      </c>
      <c r="B34" s="26">
        <v>73.063000000000002</v>
      </c>
      <c r="C34" s="27">
        <f t="shared" ref="C34:I34" si="12">SUM(C35:C40)</f>
        <v>513.66189368647338</v>
      </c>
      <c r="D34" s="27">
        <f t="shared" si="12"/>
        <v>402.12629079200002</v>
      </c>
      <c r="E34" s="27">
        <f t="shared" si="12"/>
        <v>966.02272214899995</v>
      </c>
      <c r="F34" s="27">
        <f t="shared" si="12"/>
        <v>360.01608887999998</v>
      </c>
      <c r="G34" s="27">
        <f t="shared" si="12"/>
        <v>51.022250649</v>
      </c>
      <c r="H34" s="27">
        <f t="shared" si="12"/>
        <v>785.88629982200041</v>
      </c>
      <c r="I34" s="27">
        <f t="shared" si="12"/>
        <v>2132.7464546890001</v>
      </c>
      <c r="J34" s="27">
        <f>SUM(J35:J40)</f>
        <v>1060.6535379842462</v>
      </c>
      <c r="K34" s="27">
        <f>SUM(K35:K40)</f>
        <v>230.24317923052195</v>
      </c>
      <c r="L34" s="27">
        <f>SUM(L35:L40)</f>
        <v>525.6426903020739</v>
      </c>
      <c r="M34" s="27">
        <f>SUM(M35:M40)</f>
        <v>490.47925774267941</v>
      </c>
      <c r="N34" s="27">
        <f>SUM(N35:N40)</f>
        <v>335.59912738186</v>
      </c>
      <c r="O34" s="57" t="s">
        <v>28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s="7" customFormat="1" ht="14.25" x14ac:dyDescent="0.25">
      <c r="A35" s="16" t="s">
        <v>11</v>
      </c>
      <c r="B35" s="30">
        <v>3.4079999999999999</v>
      </c>
      <c r="C35" s="31">
        <v>315.34229257106779</v>
      </c>
      <c r="D35" s="31">
        <v>260.98199049999999</v>
      </c>
      <c r="E35" s="31">
        <v>910.18347170000004</v>
      </c>
      <c r="F35" s="32">
        <v>354.62578880000001</v>
      </c>
      <c r="G35" s="32">
        <v>2.0999999999999999E-3</v>
      </c>
      <c r="H35" s="32">
        <v>398.21201349900014</v>
      </c>
      <c r="I35" s="32">
        <v>631.1174523310001</v>
      </c>
      <c r="J35" s="32">
        <v>485.4074588569398</v>
      </c>
      <c r="K35" s="32">
        <v>33.366799383544929</v>
      </c>
      <c r="L35" s="32">
        <v>179.45628545767627</v>
      </c>
      <c r="M35" s="32">
        <v>198.98579933267521</v>
      </c>
      <c r="N35" s="32">
        <v>284.29491247812268</v>
      </c>
      <c r="O35" s="60" t="s">
        <v>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s="7" customFormat="1" ht="14.25" x14ac:dyDescent="0.25">
      <c r="A36" s="16" t="s">
        <v>9</v>
      </c>
      <c r="B36" s="30">
        <v>2.6070000000000002</v>
      </c>
      <c r="C36" s="31">
        <v>31.148199855804442</v>
      </c>
      <c r="D36" s="31">
        <v>81.936799660000005</v>
      </c>
      <c r="E36" s="31">
        <v>0.42899999999999999</v>
      </c>
      <c r="F36" s="32">
        <v>0.54600000000000004</v>
      </c>
      <c r="G36" s="32">
        <v>1.04E-2</v>
      </c>
      <c r="H36" s="32">
        <v>324.9055366350002</v>
      </c>
      <c r="I36" s="32">
        <v>1366.2591879539998</v>
      </c>
      <c r="J36" s="32">
        <v>465.83256890638495</v>
      </c>
      <c r="K36" s="32">
        <v>152.79142983692171</v>
      </c>
      <c r="L36" s="32">
        <v>300.64073392817551</v>
      </c>
      <c r="M36" s="32">
        <v>249.7714256725325</v>
      </c>
      <c r="N36" s="32">
        <v>46.214340675912013</v>
      </c>
      <c r="O36" s="60" t="s">
        <v>6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s="7" customFormat="1" ht="15" x14ac:dyDescent="0.25">
      <c r="A37" s="16" t="s">
        <v>10</v>
      </c>
      <c r="B37" s="30"/>
      <c r="C37" s="31"/>
      <c r="D37" s="31"/>
      <c r="E37" s="31"/>
      <c r="F37" s="32"/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5.089874227825316</v>
      </c>
      <c r="O37" s="56" t="s">
        <v>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s="7" customFormat="1" ht="15" x14ac:dyDescent="0.2">
      <c r="A38" s="63" t="s">
        <v>31</v>
      </c>
      <c r="B38" s="30"/>
      <c r="C38" s="31"/>
      <c r="D38" s="31"/>
      <c r="E38" s="31"/>
      <c r="F38" s="32"/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56" t="s">
        <v>32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1:47" s="7" customFormat="1" ht="14.25" x14ac:dyDescent="0.25">
      <c r="A39" s="16" t="s">
        <v>12</v>
      </c>
      <c r="B39" s="30">
        <v>11.173999999999999</v>
      </c>
      <c r="C39" s="31">
        <v>5.3253001140356062</v>
      </c>
      <c r="D39" s="31">
        <v>2.8521000519999999</v>
      </c>
      <c r="E39" s="31">
        <v>6.3496001990000002</v>
      </c>
      <c r="F39" s="32">
        <v>2.3222000599999997</v>
      </c>
      <c r="G39" s="32">
        <v>4.3472001489999998</v>
      </c>
      <c r="H39" s="32">
        <v>4.7048106609999989</v>
      </c>
      <c r="I39" s="32">
        <v>13.184911102999997</v>
      </c>
      <c r="J39" s="32">
        <v>32.547175857233462</v>
      </c>
      <c r="K39" s="32">
        <v>0.54629999935626994</v>
      </c>
      <c r="L39" s="32">
        <v>1.463598338226745</v>
      </c>
      <c r="M39" s="32">
        <v>3.6889187564139569</v>
      </c>
      <c r="N39" s="32">
        <v>0</v>
      </c>
      <c r="O39" s="60" t="s">
        <v>20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1:47" s="7" customFormat="1" ht="14.25" x14ac:dyDescent="0.25">
      <c r="A40" s="16" t="s">
        <v>13</v>
      </c>
      <c r="B40" s="30">
        <v>55.874000000000002</v>
      </c>
      <c r="C40" s="31">
        <v>161.84610114556563</v>
      </c>
      <c r="D40" s="31">
        <v>56.355400580000001</v>
      </c>
      <c r="E40" s="31">
        <v>49.060650250000002</v>
      </c>
      <c r="F40" s="32">
        <v>2.5221000199999999</v>
      </c>
      <c r="G40" s="32">
        <v>46.662550500000002</v>
      </c>
      <c r="H40" s="32">
        <v>58.063939027000011</v>
      </c>
      <c r="I40" s="32">
        <v>122.18490330099998</v>
      </c>
      <c r="J40" s="32">
        <v>76.866334363688026</v>
      </c>
      <c r="K40" s="32">
        <v>43.53865001069903</v>
      </c>
      <c r="L40" s="32">
        <v>44.082072577995369</v>
      </c>
      <c r="M40" s="32">
        <v>38.033113981057731</v>
      </c>
      <c r="N40" s="32">
        <v>0</v>
      </c>
      <c r="O40" s="60" t="s">
        <v>8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1:47" s="7" customFormat="1" ht="14.25" x14ac:dyDescent="0.25">
      <c r="A41" s="33" t="s">
        <v>3</v>
      </c>
      <c r="B41" s="26">
        <v>2212.69</v>
      </c>
      <c r="C41" s="27">
        <f t="shared" ref="C41:I41" si="13">SUM(C42:C47)</f>
        <v>3011.2780008999998</v>
      </c>
      <c r="D41" s="27">
        <f t="shared" si="13"/>
        <v>3177.06800204</v>
      </c>
      <c r="E41" s="27">
        <f t="shared" si="13"/>
        <v>3047.8236006000002</v>
      </c>
      <c r="F41" s="27">
        <f t="shared" si="13"/>
        <v>1349.825001405</v>
      </c>
      <c r="G41" s="27">
        <f t="shared" si="13"/>
        <v>1337.8850005019999</v>
      </c>
      <c r="H41" s="27">
        <f t="shared" si="13"/>
        <v>0</v>
      </c>
      <c r="I41" s="27">
        <f t="shared" si="13"/>
        <v>0</v>
      </c>
      <c r="J41" s="27">
        <f>SUM(J42:J47)</f>
        <v>134.74387105900715</v>
      </c>
      <c r="K41" s="27">
        <f>SUM(K42:K47)</f>
        <v>1600.4226500000002</v>
      </c>
      <c r="L41" s="27">
        <f>SUM(L42:L47)</f>
        <v>2123.2380000000007</v>
      </c>
      <c r="M41" s="27">
        <f>SUM(M42:M47)</f>
        <v>483.87768999999992</v>
      </c>
      <c r="N41" s="27">
        <f>SUM(N42:N47)</f>
        <v>1841.9949999999999</v>
      </c>
      <c r="O41" s="57" t="s">
        <v>15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s="7" customFormat="1" ht="14.25" x14ac:dyDescent="0.25">
      <c r="A42" s="34" t="s">
        <v>11</v>
      </c>
      <c r="B42" s="35" t="s">
        <v>0</v>
      </c>
      <c r="C42" s="36">
        <v>0.2</v>
      </c>
      <c r="D42" s="36">
        <v>0.2</v>
      </c>
      <c r="E42" s="36">
        <v>0</v>
      </c>
      <c r="F42" s="36">
        <v>9.9000001000000004E-2</v>
      </c>
      <c r="G42" s="36">
        <v>1.597</v>
      </c>
      <c r="H42" s="36">
        <v>0</v>
      </c>
      <c r="I42" s="36">
        <v>0</v>
      </c>
      <c r="J42" s="36">
        <v>0</v>
      </c>
      <c r="K42" s="36">
        <v>25.8445</v>
      </c>
      <c r="L42" s="36">
        <v>0.33300000000000007</v>
      </c>
      <c r="M42" s="36">
        <v>0.32600000000000001</v>
      </c>
      <c r="N42" s="36">
        <v>2.4120000000000004</v>
      </c>
      <c r="O42" s="57" t="s">
        <v>5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8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s="7" customFormat="1" ht="14.25" x14ac:dyDescent="0.25">
      <c r="A43" s="16" t="s">
        <v>9</v>
      </c>
      <c r="B43" s="30">
        <v>667.65800000000002</v>
      </c>
      <c r="C43" s="31">
        <v>2860.9250010000001</v>
      </c>
      <c r="D43" s="31">
        <v>3083.443002</v>
      </c>
      <c r="E43" s="31">
        <v>2792.3116</v>
      </c>
      <c r="F43" s="31">
        <v>1080.7790010000001</v>
      </c>
      <c r="G43" s="31">
        <v>1095.0540000000001</v>
      </c>
      <c r="H43" s="31">
        <v>0</v>
      </c>
      <c r="I43" s="31">
        <v>0</v>
      </c>
      <c r="J43" s="31">
        <v>113.2043318935259</v>
      </c>
      <c r="K43" s="31">
        <v>1302.8015200000002</v>
      </c>
      <c r="L43" s="31">
        <v>192.41699999999997</v>
      </c>
      <c r="M43" s="31">
        <v>112.06659000000001</v>
      </c>
      <c r="N43" s="31">
        <v>726.78499999999997</v>
      </c>
      <c r="O43" s="60" t="s">
        <v>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s="7" customFormat="1" ht="15" x14ac:dyDescent="0.25">
      <c r="A44" s="16" t="s">
        <v>10</v>
      </c>
      <c r="B44" s="30"/>
      <c r="C44" s="31"/>
      <c r="D44" s="31"/>
      <c r="E44" s="31"/>
      <c r="F44" s="31"/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1501.9940000000006</v>
      </c>
      <c r="M44" s="31">
        <v>231.21609999999993</v>
      </c>
      <c r="N44" s="31">
        <v>624.21599999999989</v>
      </c>
      <c r="O44" s="56" t="s">
        <v>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s="7" customFormat="1" ht="15" x14ac:dyDescent="0.2">
      <c r="A45" s="63" t="s">
        <v>31</v>
      </c>
      <c r="B45" s="30"/>
      <c r="C45" s="31"/>
      <c r="D45" s="31"/>
      <c r="E45" s="31"/>
      <c r="F45" s="31"/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1.2469999999999999</v>
      </c>
      <c r="N45" s="31">
        <v>15.290000000000001</v>
      </c>
      <c r="O45" s="56" t="s">
        <v>32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s="7" customFormat="1" ht="14.25" x14ac:dyDescent="0.25">
      <c r="A46" s="16" t="s">
        <v>12</v>
      </c>
      <c r="B46" s="30"/>
      <c r="C46" s="31">
        <v>0</v>
      </c>
      <c r="D46" s="31">
        <v>0</v>
      </c>
      <c r="E46" s="31">
        <v>0</v>
      </c>
      <c r="F46" s="31">
        <v>0.15200000399999999</v>
      </c>
      <c r="G46" s="31">
        <v>8.9000001999999995E-2</v>
      </c>
      <c r="H46" s="31">
        <v>0</v>
      </c>
      <c r="I46" s="31">
        <v>0</v>
      </c>
      <c r="J46" s="31">
        <v>0</v>
      </c>
      <c r="K46" s="31">
        <v>1.4919999999999998</v>
      </c>
      <c r="L46" s="31">
        <v>0</v>
      </c>
      <c r="M46" s="31">
        <v>0</v>
      </c>
      <c r="N46" s="31"/>
      <c r="O46" s="60" t="s">
        <v>20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s="7" customFormat="1" ht="14.25" x14ac:dyDescent="0.25">
      <c r="A47" s="16" t="s">
        <v>13</v>
      </c>
      <c r="B47" s="30">
        <v>1545.0320000000002</v>
      </c>
      <c r="C47" s="31">
        <v>150.1529999</v>
      </c>
      <c r="D47" s="31">
        <v>93.42500004</v>
      </c>
      <c r="E47" s="31">
        <v>255.51200059999999</v>
      </c>
      <c r="F47" s="31">
        <v>268.79500039999999</v>
      </c>
      <c r="G47" s="31">
        <v>241.14500050000001</v>
      </c>
      <c r="H47" s="31">
        <v>0</v>
      </c>
      <c r="I47" s="31">
        <v>0</v>
      </c>
      <c r="J47" s="31">
        <v>21.539539165481248</v>
      </c>
      <c r="K47" s="31">
        <v>270.28463000000005</v>
      </c>
      <c r="L47" s="31">
        <v>428.49399999999997</v>
      </c>
      <c r="M47" s="31">
        <v>139.02200000000002</v>
      </c>
      <c r="N47" s="31">
        <v>473.29199999999992</v>
      </c>
      <c r="O47" s="58" t="s">
        <v>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s="7" customFormat="1" ht="14.25" x14ac:dyDescent="0.25">
      <c r="A48" s="10" t="s">
        <v>29</v>
      </c>
      <c r="B48" s="26">
        <v>532.16600000000005</v>
      </c>
      <c r="C48" s="27">
        <f>SUM(C49:C54)</f>
        <v>1409.2275955963132</v>
      </c>
      <c r="D48" s="27">
        <f t="shared" ref="D48:I48" si="14">SUM(D49:D54)</f>
        <v>473.927195375</v>
      </c>
      <c r="E48" s="27">
        <f t="shared" si="14"/>
        <v>328.99549902499996</v>
      </c>
      <c r="F48" s="27">
        <f t="shared" si="14"/>
        <v>225.87965220000001</v>
      </c>
      <c r="G48" s="27">
        <f t="shared" si="14"/>
        <v>165.273549613</v>
      </c>
      <c r="H48" s="27">
        <f t="shared" si="14"/>
        <v>259.91851431600003</v>
      </c>
      <c r="I48" s="27">
        <f t="shared" si="14"/>
        <v>133.28540511400001</v>
      </c>
      <c r="J48" s="27">
        <f>SUM(J49:J54)</f>
        <v>181.67146277704833</v>
      </c>
      <c r="K48" s="27">
        <f>SUM(K49:K54)</f>
        <v>9.3071001892089811</v>
      </c>
      <c r="L48" s="27">
        <f>SUM(L49:L54)</f>
        <v>0.99991859193443555</v>
      </c>
      <c r="M48" s="27">
        <f>SUM(M49:M54)</f>
        <v>0</v>
      </c>
      <c r="N48" s="27">
        <f>SUM(N49:N54)</f>
        <v>0</v>
      </c>
      <c r="O48" s="57" t="s">
        <v>30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s="3" customFormat="1" ht="14.25" x14ac:dyDescent="0.25">
      <c r="A49" s="34" t="s">
        <v>11</v>
      </c>
      <c r="B49" s="39">
        <v>0.14499999999999999</v>
      </c>
      <c r="C49" s="36">
        <v>150.75779422760013</v>
      </c>
      <c r="D49" s="36">
        <v>165.47909430000001</v>
      </c>
      <c r="E49" s="36">
        <v>43.500298180000001</v>
      </c>
      <c r="F49" s="40">
        <v>8.1038996999999995</v>
      </c>
      <c r="G49" s="40">
        <v>28.318499020000001</v>
      </c>
      <c r="H49" s="40">
        <v>30.724979673</v>
      </c>
      <c r="I49" s="40">
        <v>28.036006317999998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57" t="s">
        <v>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ht="14.25" x14ac:dyDescent="0.25">
      <c r="A50" s="16" t="s">
        <v>9</v>
      </c>
      <c r="B50" s="39">
        <v>0.35099999999999998</v>
      </c>
      <c r="C50" s="36">
        <v>50.242399482727052</v>
      </c>
      <c r="D50" s="36">
        <v>17.096599749999999</v>
      </c>
      <c r="E50" s="36">
        <v>12.532599810000001</v>
      </c>
      <c r="F50" s="40">
        <v>0</v>
      </c>
      <c r="G50" s="40">
        <v>1.1439999999999999</v>
      </c>
      <c r="H50" s="40">
        <v>4.7920220709999999</v>
      </c>
      <c r="I50" s="40">
        <v>34.878557720000003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60" t="s">
        <v>6</v>
      </c>
    </row>
    <row r="51" spans="1:47" ht="15" x14ac:dyDescent="0.25">
      <c r="A51" s="16" t="s">
        <v>10</v>
      </c>
      <c r="B51" s="39"/>
      <c r="C51" s="36"/>
      <c r="D51" s="36"/>
      <c r="E51" s="36"/>
      <c r="F51" s="40"/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56" t="s">
        <v>7</v>
      </c>
    </row>
    <row r="52" spans="1:47" ht="15" x14ac:dyDescent="0.2">
      <c r="A52" s="63" t="s">
        <v>31</v>
      </c>
      <c r="B52" s="39"/>
      <c r="C52" s="36"/>
      <c r="D52" s="36"/>
      <c r="E52" s="36"/>
      <c r="F52" s="40"/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56" t="s">
        <v>32</v>
      </c>
    </row>
    <row r="53" spans="1:47" ht="14.25" x14ac:dyDescent="0.25">
      <c r="A53" s="16" t="s">
        <v>12</v>
      </c>
      <c r="B53" s="30">
        <v>11.898</v>
      </c>
      <c r="C53" s="31">
        <v>7.0638001708984373</v>
      </c>
      <c r="D53" s="31">
        <v>6.703100225</v>
      </c>
      <c r="E53" s="31">
        <v>0.97680003500000001</v>
      </c>
      <c r="F53" s="32">
        <v>0</v>
      </c>
      <c r="G53" s="32">
        <v>5.7258002929999998</v>
      </c>
      <c r="H53" s="32">
        <v>0.19747173500000001</v>
      </c>
      <c r="I53" s="32">
        <v>3.217691737</v>
      </c>
      <c r="J53" s="32">
        <v>1.3473650546337514E-2</v>
      </c>
      <c r="K53" s="32">
        <v>0</v>
      </c>
      <c r="L53" s="32">
        <v>0</v>
      </c>
      <c r="M53" s="40">
        <v>0</v>
      </c>
      <c r="N53" s="40">
        <v>0</v>
      </c>
      <c r="O53" s="60" t="s">
        <v>20</v>
      </c>
    </row>
    <row r="54" spans="1:47" ht="14.25" x14ac:dyDescent="0.25">
      <c r="A54" s="17" t="s">
        <v>13</v>
      </c>
      <c r="B54" s="41">
        <v>519.77200000000005</v>
      </c>
      <c r="C54" s="42">
        <v>1201.1636017150877</v>
      </c>
      <c r="D54" s="42">
        <v>284.6484011</v>
      </c>
      <c r="E54" s="42">
        <v>271.98580099999998</v>
      </c>
      <c r="F54" s="43">
        <v>217.77575250000001</v>
      </c>
      <c r="G54" s="43">
        <v>130.08525030000001</v>
      </c>
      <c r="H54" s="43">
        <v>224.20404083700001</v>
      </c>
      <c r="I54" s="43">
        <v>67.153149339000009</v>
      </c>
      <c r="J54" s="43">
        <v>181.657989126502</v>
      </c>
      <c r="K54" s="43">
        <v>9.3071001892089811</v>
      </c>
      <c r="L54" s="43">
        <v>0.99991859193443555</v>
      </c>
      <c r="M54" s="64">
        <v>0</v>
      </c>
      <c r="N54" s="64">
        <v>0</v>
      </c>
      <c r="O54" s="61" t="s">
        <v>8</v>
      </c>
    </row>
    <row r="55" spans="1:47" ht="14.25" x14ac:dyDescent="0.25">
      <c r="A55" s="1" t="s">
        <v>1</v>
      </c>
      <c r="B55" s="1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58" t="s">
        <v>2</v>
      </c>
    </row>
    <row r="56" spans="1:47" x14ac:dyDescent="0.25">
      <c r="A56" s="45"/>
      <c r="B56" s="45"/>
    </row>
    <row r="57" spans="1:47" ht="18.75" x14ac:dyDescent="0.25">
      <c r="A57" s="45"/>
      <c r="B57" s="45"/>
      <c r="O57" s="47"/>
    </row>
    <row r="58" spans="1:47" ht="18.75" x14ac:dyDescent="0.25">
      <c r="A58" s="45"/>
      <c r="B58" s="45"/>
      <c r="O58" s="47"/>
    </row>
    <row r="59" spans="1:47" ht="18.75" x14ac:dyDescent="0.25">
      <c r="O59" s="47"/>
    </row>
    <row r="60" spans="1:47" s="7" customFormat="1" ht="18.75" x14ac:dyDescent="0.25">
      <c r="B60" s="48">
        <v>127183.61479999998</v>
      </c>
      <c r="C60" s="27"/>
      <c r="D60" s="27"/>
      <c r="E60" s="12" t="s">
        <v>18</v>
      </c>
      <c r="F60" s="27">
        <f>SUM(F61:F66)</f>
        <v>120000.92939572007</v>
      </c>
      <c r="G60" s="27"/>
      <c r="H60" s="27"/>
      <c r="I60" s="27"/>
      <c r="J60" s="49"/>
      <c r="K60" s="49"/>
      <c r="L60" s="49"/>
      <c r="M60" s="49"/>
      <c r="N60" s="49"/>
      <c r="O60" s="4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 s="7" customFormat="1" ht="18.75" x14ac:dyDescent="0.25">
      <c r="B61" s="48">
        <v>123441.52179999999</v>
      </c>
      <c r="C61" s="27"/>
      <c r="D61" s="27"/>
      <c r="E61" s="12" t="s">
        <v>21</v>
      </c>
      <c r="F61" s="27">
        <v>116940.02259357934</v>
      </c>
      <c r="G61" s="27"/>
      <c r="H61" s="27"/>
      <c r="I61" s="27"/>
      <c r="J61" s="49"/>
      <c r="K61" s="49"/>
      <c r="L61" s="49"/>
      <c r="M61" s="49"/>
      <c r="N61" s="49"/>
      <c r="O61" s="4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H61" s="10"/>
      <c r="AI61" s="53"/>
      <c r="AJ61" s="27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1:47" s="7" customFormat="1" ht="18.75" x14ac:dyDescent="0.25">
      <c r="B62" s="48">
        <v>429.96600000000001</v>
      </c>
      <c r="C62" s="27"/>
      <c r="D62" s="27"/>
      <c r="E62" s="12" t="s">
        <v>23</v>
      </c>
      <c r="F62" s="27">
        <v>1005.9614987606687</v>
      </c>
      <c r="G62" s="27"/>
      <c r="H62" s="27"/>
      <c r="I62" s="27"/>
      <c r="J62" s="49"/>
      <c r="K62" s="49"/>
      <c r="L62" s="49"/>
      <c r="M62" s="49"/>
      <c r="N62" s="49"/>
      <c r="O62" s="4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H62" s="10"/>
      <c r="AI62" s="54"/>
      <c r="AJ62" s="28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s="7" customFormat="1" ht="18.75" x14ac:dyDescent="0.25">
      <c r="B63" s="48">
        <v>494.35300000000001</v>
      </c>
      <c r="C63" s="27"/>
      <c r="D63" s="27"/>
      <c r="E63" s="12" t="s">
        <v>25</v>
      </c>
      <c r="F63" s="27">
        <v>677.87643155977037</v>
      </c>
      <c r="G63" s="27"/>
      <c r="H63" s="27"/>
      <c r="I63" s="27"/>
      <c r="J63" s="49"/>
      <c r="K63" s="49"/>
      <c r="L63" s="49"/>
      <c r="M63" s="49"/>
      <c r="N63" s="49"/>
      <c r="O63" s="4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H63" s="10"/>
      <c r="AI63" s="53"/>
      <c r="AJ63" s="28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s="7" customFormat="1" ht="18.75" x14ac:dyDescent="0.25">
      <c r="B64" s="48">
        <v>73.063000000000002</v>
      </c>
      <c r="C64" s="27"/>
      <c r="D64" s="27"/>
      <c r="E64" s="12" t="s">
        <v>27</v>
      </c>
      <c r="F64" s="27">
        <v>1060.6535379842462</v>
      </c>
      <c r="G64" s="27"/>
      <c r="H64" s="27"/>
      <c r="I64" s="27"/>
      <c r="J64" s="49"/>
      <c r="K64" s="49"/>
      <c r="L64" s="49"/>
      <c r="M64" s="49"/>
      <c r="N64" s="49"/>
      <c r="O64" s="4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H64" s="10"/>
      <c r="AI64" s="53"/>
      <c r="AJ64" s="28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2:47" s="7" customFormat="1" ht="18.75" x14ac:dyDescent="0.25">
      <c r="B65" s="48">
        <v>2212.69</v>
      </c>
      <c r="C65" s="27"/>
      <c r="D65" s="27"/>
      <c r="E65" s="50" t="s">
        <v>3</v>
      </c>
      <c r="F65" s="27">
        <v>134.74387105900715</v>
      </c>
      <c r="G65" s="27"/>
      <c r="H65" s="27"/>
      <c r="I65" s="27"/>
      <c r="J65" s="49"/>
      <c r="K65" s="49"/>
      <c r="L65" s="49"/>
      <c r="M65" s="49"/>
      <c r="N65" s="49"/>
      <c r="O65" s="4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H65" s="10"/>
      <c r="AI65" s="53"/>
      <c r="AJ65" s="28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2:47" s="7" customFormat="1" ht="18.75" x14ac:dyDescent="0.25">
      <c r="B66" s="48">
        <v>532.16600000000005</v>
      </c>
      <c r="C66" s="27"/>
      <c r="D66" s="27"/>
      <c r="E66" s="12" t="s">
        <v>29</v>
      </c>
      <c r="F66" s="27">
        <v>181.67146277704833</v>
      </c>
      <c r="G66" s="27"/>
      <c r="H66" s="27"/>
      <c r="I66" s="27"/>
      <c r="J66" s="49"/>
      <c r="K66" s="49"/>
      <c r="L66" s="49"/>
      <c r="M66" s="49"/>
      <c r="N66" s="49"/>
      <c r="O66" s="4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I66" s="53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2:47" ht="18.75" x14ac:dyDescent="0.25">
      <c r="O67" s="47"/>
      <c r="AH67" s="10"/>
      <c r="AI67" s="13"/>
      <c r="AJ67" s="27"/>
    </row>
    <row r="68" spans="2:47" ht="18.75" x14ac:dyDescent="0.25">
      <c r="O68" s="47"/>
      <c r="AH68" s="10"/>
      <c r="AI68" s="13"/>
      <c r="AJ68" s="4"/>
    </row>
    <row r="69" spans="2:47" ht="18.75" x14ac:dyDescent="0.25">
      <c r="O69" s="47"/>
      <c r="AH69" s="10"/>
      <c r="AI69" s="13"/>
      <c r="AJ69" s="4"/>
    </row>
    <row r="70" spans="2:47" ht="18.75" x14ac:dyDescent="0.25">
      <c r="O70" s="47"/>
      <c r="AH70" s="10"/>
      <c r="AI70" s="13"/>
      <c r="AJ70" s="4"/>
    </row>
    <row r="71" spans="2:47" x14ac:dyDescent="0.25">
      <c r="AH71" s="33"/>
      <c r="AI71" s="13"/>
      <c r="AJ71" s="4"/>
    </row>
    <row r="72" spans="2:47" x14ac:dyDescent="0.25">
      <c r="AH72" s="10"/>
      <c r="AI72" s="13"/>
      <c r="AJ72" s="4"/>
    </row>
  </sheetData>
  <mergeCells count="2">
    <mergeCell ref="A1:O1"/>
    <mergeCell ref="A2:O2"/>
  </mergeCells>
  <pageMargins left="0.18" right="0.22" top="0.75" bottom="0.75" header="0.3" footer="0.3"/>
  <pageSetup scale="66" orientation="portrait" r:id="rId1"/>
  <rowBreaks count="1" manualBreakCount="1">
    <brk id="56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2017-10-22T07:32:39Z</cp:lastPrinted>
  <dcterms:created xsi:type="dcterms:W3CDTF">2014-03-04T03:52:57Z</dcterms:created>
  <dcterms:modified xsi:type="dcterms:W3CDTF">2017-10-22T07:34:30Z</dcterms:modified>
</cp:coreProperties>
</file>