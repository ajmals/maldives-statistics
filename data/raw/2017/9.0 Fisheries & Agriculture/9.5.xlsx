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Shahuda not checked\9. FISHERIES AND AGRICULTURE\"/>
    </mc:Choice>
  </mc:AlternateContent>
  <bookViews>
    <workbookView xWindow="0" yWindow="0" windowWidth="28800" windowHeight="12345" tabRatio="898"/>
  </bookViews>
  <sheets>
    <sheet name="9.5" sheetId="10" r:id="rId1"/>
  </sheets>
  <externalReferences>
    <externalReference r:id="rId2"/>
    <externalReference r:id="rId3"/>
  </externalReferences>
  <calcPr calcId="162913"/>
</workbook>
</file>

<file path=xl/calcChain.xml><?xml version="1.0" encoding="utf-8"?>
<calcChain xmlns="http://schemas.openxmlformats.org/spreadsheetml/2006/main">
  <c r="F8" i="10" l="1"/>
  <c r="B21" i="10" l="1"/>
  <c r="AC20" i="10"/>
  <c r="AB20" i="10"/>
  <c r="AA20" i="10"/>
  <c r="Z20" i="10"/>
  <c r="Y20" i="10"/>
  <c r="B20" i="10"/>
  <c r="B19" i="10"/>
  <c r="B18" i="10"/>
  <c r="B17" i="10"/>
  <c r="B16" i="10"/>
  <c r="B15" i="10"/>
  <c r="B14" i="10"/>
  <c r="AB14" i="10" s="1"/>
  <c r="B13" i="10"/>
  <c r="B12" i="10"/>
  <c r="B11" i="10"/>
  <c r="B10" i="10"/>
  <c r="B9" i="10"/>
  <c r="J8" i="10"/>
  <c r="I8" i="10"/>
  <c r="H8" i="10"/>
  <c r="G8" i="10"/>
  <c r="E8" i="10"/>
  <c r="D8" i="10"/>
  <c r="C8" i="10"/>
  <c r="B8" i="10" l="1"/>
  <c r="AD19" i="10" s="1"/>
  <c r="AD20" i="10" s="1"/>
</calcChain>
</file>

<file path=xl/sharedStrings.xml><?xml version="1.0" encoding="utf-8"?>
<sst xmlns="http://schemas.openxmlformats.org/spreadsheetml/2006/main" count="58" uniqueCount="57">
  <si>
    <t>Month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</si>
  <si>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</si>
  <si>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</si>
  <si>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</si>
  <si>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</si>
  <si>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</si>
  <si>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</si>
  <si>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</si>
  <si>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</si>
  <si>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</si>
  <si>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</si>
  <si>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</si>
  <si>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</si>
  <si>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</si>
  <si>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Ministry of Fisheries  and Agriculture</t>
  </si>
  <si>
    <t>wlcmuj</t>
  </si>
  <si>
    <t>Irwaunej</t>
  </si>
  <si>
    <t>Irwaurcbef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</si>
  <si>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</si>
  <si>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</si>
  <si>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</si>
  <si>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</si>
  <si>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</si>
  <si>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</si>
  <si>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</si>
  <si>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</si>
  <si>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</si>
  <si>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 xml:space="preserve"> rwCclwkircgea cDcnea  czIrwxif cfoa IrcTcsinim :ctWrwf ivcaedutWmUluAwm</t>
  </si>
  <si>
    <t>Fish catch</t>
  </si>
  <si>
    <t>EEZ</t>
  </si>
  <si>
    <t>(cnunwT ckircTem)</t>
  </si>
  <si>
    <t>ilencnwk</t>
  </si>
  <si>
    <t>ilencnwk uDobOl</t>
  </si>
  <si>
    <t>cswm iSov</t>
  </si>
  <si>
    <t>iTcawl</t>
  </si>
  <si>
    <t>iDnogWr</t>
  </si>
  <si>
    <t>cswmurwf cnehinehea</t>
  </si>
  <si>
    <t>Yellowfin tuna</t>
  </si>
  <si>
    <t>Bigeye tuna</t>
  </si>
  <si>
    <t>Dogtooth tuna</t>
  </si>
  <si>
    <t>Frigate tuna</t>
  </si>
  <si>
    <t>Other marine fish</t>
  </si>
  <si>
    <t>Skipjack</t>
  </si>
  <si>
    <t>(In metric tons)</t>
  </si>
  <si>
    <t>cswm</t>
  </si>
  <si>
    <t xml:space="preserve">    Type of fish</t>
  </si>
  <si>
    <t>ctwvWbeguhwm</t>
  </si>
  <si>
    <t xml:space="preserve">        wlcmuj</t>
  </si>
  <si>
    <t xml:space="preserve">       cswmwlibuLwk</t>
  </si>
  <si>
    <t>Little tuna</t>
  </si>
  <si>
    <t xml:space="preserve"> cnudcawHwrws IdWBitcqia</t>
  </si>
  <si>
    <t>cCrWm</t>
  </si>
  <si>
    <t>Fish catch growth</t>
  </si>
  <si>
    <t>Albacore tuna</t>
  </si>
  <si>
    <t>ilencnwk ugid ctwfcnwk</t>
  </si>
  <si>
    <t>2016 ,urwvcnim iaWtwvcaWb eguhwminEb wtwvun ifih iawguhwmcswmikea :9.5 ulwvWt</t>
  </si>
  <si>
    <t>Table 9.5 :  MONTHLY FISH CATCH BY TYPE , 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</si>
</sst>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mmmm\ d\,\ yyyy;@"/>
    <numFmt numFmtId="165" formatCode="General_)"/>
    <numFmt numFmtId="168" formatCode="_(* #,##0.0_);_(* \(#,##0.0\);_(* \-??_);_(@_)"/>
  </numFmts>
  <fonts count="30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9"/>
      <name val="Courier"/>
      <family val="3"/>
    </font>
    <font>
      <i/>
      <sz val="9"/>
      <name val="Calibri"/>
      <family val="2"/>
    </font>
    <font>
      <sz val="9"/>
      <name val="A_Randhoo"/>
    </font>
    <font>
      <b/>
      <sz val="10"/>
      <name val="Calibri"/>
      <family val="2"/>
    </font>
    <font>
      <b/>
      <sz val="10"/>
      <name val="A_Randhoo"/>
    </font>
    <font>
      <sz val="10"/>
      <name val="A_Randhoo"/>
    </font>
    <font>
      <b/>
      <sz val="9"/>
      <name val="Calibri"/>
      <family val="2"/>
      <scheme val="minor"/>
    </font>
    <font>
      <b/>
      <sz val="12"/>
      <name val="A_Randhoo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sz val="9"/>
      <name val="Win Ahamedey PRB"/>
      <family val="2"/>
    </font>
    <font>
      <b/>
      <sz val="10"/>
      <name val="A_Faseyha"/>
    </font>
    <font>
      <sz val="10"/>
      <name val="Win Ahamedey PRB"/>
      <family val="2"/>
    </font>
    <font>
      <i/>
      <sz val="10"/>
      <name val="Arial"/>
      <family val="2"/>
    </font>
    <font>
      <b/>
      <sz val="12"/>
      <name val="A_Waheed"/>
    </font>
    <font>
      <b/>
      <sz val="10"/>
      <name val="A_Waheed"/>
    </font>
    <font>
      <sz val="10"/>
      <name val="A_Waheed"/>
    </font>
    <font>
      <sz val="9"/>
      <name val="A_Waheed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40" fontId="4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  <xf numFmtId="0" fontId="3" fillId="0" borderId="0" applyFill="0" applyBorder="0" applyAlignment="0" applyProtection="0"/>
    <xf numFmtId="0" fontId="3" fillId="0" borderId="0"/>
  </cellStyleXfs>
  <cellXfs count="60">
    <xf numFmtId="0" fontId="0" fillId="0" borderId="0" xfId="0"/>
    <xf numFmtId="165" fontId="10" fillId="2" borderId="0" xfId="4" applyFont="1" applyFill="1" applyAlignment="1" applyProtection="1">
      <alignment horizontal="left" vertical="center"/>
    </xf>
    <xf numFmtId="38" fontId="7" fillId="2" borderId="2" xfId="1" applyNumberFormat="1" applyFont="1" applyFill="1" applyBorder="1" applyAlignment="1">
      <alignment horizontal="right"/>
    </xf>
    <xf numFmtId="165" fontId="1" fillId="2" borderId="0" xfId="4" applyFont="1" applyFill="1" applyAlignment="1">
      <alignment vertical="center"/>
    </xf>
    <xf numFmtId="165" fontId="17" fillId="2" borderId="0" xfId="4" applyFont="1" applyFill="1" applyAlignment="1">
      <alignment vertical="center"/>
    </xf>
    <xf numFmtId="165" fontId="9" fillId="2" borderId="0" xfId="4" applyFont="1" applyFill="1" applyAlignment="1">
      <alignment vertical="center"/>
    </xf>
    <xf numFmtId="165" fontId="20" fillId="2" borderId="0" xfId="4" applyFont="1" applyFill="1" applyAlignment="1" applyProtection="1">
      <alignment horizontal="left" vertical="center"/>
    </xf>
    <xf numFmtId="165" fontId="2" fillId="2" borderId="0" xfId="4" applyFont="1" applyFill="1" applyAlignment="1">
      <alignment vertical="center"/>
    </xf>
    <xf numFmtId="165" fontId="18" fillId="2" borderId="0" xfId="4" applyFont="1" applyFill="1" applyAlignment="1">
      <alignment vertical="center"/>
    </xf>
    <xf numFmtId="165" fontId="19" fillId="2" borderId="0" xfId="4" applyFont="1" applyFill="1" applyAlignment="1">
      <alignment vertical="center"/>
    </xf>
    <xf numFmtId="165" fontId="8" fillId="2" borderId="0" xfId="4" applyFont="1" applyFill="1" applyAlignment="1">
      <alignment vertical="center"/>
    </xf>
    <xf numFmtId="165" fontId="9" fillId="2" borderId="0" xfId="4" applyFont="1" applyFill="1" applyAlignment="1">
      <alignment horizontal="right" vertical="center"/>
    </xf>
    <xf numFmtId="165" fontId="18" fillId="2" borderId="0" xfId="4" applyFont="1" applyFill="1" applyAlignment="1">
      <alignment horizontal="right" vertical="center"/>
    </xf>
    <xf numFmtId="165" fontId="3" fillId="2" borderId="0" xfId="4" applyFont="1" applyFill="1" applyAlignment="1">
      <alignment vertical="center"/>
    </xf>
    <xf numFmtId="165" fontId="19" fillId="2" borderId="0" xfId="4" applyFont="1" applyFill="1" applyBorder="1" applyAlignment="1">
      <alignment horizontal="right" vertical="center"/>
    </xf>
    <xf numFmtId="165" fontId="21" fillId="2" borderId="0" xfId="4" applyFont="1" applyFill="1" applyBorder="1"/>
    <xf numFmtId="165" fontId="3" fillId="2" borderId="0" xfId="0" applyNumberFormat="1" applyFont="1" applyFill="1"/>
    <xf numFmtId="165" fontId="3" fillId="2" borderId="0" xfId="4" applyFont="1" applyFill="1" applyAlignment="1">
      <alignment horizontal="right" vertical="center"/>
    </xf>
    <xf numFmtId="165" fontId="18" fillId="2" borderId="0" xfId="4" applyFont="1" applyFill="1" applyAlignment="1">
      <alignment horizontal="centerContinuous" vertical="center"/>
    </xf>
    <xf numFmtId="165" fontId="2" fillId="2" borderId="0" xfId="4" applyFont="1" applyFill="1" applyAlignment="1" applyProtection="1">
      <alignment horizontal="center" vertical="center"/>
    </xf>
    <xf numFmtId="165" fontId="17" fillId="2" borderId="0" xfId="4" applyFont="1" applyFill="1" applyAlignment="1">
      <alignment horizontal="centerContinuous" vertical="center"/>
    </xf>
    <xf numFmtId="165" fontId="1" fillId="2" borderId="1" xfId="4" applyFont="1" applyFill="1" applyBorder="1" applyAlignment="1">
      <alignment vertical="center"/>
    </xf>
    <xf numFmtId="165" fontId="23" fillId="2" borderId="1" xfId="4" applyFont="1" applyFill="1" applyBorder="1"/>
    <xf numFmtId="165" fontId="23" fillId="2" borderId="0" xfId="4" applyFont="1" applyFill="1" applyBorder="1"/>
    <xf numFmtId="165" fontId="2" fillId="2" borderId="0" xfId="4" applyFont="1" applyFill="1" applyBorder="1" applyAlignment="1" applyProtection="1">
      <alignment horizontal="left" vertical="center"/>
    </xf>
    <xf numFmtId="165" fontId="13" fillId="2" borderId="0" xfId="0" applyNumberFormat="1" applyFont="1" applyFill="1" applyAlignment="1">
      <alignment horizontal="right"/>
    </xf>
    <xf numFmtId="165" fontId="12" fillId="2" borderId="2" xfId="4" applyFont="1" applyFill="1" applyBorder="1" applyAlignment="1" applyProtection="1">
      <alignment horizontal="left" vertical="center"/>
    </xf>
    <xf numFmtId="165" fontId="12" fillId="2" borderId="2" xfId="4" applyFont="1" applyFill="1" applyBorder="1" applyAlignment="1" applyProtection="1">
      <alignment horizontal="right" vertical="center"/>
    </xf>
    <xf numFmtId="165" fontId="12" fillId="2" borderId="2" xfId="4" applyFont="1" applyFill="1" applyBorder="1" applyAlignment="1" applyProtection="1">
      <alignment horizontal="right" vertical="center" wrapText="1"/>
    </xf>
    <xf numFmtId="165" fontId="12" fillId="2" borderId="0" xfId="4" applyFont="1" applyFill="1" applyBorder="1" applyAlignment="1">
      <alignment vertical="center"/>
    </xf>
    <xf numFmtId="165" fontId="14" fillId="2" borderId="0" xfId="0" applyNumberFormat="1" applyFont="1" applyFill="1" applyAlignment="1">
      <alignment horizontal="right"/>
    </xf>
    <xf numFmtId="0" fontId="0" fillId="2" borderId="0" xfId="0" applyNumberFormat="1" applyFill="1"/>
    <xf numFmtId="168" fontId="18" fillId="2" borderId="0" xfId="6" applyNumberFormat="1" applyFont="1" applyFill="1" applyBorder="1" applyAlignment="1" applyProtection="1">
      <alignment horizontal="right" vertical="top" shrinkToFit="1"/>
    </xf>
    <xf numFmtId="165" fontId="14" fillId="2" borderId="0" xfId="0" applyNumberFormat="1" applyFont="1" applyFill="1" applyBorder="1" applyAlignment="1">
      <alignment horizontal="right"/>
    </xf>
    <xf numFmtId="165" fontId="24" fillId="2" borderId="0" xfId="4" applyFont="1" applyFill="1" applyAlignment="1" applyProtection="1">
      <alignment horizontal="left" vertical="center"/>
    </xf>
    <xf numFmtId="165" fontId="11" fillId="2" borderId="0" xfId="0" applyNumberFormat="1" applyFont="1" applyFill="1" applyAlignment="1">
      <alignment horizontal="right"/>
    </xf>
    <xf numFmtId="165" fontId="17" fillId="2" borderId="0" xfId="4" applyFont="1" applyFill="1" applyAlignment="1" applyProtection="1">
      <alignment horizontal="left" vertical="center"/>
    </xf>
    <xf numFmtId="3" fontId="17" fillId="2" borderId="0" xfId="4" applyNumberFormat="1" applyFont="1" applyFill="1"/>
    <xf numFmtId="38" fontId="5" fillId="2" borderId="0" xfId="1" applyNumberFormat="1" applyFont="1" applyFill="1" applyBorder="1" applyAlignment="1" applyProtection="1">
      <alignment horizontal="right" vertical="center"/>
      <protection hidden="1"/>
    </xf>
    <xf numFmtId="38" fontId="5" fillId="2" borderId="0" xfId="1" applyNumberFormat="1" applyFont="1" applyFill="1" applyBorder="1" applyAlignment="1">
      <alignment horizontal="right" vertical="center"/>
    </xf>
    <xf numFmtId="38" fontId="5" fillId="2" borderId="2" xfId="1" applyNumberFormat="1" applyFont="1" applyFill="1" applyBorder="1" applyAlignment="1" applyProtection="1">
      <alignment horizontal="right" vertical="center"/>
      <protection hidden="1"/>
    </xf>
    <xf numFmtId="165" fontId="16" fillId="2" borderId="0" xfId="4" applyFont="1" applyFill="1" applyAlignment="1">
      <alignment horizontal="center" vertical="center"/>
    </xf>
    <xf numFmtId="165" fontId="26" fillId="2" borderId="0" xfId="0" applyNumberFormat="1" applyFont="1" applyFill="1" applyAlignment="1">
      <alignment horizontal="right"/>
    </xf>
    <xf numFmtId="165" fontId="27" fillId="2" borderId="2" xfId="4" applyFont="1" applyFill="1" applyBorder="1" applyAlignment="1">
      <alignment horizontal="right" vertical="center"/>
    </xf>
    <xf numFmtId="165" fontId="28" fillId="2" borderId="0" xfId="0" applyNumberFormat="1" applyFont="1" applyFill="1" applyAlignment="1">
      <alignment horizontal="right"/>
    </xf>
    <xf numFmtId="165" fontId="26" fillId="2" borderId="0" xfId="0" applyNumberFormat="1" applyFont="1" applyFill="1" applyAlignment="1">
      <alignment horizontal="right" vertical="center"/>
    </xf>
    <xf numFmtId="165" fontId="26" fillId="2" borderId="0" xfId="0" applyNumberFormat="1" applyFont="1" applyFill="1" applyAlignment="1">
      <alignment horizontal="right" vertical="center" wrapText="1"/>
    </xf>
    <xf numFmtId="165" fontId="27" fillId="2" borderId="0" xfId="4" applyFont="1" applyFill="1" applyAlignment="1">
      <alignment vertical="center"/>
    </xf>
    <xf numFmtId="0" fontId="15" fillId="2" borderId="2" xfId="0" applyFont="1" applyFill="1" applyBorder="1" applyAlignment="1">
      <alignment horizontal="right" vertical="center"/>
    </xf>
    <xf numFmtId="38" fontId="7" fillId="2" borderId="0" xfId="1" applyNumberFormat="1" applyFont="1" applyFill="1" applyBorder="1" applyAlignment="1">
      <alignment horizontal="right"/>
    </xf>
    <xf numFmtId="165" fontId="27" fillId="2" borderId="0" xfId="0" applyNumberFormat="1" applyFont="1" applyFill="1" applyAlignment="1">
      <alignment horizontal="right" indent="2"/>
    </xf>
    <xf numFmtId="165" fontId="27" fillId="2" borderId="2" xfId="0" applyNumberFormat="1" applyFont="1" applyFill="1" applyBorder="1" applyAlignment="1">
      <alignment horizontal="right" indent="2"/>
    </xf>
    <xf numFmtId="165" fontId="6" fillId="2" borderId="0" xfId="4" applyFont="1" applyFill="1" applyAlignment="1" applyProtection="1">
      <alignment horizontal="left" vertical="center" indent="2"/>
    </xf>
    <xf numFmtId="165" fontId="6" fillId="2" borderId="2" xfId="4" applyFont="1" applyFill="1" applyBorder="1" applyAlignment="1" applyProtection="1">
      <alignment horizontal="left" vertical="center" indent="2"/>
    </xf>
    <xf numFmtId="165" fontId="25" fillId="2" borderId="0" xfId="4" applyFont="1" applyFill="1" applyAlignment="1">
      <alignment horizontal="center" vertical="center"/>
    </xf>
    <xf numFmtId="165" fontId="5" fillId="2" borderId="0" xfId="4" applyFont="1" applyFill="1" applyAlignment="1" applyProtection="1">
      <alignment horizontal="center" vertical="center"/>
    </xf>
    <xf numFmtId="165" fontId="22" fillId="2" borderId="0" xfId="4" applyFont="1" applyFill="1" applyAlignment="1">
      <alignment horizontal="center" vertical="center" wrapText="1"/>
    </xf>
    <xf numFmtId="165" fontId="8" fillId="2" borderId="2" xfId="4" applyFont="1" applyFill="1" applyBorder="1" applyAlignment="1" applyProtection="1">
      <alignment horizontal="center" vertical="center"/>
    </xf>
    <xf numFmtId="165" fontId="12" fillId="2" borderId="3" xfId="4" applyFont="1" applyFill="1" applyBorder="1" applyAlignment="1" applyProtection="1">
      <alignment horizontal="right" vertical="center" indent="2"/>
    </xf>
    <xf numFmtId="165" fontId="26" fillId="2" borderId="3" xfId="0" applyNumberFormat="1" applyFont="1" applyFill="1" applyBorder="1" applyAlignment="1">
      <alignment horizontal="left" vertical="center"/>
    </xf>
  </cellXfs>
  <cellStyles count="8">
    <cellStyle name="1" xfId="7"/>
    <cellStyle name="Comma 2" xfId="1"/>
    <cellStyle name="Comma_Statindicators" xfId="6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Fish &amp;  Agri - 8" xfId="4"/>
  </cellStyles>
  <dxfs count="0"/>
  <tableStyles count="0" defaultTableStyle="TableStyleMedium9" defaultPivotStyle="PivotStyleLight16"/>
  <colors>
    <mruColors>
      <color rgb="FFFF9900"/>
      <color rgb="FF009900"/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Documents\Agri_SYB%202017%20_%20for%20Recheck%20_4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8"/>
      <sheetName val="9.19"/>
      <sheetName val="9.20"/>
    </sheetNames>
    <sheetDataSet>
      <sheetData sheetId="0">
        <row r="6">
          <cell r="F6">
            <v>2012</v>
          </cell>
          <cell r="G6">
            <v>2013</v>
          </cell>
          <cell r="H6">
            <v>2014</v>
          </cell>
        </row>
        <row r="8">
          <cell r="A8" t="str">
            <v>January</v>
          </cell>
          <cell r="F8">
            <v>13736.8205</v>
          </cell>
          <cell r="G8">
            <v>5494.0505000000003</v>
          </cell>
          <cell r="H8">
            <v>3075.7</v>
          </cell>
        </row>
        <row r="9">
          <cell r="A9" t="str">
            <v>February</v>
          </cell>
          <cell r="F9">
            <v>13129.5085</v>
          </cell>
          <cell r="G9">
            <v>6652.4795000000004</v>
          </cell>
          <cell r="H9">
            <v>2827.83</v>
          </cell>
        </row>
        <row r="10">
          <cell r="A10" t="str">
            <v>March</v>
          </cell>
          <cell r="F10">
            <v>10113.8855</v>
          </cell>
          <cell r="G10">
            <v>2169.9749999999999</v>
          </cell>
          <cell r="H10">
            <v>4973.7240000000002</v>
          </cell>
        </row>
        <row r="11">
          <cell r="A11" t="str">
            <v>April</v>
          </cell>
          <cell r="F11">
            <v>8310.6272499999995</v>
          </cell>
          <cell r="G11">
            <v>4903.4449999999997</v>
          </cell>
          <cell r="H11">
            <v>3393.68</v>
          </cell>
        </row>
        <row r="12">
          <cell r="A12" t="str">
            <v>May</v>
          </cell>
          <cell r="F12">
            <v>9784.75</v>
          </cell>
          <cell r="G12">
            <v>1682.45</v>
          </cell>
          <cell r="H12">
            <v>1162.385</v>
          </cell>
        </row>
        <row r="13">
          <cell r="A13" t="str">
            <v>June</v>
          </cell>
          <cell r="F13" t="str">
            <v>-</v>
          </cell>
          <cell r="G13">
            <v>629.17499999999995</v>
          </cell>
          <cell r="H13">
            <v>135.19999999999999</v>
          </cell>
        </row>
        <row r="14">
          <cell r="A14" t="str">
            <v>July</v>
          </cell>
          <cell r="F14">
            <v>7576.585</v>
          </cell>
          <cell r="G14" t="str">
            <v>-</v>
          </cell>
          <cell r="H14">
            <v>10021.85</v>
          </cell>
        </row>
        <row r="15">
          <cell r="A15" t="str">
            <v>August</v>
          </cell>
          <cell r="F15">
            <v>4974.5874999999996</v>
          </cell>
          <cell r="G15" t="str">
            <v>-</v>
          </cell>
          <cell r="H15">
            <v>921.5</v>
          </cell>
        </row>
        <row r="16">
          <cell r="A16" t="str">
            <v>September</v>
          </cell>
          <cell r="F16" t="str">
            <v>-</v>
          </cell>
          <cell r="G16">
            <v>7582.9790000000003</v>
          </cell>
          <cell r="H16">
            <v>1818.71</v>
          </cell>
        </row>
        <row r="17">
          <cell r="A17" t="str">
            <v>October</v>
          </cell>
          <cell r="F17">
            <v>3558.34175</v>
          </cell>
          <cell r="G17">
            <v>3918.48</v>
          </cell>
          <cell r="H17">
            <v>1463.45</v>
          </cell>
        </row>
        <row r="18">
          <cell r="A18" t="str">
            <v>November</v>
          </cell>
          <cell r="F18">
            <v>9511.2639999999992</v>
          </cell>
          <cell r="G18">
            <v>386.66500000000002</v>
          </cell>
          <cell r="H18">
            <v>2034.43</v>
          </cell>
        </row>
        <row r="19">
          <cell r="A19" t="str">
            <v>December</v>
          </cell>
          <cell r="F19">
            <v>8162.64</v>
          </cell>
          <cell r="G19">
            <v>1173.1075000000001</v>
          </cell>
          <cell r="H19">
            <v>1197.5820000000001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25"/>
  <sheetViews>
    <sheetView tabSelected="1" workbookViewId="0">
      <selection activeCell="M15" sqref="M15"/>
    </sheetView>
  </sheetViews>
  <sheetFormatPr defaultColWidth="12.28515625" defaultRowHeight="12.75"/>
  <cols>
    <col min="1" max="4" width="12.28515625" style="13"/>
    <col min="5" max="6" width="12.28515625" style="17"/>
    <col min="7" max="7" width="12.28515625" style="13"/>
    <col min="8" max="9" width="12.28515625" style="17"/>
    <col min="10" max="10" width="13.85546875" style="13" customWidth="1"/>
    <col min="11" max="11" width="26.42578125" style="13" customWidth="1"/>
    <col min="12" max="16384" width="12.28515625" style="13"/>
  </cols>
  <sheetData>
    <row r="1" spans="1:42" s="7" customFormat="1" ht="19.5">
      <c r="A1" s="54" t="s">
        <v>55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41"/>
      <c r="M1" s="41"/>
      <c r="N1" s="41"/>
      <c r="O1" s="41"/>
      <c r="P1" s="41"/>
      <c r="Q1" s="41"/>
      <c r="R1" s="41"/>
      <c r="S1" s="41"/>
      <c r="T1" s="4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2" s="8" customFormat="1" ht="15">
      <c r="A2" s="55" t="s">
        <v>56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19"/>
      <c r="M2" s="19"/>
      <c r="N2" s="19"/>
      <c r="O2" s="19"/>
      <c r="P2" s="19"/>
      <c r="Q2" s="19"/>
      <c r="R2" s="19"/>
      <c r="S2" s="19"/>
      <c r="T2" s="19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2" s="12" customFormat="1" ht="15.75" customHeight="1">
      <c r="A3" s="56" t="s">
        <v>30</v>
      </c>
      <c r="B3" s="56"/>
      <c r="C3" s="56"/>
      <c r="D3" s="56"/>
      <c r="E3" s="56"/>
      <c r="F3" s="56"/>
      <c r="G3" s="56"/>
      <c r="H3" s="56"/>
      <c r="I3" s="56"/>
      <c r="J3" s="56"/>
      <c r="K3" s="56"/>
      <c r="M3" s="20"/>
      <c r="N3" s="20"/>
      <c r="O3" s="20"/>
      <c r="P3" s="20"/>
      <c r="Q3" s="20"/>
      <c r="R3" s="20"/>
      <c r="S3" s="20"/>
      <c r="T3" s="2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2" s="8" customFormat="1" ht="12">
      <c r="A4" s="57" t="s">
        <v>43</v>
      </c>
      <c r="B4" s="57"/>
      <c r="C4" s="57"/>
      <c r="D4" s="57"/>
      <c r="E4" s="57"/>
      <c r="F4" s="57"/>
      <c r="G4" s="57"/>
      <c r="H4" s="57"/>
      <c r="I4" s="57"/>
      <c r="J4" s="57"/>
      <c r="K4" s="57"/>
      <c r="M4" s="18"/>
      <c r="N4" s="18"/>
      <c r="O4" s="18"/>
      <c r="P4" s="18"/>
      <c r="Q4" s="18"/>
      <c r="R4" s="18"/>
      <c r="S4" s="18"/>
      <c r="T4" s="18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2" s="8" customFormat="1" ht="17.25" customHeight="1">
      <c r="A5" s="21"/>
      <c r="C5" s="58" t="s">
        <v>45</v>
      </c>
      <c r="D5" s="58"/>
      <c r="E5" s="58"/>
      <c r="F5" s="58"/>
      <c r="G5" s="58"/>
      <c r="H5" s="59" t="s">
        <v>46</v>
      </c>
      <c r="I5" s="59"/>
      <c r="J5" s="59"/>
      <c r="K5" s="22"/>
      <c r="L5" s="23"/>
      <c r="M5" s="15"/>
      <c r="N5" s="15"/>
      <c r="O5" s="15"/>
      <c r="P5" s="15"/>
      <c r="Q5" s="15"/>
      <c r="R5" s="15"/>
      <c r="S5" s="15"/>
      <c r="T5" s="15"/>
      <c r="U5" s="15"/>
      <c r="V5" s="1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2" s="4" customFormat="1" ht="30">
      <c r="A6" s="24"/>
      <c r="B6" s="42" t="s">
        <v>47</v>
      </c>
      <c r="C6" s="45" t="s">
        <v>48</v>
      </c>
      <c r="D6" s="45" t="s">
        <v>31</v>
      </c>
      <c r="E6" s="45" t="s">
        <v>32</v>
      </c>
      <c r="F6" s="45" t="s">
        <v>54</v>
      </c>
      <c r="G6" s="45" t="s">
        <v>33</v>
      </c>
      <c r="H6" s="45" t="s">
        <v>34</v>
      </c>
      <c r="I6" s="45" t="s">
        <v>35</v>
      </c>
      <c r="J6" s="46" t="s">
        <v>36</v>
      </c>
      <c r="K6" s="42" t="s">
        <v>44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2" s="10" customFormat="1" ht="25.5">
      <c r="A7" s="26" t="s">
        <v>0</v>
      </c>
      <c r="B7" s="27" t="s">
        <v>1</v>
      </c>
      <c r="C7" s="28" t="s">
        <v>42</v>
      </c>
      <c r="D7" s="27" t="s">
        <v>37</v>
      </c>
      <c r="E7" s="27" t="s">
        <v>38</v>
      </c>
      <c r="F7" s="48" t="s">
        <v>53</v>
      </c>
      <c r="G7" s="27" t="s">
        <v>39</v>
      </c>
      <c r="H7" s="27" t="s">
        <v>49</v>
      </c>
      <c r="I7" s="28" t="s">
        <v>40</v>
      </c>
      <c r="J7" s="28" t="s">
        <v>41</v>
      </c>
      <c r="K7" s="43"/>
      <c r="L7" s="25"/>
      <c r="M7" s="14"/>
      <c r="N7" s="14"/>
      <c r="O7" s="14"/>
      <c r="P7" s="14"/>
      <c r="Q7" s="14"/>
      <c r="R7" s="14"/>
      <c r="S7" s="14"/>
      <c r="T7" s="14"/>
      <c r="U7" s="14"/>
      <c r="V7" s="14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1:42" s="8" customFormat="1" ht="15.75">
      <c r="A8" s="29" t="s">
        <v>1</v>
      </c>
      <c r="B8" s="38">
        <f t="shared" ref="B8:B21" si="0">SUM(C8:J8)</f>
        <v>129190.99510655215</v>
      </c>
      <c r="C8" s="38">
        <f t="shared" ref="C8:J8" si="1">SUM(C9:C21)</f>
        <v>69589.480938961438</v>
      </c>
      <c r="D8" s="38">
        <f t="shared" si="1"/>
        <v>53705.451966178902</v>
      </c>
      <c r="E8" s="38">
        <f t="shared" si="1"/>
        <v>2480.0423404201256</v>
      </c>
      <c r="F8" s="38">
        <f t="shared" si="1"/>
        <v>15.290000000000001</v>
      </c>
      <c r="G8" s="38">
        <f t="shared" si="1"/>
        <v>11.453572517147913</v>
      </c>
      <c r="H8" s="38">
        <f t="shared" si="1"/>
        <v>29.990173019499927</v>
      </c>
      <c r="I8" s="38">
        <f t="shared" si="1"/>
        <v>143.18209877120302</v>
      </c>
      <c r="J8" s="38">
        <f t="shared" si="1"/>
        <v>3216.1040166838457</v>
      </c>
      <c r="K8" s="42" t="s">
        <v>15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2" s="8" customFormat="1" ht="15.75">
      <c r="A9" s="29" t="s">
        <v>29</v>
      </c>
      <c r="B9" s="38">
        <f t="shared" si="0"/>
        <v>1841.9949999999999</v>
      </c>
      <c r="C9" s="39">
        <v>2.4120000000000004</v>
      </c>
      <c r="D9" s="39">
        <v>726.78499999999997</v>
      </c>
      <c r="E9" s="39">
        <v>624.21599999999989</v>
      </c>
      <c r="F9" s="39">
        <v>15.290000000000001</v>
      </c>
      <c r="G9" s="39">
        <v>0</v>
      </c>
      <c r="H9" s="39">
        <v>0</v>
      </c>
      <c r="I9" s="39">
        <v>0</v>
      </c>
      <c r="J9" s="39">
        <v>473.29199999999992</v>
      </c>
      <c r="K9" s="42" t="s">
        <v>50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2" s="8" customFormat="1" ht="17.25">
      <c r="A10" s="52" t="s">
        <v>2</v>
      </c>
      <c r="B10" s="38">
        <f t="shared" si="0"/>
        <v>9242.4340000792708</v>
      </c>
      <c r="C10" s="49">
        <v>4691.4482103784767</v>
      </c>
      <c r="D10" s="49">
        <v>4149.9761229043952</v>
      </c>
      <c r="E10" s="49">
        <v>116.37063124860987</v>
      </c>
      <c r="F10" s="49">
        <v>0</v>
      </c>
      <c r="G10" s="49">
        <v>0.45046237136449496</v>
      </c>
      <c r="H10" s="49">
        <v>1.9620476254395924</v>
      </c>
      <c r="I10" s="49">
        <v>10.551469354097948</v>
      </c>
      <c r="J10" s="49">
        <v>271.67505619688666</v>
      </c>
      <c r="K10" s="50" t="s">
        <v>16</v>
      </c>
      <c r="L10" s="25"/>
      <c r="M10" s="25"/>
      <c r="N10" s="30"/>
      <c r="O10" s="30"/>
      <c r="P10" s="30"/>
      <c r="Q10" s="30"/>
      <c r="R10" s="30"/>
      <c r="S10" s="30"/>
      <c r="T10" s="30"/>
      <c r="U10" s="30"/>
      <c r="V10" s="30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2" s="8" customFormat="1" ht="17.25">
      <c r="A11" s="52" t="s">
        <v>3</v>
      </c>
      <c r="B11" s="38">
        <f t="shared" si="0"/>
        <v>9580.713106420797</v>
      </c>
      <c r="C11" s="49">
        <v>5031.5361995944741</v>
      </c>
      <c r="D11" s="49">
        <v>4241.184771571975</v>
      </c>
      <c r="E11" s="49">
        <v>183.36319092460985</v>
      </c>
      <c r="F11" s="49">
        <v>0</v>
      </c>
      <c r="G11" s="49">
        <v>0.57458080253767185</v>
      </c>
      <c r="H11" s="49">
        <v>1.2128124318242772</v>
      </c>
      <c r="I11" s="49">
        <v>10.967761446340122</v>
      </c>
      <c r="J11" s="49">
        <v>111.87378964903534</v>
      </c>
      <c r="K11" s="50" t="s">
        <v>17</v>
      </c>
      <c r="L11" s="25"/>
      <c r="M11" s="25"/>
      <c r="N11" s="30"/>
      <c r="O11" s="30"/>
      <c r="P11" s="30"/>
      <c r="Q11" s="30"/>
      <c r="R11" s="30"/>
      <c r="S11" s="30"/>
      <c r="T11" s="30"/>
      <c r="U11" s="30"/>
      <c r="V11" s="30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2" s="8" customFormat="1" ht="17.25">
      <c r="A12" s="52" t="s">
        <v>4</v>
      </c>
      <c r="B12" s="38">
        <f t="shared" si="0"/>
        <v>11081.115236540205</v>
      </c>
      <c r="C12" s="49">
        <v>4881.5159691106701</v>
      </c>
      <c r="D12" s="49">
        <v>5615.1365735482841</v>
      </c>
      <c r="E12" s="49">
        <v>201.44325466812236</v>
      </c>
      <c r="F12" s="49">
        <v>0</v>
      </c>
      <c r="G12" s="49">
        <v>0.60600319017645066</v>
      </c>
      <c r="H12" s="49">
        <v>3.4508757024182004</v>
      </c>
      <c r="I12" s="49">
        <v>17.178664903573125</v>
      </c>
      <c r="J12" s="49">
        <v>361.78389541696208</v>
      </c>
      <c r="K12" s="50" t="s">
        <v>51</v>
      </c>
      <c r="L12" s="25"/>
      <c r="M12" s="25"/>
      <c r="N12" s="30"/>
      <c r="O12" s="30"/>
      <c r="P12" s="30"/>
      <c r="Q12" s="30"/>
      <c r="R12" s="30"/>
      <c r="S12" s="30"/>
      <c r="T12" s="30"/>
      <c r="U12" s="30"/>
      <c r="V12" s="30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2" s="8" customFormat="1" ht="17.25">
      <c r="A13" s="52" t="s">
        <v>5</v>
      </c>
      <c r="B13" s="38">
        <f t="shared" si="0"/>
        <v>16088.390172322903</v>
      </c>
      <c r="C13" s="49">
        <v>9146.3603881650834</v>
      </c>
      <c r="D13" s="49">
        <v>6446.556937503994</v>
      </c>
      <c r="E13" s="49">
        <v>210.41093356877846</v>
      </c>
      <c r="F13" s="49">
        <v>0</v>
      </c>
      <c r="G13" s="49">
        <v>0.45338016450238161</v>
      </c>
      <c r="H13" s="49">
        <v>1.3607815674270967</v>
      </c>
      <c r="I13" s="49">
        <v>18.917459773618294</v>
      </c>
      <c r="J13" s="49">
        <v>264.33029157949721</v>
      </c>
      <c r="K13" s="50" t="s">
        <v>18</v>
      </c>
      <c r="L13" s="30"/>
      <c r="M13" s="25"/>
      <c r="N13" s="30"/>
      <c r="O13" s="30"/>
      <c r="P13" s="30"/>
      <c r="Q13" s="30"/>
      <c r="R13" s="30"/>
      <c r="S13" s="30"/>
      <c r="T13" s="30"/>
      <c r="U13" s="30"/>
      <c r="V13" s="30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s="8" customFormat="1" ht="17.25">
      <c r="A14" s="52" t="s">
        <v>6</v>
      </c>
      <c r="B14" s="38">
        <f t="shared" si="0"/>
        <v>11028.292071055752</v>
      </c>
      <c r="C14" s="49">
        <v>5548.7747814018876</v>
      </c>
      <c r="D14" s="49">
        <v>4869.9003103435725</v>
      </c>
      <c r="E14" s="49">
        <v>112.46168334039248</v>
      </c>
      <c r="F14" s="49">
        <v>0</v>
      </c>
      <c r="G14" s="49">
        <v>0.49490260531076796</v>
      </c>
      <c r="H14" s="49">
        <v>2.1656075085378417</v>
      </c>
      <c r="I14" s="49">
        <v>16.481738014890929</v>
      </c>
      <c r="J14" s="49">
        <v>478.01304784116144</v>
      </c>
      <c r="K14" s="50" t="s">
        <v>19</v>
      </c>
      <c r="L14" s="30"/>
      <c r="M14" s="25"/>
      <c r="N14" s="30"/>
      <c r="O14" s="30"/>
      <c r="P14" s="30"/>
      <c r="Q14" s="30"/>
      <c r="R14" s="30"/>
      <c r="S14" s="30"/>
      <c r="T14" s="30"/>
      <c r="U14" s="30"/>
      <c r="V14" s="30"/>
      <c r="W14" s="5"/>
      <c r="X14" s="5"/>
      <c r="Y14" s="5"/>
      <c r="Z14" s="5"/>
      <c r="AA14" s="5"/>
      <c r="AB14" s="31">
        <f>((AA14/B14)-1)*100</f>
        <v>-100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s="8" customFormat="1" ht="17.25">
      <c r="A15" s="52" t="s">
        <v>7</v>
      </c>
      <c r="B15" s="38">
        <f t="shared" si="0"/>
        <v>3361.4459041135619</v>
      </c>
      <c r="C15" s="49">
        <v>1342.1734468435418</v>
      </c>
      <c r="D15" s="49">
        <v>1906.4871361774253</v>
      </c>
      <c r="E15" s="49">
        <v>63.865653011934214</v>
      </c>
      <c r="F15" s="49">
        <v>0</v>
      </c>
      <c r="G15" s="49">
        <v>0.63854780594518601</v>
      </c>
      <c r="H15" s="49">
        <v>1.258074712158364</v>
      </c>
      <c r="I15" s="49">
        <v>8.8386713095810343</v>
      </c>
      <c r="J15" s="49">
        <v>38.184374252975942</v>
      </c>
      <c r="K15" s="50" t="s">
        <v>20</v>
      </c>
      <c r="L15" s="30"/>
      <c r="M15" s="25"/>
      <c r="N15" s="30"/>
      <c r="O15" s="30"/>
      <c r="P15" s="30"/>
      <c r="Q15" s="30"/>
      <c r="R15" s="30"/>
      <c r="S15" s="30"/>
      <c r="T15" s="30"/>
      <c r="U15" s="30"/>
      <c r="V15" s="30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s="4" customFormat="1" ht="17.25">
      <c r="A16" s="52" t="s">
        <v>8</v>
      </c>
      <c r="B16" s="38">
        <f t="shared" si="0"/>
        <v>4321.9839660894231</v>
      </c>
      <c r="C16" s="49">
        <v>2647.9402846214421</v>
      </c>
      <c r="D16" s="49">
        <v>1446.254564426557</v>
      </c>
      <c r="E16" s="49">
        <v>77.203765945172393</v>
      </c>
      <c r="F16" s="49">
        <v>0</v>
      </c>
      <c r="G16" s="49">
        <v>0.78892637535934229</v>
      </c>
      <c r="H16" s="49">
        <v>2.4308974377938553</v>
      </c>
      <c r="I16" s="49">
        <v>18.143290518438462</v>
      </c>
      <c r="J16" s="49">
        <v>129.22223676466015</v>
      </c>
      <c r="K16" s="50" t="s">
        <v>21</v>
      </c>
      <c r="L16" s="30"/>
      <c r="M16" s="25"/>
      <c r="N16" s="30"/>
      <c r="O16" s="30"/>
      <c r="P16" s="30"/>
      <c r="Q16" s="30"/>
      <c r="R16" s="30"/>
      <c r="S16" s="30"/>
      <c r="T16" s="30"/>
      <c r="U16" s="30"/>
      <c r="V16" s="30"/>
      <c r="W16" s="6"/>
      <c r="X16" s="6"/>
      <c r="Y16" s="32">
        <v>158.16422040020001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30" s="4" customFormat="1" ht="17.25">
      <c r="A17" s="52" t="s">
        <v>9</v>
      </c>
      <c r="B17" s="38">
        <f t="shared" si="0"/>
        <v>6688.7992346372639</v>
      </c>
      <c r="C17" s="49">
        <v>3523.6842969510599</v>
      </c>
      <c r="D17" s="49">
        <v>2884.9055468541374</v>
      </c>
      <c r="E17" s="49">
        <v>66.797521232164868</v>
      </c>
      <c r="F17" s="49">
        <v>0</v>
      </c>
      <c r="G17" s="49">
        <v>0.61834769960597102</v>
      </c>
      <c r="H17" s="49">
        <v>4.0174366662277254</v>
      </c>
      <c r="I17" s="49">
        <v>17.234679646348056</v>
      </c>
      <c r="J17" s="49">
        <v>191.54140558771996</v>
      </c>
      <c r="K17" s="50" t="s">
        <v>22</v>
      </c>
      <c r="L17" s="30"/>
      <c r="M17" s="25"/>
      <c r="N17" s="30"/>
      <c r="O17" s="30"/>
      <c r="P17" s="30"/>
      <c r="Q17" s="30"/>
      <c r="R17" s="30"/>
      <c r="S17" s="30"/>
      <c r="T17" s="30"/>
      <c r="U17" s="30"/>
      <c r="V17" s="30"/>
    </row>
    <row r="18" spans="1:30" s="4" customFormat="1" ht="17.25">
      <c r="A18" s="52" t="s">
        <v>10</v>
      </c>
      <c r="B18" s="38">
        <f t="shared" si="0"/>
        <v>7126.7487685126462</v>
      </c>
      <c r="C18" s="49">
        <v>3630.2777654202127</v>
      </c>
      <c r="D18" s="49">
        <v>2889.7194545222969</v>
      </c>
      <c r="E18" s="49">
        <v>243.91734282273248</v>
      </c>
      <c r="F18" s="49">
        <v>0</v>
      </c>
      <c r="G18" s="49">
        <v>1.7416980576923173</v>
      </c>
      <c r="H18" s="49">
        <v>1.624867712631672</v>
      </c>
      <c r="I18" s="49">
        <v>4.5201434890332157</v>
      </c>
      <c r="J18" s="49">
        <v>354.94749648804651</v>
      </c>
      <c r="K18" s="50" t="s">
        <v>23</v>
      </c>
      <c r="L18" s="30"/>
      <c r="M18" s="25"/>
      <c r="N18" s="30"/>
      <c r="O18" s="30"/>
      <c r="P18" s="30"/>
      <c r="Q18" s="30"/>
      <c r="R18" s="30"/>
      <c r="S18" s="30"/>
      <c r="T18" s="30"/>
      <c r="U18" s="30"/>
      <c r="V18" s="30"/>
      <c r="Y18" s="4">
        <v>2005</v>
      </c>
      <c r="Z18" s="4">
        <v>2006</v>
      </c>
      <c r="AA18" s="4">
        <v>2007</v>
      </c>
      <c r="AB18" s="4">
        <v>2008</v>
      </c>
      <c r="AC18" s="4">
        <v>2009</v>
      </c>
      <c r="AD18" s="4">
        <v>2010</v>
      </c>
    </row>
    <row r="19" spans="1:30" s="4" customFormat="1" ht="17.25">
      <c r="A19" s="52" t="s">
        <v>11</v>
      </c>
      <c r="B19" s="38">
        <f t="shared" si="0"/>
        <v>17174.598309801167</v>
      </c>
      <c r="C19" s="49">
        <v>9264.2304267091113</v>
      </c>
      <c r="D19" s="49">
        <v>7578.0475163599149</v>
      </c>
      <c r="E19" s="49">
        <v>109.05171927025771</v>
      </c>
      <c r="F19" s="49">
        <v>0</v>
      </c>
      <c r="G19" s="49">
        <v>2.2029338191043939</v>
      </c>
      <c r="H19" s="49">
        <v>2.0769849266709395</v>
      </c>
      <c r="I19" s="49">
        <v>4.9157066976107711</v>
      </c>
      <c r="J19" s="49">
        <v>214.07302201849316</v>
      </c>
      <c r="K19" s="50" t="s">
        <v>24</v>
      </c>
      <c r="L19" s="30"/>
      <c r="M19" s="25"/>
      <c r="N19" s="30"/>
      <c r="O19" s="30"/>
      <c r="P19" s="30"/>
      <c r="Q19" s="30"/>
      <c r="R19" s="30"/>
      <c r="S19" s="30"/>
      <c r="T19" s="30"/>
      <c r="U19" s="30"/>
      <c r="V19" s="30"/>
      <c r="X19" s="4" t="s">
        <v>28</v>
      </c>
      <c r="Y19" s="4">
        <v>185.92283713</v>
      </c>
      <c r="Z19" s="4">
        <v>184.15829790303999</v>
      </c>
      <c r="AA19" s="4">
        <v>143.59485000000001</v>
      </c>
      <c r="AB19" s="4">
        <v>133.08589419040939</v>
      </c>
      <c r="AC19" s="4">
        <v>116.73585500050199</v>
      </c>
      <c r="AD19" s="4">
        <f>B8/1000</f>
        <v>129.19099510655215</v>
      </c>
    </row>
    <row r="20" spans="1:30" s="4" customFormat="1" ht="17.25">
      <c r="A20" s="52" t="s">
        <v>12</v>
      </c>
      <c r="B20" s="38">
        <f t="shared" si="0"/>
        <v>15969.368894941832</v>
      </c>
      <c r="C20" s="49">
        <v>8890.2940280737257</v>
      </c>
      <c r="D20" s="49">
        <v>6549.2651923205976</v>
      </c>
      <c r="E20" s="49">
        <v>338.36024224035299</v>
      </c>
      <c r="F20" s="49">
        <v>0</v>
      </c>
      <c r="G20" s="49">
        <v>0.60936987456631997</v>
      </c>
      <c r="H20" s="49">
        <v>1.4963998786621566</v>
      </c>
      <c r="I20" s="49">
        <v>6.5444670423384688</v>
      </c>
      <c r="J20" s="49">
        <v>182.79919551158883</v>
      </c>
      <c r="K20" s="50" t="s">
        <v>25</v>
      </c>
      <c r="L20" s="30"/>
      <c r="M20" s="25"/>
      <c r="N20" s="30"/>
      <c r="O20" s="30"/>
      <c r="P20" s="30"/>
      <c r="Q20" s="30"/>
      <c r="R20" s="30"/>
      <c r="S20" s="30"/>
      <c r="T20" s="30"/>
      <c r="U20" s="30"/>
      <c r="V20" s="30"/>
      <c r="X20" s="4" t="s">
        <v>52</v>
      </c>
      <c r="Y20" s="4">
        <f>((Y19/Y16)-1)*100</f>
        <v>17.550503305717857</v>
      </c>
      <c r="Z20" s="4">
        <f>((Z19/Y19)-1)*100</f>
        <v>-0.94907072966309292</v>
      </c>
      <c r="AA20" s="4">
        <f>((AA19/Z19)-1)*100</f>
        <v>-22.026402483583329</v>
      </c>
      <c r="AB20" s="4">
        <f>((AB19/AA19)-1)*100</f>
        <v>-7.3184768183473299</v>
      </c>
      <c r="AC20" s="4">
        <f>((AC19/AB19)-1)*100</f>
        <v>-12.28532842595248</v>
      </c>
      <c r="AD20" s="4">
        <f>((AD19/AC19)-1)*100</f>
        <v>10.669506901711223</v>
      </c>
    </row>
    <row r="21" spans="1:30" s="4" customFormat="1" ht="17.25">
      <c r="A21" s="53" t="s">
        <v>13</v>
      </c>
      <c r="B21" s="40">
        <f t="shared" si="0"/>
        <v>15685.110442037339</v>
      </c>
      <c r="C21" s="2">
        <v>10988.83314169175</v>
      </c>
      <c r="D21" s="2">
        <v>4401.2328396457506</v>
      </c>
      <c r="E21" s="2">
        <v>132.58040214699798</v>
      </c>
      <c r="F21" s="2">
        <v>0</v>
      </c>
      <c r="G21" s="2">
        <v>2.2744197509826152</v>
      </c>
      <c r="H21" s="2">
        <v>6.9333868497082047</v>
      </c>
      <c r="I21" s="2">
        <v>8.8880465753325542</v>
      </c>
      <c r="J21" s="2">
        <v>144.36820537681854</v>
      </c>
      <c r="K21" s="51" t="s">
        <v>26</v>
      </c>
      <c r="L21" s="33"/>
      <c r="M21" s="25"/>
      <c r="N21" s="33"/>
      <c r="O21" s="33"/>
      <c r="P21" s="33"/>
      <c r="Q21" s="33"/>
      <c r="R21" s="33"/>
      <c r="S21" s="33"/>
      <c r="T21" s="33"/>
      <c r="U21" s="33"/>
      <c r="V21" s="33"/>
    </row>
    <row r="22" spans="1:30" s="4" customFormat="1" ht="15.75">
      <c r="A22" s="1" t="s">
        <v>14</v>
      </c>
      <c r="B22" s="34"/>
      <c r="C22" s="34"/>
      <c r="D22" s="34"/>
      <c r="E22" s="34"/>
      <c r="F22" s="34"/>
      <c r="G22" s="34"/>
      <c r="H22" s="34"/>
      <c r="I22" s="34"/>
      <c r="K22" s="44" t="s">
        <v>27</v>
      </c>
      <c r="L22" s="30"/>
      <c r="M22" s="30"/>
      <c r="N22" s="30"/>
      <c r="O22" s="30"/>
      <c r="P22" s="30"/>
      <c r="Q22" s="30"/>
      <c r="R22" s="30"/>
      <c r="S22" s="30"/>
      <c r="T22" s="30"/>
    </row>
    <row r="23" spans="1:30" s="4" customFormat="1" ht="15.75">
      <c r="A23" s="1"/>
      <c r="B23" s="34"/>
      <c r="C23" s="34"/>
      <c r="D23" s="34"/>
      <c r="E23" s="34"/>
      <c r="F23" s="34"/>
      <c r="G23" s="34"/>
      <c r="H23" s="34"/>
      <c r="I23" s="34"/>
      <c r="K23" s="35"/>
      <c r="L23" s="30"/>
      <c r="M23" s="30"/>
      <c r="N23" s="30"/>
      <c r="O23" s="30"/>
      <c r="P23" s="30"/>
      <c r="Q23" s="30"/>
      <c r="R23" s="30"/>
      <c r="S23" s="30"/>
      <c r="T23" s="30"/>
    </row>
    <row r="24" spans="1:30" s="4" customFormat="1" ht="15.75">
      <c r="A24" s="1"/>
      <c r="B24" s="34"/>
      <c r="C24" s="34"/>
      <c r="D24" s="34"/>
      <c r="E24" s="34"/>
      <c r="F24" s="34"/>
      <c r="G24" s="34"/>
      <c r="H24" s="34"/>
      <c r="I24" s="34"/>
      <c r="K24" s="35"/>
      <c r="L24" s="30"/>
      <c r="M24" s="30"/>
      <c r="N24" s="30"/>
      <c r="O24" s="30"/>
      <c r="P24" s="30"/>
      <c r="Q24" s="30"/>
      <c r="R24" s="30"/>
      <c r="S24" s="30"/>
      <c r="T24" s="30"/>
    </row>
    <row r="25" spans="1:30" ht="15">
      <c r="K25" s="47"/>
      <c r="U25" s="36"/>
      <c r="V25" s="37">
        <v>13519.52297</v>
      </c>
      <c r="W25" s="37">
        <v>1827.2949759999999</v>
      </c>
      <c r="X25" s="37">
        <v>368.07010930000001</v>
      </c>
      <c r="Y25" s="37">
        <v>1000.2343550000001</v>
      </c>
      <c r="Z25" s="16"/>
      <c r="AA25" s="16"/>
    </row>
  </sheetData>
  <mergeCells count="6">
    <mergeCell ref="A1:K1"/>
    <mergeCell ref="A2:K2"/>
    <mergeCell ref="A3:K3"/>
    <mergeCell ref="A4:K4"/>
    <mergeCell ref="C5:G5"/>
    <mergeCell ref="H5:J5"/>
  </mergeCells>
  <pageMargins left="0.25" right="0.16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9.5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2017-10-22T07:31:50Z</cp:lastPrinted>
  <dcterms:created xsi:type="dcterms:W3CDTF">2014-03-04T03:52:57Z</dcterms:created>
  <dcterms:modified xsi:type="dcterms:W3CDTF">2017-10-22T07:31:59Z</dcterms:modified>
</cp:coreProperties>
</file>