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616"/>
  </bookViews>
  <sheets>
    <sheet name="11.17" sheetId="12" r:id="rId1"/>
  </sheets>
  <externalReferences>
    <externalReference r:id="rId2"/>
    <externalReference r:id="rId3"/>
  </externalReferences>
  <definedNames>
    <definedName name="_xlnm.Print_Area" localSheetId="0">'11.17'!$A$1:$J$57</definedName>
  </definedNames>
  <calcPr calcId="144525"/>
</workbook>
</file>

<file path=xl/calcChain.xml><?xml version="1.0" encoding="utf-8"?>
<calcChain xmlns="http://schemas.openxmlformats.org/spreadsheetml/2006/main">
  <c r="AA46" i="12" l="1"/>
  <c r="AB46" i="12"/>
  <c r="AA47" i="12"/>
  <c r="AB47" i="12"/>
  <c r="AA48" i="12"/>
  <c r="AB48" i="12"/>
  <c r="AA49" i="12"/>
  <c r="AB49" i="12"/>
  <c r="AA50" i="12"/>
  <c r="AB50" i="12"/>
  <c r="AA51" i="12"/>
  <c r="AB51" i="12"/>
  <c r="AA52" i="12"/>
  <c r="AB52" i="12"/>
  <c r="AA53" i="12"/>
  <c r="AB53" i="12"/>
  <c r="AA54" i="12"/>
  <c r="AB54" i="12"/>
  <c r="AA55" i="12"/>
  <c r="AB55" i="12"/>
  <c r="AA56" i="12"/>
  <c r="AB56" i="12"/>
  <c r="AB45" i="12"/>
  <c r="AA45" i="12"/>
  <c r="AA30" i="12"/>
  <c r="AB30" i="12"/>
  <c r="AC30" i="12"/>
  <c r="AA31" i="12"/>
  <c r="AB31" i="12"/>
  <c r="AC31" i="12"/>
  <c r="AA32" i="12"/>
  <c r="AB32" i="12"/>
  <c r="AC32" i="12"/>
  <c r="AA33" i="12"/>
  <c r="AB33" i="12"/>
  <c r="AC33" i="12"/>
  <c r="AA34" i="12"/>
  <c r="AB34" i="12"/>
  <c r="AC34" i="12"/>
  <c r="AA35" i="12"/>
  <c r="AB35" i="12"/>
  <c r="AC35" i="12"/>
  <c r="AA36" i="12"/>
  <c r="AB36" i="12"/>
  <c r="AC36" i="12"/>
  <c r="AA37" i="12"/>
  <c r="AB37" i="12"/>
  <c r="AC37" i="12"/>
  <c r="AA38" i="12"/>
  <c r="AB38" i="12"/>
  <c r="AC38" i="12"/>
  <c r="AA39" i="12"/>
  <c r="AB39" i="12"/>
  <c r="AC39" i="12"/>
  <c r="AA40" i="12"/>
  <c r="AB40" i="12"/>
  <c r="AC40" i="12"/>
  <c r="AB29" i="12"/>
  <c r="AC29" i="12"/>
  <c r="AA29" i="12"/>
  <c r="G6" i="12" l="1"/>
  <c r="C7" i="12"/>
  <c r="C6" i="12"/>
  <c r="B6" i="12" s="1"/>
  <c r="G17" i="12"/>
  <c r="C17" i="12"/>
  <c r="G16" i="12"/>
  <c r="C16" i="12"/>
  <c r="G15" i="12"/>
  <c r="C15" i="12"/>
  <c r="G14" i="12"/>
  <c r="C14" i="12"/>
  <c r="G13" i="12"/>
  <c r="C13" i="12"/>
  <c r="G12" i="12"/>
  <c r="C12" i="12"/>
  <c r="G11" i="12"/>
  <c r="C11" i="12"/>
  <c r="G10" i="12"/>
  <c r="C10" i="12"/>
  <c r="G9" i="12"/>
  <c r="C9" i="12"/>
  <c r="G8" i="12"/>
  <c r="C8" i="12"/>
  <c r="G7" i="12"/>
  <c r="I5" i="12"/>
  <c r="H5" i="12"/>
  <c r="F5" i="12"/>
  <c r="E5" i="12"/>
  <c r="D5" i="12"/>
  <c r="B7" i="12" l="1"/>
  <c r="C5" i="12"/>
  <c r="B11" i="12"/>
  <c r="B15" i="12"/>
  <c r="B12" i="12"/>
  <c r="B9" i="12"/>
  <c r="B13" i="12"/>
  <c r="B17" i="12"/>
  <c r="B10" i="12"/>
  <c r="G5" i="12"/>
  <c r="B5" i="12" s="1"/>
  <c r="B8" i="12"/>
  <c r="B16" i="12"/>
  <c r="B14" i="12"/>
</calcChain>
</file>

<file path=xl/sharedStrings.xml><?xml version="1.0" encoding="utf-8"?>
<sst xmlns="http://schemas.openxmlformats.org/spreadsheetml/2006/main" count="73" uniqueCount="47">
  <si>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</si>
  <si>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</si>
  <si>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</si>
  <si>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</si>
  <si>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</si>
  <si>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</si>
  <si>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</si>
  <si>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</si>
  <si>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</si>
  <si>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</si>
  <si>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</si>
  <si>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</si>
  <si>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</si>
  <si>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</si>
  <si>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</si>
  <si>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</si>
  <si>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</si>
  <si>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</si>
  <si>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</si>
  <si>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</si>
  <si>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</si>
  <si>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</si>
  <si>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</si>
  <si>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</si>
  <si>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</si>
  <si>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</si>
  <si>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</si>
  <si>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</si>
  <si>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</si>
  <si>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</si>
  <si>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</si>
  <si>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</si>
  <si>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Grand total</t>
  </si>
  <si>
    <t>Scheduled</t>
  </si>
  <si>
    <t>Chartered</t>
  </si>
  <si>
    <t>Non-Scheduled</t>
  </si>
  <si>
    <t>International</t>
  </si>
  <si>
    <t>Jan</t>
  </si>
  <si>
    <t>Feb</t>
  </si>
  <si>
    <t>Aug</t>
  </si>
  <si>
    <t>Sep</t>
  </si>
  <si>
    <t>Oct</t>
  </si>
  <si>
    <t>Nov</t>
  </si>
  <si>
    <t>Dec</t>
  </si>
  <si>
    <t>Domestic</t>
  </si>
  <si>
    <t>ތާވަލު 11.17: މަސްމަހުގެ ގޮތުން ބައިނަލް އަޤްވާމީ ވައިގެބަނދަރުން ދަތުރުކުރި ފްލައިޓްތައް، 2016</t>
  </si>
  <si>
    <t>Table  11.17 :  AIRCRAFT MOVEMENT AT IBRAHIM NASIR INTERNATIONAL AIRPORT BY MONTH,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</si>
</sst>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9"/>
      <name val="A_Randhoo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3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4" fillId="0" borderId="0"/>
    <xf numFmtId="164" fontId="10" fillId="0" borderId="0"/>
    <xf numFmtId="167" fontId="10" fillId="0" borderId="0" applyFont="0" applyFill="0" applyBorder="0" applyAlignment="0" applyProtection="0"/>
    <xf numFmtId="0" fontId="6" fillId="0" borderId="0"/>
    <xf numFmtId="0" fontId="18" fillId="0" borderId="0"/>
  </cellStyleXfs>
  <cellXfs count="53">
    <xf numFmtId="0" fontId="0" fillId="0" borderId="0" xfId="0"/>
    <xf numFmtId="0" fontId="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16" fillId="2" borderId="0" xfId="0" applyNumberFormat="1" applyFont="1" applyFill="1"/>
    <xf numFmtId="164" fontId="8" fillId="2" borderId="0" xfId="5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Alignment="1" applyProtection="1">
      <alignment horizontal="left" vertical="center"/>
    </xf>
    <xf numFmtId="0" fontId="11" fillId="2" borderId="0" xfId="13" applyFont="1" applyFill="1" applyAlignment="1">
      <alignment vertical="center"/>
    </xf>
    <xf numFmtId="0" fontId="9" fillId="2" borderId="2" xfId="0" applyNumberFormat="1" applyFont="1" applyFill="1" applyBorder="1" applyAlignment="1">
      <alignment horizontal="right" vertical="center"/>
    </xf>
    <xf numFmtId="164" fontId="0" fillId="2" borderId="0" xfId="0" applyNumberFormat="1" applyFill="1" applyBorder="1"/>
    <xf numFmtId="0" fontId="15" fillId="2" borderId="0" xfId="14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7" fillId="2" borderId="0" xfId="14" applyFont="1" applyFill="1" applyBorder="1" applyAlignment="1">
      <alignment horizontal="right"/>
    </xf>
    <xf numFmtId="164" fontId="3" fillId="2" borderId="5" xfId="5" applyNumberFormat="1" applyFont="1" applyFill="1" applyBorder="1" applyAlignment="1" applyProtection="1">
      <alignment horizontal="left" vertical="center"/>
    </xf>
    <xf numFmtId="0" fontId="17" fillId="2" borderId="5" xfId="14" applyFont="1" applyFill="1" applyBorder="1" applyAlignment="1">
      <alignment horizontal="right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164" fontId="0" fillId="2" borderId="0" xfId="0" applyNumberFormat="1" applyFill="1" applyAlignment="1">
      <alignment horizontal="center" vertical="center"/>
    </xf>
    <xf numFmtId="164" fontId="2" fillId="2" borderId="8" xfId="5" applyNumberFormat="1" applyFont="1" applyFill="1" applyBorder="1" applyAlignment="1" applyProtection="1">
      <alignment horizontal="right" vertical="center"/>
    </xf>
    <xf numFmtId="164" fontId="2" fillId="2" borderId="3" xfId="5" applyNumberFormat="1" applyFont="1" applyFill="1" applyBorder="1" applyAlignment="1" applyProtection="1">
      <alignment horizontal="right" vertical="center"/>
    </xf>
    <xf numFmtId="164" fontId="2" fillId="2" borderId="15" xfId="5" applyNumberFormat="1" applyFont="1" applyFill="1" applyBorder="1" applyAlignment="1" applyProtection="1">
      <alignment horizontal="right" vertical="center" wrapText="1"/>
    </xf>
    <xf numFmtId="164" fontId="2" fillId="2" borderId="11" xfId="5" applyNumberFormat="1" applyFont="1" applyFill="1" applyBorder="1" applyAlignment="1" applyProtection="1">
      <alignment horizontal="right" vertical="center"/>
    </xf>
    <xf numFmtId="164" fontId="2" fillId="2" borderId="3" xfId="5" applyNumberFormat="1" applyFont="1" applyFill="1" applyBorder="1" applyAlignment="1" applyProtection="1">
      <alignment horizontal="right" vertical="center" wrapText="1"/>
    </xf>
    <xf numFmtId="3" fontId="2" fillId="2" borderId="0" xfId="5" applyNumberFormat="1" applyFont="1" applyFill="1" applyBorder="1" applyAlignment="1" applyProtection="1">
      <alignment horizontal="right" vertical="center"/>
    </xf>
    <xf numFmtId="3" fontId="2" fillId="2" borderId="5" xfId="5" applyNumberFormat="1" applyFont="1" applyFill="1" applyBorder="1" applyAlignment="1" applyProtection="1">
      <alignment horizontal="right" vertical="center"/>
    </xf>
    <xf numFmtId="37" fontId="3" fillId="2" borderId="0" xfId="5" applyNumberFormat="1" applyFont="1" applyFill="1" applyBorder="1" applyAlignment="1" applyProtection="1">
      <alignment vertical="center"/>
    </xf>
    <xf numFmtId="0" fontId="3" fillId="2" borderId="0" xfId="13" applyFont="1" applyFill="1" applyBorder="1" applyAlignment="1">
      <alignment vertical="center"/>
    </xf>
    <xf numFmtId="164" fontId="11" fillId="2" borderId="0" xfId="5" applyNumberFormat="1" applyFont="1" applyFill="1" applyBorder="1" applyAlignment="1"/>
    <xf numFmtId="164" fontId="0" fillId="2" borderId="0" xfId="0" applyNumberFormat="1" applyFill="1" applyAlignment="1">
      <alignment horizontal="right" vertical="center"/>
    </xf>
    <xf numFmtId="3" fontId="2" fillId="2" borderId="10" xfId="5" applyNumberFormat="1" applyFont="1" applyFill="1" applyBorder="1" applyAlignment="1" applyProtection="1">
      <alignment horizontal="right" vertical="center"/>
    </xf>
    <xf numFmtId="3" fontId="2" fillId="2" borderId="6" xfId="5" applyNumberFormat="1" applyFont="1" applyFill="1" applyBorder="1" applyAlignment="1" applyProtection="1">
      <alignment horizontal="right" vertical="center"/>
    </xf>
    <xf numFmtId="3" fontId="2" fillId="2" borderId="8" xfId="5" applyNumberFormat="1" applyFont="1" applyFill="1" applyBorder="1" applyAlignment="1" applyProtection="1">
      <alignment horizontal="right" vertical="center"/>
    </xf>
    <xf numFmtId="3" fontId="2" fillId="2" borderId="11" xfId="5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Border="1" applyAlignment="1">
      <alignment horizontal="right" vertical="center"/>
    </xf>
    <xf numFmtId="3" fontId="3" fillId="2" borderId="1" xfId="5" applyNumberFormat="1" applyFont="1" applyFill="1" applyBorder="1" applyAlignment="1" applyProtection="1">
      <alignment horizontal="right" vertical="center"/>
      <protection locked="0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3" fontId="2" fillId="2" borderId="9" xfId="5" applyNumberFormat="1" applyFont="1" applyFill="1" applyBorder="1" applyAlignment="1" applyProtection="1">
      <alignment horizontal="right" vertical="center"/>
    </xf>
    <xf numFmtId="3" fontId="2" fillId="2" borderId="2" xfId="5" applyNumberFormat="1" applyFont="1" applyFill="1" applyBorder="1" applyAlignment="1" applyProtection="1">
      <alignment horizontal="right" vertical="center"/>
    </xf>
    <xf numFmtId="3" fontId="2" fillId="2" borderId="16" xfId="5" applyNumberFormat="1" applyFont="1" applyFill="1" applyBorder="1" applyAlignment="1" applyProtection="1">
      <alignment horizontal="right" vertical="center"/>
    </xf>
    <xf numFmtId="3" fontId="2" fillId="2" borderId="12" xfId="5" applyNumberFormat="1" applyFont="1" applyFill="1" applyBorder="1" applyAlignment="1" applyProtection="1">
      <alignment horizontal="right" vertical="center"/>
    </xf>
    <xf numFmtId="3" fontId="3" fillId="2" borderId="17" xfId="5" applyNumberFormat="1" applyFont="1" applyFill="1" applyBorder="1" applyAlignment="1" applyProtection="1">
      <alignment horizontal="right" vertical="center"/>
      <protection locked="0"/>
    </xf>
    <xf numFmtId="3" fontId="3" fillId="2" borderId="15" xfId="5" applyNumberFormat="1" applyFont="1" applyFill="1" applyBorder="1" applyAlignment="1" applyProtection="1">
      <alignment horizontal="right" vertical="center"/>
      <protection locked="0"/>
    </xf>
    <xf numFmtId="164" fontId="7" fillId="2" borderId="4" xfId="5" applyNumberFormat="1" applyFont="1" applyFill="1" applyBorder="1" applyAlignment="1" applyProtection="1">
      <alignment horizontal="left" vertical="center"/>
    </xf>
    <xf numFmtId="0" fontId="15" fillId="2" borderId="4" xfId="14" applyFont="1" applyFill="1" applyBorder="1" applyAlignment="1">
      <alignment horizontal="right" vertical="center"/>
    </xf>
    <xf numFmtId="164" fontId="7" fillId="2" borderId="5" xfId="5" applyNumberFormat="1" applyFont="1" applyFill="1" applyBorder="1" applyAlignment="1" applyProtection="1">
      <alignment horizontal="left" vertical="center"/>
    </xf>
    <xf numFmtId="0" fontId="15" fillId="2" borderId="5" xfId="14" applyFont="1" applyFill="1" applyBorder="1" applyAlignment="1">
      <alignment horizontal="right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12" fillId="2" borderId="0" xfId="0" applyNumberFormat="1" applyFont="1" applyFill="1" applyBorder="1" applyAlignment="1">
      <alignment horizontal="center" vertical="center"/>
    </xf>
    <xf numFmtId="164" fontId="4" fillId="2" borderId="5" xfId="5" applyNumberFormat="1" applyFont="1" applyFill="1" applyBorder="1" applyAlignment="1" applyProtection="1">
      <alignment horizontal="center" vertical="center"/>
    </xf>
    <xf numFmtId="164" fontId="2" fillId="2" borderId="4" xfId="5" applyNumberFormat="1" applyFont="1" applyFill="1" applyBorder="1" applyAlignment="1" applyProtection="1">
      <alignment horizontal="right" vertical="center" wrapText="1"/>
    </xf>
    <xf numFmtId="164" fontId="2" fillId="2" borderId="5" xfId="5" applyNumberFormat="1" applyFont="1" applyFill="1" applyBorder="1" applyAlignment="1" applyProtection="1">
      <alignment horizontal="right" vertical="center" wrapText="1"/>
    </xf>
    <xf numFmtId="164" fontId="2" fillId="2" borderId="7" xfId="5" applyNumberFormat="1" applyFont="1" applyFill="1" applyBorder="1" applyAlignment="1" applyProtection="1">
      <alignment horizontal="center" vertical="center"/>
    </xf>
    <xf numFmtId="164" fontId="2" fillId="2" borderId="4" xfId="5" applyNumberFormat="1" applyFont="1" applyFill="1" applyBorder="1" applyAlignment="1" applyProtection="1">
      <alignment horizontal="center" vertical="center"/>
    </xf>
    <xf numFmtId="164" fontId="2" fillId="2" borderId="14" xfId="5" applyNumberFormat="1" applyFont="1" applyFill="1" applyBorder="1" applyAlignment="1" applyProtection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11.12: International aircraft movements at Ibrahim Nasir International airport, 2016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2856627729988193E-2"/>
          <c:y val="0.14639771880366803"/>
          <c:w val="0.90658775314908624"/>
          <c:h val="0.73448008813713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'11.17'!$AA$28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'11.17'!$Z$29:$Z$40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'11.17'!$AA$29:$AA$40</c:f>
              <c:numCache>
                <c:formatCode>#,##0</c:formatCode>
                <c:ptCount val="12"/>
                <c:pt idx="0">
                  <c:v>1926</c:v>
                </c:pt>
                <c:pt idx="1">
                  <c:v>1832</c:v>
                </c:pt>
                <c:pt idx="2">
                  <c:v>1960</c:v>
                </c:pt>
                <c:pt idx="3">
                  <c:v>1838</c:v>
                </c:pt>
                <c:pt idx="4">
                  <c:v>1786</c:v>
                </c:pt>
                <c:pt idx="5">
                  <c:v>1638</c:v>
                </c:pt>
                <c:pt idx="6">
                  <c:v>1796</c:v>
                </c:pt>
                <c:pt idx="7">
                  <c:v>1820</c:v>
                </c:pt>
                <c:pt idx="8">
                  <c:v>1710</c:v>
                </c:pt>
                <c:pt idx="9">
                  <c:v>1856</c:v>
                </c:pt>
                <c:pt idx="10">
                  <c:v>1778</c:v>
                </c:pt>
                <c:pt idx="11">
                  <c:v>1886</c:v>
                </c:pt>
              </c:numCache>
            </c:numRef>
          </c:val>
        </c:ser>
        <c:ser>
          <c:idx val="1"/>
          <c:order val="1"/>
          <c:tx>
            <c:strRef>
              <c:f>'11.17'!$AB$28</c:f>
              <c:strCache>
                <c:ptCount val="1"/>
                <c:pt idx="0">
                  <c:v>Chartered</c:v>
                </c:pt>
              </c:strCache>
            </c:strRef>
          </c:tx>
          <c:spPr>
            <a:solidFill>
              <a:srgbClr val="F68D36"/>
            </a:solidFill>
          </c:spPr>
          <c:invertIfNegative val="0"/>
          <c:cat>
            <c:strRef>
              <c:f>'11.17'!$Z$29:$Z$40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'11.17'!$AB$29:$AB$40</c:f>
              <c:numCache>
                <c:formatCode>#,##0</c:formatCode>
                <c:ptCount val="12"/>
                <c:pt idx="0">
                  <c:v>8</c:v>
                </c:pt>
                <c:pt idx="1">
                  <c:v>24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'11.17'!$AC$28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rgbClr val="FAC090"/>
            </a:solidFill>
          </c:spPr>
          <c:invertIfNegative val="0"/>
          <c:cat>
            <c:strRef>
              <c:f>'11.17'!$Z$29:$Z$40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'11.17'!$AC$29:$AC$40</c:f>
              <c:numCache>
                <c:formatCode>#,##0</c:formatCode>
                <c:ptCount val="12"/>
                <c:pt idx="0">
                  <c:v>320</c:v>
                </c:pt>
                <c:pt idx="1">
                  <c:v>178</c:v>
                </c:pt>
                <c:pt idx="2">
                  <c:v>168</c:v>
                </c:pt>
                <c:pt idx="3">
                  <c:v>200</c:v>
                </c:pt>
                <c:pt idx="4">
                  <c:v>136</c:v>
                </c:pt>
                <c:pt idx="5">
                  <c:v>76</c:v>
                </c:pt>
                <c:pt idx="6">
                  <c:v>98</c:v>
                </c:pt>
                <c:pt idx="7">
                  <c:v>82</c:v>
                </c:pt>
                <c:pt idx="8">
                  <c:v>74</c:v>
                </c:pt>
                <c:pt idx="9">
                  <c:v>146</c:v>
                </c:pt>
                <c:pt idx="10">
                  <c:v>140</c:v>
                </c:pt>
                <c:pt idx="11">
                  <c:v>232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axId val="89232896"/>
        <c:axId val="89234816"/>
      </c:barChart>
      <c:catAx>
        <c:axId val="89232896"/>
        <c:scaling>
          <c:orientation val="minMax"/>
        </c:scaling>
        <c:delete val="0"/>
        <c:axPos val="b"/>
        <c:majorTickMark val="none"/>
        <c:minorTickMark val="none"/>
        <c:tickLblPos val="nextTo"/>
        <c:crossAx val="89234816"/>
        <c:crosses val="autoZero"/>
        <c:auto val="1"/>
        <c:lblAlgn val="ctr"/>
        <c:lblOffset val="100"/>
        <c:noMultiLvlLbl val="0"/>
      </c:catAx>
      <c:valAx>
        <c:axId val="8923481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en-US" sz="1050"/>
                  <a:t>In numbers</a:t>
                </a:r>
              </a:p>
            </c:rich>
          </c:tx>
          <c:layout>
            <c:manualLayout>
              <c:xMode val="edge"/>
              <c:yMode val="edge"/>
              <c:x val="8.6049019301913544E-3"/>
              <c:y val="8.313048831858981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8923289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30299836694785676"/>
          <c:y val="0.16226337448559672"/>
          <c:w val="0.37638974124271452"/>
          <c:h val="7.4415281423155441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 b="1" i="0" baseline="0">
                <a:effectLst/>
              </a:rPr>
              <a:t>Figure 11.13: Domestic aircraft  movements at at Ibrahim Nasir International airport, 2016 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6049844495990181"/>
          <c:y val="5.20858554350941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'11.17'!$AA$44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'11.17'!$Z$45:$Z$56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'11.17'!$AA$45:$AA$56</c:f>
              <c:numCache>
                <c:formatCode>#,##0</c:formatCode>
                <c:ptCount val="12"/>
                <c:pt idx="0">
                  <c:v>2204</c:v>
                </c:pt>
                <c:pt idx="1">
                  <c:v>2148</c:v>
                </c:pt>
                <c:pt idx="2">
                  <c:v>2160</c:v>
                </c:pt>
                <c:pt idx="3">
                  <c:v>2022</c:v>
                </c:pt>
                <c:pt idx="4">
                  <c:v>1998</c:v>
                </c:pt>
                <c:pt idx="5">
                  <c:v>1784</c:v>
                </c:pt>
                <c:pt idx="6">
                  <c:v>2316</c:v>
                </c:pt>
                <c:pt idx="7">
                  <c:v>2232</c:v>
                </c:pt>
                <c:pt idx="8">
                  <c:v>2326</c:v>
                </c:pt>
                <c:pt idx="9">
                  <c:v>2150</c:v>
                </c:pt>
                <c:pt idx="10">
                  <c:v>2316</c:v>
                </c:pt>
                <c:pt idx="11">
                  <c:v>2496</c:v>
                </c:pt>
              </c:numCache>
            </c:numRef>
          </c:val>
        </c:ser>
        <c:ser>
          <c:idx val="1"/>
          <c:order val="1"/>
          <c:tx>
            <c:strRef>
              <c:f>'11.17'!$AB$44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rgbClr val="FAC090"/>
            </a:solidFill>
          </c:spPr>
          <c:invertIfNegative val="0"/>
          <c:cat>
            <c:strRef>
              <c:f>'11.17'!$Z$45:$Z$56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'11.17'!$AB$45:$AB$56</c:f>
              <c:numCache>
                <c:formatCode>#,##0</c:formatCode>
                <c:ptCount val="12"/>
                <c:pt idx="0">
                  <c:v>4239</c:v>
                </c:pt>
                <c:pt idx="1">
                  <c:v>4388</c:v>
                </c:pt>
                <c:pt idx="2">
                  <c:v>4457</c:v>
                </c:pt>
                <c:pt idx="3">
                  <c:v>4020</c:v>
                </c:pt>
                <c:pt idx="4">
                  <c:v>3673</c:v>
                </c:pt>
                <c:pt idx="5">
                  <c:v>2894</c:v>
                </c:pt>
                <c:pt idx="6">
                  <c:v>3717</c:v>
                </c:pt>
                <c:pt idx="7">
                  <c:v>3864</c:v>
                </c:pt>
                <c:pt idx="8">
                  <c:v>3622</c:v>
                </c:pt>
                <c:pt idx="9">
                  <c:v>4487</c:v>
                </c:pt>
                <c:pt idx="10">
                  <c:v>3923</c:v>
                </c:pt>
                <c:pt idx="11">
                  <c:v>4525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114404352"/>
        <c:axId val="115680384"/>
      </c:barChart>
      <c:catAx>
        <c:axId val="114404352"/>
        <c:scaling>
          <c:orientation val="minMax"/>
        </c:scaling>
        <c:delete val="0"/>
        <c:axPos val="b"/>
        <c:majorTickMark val="none"/>
        <c:minorTickMark val="none"/>
        <c:tickLblPos val="nextTo"/>
        <c:crossAx val="115680384"/>
        <c:crosses val="autoZero"/>
        <c:auto val="1"/>
        <c:lblAlgn val="ctr"/>
        <c:lblOffset val="100"/>
        <c:noMultiLvlLbl val="0"/>
      </c:catAx>
      <c:valAx>
        <c:axId val="11568038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11440435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934008744283451"/>
          <c:y val="0.21476779063409662"/>
          <c:w val="0.28003494939618673"/>
          <c:h val="7.1003710133414055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380999</xdr:colOff>
      <xdr:row>20</xdr:row>
      <xdr:rowOff>9526</xdr:rowOff>
    </xdr:from>
    <xdr:to>
      <xdr:col>9</xdr:col>
      <xdr:colOff>733424</xdr:colOff>
      <xdr:row>37</xdr:row>
      <xdr:rowOff>47626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409574</xdr:colOff>
      <xdr:row>37</xdr:row>
      <xdr:rowOff>161924</xdr:rowOff>
    </xdr:from>
    <xdr:to>
      <xdr:col>9</xdr:col>
      <xdr:colOff>761999</xdr:colOff>
      <xdr:row>56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514350</xdr:colOff>
      <xdr:row>39</xdr:row>
      <xdr:rowOff>142875</xdr:rowOff>
    </xdr:from>
    <xdr:ext cx="835742" cy="264560"/>
    <xdr:sp macro="" textlink="">
      <xdr:nvSpPr>
        <xdr:cNvPr id="4" name="TextBox 3"/>
        <xdr:cNvSpPr txBox="1"/>
      </xdr:nvSpPr>
      <xdr:spPr>
        <a:xfrm>
          <a:off x="514350" y="15659100"/>
          <a:ext cx="8357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</a:t>
          </a:r>
          <a:r>
            <a:rPr lang="en-US" sz="1100" baseline="0"/>
            <a:t> numbers</a:t>
          </a:r>
          <a:endParaRPr lang="en-US" sz="1100"/>
        </a:p>
      </xdr:txBody>
    </xdr:sp>
    <xdr:clientData/>
  </xdr:oneCellAnchor>
  <xdr:twoCellAnchor>
    <xdr:from>
      <xdr:col>1</xdr:col>
      <xdr:colOff>524847</xdr:colOff>
      <xdr:row>21</xdr:row>
      <xdr:rowOff>77755</xdr:rowOff>
    </xdr:from>
    <xdr:to>
      <xdr:col>8</xdr:col>
      <xdr:colOff>787270</xdr:colOff>
      <xdr:row>21</xdr:row>
      <xdr:rowOff>77755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302398" y="12780995"/>
          <a:ext cx="5413699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</xdr:col>
      <xdr:colOff>9719</xdr:colOff>
      <xdr:row>40</xdr:row>
      <xdr:rowOff>68036</xdr:rowOff>
    </xdr:from>
    <xdr:to>
      <xdr:col>8</xdr:col>
      <xdr:colOff>728954</xdr:colOff>
      <xdr:row>40</xdr:row>
      <xdr:rowOff>68036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1496785" y="16134184"/>
          <a:ext cx="5160996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1%20%20TRANSPORT%20%20COMMUNICATION%20-CA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/>
      <sheetData sheetId="1">
        <row r="33">
          <cell r="AA33" t="str">
            <v>National Call Minutes in land line</v>
          </cell>
          <cell r="AB33" t="str">
            <v xml:space="preserve">Mobile call Minutes </v>
          </cell>
          <cell r="AC33" t="str">
            <v>International call minutes</v>
          </cell>
        </row>
        <row r="34">
          <cell r="Z34">
            <v>2009</v>
          </cell>
          <cell r="AA34">
            <v>86305</v>
          </cell>
          <cell r="AB34">
            <v>1165371</v>
          </cell>
          <cell r="AC34">
            <v>140386</v>
          </cell>
        </row>
        <row r="35">
          <cell r="Z35">
            <v>2010</v>
          </cell>
          <cell r="AA35">
            <v>77503</v>
          </cell>
          <cell r="AB35">
            <v>1241516</v>
          </cell>
          <cell r="AC35">
            <v>135384</v>
          </cell>
        </row>
        <row r="36">
          <cell r="Z36">
            <v>2011</v>
          </cell>
          <cell r="AA36">
            <v>75974</v>
          </cell>
          <cell r="AB36">
            <v>1094741</v>
          </cell>
          <cell r="AC36">
            <v>108744</v>
          </cell>
        </row>
        <row r="37">
          <cell r="Z37">
            <v>2012</v>
          </cell>
          <cell r="AA37">
            <v>69830</v>
          </cell>
          <cell r="AB37">
            <v>1468840</v>
          </cell>
          <cell r="AC37">
            <v>211865</v>
          </cell>
        </row>
        <row r="38">
          <cell r="Z38">
            <v>2013</v>
          </cell>
          <cell r="AA38">
            <v>66557</v>
          </cell>
          <cell r="AB38">
            <v>1571320</v>
          </cell>
          <cell r="AC38">
            <v>249201</v>
          </cell>
        </row>
        <row r="39">
          <cell r="Z39">
            <v>2014</v>
          </cell>
          <cell r="AA39">
            <v>41974</v>
          </cell>
          <cell r="AB39">
            <v>1687209</v>
          </cell>
          <cell r="AC39">
            <v>265736</v>
          </cell>
        </row>
        <row r="40">
          <cell r="Z40">
            <v>2015</v>
          </cell>
          <cell r="AA40">
            <v>59160.502999999997</v>
          </cell>
          <cell r="AB40">
            <v>1608503.1170000001</v>
          </cell>
          <cell r="AC40">
            <v>227780.79800000001</v>
          </cell>
        </row>
        <row r="41">
          <cell r="Z41">
            <v>2016</v>
          </cell>
          <cell r="AA41">
            <v>52972</v>
          </cell>
          <cell r="AB41">
            <v>1578928</v>
          </cell>
          <cell r="AC41">
            <v>226472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62"/>
  <sheetViews>
    <sheetView tabSelected="1" zoomScaleNormal="100" zoomScaleSheetLayoutView="98" workbookViewId="0">
      <selection activeCell="R48" sqref="R48"/>
    </sheetView>
  </sheetViews>
  <sheetFormatPr defaultColWidth="9.140625" defaultRowHeight="12.75" customHeight="1" x14ac:dyDescent="0.25"/>
  <cols>
    <col min="1" max="1" width="11.7109375" style="2" customWidth="1"/>
    <col min="2" max="2" width="10.5703125" style="2" customWidth="1"/>
    <col min="3" max="3" width="10.7109375" style="2" customWidth="1"/>
    <col min="4" max="4" width="10.28515625" style="2" customWidth="1"/>
    <col min="5" max="5" width="10.7109375" style="2" customWidth="1"/>
    <col min="6" max="6" width="13.140625" style="2" customWidth="1"/>
    <col min="7" max="8" width="10.7109375" style="2" customWidth="1"/>
    <col min="9" max="9" width="14.28515625" style="2" customWidth="1"/>
    <col min="10" max="10" width="16.28515625" style="2" customWidth="1"/>
    <col min="11" max="11" width="18.140625" style="2" bestFit="1" customWidth="1"/>
    <col min="12" max="23" width="9.140625" style="2"/>
    <col min="24" max="24" width="20.7109375" style="2" customWidth="1"/>
    <col min="25" max="16384" width="9.140625" style="2"/>
  </cols>
  <sheetData>
    <row r="1" spans="1:11" ht="21" x14ac:dyDescent="0.25">
      <c r="A1" s="45" t="s">
        <v>45</v>
      </c>
      <c r="B1" s="46"/>
      <c r="C1" s="46"/>
      <c r="D1" s="46"/>
      <c r="E1" s="46"/>
      <c r="F1" s="46"/>
      <c r="G1" s="46"/>
      <c r="H1" s="46"/>
      <c r="I1" s="46"/>
      <c r="J1" s="46"/>
    </row>
    <row r="2" spans="1:11" ht="15" x14ac:dyDescent="0.25">
      <c r="A2" s="47" t="s">
        <v>46</v>
      </c>
      <c r="B2" s="47"/>
      <c r="C2" s="47"/>
      <c r="D2" s="47"/>
      <c r="E2" s="47"/>
      <c r="F2" s="47"/>
      <c r="G2" s="47"/>
      <c r="H2" s="47"/>
      <c r="I2" s="47"/>
      <c r="J2" s="47"/>
    </row>
    <row r="3" spans="1:11" ht="15" x14ac:dyDescent="0.25">
      <c r="A3" s="41" t="s">
        <v>5</v>
      </c>
      <c r="B3" s="48" t="s">
        <v>32</v>
      </c>
      <c r="C3" s="50" t="s">
        <v>2</v>
      </c>
      <c r="D3" s="51"/>
      <c r="E3" s="51"/>
      <c r="F3" s="52"/>
      <c r="G3" s="51" t="s">
        <v>6</v>
      </c>
      <c r="H3" s="51"/>
      <c r="I3" s="51"/>
      <c r="J3" s="42" t="s">
        <v>7</v>
      </c>
    </row>
    <row r="4" spans="1:11" s="16" customFormat="1" ht="15" x14ac:dyDescent="0.25">
      <c r="A4" s="43"/>
      <c r="B4" s="49"/>
      <c r="C4" s="17" t="s">
        <v>1</v>
      </c>
      <c r="D4" s="18" t="s">
        <v>33</v>
      </c>
      <c r="E4" s="18" t="s">
        <v>34</v>
      </c>
      <c r="F4" s="19" t="s">
        <v>35</v>
      </c>
      <c r="G4" s="20" t="s">
        <v>1</v>
      </c>
      <c r="H4" s="18" t="s">
        <v>33</v>
      </c>
      <c r="I4" s="21" t="s">
        <v>35</v>
      </c>
      <c r="J4" s="44"/>
      <c r="K4" s="4"/>
    </row>
    <row r="5" spans="1:11" ht="17.25" x14ac:dyDescent="0.4">
      <c r="A5" s="3" t="s">
        <v>1</v>
      </c>
      <c r="B5" s="22">
        <f>SUM(C5+G5)</f>
        <v>97679</v>
      </c>
      <c r="C5" s="35">
        <f>SUM(D5+E5+F5)</f>
        <v>23718</v>
      </c>
      <c r="D5" s="36">
        <f>SUM(D6:D17)</f>
        <v>21826</v>
      </c>
      <c r="E5" s="36">
        <f>SUM(E6:E17)</f>
        <v>42</v>
      </c>
      <c r="F5" s="37">
        <f>SUM(F6:F17)</f>
        <v>1850</v>
      </c>
      <c r="G5" s="38">
        <f>SUM(H5+I5)</f>
        <v>73961</v>
      </c>
      <c r="H5" s="36">
        <f>SUM(H6:H17)</f>
        <v>26152</v>
      </c>
      <c r="I5" s="36">
        <f>SUM(I6:I17)</f>
        <v>47809</v>
      </c>
      <c r="J5" s="10" t="s">
        <v>0</v>
      </c>
    </row>
    <row r="6" spans="1:11" ht="17.25" x14ac:dyDescent="0.4">
      <c r="A6" s="11" t="s">
        <v>8</v>
      </c>
      <c r="B6" s="22">
        <f>SUM(C6+G6)</f>
        <v>8697</v>
      </c>
      <c r="C6" s="28">
        <f>SUM(D6+E6+F6)</f>
        <v>2254</v>
      </c>
      <c r="D6" s="33">
        <v>1926</v>
      </c>
      <c r="E6" s="33">
        <v>8</v>
      </c>
      <c r="F6" s="39">
        <v>320</v>
      </c>
      <c r="G6" s="29">
        <f>SUM(H6+I6)</f>
        <v>6443</v>
      </c>
      <c r="H6" s="33">
        <v>2204</v>
      </c>
      <c r="I6" s="33">
        <v>4239</v>
      </c>
      <c r="J6" s="12" t="s">
        <v>9</v>
      </c>
    </row>
    <row r="7" spans="1:11" ht="17.25" x14ac:dyDescent="0.4">
      <c r="A7" s="11" t="s">
        <v>10</v>
      </c>
      <c r="B7" s="22">
        <f t="shared" ref="B7:B17" si="0">SUM(C7+G7)</f>
        <v>8570</v>
      </c>
      <c r="C7" s="28">
        <f>SUM(D7+E7+F7)</f>
        <v>2034</v>
      </c>
      <c r="D7" s="33">
        <v>1832</v>
      </c>
      <c r="E7" s="33">
        <v>24</v>
      </c>
      <c r="F7" s="39">
        <v>178</v>
      </c>
      <c r="G7" s="29">
        <f t="shared" ref="G7:G17" si="1">SUM(H7+I7)</f>
        <v>6536</v>
      </c>
      <c r="H7" s="33">
        <v>2148</v>
      </c>
      <c r="I7" s="33">
        <v>4388</v>
      </c>
      <c r="J7" s="12" t="s">
        <v>11</v>
      </c>
    </row>
    <row r="8" spans="1:11" ht="17.25" x14ac:dyDescent="0.4">
      <c r="A8" s="11" t="s">
        <v>12</v>
      </c>
      <c r="B8" s="22">
        <f t="shared" si="0"/>
        <v>8755</v>
      </c>
      <c r="C8" s="28">
        <f t="shared" ref="C8:C17" si="2">SUM(D8+E8+F8)</f>
        <v>2138</v>
      </c>
      <c r="D8" s="33">
        <v>1960</v>
      </c>
      <c r="E8" s="33">
        <v>10</v>
      </c>
      <c r="F8" s="39">
        <v>168</v>
      </c>
      <c r="G8" s="29">
        <f t="shared" si="1"/>
        <v>6617</v>
      </c>
      <c r="H8" s="33">
        <v>2160</v>
      </c>
      <c r="I8" s="33">
        <v>4457</v>
      </c>
      <c r="J8" s="12" t="s">
        <v>13</v>
      </c>
    </row>
    <row r="9" spans="1:11" ht="17.25" x14ac:dyDescent="0.4">
      <c r="A9" s="11" t="s">
        <v>14</v>
      </c>
      <c r="B9" s="22">
        <f t="shared" si="0"/>
        <v>8080</v>
      </c>
      <c r="C9" s="28">
        <f t="shared" si="2"/>
        <v>2038</v>
      </c>
      <c r="D9" s="33">
        <v>1838</v>
      </c>
      <c r="E9" s="33">
        <v>0</v>
      </c>
      <c r="F9" s="39">
        <v>200</v>
      </c>
      <c r="G9" s="29">
        <f t="shared" si="1"/>
        <v>6042</v>
      </c>
      <c r="H9" s="33">
        <v>2022</v>
      </c>
      <c r="I9" s="33">
        <v>4020</v>
      </c>
      <c r="J9" s="12" t="s">
        <v>15</v>
      </c>
    </row>
    <row r="10" spans="1:11" ht="17.25" x14ac:dyDescent="0.4">
      <c r="A10" s="11" t="s">
        <v>16</v>
      </c>
      <c r="B10" s="22">
        <f t="shared" si="0"/>
        <v>7593</v>
      </c>
      <c r="C10" s="28">
        <f t="shared" si="2"/>
        <v>1922</v>
      </c>
      <c r="D10" s="33">
        <v>1786</v>
      </c>
      <c r="E10" s="33">
        <v>0</v>
      </c>
      <c r="F10" s="39">
        <v>136</v>
      </c>
      <c r="G10" s="29">
        <f t="shared" si="1"/>
        <v>5671</v>
      </c>
      <c r="H10" s="33">
        <v>1998</v>
      </c>
      <c r="I10" s="33">
        <v>3673</v>
      </c>
      <c r="J10" s="12" t="s">
        <v>17</v>
      </c>
    </row>
    <row r="11" spans="1:11" ht="17.25" x14ac:dyDescent="0.4">
      <c r="A11" s="11" t="s">
        <v>18</v>
      </c>
      <c r="B11" s="22">
        <f t="shared" si="0"/>
        <v>6392</v>
      </c>
      <c r="C11" s="28">
        <f t="shared" si="2"/>
        <v>1714</v>
      </c>
      <c r="D11" s="33">
        <v>1638</v>
      </c>
      <c r="E11" s="33">
        <v>0</v>
      </c>
      <c r="F11" s="39">
        <v>76</v>
      </c>
      <c r="G11" s="29">
        <f t="shared" si="1"/>
        <v>4678</v>
      </c>
      <c r="H11" s="33">
        <v>1784</v>
      </c>
      <c r="I11" s="33">
        <v>2894</v>
      </c>
      <c r="J11" s="12" t="s">
        <v>19</v>
      </c>
    </row>
    <row r="12" spans="1:11" ht="17.25" x14ac:dyDescent="0.4">
      <c r="A12" s="11" t="s">
        <v>20</v>
      </c>
      <c r="B12" s="22">
        <f t="shared" si="0"/>
        <v>7927</v>
      </c>
      <c r="C12" s="28">
        <f t="shared" si="2"/>
        <v>1894</v>
      </c>
      <c r="D12" s="33">
        <v>1796</v>
      </c>
      <c r="E12" s="33">
        <v>0</v>
      </c>
      <c r="F12" s="39">
        <v>98</v>
      </c>
      <c r="G12" s="29">
        <f t="shared" si="1"/>
        <v>6033</v>
      </c>
      <c r="H12" s="33">
        <v>2316</v>
      </c>
      <c r="I12" s="33">
        <v>3717</v>
      </c>
      <c r="J12" s="12" t="s">
        <v>21</v>
      </c>
    </row>
    <row r="13" spans="1:11" ht="17.25" x14ac:dyDescent="0.4">
      <c r="A13" s="11" t="s">
        <v>22</v>
      </c>
      <c r="B13" s="22">
        <f t="shared" si="0"/>
        <v>7998</v>
      </c>
      <c r="C13" s="28">
        <f t="shared" si="2"/>
        <v>1902</v>
      </c>
      <c r="D13" s="33">
        <v>1820</v>
      </c>
      <c r="E13" s="33">
        <v>0</v>
      </c>
      <c r="F13" s="39">
        <v>82</v>
      </c>
      <c r="G13" s="29">
        <f t="shared" si="1"/>
        <v>6096</v>
      </c>
      <c r="H13" s="33">
        <v>2232</v>
      </c>
      <c r="I13" s="33">
        <v>3864</v>
      </c>
      <c r="J13" s="12" t="s">
        <v>23</v>
      </c>
    </row>
    <row r="14" spans="1:11" ht="17.25" x14ac:dyDescent="0.4">
      <c r="A14" s="11" t="s">
        <v>24</v>
      </c>
      <c r="B14" s="22">
        <f t="shared" si="0"/>
        <v>7732</v>
      </c>
      <c r="C14" s="28">
        <f t="shared" si="2"/>
        <v>1784</v>
      </c>
      <c r="D14" s="33">
        <v>1710</v>
      </c>
      <c r="E14" s="33">
        <v>0</v>
      </c>
      <c r="F14" s="39">
        <v>74</v>
      </c>
      <c r="G14" s="29">
        <f t="shared" si="1"/>
        <v>5948</v>
      </c>
      <c r="H14" s="33">
        <v>2326</v>
      </c>
      <c r="I14" s="33">
        <v>3622</v>
      </c>
      <c r="J14" s="12" t="s">
        <v>25</v>
      </c>
    </row>
    <row r="15" spans="1:11" ht="17.25" x14ac:dyDescent="0.4">
      <c r="A15" s="11" t="s">
        <v>26</v>
      </c>
      <c r="B15" s="22">
        <f t="shared" si="0"/>
        <v>8639</v>
      </c>
      <c r="C15" s="28">
        <f t="shared" si="2"/>
        <v>2002</v>
      </c>
      <c r="D15" s="33">
        <v>1856</v>
      </c>
      <c r="E15" s="33">
        <v>0</v>
      </c>
      <c r="F15" s="39">
        <v>146</v>
      </c>
      <c r="G15" s="29">
        <f t="shared" si="1"/>
        <v>6637</v>
      </c>
      <c r="H15" s="33">
        <v>2150</v>
      </c>
      <c r="I15" s="33">
        <v>4487</v>
      </c>
      <c r="J15" s="12" t="s">
        <v>27</v>
      </c>
    </row>
    <row r="16" spans="1:11" ht="17.25" x14ac:dyDescent="0.4">
      <c r="A16" s="11" t="s">
        <v>28</v>
      </c>
      <c r="B16" s="22">
        <f t="shared" si="0"/>
        <v>8157</v>
      </c>
      <c r="C16" s="28">
        <f t="shared" si="2"/>
        <v>1918</v>
      </c>
      <c r="D16" s="33">
        <v>1778</v>
      </c>
      <c r="E16" s="33">
        <v>0</v>
      </c>
      <c r="F16" s="39">
        <v>140</v>
      </c>
      <c r="G16" s="29">
        <f t="shared" si="1"/>
        <v>6239</v>
      </c>
      <c r="H16" s="33">
        <v>2316</v>
      </c>
      <c r="I16" s="33">
        <v>3923</v>
      </c>
      <c r="J16" s="12" t="s">
        <v>29</v>
      </c>
    </row>
    <row r="17" spans="1:29" ht="17.25" x14ac:dyDescent="0.4">
      <c r="A17" s="13" t="s">
        <v>30</v>
      </c>
      <c r="B17" s="23">
        <f t="shared" si="0"/>
        <v>9139</v>
      </c>
      <c r="C17" s="30">
        <f t="shared" si="2"/>
        <v>2118</v>
      </c>
      <c r="D17" s="34">
        <v>1886</v>
      </c>
      <c r="E17" s="34">
        <v>0</v>
      </c>
      <c r="F17" s="40">
        <v>232</v>
      </c>
      <c r="G17" s="31">
        <f t="shared" si="1"/>
        <v>7021</v>
      </c>
      <c r="H17" s="34">
        <v>2496</v>
      </c>
      <c r="I17" s="34">
        <v>4525</v>
      </c>
      <c r="J17" s="14" t="s">
        <v>31</v>
      </c>
    </row>
    <row r="18" spans="1:29" ht="18.75" x14ac:dyDescent="0.4">
      <c r="A18" s="6" t="s">
        <v>3</v>
      </c>
      <c r="B18" s="5"/>
      <c r="C18" s="24"/>
      <c r="D18" s="24"/>
      <c r="E18" s="24"/>
      <c r="F18" s="24"/>
      <c r="G18" s="24"/>
      <c r="H18" s="25"/>
      <c r="I18" s="8"/>
      <c r="J18" s="8" t="s">
        <v>4</v>
      </c>
      <c r="L18" s="26"/>
      <c r="M18" s="7"/>
    </row>
    <row r="19" spans="1:29" ht="18.75" x14ac:dyDescent="0.25">
      <c r="A19" s="6"/>
      <c r="B19" s="5"/>
      <c r="C19" s="24"/>
      <c r="D19" s="24"/>
      <c r="E19" s="24"/>
      <c r="F19" s="24"/>
      <c r="G19" s="24"/>
      <c r="H19" s="25"/>
      <c r="J19" s="1"/>
    </row>
    <row r="20" spans="1:29" ht="18.75" x14ac:dyDescent="0.25">
      <c r="A20" s="6"/>
      <c r="B20" s="5"/>
      <c r="C20" s="24"/>
      <c r="D20" s="24"/>
      <c r="E20" s="24"/>
      <c r="F20" s="24"/>
      <c r="G20" s="24"/>
      <c r="H20" s="25"/>
      <c r="J20" s="1"/>
    </row>
    <row r="21" spans="1:29" ht="18.75" x14ac:dyDescent="0.25">
      <c r="A21" s="6"/>
      <c r="B21" s="5"/>
      <c r="C21" s="24"/>
      <c r="D21" s="24"/>
      <c r="E21" s="24"/>
      <c r="F21" s="24"/>
      <c r="G21" s="24"/>
      <c r="H21" s="25"/>
      <c r="J21" s="1"/>
    </row>
    <row r="22" spans="1:29" ht="15" x14ac:dyDescent="0.25">
      <c r="A22" s="9"/>
      <c r="B22" s="9"/>
      <c r="C22" s="9"/>
      <c r="D22" s="9"/>
      <c r="E22" s="9"/>
      <c r="F22" s="9"/>
      <c r="G22" s="9"/>
      <c r="H22" s="9"/>
      <c r="I22" s="9"/>
    </row>
    <row r="23" spans="1:29" s="27" customFormat="1" ht="15" x14ac:dyDescent="0.25">
      <c r="A23" s="11"/>
      <c r="B23" s="22"/>
      <c r="C23" s="22"/>
      <c r="D23" s="15"/>
      <c r="E23" s="15"/>
      <c r="F23" s="15"/>
      <c r="G23" s="22"/>
      <c r="H23" s="15"/>
      <c r="I23" s="15"/>
      <c r="J23" s="32"/>
      <c r="K23" s="32"/>
    </row>
    <row r="24" spans="1:29" ht="18.75" x14ac:dyDescent="0.25">
      <c r="A24" s="5"/>
      <c r="B24" s="5"/>
      <c r="C24" s="24"/>
      <c r="D24" s="24"/>
      <c r="E24" s="24"/>
      <c r="F24" s="24"/>
      <c r="G24" s="24"/>
      <c r="H24" s="25"/>
      <c r="I24" s="1"/>
      <c r="J24" s="9"/>
      <c r="K24" s="9"/>
    </row>
    <row r="25" spans="1:29" ht="15" x14ac:dyDescent="0.25">
      <c r="A25" s="9"/>
      <c r="B25" s="9"/>
      <c r="C25" s="9"/>
      <c r="D25" s="9"/>
      <c r="E25" s="9"/>
      <c r="F25" s="9"/>
      <c r="G25" s="9"/>
      <c r="H25" s="9"/>
      <c r="I25" s="9"/>
    </row>
    <row r="26" spans="1:29" ht="15" x14ac:dyDescent="0.25"/>
    <row r="27" spans="1:29" ht="15" x14ac:dyDescent="0.25">
      <c r="Z27" s="2" t="s">
        <v>36</v>
      </c>
    </row>
    <row r="28" spans="1:29" ht="12.75" customHeight="1" x14ac:dyDescent="0.25">
      <c r="AA28" s="2" t="s">
        <v>33</v>
      </c>
      <c r="AB28" s="2" t="s">
        <v>34</v>
      </c>
      <c r="AC28" s="2" t="s">
        <v>35</v>
      </c>
    </row>
    <row r="29" spans="1:29" ht="12.75" customHeight="1" x14ac:dyDescent="0.25">
      <c r="Z29" s="11" t="s">
        <v>37</v>
      </c>
      <c r="AA29" s="33">
        <f>D6</f>
        <v>1926</v>
      </c>
      <c r="AB29" s="33">
        <f t="shared" ref="AB29:AC29" si="3">E6</f>
        <v>8</v>
      </c>
      <c r="AC29" s="33">
        <f t="shared" si="3"/>
        <v>320</v>
      </c>
    </row>
    <row r="30" spans="1:29" ht="12.75" customHeight="1" x14ac:dyDescent="0.25">
      <c r="Z30" s="11" t="s">
        <v>38</v>
      </c>
      <c r="AA30" s="33">
        <f t="shared" ref="AA30:AA40" si="4">D7</f>
        <v>1832</v>
      </c>
      <c r="AB30" s="33">
        <f t="shared" ref="AB30:AB40" si="5">E7</f>
        <v>24</v>
      </c>
      <c r="AC30" s="33">
        <f t="shared" ref="AC30:AC40" si="6">F7</f>
        <v>178</v>
      </c>
    </row>
    <row r="31" spans="1:29" ht="12.75" customHeight="1" x14ac:dyDescent="0.25">
      <c r="Z31" s="11" t="s">
        <v>12</v>
      </c>
      <c r="AA31" s="33">
        <f t="shared" si="4"/>
        <v>1960</v>
      </c>
      <c r="AB31" s="33">
        <f t="shared" si="5"/>
        <v>10</v>
      </c>
      <c r="AC31" s="33">
        <f t="shared" si="6"/>
        <v>168</v>
      </c>
    </row>
    <row r="32" spans="1:29" ht="12.75" customHeight="1" x14ac:dyDescent="0.25">
      <c r="Z32" s="11" t="s">
        <v>14</v>
      </c>
      <c r="AA32" s="33">
        <f t="shared" si="4"/>
        <v>1838</v>
      </c>
      <c r="AB32" s="33">
        <f t="shared" si="5"/>
        <v>0</v>
      </c>
      <c r="AC32" s="33">
        <f t="shared" si="6"/>
        <v>200</v>
      </c>
    </row>
    <row r="33" spans="26:29" ht="12.75" customHeight="1" x14ac:dyDescent="0.25">
      <c r="Z33" s="11" t="s">
        <v>16</v>
      </c>
      <c r="AA33" s="33">
        <f t="shared" si="4"/>
        <v>1786</v>
      </c>
      <c r="AB33" s="33">
        <f t="shared" si="5"/>
        <v>0</v>
      </c>
      <c r="AC33" s="33">
        <f t="shared" si="6"/>
        <v>136</v>
      </c>
    </row>
    <row r="34" spans="26:29" ht="12.75" customHeight="1" x14ac:dyDescent="0.25">
      <c r="Z34" s="11" t="s">
        <v>18</v>
      </c>
      <c r="AA34" s="33">
        <f t="shared" si="4"/>
        <v>1638</v>
      </c>
      <c r="AB34" s="33">
        <f t="shared" si="5"/>
        <v>0</v>
      </c>
      <c r="AC34" s="33">
        <f t="shared" si="6"/>
        <v>76</v>
      </c>
    </row>
    <row r="35" spans="26:29" ht="12.75" customHeight="1" x14ac:dyDescent="0.25">
      <c r="Z35" s="11" t="s">
        <v>20</v>
      </c>
      <c r="AA35" s="33">
        <f t="shared" si="4"/>
        <v>1796</v>
      </c>
      <c r="AB35" s="33">
        <f t="shared" si="5"/>
        <v>0</v>
      </c>
      <c r="AC35" s="33">
        <f t="shared" si="6"/>
        <v>98</v>
      </c>
    </row>
    <row r="36" spans="26:29" ht="12.75" customHeight="1" x14ac:dyDescent="0.25">
      <c r="Z36" s="11" t="s">
        <v>39</v>
      </c>
      <c r="AA36" s="33">
        <f t="shared" si="4"/>
        <v>1820</v>
      </c>
      <c r="AB36" s="33">
        <f t="shared" si="5"/>
        <v>0</v>
      </c>
      <c r="AC36" s="33">
        <f t="shared" si="6"/>
        <v>82</v>
      </c>
    </row>
    <row r="37" spans="26:29" ht="12.75" customHeight="1" x14ac:dyDescent="0.25">
      <c r="Z37" s="11" t="s">
        <v>40</v>
      </c>
      <c r="AA37" s="33">
        <f t="shared" si="4"/>
        <v>1710</v>
      </c>
      <c r="AB37" s="33">
        <f t="shared" si="5"/>
        <v>0</v>
      </c>
      <c r="AC37" s="33">
        <f t="shared" si="6"/>
        <v>74</v>
      </c>
    </row>
    <row r="38" spans="26:29" ht="12.75" customHeight="1" x14ac:dyDescent="0.25">
      <c r="Z38" s="11" t="s">
        <v>41</v>
      </c>
      <c r="AA38" s="33">
        <f t="shared" si="4"/>
        <v>1856</v>
      </c>
      <c r="AB38" s="33">
        <f t="shared" si="5"/>
        <v>0</v>
      </c>
      <c r="AC38" s="33">
        <f t="shared" si="6"/>
        <v>146</v>
      </c>
    </row>
    <row r="39" spans="26:29" ht="12.75" customHeight="1" x14ac:dyDescent="0.25">
      <c r="Z39" s="11" t="s">
        <v>42</v>
      </c>
      <c r="AA39" s="33">
        <f t="shared" si="4"/>
        <v>1778</v>
      </c>
      <c r="AB39" s="33">
        <f t="shared" si="5"/>
        <v>0</v>
      </c>
      <c r="AC39" s="33">
        <f t="shared" si="6"/>
        <v>140</v>
      </c>
    </row>
    <row r="40" spans="26:29" ht="12.75" customHeight="1" x14ac:dyDescent="0.25">
      <c r="Z40" s="13" t="s">
        <v>43</v>
      </c>
      <c r="AA40" s="33">
        <f t="shared" si="4"/>
        <v>1886</v>
      </c>
      <c r="AB40" s="33">
        <f t="shared" si="5"/>
        <v>0</v>
      </c>
      <c r="AC40" s="33">
        <f t="shared" si="6"/>
        <v>232</v>
      </c>
    </row>
    <row r="43" spans="26:29" ht="12.75" customHeight="1" x14ac:dyDescent="0.25">
      <c r="Z43" s="2" t="s">
        <v>44</v>
      </c>
    </row>
    <row r="44" spans="26:29" ht="15" x14ac:dyDescent="0.25">
      <c r="AA44" s="2" t="s">
        <v>33</v>
      </c>
      <c r="AB44" s="2" t="s">
        <v>35</v>
      </c>
    </row>
    <row r="45" spans="26:29" ht="15" x14ac:dyDescent="0.25">
      <c r="Z45" s="11" t="s">
        <v>37</v>
      </c>
      <c r="AA45" s="15">
        <f>H6</f>
        <v>2204</v>
      </c>
      <c r="AB45" s="15">
        <f>I6</f>
        <v>4239</v>
      </c>
    </row>
    <row r="46" spans="26:29" ht="15" x14ac:dyDescent="0.25">
      <c r="Z46" s="11" t="s">
        <v>38</v>
      </c>
      <c r="AA46" s="15">
        <f t="shared" ref="AA46:AB46" si="7">H7</f>
        <v>2148</v>
      </c>
      <c r="AB46" s="15">
        <f t="shared" si="7"/>
        <v>4388</v>
      </c>
    </row>
    <row r="47" spans="26:29" ht="15" x14ac:dyDescent="0.25">
      <c r="Z47" s="11" t="s">
        <v>12</v>
      </c>
      <c r="AA47" s="15">
        <f t="shared" ref="AA47:AB47" si="8">H8</f>
        <v>2160</v>
      </c>
      <c r="AB47" s="15">
        <f t="shared" si="8"/>
        <v>4457</v>
      </c>
    </row>
    <row r="48" spans="26:29" ht="15" x14ac:dyDescent="0.25">
      <c r="Z48" s="11" t="s">
        <v>14</v>
      </c>
      <c r="AA48" s="15">
        <f t="shared" ref="AA48:AB48" si="9">H9</f>
        <v>2022</v>
      </c>
      <c r="AB48" s="15">
        <f t="shared" si="9"/>
        <v>4020</v>
      </c>
    </row>
    <row r="49" spans="26:28" ht="15" x14ac:dyDescent="0.25">
      <c r="Z49" s="11" t="s">
        <v>16</v>
      </c>
      <c r="AA49" s="15">
        <f t="shared" ref="AA49:AB49" si="10">H10</f>
        <v>1998</v>
      </c>
      <c r="AB49" s="15">
        <f t="shared" si="10"/>
        <v>3673</v>
      </c>
    </row>
    <row r="50" spans="26:28" ht="15" x14ac:dyDescent="0.25">
      <c r="Z50" s="11" t="s">
        <v>18</v>
      </c>
      <c r="AA50" s="15">
        <f t="shared" ref="AA50:AB50" si="11">H11</f>
        <v>1784</v>
      </c>
      <c r="AB50" s="15">
        <f t="shared" si="11"/>
        <v>2894</v>
      </c>
    </row>
    <row r="51" spans="26:28" ht="15" x14ac:dyDescent="0.25">
      <c r="Z51" s="11" t="s">
        <v>20</v>
      </c>
      <c r="AA51" s="15">
        <f t="shared" ref="AA51:AB51" si="12">H12</f>
        <v>2316</v>
      </c>
      <c r="AB51" s="15">
        <f t="shared" si="12"/>
        <v>3717</v>
      </c>
    </row>
    <row r="52" spans="26:28" ht="15" x14ac:dyDescent="0.25">
      <c r="Z52" s="11" t="s">
        <v>39</v>
      </c>
      <c r="AA52" s="15">
        <f t="shared" ref="AA52:AB52" si="13">H13</f>
        <v>2232</v>
      </c>
      <c r="AB52" s="15">
        <f t="shared" si="13"/>
        <v>3864</v>
      </c>
    </row>
    <row r="53" spans="26:28" ht="15" x14ac:dyDescent="0.25">
      <c r="Z53" s="11" t="s">
        <v>40</v>
      </c>
      <c r="AA53" s="15">
        <f t="shared" ref="AA53:AB53" si="14">H14</f>
        <v>2326</v>
      </c>
      <c r="AB53" s="15">
        <f t="shared" si="14"/>
        <v>3622</v>
      </c>
    </row>
    <row r="54" spans="26:28" ht="15" x14ac:dyDescent="0.25">
      <c r="Z54" s="11" t="s">
        <v>41</v>
      </c>
      <c r="AA54" s="15">
        <f t="shared" ref="AA54:AB54" si="15">H15</f>
        <v>2150</v>
      </c>
      <c r="AB54" s="15">
        <f t="shared" si="15"/>
        <v>4487</v>
      </c>
    </row>
    <row r="55" spans="26:28" ht="15" x14ac:dyDescent="0.25">
      <c r="Z55" s="11" t="s">
        <v>42</v>
      </c>
      <c r="AA55" s="15">
        <f t="shared" ref="AA55:AB55" si="16">H16</f>
        <v>2316</v>
      </c>
      <c r="AB55" s="15">
        <f t="shared" si="16"/>
        <v>3923</v>
      </c>
    </row>
    <row r="56" spans="26:28" ht="15" x14ac:dyDescent="0.25">
      <c r="Z56" s="13" t="s">
        <v>43</v>
      </c>
      <c r="AA56" s="15">
        <f t="shared" ref="AA56:AB56" si="17">H17</f>
        <v>2496</v>
      </c>
      <c r="AB56" s="15">
        <f t="shared" si="17"/>
        <v>4525</v>
      </c>
    </row>
    <row r="58" spans="26:28" ht="15" x14ac:dyDescent="0.25">
      <c r="AA58" s="15"/>
      <c r="AB58" s="15"/>
    </row>
    <row r="59" spans="26:28" ht="15" x14ac:dyDescent="0.25">
      <c r="AA59" s="15"/>
      <c r="AB59" s="15"/>
    </row>
    <row r="60" spans="26:28" ht="15" x14ac:dyDescent="0.25">
      <c r="AA60" s="15"/>
      <c r="AB60" s="15"/>
    </row>
    <row r="61" spans="26:28" ht="15" x14ac:dyDescent="0.25">
      <c r="AA61" s="15"/>
      <c r="AB61" s="15"/>
    </row>
    <row r="62" spans="26:28" ht="15" x14ac:dyDescent="0.25">
      <c r="AA62" s="15"/>
      <c r="AB62" s="15"/>
    </row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7" right="0.7" top="0.75" bottom="0.75" header="0.3" footer="0.3"/>
  <pageSetup paperSize="9" scale="73" orientation="portrait" horizontalDpi="4294967295" verticalDpi="4294967295" r:id="rId1"/>
  <rowBreaks count="1" manualBreakCount="1">
    <brk id="18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11.17</vt:lpstr>
      <vt:lpstr>'11.17'!Print_Area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2017-07-05T08:46:53Z</cp:lastPrinted>
  <dcterms:created xsi:type="dcterms:W3CDTF">2014-05-22T03:57:11Z</dcterms:created>
  <dcterms:modified xsi:type="dcterms:W3CDTF">2017-07-05T08:46:54Z</dcterms:modified>
</cp:coreProperties>
</file>