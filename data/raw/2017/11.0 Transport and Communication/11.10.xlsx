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10" sheetId="7" r:id="rId1"/>
  </sheets>
  <externalReferences>
    <externalReference r:id="rId2"/>
    <externalReference r:id="rId3"/>
  </externalReferences>
  <definedNames>
    <definedName name="_xlnm.Print_Area" localSheetId="0">'11.10'!$A$1:$M$58</definedName>
  </definedNames>
  <calcPr calcId="144525"/>
</workbook>
</file>

<file path=xl/calcChain.xml><?xml version="1.0" encoding="utf-8"?>
<calcChain xmlns="http://schemas.openxmlformats.org/spreadsheetml/2006/main">
  <c r="E9" i="7" l="1"/>
  <c r="L51" i="7"/>
  <c r="K51" i="7"/>
  <c r="I51" i="7"/>
  <c r="H51" i="7"/>
  <c r="G51" i="7"/>
  <c r="E51" i="7"/>
  <c r="D51" i="7"/>
  <c r="C51" i="7"/>
  <c r="B51" i="7"/>
  <c r="L48" i="7"/>
  <c r="K48" i="7"/>
  <c r="I48" i="7"/>
  <c r="H48" i="7"/>
  <c r="G48" i="7"/>
  <c r="E48" i="7"/>
  <c r="D48" i="7"/>
  <c r="C48" i="7"/>
  <c r="B48" i="7"/>
  <c r="L9" i="7"/>
  <c r="K9" i="7"/>
  <c r="I9" i="7"/>
  <c r="H9" i="7"/>
  <c r="G9" i="7"/>
  <c r="D9" i="7"/>
  <c r="C9" i="7"/>
  <c r="C8" i="7" s="1"/>
  <c r="B9" i="7"/>
  <c r="B8" i="7" s="1"/>
  <c r="E8" i="7" l="1"/>
  <c r="C7" i="7"/>
  <c r="B7" i="7"/>
  <c r="H8" i="7"/>
  <c r="H7" i="7" s="1"/>
  <c r="D8" i="7"/>
  <c r="D7" i="7" s="1"/>
  <c r="L8" i="7"/>
  <c r="L7" i="7" s="1"/>
  <c r="E7" i="7"/>
  <c r="G8" i="7"/>
  <c r="G7" i="7" s="1"/>
  <c r="K8" i="7"/>
  <c r="K7" i="7" s="1"/>
  <c r="I8" i="7"/>
  <c r="I7" i="7" s="1"/>
</calcChain>
</file>

<file path=xl/sharedStrings.xml><?xml version="1.0" encoding="utf-8"?>
<sst xmlns="http://schemas.openxmlformats.org/spreadsheetml/2006/main" count="150" uniqueCount="116">
  <si>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</si>
  <si>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</si>
  <si>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</si>
  <si>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</si>
  <si>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</si>
  <si>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</si>
  <si>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</si>
  <si>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</si>
  <si>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</si>
  <si>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</si>
  <si>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</si>
  <si>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</si>
  <si>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</si>
  <si>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</si>
  <si>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</si>
  <si>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</si>
  <si>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</si>
  <si>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</si>
  <si>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</si>
  <si>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</si>
  <si>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</si>
  <si>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</si>
  <si>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</si>
  <si>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</si>
  <si>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</si>
  <si>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 xml:space="preserve"> cscniawlrwaea cnwkcnwlIrcs</t>
  </si>
  <si>
    <t>Singapore Airlines</t>
  </si>
  <si>
    <t>cscniawlrwaea rOpwgcnis</t>
  </si>
  <si>
    <t>Emirates</t>
  </si>
  <si>
    <t>cscTErimea</t>
  </si>
  <si>
    <t>Indian Airlines</t>
  </si>
  <si>
    <t>cscniawlrwaea cnwaiDcnia</t>
  </si>
  <si>
    <t>Qatar Airways</t>
  </si>
  <si>
    <t>csEvrwaea rwtwq</t>
  </si>
  <si>
    <t>China Eastern</t>
  </si>
  <si>
    <t xml:space="preserve"> cnrwTcsIa WniawC</t>
  </si>
  <si>
    <t>Condor</t>
  </si>
  <si>
    <t>ODcnok</t>
  </si>
  <si>
    <t>British Airways</t>
  </si>
  <si>
    <t>czEvrwaea cxiTircb</t>
  </si>
  <si>
    <t>Oman Air</t>
  </si>
  <si>
    <t>rwaea cnWmOa</t>
  </si>
  <si>
    <t>Fly Dubai</t>
  </si>
  <si>
    <t>ފްލަދުބައި</t>
  </si>
  <si>
    <t>Aeroflot</t>
  </si>
  <si>
    <t>cTolcfOriaea</t>
  </si>
  <si>
    <t>Mega Maldives</t>
  </si>
  <si>
    <t xml:space="preserve"> cscviDclOm Wgem</t>
  </si>
  <si>
    <t>Austrian Airlines</t>
  </si>
  <si>
    <t>cscniawlrwaea cnwaircTcsoa</t>
  </si>
  <si>
    <t>Spice jet</t>
  </si>
  <si>
    <t>ސްޕައިސްޖެޓް</t>
  </si>
  <si>
    <t>Meridiana Fly</t>
  </si>
  <si>
    <t xml:space="preserve"> iawlcf WnWaiDirem</t>
  </si>
  <si>
    <t>Bangkok Airways</t>
  </si>
  <si>
    <t>czEvrwaea ckokcneb</t>
  </si>
  <si>
    <t>Turkish Airlines</t>
  </si>
  <si>
    <t>ޓޭރކިޝް އެއަރލައިންސް</t>
  </si>
  <si>
    <t xml:space="preserve">Maldivian </t>
  </si>
  <si>
    <t>cnwaiviDclOm</t>
  </si>
  <si>
    <t>Cathay Pacific</t>
  </si>
  <si>
    <t>ކެތީ ޕެސަފިކް</t>
  </si>
  <si>
    <t>Air Asia</t>
  </si>
  <si>
    <t>އެއަރ އޭޝިޔާ</t>
  </si>
  <si>
    <t>China Southern Airlines</t>
  </si>
  <si>
    <t>cscniawlrwaea cnwdws WniawC</t>
  </si>
  <si>
    <t>Etihad Airways</t>
  </si>
  <si>
    <t>އެއްތިހާދު އެއަރވޭޒް</t>
  </si>
  <si>
    <t>Edelweiss</t>
  </si>
  <si>
    <t>cziawvcleDea</t>
  </si>
  <si>
    <t>Korean Air</t>
  </si>
  <si>
    <t>ކޮރިއަން އެއަރ</t>
  </si>
  <si>
    <t>Tiger Airways</t>
  </si>
  <si>
    <t>ޓައިގާ އެއރްވޭސް</t>
  </si>
  <si>
    <t xml:space="preserve">Neos </t>
  </si>
  <si>
    <t>ނިއޯސް</t>
  </si>
  <si>
    <t>Beijing Capital Airlines</t>
  </si>
  <si>
    <t>ބެއިޖިންގް ކެޕިޓަލް</t>
  </si>
  <si>
    <t>Silk Air</t>
  </si>
  <si>
    <t>ސިލްކް އެއަރ</t>
  </si>
  <si>
    <t>Mihin Lanka</t>
  </si>
  <si>
    <t>މިހިން ލަންކާ</t>
  </si>
  <si>
    <t>Shanghai Airlines</t>
  </si>
  <si>
    <t>ޝަންގްހައި އެއަރލައިންސް</t>
  </si>
  <si>
    <t>Mahan Air</t>
  </si>
  <si>
    <t>މަހަން އެއަރލއިންސް</t>
  </si>
  <si>
    <t>Lufthansa</t>
  </si>
  <si>
    <t>ލުފްތަންސާ</t>
  </si>
  <si>
    <t>Fits Aviation (Cargo)</t>
  </si>
  <si>
    <t>Table 11.10 (continued)</t>
  </si>
  <si>
    <t>(ELug Wairuk) 11.1 clwvWt</t>
  </si>
  <si>
    <t>International Charter</t>
  </si>
  <si>
    <t xml:space="preserve"> cawtuTiawlcf rWTrWC ImWvcqwlwniawb</t>
  </si>
  <si>
    <t>Sichuan Airlines</t>
  </si>
  <si>
    <t>ސިޗުއަން އެއަރލައިންސް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</si>
  <si>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</si>
  <si>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</si>
  <si>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</si>
  <si>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</si>
  <si>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</si>
  <si>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cnwxEaivEacDcneliawa</t>
  </si>
  <si>
    <t>Flyme</t>
  </si>
  <si>
    <t>ފްލައިމީ</t>
  </si>
  <si>
    <t xml:space="preserve">Trans Maldivian Airways </t>
  </si>
  <si>
    <t xml:space="preserve">   csEvrwaea cnwaiviDclOm  cscnWrcT</t>
  </si>
  <si>
    <t>Other Domestic 1_/</t>
  </si>
  <si>
    <t>1_/ cawtcTiawlcf egEjcaWr cnehinehea</t>
  </si>
  <si>
    <t>1_/  Includes movements by photo, training, technical and surveillance flights</t>
  </si>
  <si>
    <t>.evekwtcTiawlcf WviretctWkwrwH iawgukwtcscnwlEvrws idwa Wmwkcnwk clwkinckeT ,gcninErcT ,cnugenOTof Inenemih iawgiawbim 1_/</t>
  </si>
  <si>
    <t>Source: Civil Aviation Authority</t>
  </si>
  <si>
    <t>މައުލޫމާތު ދެއްވީ: ސިވިލް އޭވިއޭޝަން އޮތޯރިޓީ</t>
  </si>
  <si>
    <t>(OgWk) cnwxEaivEa cscTif</t>
  </si>
  <si>
    <t>2016 ,cliaem iaWlwdum unulufua iaWncnurwjcniswf irukurutwfurutwd cnurwhwfuTOb egukwtcniawlrwaea ikeaikea cSwrwdnwbegiawv ImWvcqwaclwniawb  : 11.10 ulwvWt</t>
  </si>
  <si>
    <t>Table 11.10 :  AIR TRANSPORT MOVEMENTS AT IBRAHIM NASIR INTERNATIONAL AIRPORT BY AIRLINE, CROSS-CLASSIFIED BY PASSENGER, CARGO AND MAIL, 2016</t>
  </si>
  <si>
    <t>Saudi Arabian Airlines</t>
  </si>
  <si>
    <t xml:space="preserve">cscniawlrwaeaސައުދީ އަރަބިއަން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</si>
</sst>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A_Reethi"/>
    </font>
    <font>
      <sz val="10"/>
      <name val="Aammu HimaThedhu"/>
    </font>
    <font>
      <sz val="9"/>
      <name val="Aammu HimaThedhu"/>
    </font>
    <font>
      <sz val="9"/>
      <name val="Courier"/>
      <family val="3"/>
    </font>
    <font>
      <sz val="10"/>
      <name val="Garamond"/>
      <family val="1"/>
    </font>
    <font>
      <sz val="10"/>
      <name val="A_Haleem Sameydhaan Rasmee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1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40" fontId="16" fillId="0" borderId="0" applyFont="0" applyFill="0" applyBorder="0" applyAlignment="0" applyProtection="0"/>
    <xf numFmtId="166" fontId="12" fillId="0" borderId="0"/>
    <xf numFmtId="166" fontId="12" fillId="0" borderId="0"/>
    <xf numFmtId="165" fontId="12" fillId="0" borderId="0" applyFont="0" applyFill="0" applyBorder="0" applyAlignment="0" applyProtection="0"/>
    <xf numFmtId="0" fontId="17" fillId="0" borderId="0"/>
    <xf numFmtId="164" fontId="12" fillId="0" borderId="0"/>
    <xf numFmtId="167" fontId="12" fillId="0" borderId="0" applyFont="0" applyFill="0" applyBorder="0" applyAlignment="0" applyProtection="0"/>
    <xf numFmtId="0" fontId="6" fillId="0" borderId="0"/>
    <xf numFmtId="0" fontId="6" fillId="0" borderId="0"/>
  </cellStyleXfs>
  <cellXfs count="108">
    <xf numFmtId="0" fontId="0" fillId="0" borderId="0" xfId="0"/>
    <xf numFmtId="164" fontId="0" fillId="2" borderId="0" xfId="0" applyNumberFormat="1" applyFill="1"/>
    <xf numFmtId="164" fontId="19" fillId="2" borderId="0" xfId="5" applyNumberFormat="1" applyFont="1" applyFill="1" applyBorder="1" applyAlignment="1" applyProtection="1">
      <alignment horizontal="left" vertical="center"/>
    </xf>
    <xf numFmtId="0" fontId="7" fillId="2" borderId="0" xfId="13" applyFont="1" applyFill="1" applyAlignment="1">
      <alignment vertical="center"/>
    </xf>
    <xf numFmtId="164" fontId="3" fillId="2" borderId="6" xfId="5" applyNumberFormat="1" applyFont="1" applyFill="1" applyBorder="1" applyAlignment="1" applyProtection="1">
      <alignment horizontal="left" vertical="center"/>
    </xf>
    <xf numFmtId="164" fontId="20" fillId="2" borderId="6" xfId="5" applyNumberFormat="1" applyFont="1" applyFill="1" applyBorder="1" applyAlignment="1">
      <alignment horizontal="right" vertical="center"/>
    </xf>
    <xf numFmtId="164" fontId="13" fillId="2" borderId="0" xfId="5" applyNumberFormat="1" applyFont="1" applyFill="1" applyBorder="1" applyAlignment="1">
      <alignment horizontal="right" vertical="center"/>
    </xf>
    <xf numFmtId="164" fontId="21" fillId="2" borderId="6" xfId="5" applyNumberFormat="1" applyFont="1" applyFill="1" applyBorder="1" applyAlignment="1">
      <alignment horizontal="center" vertical="center"/>
    </xf>
    <xf numFmtId="0" fontId="15" fillId="2" borderId="0" xfId="13" applyFont="1" applyFill="1" applyBorder="1" applyAlignment="1">
      <alignment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21" fillId="2" borderId="0" xfId="5" applyNumberFormat="1" applyFont="1" applyFill="1" applyAlignment="1">
      <alignment horizontal="right" vertical="center"/>
    </xf>
    <xf numFmtId="164" fontId="21" fillId="2" borderId="0" xfId="5" applyNumberFormat="1" applyFont="1" applyFill="1" applyBorder="1" applyAlignment="1">
      <alignment horizontal="right" vertical="center" wrapText="1"/>
    </xf>
    <xf numFmtId="0" fontId="21" fillId="2" borderId="0" xfId="13" applyFont="1" applyFill="1" applyBorder="1" applyAlignment="1">
      <alignment horizontal="right"/>
    </xf>
    <xf numFmtId="164" fontId="22" fillId="2" borderId="0" xfId="0" applyNumberFormat="1" applyFont="1" applyFill="1"/>
    <xf numFmtId="164" fontId="3" fillId="2" borderId="6" xfId="5" applyNumberFormat="1" applyFont="1" applyFill="1" applyBorder="1" applyAlignment="1">
      <alignment vertical="center"/>
    </xf>
    <xf numFmtId="164" fontId="3" fillId="2" borderId="6" xfId="5" applyNumberFormat="1" applyFont="1" applyFill="1" applyBorder="1" applyAlignment="1" applyProtection="1">
      <alignment horizontal="right" vertical="center"/>
    </xf>
    <xf numFmtId="0" fontId="8" fillId="2" borderId="6" xfId="13" applyFont="1" applyFill="1" applyBorder="1" applyAlignment="1"/>
    <xf numFmtId="164" fontId="8" fillId="2" borderId="0" xfId="5" applyNumberFormat="1" applyFont="1" applyFill="1" applyBorder="1" applyAlignment="1">
      <alignment vertical="center"/>
    </xf>
    <xf numFmtId="38" fontId="8" fillId="2" borderId="0" xfId="6" applyNumberFormat="1" applyFont="1" applyFill="1" applyBorder="1" applyAlignment="1">
      <alignment horizontal="right" vertical="center" wrapText="1"/>
    </xf>
    <xf numFmtId="0" fontId="21" fillId="2" borderId="0" xfId="13" applyFont="1" applyFill="1" applyAlignment="1">
      <alignment horizontal="right"/>
    </xf>
    <xf numFmtId="38" fontId="8" fillId="2" borderId="0" xfId="6" applyNumberFormat="1" applyFont="1" applyFill="1" applyBorder="1" applyAlignment="1">
      <alignment horizontal="right" vertical="top" wrapText="1"/>
    </xf>
    <xf numFmtId="164" fontId="8" fillId="2" borderId="0" xfId="5" applyNumberFormat="1" applyFont="1" applyFill="1" applyAlignment="1" applyProtection="1">
      <alignment horizontal="left" vertical="center"/>
    </xf>
    <xf numFmtId="0" fontId="21" fillId="2" borderId="0" xfId="13" applyFont="1" applyFill="1" applyAlignment="1">
      <alignment horizontal="right" wrapText="1"/>
    </xf>
    <xf numFmtId="164" fontId="9" fillId="2" borderId="0" xfId="0" applyNumberFormat="1" applyFont="1" applyFill="1" applyAlignment="1" applyProtection="1">
      <alignment horizontal="left" vertical="center"/>
    </xf>
    <xf numFmtId="0" fontId="23" fillId="2" borderId="0" xfId="13" applyFont="1" applyFill="1" applyAlignment="1">
      <alignment horizontal="right"/>
    </xf>
    <xf numFmtId="0" fontId="23" fillId="2" borderId="0" xfId="13" applyFont="1" applyFill="1" applyBorder="1" applyAlignment="1">
      <alignment horizontal="right"/>
    </xf>
    <xf numFmtId="0" fontId="24" fillId="2" borderId="0" xfId="13" applyFont="1" applyFill="1" applyBorder="1" applyAlignment="1">
      <alignment horizontal="right"/>
    </xf>
    <xf numFmtId="164" fontId="9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Alignment="1">
      <alignment horizontal="left" vertical="center"/>
    </xf>
    <xf numFmtId="164" fontId="9" fillId="2" borderId="0" xfId="5" applyNumberFormat="1" applyFont="1" applyFill="1" applyAlignment="1" applyProtection="1">
      <alignment horizontal="left" vertical="center"/>
    </xf>
    <xf numFmtId="0" fontId="11" fillId="2" borderId="0" xfId="13" applyFont="1" applyFill="1" applyAlignment="1">
      <alignment horizontal="right"/>
    </xf>
    <xf numFmtId="0" fontId="24" fillId="2" borderId="0" xfId="0" applyNumberFormat="1" applyFont="1" applyFill="1" applyAlignment="1">
      <alignment horizontal="right"/>
    </xf>
    <xf numFmtId="0" fontId="23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 applyProtection="1">
      <alignment vertical="center"/>
    </xf>
    <xf numFmtId="0" fontId="24" fillId="2" borderId="0" xfId="0" applyNumberFormat="1" applyFont="1" applyFill="1" applyAlignment="1">
      <alignment horizontal="right" vertical="center"/>
    </xf>
    <xf numFmtId="0" fontId="23" fillId="2" borderId="0" xfId="0" applyNumberFormat="1" applyFont="1" applyFill="1" applyAlignment="1">
      <alignment horizontal="right" vertical="center"/>
    </xf>
    <xf numFmtId="164" fontId="9" fillId="2" borderId="0" xfId="5" applyNumberFormat="1" applyFont="1" applyFill="1" applyAlignment="1" applyProtection="1">
      <alignment vertical="center"/>
    </xf>
    <xf numFmtId="164" fontId="9" fillId="2" borderId="6" xfId="0" applyNumberFormat="1" applyFont="1" applyFill="1" applyBorder="1" applyAlignment="1" applyProtection="1">
      <alignment horizontal="left" vertical="center"/>
    </xf>
    <xf numFmtId="3" fontId="15" fillId="2" borderId="6" xfId="5" applyNumberFormat="1" applyFont="1" applyFill="1" applyBorder="1" applyAlignment="1" applyProtection="1">
      <alignment horizontal="right" vertical="center"/>
    </xf>
    <xf numFmtId="3" fontId="15" fillId="2" borderId="6" xfId="6" applyNumberFormat="1" applyFont="1" applyFill="1" applyBorder="1" applyAlignment="1" applyProtection="1">
      <alignment vertical="center"/>
    </xf>
    <xf numFmtId="3" fontId="15" fillId="2" borderId="6" xfId="6" applyNumberFormat="1" applyFont="1" applyFill="1" applyBorder="1" applyAlignment="1" applyProtection="1">
      <alignment horizontal="right" vertical="center"/>
    </xf>
    <xf numFmtId="0" fontId="21" fillId="2" borderId="6" xfId="13" applyFont="1" applyFill="1" applyBorder="1" applyAlignment="1">
      <alignment horizontal="right"/>
    </xf>
    <xf numFmtId="164" fontId="19" fillId="2" borderId="5" xfId="5" applyNumberFormat="1" applyFont="1" applyFill="1" applyBorder="1" applyAlignment="1" applyProtection="1">
      <alignment horizontal="left" vertical="center"/>
    </xf>
    <xf numFmtId="164" fontId="20" fillId="2" borderId="10" xfId="5" applyNumberFormat="1" applyFont="1" applyFill="1" applyBorder="1" applyAlignment="1">
      <alignment horizontal="right" vertical="center"/>
    </xf>
    <xf numFmtId="164" fontId="13" fillId="2" borderId="10" xfId="5" applyNumberFormat="1" applyFont="1" applyFill="1" applyBorder="1" applyAlignment="1">
      <alignment horizontal="right" vertical="center"/>
    </xf>
    <xf numFmtId="164" fontId="13" fillId="2" borderId="5" xfId="5" applyNumberFormat="1" applyFont="1" applyFill="1" applyBorder="1" applyAlignment="1">
      <alignment horizontal="right" vertical="center"/>
    </xf>
    <xf numFmtId="164" fontId="13" fillId="2" borderId="10" xfId="5" applyNumberFormat="1" applyFont="1" applyFill="1" applyBorder="1" applyAlignment="1">
      <alignment horizontal="center" vertical="center"/>
    </xf>
    <xf numFmtId="0" fontId="25" fillId="2" borderId="5" xfId="13" applyFont="1" applyFill="1" applyBorder="1" applyAlignment="1">
      <alignment horizontal="right"/>
    </xf>
    <xf numFmtId="164" fontId="13" fillId="2" borderId="0" xfId="5" applyNumberFormat="1" applyFont="1" applyFill="1" applyAlignment="1">
      <alignment horizontal="right" vertical="center"/>
    </xf>
    <xf numFmtId="0" fontId="8" fillId="2" borderId="6" xfId="13" applyFont="1" applyFill="1" applyBorder="1" applyAlignment="1">
      <alignment horizontal="right"/>
    </xf>
    <xf numFmtId="0" fontId="21" fillId="2" borderId="13" xfId="13" applyFont="1" applyFill="1" applyBorder="1" applyAlignment="1">
      <alignment horizontal="right"/>
    </xf>
    <xf numFmtId="0" fontId="24" fillId="2" borderId="8" xfId="13" applyFont="1" applyFill="1" applyBorder="1" applyAlignment="1">
      <alignment horizontal="right"/>
    </xf>
    <xf numFmtId="0" fontId="23" fillId="2" borderId="8" xfId="13" applyFont="1" applyFill="1" applyBorder="1" applyAlignment="1">
      <alignment horizontal="right"/>
    </xf>
    <xf numFmtId="38" fontId="23" fillId="2" borderId="8" xfId="6" applyNumberFormat="1" applyFont="1" applyFill="1" applyBorder="1" applyAlignment="1">
      <alignment horizontal="right"/>
    </xf>
    <xf numFmtId="38" fontId="23" fillId="2" borderId="11" xfId="6" applyNumberFormat="1" applyFont="1" applyFill="1" applyBorder="1" applyAlignment="1">
      <alignment horizontal="right"/>
    </xf>
    <xf numFmtId="38" fontId="26" fillId="2" borderId="0" xfId="6" applyNumberFormat="1" applyFont="1" applyFill="1" applyAlignment="1">
      <alignment vertical="center"/>
    </xf>
    <xf numFmtId="38" fontId="15" fillId="2" borderId="0" xfId="6" applyNumberFormat="1" applyFont="1" applyFill="1" applyAlignment="1">
      <alignment vertical="center"/>
    </xf>
    <xf numFmtId="38" fontId="27" fillId="2" borderId="0" xfId="6" applyNumberFormat="1" applyFont="1" applyFill="1"/>
    <xf numFmtId="164" fontId="10" fillId="2" borderId="0" xfId="5" applyNumberFormat="1" applyFont="1" applyFill="1" applyBorder="1" applyAlignment="1" applyProtection="1">
      <alignment horizontal="left" vertical="center"/>
    </xf>
    <xf numFmtId="164" fontId="4" fillId="2" borderId="0" xfId="5" applyNumberFormat="1" applyFont="1" applyFill="1" applyBorder="1" applyAlignment="1" applyProtection="1">
      <alignment horizontal="right" vertical="center"/>
    </xf>
    <xf numFmtId="37" fontId="4" fillId="2" borderId="0" xfId="5" applyNumberFormat="1" applyFont="1" applyFill="1" applyBorder="1" applyAlignment="1" applyProtection="1">
      <alignment horizontal="right" vertical="center"/>
    </xf>
    <xf numFmtId="37" fontId="15" fillId="2" borderId="0" xfId="5" applyNumberFormat="1" applyFont="1" applyFill="1" applyBorder="1" applyAlignment="1" applyProtection="1">
      <alignment horizontal="right" vertical="center"/>
    </xf>
    <xf numFmtId="37" fontId="14" fillId="2" borderId="0" xfId="5" applyNumberFormat="1" applyFont="1" applyFill="1" applyBorder="1" applyAlignment="1" applyProtection="1">
      <alignment horizontal="right" vertical="center"/>
    </xf>
    <xf numFmtId="0" fontId="14" fillId="2" borderId="0" xfId="13" applyFont="1" applyFill="1" applyAlignment="1">
      <alignment vertical="center"/>
    </xf>
    <xf numFmtId="164" fontId="23" fillId="2" borderId="0" xfId="5" applyNumberFormat="1" applyFont="1" applyFill="1" applyBorder="1" applyAlignment="1">
      <alignment horizontal="right"/>
    </xf>
    <xf numFmtId="164" fontId="10" fillId="2" borderId="0" xfId="5" applyNumberFormat="1" applyFont="1" applyFill="1" applyAlignment="1" applyProtection="1">
      <alignment horizontal="left" vertical="center"/>
    </xf>
    <xf numFmtId="37" fontId="4" fillId="2" borderId="0" xfId="5" applyNumberFormat="1" applyFont="1" applyFill="1" applyAlignment="1" applyProtection="1">
      <alignment vertical="center"/>
    </xf>
    <xf numFmtId="37" fontId="15" fillId="2" borderId="0" xfId="5" applyNumberFormat="1" applyFont="1" applyFill="1" applyAlignment="1" applyProtection="1">
      <alignment vertical="center"/>
    </xf>
    <xf numFmtId="0" fontId="14" fillId="2" borderId="0" xfId="14" applyFont="1" applyFill="1" applyAlignment="1">
      <alignment vertical="center"/>
    </xf>
    <xf numFmtId="0" fontId="11" fillId="2" borderId="3" xfId="0" applyNumberFormat="1" applyFont="1" applyFill="1" applyBorder="1" applyAlignment="1">
      <alignment horizontal="right" vertical="center"/>
    </xf>
    <xf numFmtId="164" fontId="15" fillId="2" borderId="0" xfId="5" applyNumberFormat="1" applyFont="1" applyFill="1" applyAlignment="1">
      <alignment vertical="center"/>
    </xf>
    <xf numFmtId="164" fontId="15" fillId="2" borderId="0" xfId="5" applyNumberFormat="1" applyFont="1" applyFill="1" applyBorder="1" applyAlignment="1">
      <alignment vertical="center"/>
    </xf>
    <xf numFmtId="0" fontId="15" fillId="2" borderId="0" xfId="13" applyFont="1" applyFill="1" applyAlignment="1">
      <alignment vertical="center"/>
    </xf>
    <xf numFmtId="164" fontId="0" fillId="2" borderId="0" xfId="0" applyNumberFormat="1" applyFill="1" applyBorder="1"/>
    <xf numFmtId="38" fontId="8" fillId="2" borderId="1" xfId="6" applyNumberFormat="1" applyFont="1" applyFill="1" applyBorder="1" applyAlignment="1" applyProtection="1">
      <alignment horizontal="right" vertical="center" wrapText="1"/>
    </xf>
    <xf numFmtId="38" fontId="9" fillId="2" borderId="1" xfId="6" applyNumberFormat="1" applyFont="1" applyFill="1" applyBorder="1" applyAlignment="1">
      <alignment horizontal="right" vertical="center" wrapText="1"/>
    </xf>
    <xf numFmtId="38" fontId="9" fillId="2" borderId="1" xfId="6" applyNumberFormat="1" applyFont="1" applyFill="1" applyBorder="1" applyAlignment="1">
      <alignment horizontal="right" vertical="center"/>
    </xf>
    <xf numFmtId="38" fontId="9" fillId="2" borderId="1" xfId="6" applyNumberFormat="1" applyFont="1" applyFill="1" applyBorder="1" applyAlignment="1" applyProtection="1">
      <alignment horizontal="right" vertical="center" wrapText="1"/>
    </xf>
    <xf numFmtId="38" fontId="9" fillId="2" borderId="1" xfId="6" applyNumberFormat="1" applyFont="1" applyFill="1" applyBorder="1" applyAlignment="1" applyProtection="1">
      <alignment horizontal="right" vertical="center"/>
    </xf>
    <xf numFmtId="38" fontId="9" fillId="2" borderId="2" xfId="6" applyNumberFormat="1" applyFont="1" applyFill="1" applyBorder="1" applyAlignment="1">
      <alignment horizontal="right" vertical="center"/>
    </xf>
    <xf numFmtId="38" fontId="9" fillId="2" borderId="2" xfId="6" applyNumberFormat="1" applyFont="1" applyFill="1" applyBorder="1" applyAlignment="1">
      <alignment horizontal="right" vertical="center" wrapText="1"/>
    </xf>
    <xf numFmtId="38" fontId="9" fillId="2" borderId="4" xfId="6" applyNumberFormat="1" applyFont="1" applyFill="1" applyBorder="1" applyAlignment="1">
      <alignment horizontal="right" vertical="center" wrapText="1"/>
    </xf>
    <xf numFmtId="38" fontId="9" fillId="2" borderId="4" xfId="6" applyNumberFormat="1" applyFont="1" applyFill="1" applyBorder="1" applyAlignment="1" applyProtection="1">
      <alignment horizontal="right" vertical="center" wrapText="1"/>
    </xf>
    <xf numFmtId="38" fontId="9" fillId="2" borderId="4" xfId="6" applyNumberFormat="1" applyFont="1" applyFill="1" applyBorder="1" applyAlignment="1" applyProtection="1">
      <alignment horizontal="right" vertical="center"/>
    </xf>
    <xf numFmtId="164" fontId="8" fillId="2" borderId="7" xfId="5" applyNumberFormat="1" applyFont="1" applyFill="1" applyBorder="1" applyAlignment="1" applyProtection="1">
      <alignment horizontal="left" vertical="center"/>
    </xf>
    <xf numFmtId="38" fontId="8" fillId="2" borderId="7" xfId="6" applyNumberFormat="1" applyFont="1" applyFill="1" applyBorder="1" applyAlignment="1" applyProtection="1">
      <alignment horizontal="right" vertical="center"/>
    </xf>
    <xf numFmtId="164" fontId="9" fillId="2" borderId="1" xfId="0" applyNumberFormat="1" applyFont="1" applyFill="1" applyBorder="1" applyAlignment="1" applyProtection="1">
      <alignment horizontal="left" vertical="center" indent="1"/>
    </xf>
    <xf numFmtId="38" fontId="9" fillId="2" borderId="1" xfId="6" applyNumberFormat="1" applyFont="1" applyFill="1" applyBorder="1" applyAlignment="1" applyProtection="1">
      <alignment horizontal="left" vertical="center" indent="1"/>
    </xf>
    <xf numFmtId="38" fontId="9" fillId="2" borderId="4" xfId="6" applyNumberFormat="1" applyFont="1" applyFill="1" applyBorder="1" applyAlignment="1" applyProtection="1">
      <alignment horizontal="left" vertical="center" indent="1"/>
    </xf>
    <xf numFmtId="38" fontId="9" fillId="2" borderId="4" xfId="6" applyNumberFormat="1" applyFont="1" applyFill="1" applyBorder="1" applyAlignment="1" applyProtection="1">
      <alignment horizontal="right" vertical="center" wrapText="1"/>
      <protection locked="0"/>
    </xf>
    <xf numFmtId="164" fontId="2" fillId="2" borderId="6" xfId="5" applyNumberFormat="1" applyFont="1" applyFill="1" applyBorder="1" applyAlignment="1" applyProtection="1">
      <alignment horizontal="center" vertical="center"/>
    </xf>
    <xf numFmtId="164" fontId="8" fillId="2" borderId="3" xfId="5" applyNumberFormat="1" applyFont="1" applyFill="1" applyBorder="1" applyAlignment="1" applyProtection="1">
      <alignment horizontal="left" vertical="center"/>
    </xf>
    <xf numFmtId="164" fontId="9" fillId="2" borderId="2" xfId="5" applyNumberFormat="1" applyFont="1" applyFill="1" applyBorder="1" applyAlignment="1" applyProtection="1">
      <alignment horizontal="left" vertical="center"/>
    </xf>
    <xf numFmtId="38" fontId="9" fillId="2" borderId="2" xfId="6" applyNumberFormat="1" applyFont="1" applyFill="1" applyBorder="1" applyAlignment="1" applyProtection="1">
      <alignment horizontal="right" vertical="center"/>
    </xf>
    <xf numFmtId="0" fontId="24" fillId="2" borderId="12" xfId="13" applyFont="1" applyFill="1" applyBorder="1" applyAlignment="1">
      <alignment horizontal="right"/>
    </xf>
    <xf numFmtId="38" fontId="8" fillId="2" borderId="3" xfId="6" applyNumberFormat="1" applyFont="1" applyFill="1" applyBorder="1" applyAlignment="1" applyProtection="1">
      <alignment horizontal="right" vertical="center"/>
    </xf>
    <xf numFmtId="164" fontId="21" fillId="2" borderId="9" xfId="5" applyNumberFormat="1" applyFont="1" applyFill="1" applyBorder="1" applyAlignment="1">
      <alignment horizontal="right"/>
    </xf>
    <xf numFmtId="164" fontId="8" fillId="2" borderId="15" xfId="5" applyNumberFormat="1" applyFont="1" applyFill="1" applyBorder="1" applyAlignment="1" applyProtection="1">
      <alignment horizontal="left" vertical="center"/>
    </xf>
    <xf numFmtId="38" fontId="8" fillId="2" borderId="15" xfId="6" applyNumberFormat="1" applyFont="1" applyFill="1" applyBorder="1" applyAlignment="1">
      <alignment horizontal="right" vertical="center"/>
    </xf>
    <xf numFmtId="38" fontId="8" fillId="2" borderId="15" xfId="6" applyNumberFormat="1" applyFont="1" applyFill="1" applyBorder="1" applyAlignment="1">
      <alignment horizontal="right" vertical="center" wrapText="1"/>
    </xf>
    <xf numFmtId="164" fontId="21" fillId="2" borderId="14" xfId="5" applyNumberFormat="1" applyFont="1" applyFill="1" applyBorder="1" applyAlignment="1" applyProtection="1">
      <alignment horizontal="right"/>
    </xf>
    <xf numFmtId="0" fontId="29" fillId="2" borderId="0" xfId="13" applyFont="1" applyFill="1" applyAlignment="1">
      <alignment horizontal="right"/>
    </xf>
    <xf numFmtId="164" fontId="21" fillId="2" borderId="0" xfId="5" applyNumberFormat="1" applyFont="1" applyFill="1" applyBorder="1" applyAlignment="1">
      <alignment horizontal="right" vertical="center"/>
    </xf>
    <xf numFmtId="164" fontId="21" fillId="2" borderId="6" xfId="5" applyNumberFormat="1" applyFont="1" applyFill="1" applyBorder="1" applyAlignment="1">
      <alignment horizontal="right" vertical="center"/>
    </xf>
    <xf numFmtId="164" fontId="3" fillId="2" borderId="10" xfId="5" applyNumberFormat="1" applyFont="1" applyFill="1" applyBorder="1" applyAlignment="1" applyProtection="1">
      <alignment horizontal="center" vertical="center"/>
    </xf>
    <xf numFmtId="164" fontId="3" fillId="2" borderId="6" xfId="5" applyNumberFormat="1" applyFont="1" applyFill="1" applyBorder="1" applyAlignment="1" applyProtection="1">
      <alignment horizontal="center" vertical="center"/>
    </xf>
    <xf numFmtId="164" fontId="18" fillId="2" borderId="0" xfId="5" applyNumberFormat="1" applyFont="1" applyFill="1" applyAlignment="1">
      <alignment horizontal="center" vertical="center"/>
    </xf>
    <xf numFmtId="164" fontId="2" fillId="2" borderId="0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4"/>
    <cellStyle name="Normal_IX-9(Trans &amp; Comm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F58"/>
  <sheetViews>
    <sheetView tabSelected="1" zoomScaleNormal="100" zoomScaleSheetLayoutView="100" workbookViewId="0">
      <selection activeCell="R18" sqref="R18"/>
    </sheetView>
  </sheetViews>
  <sheetFormatPr defaultColWidth="9.140625" defaultRowHeight="15"/>
  <cols>
    <col min="1" max="1" width="31.42578125" style="1" customWidth="1"/>
    <col min="2" max="2" width="12.7109375" style="1" customWidth="1"/>
    <col min="3" max="4" width="11.85546875" style="1" customWidth="1"/>
    <col min="5" max="5" width="14.85546875" style="1" customWidth="1"/>
    <col min="6" max="6" width="1.85546875" style="1" customWidth="1"/>
    <col min="7" max="8" width="12.42578125" style="1" customWidth="1"/>
    <col min="9" max="9" width="18" style="1" customWidth="1"/>
    <col min="10" max="10" width="3" style="1" customWidth="1"/>
    <col min="11" max="12" width="11.5703125" style="1" customWidth="1"/>
    <col min="13" max="13" width="39.7109375" style="1" customWidth="1"/>
    <col min="14" max="14" width="9.140625" style="1"/>
    <col min="15" max="15" width="18.140625" style="1" bestFit="1" customWidth="1"/>
    <col min="16" max="16384" width="9.140625" style="1"/>
  </cols>
  <sheetData>
    <row r="1" spans="1:15" ht="19.5">
      <c r="A1" s="106" t="s">
        <v>112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5" ht="15.75">
      <c r="A2" s="107" t="s">
        <v>113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</row>
    <row r="3" spans="1:15" s="73" customFormat="1" ht="9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</row>
    <row r="4" spans="1:15" ht="15.75">
      <c r="A4" s="2"/>
      <c r="B4" s="3"/>
      <c r="C4" s="4" t="s">
        <v>2</v>
      </c>
      <c r="D4" s="5"/>
      <c r="E4" s="103" t="s">
        <v>3</v>
      </c>
      <c r="F4" s="6"/>
      <c r="G4" s="4" t="s">
        <v>4</v>
      </c>
      <c r="H4" s="5"/>
      <c r="I4" s="103" t="s">
        <v>5</v>
      </c>
      <c r="J4" s="6"/>
      <c r="K4" s="105" t="s">
        <v>6</v>
      </c>
      <c r="L4" s="7" t="s">
        <v>7</v>
      </c>
      <c r="M4" s="8"/>
    </row>
    <row r="5" spans="1:15" ht="31.5">
      <c r="A5" s="9" t="s">
        <v>8</v>
      </c>
      <c r="B5" s="102" t="s">
        <v>9</v>
      </c>
      <c r="C5" s="102" t="s">
        <v>10</v>
      </c>
      <c r="D5" s="10" t="s">
        <v>11</v>
      </c>
      <c r="E5" s="11" t="s">
        <v>12</v>
      </c>
      <c r="F5" s="102"/>
      <c r="G5" s="102" t="s">
        <v>13</v>
      </c>
      <c r="H5" s="102" t="s">
        <v>14</v>
      </c>
      <c r="I5" s="102" t="s">
        <v>12</v>
      </c>
      <c r="J5" s="102"/>
      <c r="K5" s="102" t="s">
        <v>13</v>
      </c>
      <c r="L5" s="10" t="s">
        <v>14</v>
      </c>
      <c r="M5" s="12" t="s">
        <v>15</v>
      </c>
      <c r="O5" s="13"/>
    </row>
    <row r="6" spans="1:15">
      <c r="A6" s="14"/>
      <c r="B6" s="15" t="s">
        <v>16</v>
      </c>
      <c r="C6" s="15" t="s">
        <v>17</v>
      </c>
      <c r="D6" s="15" t="s">
        <v>18</v>
      </c>
      <c r="E6" s="15" t="s">
        <v>19</v>
      </c>
      <c r="F6" s="15"/>
      <c r="G6" s="15" t="s">
        <v>17</v>
      </c>
      <c r="H6" s="15" t="s">
        <v>18</v>
      </c>
      <c r="I6" s="15" t="s">
        <v>19</v>
      </c>
      <c r="J6" s="15"/>
      <c r="K6" s="15" t="s">
        <v>17</v>
      </c>
      <c r="L6" s="15" t="s">
        <v>18</v>
      </c>
      <c r="M6" s="16"/>
    </row>
    <row r="7" spans="1:15" ht="17.25">
      <c r="A7" s="17" t="s">
        <v>1</v>
      </c>
      <c r="B7" s="18">
        <f>SUM(B8+B51)</f>
        <v>97679</v>
      </c>
      <c r="C7" s="18">
        <f>SUM(C8+C51)</f>
        <v>2502802</v>
      </c>
      <c r="D7" s="18">
        <f>SUM(D8+D51)</f>
        <v>2529755</v>
      </c>
      <c r="E7" s="18">
        <f>SUM(E8+E51)</f>
        <v>745369.4</v>
      </c>
      <c r="F7" s="18"/>
      <c r="G7" s="18">
        <f>SUM(G8+G51)</f>
        <v>36791004.360000007</v>
      </c>
      <c r="H7" s="18">
        <f>SUM(H8+H51)</f>
        <v>17032884.239999998</v>
      </c>
      <c r="I7" s="18">
        <f>SUM(I8+I51)</f>
        <v>14814321.870000001</v>
      </c>
      <c r="J7" s="18"/>
      <c r="K7" s="18">
        <f>SUM(K8+K51)</f>
        <v>282807.55000000005</v>
      </c>
      <c r="L7" s="18">
        <f>SUM(L8+L51)</f>
        <v>101166.09</v>
      </c>
      <c r="M7" s="19" t="s">
        <v>0</v>
      </c>
    </row>
    <row r="8" spans="1:15" ht="17.25">
      <c r="A8" s="17" t="s">
        <v>20</v>
      </c>
      <c r="B8" s="20">
        <f>SUM(B9+B48+B50)</f>
        <v>23718</v>
      </c>
      <c r="C8" s="18">
        <f>SUM(C9+C48+C50)</f>
        <v>1611148</v>
      </c>
      <c r="D8" s="18">
        <f>SUM(D9+D48+D50)</f>
        <v>1600553</v>
      </c>
      <c r="E8" s="18">
        <f>SUM(E9+E48+E50)</f>
        <v>745369.4</v>
      </c>
      <c r="F8" s="18"/>
      <c r="G8" s="18">
        <f>SUM(G9+G48+G50)</f>
        <v>36543673.770000003</v>
      </c>
      <c r="H8" s="18">
        <f>SUM(H9+H48+H50)</f>
        <v>16438057.949999997</v>
      </c>
      <c r="I8" s="18">
        <f>SUM(I9+I48+I50)</f>
        <v>14632801.270000001</v>
      </c>
      <c r="J8" s="18"/>
      <c r="K8" s="18">
        <f>SUM(K9+K48+K50)</f>
        <v>279189.43000000005</v>
      </c>
      <c r="L8" s="18">
        <f>SUM(L9+L48+L50)</f>
        <v>53253.909999999996</v>
      </c>
      <c r="M8" s="19" t="s">
        <v>21</v>
      </c>
    </row>
    <row r="9" spans="1:15" ht="17.25">
      <c r="A9" s="21" t="s">
        <v>22</v>
      </c>
      <c r="B9" s="74">
        <f>SUM(B10:B43)</f>
        <v>21826</v>
      </c>
      <c r="C9" s="74">
        <f>SUM(C10:C43)</f>
        <v>1601163</v>
      </c>
      <c r="D9" s="74">
        <f>SUM(D10:D43)</f>
        <v>1590856</v>
      </c>
      <c r="E9" s="74">
        <f>SUM(E10:E43)</f>
        <v>745369.4</v>
      </c>
      <c r="F9" s="74"/>
      <c r="G9" s="74">
        <f>SUM(G10:G43)</f>
        <v>36411533.730000004</v>
      </c>
      <c r="H9" s="74">
        <f>SUM(H10:H43)</f>
        <v>16438057.949999997</v>
      </c>
      <c r="I9" s="74">
        <f>SUM(I10:I43)</f>
        <v>14632801.270000001</v>
      </c>
      <c r="J9" s="74"/>
      <c r="K9" s="74">
        <f>SUM(K10:K43)</f>
        <v>279189.43000000005</v>
      </c>
      <c r="L9" s="74">
        <f>SUM(L10:L43)</f>
        <v>53253.909999999996</v>
      </c>
      <c r="M9" s="22" t="s">
        <v>23</v>
      </c>
    </row>
    <row r="10" spans="1:15" ht="17.25">
      <c r="A10" s="23" t="s">
        <v>24</v>
      </c>
      <c r="B10" s="75">
        <v>2640</v>
      </c>
      <c r="C10" s="75">
        <v>265296</v>
      </c>
      <c r="D10" s="75">
        <v>241946</v>
      </c>
      <c r="E10" s="75">
        <v>0</v>
      </c>
      <c r="F10" s="76"/>
      <c r="G10" s="75">
        <v>10195748.359999999</v>
      </c>
      <c r="H10" s="76">
        <v>3941895.94</v>
      </c>
      <c r="I10" s="75">
        <v>3440359.6200000006</v>
      </c>
      <c r="J10" s="76"/>
      <c r="K10" s="75">
        <v>26634.260000000002</v>
      </c>
      <c r="L10" s="75">
        <v>473.90000000000003</v>
      </c>
      <c r="M10" s="24" t="s">
        <v>25</v>
      </c>
    </row>
    <row r="11" spans="1:15" ht="17.25">
      <c r="A11" s="23" t="s">
        <v>26</v>
      </c>
      <c r="B11" s="75">
        <v>1232</v>
      </c>
      <c r="C11" s="75">
        <v>114893</v>
      </c>
      <c r="D11" s="75">
        <v>120036</v>
      </c>
      <c r="E11" s="77">
        <v>0</v>
      </c>
      <c r="F11" s="78"/>
      <c r="G11" s="75">
        <v>4953525.37</v>
      </c>
      <c r="H11" s="75">
        <v>1177428.52</v>
      </c>
      <c r="I11" s="75">
        <v>13505</v>
      </c>
      <c r="J11" s="78"/>
      <c r="K11" s="75">
        <v>137840.49</v>
      </c>
      <c r="L11" s="75">
        <v>2798.3</v>
      </c>
      <c r="M11" s="24" t="s">
        <v>27</v>
      </c>
    </row>
    <row r="12" spans="1:15" ht="17.25">
      <c r="A12" s="23" t="s">
        <v>28</v>
      </c>
      <c r="B12" s="75">
        <v>2910</v>
      </c>
      <c r="C12" s="75">
        <v>300362</v>
      </c>
      <c r="D12" s="75">
        <v>309374</v>
      </c>
      <c r="E12" s="75">
        <v>37794</v>
      </c>
      <c r="F12" s="78"/>
      <c r="G12" s="75">
        <v>9174338.0100000016</v>
      </c>
      <c r="H12" s="75">
        <v>3045473.96</v>
      </c>
      <c r="I12" s="75">
        <v>1324379.4200000002</v>
      </c>
      <c r="J12" s="78"/>
      <c r="K12" s="75">
        <v>1720.94</v>
      </c>
      <c r="L12" s="75">
        <v>12632.470000000001</v>
      </c>
      <c r="M12" s="24" t="s">
        <v>29</v>
      </c>
    </row>
    <row r="13" spans="1:15" ht="17.25">
      <c r="A13" s="23" t="s">
        <v>30</v>
      </c>
      <c r="B13" s="75">
        <v>1200</v>
      </c>
      <c r="C13" s="75">
        <v>55375</v>
      </c>
      <c r="D13" s="75">
        <v>51061</v>
      </c>
      <c r="E13" s="75">
        <v>0</v>
      </c>
      <c r="F13" s="78"/>
      <c r="G13" s="75">
        <v>1341027.03</v>
      </c>
      <c r="H13" s="75">
        <v>6968.1</v>
      </c>
      <c r="I13" s="77">
        <v>70</v>
      </c>
      <c r="J13" s="78"/>
      <c r="K13" s="77">
        <v>6221.4199999999992</v>
      </c>
      <c r="L13" s="75">
        <v>821.7</v>
      </c>
      <c r="M13" s="24" t="s">
        <v>31</v>
      </c>
    </row>
    <row r="14" spans="1:15" ht="17.25">
      <c r="A14" s="23" t="s">
        <v>32</v>
      </c>
      <c r="B14" s="75">
        <v>1464</v>
      </c>
      <c r="C14" s="75">
        <v>107438</v>
      </c>
      <c r="D14" s="75">
        <v>109762</v>
      </c>
      <c r="E14" s="77">
        <v>0</v>
      </c>
      <c r="F14" s="78"/>
      <c r="G14" s="75">
        <v>1604634.64</v>
      </c>
      <c r="H14" s="75">
        <v>2274941.44</v>
      </c>
      <c r="I14" s="75">
        <v>75675.22</v>
      </c>
      <c r="J14" s="78"/>
      <c r="K14" s="75">
        <v>14096.73</v>
      </c>
      <c r="L14" s="75">
        <v>0</v>
      </c>
      <c r="M14" s="24" t="s">
        <v>33</v>
      </c>
    </row>
    <row r="15" spans="1:15" ht="17.25">
      <c r="A15" s="23" t="s">
        <v>34</v>
      </c>
      <c r="B15" s="75">
        <v>300</v>
      </c>
      <c r="C15" s="75">
        <v>15767</v>
      </c>
      <c r="D15" s="75">
        <v>16644</v>
      </c>
      <c r="E15" s="75">
        <v>54</v>
      </c>
      <c r="F15" s="76"/>
      <c r="G15" s="75">
        <v>173228</v>
      </c>
      <c r="H15" s="75">
        <v>0</v>
      </c>
      <c r="I15" s="75">
        <v>167</v>
      </c>
      <c r="J15" s="76"/>
      <c r="K15" s="75">
        <v>0</v>
      </c>
      <c r="L15" s="75">
        <v>0</v>
      </c>
      <c r="M15" s="24" t="s">
        <v>35</v>
      </c>
    </row>
    <row r="16" spans="1:15" ht="17.25">
      <c r="A16" s="23" t="s">
        <v>36</v>
      </c>
      <c r="B16" s="75">
        <v>210</v>
      </c>
      <c r="C16" s="75">
        <v>23116</v>
      </c>
      <c r="D16" s="75">
        <v>23371</v>
      </c>
      <c r="E16" s="75">
        <v>0</v>
      </c>
      <c r="F16" s="76"/>
      <c r="G16" s="75">
        <v>346428.91999999993</v>
      </c>
      <c r="H16" s="75">
        <v>20924.210000000003</v>
      </c>
      <c r="I16" s="75">
        <v>390919.25</v>
      </c>
      <c r="J16" s="76"/>
      <c r="K16" s="75">
        <v>8390.01</v>
      </c>
      <c r="L16" s="75">
        <v>0</v>
      </c>
      <c r="M16" s="24" t="s">
        <v>37</v>
      </c>
    </row>
    <row r="17" spans="1:15" ht="17.25">
      <c r="A17" s="23" t="s">
        <v>38</v>
      </c>
      <c r="B17" s="75">
        <v>132</v>
      </c>
      <c r="C17" s="75">
        <v>14594</v>
      </c>
      <c r="D17" s="75">
        <v>14860</v>
      </c>
      <c r="E17" s="75">
        <v>230</v>
      </c>
      <c r="F17" s="76"/>
      <c r="G17" s="75">
        <v>92513.4</v>
      </c>
      <c r="H17" s="75">
        <v>40611</v>
      </c>
      <c r="I17" s="75">
        <v>623831.66999999993</v>
      </c>
      <c r="J17" s="76"/>
      <c r="K17" s="75">
        <v>292.93</v>
      </c>
      <c r="L17" s="75">
        <v>0</v>
      </c>
      <c r="M17" s="25" t="s">
        <v>39</v>
      </c>
    </row>
    <row r="18" spans="1:15" ht="17.25">
      <c r="A18" s="23" t="s">
        <v>40</v>
      </c>
      <c r="B18" s="75">
        <v>290</v>
      </c>
      <c r="C18" s="75">
        <v>8769</v>
      </c>
      <c r="D18" s="75">
        <v>10053</v>
      </c>
      <c r="E18" s="75">
        <v>2438</v>
      </c>
      <c r="F18" s="76"/>
      <c r="G18" s="75">
        <v>40820.949999999997</v>
      </c>
      <c r="H18" s="75">
        <v>956</v>
      </c>
      <c r="I18" s="75">
        <v>3245</v>
      </c>
      <c r="J18" s="76"/>
      <c r="K18" s="75">
        <v>1.5</v>
      </c>
      <c r="L18" s="75">
        <v>0</v>
      </c>
      <c r="M18" s="24" t="s">
        <v>41</v>
      </c>
    </row>
    <row r="19" spans="1:15" ht="18.75">
      <c r="A19" s="23" t="s">
        <v>42</v>
      </c>
      <c r="B19" s="75">
        <v>838</v>
      </c>
      <c r="C19" s="75">
        <v>25008</v>
      </c>
      <c r="D19" s="75">
        <v>24152</v>
      </c>
      <c r="E19" s="75">
        <v>19935</v>
      </c>
      <c r="F19" s="76"/>
      <c r="G19" s="75">
        <v>211749.43000000002</v>
      </c>
      <c r="H19" s="75">
        <v>8455.35</v>
      </c>
      <c r="I19" s="75">
        <v>844.62</v>
      </c>
      <c r="J19" s="76"/>
      <c r="K19" s="75">
        <v>0</v>
      </c>
      <c r="L19" s="75">
        <v>0</v>
      </c>
      <c r="M19" s="26" t="s">
        <v>43</v>
      </c>
    </row>
    <row r="20" spans="1:15" ht="17.25">
      <c r="A20" s="23" t="s">
        <v>44</v>
      </c>
      <c r="B20" s="75">
        <v>258</v>
      </c>
      <c r="C20" s="75">
        <v>32256</v>
      </c>
      <c r="D20" s="75">
        <v>31891</v>
      </c>
      <c r="E20" s="75">
        <v>0</v>
      </c>
      <c r="F20" s="76"/>
      <c r="G20" s="75">
        <v>81440.28</v>
      </c>
      <c r="H20" s="75">
        <v>12997.7</v>
      </c>
      <c r="I20" s="75">
        <v>597284.06000000006</v>
      </c>
      <c r="J20" s="76"/>
      <c r="K20" s="75">
        <v>240.94</v>
      </c>
      <c r="L20" s="75">
        <v>0</v>
      </c>
      <c r="M20" s="25" t="s">
        <v>45</v>
      </c>
    </row>
    <row r="21" spans="1:15" ht="17.25">
      <c r="A21" s="27" t="s">
        <v>46</v>
      </c>
      <c r="B21" s="75">
        <v>1408</v>
      </c>
      <c r="C21" s="75">
        <v>106043</v>
      </c>
      <c r="D21" s="75">
        <v>108534</v>
      </c>
      <c r="E21" s="75">
        <v>16986</v>
      </c>
      <c r="F21" s="76"/>
      <c r="G21" s="75">
        <v>94747.6</v>
      </c>
      <c r="H21" s="75">
        <v>69991</v>
      </c>
      <c r="I21" s="75">
        <v>480444.86</v>
      </c>
      <c r="J21" s="76"/>
      <c r="K21" s="75">
        <v>2751.5000000000005</v>
      </c>
      <c r="L21" s="75">
        <v>0</v>
      </c>
      <c r="M21" s="25" t="s">
        <v>47</v>
      </c>
    </row>
    <row r="22" spans="1:15" ht="17.25">
      <c r="A22" s="23" t="s">
        <v>48</v>
      </c>
      <c r="B22" s="75">
        <v>66</v>
      </c>
      <c r="C22" s="75">
        <v>6261</v>
      </c>
      <c r="D22" s="75">
        <v>6463</v>
      </c>
      <c r="E22" s="75">
        <v>0</v>
      </c>
      <c r="F22" s="76"/>
      <c r="G22" s="75">
        <v>42673</v>
      </c>
      <c r="H22" s="75">
        <v>748.61</v>
      </c>
      <c r="I22" s="75">
        <v>8493.43</v>
      </c>
      <c r="J22" s="76"/>
      <c r="K22" s="75">
        <v>0</v>
      </c>
      <c r="L22" s="75">
        <v>0</v>
      </c>
      <c r="M22" s="24" t="s">
        <v>49</v>
      </c>
    </row>
    <row r="23" spans="1:15" ht="17.25">
      <c r="A23" s="23" t="s">
        <v>114</v>
      </c>
      <c r="B23" s="75">
        <v>332</v>
      </c>
      <c r="C23" s="75">
        <v>9371</v>
      </c>
      <c r="D23" s="75">
        <v>9300</v>
      </c>
      <c r="E23" s="75">
        <v>29340</v>
      </c>
      <c r="F23" s="76"/>
      <c r="G23" s="75">
        <v>15821</v>
      </c>
      <c r="H23" s="75">
        <v>59262.8</v>
      </c>
      <c r="I23" s="75">
        <v>8042.5</v>
      </c>
      <c r="J23" s="76"/>
      <c r="K23" s="75">
        <v>0</v>
      </c>
      <c r="L23" s="75">
        <v>53.4</v>
      </c>
      <c r="M23" s="24" t="s">
        <v>115</v>
      </c>
    </row>
    <row r="24" spans="1:15" ht="17.25">
      <c r="A24" s="23" t="s">
        <v>50</v>
      </c>
      <c r="B24" s="75">
        <v>732</v>
      </c>
      <c r="C24" s="75">
        <v>24853</v>
      </c>
      <c r="D24" s="75">
        <v>24313</v>
      </c>
      <c r="E24" s="75">
        <v>0</v>
      </c>
      <c r="F24" s="76"/>
      <c r="G24" s="75">
        <v>95832</v>
      </c>
      <c r="H24" s="75">
        <v>0</v>
      </c>
      <c r="I24" s="75">
        <v>0</v>
      </c>
      <c r="J24" s="76"/>
      <c r="K24" s="75">
        <v>0</v>
      </c>
      <c r="L24" s="75">
        <v>0</v>
      </c>
      <c r="M24" s="24" t="s">
        <v>51</v>
      </c>
    </row>
    <row r="25" spans="1:15" ht="17.25">
      <c r="A25" s="23" t="s">
        <v>52</v>
      </c>
      <c r="B25" s="75">
        <v>32</v>
      </c>
      <c r="C25" s="75">
        <v>2786</v>
      </c>
      <c r="D25" s="75">
        <v>2794</v>
      </c>
      <c r="E25" s="75">
        <v>0</v>
      </c>
      <c r="F25" s="76"/>
      <c r="G25" s="75">
        <v>1284</v>
      </c>
      <c r="H25" s="75">
        <v>3416</v>
      </c>
      <c r="I25" s="75">
        <v>319</v>
      </c>
      <c r="J25" s="76"/>
      <c r="K25" s="75">
        <v>0</v>
      </c>
      <c r="L25" s="75">
        <v>0</v>
      </c>
      <c r="M25" s="24" t="s">
        <v>53</v>
      </c>
    </row>
    <row r="26" spans="1:15" ht="17.25">
      <c r="A26" s="28" t="s">
        <v>54</v>
      </c>
      <c r="B26" s="75">
        <v>732</v>
      </c>
      <c r="C26" s="75">
        <v>28473</v>
      </c>
      <c r="D26" s="75">
        <v>26228</v>
      </c>
      <c r="E26" s="75">
        <v>0</v>
      </c>
      <c r="F26" s="76"/>
      <c r="G26" s="75">
        <v>404060.55</v>
      </c>
      <c r="H26" s="75">
        <v>658</v>
      </c>
      <c r="I26" s="77">
        <v>0</v>
      </c>
      <c r="J26" s="78"/>
      <c r="K26" s="75">
        <v>2273.9500000000003</v>
      </c>
      <c r="L26" s="77">
        <v>0</v>
      </c>
      <c r="M26" s="24" t="s">
        <v>55</v>
      </c>
    </row>
    <row r="27" spans="1:15" ht="18.75">
      <c r="A27" s="29" t="s">
        <v>56</v>
      </c>
      <c r="B27" s="78">
        <v>1456</v>
      </c>
      <c r="C27" s="78">
        <v>48944</v>
      </c>
      <c r="D27" s="77">
        <v>53209</v>
      </c>
      <c r="E27" s="77">
        <v>71484</v>
      </c>
      <c r="F27" s="78"/>
      <c r="G27" s="77">
        <v>2523376.2600000002</v>
      </c>
      <c r="H27" s="77">
        <v>1852815.7500000002</v>
      </c>
      <c r="I27" s="77">
        <v>170291.01</v>
      </c>
      <c r="J27" s="78"/>
      <c r="K27" s="77">
        <v>11458.779999999999</v>
      </c>
      <c r="L27" s="77">
        <v>36430.699999999997</v>
      </c>
      <c r="M27" s="30" t="s">
        <v>57</v>
      </c>
      <c r="O27" s="31"/>
    </row>
    <row r="28" spans="1:15" ht="17.25">
      <c r="A28" s="23" t="s">
        <v>58</v>
      </c>
      <c r="B28" s="75">
        <v>1632</v>
      </c>
      <c r="C28" s="75">
        <v>94042</v>
      </c>
      <c r="D28" s="75">
        <v>93595</v>
      </c>
      <c r="E28" s="75">
        <v>566076.4</v>
      </c>
      <c r="F28" s="76"/>
      <c r="G28" s="75">
        <v>13534.9</v>
      </c>
      <c r="H28" s="75">
        <v>159483</v>
      </c>
      <c r="I28" s="75">
        <v>0</v>
      </c>
      <c r="J28" s="76"/>
      <c r="K28" s="75">
        <v>0</v>
      </c>
      <c r="L28" s="75">
        <v>4.2</v>
      </c>
      <c r="M28" s="32" t="s">
        <v>59</v>
      </c>
    </row>
    <row r="29" spans="1:15" ht="18.75">
      <c r="A29" s="33" t="s">
        <v>60</v>
      </c>
      <c r="B29" s="76">
        <v>418</v>
      </c>
      <c r="C29" s="76">
        <v>39025</v>
      </c>
      <c r="D29" s="75">
        <v>41414</v>
      </c>
      <c r="E29" s="76">
        <v>0</v>
      </c>
      <c r="F29" s="76"/>
      <c r="G29" s="76">
        <v>780319.92</v>
      </c>
      <c r="H29" s="76">
        <v>970869.7</v>
      </c>
      <c r="I29" s="76">
        <v>6214322.8899999997</v>
      </c>
      <c r="J29" s="76"/>
      <c r="K29" s="76">
        <v>44249.490000000005</v>
      </c>
      <c r="L29" s="76">
        <v>0</v>
      </c>
      <c r="M29" s="34" t="s">
        <v>61</v>
      </c>
      <c r="O29" s="35"/>
    </row>
    <row r="30" spans="1:15" ht="18.75">
      <c r="A30" s="33" t="s">
        <v>62</v>
      </c>
      <c r="B30" s="76">
        <v>314</v>
      </c>
      <c r="C30" s="76">
        <v>28700</v>
      </c>
      <c r="D30" s="75">
        <v>26935</v>
      </c>
      <c r="E30" s="76">
        <v>0</v>
      </c>
      <c r="F30" s="76"/>
      <c r="G30" s="76">
        <v>292652.58999999997</v>
      </c>
      <c r="H30" s="76">
        <v>3785</v>
      </c>
      <c r="I30" s="76">
        <v>0</v>
      </c>
      <c r="J30" s="76"/>
      <c r="K30" s="76">
        <v>0</v>
      </c>
      <c r="L30" s="76">
        <v>0</v>
      </c>
      <c r="M30" s="34" t="s">
        <v>63</v>
      </c>
      <c r="O30" s="35"/>
    </row>
    <row r="31" spans="1:15" ht="15.75">
      <c r="A31" s="33" t="s">
        <v>64</v>
      </c>
      <c r="B31" s="76">
        <v>236</v>
      </c>
      <c r="C31" s="76">
        <v>19015</v>
      </c>
      <c r="D31" s="75">
        <v>18430</v>
      </c>
      <c r="E31" s="76">
        <v>0</v>
      </c>
      <c r="F31" s="76"/>
      <c r="G31" s="76">
        <v>509143.84</v>
      </c>
      <c r="H31" s="76">
        <v>7240</v>
      </c>
      <c r="I31" s="76">
        <v>175540</v>
      </c>
      <c r="J31" s="76"/>
      <c r="K31" s="76">
        <v>10318.1</v>
      </c>
      <c r="L31" s="76">
        <v>0</v>
      </c>
      <c r="M31" s="35" t="s">
        <v>65</v>
      </c>
      <c r="O31" s="35"/>
    </row>
    <row r="32" spans="1:15" ht="18.75">
      <c r="A32" s="36" t="s">
        <v>66</v>
      </c>
      <c r="B32" s="76">
        <v>732</v>
      </c>
      <c r="C32" s="76">
        <v>51280</v>
      </c>
      <c r="D32" s="75">
        <v>54868</v>
      </c>
      <c r="E32" s="76">
        <v>0</v>
      </c>
      <c r="F32" s="76"/>
      <c r="G32" s="76">
        <v>308671.55000000005</v>
      </c>
      <c r="H32" s="76">
        <v>2014300.08</v>
      </c>
      <c r="I32" s="76">
        <v>24</v>
      </c>
      <c r="J32" s="76"/>
      <c r="K32" s="76">
        <v>12478.99</v>
      </c>
      <c r="L32" s="76">
        <v>0</v>
      </c>
      <c r="M32" s="30" t="s">
        <v>67</v>
      </c>
    </row>
    <row r="33" spans="1:13" ht="17.25">
      <c r="A33" s="33" t="s">
        <v>68</v>
      </c>
      <c r="B33" s="76">
        <v>88</v>
      </c>
      <c r="C33" s="76">
        <v>10695</v>
      </c>
      <c r="D33" s="75">
        <v>10341</v>
      </c>
      <c r="E33" s="76">
        <v>0</v>
      </c>
      <c r="F33" s="76"/>
      <c r="G33" s="76">
        <v>86631.299999999988</v>
      </c>
      <c r="H33" s="76">
        <v>1589.5</v>
      </c>
      <c r="I33" s="76">
        <v>44498.03</v>
      </c>
      <c r="J33" s="76"/>
      <c r="K33" s="76">
        <v>5</v>
      </c>
      <c r="L33" s="76">
        <v>0</v>
      </c>
      <c r="M33" s="101" t="s">
        <v>69</v>
      </c>
    </row>
    <row r="34" spans="1:13" ht="18.75">
      <c r="A34" s="33" t="s">
        <v>70</v>
      </c>
      <c r="B34" s="76">
        <v>312</v>
      </c>
      <c r="C34" s="76">
        <v>21705</v>
      </c>
      <c r="D34" s="75">
        <v>20642</v>
      </c>
      <c r="E34" s="76">
        <v>84</v>
      </c>
      <c r="F34" s="76"/>
      <c r="G34" s="76">
        <v>1949499.74</v>
      </c>
      <c r="H34" s="76">
        <v>492741.7</v>
      </c>
      <c r="I34" s="76">
        <v>167726.90000000002</v>
      </c>
      <c r="J34" s="76"/>
      <c r="K34" s="76">
        <v>0</v>
      </c>
      <c r="L34" s="76">
        <v>0</v>
      </c>
      <c r="M34" s="30" t="s">
        <v>71</v>
      </c>
    </row>
    <row r="35" spans="1:13" ht="18.75">
      <c r="A35" s="33" t="s">
        <v>72</v>
      </c>
      <c r="B35" s="76">
        <v>410</v>
      </c>
      <c r="C35" s="76">
        <v>27876</v>
      </c>
      <c r="D35" s="75">
        <v>29162</v>
      </c>
      <c r="E35" s="76">
        <v>0</v>
      </c>
      <c r="F35" s="76"/>
      <c r="G35" s="76">
        <v>0</v>
      </c>
      <c r="H35" s="76">
        <v>0</v>
      </c>
      <c r="I35" s="76">
        <v>0</v>
      </c>
      <c r="J35" s="76"/>
      <c r="K35" s="76">
        <v>0</v>
      </c>
      <c r="L35" s="76">
        <v>0</v>
      </c>
      <c r="M35" s="30" t="s">
        <v>73</v>
      </c>
    </row>
    <row r="36" spans="1:13" ht="18.75">
      <c r="A36" s="33" t="s">
        <v>74</v>
      </c>
      <c r="B36" s="76">
        <v>156</v>
      </c>
      <c r="C36" s="76">
        <v>18459</v>
      </c>
      <c r="D36" s="75">
        <v>18497</v>
      </c>
      <c r="E36" s="76">
        <v>948</v>
      </c>
      <c r="F36" s="76"/>
      <c r="G36" s="76">
        <v>68926.960000000006</v>
      </c>
      <c r="H36" s="76">
        <v>12043.599999999999</v>
      </c>
      <c r="I36" s="76">
        <v>117776.65000000001</v>
      </c>
      <c r="J36" s="76"/>
      <c r="K36" s="76">
        <v>0</v>
      </c>
      <c r="L36" s="76">
        <v>0</v>
      </c>
      <c r="M36" s="30" t="s">
        <v>75</v>
      </c>
    </row>
    <row r="37" spans="1:13" ht="18.75">
      <c r="A37" s="33" t="s">
        <v>76</v>
      </c>
      <c r="B37" s="79">
        <v>216</v>
      </c>
      <c r="C37" s="79">
        <v>17659</v>
      </c>
      <c r="D37" s="80">
        <v>17309</v>
      </c>
      <c r="E37" s="79">
        <v>0</v>
      </c>
      <c r="F37" s="79"/>
      <c r="G37" s="79">
        <v>278670.10000000003</v>
      </c>
      <c r="H37" s="79">
        <v>0</v>
      </c>
      <c r="I37" s="79">
        <v>120148.9</v>
      </c>
      <c r="J37" s="79"/>
      <c r="K37" s="79">
        <v>0</v>
      </c>
      <c r="L37" s="79">
        <v>0</v>
      </c>
      <c r="M37" s="30" t="s">
        <v>77</v>
      </c>
    </row>
    <row r="38" spans="1:13" ht="18.75">
      <c r="A38" s="33" t="s">
        <v>78</v>
      </c>
      <c r="B38" s="79">
        <v>234</v>
      </c>
      <c r="C38" s="79">
        <v>15152</v>
      </c>
      <c r="D38" s="80">
        <v>11389</v>
      </c>
      <c r="E38" s="79">
        <v>0</v>
      </c>
      <c r="F38" s="79"/>
      <c r="G38" s="79">
        <v>135372</v>
      </c>
      <c r="H38" s="79">
        <v>1724.5</v>
      </c>
      <c r="I38" s="79">
        <v>0</v>
      </c>
      <c r="J38" s="79"/>
      <c r="K38" s="79">
        <v>0</v>
      </c>
      <c r="L38" s="79">
        <v>0</v>
      </c>
      <c r="M38" s="30" t="s">
        <v>79</v>
      </c>
    </row>
    <row r="39" spans="1:13" ht="18.75">
      <c r="A39" s="33" t="s">
        <v>80</v>
      </c>
      <c r="B39" s="79">
        <v>408</v>
      </c>
      <c r="C39" s="79">
        <v>34605</v>
      </c>
      <c r="D39" s="80">
        <v>30800</v>
      </c>
      <c r="E39" s="79">
        <v>0</v>
      </c>
      <c r="F39" s="79"/>
      <c r="G39" s="79">
        <v>220433.48</v>
      </c>
      <c r="H39" s="79">
        <v>161477.1</v>
      </c>
      <c r="I39" s="79">
        <v>289385.14</v>
      </c>
      <c r="J39" s="79"/>
      <c r="K39" s="79">
        <v>0</v>
      </c>
      <c r="L39" s="79">
        <v>39.24</v>
      </c>
      <c r="M39" s="30" t="s">
        <v>81</v>
      </c>
    </row>
    <row r="40" spans="1:13" ht="18.75">
      <c r="A40" s="33" t="s">
        <v>82</v>
      </c>
      <c r="B40" s="79">
        <v>248</v>
      </c>
      <c r="C40" s="79">
        <v>24308</v>
      </c>
      <c r="D40" s="80">
        <v>24030</v>
      </c>
      <c r="E40" s="79">
        <v>0</v>
      </c>
      <c r="F40" s="79"/>
      <c r="G40" s="79">
        <v>8673</v>
      </c>
      <c r="H40" s="79">
        <v>0</v>
      </c>
      <c r="I40" s="79">
        <v>289569.7</v>
      </c>
      <c r="J40" s="79"/>
      <c r="K40" s="79">
        <v>0</v>
      </c>
      <c r="L40" s="79">
        <v>0</v>
      </c>
      <c r="M40" s="30" t="s">
        <v>83</v>
      </c>
    </row>
    <row r="41" spans="1:13" ht="18.75">
      <c r="A41" s="33" t="s">
        <v>84</v>
      </c>
      <c r="B41" s="79">
        <v>6</v>
      </c>
      <c r="C41" s="79">
        <v>316</v>
      </c>
      <c r="D41" s="80">
        <v>316</v>
      </c>
      <c r="E41" s="79">
        <v>0</v>
      </c>
      <c r="F41" s="79"/>
      <c r="G41" s="79">
        <v>0</v>
      </c>
      <c r="H41" s="79">
        <v>0</v>
      </c>
      <c r="I41" s="79">
        <v>0</v>
      </c>
      <c r="J41" s="79"/>
      <c r="K41" s="79">
        <v>0</v>
      </c>
      <c r="L41" s="79">
        <v>0</v>
      </c>
      <c r="M41" s="30" t="s">
        <v>85</v>
      </c>
    </row>
    <row r="42" spans="1:13" ht="18.75">
      <c r="A42" s="33" t="s">
        <v>86</v>
      </c>
      <c r="B42" s="79">
        <v>90</v>
      </c>
      <c r="C42" s="79">
        <v>8721</v>
      </c>
      <c r="D42" s="80">
        <v>9137</v>
      </c>
      <c r="E42" s="79">
        <v>0</v>
      </c>
      <c r="F42" s="79"/>
      <c r="G42" s="79">
        <v>135558.04999999999</v>
      </c>
      <c r="H42" s="79">
        <v>6607.3899999999994</v>
      </c>
      <c r="I42" s="79">
        <v>9665.5</v>
      </c>
      <c r="J42" s="79"/>
      <c r="K42" s="79">
        <v>214.39999999999998</v>
      </c>
      <c r="L42" s="79">
        <v>0</v>
      </c>
      <c r="M42" s="30" t="s">
        <v>87</v>
      </c>
    </row>
    <row r="43" spans="1:13" ht="17.25">
      <c r="A43" s="37" t="s">
        <v>88</v>
      </c>
      <c r="B43" s="81">
        <v>94</v>
      </c>
      <c r="C43" s="82">
        <v>0</v>
      </c>
      <c r="D43" s="82">
        <v>0</v>
      </c>
      <c r="E43" s="82">
        <v>0</v>
      </c>
      <c r="F43" s="83"/>
      <c r="G43" s="81">
        <v>230197.5</v>
      </c>
      <c r="H43" s="81">
        <v>88652</v>
      </c>
      <c r="I43" s="82">
        <v>66271.899999999994</v>
      </c>
      <c r="J43" s="83"/>
      <c r="K43" s="82">
        <v>0</v>
      </c>
      <c r="L43" s="82">
        <v>0</v>
      </c>
      <c r="M43" s="101" t="s">
        <v>111</v>
      </c>
    </row>
    <row r="44" spans="1:13" ht="17.25">
      <c r="A44" s="4" t="s">
        <v>89</v>
      </c>
      <c r="B44" s="38"/>
      <c r="C44" s="38"/>
      <c r="D44" s="38"/>
      <c r="E44" s="38"/>
      <c r="F44" s="38"/>
      <c r="G44" s="39"/>
      <c r="H44" s="39"/>
      <c r="I44" s="40"/>
      <c r="J44" s="40"/>
      <c r="K44" s="40"/>
      <c r="L44" s="40"/>
      <c r="M44" s="41" t="s">
        <v>90</v>
      </c>
    </row>
    <row r="45" spans="1:13" ht="17.25">
      <c r="A45" s="42"/>
      <c r="B45" s="3"/>
      <c r="C45" s="4" t="s">
        <v>2</v>
      </c>
      <c r="D45" s="43"/>
      <c r="E45" s="44" t="s">
        <v>3</v>
      </c>
      <c r="F45" s="45"/>
      <c r="G45" s="104" t="s">
        <v>4</v>
      </c>
      <c r="H45" s="43"/>
      <c r="I45" s="46" t="s">
        <v>5</v>
      </c>
      <c r="J45" s="45"/>
      <c r="K45" s="104" t="s">
        <v>6</v>
      </c>
      <c r="L45" s="46" t="s">
        <v>7</v>
      </c>
      <c r="M45" s="47"/>
    </row>
    <row r="46" spans="1:13" ht="17.25">
      <c r="A46" s="9" t="s">
        <v>8</v>
      </c>
      <c r="B46" s="6" t="s">
        <v>9</v>
      </c>
      <c r="C46" s="6" t="s">
        <v>10</v>
      </c>
      <c r="D46" s="6" t="s">
        <v>11</v>
      </c>
      <c r="E46" s="6" t="s">
        <v>12</v>
      </c>
      <c r="F46" s="6"/>
      <c r="G46" s="6" t="s">
        <v>13</v>
      </c>
      <c r="H46" s="6" t="s">
        <v>14</v>
      </c>
      <c r="I46" s="6" t="s">
        <v>12</v>
      </c>
      <c r="J46" s="6"/>
      <c r="K46" s="6" t="s">
        <v>13</v>
      </c>
      <c r="L46" s="48" t="s">
        <v>14</v>
      </c>
      <c r="M46" s="12" t="s">
        <v>15</v>
      </c>
    </row>
    <row r="47" spans="1:13">
      <c r="A47" s="14"/>
      <c r="B47" s="15" t="s">
        <v>16</v>
      </c>
      <c r="C47" s="15" t="s">
        <v>17</v>
      </c>
      <c r="D47" s="15" t="s">
        <v>18</v>
      </c>
      <c r="E47" s="15" t="s">
        <v>19</v>
      </c>
      <c r="F47" s="15"/>
      <c r="G47" s="15" t="s">
        <v>17</v>
      </c>
      <c r="H47" s="15" t="s">
        <v>18</v>
      </c>
      <c r="I47" s="15" t="s">
        <v>19</v>
      </c>
      <c r="J47" s="15"/>
      <c r="K47" s="15" t="s">
        <v>17</v>
      </c>
      <c r="L47" s="15" t="s">
        <v>18</v>
      </c>
      <c r="M47" s="49"/>
    </row>
    <row r="48" spans="1:13" ht="17.25">
      <c r="A48" s="84" t="s">
        <v>91</v>
      </c>
      <c r="B48" s="85">
        <f>SUM(B49:B49)</f>
        <v>42</v>
      </c>
      <c r="C48" s="85">
        <f>SUM(C49:C49)</f>
        <v>5022</v>
      </c>
      <c r="D48" s="85">
        <f>SUM(D49:D49)</f>
        <v>5033</v>
      </c>
      <c r="E48" s="85">
        <f>SUM(E49:E49)</f>
        <v>0</v>
      </c>
      <c r="F48" s="85"/>
      <c r="G48" s="85">
        <f>SUM(G49:G49)</f>
        <v>71155.040000000008</v>
      </c>
      <c r="H48" s="85">
        <f>SUM(H49:H49)</f>
        <v>0</v>
      </c>
      <c r="I48" s="85">
        <f>SUM(I49:I49)</f>
        <v>0</v>
      </c>
      <c r="J48" s="85"/>
      <c r="K48" s="85">
        <f>SUM(K49:K49)</f>
        <v>0</v>
      </c>
      <c r="L48" s="85">
        <f>SUM(L49:L49)</f>
        <v>0</v>
      </c>
      <c r="M48" s="50" t="s">
        <v>92</v>
      </c>
    </row>
    <row r="49" spans="1:58" ht="18.75">
      <c r="A49" s="92" t="s">
        <v>93</v>
      </c>
      <c r="B49" s="93">
        <v>42</v>
      </c>
      <c r="C49" s="93">
        <v>5022</v>
      </c>
      <c r="D49" s="93">
        <v>5033</v>
      </c>
      <c r="E49" s="93">
        <v>0</v>
      </c>
      <c r="F49" s="93"/>
      <c r="G49" s="93">
        <v>71155.040000000008</v>
      </c>
      <c r="H49" s="93">
        <v>0</v>
      </c>
      <c r="I49" s="93">
        <v>0</v>
      </c>
      <c r="J49" s="93"/>
      <c r="K49" s="93">
        <v>0</v>
      </c>
      <c r="L49" s="93">
        <v>0</v>
      </c>
      <c r="M49" s="94" t="s">
        <v>94</v>
      </c>
      <c r="O49" s="25"/>
    </row>
    <row r="50" spans="1:58" ht="17.25">
      <c r="A50" s="97" t="s">
        <v>95</v>
      </c>
      <c r="B50" s="98">
        <v>1850</v>
      </c>
      <c r="C50" s="98">
        <v>4963</v>
      </c>
      <c r="D50" s="99">
        <v>4664</v>
      </c>
      <c r="E50" s="98">
        <v>0</v>
      </c>
      <c r="F50" s="98"/>
      <c r="G50" s="98">
        <v>60985</v>
      </c>
      <c r="H50" s="98">
        <v>0</v>
      </c>
      <c r="I50" s="98">
        <v>0</v>
      </c>
      <c r="J50" s="98"/>
      <c r="K50" s="98">
        <v>0</v>
      </c>
      <c r="L50" s="98">
        <v>0</v>
      </c>
      <c r="M50" s="100" t="s">
        <v>96</v>
      </c>
    </row>
    <row r="51" spans="1:58" ht="17.25">
      <c r="A51" s="91" t="s">
        <v>97</v>
      </c>
      <c r="B51" s="95">
        <f>SUM(B52:B55)</f>
        <v>73961</v>
      </c>
      <c r="C51" s="95">
        <f>SUM(C52:C55)</f>
        <v>891654</v>
      </c>
      <c r="D51" s="95">
        <f>SUM(D52:D55)</f>
        <v>929202</v>
      </c>
      <c r="E51" s="95">
        <f>SUM(E52:E55)</f>
        <v>0</v>
      </c>
      <c r="F51" s="95"/>
      <c r="G51" s="95">
        <f>SUM(G52:G55)</f>
        <v>247330.59000000003</v>
      </c>
      <c r="H51" s="95">
        <f>SUM(H52:H55)</f>
        <v>594826.28999999992</v>
      </c>
      <c r="I51" s="95">
        <f>SUM(I52:I55)</f>
        <v>181520.6</v>
      </c>
      <c r="J51" s="95"/>
      <c r="K51" s="95">
        <f>SUM(K52:K55)</f>
        <v>3618.12</v>
      </c>
      <c r="L51" s="95">
        <f>SUM(L52:L55)</f>
        <v>47912.180000000008</v>
      </c>
      <c r="M51" s="96" t="s">
        <v>98</v>
      </c>
    </row>
    <row r="52" spans="1:58" ht="21" customHeight="1">
      <c r="A52" s="86" t="s">
        <v>99</v>
      </c>
      <c r="B52" s="76">
        <v>19776</v>
      </c>
      <c r="C52" s="76">
        <v>332651</v>
      </c>
      <c r="D52" s="75">
        <v>340289</v>
      </c>
      <c r="E52" s="76">
        <v>0</v>
      </c>
      <c r="F52" s="76"/>
      <c r="G52" s="76">
        <v>247311.04000000004</v>
      </c>
      <c r="H52" s="76">
        <v>594561.28999999992</v>
      </c>
      <c r="I52" s="76">
        <v>181292.9</v>
      </c>
      <c r="J52" s="76"/>
      <c r="K52" s="76">
        <v>3618.12</v>
      </c>
      <c r="L52" s="76">
        <v>47912.180000000008</v>
      </c>
      <c r="M52" s="52" t="s">
        <v>100</v>
      </c>
    </row>
    <row r="53" spans="1:58" ht="21" customHeight="1">
      <c r="A53" s="86" t="s">
        <v>101</v>
      </c>
      <c r="B53" s="76">
        <v>6376</v>
      </c>
      <c r="C53" s="76">
        <v>120952</v>
      </c>
      <c r="D53" s="75">
        <v>131829</v>
      </c>
      <c r="E53" s="76">
        <v>0</v>
      </c>
      <c r="F53" s="76"/>
      <c r="G53" s="76">
        <v>0</v>
      </c>
      <c r="H53" s="76">
        <v>0</v>
      </c>
      <c r="I53" s="76">
        <v>0</v>
      </c>
      <c r="J53" s="76"/>
      <c r="K53" s="76">
        <v>0</v>
      </c>
      <c r="L53" s="76">
        <v>0</v>
      </c>
      <c r="M53" s="51" t="s">
        <v>102</v>
      </c>
    </row>
    <row r="54" spans="1:58" ht="21" customHeight="1">
      <c r="A54" s="87" t="s">
        <v>103</v>
      </c>
      <c r="B54" s="76">
        <v>47343</v>
      </c>
      <c r="C54" s="76">
        <v>437884</v>
      </c>
      <c r="D54" s="75">
        <v>456949</v>
      </c>
      <c r="E54" s="76">
        <v>0</v>
      </c>
      <c r="F54" s="76"/>
      <c r="G54" s="76">
        <v>0</v>
      </c>
      <c r="H54" s="76">
        <v>0</v>
      </c>
      <c r="I54" s="76">
        <v>0</v>
      </c>
      <c r="J54" s="76"/>
      <c r="K54" s="76">
        <v>0</v>
      </c>
      <c r="L54" s="76">
        <v>0</v>
      </c>
      <c r="M54" s="53" t="s">
        <v>104</v>
      </c>
    </row>
    <row r="55" spans="1:58" s="56" customFormat="1" ht="21" customHeight="1">
      <c r="A55" s="88" t="s">
        <v>105</v>
      </c>
      <c r="B55" s="89">
        <v>466</v>
      </c>
      <c r="C55" s="83">
        <v>167</v>
      </c>
      <c r="D55" s="82">
        <v>135</v>
      </c>
      <c r="E55" s="83">
        <v>0</v>
      </c>
      <c r="F55" s="83"/>
      <c r="G55" s="83">
        <v>19.55</v>
      </c>
      <c r="H55" s="83">
        <v>265</v>
      </c>
      <c r="I55" s="83">
        <v>227.7</v>
      </c>
      <c r="J55" s="83"/>
      <c r="K55" s="83">
        <v>0</v>
      </c>
      <c r="L55" s="83">
        <v>0</v>
      </c>
      <c r="M55" s="54" t="s">
        <v>106</v>
      </c>
      <c r="N55" s="55"/>
      <c r="O55" s="55"/>
      <c r="P55" s="55"/>
      <c r="Q55" s="55"/>
      <c r="BF55" s="57"/>
    </row>
    <row r="56" spans="1:58" ht="18" customHeight="1">
      <c r="A56" s="58" t="s">
        <v>107</v>
      </c>
      <c r="B56" s="59"/>
      <c r="C56" s="60"/>
      <c r="D56" s="60"/>
      <c r="E56" s="61"/>
      <c r="F56" s="61"/>
      <c r="G56" s="61"/>
      <c r="H56" s="62"/>
      <c r="I56" s="62"/>
      <c r="J56" s="62"/>
      <c r="K56" s="63"/>
      <c r="M56" s="64" t="s">
        <v>108</v>
      </c>
    </row>
    <row r="57" spans="1:58" ht="15.75" customHeight="1">
      <c r="A57" s="65" t="s">
        <v>109</v>
      </c>
      <c r="B57" s="65"/>
      <c r="C57" s="66"/>
      <c r="D57" s="66"/>
      <c r="E57" s="67"/>
      <c r="F57" s="67"/>
      <c r="G57" s="67"/>
      <c r="H57" s="68"/>
      <c r="I57" s="68"/>
      <c r="J57" s="68"/>
      <c r="L57" s="68"/>
      <c r="M57" s="69" t="s">
        <v>110</v>
      </c>
    </row>
    <row r="58" spans="1:58">
      <c r="A58" s="70"/>
      <c r="B58" s="70"/>
      <c r="C58" s="70"/>
      <c r="D58" s="70"/>
      <c r="E58" s="71"/>
      <c r="F58" s="71"/>
      <c r="G58" s="70"/>
      <c r="H58" s="70"/>
      <c r="I58" s="71"/>
      <c r="J58" s="71"/>
      <c r="K58" s="70"/>
      <c r="L58" s="70"/>
      <c r="M58" s="72"/>
    </row>
  </sheetData>
  <mergeCells count="2">
    <mergeCell ref="A1:M1"/>
    <mergeCell ref="A2:M2"/>
  </mergeCells>
  <pageMargins left="0.7" right="0.7" top="0.75" bottom="0.75" header="0.3" footer="0.3"/>
  <pageSetup paperSize="9" scale="64" orientation="landscape" horizontalDpi="4294967295" verticalDpi="4294967295" r:id="rId1"/>
  <rowBreaks count="1" manualBreakCount="1">
    <brk id="43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11.10</vt:lpstr>
      <vt:lpstr>'11.10'!Print_Area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2017-07-05T08:37:38Z</cp:lastPrinted>
  <dcterms:created xsi:type="dcterms:W3CDTF">2014-05-22T03:57:11Z</dcterms:created>
  <dcterms:modified xsi:type="dcterms:W3CDTF">2017-07-05T08:37:40Z</dcterms:modified>
</cp:coreProperties>
</file>