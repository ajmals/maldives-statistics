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1 &amp; 11.12" sheetId="8" r:id="rId1"/>
  </sheets>
  <externalReferences>
    <externalReference r:id="rId2"/>
    <externalReference r:id="rId3"/>
  </externalReferences>
  <definedNames>
    <definedName name="_xlnm.Print_Area" localSheetId="0">'11.11 &amp; 11.12'!$A$1:$M$19</definedName>
  </definedNames>
  <calcPr calcId="144525"/>
</workbook>
</file>

<file path=xl/calcChain.xml><?xml version="1.0" encoding="utf-8"?>
<calcChain xmlns="http://schemas.openxmlformats.org/spreadsheetml/2006/main">
  <c r="B13" i="8" l="1"/>
  <c r="L13" i="8" l="1"/>
  <c r="K13" i="8"/>
  <c r="I13" i="8"/>
  <c r="H13" i="8"/>
  <c r="G13" i="8"/>
  <c r="E13" i="8"/>
  <c r="D13" i="8"/>
  <c r="C13" i="8"/>
  <c r="L9" i="8"/>
  <c r="L8" i="8" s="1"/>
  <c r="K9" i="8"/>
  <c r="K8" i="8" s="1"/>
  <c r="I9" i="8"/>
  <c r="I8" i="8" s="1"/>
  <c r="H9" i="8"/>
  <c r="H8" i="8" s="1"/>
  <c r="G9" i="8"/>
  <c r="G8" i="8" s="1"/>
  <c r="E9" i="8"/>
  <c r="E8" i="8" s="1"/>
  <c r="D9" i="8"/>
  <c r="D8" i="8" s="1"/>
  <c r="C9" i="8"/>
  <c r="C8" i="8" s="1"/>
  <c r="B9" i="8"/>
  <c r="B8" i="8" s="1"/>
  <c r="K7" i="8" l="1"/>
  <c r="D7" i="8"/>
  <c r="E7" i="8"/>
  <c r="G7" i="8"/>
  <c r="H7" i="8"/>
  <c r="I7" i="8"/>
  <c r="C7" i="8"/>
  <c r="L7" i="8"/>
  <c r="B7" i="8"/>
</calcChain>
</file>

<file path=xl/sharedStrings.xml><?xml version="1.0" encoding="utf-8"?>
<sst xmlns="http://schemas.openxmlformats.org/spreadsheetml/2006/main" count="49" uniqueCount="41">
  <si>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</si>
  <si>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</si>
  <si>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</si>
  <si>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</si>
  <si>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</si>
  <si>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</si>
  <si>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</si>
  <si>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</si>
  <si>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</si>
  <si>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</si>
  <si>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</si>
  <si>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</si>
  <si>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</si>
  <si>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</si>
  <si>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</si>
  <si>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</si>
  <si>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</si>
  <si>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</si>
  <si>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</si>
  <si>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</si>
  <si>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</si>
  <si>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</si>
  <si>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</si>
  <si>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</si>
  <si>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</si>
  <si>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</si>
  <si>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</si>
  <si>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</si>
  <si>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</si>
  <si>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</si>
  <si>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Source: Civil Aviation Authority</t>
  </si>
  <si>
    <t>މައުލޫމާތު ދެއްވީ: ސިވިލް އޭވިއޭޝަން އޮތޯރިޓީ</t>
  </si>
  <si>
    <t>IAS</t>
  </si>
  <si>
    <t>Island Aviation (Scheduled)</t>
  </si>
  <si>
    <t xml:space="preserve">(cDclwauDex) cnwxEaivEacDcneliawa 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</si>
  <si>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</si>
  <si>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</si>
  <si>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</si>
  <si>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>Hanimaadhoo international flights do not have the permit to handle Cargo &amp; Mail</t>
  </si>
  <si>
    <t>2016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</si>
  <si>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2016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</si>
</sst>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51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164" fontId="21" fillId="2" borderId="2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>
      <alignment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164" fontId="14" fillId="2" borderId="0" xfId="5" applyNumberFormat="1" applyFont="1" applyFill="1" applyAlignment="1">
      <alignment horizontal="righ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0" fontId="12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2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2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2" xfId="13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38" fontId="8" fillId="2" borderId="0" xfId="6" applyNumberFormat="1" applyFont="1" applyFill="1" applyAlignment="1" applyProtection="1">
      <alignment horizontal="right" vertical="center"/>
    </xf>
    <xf numFmtId="0" fontId="23" fillId="2" borderId="2" xfId="13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6" applyNumberFormat="1" applyFont="1" applyFill="1" applyBorder="1" applyAlignment="1" applyProtection="1">
      <alignment horizontal="right" vertical="center"/>
      <protection locked="0"/>
    </xf>
    <xf numFmtId="38" fontId="9" fillId="2" borderId="0" xfId="6" applyNumberFormat="1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 vertical="center"/>
    </xf>
    <xf numFmtId="164" fontId="10" fillId="2" borderId="0" xfId="5" applyNumberFormat="1" applyFont="1" applyFill="1" applyBorder="1" applyAlignment="1">
      <alignment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3" fillId="2" borderId="0" xfId="0" applyNumberFormat="1" applyFont="1" applyFill="1"/>
    <xf numFmtId="164" fontId="11" fillId="2" borderId="0" xfId="5" applyNumberFormat="1" applyFont="1" applyFill="1" applyAlignment="1" applyProtection="1">
      <alignment horizontal="left" vertical="center"/>
    </xf>
    <xf numFmtId="38" fontId="8" fillId="2" borderId="0" xfId="6" applyNumberFormat="1" applyFont="1" applyFill="1" applyAlignment="1">
      <alignment horizontal="right" vertical="center"/>
    </xf>
    <xf numFmtId="38" fontId="9" fillId="2" borderId="2" xfId="6" applyNumberFormat="1" applyFont="1" applyFill="1" applyBorder="1" applyAlignment="1" applyProtection="1">
      <alignment horizontal="right" vertical="center"/>
      <protection locked="0"/>
    </xf>
    <xf numFmtId="38" fontId="9" fillId="2" borderId="2" xfId="6" applyNumberFormat="1" applyFont="1" applyFill="1" applyBorder="1" applyAlignment="1">
      <alignment horizontal="right" vertical="center"/>
    </xf>
    <xf numFmtId="38" fontId="9" fillId="2" borderId="2" xfId="6" applyNumberFormat="1" applyFont="1" applyFill="1" applyBorder="1" applyAlignment="1" applyProtection="1">
      <alignment horizontal="right" vertical="center"/>
    </xf>
    <xf numFmtId="38" fontId="9" fillId="2" borderId="2" xfId="6" applyNumberFormat="1" applyFont="1" applyFill="1" applyBorder="1" applyAlignment="1">
      <alignment horizontal="right"/>
    </xf>
    <xf numFmtId="164" fontId="9" fillId="2" borderId="2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8"/>
  <sheetViews>
    <sheetView tabSelected="1" zoomScale="136" zoomScaleNormal="136" workbookViewId="0">
      <selection activeCell="A20" sqref="A20:XFD82"/>
    </sheetView>
  </sheetViews>
  <sheetFormatPr defaultColWidth="9.140625" defaultRowHeight="15"/>
  <cols>
    <col min="1" max="1" width="24.5703125" style="16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9.5">
      <c r="A1" s="49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A2" s="50" t="s">
        <v>40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s="18" customForma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1"/>
      <c r="B4" s="2"/>
      <c r="C4" s="3" t="s">
        <v>2</v>
      </c>
      <c r="D4" s="4"/>
      <c r="E4" s="19" t="s">
        <v>3</v>
      </c>
      <c r="F4" s="5"/>
      <c r="G4" s="20" t="s">
        <v>4</v>
      </c>
      <c r="H4" s="4"/>
      <c r="I4" s="19" t="s">
        <v>5</v>
      </c>
      <c r="J4" s="5"/>
      <c r="K4" s="3" t="s">
        <v>6</v>
      </c>
      <c r="L4" s="19" t="s">
        <v>7</v>
      </c>
      <c r="M4" s="6"/>
    </row>
    <row r="5" spans="1:13">
      <c r="A5" s="7" t="s">
        <v>8</v>
      </c>
      <c r="B5" s="5" t="s">
        <v>9</v>
      </c>
      <c r="C5" s="5" t="s">
        <v>10</v>
      </c>
      <c r="D5" s="10" t="s">
        <v>11</v>
      </c>
      <c r="E5" s="5" t="s">
        <v>12</v>
      </c>
      <c r="F5" s="5"/>
      <c r="G5" s="5" t="s">
        <v>13</v>
      </c>
      <c r="H5" s="5" t="s">
        <v>14</v>
      </c>
      <c r="I5" s="21" t="s">
        <v>12</v>
      </c>
      <c r="J5" s="5"/>
      <c r="K5" s="5" t="s">
        <v>13</v>
      </c>
      <c r="L5" s="10" t="s">
        <v>14</v>
      </c>
      <c r="M5" s="22" t="s">
        <v>15</v>
      </c>
    </row>
    <row r="6" spans="1:13">
      <c r="A6" s="8"/>
      <c r="B6" s="9" t="s">
        <v>16</v>
      </c>
      <c r="C6" s="9" t="s">
        <v>17</v>
      </c>
      <c r="D6" s="9" t="s">
        <v>18</v>
      </c>
      <c r="E6" s="9" t="s">
        <v>19</v>
      </c>
      <c r="F6" s="9"/>
      <c r="G6" s="9" t="s">
        <v>17</v>
      </c>
      <c r="H6" s="9" t="s">
        <v>18</v>
      </c>
      <c r="I6" s="9" t="s">
        <v>19</v>
      </c>
      <c r="J6" s="9"/>
      <c r="K6" s="9" t="s">
        <v>17</v>
      </c>
      <c r="L6" s="9" t="s">
        <v>18</v>
      </c>
      <c r="M6" s="23"/>
    </row>
    <row r="7" spans="1:13" ht="15.75">
      <c r="A7" s="45" t="s">
        <v>1</v>
      </c>
      <c r="B7" s="24">
        <f>SUM(B8)+B13</f>
        <v>1923</v>
      </c>
      <c r="C7" s="24">
        <f>SUM(C13)+C8</f>
        <v>57210</v>
      </c>
      <c r="D7" s="24">
        <f>SUM(D13)+D8</f>
        <v>55761</v>
      </c>
      <c r="E7" s="24">
        <f t="shared" ref="E7:I7" si="0">SUM(E13)+E8</f>
        <v>0</v>
      </c>
      <c r="F7" s="24"/>
      <c r="G7" s="24">
        <f>SUM(G13)+G8</f>
        <v>56049</v>
      </c>
      <c r="H7" s="24">
        <f t="shared" si="0"/>
        <v>10445.700000000001</v>
      </c>
      <c r="I7" s="24">
        <f t="shared" si="0"/>
        <v>0</v>
      </c>
      <c r="J7" s="24"/>
      <c r="K7" s="24">
        <f>SUM(K13)+K8</f>
        <v>6687.3</v>
      </c>
      <c r="L7" s="24">
        <f>SUM(L13)+L8</f>
        <v>1088.6000000000001</v>
      </c>
      <c r="M7" s="25" t="s">
        <v>0</v>
      </c>
    </row>
    <row r="8" spans="1:13" ht="15.75">
      <c r="A8" s="45" t="s">
        <v>20</v>
      </c>
      <c r="B8" s="24">
        <f>SUM(B9+B11+B12)</f>
        <v>76</v>
      </c>
      <c r="C8" s="24">
        <f>SUM(C9+C11+C12)</f>
        <v>2568</v>
      </c>
      <c r="D8" s="24">
        <f>SUM(D9+D11+D12)</f>
        <v>2354</v>
      </c>
      <c r="E8" s="24">
        <f>SUM(E9+E11+E12)</f>
        <v>0</v>
      </c>
      <c r="F8" s="24"/>
      <c r="G8" s="24">
        <f>SUM(G9+G11+G12)</f>
        <v>3096</v>
      </c>
      <c r="H8" s="24">
        <f>SUM(H9+H11+H12)</f>
        <v>0</v>
      </c>
      <c r="I8" s="24">
        <f>SUM(I9+I11+I12)</f>
        <v>0</v>
      </c>
      <c r="J8" s="24"/>
      <c r="K8" s="24">
        <f>SUM(K9+K11+K12)</f>
        <v>0</v>
      </c>
      <c r="L8" s="24">
        <f>SUM(L9+L11+L12)</f>
        <v>0</v>
      </c>
      <c r="M8" s="25" t="s">
        <v>21</v>
      </c>
    </row>
    <row r="9" spans="1:13" ht="15.75">
      <c r="A9" s="45" t="s">
        <v>22</v>
      </c>
      <c r="B9" s="24">
        <f>SUM(B10)</f>
        <v>69</v>
      </c>
      <c r="C9" s="24">
        <f>SUM(C10)</f>
        <v>2555</v>
      </c>
      <c r="D9" s="24">
        <f t="shared" ref="D9:L9" si="1">SUM(D10)</f>
        <v>2314</v>
      </c>
      <c r="E9" s="24">
        <f t="shared" si="1"/>
        <v>0</v>
      </c>
      <c r="F9" s="24"/>
      <c r="G9" s="24">
        <f t="shared" si="1"/>
        <v>3096</v>
      </c>
      <c r="H9" s="24">
        <f t="shared" si="1"/>
        <v>0</v>
      </c>
      <c r="I9" s="24">
        <f t="shared" si="1"/>
        <v>0</v>
      </c>
      <c r="J9" s="24"/>
      <c r="K9" s="24">
        <f t="shared" si="1"/>
        <v>0</v>
      </c>
      <c r="L9" s="24">
        <f t="shared" si="1"/>
        <v>0</v>
      </c>
      <c r="M9" s="25" t="s">
        <v>23</v>
      </c>
    </row>
    <row r="10" spans="1:13" ht="15.75">
      <c r="A10" s="26" t="s">
        <v>32</v>
      </c>
      <c r="B10" s="32">
        <v>69</v>
      </c>
      <c r="C10" s="32">
        <v>2555</v>
      </c>
      <c r="D10" s="32">
        <v>2314</v>
      </c>
      <c r="E10" s="32">
        <v>0</v>
      </c>
      <c r="F10" s="32"/>
      <c r="G10" s="32">
        <v>3096</v>
      </c>
      <c r="H10" s="32">
        <v>0</v>
      </c>
      <c r="I10" s="32">
        <v>0</v>
      </c>
      <c r="J10" s="32"/>
      <c r="K10" s="32">
        <v>0</v>
      </c>
      <c r="L10" s="32">
        <v>0</v>
      </c>
      <c r="M10" s="25"/>
    </row>
    <row r="11" spans="1:13" ht="15.75">
      <c r="A11" s="45" t="s">
        <v>24</v>
      </c>
      <c r="B11" s="24">
        <v>3</v>
      </c>
      <c r="C11" s="24">
        <v>0</v>
      </c>
      <c r="D11" s="24">
        <v>20</v>
      </c>
      <c r="E11" s="24">
        <v>0</v>
      </c>
      <c r="F11" s="24"/>
      <c r="G11" s="24">
        <v>0</v>
      </c>
      <c r="H11" s="24">
        <v>0</v>
      </c>
      <c r="I11" s="24">
        <v>0</v>
      </c>
      <c r="J11" s="24"/>
      <c r="K11" s="24">
        <v>0</v>
      </c>
      <c r="L11" s="24">
        <v>0</v>
      </c>
      <c r="M11" s="25" t="s">
        <v>25</v>
      </c>
    </row>
    <row r="12" spans="1:13" ht="15.75">
      <c r="A12" s="44" t="s">
        <v>26</v>
      </c>
      <c r="B12" s="38">
        <v>4</v>
      </c>
      <c r="C12" s="38">
        <v>13</v>
      </c>
      <c r="D12" s="38">
        <v>20</v>
      </c>
      <c r="E12" s="38">
        <v>0</v>
      </c>
      <c r="F12" s="38"/>
      <c r="G12" s="38">
        <v>0</v>
      </c>
      <c r="H12" s="38">
        <v>0</v>
      </c>
      <c r="I12" s="38">
        <v>0</v>
      </c>
      <c r="J12" s="38"/>
      <c r="K12" s="38">
        <v>0</v>
      </c>
      <c r="L12" s="38">
        <v>0</v>
      </c>
      <c r="M12" s="27" t="s">
        <v>27</v>
      </c>
    </row>
    <row r="13" spans="1:13" ht="15.75">
      <c r="A13" s="44" t="s">
        <v>28</v>
      </c>
      <c r="B13" s="28">
        <f>SUM(B14:B14)</f>
        <v>1847</v>
      </c>
      <c r="C13" s="28">
        <f>SUM(C14:C14)</f>
        <v>54642</v>
      </c>
      <c r="D13" s="28">
        <f>SUM(D14:D14)</f>
        <v>53407</v>
      </c>
      <c r="E13" s="28">
        <f>SUM(E14:E14)</f>
        <v>0</v>
      </c>
      <c r="F13" s="28"/>
      <c r="G13" s="28">
        <f>SUM(G14:G14)</f>
        <v>52953</v>
      </c>
      <c r="H13" s="28">
        <f>SUM(H14:H14)</f>
        <v>10445.700000000001</v>
      </c>
      <c r="I13" s="28">
        <f>SUM(I14:I14)</f>
        <v>0</v>
      </c>
      <c r="J13" s="28"/>
      <c r="K13" s="28">
        <f>SUM(K14:K14)</f>
        <v>6687.3</v>
      </c>
      <c r="L13" s="28">
        <f>SUM(L14:L14)</f>
        <v>1088.6000000000001</v>
      </c>
      <c r="M13" s="46" t="s">
        <v>29</v>
      </c>
    </row>
    <row r="14" spans="1:13" ht="15.75">
      <c r="A14" s="43" t="s">
        <v>33</v>
      </c>
      <c r="B14" s="40">
        <v>1847</v>
      </c>
      <c r="C14" s="40">
        <v>54642</v>
      </c>
      <c r="D14" s="40">
        <v>53407</v>
      </c>
      <c r="E14" s="40">
        <v>0</v>
      </c>
      <c r="F14" s="39"/>
      <c r="G14" s="40">
        <v>52953</v>
      </c>
      <c r="H14" s="40">
        <v>10445.700000000001</v>
      </c>
      <c r="I14" s="40">
        <v>0</v>
      </c>
      <c r="J14" s="41"/>
      <c r="K14" s="42">
        <v>6687.3</v>
      </c>
      <c r="L14" s="42">
        <v>1088.6000000000001</v>
      </c>
      <c r="M14" s="29" t="s">
        <v>34</v>
      </c>
    </row>
    <row r="15" spans="1:13" ht="12.75" customHeight="1">
      <c r="A15" s="30" t="s">
        <v>35</v>
      </c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 t="s">
        <v>36</v>
      </c>
    </row>
    <row r="16" spans="1:13" s="48" customFormat="1" ht="12.75" customHeight="1">
      <c r="A16" s="34" t="s">
        <v>38</v>
      </c>
      <c r="B16" s="3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47" t="s">
        <v>37</v>
      </c>
    </row>
    <row r="17" spans="1:15" s="36" customFormat="1" ht="15" customHeight="1">
      <c r="A17" s="12" t="s">
        <v>30</v>
      </c>
      <c r="B17" s="37"/>
      <c r="C17" s="13"/>
      <c r="D17" s="13"/>
      <c r="E17" s="13"/>
      <c r="F17" s="13"/>
      <c r="G17" s="13"/>
      <c r="H17" s="14"/>
      <c r="I17" s="14"/>
      <c r="J17" s="14"/>
      <c r="M17" s="15" t="s">
        <v>31</v>
      </c>
    </row>
    <row r="18" spans="1:15">
      <c r="O18" s="36"/>
    </row>
  </sheetData>
  <mergeCells count="2">
    <mergeCell ref="A1:M1"/>
    <mergeCell ref="A2:M2"/>
  </mergeCells>
  <pageMargins left="0.7" right="0.7" top="0.75" bottom="0.75" header="0.3" footer="0.3"/>
  <pageSetup paperSize="9" scale="69" orientation="landscape" horizontalDpi="4294967295" verticalDpi="4294967295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 &amp; 11.12</vt:lpstr>
      <vt:lpstr>'11.11 &amp; 11.12'!Print_Area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2017-07-05T08:38:11Z</cp:lastPrinted>
  <dcterms:created xsi:type="dcterms:W3CDTF">2014-05-22T03:57:11Z</dcterms:created>
  <dcterms:modified xsi:type="dcterms:W3CDTF">2017-07-05T08:38:12Z</dcterms:modified>
</cp:coreProperties>
</file>