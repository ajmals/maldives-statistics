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616"/>
  </bookViews>
  <sheets>
    <sheet name="11.11 &amp; 11.12" sheetId="8" r:id="rId1"/>
  </sheets>
  <externalReferences>
    <externalReference r:id="rId2"/>
    <externalReference r:id="rId3"/>
  </externalReferences>
  <definedNames>
    <definedName name="_xlnm.Print_Area" localSheetId="0">'11.11 &amp; 11.12'!$A$1:$M$20</definedName>
  </definedNames>
  <calcPr calcId="144525"/>
</workbook>
</file>

<file path=xl/calcChain.xml><?xml version="1.0" encoding="utf-8"?>
<calcChain xmlns="http://schemas.openxmlformats.org/spreadsheetml/2006/main">
  <c r="L17" i="8" l="1"/>
  <c r="L16" i="8" s="1"/>
  <c r="K17" i="8"/>
  <c r="K16" i="8" s="1"/>
  <c r="I17" i="8"/>
  <c r="I16" i="8" s="1"/>
  <c r="H17" i="8"/>
  <c r="G17" i="8"/>
  <c r="G16" i="8" s="1"/>
  <c r="E17" i="8"/>
  <c r="E16" i="8" s="1"/>
  <c r="D17" i="8"/>
  <c r="D16" i="8" s="1"/>
  <c r="C17" i="8"/>
  <c r="C16" i="8" s="1"/>
  <c r="B17" i="8"/>
  <c r="B16" i="8" s="1"/>
  <c r="H16" i="8"/>
  <c r="D13" i="8"/>
  <c r="C13" i="8"/>
  <c r="B13" i="8"/>
  <c r="L11" i="8"/>
  <c r="L10" i="8" s="1"/>
  <c r="K11" i="8"/>
  <c r="I11" i="8"/>
  <c r="H11" i="8"/>
  <c r="H10" i="8" s="1"/>
  <c r="G11" i="8"/>
  <c r="G10" i="8" s="1"/>
  <c r="E11" i="8"/>
  <c r="D11" i="8"/>
  <c r="D10" i="8" s="1"/>
  <c r="C11" i="8"/>
  <c r="C10" i="8" s="1"/>
  <c r="B11" i="8"/>
  <c r="B10" i="8" s="1"/>
  <c r="B9" i="8" s="1"/>
  <c r="K10" i="8"/>
  <c r="I10" i="8"/>
  <c r="E10" i="8"/>
  <c r="D9" i="8" l="1"/>
  <c r="L9" i="8"/>
  <c r="C9" i="8"/>
  <c r="E9" i="8"/>
  <c r="I9" i="8"/>
  <c r="K9" i="8"/>
  <c r="H9" i="8"/>
  <c r="G9" i="8"/>
</calcChain>
</file>

<file path=xl/sharedStrings.xml><?xml version="1.0" encoding="utf-8"?>
<sst xmlns="http://schemas.openxmlformats.org/spreadsheetml/2006/main" count="55" uniqueCount="47">
  <si>
    <t>wlcmuj</t>
  </si>
  <si>
    <t>Total</t>
  </si>
  <si>
    <t>Passengers</t>
  </si>
  <si>
    <t>cnurwjcniswf</t>
  </si>
  <si>
    <t>Cargo (kg)</t>
  </si>
  <si>
    <t>(Olik) Wdum</t>
  </si>
  <si>
    <t>Mail (kg)</t>
  </si>
  <si>
    <t>(Olik) cliaem</t>
  </si>
  <si>
    <t>Airline</t>
  </si>
  <si>
    <t>cawtcTiawlcf</t>
  </si>
  <si>
    <t>iawa</t>
  </si>
  <si>
    <t>iruf</t>
  </si>
  <si>
    <t>irukuDwm iawgItwmurutwd</t>
  </si>
  <si>
    <t>irukeretea</t>
  </si>
  <si>
    <t>irukurEb</t>
  </si>
  <si>
    <t>cniawlrwaea</t>
  </si>
  <si>
    <t>Flight Movements</t>
  </si>
  <si>
    <t>In</t>
  </si>
  <si>
    <t>Out</t>
  </si>
  <si>
    <t>Transit</t>
  </si>
  <si>
    <t>International Flights</t>
  </si>
  <si>
    <t xml:space="preserve">     cawtcTiawlcf ImWvcqwaclwniawb</t>
  </si>
  <si>
    <t>International Scheduled</t>
  </si>
  <si>
    <t>Wviawfihejwmwh cnutogImiaWd ImWvcqwaclwniawb</t>
  </si>
  <si>
    <t>Srilankan Airlines</t>
  </si>
  <si>
    <t xml:space="preserve"> cscviDclOm Wgem</t>
  </si>
  <si>
    <t>International Charter</t>
  </si>
  <si>
    <t xml:space="preserve"> cawtuTiawlcf rWTrWC ImWvcqwlwniawb</t>
  </si>
  <si>
    <t>International Non-Scheduled</t>
  </si>
  <si>
    <t xml:space="preserve">     cawtcTiawlcf Wvuniawfihejwmwh cnutogImiaWd</t>
  </si>
  <si>
    <t>Domestic flights</t>
  </si>
  <si>
    <t xml:space="preserve">           cawtcTiawlcf egEjcaWr</t>
  </si>
  <si>
    <t>Other Domestic 1_/</t>
  </si>
  <si>
    <t>1_/ cawtcTiawlcf egEjcaWr cnehinehea</t>
  </si>
  <si>
    <t>Source: Civil Aviation Authority</t>
  </si>
  <si>
    <t>މައުލޫމާތު ދެއްވީ: ސިވިލް އޭވިއޭޝަން އޮތޯރިޓީ</t>
  </si>
  <si>
    <t>Island Aviation (Scheduled)</t>
  </si>
  <si>
    <t xml:space="preserve">(cDclwauDex) cnwxEaivEacDcneliawa </t>
  </si>
  <si>
    <t xml:space="preserve">Note: </t>
  </si>
  <si>
    <t>ނޯޓް:</t>
  </si>
  <si>
    <t>ގަން އިންޓަރނޭޝަނަލް އެއަރޕޯޓަށް ބައިނަލް އަޤްވާވީ ޕްލައިޓްތަކުން މުދާ އަދި މެއިލް އެތެރެކުރުމުގެ ހުއްދަ ދެވިފައެއްނުވެއެވެ.</t>
  </si>
  <si>
    <t xml:space="preserve">.evekwtcTiawlcf WviretctWkwrwH iawgukwtcscnwlEvrws idwa Wmwkcnwk clwkinckeT ,gcninErcT ,cnugenOTof Inenemih iawgiawbim 1_/  </t>
  </si>
  <si>
    <t>Gan international flights do not have the permit to handle Cargo &amp; Mail</t>
  </si>
  <si>
    <t>2016 ,cliaem iaWlwdum unulufua iaWncnurwjcniswf irukurutwfurutwd cnurwhwfuTOb egukwtcniawlrwaea ikeaikea cSwrwdnwbegiawv ImWvcqwaclwniawb egumwg  11.12:clwvWt</t>
  </si>
  <si>
    <t>Danish Airlines</t>
  </si>
  <si>
    <t xml:space="preserve">Table 11.12  TRANSPORT MOVEMENTS AT GAN INTERNATIONAL AIRPORT  BY AIRLINE, CROSS-CLASSIFIED BY PASSENGER, CARGO AND MAIL, 2016                 </t>
  </si>
  <si>
    <r>
      <rPr>
        <i/>
        <vertAlign val="superscript"/>
        <sz val="9"/>
        <rFont val="Calibri"/>
        <family val="2"/>
        <scheme val="minor"/>
      </rPr>
      <t xml:space="preserve">1_/ </t>
    </r>
    <r>
      <rPr>
        <i/>
        <sz val="9"/>
        <rFont val="Calibri"/>
        <family val="2"/>
        <scheme val="minor"/>
      </rPr>
      <t xml:space="preserve"> Includes movements by photo, training, technical and surveillance flights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</si>
</sst>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10"/>
      <name val="Faruma"/>
    </font>
    <font>
      <sz val="10"/>
      <name val="Courier"/>
      <family val="3"/>
    </font>
    <font>
      <b/>
      <sz val="9"/>
      <name val="A_Randhoo"/>
    </font>
    <font>
      <sz val="9"/>
      <name val="A_Randhoo"/>
    </font>
    <font>
      <sz val="9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2"/>
      <name val="A_Randhoo"/>
    </font>
    <font>
      <b/>
      <sz val="9"/>
      <name val="Akuru"/>
      <family val="2"/>
      <charset val="2"/>
    </font>
    <font>
      <sz val="9"/>
      <name val="Akuru"/>
      <family val="2"/>
      <charset val="2"/>
    </font>
    <font>
      <b/>
      <sz val="10"/>
      <name val="A_Randhoo"/>
    </font>
    <font>
      <sz val="10"/>
      <name val="A_Randhoo"/>
    </font>
    <font>
      <i/>
      <vertAlign val="superscript"/>
      <sz val="9"/>
      <name val="Calibri"/>
      <family val="2"/>
      <scheme val="minor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3" fillId="0" borderId="0"/>
    <xf numFmtId="40" fontId="17" fillId="0" borderId="0" applyFont="0" applyFill="0" applyBorder="0" applyAlignment="0" applyProtection="0"/>
    <xf numFmtId="166" fontId="13" fillId="0" borderId="0"/>
    <xf numFmtId="166" fontId="13" fillId="0" borderId="0"/>
    <xf numFmtId="165" fontId="13" fillId="0" borderId="0" applyFont="0" applyFill="0" applyBorder="0" applyAlignment="0" applyProtection="0"/>
    <xf numFmtId="0" fontId="18" fillId="0" borderId="0"/>
    <xf numFmtId="164" fontId="13" fillId="0" borderId="0"/>
    <xf numFmtId="167" fontId="13" fillId="0" borderId="0" applyFont="0" applyFill="0" applyBorder="0" applyAlignment="0" applyProtection="0"/>
    <xf numFmtId="0" fontId="6" fillId="0" borderId="0"/>
    <xf numFmtId="0" fontId="6" fillId="0" borderId="0"/>
  </cellStyleXfs>
  <cellXfs count="58">
    <xf numFmtId="0" fontId="0" fillId="0" borderId="0" xfId="0"/>
    <xf numFmtId="164" fontId="20" fillId="2" borderId="0" xfId="5" applyNumberFormat="1" applyFont="1" applyFill="1" applyBorder="1" applyAlignment="1" applyProtection="1">
      <alignment horizontal="left" vertical="center"/>
    </xf>
    <xf numFmtId="0" fontId="7" fillId="2" borderId="0" xfId="13" applyFont="1" applyFill="1" applyAlignment="1">
      <alignment vertical="center"/>
    </xf>
    <xf numFmtId="164" fontId="2" fillId="2" borderId="4" xfId="5" applyNumberFormat="1" applyFont="1" applyFill="1" applyBorder="1" applyAlignment="1" applyProtection="1">
      <alignment horizontal="left" vertical="center"/>
    </xf>
    <xf numFmtId="164" fontId="21" fillId="2" borderId="4" xfId="5" applyNumberFormat="1" applyFont="1" applyFill="1" applyBorder="1" applyAlignment="1">
      <alignment horizontal="right" vertical="center"/>
    </xf>
    <xf numFmtId="164" fontId="14" fillId="2" borderId="0" xfId="5" applyNumberFormat="1" applyFont="1" applyFill="1" applyBorder="1" applyAlignment="1">
      <alignment horizontal="right" vertical="center"/>
    </xf>
    <xf numFmtId="0" fontId="16" fillId="2" borderId="0" xfId="13" applyFont="1" applyFill="1" applyBorder="1" applyAlignment="1">
      <alignment vertical="center"/>
    </xf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4" xfId="5" applyNumberFormat="1" applyFont="1" applyFill="1" applyBorder="1" applyAlignment="1">
      <alignment vertical="center"/>
    </xf>
    <xf numFmtId="164" fontId="2" fillId="2" borderId="4" xfId="5" applyNumberFormat="1" applyFont="1" applyFill="1" applyBorder="1" applyAlignment="1" applyProtection="1">
      <alignment horizontal="right" vertical="center"/>
    </xf>
    <xf numFmtId="0" fontId="23" fillId="2" borderId="0" xfId="13" applyFont="1" applyFill="1" applyBorder="1" applyAlignment="1">
      <alignment horizontal="right"/>
    </xf>
    <xf numFmtId="164" fontId="9" fillId="2" borderId="4" xfId="0" applyNumberFormat="1" applyFont="1" applyFill="1" applyBorder="1" applyAlignment="1" applyProtection="1">
      <alignment horizontal="left" vertical="center"/>
    </xf>
    <xf numFmtId="164" fontId="14" fillId="2" borderId="0" xfId="5" applyNumberFormat="1" applyFont="1" applyFill="1" applyAlignment="1">
      <alignment horizontal="right" vertical="center"/>
    </xf>
    <xf numFmtId="37" fontId="16" fillId="2" borderId="0" xfId="5" applyNumberFormat="1" applyFont="1" applyFill="1" applyBorder="1" applyAlignment="1" applyProtection="1">
      <alignment horizontal="right" vertical="center"/>
    </xf>
    <xf numFmtId="164" fontId="10" fillId="2" borderId="0" xfId="5" applyNumberFormat="1" applyFont="1" applyFill="1" applyAlignment="1" applyProtection="1">
      <alignment horizontal="left" vertical="center"/>
    </xf>
    <xf numFmtId="37" fontId="16" fillId="2" borderId="0" xfId="5" applyNumberFormat="1" applyFont="1" applyFill="1" applyAlignment="1" applyProtection="1">
      <alignment vertical="center"/>
    </xf>
    <xf numFmtId="0" fontId="15" fillId="2" borderId="0" xfId="14" applyFont="1" applyFill="1" applyAlignment="1">
      <alignment vertical="center"/>
    </xf>
    <xf numFmtId="0" fontId="12" fillId="2" borderId="2" xfId="0" applyNumberFormat="1" applyFont="1" applyFill="1" applyBorder="1" applyAlignment="1">
      <alignment horizontal="right" vertical="center"/>
    </xf>
    <xf numFmtId="164" fontId="4" fillId="2" borderId="0" xfId="0" applyNumberFormat="1" applyFont="1" applyFill="1"/>
    <xf numFmtId="164" fontId="7" fillId="2" borderId="4" xfId="5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/>
    <xf numFmtId="164" fontId="14" fillId="2" borderId="4" xfId="5" applyNumberFormat="1" applyFont="1" applyFill="1" applyBorder="1" applyAlignment="1">
      <alignment horizontal="right" vertical="center"/>
    </xf>
    <xf numFmtId="164" fontId="2" fillId="2" borderId="4" xfId="5" applyNumberFormat="1" applyFont="1" applyFill="1" applyBorder="1" applyAlignment="1" applyProtection="1">
      <alignment vertical="center"/>
    </xf>
    <xf numFmtId="164" fontId="14" fillId="2" borderId="0" xfId="5" applyNumberFormat="1" applyFont="1" applyFill="1" applyBorder="1" applyAlignment="1">
      <alignment horizontal="right" vertical="center" wrapText="1"/>
    </xf>
    <xf numFmtId="0" fontId="14" fillId="2" borderId="0" xfId="13" applyFont="1" applyFill="1" applyBorder="1" applyAlignment="1">
      <alignment horizontal="right" vertical="center"/>
    </xf>
    <xf numFmtId="0" fontId="14" fillId="2" borderId="4" xfId="13" applyFont="1" applyFill="1" applyBorder="1" applyAlignment="1">
      <alignment vertical="center"/>
    </xf>
    <xf numFmtId="38" fontId="8" fillId="2" borderId="0" xfId="6" applyNumberFormat="1" applyFont="1" applyFill="1" applyBorder="1" applyAlignment="1">
      <alignment horizontal="right" vertical="center"/>
    </xf>
    <xf numFmtId="0" fontId="22" fillId="2" borderId="0" xfId="13" applyFont="1" applyFill="1" applyBorder="1" applyAlignment="1">
      <alignment horizontal="righ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22" fillId="2" borderId="0" xfId="5" applyNumberFormat="1" applyFont="1" applyFill="1" applyBorder="1" applyAlignment="1" applyProtection="1">
      <alignment horizontal="right" vertical="center"/>
    </xf>
    <xf numFmtId="164" fontId="9" fillId="2" borderId="0" xfId="5" applyNumberFormat="1" applyFont="1" applyFill="1" applyBorder="1" applyAlignment="1" applyProtection="1">
      <alignment horizontal="left" vertical="center"/>
    </xf>
    <xf numFmtId="0" fontId="23" fillId="2" borderId="0" xfId="13" applyFont="1" applyFill="1" applyBorder="1" applyAlignment="1">
      <alignment horizontal="right" vertical="center"/>
    </xf>
    <xf numFmtId="0" fontId="23" fillId="2" borderId="4" xfId="13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 applyProtection="1">
      <alignment horizontal="left" vertical="center"/>
    </xf>
    <xf numFmtId="38" fontId="9" fillId="2" borderId="0" xfId="6" applyNumberFormat="1" applyFont="1" applyFill="1" applyBorder="1" applyAlignment="1" applyProtection="1">
      <alignment horizontal="right" vertical="center"/>
      <protection locked="0"/>
    </xf>
    <xf numFmtId="38" fontId="9" fillId="2" borderId="0" xfId="6" applyNumberFormat="1" applyFont="1" applyFill="1" applyBorder="1" applyAlignment="1">
      <alignment horizontal="right" vertical="center"/>
    </xf>
    <xf numFmtId="0" fontId="12" fillId="2" borderId="0" xfId="13" applyFont="1" applyFill="1" applyBorder="1" applyAlignment="1">
      <alignment horizontal="right" vertical="center"/>
    </xf>
    <xf numFmtId="164" fontId="10" fillId="2" borderId="0" xfId="5" applyNumberFormat="1" applyFont="1" applyFill="1" applyBorder="1" applyAlignment="1">
      <alignment vertical="center"/>
    </xf>
    <xf numFmtId="164" fontId="16" fillId="2" borderId="0" xfId="5" applyNumberFormat="1" applyFont="1" applyFill="1" applyBorder="1" applyAlignment="1" applyProtection="1">
      <alignment horizontal="right" vertical="center"/>
    </xf>
    <xf numFmtId="164" fontId="12" fillId="2" borderId="0" xfId="0" applyNumberFormat="1" applyFont="1" applyFill="1"/>
    <xf numFmtId="164" fontId="13" fillId="2" borderId="0" xfId="0" applyNumberFormat="1" applyFont="1" applyFill="1"/>
    <xf numFmtId="164" fontId="15" fillId="2" borderId="0" xfId="5" applyNumberFormat="1" applyFont="1" applyFill="1" applyBorder="1" applyAlignment="1">
      <alignment horizontal="right" vertical="center"/>
    </xf>
    <xf numFmtId="164" fontId="11" fillId="2" borderId="0" xfId="5" applyNumberFormat="1" applyFont="1" applyFill="1" applyAlignment="1" applyProtection="1">
      <alignment horizontal="left" vertical="center"/>
    </xf>
    <xf numFmtId="38" fontId="9" fillId="2" borderId="0" xfId="6" applyNumberFormat="1" applyFont="1" applyFill="1" applyAlignment="1">
      <alignment horizontal="right" vertical="center"/>
    </xf>
    <xf numFmtId="38" fontId="9" fillId="2" borderId="0" xfId="6" applyNumberFormat="1" applyFont="1" applyFill="1" applyBorder="1" applyAlignment="1" applyProtection="1">
      <alignment horizontal="right" vertical="center"/>
    </xf>
    <xf numFmtId="38" fontId="9" fillId="2" borderId="0" xfId="6" applyNumberFormat="1" applyFont="1" applyFill="1" applyAlignment="1">
      <alignment horizontal="right"/>
    </xf>
    <xf numFmtId="38" fontId="9" fillId="2" borderId="1" xfId="6" applyNumberFormat="1" applyFont="1" applyFill="1" applyBorder="1" applyAlignment="1">
      <alignment horizontal="right" vertical="center"/>
    </xf>
    <xf numFmtId="38" fontId="8" fillId="2" borderId="1" xfId="6" applyNumberFormat="1" applyFont="1" applyFill="1" applyBorder="1" applyAlignment="1">
      <alignment horizontal="right" vertical="center"/>
    </xf>
    <xf numFmtId="38" fontId="8" fillId="2" borderId="1" xfId="6" applyNumberFormat="1" applyFont="1" applyFill="1" applyBorder="1" applyAlignment="1" applyProtection="1">
      <alignment horizontal="right" vertical="center"/>
    </xf>
    <xf numFmtId="38" fontId="8" fillId="2" borderId="1" xfId="6" applyNumberFormat="1" applyFont="1" applyFill="1" applyBorder="1" applyAlignment="1">
      <alignment horizontal="right"/>
    </xf>
    <xf numFmtId="38" fontId="9" fillId="2" borderId="3" xfId="6" applyNumberFormat="1" applyFont="1" applyFill="1" applyBorder="1" applyAlignment="1" applyProtection="1">
      <alignment horizontal="right" vertical="center"/>
      <protection locked="0"/>
    </xf>
    <xf numFmtId="38" fontId="9" fillId="2" borderId="3" xfId="6" applyNumberFormat="1" applyFont="1" applyFill="1" applyBorder="1" applyAlignment="1">
      <alignment horizontal="righ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8" fillId="2" borderId="0" xfId="5" applyNumberFormat="1" applyFont="1" applyFill="1" applyBorder="1" applyAlignment="1">
      <alignment horizontal="left" vertical="center"/>
    </xf>
    <xf numFmtId="164" fontId="22" fillId="2" borderId="0" xfId="5" applyNumberFormat="1" applyFont="1" applyFill="1" applyBorder="1" applyAlignment="1">
      <alignment horizontal="right" vertical="center"/>
    </xf>
    <xf numFmtId="164" fontId="19" fillId="2" borderId="0" xfId="5" applyNumberFormat="1" applyFont="1" applyFill="1" applyBorder="1" applyAlignment="1">
      <alignment horizontal="center" vertical="center"/>
    </xf>
    <xf numFmtId="164" fontId="3" fillId="2" borderId="0" xfId="5" applyNumberFormat="1" applyFont="1" applyFill="1" applyBorder="1" applyAlignment="1" applyProtection="1">
      <alignment horizontal="center" vertical="center"/>
    </xf>
    <xf numFmtId="164" fontId="10" fillId="2" borderId="0" xfId="5" applyNumberFormat="1" applyFont="1" applyFill="1" applyBorder="1" applyAlignment="1" applyProtection="1">
      <alignment horizontal="left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4"/>
    <cellStyle name="Normal_IX-9(Trans &amp; Comm)" xfId="13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6/REceived/11.%20TRANSPORT&amp;COMMUNICATION%20-%20CAA%20201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11%20%20TRANSPORT%20%20COMMUNICATION%20-CAM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.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/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1894</v>
          </cell>
          <cell r="AB66">
            <v>24</v>
          </cell>
          <cell r="AC66">
            <v>352</v>
          </cell>
        </row>
        <row r="67">
          <cell r="Z67" t="str">
            <v>Feb</v>
          </cell>
          <cell r="AA67">
            <v>1752</v>
          </cell>
          <cell r="AB67">
            <v>32</v>
          </cell>
          <cell r="AC67">
            <v>217</v>
          </cell>
        </row>
        <row r="68">
          <cell r="Z68" t="str">
            <v>March</v>
          </cell>
          <cell r="AA68">
            <v>1838</v>
          </cell>
          <cell r="AB68">
            <v>24</v>
          </cell>
          <cell r="AC68">
            <v>306</v>
          </cell>
        </row>
        <row r="69">
          <cell r="Z69" t="str">
            <v>April</v>
          </cell>
          <cell r="AA69">
            <v>1738</v>
          </cell>
          <cell r="AB69">
            <v>20</v>
          </cell>
          <cell r="AC69">
            <v>222</v>
          </cell>
        </row>
        <row r="70">
          <cell r="Z70" t="str">
            <v>May</v>
          </cell>
          <cell r="AA70">
            <v>1738</v>
          </cell>
          <cell r="AB70">
            <v>14</v>
          </cell>
          <cell r="AC70">
            <v>154</v>
          </cell>
        </row>
        <row r="71">
          <cell r="Z71" t="str">
            <v>June</v>
          </cell>
          <cell r="AA71">
            <v>1678</v>
          </cell>
          <cell r="AB71">
            <v>16</v>
          </cell>
          <cell r="AC71">
            <v>64</v>
          </cell>
        </row>
        <row r="72">
          <cell r="Z72" t="str">
            <v>July</v>
          </cell>
          <cell r="AA72">
            <v>1742</v>
          </cell>
          <cell r="AB72">
            <v>28</v>
          </cell>
          <cell r="AC72">
            <v>76</v>
          </cell>
        </row>
        <row r="73">
          <cell r="Z73" t="str">
            <v>Aug</v>
          </cell>
          <cell r="AA73">
            <v>1794</v>
          </cell>
          <cell r="AB73">
            <v>26</v>
          </cell>
          <cell r="AC73">
            <v>92</v>
          </cell>
        </row>
        <row r="74">
          <cell r="Z74" t="str">
            <v>Sep</v>
          </cell>
          <cell r="AA74">
            <v>1692</v>
          </cell>
          <cell r="AB74">
            <v>26</v>
          </cell>
          <cell r="AC74">
            <v>96</v>
          </cell>
        </row>
        <row r="75">
          <cell r="Z75" t="str">
            <v>Oct</v>
          </cell>
          <cell r="AA75">
            <v>1864</v>
          </cell>
          <cell r="AB75">
            <v>20</v>
          </cell>
          <cell r="AC75">
            <v>130</v>
          </cell>
        </row>
        <row r="76">
          <cell r="Z76" t="str">
            <v>Nov</v>
          </cell>
          <cell r="AA76">
            <v>1812</v>
          </cell>
          <cell r="AB76">
            <v>12</v>
          </cell>
          <cell r="AC76">
            <v>130</v>
          </cell>
        </row>
        <row r="77">
          <cell r="Z77" t="str">
            <v>Dec</v>
          </cell>
          <cell r="AA77">
            <v>1894</v>
          </cell>
          <cell r="AB77">
            <v>2</v>
          </cell>
          <cell r="AC77">
            <v>302</v>
          </cell>
        </row>
        <row r="81">
          <cell r="AA81" t="str">
            <v>Scheduled</v>
          </cell>
          <cell r="AB81" t="str">
            <v>Chartered</v>
          </cell>
        </row>
        <row r="82">
          <cell r="Z82" t="str">
            <v>Jan</v>
          </cell>
          <cell r="AA82">
            <v>2046</v>
          </cell>
          <cell r="AB82">
            <v>4685</v>
          </cell>
        </row>
        <row r="83">
          <cell r="Z83" t="str">
            <v>Feb</v>
          </cell>
          <cell r="AA83">
            <v>1936</v>
          </cell>
          <cell r="AB83">
            <v>4604</v>
          </cell>
        </row>
        <row r="84">
          <cell r="Z84" t="str">
            <v>March</v>
          </cell>
          <cell r="AA84">
            <v>2138</v>
          </cell>
          <cell r="AB84">
            <v>4745</v>
          </cell>
        </row>
        <row r="85">
          <cell r="Z85" t="str">
            <v>April</v>
          </cell>
          <cell r="AA85">
            <v>1920</v>
          </cell>
          <cell r="AB85">
            <v>4564</v>
          </cell>
        </row>
        <row r="86">
          <cell r="Z86" t="str">
            <v>May</v>
          </cell>
          <cell r="AA86">
            <v>1982</v>
          </cell>
          <cell r="AB86">
            <v>3931</v>
          </cell>
        </row>
        <row r="87">
          <cell r="Z87" t="str">
            <v>June</v>
          </cell>
          <cell r="AA87">
            <v>1824</v>
          </cell>
          <cell r="AB87">
            <v>3325</v>
          </cell>
        </row>
        <row r="88">
          <cell r="Z88" t="str">
            <v>July</v>
          </cell>
          <cell r="AA88">
            <v>1952</v>
          </cell>
          <cell r="AB88">
            <v>3817</v>
          </cell>
        </row>
        <row r="89">
          <cell r="Z89" t="str">
            <v>Aug</v>
          </cell>
          <cell r="AA89">
            <v>2038</v>
          </cell>
          <cell r="AB89">
            <v>4381</v>
          </cell>
        </row>
        <row r="90">
          <cell r="Z90" t="str">
            <v>Sep</v>
          </cell>
          <cell r="AA90">
            <v>1920</v>
          </cell>
          <cell r="AB90">
            <v>3983</v>
          </cell>
        </row>
        <row r="91">
          <cell r="Z91" t="str">
            <v>Oct</v>
          </cell>
          <cell r="AA91">
            <v>2204</v>
          </cell>
          <cell r="AB91">
            <v>4596</v>
          </cell>
        </row>
        <row r="92">
          <cell r="Z92" t="str">
            <v>Nov</v>
          </cell>
          <cell r="AA92">
            <v>2100</v>
          </cell>
          <cell r="AB92">
            <v>4030</v>
          </cell>
        </row>
        <row r="93">
          <cell r="Z93" t="str">
            <v>Dec</v>
          </cell>
          <cell r="AA93">
            <v>2234</v>
          </cell>
          <cell r="AB93">
            <v>4271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6"/>
      <sheetName val="11.27"/>
    </sheetNames>
    <sheetDataSet>
      <sheetData sheetId="0"/>
      <sheetData sheetId="1">
        <row r="33">
          <cell r="AA33" t="str">
            <v>National Call Minutes in land line</v>
          </cell>
          <cell r="AB33" t="str">
            <v xml:space="preserve">Mobile call Minutes </v>
          </cell>
          <cell r="AC33" t="str">
            <v>International call minutes</v>
          </cell>
        </row>
        <row r="34">
          <cell r="Z34">
            <v>2009</v>
          </cell>
          <cell r="AA34">
            <v>86305</v>
          </cell>
          <cell r="AB34">
            <v>1165371</v>
          </cell>
          <cell r="AC34">
            <v>140386</v>
          </cell>
        </row>
        <row r="35">
          <cell r="Z35">
            <v>2010</v>
          </cell>
          <cell r="AA35">
            <v>77503</v>
          </cell>
          <cell r="AB35">
            <v>1241516</v>
          </cell>
          <cell r="AC35">
            <v>135384</v>
          </cell>
        </row>
        <row r="36">
          <cell r="Z36">
            <v>2011</v>
          </cell>
          <cell r="AA36">
            <v>75974</v>
          </cell>
          <cell r="AB36">
            <v>1094741</v>
          </cell>
          <cell r="AC36">
            <v>108744</v>
          </cell>
        </row>
        <row r="37">
          <cell r="Z37">
            <v>2012</v>
          </cell>
          <cell r="AA37">
            <v>69830</v>
          </cell>
          <cell r="AB37">
            <v>1468840</v>
          </cell>
          <cell r="AC37">
            <v>211865</v>
          </cell>
        </row>
        <row r="38">
          <cell r="Z38">
            <v>2013</v>
          </cell>
          <cell r="AA38">
            <v>66557</v>
          </cell>
          <cell r="AB38">
            <v>1571320</v>
          </cell>
          <cell r="AC38">
            <v>249201</v>
          </cell>
        </row>
        <row r="39">
          <cell r="Z39">
            <v>2014</v>
          </cell>
          <cell r="AA39">
            <v>41974</v>
          </cell>
          <cell r="AB39">
            <v>1687209</v>
          </cell>
          <cell r="AC39">
            <v>265736</v>
          </cell>
        </row>
        <row r="40">
          <cell r="Z40">
            <v>2015</v>
          </cell>
          <cell r="AA40">
            <v>59160.502999999997</v>
          </cell>
          <cell r="AB40">
            <v>1608503.1170000001</v>
          </cell>
          <cell r="AC40">
            <v>227780.79800000001</v>
          </cell>
        </row>
        <row r="41">
          <cell r="Z41">
            <v>2016</v>
          </cell>
          <cell r="AA41">
            <v>52972</v>
          </cell>
          <cell r="AB41">
            <v>1578928</v>
          </cell>
          <cell r="AC41">
            <v>226472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22"/>
  <sheetViews>
    <sheetView tabSelected="1" zoomScale="136" zoomScaleNormal="136" workbookViewId="0">
      <selection activeCell="E19" sqref="E19"/>
    </sheetView>
  </sheetViews>
  <sheetFormatPr defaultColWidth="9.140625" defaultRowHeight="15"/>
  <cols>
    <col min="1" max="1" width="24.5703125" style="18" customWidth="1"/>
    <col min="2" max="2" width="14.85546875" style="18" customWidth="1"/>
    <col min="3" max="3" width="12.28515625" style="18" customWidth="1"/>
    <col min="4" max="4" width="13.85546875" style="18" customWidth="1"/>
    <col min="5" max="5" width="15.140625" style="18" customWidth="1"/>
    <col min="6" max="6" width="3" style="18" customWidth="1"/>
    <col min="7" max="7" width="11.28515625" style="18" customWidth="1"/>
    <col min="8" max="8" width="12.85546875" style="18" customWidth="1"/>
    <col min="9" max="9" width="16.7109375" style="18" customWidth="1"/>
    <col min="10" max="10" width="2.7109375" style="18" customWidth="1"/>
    <col min="11" max="12" width="11.42578125" style="18" customWidth="1"/>
    <col min="13" max="13" width="38.85546875" style="18" customWidth="1"/>
    <col min="14" max="14" width="6.28515625" style="18" customWidth="1"/>
    <col min="15" max="17" width="10.140625" style="18" customWidth="1"/>
    <col min="18" max="16384" width="9.140625" style="18"/>
  </cols>
  <sheetData>
    <row r="1" spans="1:15">
      <c r="O1" s="40"/>
    </row>
    <row r="3" spans="1:15" ht="19.5">
      <c r="A3" s="55" t="s">
        <v>43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1:15">
      <c r="A4" s="56" t="s">
        <v>45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</row>
    <row r="5" spans="1:15" s="20" customForma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</row>
    <row r="6" spans="1:15">
      <c r="A6" s="1"/>
      <c r="B6" s="2"/>
      <c r="C6" s="3" t="s">
        <v>2</v>
      </c>
      <c r="D6" s="4"/>
      <c r="E6" s="21" t="s">
        <v>3</v>
      </c>
      <c r="F6" s="5"/>
      <c r="G6" s="22" t="s">
        <v>4</v>
      </c>
      <c r="H6" s="4"/>
      <c r="I6" s="21" t="s">
        <v>5</v>
      </c>
      <c r="J6" s="5"/>
      <c r="K6" s="3" t="s">
        <v>6</v>
      </c>
      <c r="L6" s="21" t="s">
        <v>7</v>
      </c>
      <c r="M6" s="6"/>
    </row>
    <row r="7" spans="1:15">
      <c r="A7" s="7" t="s">
        <v>8</v>
      </c>
      <c r="B7" s="5" t="s">
        <v>9</v>
      </c>
      <c r="C7" s="5" t="s">
        <v>10</v>
      </c>
      <c r="D7" s="12" t="s">
        <v>11</v>
      </c>
      <c r="E7" s="5" t="s">
        <v>12</v>
      </c>
      <c r="F7" s="5"/>
      <c r="G7" s="5" t="s">
        <v>13</v>
      </c>
      <c r="H7" s="5" t="s">
        <v>14</v>
      </c>
      <c r="I7" s="23" t="s">
        <v>12</v>
      </c>
      <c r="J7" s="5"/>
      <c r="K7" s="5" t="s">
        <v>13</v>
      </c>
      <c r="L7" s="12" t="s">
        <v>14</v>
      </c>
      <c r="M7" s="24" t="s">
        <v>15</v>
      </c>
    </row>
    <row r="8" spans="1:15">
      <c r="A8" s="8"/>
      <c r="B8" s="9" t="s">
        <v>16</v>
      </c>
      <c r="C8" s="9" t="s">
        <v>17</v>
      </c>
      <c r="D8" s="9" t="s">
        <v>18</v>
      </c>
      <c r="E8" s="9" t="s">
        <v>19</v>
      </c>
      <c r="F8" s="9"/>
      <c r="G8" s="9" t="s">
        <v>17</v>
      </c>
      <c r="H8" s="9" t="s">
        <v>18</v>
      </c>
      <c r="I8" s="9" t="s">
        <v>19</v>
      </c>
      <c r="J8" s="9"/>
      <c r="K8" s="9" t="s">
        <v>17</v>
      </c>
      <c r="L8" s="9" t="s">
        <v>18</v>
      </c>
      <c r="M8" s="25"/>
    </row>
    <row r="9" spans="1:15" ht="15.75">
      <c r="A9" s="53" t="s">
        <v>1</v>
      </c>
      <c r="B9" s="26">
        <f>SUM(B10+B16)</f>
        <v>18385</v>
      </c>
      <c r="C9" s="26">
        <f>SUM(C10+C16)</f>
        <v>73672</v>
      </c>
      <c r="D9" s="26">
        <f>SUM(D10+D16)</f>
        <v>72782</v>
      </c>
      <c r="E9" s="26">
        <f>SUM(E10+E16)</f>
        <v>6289</v>
      </c>
      <c r="F9" s="26"/>
      <c r="G9" s="26">
        <f>SUM(G16+G10)</f>
        <v>295448.2</v>
      </c>
      <c r="H9" s="26">
        <f>SUM(H16+H10)</f>
        <v>37855.800000000003</v>
      </c>
      <c r="I9" s="26">
        <f t="shared" ref="I9:L9" si="0">SUM(I16+I10)</f>
        <v>11596</v>
      </c>
      <c r="J9" s="26"/>
      <c r="K9" s="26">
        <f t="shared" si="0"/>
        <v>11339.779999999999</v>
      </c>
      <c r="L9" s="26">
        <f t="shared" si="0"/>
        <v>832.22</v>
      </c>
      <c r="M9" s="27" t="s">
        <v>0</v>
      </c>
    </row>
    <row r="10" spans="1:15" ht="15.75">
      <c r="A10" s="53" t="s">
        <v>20</v>
      </c>
      <c r="B10" s="26">
        <f>SUM(B11+B13+B15)</f>
        <v>241</v>
      </c>
      <c r="C10" s="26">
        <f>SUM(C11+C13+C15)</f>
        <v>3305</v>
      </c>
      <c r="D10" s="26">
        <f>SUM(D11+D13+D15)</f>
        <v>3416</v>
      </c>
      <c r="E10" s="26">
        <f>SUM(E11+E13+E15)</f>
        <v>3</v>
      </c>
      <c r="F10" s="26"/>
      <c r="G10" s="26">
        <f>SUM(G11+G13+G15)</f>
        <v>22665</v>
      </c>
      <c r="H10" s="26">
        <f>SUM(H11+H13+H15)</f>
        <v>170</v>
      </c>
      <c r="I10" s="26">
        <f>SUM(I11+I13+I15)</f>
        <v>0</v>
      </c>
      <c r="J10" s="26"/>
      <c r="K10" s="26">
        <f>SUM(K11+K13+K15)</f>
        <v>0</v>
      </c>
      <c r="L10" s="26">
        <f>SUM(L11+L13+L15)</f>
        <v>0</v>
      </c>
      <c r="M10" s="27" t="s">
        <v>21</v>
      </c>
    </row>
    <row r="11" spans="1:15" ht="15.75">
      <c r="A11" s="53" t="s">
        <v>22</v>
      </c>
      <c r="B11" s="47">
        <f>B12</f>
        <v>38</v>
      </c>
      <c r="C11" s="47">
        <f>C12</f>
        <v>998</v>
      </c>
      <c r="D11" s="47">
        <f>D12</f>
        <v>1079</v>
      </c>
      <c r="E11" s="47">
        <f>E12</f>
        <v>0</v>
      </c>
      <c r="F11" s="47"/>
      <c r="G11" s="47">
        <f>G12</f>
        <v>22665</v>
      </c>
      <c r="H11" s="47">
        <f>H12</f>
        <v>170</v>
      </c>
      <c r="I11" s="47">
        <f>I12</f>
        <v>0</v>
      </c>
      <c r="J11" s="47"/>
      <c r="K11" s="47">
        <f>K12</f>
        <v>0</v>
      </c>
      <c r="L11" s="47">
        <f>L12</f>
        <v>0</v>
      </c>
      <c r="M11" s="27" t="s">
        <v>23</v>
      </c>
    </row>
    <row r="12" spans="1:15" ht="15.75">
      <c r="A12" s="28" t="s">
        <v>24</v>
      </c>
      <c r="B12" s="46">
        <v>38</v>
      </c>
      <c r="C12" s="46">
        <v>998</v>
      </c>
      <c r="D12" s="46">
        <v>1079</v>
      </c>
      <c r="E12" s="46">
        <v>0</v>
      </c>
      <c r="F12" s="46"/>
      <c r="G12" s="46">
        <v>22665</v>
      </c>
      <c r="H12" s="46">
        <v>170</v>
      </c>
      <c r="I12" s="46">
        <v>0</v>
      </c>
      <c r="J12" s="46"/>
      <c r="K12" s="46">
        <v>0</v>
      </c>
      <c r="L12" s="46">
        <v>0</v>
      </c>
      <c r="M12" s="27"/>
    </row>
    <row r="13" spans="1:15" ht="15.75">
      <c r="A13" s="53" t="s">
        <v>26</v>
      </c>
      <c r="B13" s="47">
        <f>SUM(B14:B14)</f>
        <v>30</v>
      </c>
      <c r="C13" s="47">
        <f t="shared" ref="C13:D13" si="1">SUM(C14:C14)</f>
        <v>1793</v>
      </c>
      <c r="D13" s="47">
        <f t="shared" si="1"/>
        <v>1831</v>
      </c>
      <c r="E13" s="47">
        <v>0</v>
      </c>
      <c r="F13" s="47"/>
      <c r="G13" s="47">
        <v>0</v>
      </c>
      <c r="H13" s="47">
        <v>0</v>
      </c>
      <c r="I13" s="47">
        <v>0</v>
      </c>
      <c r="J13" s="47"/>
      <c r="K13" s="47">
        <v>0</v>
      </c>
      <c r="L13" s="47">
        <v>0</v>
      </c>
      <c r="M13" s="27" t="s">
        <v>27</v>
      </c>
    </row>
    <row r="14" spans="1:15" ht="17.25">
      <c r="A14" s="28" t="s">
        <v>44</v>
      </c>
      <c r="B14" s="46">
        <v>30</v>
      </c>
      <c r="C14" s="46">
        <v>1793</v>
      </c>
      <c r="D14" s="46">
        <v>1831</v>
      </c>
      <c r="E14" s="46">
        <v>0</v>
      </c>
      <c r="F14" s="46"/>
      <c r="G14" s="46">
        <v>0</v>
      </c>
      <c r="H14" s="46">
        <v>0</v>
      </c>
      <c r="I14" s="46">
        <v>0</v>
      </c>
      <c r="J14" s="46"/>
      <c r="K14" s="46">
        <v>0</v>
      </c>
      <c r="L14" s="46">
        <v>0</v>
      </c>
      <c r="M14" s="10" t="s">
        <v>25</v>
      </c>
    </row>
    <row r="15" spans="1:15" ht="15.75">
      <c r="A15" s="52" t="s">
        <v>28</v>
      </c>
      <c r="B15" s="47">
        <v>173</v>
      </c>
      <c r="C15" s="47">
        <v>514</v>
      </c>
      <c r="D15" s="49">
        <v>506</v>
      </c>
      <c r="E15" s="47">
        <v>3</v>
      </c>
      <c r="F15" s="47"/>
      <c r="G15" s="47">
        <v>0</v>
      </c>
      <c r="H15" s="47">
        <v>0</v>
      </c>
      <c r="I15" s="47">
        <v>0</v>
      </c>
      <c r="J15" s="47"/>
      <c r="K15" s="47">
        <v>0</v>
      </c>
      <c r="L15" s="47">
        <v>0</v>
      </c>
      <c r="M15" s="29" t="s">
        <v>29</v>
      </c>
    </row>
    <row r="16" spans="1:15" ht="15.75">
      <c r="A16" s="52" t="s">
        <v>30</v>
      </c>
      <c r="B16" s="48">
        <f>SUM(B17:B18)</f>
        <v>18144</v>
      </c>
      <c r="C16" s="48">
        <f>SUM(C17:C18)</f>
        <v>70367</v>
      </c>
      <c r="D16" s="48">
        <f>SUM(D17:D18)</f>
        <v>69366</v>
      </c>
      <c r="E16" s="48">
        <f>SUM(E17:E18)</f>
        <v>6286</v>
      </c>
      <c r="F16" s="48"/>
      <c r="G16" s="48">
        <f>SUM(G17:G18)</f>
        <v>272783.2</v>
      </c>
      <c r="H16" s="48">
        <f>SUM(H17:H18)</f>
        <v>37685.800000000003</v>
      </c>
      <c r="I16" s="48">
        <f>SUM(I17:I18)</f>
        <v>11596</v>
      </c>
      <c r="J16" s="48"/>
      <c r="K16" s="48">
        <f>SUM(K17:K18)</f>
        <v>11339.779999999999</v>
      </c>
      <c r="L16" s="48">
        <f>SUM(L17:L18)</f>
        <v>832.22</v>
      </c>
      <c r="M16" s="54" t="s">
        <v>31</v>
      </c>
    </row>
    <row r="17" spans="1:13" ht="15.75">
      <c r="A17" s="30" t="s">
        <v>36</v>
      </c>
      <c r="B17" s="43">
        <f>3980+186</f>
        <v>4166</v>
      </c>
      <c r="C17" s="43">
        <f>67845+2522</f>
        <v>70367</v>
      </c>
      <c r="D17" s="43">
        <f>67058+2308</f>
        <v>69366</v>
      </c>
      <c r="E17" s="43">
        <f>5836+450</f>
        <v>6286</v>
      </c>
      <c r="F17" s="34"/>
      <c r="G17" s="43">
        <f>261009.2+11774</f>
        <v>272783.2</v>
      </c>
      <c r="H17" s="43">
        <f>37063.8+622</f>
        <v>37685.800000000003</v>
      </c>
      <c r="I17" s="43">
        <f>10442+1154</f>
        <v>11596</v>
      </c>
      <c r="J17" s="44"/>
      <c r="K17" s="45">
        <f>10953.98+385.8</f>
        <v>11339.779999999999</v>
      </c>
      <c r="L17" s="45">
        <f>811.22+21</f>
        <v>832.22</v>
      </c>
      <c r="M17" s="31" t="s">
        <v>37</v>
      </c>
    </row>
    <row r="18" spans="1:13" s="40" customFormat="1" ht="15.75">
      <c r="A18" s="11" t="s">
        <v>32</v>
      </c>
      <c r="B18" s="50">
        <v>13978</v>
      </c>
      <c r="C18" s="51">
        <v>0</v>
      </c>
      <c r="D18" s="51">
        <v>0</v>
      </c>
      <c r="E18" s="51">
        <v>0</v>
      </c>
      <c r="F18" s="51"/>
      <c r="G18" s="51">
        <v>0</v>
      </c>
      <c r="H18" s="51">
        <v>0</v>
      </c>
      <c r="I18" s="51">
        <v>0</v>
      </c>
      <c r="J18" s="51"/>
      <c r="K18" s="51">
        <v>0</v>
      </c>
      <c r="L18" s="51">
        <v>0</v>
      </c>
      <c r="M18" s="32" t="s">
        <v>33</v>
      </c>
    </row>
    <row r="19" spans="1:13" s="40" customFormat="1" ht="18.75">
      <c r="A19" s="33" t="s">
        <v>38</v>
      </c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6" t="s">
        <v>39</v>
      </c>
    </row>
    <row r="20" spans="1:13" s="40" customFormat="1" ht="18.75">
      <c r="A20" s="37" t="s">
        <v>42</v>
      </c>
      <c r="B20" s="38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39" t="s">
        <v>40</v>
      </c>
    </row>
    <row r="21" spans="1:13">
      <c r="A21" s="57" t="s">
        <v>46</v>
      </c>
      <c r="B21" s="57"/>
      <c r="C21" s="57"/>
      <c r="D21" s="57"/>
      <c r="E21" s="57"/>
      <c r="F21" s="57"/>
      <c r="G21" s="57"/>
      <c r="H21" s="13"/>
      <c r="I21" s="13"/>
      <c r="J21" s="13"/>
      <c r="K21" s="13"/>
      <c r="L21" s="13"/>
      <c r="M21" s="41" t="s">
        <v>41</v>
      </c>
    </row>
    <row r="22" spans="1:13" ht="18.75">
      <c r="A22" s="14" t="s">
        <v>34</v>
      </c>
      <c r="B22" s="42"/>
      <c r="C22" s="15"/>
      <c r="D22" s="15"/>
      <c r="E22" s="15"/>
      <c r="F22" s="15"/>
      <c r="G22" s="15"/>
      <c r="H22" s="16"/>
      <c r="I22" s="16"/>
      <c r="J22" s="16"/>
      <c r="K22" s="40"/>
      <c r="L22" s="40"/>
      <c r="M22" s="17" t="s">
        <v>35</v>
      </c>
    </row>
  </sheetData>
  <mergeCells count="3">
    <mergeCell ref="A3:M3"/>
    <mergeCell ref="A4:M4"/>
    <mergeCell ref="A21:G21"/>
  </mergeCells>
  <pageMargins left="0.7" right="0.7" top="0.75" bottom="0.75" header="0.3" footer="0.3"/>
  <pageSetup paperSize="9" scale="69" orientation="landscape" horizontalDpi="4294967295" verticalDpi="4294967295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11.11 &amp; 11.12</vt:lpstr>
      <vt:lpstr>'11.11 &amp; 11.12'!Print_Area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2017-07-05T08:38:51Z</cp:lastPrinted>
  <dcterms:created xsi:type="dcterms:W3CDTF">2014-05-22T03:57:11Z</dcterms:created>
  <dcterms:modified xsi:type="dcterms:W3CDTF">2017-07-05T08:38:53Z</dcterms:modified>
</cp:coreProperties>
</file>