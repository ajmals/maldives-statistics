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24 " sheetId="15" r:id="rId1"/>
  </sheets>
  <externalReferences>
    <externalReference r:id="rId2"/>
    <externalReference r:id="rId3"/>
  </externalReferences>
  <calcPr calcId="144525"/>
</workbook>
</file>

<file path=xl/calcChain.xml><?xml version="1.0" encoding="utf-8"?>
<calcChain xmlns="http://schemas.openxmlformats.org/spreadsheetml/2006/main">
  <c r="X6" i="15" l="1"/>
  <c r="W6" i="15"/>
  <c r="V6" i="15"/>
  <c r="U6" i="15"/>
  <c r="T6" i="15"/>
  <c r="S6" i="15"/>
  <c r="R6" i="15"/>
  <c r="Q6" i="15"/>
  <c r="O6" i="15"/>
  <c r="N6" i="15"/>
  <c r="L6" i="15"/>
  <c r="K6" i="15"/>
  <c r="I6" i="15"/>
  <c r="H6" i="15"/>
  <c r="F6" i="15"/>
  <c r="E6" i="15"/>
  <c r="C6" i="15"/>
  <c r="B6" i="15"/>
</calcChain>
</file>

<file path=xl/sharedStrings.xml><?xml version="1.0" encoding="utf-8"?>
<sst xmlns="http://schemas.openxmlformats.org/spreadsheetml/2006/main" count="63" uniqueCount="47">
  <si>
    <t>wlcmuj</t>
  </si>
  <si>
    <t>Total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</si>
  <si>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</si>
  <si>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</si>
  <si>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</si>
  <si>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</si>
  <si>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</si>
  <si>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</si>
  <si>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</si>
  <si>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</si>
  <si>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</si>
  <si>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</si>
  <si>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</si>
  <si>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</si>
  <si>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</si>
  <si>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</si>
  <si>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</si>
  <si>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</si>
  <si>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</si>
  <si>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</si>
  <si>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</si>
  <si>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</si>
  <si>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</si>
  <si>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</si>
  <si>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</si>
  <si>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</si>
  <si>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</si>
  <si>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</si>
  <si>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</si>
  <si>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</si>
  <si>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</si>
  <si>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</si>
  <si>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L.Kadhdhoo</t>
  </si>
  <si>
    <t>GDh.Kaadedhdhoo</t>
  </si>
  <si>
    <t>HDh.Hanimaadhoo</t>
  </si>
  <si>
    <t xml:space="preserve">Gn.Fuvahmulah </t>
  </si>
  <si>
    <t>ADh.Maamigili</t>
  </si>
  <si>
    <t>GA. Koodoo</t>
  </si>
  <si>
    <t xml:space="preserve"> ( in kg )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</si>
  <si>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</si>
  <si>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</si>
  <si>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</si>
  <si>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</si>
  <si>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</si>
  <si>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</si>
  <si>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Table 11.24:  CARGO HANDLED AT DOMESTIC AIRPORTS BY MONTH, 2016</t>
  </si>
  <si>
    <t>ތާވަލު 11.24: މަސްމަހުގެ ގޮތުން ރާއްޖޭގެ ވައިގެބަނދަރުތަކުގައި އުފުލުނު މުދާ،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</si>
</sst>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name val="Faruma"/>
    </font>
    <font>
      <sz val="9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9"/>
      <name val="Courier"/>
      <family val="3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vertAlign val="superscript"/>
      <sz val="9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4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5" fillId="0" borderId="0"/>
    <xf numFmtId="164" fontId="11" fillId="0" borderId="0"/>
    <xf numFmtId="167" fontId="11" fillId="0" borderId="0" applyFont="0" applyFill="0" applyBorder="0" applyAlignment="0" applyProtection="0"/>
    <xf numFmtId="0" fontId="6" fillId="0" borderId="0"/>
    <xf numFmtId="0" fontId="20" fillId="0" borderId="0"/>
  </cellStyleXfs>
  <cellXfs count="57">
    <xf numFmtId="0" fontId="0" fillId="0" borderId="0" xfId="0"/>
    <xf numFmtId="0" fontId="9" fillId="2" borderId="1" xfId="0" applyNumberFormat="1" applyFont="1" applyFill="1" applyBorder="1" applyAlignment="1">
      <alignment horizontal="righ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3" fillId="2" borderId="1" xfId="5" applyNumberFormat="1" applyFont="1" applyFill="1" applyBorder="1" applyAlignment="1" applyProtection="1">
      <alignment horizontal="left" vertical="center"/>
    </xf>
    <xf numFmtId="0" fontId="17" fillId="2" borderId="1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7" fillId="2" borderId="3" xfId="14" applyFont="1" applyFill="1" applyBorder="1" applyAlignment="1">
      <alignment horizontal="right"/>
    </xf>
    <xf numFmtId="0" fontId="16" fillId="2" borderId="2" xfId="14" applyFont="1" applyFill="1" applyBorder="1" applyAlignment="1">
      <alignment horizontal="right"/>
    </xf>
    <xf numFmtId="164" fontId="0" fillId="2" borderId="1" xfId="0" applyNumberFormat="1" applyFill="1" applyBorder="1"/>
    <xf numFmtId="164" fontId="2" fillId="2" borderId="13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38" fontId="2" fillId="2" borderId="2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38" fontId="3" fillId="2" borderId="3" xfId="6" applyNumberFormat="1" applyFont="1" applyFill="1" applyBorder="1" applyAlignment="1">
      <alignment horizontal="right" vertical="center"/>
    </xf>
    <xf numFmtId="164" fontId="8" fillId="2" borderId="2" xfId="5" applyNumberFormat="1" applyFont="1" applyFill="1" applyBorder="1" applyAlignment="1" applyProtection="1">
      <alignment horizontal="left" vertical="center"/>
    </xf>
    <xf numFmtId="37" fontId="3" fillId="2" borderId="2" xfId="5" applyNumberFormat="1" applyFont="1" applyFill="1" applyBorder="1" applyAlignment="1" applyProtection="1">
      <alignment vertical="center"/>
    </xf>
    <xf numFmtId="0" fontId="13" fillId="2" borderId="2" xfId="13" applyFont="1" applyFill="1" applyBorder="1" applyAlignment="1">
      <alignment vertical="center"/>
    </xf>
    <xf numFmtId="164" fontId="8" fillId="2" borderId="1" xfId="5" applyNumberFormat="1" applyFont="1" applyFill="1" applyBorder="1" applyAlignment="1" applyProtection="1">
      <alignment horizontal="left" vertical="center"/>
    </xf>
    <xf numFmtId="37" fontId="3" fillId="2" borderId="1" xfId="5" applyNumberFormat="1" applyFont="1" applyFill="1" applyBorder="1" applyAlignment="1" applyProtection="1">
      <alignment vertical="center"/>
    </xf>
    <xf numFmtId="0" fontId="13" fillId="2" borderId="1" xfId="13" applyFont="1" applyFill="1" applyBorder="1" applyAlignment="1">
      <alignment vertical="center"/>
    </xf>
    <xf numFmtId="164" fontId="22" fillId="2" borderId="1" xfId="0" applyNumberFormat="1" applyFont="1" applyFill="1" applyBorder="1" applyAlignment="1">
      <alignment vertical="center"/>
    </xf>
    <xf numFmtId="164" fontId="3" fillId="2" borderId="1" xfId="5" applyNumberFormat="1" applyFont="1" applyFill="1" applyBorder="1"/>
    <xf numFmtId="164" fontId="18" fillId="2" borderId="1" xfId="5" applyNumberFormat="1" applyFont="1" applyFill="1" applyBorder="1"/>
    <xf numFmtId="0" fontId="10" fillId="2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/>
    <xf numFmtId="164" fontId="2" fillId="2" borderId="14" xfId="5" applyNumberFormat="1" applyFont="1" applyFill="1" applyBorder="1" applyAlignment="1">
      <alignment horizontal="right" vertical="center"/>
    </xf>
    <xf numFmtId="38" fontId="2" fillId="2" borderId="7" xfId="6" applyNumberFormat="1" applyFont="1" applyFill="1" applyBorder="1" applyAlignment="1">
      <alignment horizontal="right" vertical="center"/>
    </xf>
    <xf numFmtId="38" fontId="3" fillId="2" borderId="6" xfId="6" applyNumberFormat="1" applyFont="1" applyFill="1" applyBorder="1" applyAlignment="1">
      <alignment horizontal="right" vertical="center"/>
    </xf>
    <xf numFmtId="38" fontId="3" fillId="2" borderId="9" xfId="6" applyNumberFormat="1" applyFont="1" applyFill="1" applyBorder="1" applyAlignment="1">
      <alignment horizontal="right" vertical="center"/>
    </xf>
    <xf numFmtId="164" fontId="2" fillId="2" borderId="16" xfId="5" applyNumberFormat="1" applyFont="1" applyFill="1" applyBorder="1" applyAlignment="1">
      <alignment horizontal="right" vertical="center"/>
    </xf>
    <xf numFmtId="38" fontId="2" fillId="2" borderId="12" xfId="6" applyNumberFormat="1" applyFont="1" applyFill="1" applyBorder="1" applyAlignment="1">
      <alignment horizontal="right" vertical="center"/>
    </xf>
    <xf numFmtId="38" fontId="3" fillId="2" borderId="4" xfId="6" applyNumberFormat="1" applyFont="1" applyFill="1" applyBorder="1" applyAlignment="1">
      <alignment horizontal="right" vertical="center"/>
    </xf>
    <xf numFmtId="38" fontId="3" fillId="2" borderId="11" xfId="6" applyNumberFormat="1" applyFont="1" applyFill="1" applyBorder="1" applyAlignment="1">
      <alignment horizontal="right" vertical="center"/>
    </xf>
    <xf numFmtId="164" fontId="2" fillId="2" borderId="19" xfId="5" applyNumberFormat="1" applyFont="1" applyFill="1" applyBorder="1" applyAlignment="1">
      <alignment horizontal="right" vertical="center"/>
    </xf>
    <xf numFmtId="164" fontId="2" fillId="2" borderId="20" xfId="5" applyNumberFormat="1" applyFont="1" applyFill="1" applyBorder="1" applyAlignment="1">
      <alignment horizontal="right" vertical="center"/>
    </xf>
    <xf numFmtId="38" fontId="2" fillId="2" borderId="21" xfId="6" applyNumberFormat="1" applyFont="1" applyFill="1" applyBorder="1" applyAlignment="1">
      <alignment horizontal="right" vertical="center"/>
    </xf>
    <xf numFmtId="38" fontId="2" fillId="2" borderId="22" xfId="6" applyNumberFormat="1" applyFont="1" applyFill="1" applyBorder="1" applyAlignment="1">
      <alignment horizontal="right" vertical="center"/>
    </xf>
    <xf numFmtId="38" fontId="3" fillId="2" borderId="23" xfId="6" applyNumberFormat="1" applyFont="1" applyFill="1" applyBorder="1" applyAlignment="1">
      <alignment horizontal="right" vertical="center"/>
    </xf>
    <xf numFmtId="38" fontId="3" fillId="2" borderId="24" xfId="6" applyNumberFormat="1" applyFont="1" applyFill="1" applyBorder="1" applyAlignment="1">
      <alignment horizontal="right" vertical="center"/>
    </xf>
    <xf numFmtId="38" fontId="3" fillId="2" borderId="25" xfId="6" applyNumberFormat="1" applyFont="1" applyFill="1" applyBorder="1" applyAlignment="1">
      <alignment horizontal="right" vertical="center"/>
    </xf>
    <xf numFmtId="38" fontId="3" fillId="2" borderId="26" xfId="6" applyNumberFormat="1" applyFont="1" applyFill="1" applyBorder="1" applyAlignment="1">
      <alignment horizontal="right" vertical="center"/>
    </xf>
    <xf numFmtId="164" fontId="2" fillId="2" borderId="14" xfId="5" applyNumberFormat="1" applyFont="1" applyFill="1" applyBorder="1" applyAlignment="1">
      <alignment horizontal="right" vertical="center" wrapText="1"/>
    </xf>
    <xf numFmtId="164" fontId="2" fillId="2" borderId="16" xfId="5" applyNumberFormat="1" applyFont="1" applyFill="1" applyBorder="1" applyAlignment="1">
      <alignment horizontal="right" vertical="center" wrapText="1"/>
    </xf>
    <xf numFmtId="164" fontId="2" fillId="2" borderId="15" xfId="5" applyNumberFormat="1" applyFont="1" applyFill="1" applyBorder="1" applyAlignment="1">
      <alignment horizontal="center" vertical="center" wrapText="1"/>
    </xf>
    <xf numFmtId="164" fontId="2" fillId="2" borderId="10" xfId="5" applyNumberFormat="1" applyFont="1" applyFill="1" applyBorder="1" applyAlignment="1">
      <alignment horizontal="center" vertical="center" wrapText="1"/>
    </xf>
    <xf numFmtId="0" fontId="16" fillId="2" borderId="5" xfId="14" applyFont="1" applyFill="1" applyBorder="1" applyAlignment="1">
      <alignment horizontal="right" vertical="center"/>
    </xf>
    <xf numFmtId="0" fontId="16" fillId="2" borderId="3" xfId="14" applyFont="1" applyFill="1" applyBorder="1" applyAlignment="1">
      <alignment horizontal="right" vertical="center"/>
    </xf>
    <xf numFmtId="164" fontId="2" fillId="2" borderId="17" xfId="5" applyNumberFormat="1" applyFont="1" applyFill="1" applyBorder="1" applyAlignment="1">
      <alignment horizontal="center" vertical="center" wrapText="1"/>
    </xf>
    <xf numFmtId="164" fontId="2" fillId="2" borderId="8" xfId="5" applyNumberFormat="1" applyFont="1" applyFill="1" applyBorder="1" applyAlignment="1">
      <alignment horizontal="center" vertical="center" wrapText="1"/>
    </xf>
    <xf numFmtId="164" fontId="2" fillId="2" borderId="1" xfId="5" applyNumberFormat="1" applyFont="1" applyFill="1" applyBorder="1" applyAlignment="1">
      <alignment horizontal="center" vertical="center"/>
    </xf>
    <xf numFmtId="164" fontId="2" fillId="2" borderId="5" xfId="5" applyNumberFormat="1" applyFont="1" applyFill="1" applyBorder="1" applyAlignment="1">
      <alignment horizontal="left" vertical="center"/>
    </xf>
    <xf numFmtId="164" fontId="2" fillId="2" borderId="3" xfId="5" applyNumberFormat="1" applyFont="1" applyFill="1" applyBorder="1" applyAlignment="1">
      <alignment horizontal="left" vertical="center"/>
    </xf>
    <xf numFmtId="164" fontId="2" fillId="2" borderId="18" xfId="5" applyNumberFormat="1" applyFont="1" applyFill="1" applyBorder="1" applyAlignment="1">
      <alignment horizontal="center" vertical="center" wrapText="1"/>
    </xf>
    <xf numFmtId="164" fontId="2" fillId="2" borderId="15" xfId="5" applyNumberFormat="1" applyFont="1" applyFill="1" applyBorder="1" applyAlignment="1">
      <alignment horizontal="center" vertical="center" wrapText="1"/>
    </xf>
    <xf numFmtId="164" fontId="2" fillId="2" borderId="10" xfId="5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/>
    </xf>
    <xf numFmtId="164" fontId="4" fillId="2" borderId="1" xfId="5" applyNumberFormat="1" applyFont="1" applyFill="1" applyBorder="1" applyAlignment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4"/>
  <sheetViews>
    <sheetView tabSelected="1" zoomScaleNormal="100" zoomScaleSheetLayoutView="78" workbookViewId="0">
      <selection activeCell="Y19" sqref="Y19"/>
    </sheetView>
  </sheetViews>
  <sheetFormatPr defaultColWidth="9.140625" defaultRowHeight="15" x14ac:dyDescent="0.25"/>
  <cols>
    <col min="1" max="1" width="9.140625" style="8"/>
    <col min="2" max="3" width="11.5703125" style="8" customWidth="1"/>
    <col min="4" max="4" width="1.42578125" style="8" customWidth="1"/>
    <col min="5" max="6" width="11.5703125" style="8" customWidth="1"/>
    <col min="7" max="7" width="1.28515625" style="8" customWidth="1"/>
    <col min="8" max="8" width="11.5703125" style="8" customWidth="1"/>
    <col min="9" max="9" width="9.42578125" style="8" customWidth="1"/>
    <col min="10" max="10" width="1.140625" style="8" customWidth="1"/>
    <col min="11" max="11" width="9.42578125" style="8" bestFit="1" customWidth="1"/>
    <col min="12" max="12" width="9.5703125" style="8" customWidth="1"/>
    <col min="13" max="13" width="1.140625" style="8" customWidth="1"/>
    <col min="14" max="15" width="9.28515625" style="8" bestFit="1" customWidth="1"/>
    <col min="16" max="16" width="1.140625" style="8" customWidth="1"/>
    <col min="17" max="18" width="9.28515625" style="8" bestFit="1" customWidth="1"/>
    <col min="19" max="24" width="9.28515625" style="8" customWidth="1"/>
    <col min="25" max="25" width="19.7109375" style="8" customWidth="1"/>
    <col min="26" max="16384" width="9.140625" style="8"/>
  </cols>
  <sheetData>
    <row r="1" spans="1:25" ht="21" x14ac:dyDescent="0.55000000000000004">
      <c r="A1" s="55" t="s">
        <v>46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x14ac:dyDescent="0.25">
      <c r="A2" s="56" t="s">
        <v>45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spans="1:25" x14ac:dyDescent="0.25">
      <c r="A3" s="49" t="s">
        <v>38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1:25" ht="14.25" customHeight="1" x14ac:dyDescent="0.25">
      <c r="A4" s="50" t="s">
        <v>6</v>
      </c>
      <c r="B4" s="48" t="s">
        <v>32</v>
      </c>
      <c r="C4" s="48"/>
      <c r="D4" s="43"/>
      <c r="E4" s="47" t="s">
        <v>33</v>
      </c>
      <c r="F4" s="52"/>
      <c r="G4" s="44"/>
      <c r="H4" s="48" t="s">
        <v>34</v>
      </c>
      <c r="I4" s="48"/>
      <c r="J4" s="43"/>
      <c r="K4" s="47" t="s">
        <v>35</v>
      </c>
      <c r="L4" s="52"/>
      <c r="M4" s="44"/>
      <c r="N4" s="48" t="s">
        <v>36</v>
      </c>
      <c r="O4" s="48"/>
      <c r="P4" s="43"/>
      <c r="Q4" s="47" t="s">
        <v>39</v>
      </c>
      <c r="R4" s="52"/>
      <c r="S4" s="54" t="s">
        <v>37</v>
      </c>
      <c r="T4" s="53"/>
      <c r="U4" s="47" t="s">
        <v>40</v>
      </c>
      <c r="V4" s="52"/>
      <c r="W4" s="54" t="s">
        <v>41</v>
      </c>
      <c r="X4" s="48"/>
      <c r="Y4" s="45" t="s">
        <v>7</v>
      </c>
    </row>
    <row r="5" spans="1:25" ht="13.5" customHeight="1" x14ac:dyDescent="0.25">
      <c r="A5" s="51"/>
      <c r="B5" s="9" t="s">
        <v>2</v>
      </c>
      <c r="C5" s="9" t="s">
        <v>3</v>
      </c>
      <c r="D5" s="25"/>
      <c r="E5" s="33" t="s">
        <v>2</v>
      </c>
      <c r="F5" s="34" t="s">
        <v>3</v>
      </c>
      <c r="G5" s="29"/>
      <c r="H5" s="9" t="s">
        <v>2</v>
      </c>
      <c r="I5" s="9" t="s">
        <v>3</v>
      </c>
      <c r="J5" s="41"/>
      <c r="K5" s="33" t="s">
        <v>2</v>
      </c>
      <c r="L5" s="34" t="s">
        <v>3</v>
      </c>
      <c r="M5" s="42"/>
      <c r="N5" s="9" t="s">
        <v>2</v>
      </c>
      <c r="O5" s="9" t="s">
        <v>3</v>
      </c>
      <c r="P5" s="41"/>
      <c r="Q5" s="33" t="s">
        <v>2</v>
      </c>
      <c r="R5" s="34" t="s">
        <v>3</v>
      </c>
      <c r="S5" s="29" t="s">
        <v>2</v>
      </c>
      <c r="T5" s="25" t="s">
        <v>3</v>
      </c>
      <c r="U5" s="33" t="s">
        <v>2</v>
      </c>
      <c r="V5" s="34" t="s">
        <v>3</v>
      </c>
      <c r="W5" s="29" t="s">
        <v>2</v>
      </c>
      <c r="X5" s="9" t="s">
        <v>3</v>
      </c>
      <c r="Y5" s="46"/>
    </row>
    <row r="6" spans="1:25" ht="15.75" customHeight="1" x14ac:dyDescent="0.4">
      <c r="A6" s="10" t="s">
        <v>1</v>
      </c>
      <c r="B6" s="11">
        <f>SUM(B7:B18)</f>
        <v>63659.8</v>
      </c>
      <c r="C6" s="11">
        <f>SUM(C7:C18)</f>
        <v>72191.61</v>
      </c>
      <c r="D6" s="26"/>
      <c r="E6" s="35">
        <f>SUM(E7:E18)</f>
        <v>118301</v>
      </c>
      <c r="F6" s="36">
        <f>SUM(F7:F18)</f>
        <v>59766</v>
      </c>
      <c r="G6" s="30"/>
      <c r="H6" s="11">
        <f>SUM(H7:H18)</f>
        <v>56049</v>
      </c>
      <c r="I6" s="11">
        <f>SUM(I7:I18)</f>
        <v>10445.700000000001</v>
      </c>
      <c r="J6" s="26"/>
      <c r="K6" s="35">
        <f>SUM(K7:K18)</f>
        <v>28882</v>
      </c>
      <c r="L6" s="36">
        <f>SUM(L7:L18)</f>
        <v>11654</v>
      </c>
      <c r="M6" s="30"/>
      <c r="N6" s="11">
        <f t="shared" ref="N6:O6" si="0">SUM(N7:N18)</f>
        <v>0</v>
      </c>
      <c r="O6" s="11">
        <f t="shared" si="0"/>
        <v>0</v>
      </c>
      <c r="P6" s="26"/>
      <c r="Q6" s="35">
        <f t="shared" ref="Q6:U6" si="1">SUM(Q7:Q18)</f>
        <v>34974</v>
      </c>
      <c r="R6" s="36">
        <f t="shared" si="1"/>
        <v>3903</v>
      </c>
      <c r="S6" s="30">
        <f t="shared" si="1"/>
        <v>40118.300000000003</v>
      </c>
      <c r="T6" s="26">
        <f t="shared" si="1"/>
        <v>3290.5</v>
      </c>
      <c r="U6" s="35">
        <f t="shared" si="1"/>
        <v>5477</v>
      </c>
      <c r="V6" s="36">
        <f>SUM(V7:V18)</f>
        <v>28136</v>
      </c>
      <c r="W6" s="30">
        <f>SUM(W7:W18)</f>
        <v>40249</v>
      </c>
      <c r="X6" s="11">
        <f>SUM(X7:X18)</f>
        <v>11128</v>
      </c>
      <c r="Y6" s="7" t="s">
        <v>0</v>
      </c>
    </row>
    <row r="7" spans="1:25" ht="15.75" customHeight="1" x14ac:dyDescent="0.4">
      <c r="A7" s="3" t="s">
        <v>8</v>
      </c>
      <c r="B7" s="12">
        <v>4192</v>
      </c>
      <c r="C7" s="12">
        <v>5282</v>
      </c>
      <c r="D7" s="27"/>
      <c r="E7" s="37">
        <v>13507</v>
      </c>
      <c r="F7" s="38">
        <v>4330</v>
      </c>
      <c r="G7" s="31"/>
      <c r="H7" s="12">
        <v>2777</v>
      </c>
      <c r="I7" s="12">
        <v>724</v>
      </c>
      <c r="J7" s="27"/>
      <c r="K7" s="37">
        <v>1243</v>
      </c>
      <c r="L7" s="38">
        <v>904</v>
      </c>
      <c r="M7" s="31"/>
      <c r="N7" s="12">
        <v>0</v>
      </c>
      <c r="O7" s="12">
        <v>0</v>
      </c>
      <c r="P7" s="27"/>
      <c r="Q7" s="37">
        <v>1246</v>
      </c>
      <c r="R7" s="38">
        <v>19</v>
      </c>
      <c r="S7" s="31">
        <v>3981</v>
      </c>
      <c r="T7" s="27">
        <v>53</v>
      </c>
      <c r="U7" s="37">
        <v>209</v>
      </c>
      <c r="V7" s="38">
        <v>1904</v>
      </c>
      <c r="W7" s="31">
        <v>355</v>
      </c>
      <c r="X7" s="12">
        <v>414</v>
      </c>
      <c r="Y7" s="4" t="s">
        <v>9</v>
      </c>
    </row>
    <row r="8" spans="1:25" ht="15.75" customHeight="1" x14ac:dyDescent="0.4">
      <c r="A8" s="3" t="s">
        <v>10</v>
      </c>
      <c r="B8" s="12">
        <v>2917</v>
      </c>
      <c r="C8" s="12">
        <v>4807</v>
      </c>
      <c r="D8" s="27"/>
      <c r="E8" s="37">
        <v>9004</v>
      </c>
      <c r="F8" s="38">
        <v>5578</v>
      </c>
      <c r="G8" s="31"/>
      <c r="H8" s="12">
        <v>2291</v>
      </c>
      <c r="I8" s="12">
        <v>445.5</v>
      </c>
      <c r="J8" s="27"/>
      <c r="K8" s="37">
        <v>2237</v>
      </c>
      <c r="L8" s="38">
        <v>1440</v>
      </c>
      <c r="M8" s="31"/>
      <c r="N8" s="12">
        <v>0</v>
      </c>
      <c r="O8" s="12">
        <v>0</v>
      </c>
      <c r="P8" s="27"/>
      <c r="Q8" s="37">
        <v>782</v>
      </c>
      <c r="R8" s="38">
        <v>157</v>
      </c>
      <c r="S8" s="31">
        <v>4019</v>
      </c>
      <c r="T8" s="27">
        <v>64</v>
      </c>
      <c r="U8" s="37">
        <v>209</v>
      </c>
      <c r="V8" s="38">
        <v>2764</v>
      </c>
      <c r="W8" s="31">
        <v>375</v>
      </c>
      <c r="X8" s="12">
        <v>383</v>
      </c>
      <c r="Y8" s="4" t="s">
        <v>11</v>
      </c>
    </row>
    <row r="9" spans="1:25" ht="15.75" customHeight="1" x14ac:dyDescent="0.4">
      <c r="A9" s="3" t="s">
        <v>12</v>
      </c>
      <c r="B9" s="12">
        <v>4375.8</v>
      </c>
      <c r="C9" s="12">
        <v>2565</v>
      </c>
      <c r="D9" s="27"/>
      <c r="E9" s="37">
        <v>6400</v>
      </c>
      <c r="F9" s="38">
        <v>3396</v>
      </c>
      <c r="G9" s="31"/>
      <c r="H9" s="12">
        <v>4005</v>
      </c>
      <c r="I9" s="12">
        <v>734.5</v>
      </c>
      <c r="J9" s="27"/>
      <c r="K9" s="37">
        <v>1575</v>
      </c>
      <c r="L9" s="38">
        <v>946</v>
      </c>
      <c r="M9" s="31"/>
      <c r="N9" s="12">
        <v>0</v>
      </c>
      <c r="O9" s="12">
        <v>0</v>
      </c>
      <c r="P9" s="27"/>
      <c r="Q9" s="37">
        <v>910</v>
      </c>
      <c r="R9" s="38">
        <v>149</v>
      </c>
      <c r="S9" s="31">
        <v>3392</v>
      </c>
      <c r="T9" s="27">
        <v>379</v>
      </c>
      <c r="U9" s="37">
        <v>332</v>
      </c>
      <c r="V9" s="38">
        <v>653</v>
      </c>
      <c r="W9" s="31">
        <v>576</v>
      </c>
      <c r="X9" s="12">
        <v>464</v>
      </c>
      <c r="Y9" s="4" t="s">
        <v>13</v>
      </c>
    </row>
    <row r="10" spans="1:25" ht="15.75" customHeight="1" x14ac:dyDescent="0.4">
      <c r="A10" s="3" t="s">
        <v>14</v>
      </c>
      <c r="B10" s="12">
        <v>4110</v>
      </c>
      <c r="C10" s="12">
        <v>4098</v>
      </c>
      <c r="D10" s="27"/>
      <c r="E10" s="37">
        <v>7784</v>
      </c>
      <c r="F10" s="38">
        <v>2857</v>
      </c>
      <c r="G10" s="31"/>
      <c r="H10" s="12">
        <v>2831</v>
      </c>
      <c r="I10" s="12">
        <v>550</v>
      </c>
      <c r="J10" s="27"/>
      <c r="K10" s="37">
        <v>2017</v>
      </c>
      <c r="L10" s="38">
        <v>1468</v>
      </c>
      <c r="M10" s="31"/>
      <c r="N10" s="12">
        <v>0</v>
      </c>
      <c r="O10" s="12">
        <v>0</v>
      </c>
      <c r="P10" s="27"/>
      <c r="Q10" s="37">
        <v>3841</v>
      </c>
      <c r="R10" s="38">
        <v>75</v>
      </c>
      <c r="S10" s="31">
        <v>3325</v>
      </c>
      <c r="T10" s="27">
        <v>257</v>
      </c>
      <c r="U10" s="37">
        <v>62</v>
      </c>
      <c r="V10" s="38">
        <v>992</v>
      </c>
      <c r="W10" s="31">
        <v>633</v>
      </c>
      <c r="X10" s="12">
        <v>519</v>
      </c>
      <c r="Y10" s="4" t="s">
        <v>15</v>
      </c>
    </row>
    <row r="11" spans="1:25" ht="15.75" customHeight="1" x14ac:dyDescent="0.4">
      <c r="A11" s="3" t="s">
        <v>16</v>
      </c>
      <c r="B11" s="12">
        <v>4283</v>
      </c>
      <c r="C11" s="12">
        <v>4747</v>
      </c>
      <c r="D11" s="27"/>
      <c r="E11" s="37">
        <v>9067</v>
      </c>
      <c r="F11" s="38">
        <v>3561</v>
      </c>
      <c r="G11" s="31"/>
      <c r="H11" s="12">
        <v>2596</v>
      </c>
      <c r="I11" s="12">
        <v>557</v>
      </c>
      <c r="J11" s="27"/>
      <c r="K11" s="37">
        <v>1897</v>
      </c>
      <c r="L11" s="38">
        <v>2045</v>
      </c>
      <c r="M11" s="31"/>
      <c r="N11" s="12">
        <v>0</v>
      </c>
      <c r="O11" s="12">
        <v>0</v>
      </c>
      <c r="P11" s="27"/>
      <c r="Q11" s="37">
        <v>1816</v>
      </c>
      <c r="R11" s="38">
        <v>332</v>
      </c>
      <c r="S11" s="31">
        <v>2678</v>
      </c>
      <c r="T11" s="27">
        <v>146.5</v>
      </c>
      <c r="U11" s="37">
        <v>245</v>
      </c>
      <c r="V11" s="38">
        <v>1958</v>
      </c>
      <c r="W11" s="31">
        <v>681</v>
      </c>
      <c r="X11" s="12">
        <v>112</v>
      </c>
      <c r="Y11" s="4" t="s">
        <v>17</v>
      </c>
    </row>
    <row r="12" spans="1:25" ht="15.75" customHeight="1" x14ac:dyDescent="0.4">
      <c r="A12" s="3" t="s">
        <v>18</v>
      </c>
      <c r="B12" s="12">
        <v>8481</v>
      </c>
      <c r="C12" s="12">
        <v>4746.55</v>
      </c>
      <c r="D12" s="27"/>
      <c r="E12" s="37">
        <v>15561</v>
      </c>
      <c r="F12" s="38">
        <v>1191</v>
      </c>
      <c r="G12" s="31"/>
      <c r="H12" s="12">
        <v>2664</v>
      </c>
      <c r="I12" s="12">
        <v>865</v>
      </c>
      <c r="J12" s="27"/>
      <c r="K12" s="37">
        <v>3627</v>
      </c>
      <c r="L12" s="38">
        <v>582</v>
      </c>
      <c r="M12" s="31"/>
      <c r="N12" s="12">
        <v>0</v>
      </c>
      <c r="O12" s="12">
        <v>0</v>
      </c>
      <c r="P12" s="27"/>
      <c r="Q12" s="37">
        <v>4229</v>
      </c>
      <c r="R12" s="38">
        <v>145</v>
      </c>
      <c r="S12" s="31">
        <v>4199</v>
      </c>
      <c r="T12" s="27">
        <v>468</v>
      </c>
      <c r="U12" s="37">
        <v>2457</v>
      </c>
      <c r="V12" s="38">
        <v>2509</v>
      </c>
      <c r="W12" s="31">
        <v>2686</v>
      </c>
      <c r="X12" s="12">
        <v>334</v>
      </c>
      <c r="Y12" s="4" t="s">
        <v>19</v>
      </c>
    </row>
    <row r="13" spans="1:25" ht="15.75" customHeight="1" x14ac:dyDescent="0.4">
      <c r="A13" s="3" t="s">
        <v>20</v>
      </c>
      <c r="B13" s="12">
        <v>4924</v>
      </c>
      <c r="C13" s="12">
        <v>12139</v>
      </c>
      <c r="D13" s="27"/>
      <c r="E13" s="37">
        <v>9080</v>
      </c>
      <c r="F13" s="38">
        <v>2413</v>
      </c>
      <c r="G13" s="31"/>
      <c r="H13" s="12">
        <v>5229</v>
      </c>
      <c r="I13" s="12">
        <v>822.7</v>
      </c>
      <c r="J13" s="27"/>
      <c r="K13" s="37">
        <v>3114</v>
      </c>
      <c r="L13" s="38">
        <v>813</v>
      </c>
      <c r="M13" s="31"/>
      <c r="N13" s="12">
        <v>0</v>
      </c>
      <c r="O13" s="12">
        <v>0</v>
      </c>
      <c r="P13" s="27"/>
      <c r="Q13" s="37">
        <v>948</v>
      </c>
      <c r="R13" s="38">
        <v>386</v>
      </c>
      <c r="S13" s="31">
        <v>2850</v>
      </c>
      <c r="T13" s="27">
        <v>155</v>
      </c>
      <c r="U13" s="37">
        <v>167</v>
      </c>
      <c r="V13" s="38">
        <v>5127</v>
      </c>
      <c r="W13" s="31">
        <v>1551</v>
      </c>
      <c r="X13" s="12">
        <v>276</v>
      </c>
      <c r="Y13" s="4" t="s">
        <v>21</v>
      </c>
    </row>
    <row r="14" spans="1:25" ht="15.75" customHeight="1" x14ac:dyDescent="0.4">
      <c r="A14" s="3" t="s">
        <v>22</v>
      </c>
      <c r="B14" s="12">
        <v>4078</v>
      </c>
      <c r="C14" s="12">
        <v>10902</v>
      </c>
      <c r="D14" s="27"/>
      <c r="E14" s="37">
        <v>10402</v>
      </c>
      <c r="F14" s="38">
        <v>8942</v>
      </c>
      <c r="G14" s="31"/>
      <c r="H14" s="12">
        <v>4444</v>
      </c>
      <c r="I14" s="12">
        <v>789</v>
      </c>
      <c r="J14" s="27"/>
      <c r="K14" s="37">
        <v>2720</v>
      </c>
      <c r="L14" s="38">
        <v>784</v>
      </c>
      <c r="M14" s="31"/>
      <c r="N14" s="12">
        <v>0</v>
      </c>
      <c r="O14" s="12">
        <v>0</v>
      </c>
      <c r="P14" s="27"/>
      <c r="Q14" s="37">
        <v>3969</v>
      </c>
      <c r="R14" s="38">
        <v>161</v>
      </c>
      <c r="S14" s="31">
        <v>1974.3</v>
      </c>
      <c r="T14" s="27">
        <v>26</v>
      </c>
      <c r="U14" s="37">
        <v>229</v>
      </c>
      <c r="V14" s="38">
        <v>3262</v>
      </c>
      <c r="W14" s="31">
        <v>6895</v>
      </c>
      <c r="X14" s="12">
        <v>82</v>
      </c>
      <c r="Y14" s="4" t="s">
        <v>23</v>
      </c>
    </row>
    <row r="15" spans="1:25" ht="15.75" customHeight="1" x14ac:dyDescent="0.4">
      <c r="A15" s="3" t="s">
        <v>24</v>
      </c>
      <c r="B15" s="12">
        <v>5334</v>
      </c>
      <c r="C15" s="12">
        <v>7843</v>
      </c>
      <c r="D15" s="27"/>
      <c r="E15" s="37">
        <v>9152</v>
      </c>
      <c r="F15" s="38">
        <v>5144</v>
      </c>
      <c r="G15" s="31"/>
      <c r="H15" s="12">
        <v>3796</v>
      </c>
      <c r="I15" s="12">
        <v>1138</v>
      </c>
      <c r="J15" s="27"/>
      <c r="K15" s="37">
        <v>3065</v>
      </c>
      <c r="L15" s="38">
        <v>626</v>
      </c>
      <c r="M15" s="31"/>
      <c r="N15" s="12">
        <v>0</v>
      </c>
      <c r="O15" s="12">
        <v>0</v>
      </c>
      <c r="P15" s="27"/>
      <c r="Q15" s="37">
        <v>2960</v>
      </c>
      <c r="R15" s="38">
        <v>269</v>
      </c>
      <c r="S15" s="31">
        <v>1692</v>
      </c>
      <c r="T15" s="27">
        <v>41</v>
      </c>
      <c r="U15" s="37">
        <v>404</v>
      </c>
      <c r="V15" s="38">
        <v>3785</v>
      </c>
      <c r="W15" s="31">
        <v>8803</v>
      </c>
      <c r="X15" s="12">
        <v>132</v>
      </c>
      <c r="Y15" s="4" t="s">
        <v>25</v>
      </c>
    </row>
    <row r="16" spans="1:25" ht="15.75" customHeight="1" x14ac:dyDescent="0.4">
      <c r="A16" s="3" t="s">
        <v>26</v>
      </c>
      <c r="B16" s="12">
        <v>10759</v>
      </c>
      <c r="C16" s="12">
        <v>5857</v>
      </c>
      <c r="D16" s="27"/>
      <c r="E16" s="37">
        <v>12617</v>
      </c>
      <c r="F16" s="38">
        <v>11482</v>
      </c>
      <c r="G16" s="31"/>
      <c r="H16" s="12">
        <v>10318</v>
      </c>
      <c r="I16" s="12">
        <v>2389</v>
      </c>
      <c r="J16" s="27"/>
      <c r="K16" s="37">
        <v>2874</v>
      </c>
      <c r="L16" s="38">
        <v>770</v>
      </c>
      <c r="M16" s="31"/>
      <c r="N16" s="12">
        <v>0</v>
      </c>
      <c r="O16" s="12">
        <v>0</v>
      </c>
      <c r="P16" s="27"/>
      <c r="Q16" s="37">
        <v>3480</v>
      </c>
      <c r="R16" s="38">
        <v>960</v>
      </c>
      <c r="S16" s="31">
        <v>2527</v>
      </c>
      <c r="T16" s="27">
        <v>432</v>
      </c>
      <c r="U16" s="37">
        <v>765</v>
      </c>
      <c r="V16" s="38">
        <v>2367</v>
      </c>
      <c r="W16" s="31">
        <v>6595</v>
      </c>
      <c r="X16" s="12">
        <v>5932</v>
      </c>
      <c r="Y16" s="4" t="s">
        <v>27</v>
      </c>
    </row>
    <row r="17" spans="1:25" ht="15.75" customHeight="1" x14ac:dyDescent="0.4">
      <c r="A17" s="3" t="s">
        <v>28</v>
      </c>
      <c r="B17" s="12">
        <v>6233</v>
      </c>
      <c r="C17" s="12">
        <v>3786.56</v>
      </c>
      <c r="D17" s="27"/>
      <c r="E17" s="37">
        <v>5374</v>
      </c>
      <c r="F17" s="38">
        <v>6611</v>
      </c>
      <c r="G17" s="31"/>
      <c r="H17" s="12">
        <v>6155</v>
      </c>
      <c r="I17" s="12">
        <v>100</v>
      </c>
      <c r="J17" s="27"/>
      <c r="K17" s="37">
        <v>1873</v>
      </c>
      <c r="L17" s="38">
        <v>386</v>
      </c>
      <c r="M17" s="31"/>
      <c r="N17" s="12">
        <v>0</v>
      </c>
      <c r="O17" s="12">
        <v>0</v>
      </c>
      <c r="P17" s="27"/>
      <c r="Q17" s="37">
        <v>4439</v>
      </c>
      <c r="R17" s="38">
        <v>498</v>
      </c>
      <c r="S17" s="31">
        <v>2997</v>
      </c>
      <c r="T17" s="27">
        <v>772</v>
      </c>
      <c r="U17" s="37">
        <v>230</v>
      </c>
      <c r="V17" s="38">
        <v>1229</v>
      </c>
      <c r="W17" s="31">
        <v>5339</v>
      </c>
      <c r="X17" s="12">
        <v>2271</v>
      </c>
      <c r="Y17" s="4" t="s">
        <v>29</v>
      </c>
    </row>
    <row r="18" spans="1:25" ht="15.75" customHeight="1" x14ac:dyDescent="0.4">
      <c r="A18" s="5" t="s">
        <v>30</v>
      </c>
      <c r="B18" s="13">
        <v>3973</v>
      </c>
      <c r="C18" s="13">
        <v>5418.5</v>
      </c>
      <c r="D18" s="28"/>
      <c r="E18" s="39">
        <v>10353</v>
      </c>
      <c r="F18" s="40">
        <v>4261</v>
      </c>
      <c r="G18" s="32"/>
      <c r="H18" s="13">
        <v>8943</v>
      </c>
      <c r="I18" s="13">
        <v>1331</v>
      </c>
      <c r="J18" s="28"/>
      <c r="K18" s="39">
        <v>2640</v>
      </c>
      <c r="L18" s="40">
        <v>890</v>
      </c>
      <c r="M18" s="32"/>
      <c r="N18" s="13">
        <v>0</v>
      </c>
      <c r="O18" s="13">
        <v>0</v>
      </c>
      <c r="P18" s="28"/>
      <c r="Q18" s="39">
        <v>6354</v>
      </c>
      <c r="R18" s="40">
        <v>752</v>
      </c>
      <c r="S18" s="32">
        <v>6484</v>
      </c>
      <c r="T18" s="28">
        <v>497</v>
      </c>
      <c r="U18" s="39">
        <v>168</v>
      </c>
      <c r="V18" s="40">
        <v>1586</v>
      </c>
      <c r="W18" s="32">
        <v>5760</v>
      </c>
      <c r="X18" s="13">
        <v>209</v>
      </c>
      <c r="Y18" s="6" t="s">
        <v>31</v>
      </c>
    </row>
    <row r="19" spans="1:25" ht="14.25" customHeight="1" x14ac:dyDescent="0.25">
      <c r="A19" s="14" t="s">
        <v>42</v>
      </c>
      <c r="B19" s="14"/>
      <c r="C19" s="15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2"/>
      <c r="P19" s="16"/>
      <c r="Q19" s="16"/>
      <c r="R19" s="2"/>
      <c r="S19" s="2"/>
      <c r="T19" s="2"/>
      <c r="U19" s="2"/>
      <c r="V19" s="2"/>
      <c r="W19" s="2"/>
      <c r="X19" s="2"/>
      <c r="Y19" s="23" t="s">
        <v>5</v>
      </c>
    </row>
    <row r="20" spans="1:25" ht="14.25" customHeight="1" x14ac:dyDescent="0.25">
      <c r="A20" s="17" t="s">
        <v>43</v>
      </c>
      <c r="B20" s="17"/>
      <c r="C20" s="18"/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19"/>
      <c r="O20" s="1"/>
      <c r="P20" s="19"/>
      <c r="Q20" s="19"/>
      <c r="R20" s="1"/>
      <c r="S20" s="1"/>
      <c r="T20" s="1"/>
      <c r="U20" s="1"/>
      <c r="V20" s="1"/>
      <c r="W20" s="1"/>
      <c r="X20" s="1"/>
      <c r="Y20" s="20"/>
    </row>
    <row r="21" spans="1:25" ht="14.25" customHeight="1" x14ac:dyDescent="0.25">
      <c r="A21" s="17" t="s">
        <v>44</v>
      </c>
      <c r="B21" s="17"/>
      <c r="C21" s="18"/>
      <c r="D21" s="18"/>
      <c r="E21" s="18"/>
      <c r="F21" s="18"/>
      <c r="G21" s="18"/>
      <c r="H21" s="18"/>
      <c r="I21" s="18"/>
      <c r="J21" s="18"/>
      <c r="K21" s="19"/>
      <c r="L21" s="19"/>
      <c r="M21" s="19"/>
      <c r="N21" s="19"/>
      <c r="O21" s="1"/>
      <c r="P21" s="19"/>
      <c r="Q21" s="19"/>
      <c r="R21" s="1"/>
      <c r="S21" s="1"/>
      <c r="T21" s="1"/>
      <c r="U21" s="1"/>
      <c r="V21" s="1"/>
      <c r="W21" s="1"/>
      <c r="X21" s="1"/>
      <c r="Y21" s="20"/>
    </row>
    <row r="22" spans="1:25" ht="14.25" customHeight="1" x14ac:dyDescent="0.25">
      <c r="A22" s="17" t="s">
        <v>4</v>
      </c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22"/>
      <c r="M22" s="22"/>
      <c r="P22" s="22"/>
    </row>
    <row r="23" spans="1:25" ht="7.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</row>
    <row r="24" spans="1:25" ht="6" customHeight="1" x14ac:dyDescent="0.25"/>
  </sheetData>
  <mergeCells count="14">
    <mergeCell ref="A1:Y1"/>
    <mergeCell ref="A2:Y2"/>
    <mergeCell ref="A3:Y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Y5"/>
  </mergeCells>
  <pageMargins left="0.7" right="0.7" top="0.75" bottom="0.75" header="0.3" footer="0.3"/>
  <pageSetup paperSize="9" scale="61" orientation="landscape" horizontalDpi="4294967295" verticalDpi="4294967295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2017-07-05T08:59:36Z</cp:lastPrinted>
  <dcterms:created xsi:type="dcterms:W3CDTF">2014-05-22T03:57:11Z</dcterms:created>
  <dcterms:modified xsi:type="dcterms:W3CDTF">2017-07-05T08:59:37Z</dcterms:modified>
</cp:coreProperties>
</file>