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 11.18 " sheetId="12" r:id="rId1"/>
  </sheets>
  <externalReferences>
    <externalReference r:id="rId2"/>
    <externalReference r:id="rId3"/>
  </externalReferences>
  <definedNames>
    <definedName name="_xlnm.Print_Area" localSheetId="0">' 11.18 '!$A$1:$J$19</definedName>
  </definedNames>
  <calcPr calcId="144525"/>
</workbook>
</file>

<file path=xl/calcChain.xml><?xml version="1.0" encoding="utf-8"?>
<calcChain xmlns="http://schemas.openxmlformats.org/spreadsheetml/2006/main">
  <c r="C7" i="12" l="1"/>
  <c r="G18" i="12" l="1"/>
  <c r="C18" i="12"/>
  <c r="G17" i="12"/>
  <c r="C17" i="12"/>
  <c r="G16" i="12"/>
  <c r="C16" i="12"/>
  <c r="G15" i="12"/>
  <c r="C15" i="12"/>
  <c r="G14" i="12"/>
  <c r="C14" i="12"/>
  <c r="G13" i="12"/>
  <c r="C13" i="12"/>
  <c r="G12" i="12"/>
  <c r="C12" i="12"/>
  <c r="G11" i="12"/>
  <c r="C11" i="12"/>
  <c r="G10" i="12"/>
  <c r="C10" i="12"/>
  <c r="G9" i="12"/>
  <c r="C9" i="12"/>
  <c r="G8" i="12"/>
  <c r="C8" i="12"/>
  <c r="G7" i="12"/>
  <c r="I6" i="12"/>
  <c r="H6" i="12"/>
  <c r="F6" i="12"/>
  <c r="E6" i="12"/>
  <c r="D6" i="12"/>
  <c r="G6" i="12" l="1"/>
  <c r="B8" i="12"/>
  <c r="B10" i="12"/>
  <c r="B18" i="12"/>
  <c r="B14" i="12"/>
  <c r="B12" i="12"/>
  <c r="B9" i="12"/>
  <c r="B17" i="12"/>
  <c r="B7" i="12"/>
  <c r="B15" i="12"/>
  <c r="B16" i="12"/>
  <c r="C6" i="12"/>
  <c r="B13" i="12"/>
  <c r="B11" i="12"/>
  <c r="B6" i="12" l="1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<sst xmlns="http://schemas.openxmlformats.org/spreadsheetml/2006/main" count="42" uniqueCount="38">
  <si>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</si>
  <si>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</si>
  <si>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</si>
  <si>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</si>
  <si>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</si>
  <si>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</si>
  <si>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</si>
  <si>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</si>
  <si>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</si>
  <si>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</si>
  <si>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</si>
  <si>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</si>
  <si>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</si>
  <si>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</si>
  <si>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</si>
  <si>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</si>
  <si>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</si>
  <si>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</si>
  <si>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</si>
  <si>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</si>
  <si>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</si>
  <si>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</si>
  <si>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</si>
  <si>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</si>
  <si>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</si>
  <si>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</si>
  <si>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</si>
  <si>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</si>
  <si>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</si>
  <si>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</si>
  <si>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</si>
  <si>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</si>
  <si>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</si>
  <si>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</si>
  <si>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</si>
  <si>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</si>
  <si>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Table 11.18 :  AIRCRAFT MOVEMENT AT GAN INTERNATIONAL AIRPORT BY MONTH, 2016</t>
  </si>
  <si>
    <t>ތާވަލު 11.18: މަސްމަހުގެ ގޮތުން ގަން އިންޓަރނޭޝަނަލް އެއަރޕޯޓުން ދަތުރުކުރި ފްލައިޓްތައް،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</si>
</sst>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3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4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18" fillId="0" borderId="0"/>
  </cellStyleXfs>
  <cellXfs count="49">
    <xf numFmtId="0" fontId="0" fillId="0" borderId="0" xfId="0"/>
    <xf numFmtId="164" fontId="0" fillId="2" borderId="0" xfId="0" applyNumberFormat="1" applyFill="1"/>
    <xf numFmtId="164" fontId="9" fillId="2" borderId="0" xfId="5" applyNumberFormat="1" applyFont="1" applyFill="1" applyBorder="1" applyAlignment="1" applyProtection="1">
      <alignment horizontal="left" vertical="center"/>
    </xf>
    <xf numFmtId="164" fontId="9" fillId="2" borderId="0" xfId="5" applyNumberFormat="1" applyFont="1" applyFill="1" applyAlignment="1" applyProtection="1">
      <alignment horizontal="left" vertical="center"/>
    </xf>
    <xf numFmtId="0" fontId="10" fillId="2" borderId="2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2" fillId="2" borderId="18" xfId="5" applyNumberFormat="1" applyFont="1" applyFill="1" applyBorder="1" applyAlignment="1" applyProtection="1">
      <alignment horizontal="right" vertical="center"/>
    </xf>
    <xf numFmtId="3" fontId="2" fillId="2" borderId="17" xfId="5" applyNumberFormat="1" applyFont="1" applyFill="1" applyBorder="1" applyAlignment="1" applyProtection="1">
      <alignment horizontal="right" vertical="center"/>
    </xf>
    <xf numFmtId="164" fontId="15" fillId="2" borderId="0" xfId="5" applyNumberFormat="1" applyFont="1" applyFill="1" applyBorder="1" applyAlignment="1">
      <alignment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8" fillId="2" borderId="0" xfId="0" applyNumberFormat="1" applyFont="1" applyFill="1" applyBorder="1"/>
    <xf numFmtId="164" fontId="2" fillId="2" borderId="9" xfId="5" applyNumberFormat="1" applyFont="1" applyFill="1" applyBorder="1" applyAlignment="1" applyProtection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 wrapText="1"/>
    </xf>
    <xf numFmtId="164" fontId="2" fillId="2" borderId="4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2" fillId="2" borderId="7" xfId="5" applyNumberFormat="1" applyFont="1" applyFill="1" applyBorder="1" applyAlignment="1" applyProtection="1">
      <alignment horizontal="left" vertical="center"/>
    </xf>
    <xf numFmtId="3" fontId="2" fillId="2" borderId="23" xfId="5" applyNumberFormat="1" applyFont="1" applyFill="1" applyBorder="1" applyAlignment="1" applyProtection="1">
      <alignment horizontal="right" vertical="center"/>
    </xf>
    <xf numFmtId="3" fontId="2" fillId="2" borderId="7" xfId="5" applyNumberFormat="1" applyFont="1" applyFill="1" applyBorder="1" applyAlignment="1" applyProtection="1">
      <alignment horizontal="right" vertical="center"/>
    </xf>
    <xf numFmtId="0" fontId="16" fillId="2" borderId="7" xfId="14" applyFont="1" applyFill="1" applyBorder="1" applyAlignment="1">
      <alignment horizontal="right"/>
    </xf>
    <xf numFmtId="164" fontId="3" fillId="2" borderId="1" xfId="5" applyNumberFormat="1" applyFont="1" applyFill="1" applyBorder="1" applyAlignment="1" applyProtection="1">
      <alignment horizontal="lef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0" fontId="17" fillId="2" borderId="1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2" fillId="2" borderId="14" xfId="5" applyNumberFormat="1" applyFont="1" applyFill="1" applyBorder="1" applyAlignment="1" applyProtection="1">
      <alignment horizontal="right" vertical="center"/>
    </xf>
    <xf numFmtId="3" fontId="2" fillId="2" borderId="15" xfId="5" applyNumberFormat="1" applyFont="1" applyFill="1" applyBorder="1" applyAlignment="1" applyProtection="1">
      <alignment horizontal="right" vertical="center"/>
    </xf>
    <xf numFmtId="3" fontId="2" fillId="2" borderId="19" xfId="5" applyNumberFormat="1" applyFont="1" applyFill="1" applyBorder="1" applyAlignment="1" applyProtection="1">
      <alignment horizontal="right" vertical="center"/>
    </xf>
    <xf numFmtId="0" fontId="17" fillId="2" borderId="3" xfId="14" applyFont="1" applyFill="1" applyBorder="1" applyAlignment="1">
      <alignment horizontal="right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2" borderId="22" xfId="5" applyNumberFormat="1" applyFont="1" applyFill="1" applyBorder="1" applyAlignment="1" applyProtection="1">
      <alignment horizontal="right" vertical="center"/>
      <protection locked="0"/>
    </xf>
    <xf numFmtId="3" fontId="3" fillId="2" borderId="21" xfId="5" applyNumberFormat="1" applyFont="1" applyFill="1" applyBorder="1" applyAlignment="1" applyProtection="1">
      <alignment horizontal="right" vertical="center"/>
      <protection locked="0"/>
    </xf>
    <xf numFmtId="3" fontId="2" fillId="2" borderId="24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0" fontId="16" fillId="2" borderId="4" xfId="14" applyFont="1" applyFill="1" applyBorder="1" applyAlignment="1">
      <alignment horizontal="right" vertical="center"/>
    </xf>
    <xf numFmtId="0" fontId="16" fillId="2" borderId="0" xfId="14" applyFont="1" applyFill="1" applyBorder="1" applyAlignment="1">
      <alignment horizontal="right" vertical="center"/>
    </xf>
    <xf numFmtId="0" fontId="12" fillId="2" borderId="20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7" fillId="2" borderId="4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2" fillId="2" borderId="13" xfId="5" applyNumberFormat="1" applyFont="1" applyFill="1" applyBorder="1" applyAlignment="1" applyProtection="1">
      <alignment horizontal="center" vertical="center"/>
    </xf>
    <xf numFmtId="164" fontId="2" fillId="2" borderId="11" xfId="5" applyNumberFormat="1" applyFont="1" applyFill="1" applyBorder="1" applyAlignment="1" applyProtection="1">
      <alignment horizontal="center" vertical="center"/>
    </xf>
    <xf numFmtId="164" fontId="2" fillId="2" borderId="12" xfId="5" applyNumberFormat="1" applyFont="1" applyFill="1" applyBorder="1" applyAlignment="1" applyProtection="1">
      <alignment horizontal="center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0"/>
  <sheetViews>
    <sheetView tabSelected="1" zoomScaleNormal="100" zoomScaleSheetLayoutView="100" workbookViewId="0">
      <selection activeCell="C40" sqref="C40"/>
    </sheetView>
  </sheetViews>
  <sheetFormatPr defaultColWidth="9.140625" defaultRowHeight="12.75" customHeight="1" x14ac:dyDescent="0.2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1" customWidth="1"/>
    <col min="11" max="11" width="18.140625" style="1" bestFit="1" customWidth="1"/>
    <col min="12" max="16384" width="9.140625" style="1"/>
  </cols>
  <sheetData>
    <row r="1" spans="1:15" ht="19.5" x14ac:dyDescent="0.25">
      <c r="A1" s="12"/>
      <c r="B1" s="12"/>
      <c r="C1" s="9"/>
      <c r="D1" s="9"/>
      <c r="E1" s="9"/>
      <c r="F1" s="9"/>
      <c r="G1" s="9"/>
      <c r="H1" s="9"/>
      <c r="I1" s="9"/>
      <c r="K1" s="9"/>
      <c r="L1" s="9"/>
      <c r="M1" s="9"/>
      <c r="N1" s="9"/>
      <c r="O1" s="9"/>
    </row>
    <row r="2" spans="1:15" ht="21" x14ac:dyDescent="0.25">
      <c r="A2" s="39" t="s">
        <v>37</v>
      </c>
      <c r="B2" s="40"/>
      <c r="C2" s="40"/>
      <c r="D2" s="40"/>
      <c r="E2" s="40"/>
      <c r="F2" s="40"/>
      <c r="G2" s="40"/>
      <c r="H2" s="40"/>
      <c r="I2" s="40"/>
      <c r="J2" s="40"/>
    </row>
    <row r="3" spans="1:15" ht="15" x14ac:dyDescent="0.25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</row>
    <row r="4" spans="1:15" ht="15" x14ac:dyDescent="0.25">
      <c r="A4" s="42" t="s">
        <v>4</v>
      </c>
      <c r="B4" s="43" t="s">
        <v>30</v>
      </c>
      <c r="C4" s="44" t="s">
        <v>34</v>
      </c>
      <c r="D4" s="45"/>
      <c r="E4" s="45"/>
      <c r="F4" s="46"/>
      <c r="G4" s="45" t="s">
        <v>35</v>
      </c>
      <c r="H4" s="45"/>
      <c r="I4" s="45"/>
      <c r="J4" s="37" t="s">
        <v>5</v>
      </c>
    </row>
    <row r="5" spans="1:15" s="16" customFormat="1" ht="15" x14ac:dyDescent="0.25">
      <c r="A5" s="47"/>
      <c r="B5" s="48"/>
      <c r="C5" s="13" t="s">
        <v>1</v>
      </c>
      <c r="D5" s="5" t="s">
        <v>31</v>
      </c>
      <c r="E5" s="5" t="s">
        <v>32</v>
      </c>
      <c r="F5" s="14" t="s">
        <v>33</v>
      </c>
      <c r="G5" s="15" t="s">
        <v>1</v>
      </c>
      <c r="H5" s="5" t="s">
        <v>31</v>
      </c>
      <c r="I5" s="36" t="s">
        <v>33</v>
      </c>
      <c r="J5" s="38"/>
    </row>
    <row r="6" spans="1:15" s="16" customFormat="1" ht="15.75" x14ac:dyDescent="0.4">
      <c r="A6" s="17" t="s">
        <v>1</v>
      </c>
      <c r="B6" s="8">
        <f t="shared" ref="B6:B18" si="0">SUM(C6+G6)</f>
        <v>18385</v>
      </c>
      <c r="C6" s="18">
        <f t="shared" ref="C6:C18" si="1">SUM(D6:F6)</f>
        <v>241</v>
      </c>
      <c r="D6" s="19">
        <f>SUM(D7:D18)</f>
        <v>38</v>
      </c>
      <c r="E6" s="19">
        <f>SUM(E7:E18)</f>
        <v>30</v>
      </c>
      <c r="F6" s="35">
        <f>SUM(F7:F18)</f>
        <v>173</v>
      </c>
      <c r="G6" s="7">
        <f t="shared" ref="G6:G18" si="2">SUM(H6:I6)</f>
        <v>18144</v>
      </c>
      <c r="H6" s="19">
        <f>SUM(H7:H18)</f>
        <v>3980</v>
      </c>
      <c r="I6" s="19">
        <f>SUM(I7:I18)</f>
        <v>14164</v>
      </c>
      <c r="J6" s="20" t="s">
        <v>0</v>
      </c>
    </row>
    <row r="7" spans="1:15" s="16" customFormat="1" ht="15.75" x14ac:dyDescent="0.4">
      <c r="A7" s="21" t="s">
        <v>6</v>
      </c>
      <c r="B7" s="22">
        <f t="shared" si="0"/>
        <v>2116</v>
      </c>
      <c r="C7" s="23">
        <f>SUM(D7:F7)</f>
        <v>40</v>
      </c>
      <c r="D7" s="31">
        <v>0</v>
      </c>
      <c r="E7" s="31">
        <v>8</v>
      </c>
      <c r="F7" s="33">
        <v>32</v>
      </c>
      <c r="G7" s="24">
        <f t="shared" si="2"/>
        <v>2076</v>
      </c>
      <c r="H7" s="31">
        <v>352</v>
      </c>
      <c r="I7" s="31">
        <v>1724</v>
      </c>
      <c r="J7" s="25" t="s">
        <v>7</v>
      </c>
    </row>
    <row r="8" spans="1:15" s="16" customFormat="1" ht="15.75" x14ac:dyDescent="0.4">
      <c r="A8" s="21" t="s">
        <v>8</v>
      </c>
      <c r="B8" s="22">
        <f t="shared" si="0"/>
        <v>2074</v>
      </c>
      <c r="C8" s="23">
        <f t="shared" si="1"/>
        <v>18</v>
      </c>
      <c r="D8" s="31">
        <v>0</v>
      </c>
      <c r="E8" s="31">
        <v>8</v>
      </c>
      <c r="F8" s="33">
        <v>10</v>
      </c>
      <c r="G8" s="24">
        <f t="shared" si="2"/>
        <v>2056</v>
      </c>
      <c r="H8" s="31">
        <v>334</v>
      </c>
      <c r="I8" s="31">
        <v>1722</v>
      </c>
      <c r="J8" s="25" t="s">
        <v>9</v>
      </c>
    </row>
    <row r="9" spans="1:15" s="16" customFormat="1" ht="15.75" x14ac:dyDescent="0.4">
      <c r="A9" s="21" t="s">
        <v>10</v>
      </c>
      <c r="B9" s="22">
        <f t="shared" si="0"/>
        <v>768</v>
      </c>
      <c r="C9" s="23">
        <f t="shared" si="1"/>
        <v>26</v>
      </c>
      <c r="D9" s="31">
        <v>0</v>
      </c>
      <c r="E9" s="31">
        <v>10</v>
      </c>
      <c r="F9" s="33">
        <v>16</v>
      </c>
      <c r="G9" s="24">
        <f t="shared" si="2"/>
        <v>742</v>
      </c>
      <c r="H9" s="31">
        <v>350</v>
      </c>
      <c r="I9" s="31">
        <v>392</v>
      </c>
      <c r="J9" s="25" t="s">
        <v>11</v>
      </c>
    </row>
    <row r="10" spans="1:15" s="16" customFormat="1" ht="15.75" x14ac:dyDescent="0.4">
      <c r="A10" s="21" t="s">
        <v>12</v>
      </c>
      <c r="B10" s="22">
        <f t="shared" si="0"/>
        <v>376</v>
      </c>
      <c r="C10" s="23">
        <f t="shared" si="1"/>
        <v>20</v>
      </c>
      <c r="D10" s="31">
        <v>0</v>
      </c>
      <c r="E10" s="31">
        <v>0</v>
      </c>
      <c r="F10" s="33">
        <v>20</v>
      </c>
      <c r="G10" s="24">
        <f t="shared" si="2"/>
        <v>356</v>
      </c>
      <c r="H10" s="31">
        <v>344</v>
      </c>
      <c r="I10" s="31">
        <v>12</v>
      </c>
      <c r="J10" s="25" t="s">
        <v>13</v>
      </c>
    </row>
    <row r="11" spans="1:15" s="16" customFormat="1" ht="15.75" x14ac:dyDescent="0.4">
      <c r="A11" s="21" t="s">
        <v>14</v>
      </c>
      <c r="B11" s="22">
        <f t="shared" si="0"/>
        <v>533</v>
      </c>
      <c r="C11" s="23">
        <f t="shared" si="1"/>
        <v>11</v>
      </c>
      <c r="D11" s="31">
        <v>0</v>
      </c>
      <c r="E11" s="31">
        <v>0</v>
      </c>
      <c r="F11" s="33">
        <v>11</v>
      </c>
      <c r="G11" s="24">
        <f t="shared" si="2"/>
        <v>522</v>
      </c>
      <c r="H11" s="31">
        <v>306</v>
      </c>
      <c r="I11" s="31">
        <v>216</v>
      </c>
      <c r="J11" s="25" t="s">
        <v>15</v>
      </c>
    </row>
    <row r="12" spans="1:15" s="16" customFormat="1" ht="15.75" x14ac:dyDescent="0.4">
      <c r="A12" s="21" t="s">
        <v>16</v>
      </c>
      <c r="B12" s="22">
        <f t="shared" si="0"/>
        <v>1934</v>
      </c>
      <c r="C12" s="23">
        <f t="shared" si="1"/>
        <v>20</v>
      </c>
      <c r="D12" s="31">
        <v>0</v>
      </c>
      <c r="E12" s="31">
        <v>0</v>
      </c>
      <c r="F12" s="33">
        <v>20</v>
      </c>
      <c r="G12" s="24">
        <f t="shared" si="2"/>
        <v>1914</v>
      </c>
      <c r="H12" s="31">
        <v>290</v>
      </c>
      <c r="I12" s="31">
        <v>1624</v>
      </c>
      <c r="J12" s="25" t="s">
        <v>17</v>
      </c>
    </row>
    <row r="13" spans="1:15" s="16" customFormat="1" ht="15.75" x14ac:dyDescent="0.4">
      <c r="A13" s="21" t="s">
        <v>18</v>
      </c>
      <c r="B13" s="22">
        <f t="shared" si="0"/>
        <v>1706</v>
      </c>
      <c r="C13" s="23">
        <f t="shared" si="1"/>
        <v>12</v>
      </c>
      <c r="D13" s="31">
        <v>0</v>
      </c>
      <c r="E13" s="31">
        <v>0</v>
      </c>
      <c r="F13" s="33">
        <v>12</v>
      </c>
      <c r="G13" s="24">
        <f t="shared" si="2"/>
        <v>1694</v>
      </c>
      <c r="H13" s="31">
        <v>350</v>
      </c>
      <c r="I13" s="31">
        <v>1344</v>
      </c>
      <c r="J13" s="25" t="s">
        <v>19</v>
      </c>
    </row>
    <row r="14" spans="1:15" s="16" customFormat="1" ht="15.75" x14ac:dyDescent="0.4">
      <c r="A14" s="21" t="s">
        <v>20</v>
      </c>
      <c r="B14" s="22">
        <f t="shared" si="0"/>
        <v>1817</v>
      </c>
      <c r="C14" s="23">
        <f t="shared" si="1"/>
        <v>9</v>
      </c>
      <c r="D14" s="31">
        <v>0</v>
      </c>
      <c r="E14" s="31">
        <v>0</v>
      </c>
      <c r="F14" s="33">
        <v>9</v>
      </c>
      <c r="G14" s="24">
        <f t="shared" si="2"/>
        <v>1808</v>
      </c>
      <c r="H14" s="31">
        <v>330</v>
      </c>
      <c r="I14" s="31">
        <v>1478</v>
      </c>
      <c r="J14" s="25" t="s">
        <v>21</v>
      </c>
    </row>
    <row r="15" spans="1:15" s="16" customFormat="1" ht="15.75" x14ac:dyDescent="0.4">
      <c r="A15" s="21" t="s">
        <v>22</v>
      </c>
      <c r="B15" s="22">
        <f t="shared" si="0"/>
        <v>1669</v>
      </c>
      <c r="C15" s="23">
        <f t="shared" si="1"/>
        <v>9</v>
      </c>
      <c r="D15" s="31">
        <v>0</v>
      </c>
      <c r="E15" s="31">
        <v>0</v>
      </c>
      <c r="F15" s="33">
        <v>9</v>
      </c>
      <c r="G15" s="24">
        <f t="shared" si="2"/>
        <v>1660</v>
      </c>
      <c r="H15" s="31">
        <v>326</v>
      </c>
      <c r="I15" s="31">
        <v>1334</v>
      </c>
      <c r="J15" s="25" t="s">
        <v>23</v>
      </c>
    </row>
    <row r="16" spans="1:15" s="16" customFormat="1" ht="15.75" x14ac:dyDescent="0.4">
      <c r="A16" s="21" t="s">
        <v>24</v>
      </c>
      <c r="B16" s="22">
        <f t="shared" si="0"/>
        <v>1855</v>
      </c>
      <c r="C16" s="23">
        <f t="shared" si="1"/>
        <v>5</v>
      </c>
      <c r="D16" s="31">
        <v>0</v>
      </c>
      <c r="E16" s="31">
        <v>0</v>
      </c>
      <c r="F16" s="33">
        <v>5</v>
      </c>
      <c r="G16" s="24">
        <f t="shared" si="2"/>
        <v>1850</v>
      </c>
      <c r="H16" s="31">
        <v>322</v>
      </c>
      <c r="I16" s="31">
        <v>1528</v>
      </c>
      <c r="J16" s="25" t="s">
        <v>25</v>
      </c>
    </row>
    <row r="17" spans="1:28" s="16" customFormat="1" ht="15.75" x14ac:dyDescent="0.4">
      <c r="A17" s="21" t="s">
        <v>26</v>
      </c>
      <c r="B17" s="22">
        <f t="shared" si="0"/>
        <v>1727</v>
      </c>
      <c r="C17" s="23">
        <f t="shared" si="1"/>
        <v>3</v>
      </c>
      <c r="D17" s="31">
        <v>0</v>
      </c>
      <c r="E17" s="31">
        <v>0</v>
      </c>
      <c r="F17" s="33">
        <v>3</v>
      </c>
      <c r="G17" s="24">
        <f t="shared" si="2"/>
        <v>1724</v>
      </c>
      <c r="H17" s="31">
        <v>330</v>
      </c>
      <c r="I17" s="31">
        <v>1394</v>
      </c>
      <c r="J17" s="25" t="s">
        <v>27</v>
      </c>
    </row>
    <row r="18" spans="1:28" s="16" customFormat="1" ht="15.75" x14ac:dyDescent="0.4">
      <c r="A18" s="26" t="s">
        <v>28</v>
      </c>
      <c r="B18" s="27">
        <f t="shared" si="0"/>
        <v>1810</v>
      </c>
      <c r="C18" s="28">
        <f t="shared" si="1"/>
        <v>68</v>
      </c>
      <c r="D18" s="32">
        <v>38</v>
      </c>
      <c r="E18" s="32">
        <v>4</v>
      </c>
      <c r="F18" s="34">
        <v>26</v>
      </c>
      <c r="G18" s="29">
        <f t="shared" si="2"/>
        <v>1742</v>
      </c>
      <c r="H18" s="32">
        <v>346</v>
      </c>
      <c r="I18" s="32">
        <v>1396</v>
      </c>
      <c r="J18" s="30" t="s">
        <v>29</v>
      </c>
    </row>
    <row r="19" spans="1:28" ht="18.75" x14ac:dyDescent="0.25">
      <c r="A19" s="3" t="s">
        <v>2</v>
      </c>
      <c r="B19" s="2"/>
      <c r="C19" s="10"/>
      <c r="D19" s="10"/>
      <c r="E19" s="10"/>
      <c r="F19" s="10"/>
      <c r="G19" s="10"/>
      <c r="H19" s="11"/>
      <c r="J19" s="4" t="s">
        <v>3</v>
      </c>
    </row>
    <row r="20" spans="1:28" ht="15" x14ac:dyDescent="0.25">
      <c r="AA20" s="6"/>
      <c r="AB20" s="6"/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paperSize="9" scale="10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11.18 </vt:lpstr>
      <vt:lpstr>' 11.18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2017-07-05T08:48:50Z</cp:lastPrinted>
  <dcterms:created xsi:type="dcterms:W3CDTF">2014-05-22T03:57:11Z</dcterms:created>
  <dcterms:modified xsi:type="dcterms:W3CDTF">2017-07-05T08:49:05Z</dcterms:modified>
</cp:coreProperties>
</file>