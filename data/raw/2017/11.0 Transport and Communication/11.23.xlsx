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 11.23" sheetId="14" r:id="rId1"/>
  </sheets>
  <externalReferences>
    <externalReference r:id="rId2"/>
    <externalReference r:id="rId3"/>
  </externalReferences>
  <definedNames>
    <definedName name="_xlnm.Print_Area" localSheetId="0">' 11.23'!$A$1:$G$22</definedName>
  </definedNames>
  <calcPr calcId="144525"/>
</workbook>
</file>

<file path=xl/calcChain.xml><?xml version="1.0" encoding="utf-8"?>
<calcChain xmlns="http://schemas.openxmlformats.org/spreadsheetml/2006/main">
  <c r="B19" i="14" l="1"/>
  <c r="B18" i="14"/>
  <c r="B17" i="14"/>
  <c r="B16" i="14"/>
  <c r="B15" i="14"/>
  <c r="B14" i="14"/>
  <c r="B13" i="14"/>
  <c r="B12" i="14"/>
  <c r="B11" i="14"/>
  <c r="B10" i="14"/>
  <c r="B9" i="14"/>
  <c r="B8" i="14"/>
  <c r="F7" i="14"/>
  <c r="E7" i="14"/>
  <c r="D7" i="14"/>
  <c r="C7" i="14"/>
  <c r="B7" i="14" l="1"/>
</calcChain>
</file>

<file path=xl/sharedStrings.xml><?xml version="1.0" encoding="utf-8"?>
<sst xmlns="http://schemas.openxmlformats.org/spreadsheetml/2006/main" count="40" uniqueCount="38">
  <si>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</si>
  <si>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</si>
  <si>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</si>
  <si>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</si>
  <si>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</si>
  <si>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</si>
  <si>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</si>
  <si>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</si>
  <si>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</si>
  <si>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</si>
  <si>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</si>
  <si>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</si>
  <si>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</si>
  <si>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</si>
  <si>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</si>
  <si>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</si>
  <si>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</si>
  <si>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</si>
  <si>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</si>
  <si>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</si>
  <si>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</si>
  <si>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</si>
  <si>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</si>
  <si>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</si>
  <si>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</si>
  <si>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</si>
  <si>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</si>
  <si>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</si>
  <si>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</si>
  <si>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</si>
  <si>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</si>
  <si>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</si>
  <si>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Inward</t>
  </si>
  <si>
    <t>Outward</t>
  </si>
  <si>
    <t xml:space="preserve"> Total </t>
  </si>
  <si>
    <t xml:space="preserve">(in Kg) </t>
  </si>
  <si>
    <t>Table  11.23 :  MAIL HANDLED AT IBRAHIM NASIR INTERNATIONAL AIRPORT  BY MONTH, 2016</t>
  </si>
  <si>
    <t>ތާވަލު 11.23: މަސްމަހުގެ ގޮތުން އިބްރާހީމް ނާސިރު އިންޓަރނޭޝަނަލް އެއަރޕޯޓުން އުފުލުނު މެއިލް،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</si>
</sst>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General_)"/>
    <numFmt numFmtId="165" formatCode="0.0"/>
    <numFmt numFmtId="166" formatCode="_(* #,##0_);_(* \(#,##0\);_(* &quot;-&quot;??_);_(@_)"/>
    <numFmt numFmtId="167" formatCode="[$-409]mmmm\ d\,\ yyyy;@"/>
    <numFmt numFmtId="168" formatCode="#,##0.0_);[Red]\(#,##0.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i/>
      <sz val="10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</borders>
  <cellStyleXfs count="1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7" fillId="0" borderId="0"/>
    <xf numFmtId="164" fontId="13" fillId="0" borderId="0"/>
    <xf numFmtId="40" fontId="16" fillId="0" borderId="0" applyFont="0" applyFill="0" applyBorder="0" applyAlignment="0" applyProtection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17" fillId="0" borderId="0"/>
    <xf numFmtId="164" fontId="13" fillId="0" borderId="0"/>
    <xf numFmtId="167" fontId="13" fillId="0" borderId="0" applyFont="0" applyFill="0" applyBorder="0" applyAlignment="0" applyProtection="0"/>
    <xf numFmtId="0" fontId="20" fillId="0" borderId="0"/>
    <xf numFmtId="0" fontId="7" fillId="0" borderId="0"/>
  </cellStyleXfs>
  <cellXfs count="54">
    <xf numFmtId="0" fontId="0" fillId="0" borderId="0" xfId="0"/>
    <xf numFmtId="164" fontId="10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3" xfId="0" applyNumberFormat="1" applyFont="1" applyFill="1" applyBorder="1" applyAlignment="1">
      <alignment horizontal="right" vertical="center"/>
    </xf>
    <xf numFmtId="164" fontId="5" fillId="2" borderId="0" xfId="0" applyNumberFormat="1" applyFont="1" applyFill="1"/>
    <xf numFmtId="164" fontId="5" fillId="2" borderId="0" xfId="0" applyNumberFormat="1" applyFont="1" applyFill="1" applyBorder="1"/>
    <xf numFmtId="0" fontId="18" fillId="2" borderId="0" xfId="13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9" fillId="2" borderId="0" xfId="13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9" fillId="2" borderId="5" xfId="13" applyFont="1" applyFill="1" applyBorder="1" applyAlignment="1">
      <alignment horizontal="right"/>
    </xf>
    <xf numFmtId="164" fontId="2" fillId="2" borderId="4" xfId="5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/>
    <xf numFmtId="0" fontId="12" fillId="2" borderId="3" xfId="0" applyNumberFormat="1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 applyProtection="1">
      <alignment vertical="center"/>
    </xf>
    <xf numFmtId="164" fontId="12" fillId="2" borderId="0" xfId="0" applyNumberFormat="1" applyFont="1" applyFill="1" applyAlignment="1">
      <alignment vertical="center"/>
    </xf>
    <xf numFmtId="164" fontId="9" fillId="2" borderId="0" xfId="0" applyNumberFormat="1" applyFont="1" applyFill="1"/>
    <xf numFmtId="164" fontId="2" fillId="2" borderId="11" xfId="5" applyNumberFormat="1" applyFont="1" applyFill="1" applyBorder="1" applyAlignment="1" applyProtection="1">
      <alignment horizontal="right" vertical="center"/>
    </xf>
    <xf numFmtId="164" fontId="2" fillId="2" borderId="21" xfId="5" applyNumberFormat="1" applyFont="1" applyFill="1" applyBorder="1" applyAlignment="1" applyProtection="1">
      <alignment horizontal="right" vertical="center"/>
    </xf>
    <xf numFmtId="168" fontId="2" fillId="2" borderId="18" xfId="6" applyNumberFormat="1" applyFont="1" applyFill="1" applyBorder="1" applyAlignment="1" applyProtection="1">
      <alignment horizontal="right" vertical="center"/>
    </xf>
    <xf numFmtId="168" fontId="2" fillId="2" borderId="7" xfId="6" applyNumberFormat="1" applyFont="1" applyFill="1" applyBorder="1" applyAlignment="1" applyProtection="1">
      <alignment horizontal="right" vertical="center"/>
    </xf>
    <xf numFmtId="168" fontId="2" fillId="2" borderId="17" xfId="6" applyNumberFormat="1" applyFont="1" applyFill="1" applyBorder="1" applyAlignment="1" applyProtection="1">
      <alignment horizontal="right" vertical="center"/>
    </xf>
    <xf numFmtId="168" fontId="2" fillId="2" borderId="20" xfId="6" applyNumberFormat="1" applyFont="1" applyFill="1" applyBorder="1" applyAlignment="1" applyProtection="1">
      <alignment horizontal="right" vertical="center"/>
    </xf>
    <xf numFmtId="168" fontId="2" fillId="2" borderId="0" xfId="6" applyNumberFormat="1" applyFont="1" applyFill="1" applyBorder="1" applyAlignment="1" applyProtection="1">
      <alignment horizontal="right" vertical="center"/>
    </xf>
    <xf numFmtId="164" fontId="15" fillId="2" borderId="0" xfId="5" applyNumberFormat="1" applyFont="1" applyFill="1" applyBorder="1" applyAlignment="1">
      <alignment vertical="center"/>
    </xf>
    <xf numFmtId="0" fontId="7" fillId="2" borderId="0" xfId="14" applyFont="1" applyFill="1" applyAlignment="1">
      <alignment vertical="center"/>
    </xf>
    <xf numFmtId="168" fontId="3" fillId="2" borderId="0" xfId="6" applyNumberFormat="1" applyFont="1" applyFill="1" applyBorder="1" applyAlignment="1">
      <alignment horizontal="right"/>
    </xf>
    <xf numFmtId="168" fontId="3" fillId="2" borderId="10" xfId="6" applyNumberFormat="1" applyFont="1" applyFill="1" applyBorder="1" applyAlignment="1" applyProtection="1">
      <alignment horizontal="right" vertical="center"/>
      <protection locked="0"/>
    </xf>
    <xf numFmtId="168" fontId="3" fillId="2" borderId="0" xfId="6" applyNumberFormat="1" applyFont="1" applyFill="1" applyBorder="1" applyAlignment="1" applyProtection="1">
      <alignment horizontal="right" vertical="center"/>
      <protection locked="0"/>
    </xf>
    <xf numFmtId="168" fontId="2" fillId="2" borderId="6" xfId="6" applyNumberFormat="1" applyFont="1" applyFill="1" applyBorder="1" applyAlignment="1" applyProtection="1">
      <alignment horizontal="right" vertical="center"/>
    </xf>
    <xf numFmtId="168" fontId="3" fillId="2" borderId="1" xfId="6" applyNumberFormat="1" applyFont="1" applyFill="1" applyBorder="1" applyAlignment="1">
      <alignment horizontal="right"/>
    </xf>
    <xf numFmtId="168" fontId="3" fillId="2" borderId="8" xfId="6" applyNumberFormat="1" applyFont="1" applyFill="1" applyBorder="1" applyAlignment="1">
      <alignment horizontal="right"/>
    </xf>
    <xf numFmtId="168" fontId="3" fillId="2" borderId="12" xfId="6" applyNumberFormat="1" applyFont="1" applyFill="1" applyBorder="1" applyAlignment="1" applyProtection="1">
      <alignment horizontal="right" vertical="center"/>
      <protection locked="0"/>
    </xf>
    <xf numFmtId="168" fontId="3" fillId="2" borderId="8" xfId="6" applyNumberFormat="1" applyFont="1" applyFill="1" applyBorder="1" applyAlignment="1" applyProtection="1">
      <alignment horizontal="right" vertical="center"/>
      <protection locked="0"/>
    </xf>
    <xf numFmtId="168" fontId="2" fillId="2" borderId="22" xfId="6" applyNumberFormat="1" applyFont="1" applyFill="1" applyBorder="1" applyAlignment="1" applyProtection="1">
      <alignment horizontal="right" vertical="center"/>
    </xf>
    <xf numFmtId="168" fontId="3" fillId="2" borderId="2" xfId="6" applyNumberFormat="1" applyFont="1" applyFill="1" applyBorder="1" applyAlignment="1">
      <alignment horizontal="right"/>
    </xf>
    <xf numFmtId="168" fontId="3" fillId="2" borderId="16" xfId="6" applyNumberFormat="1" applyFont="1" applyFill="1" applyBorder="1" applyAlignment="1">
      <alignment horizontal="right"/>
    </xf>
    <xf numFmtId="168" fontId="3" fillId="2" borderId="23" xfId="6" applyNumberFormat="1" applyFont="1" applyFill="1" applyBorder="1" applyAlignment="1" applyProtection="1">
      <alignment horizontal="right" vertical="center"/>
      <protection locked="0"/>
    </xf>
    <xf numFmtId="168" fontId="3" fillId="2" borderId="16" xfId="6" applyNumberFormat="1" applyFont="1" applyFill="1" applyBorder="1" applyAlignment="1" applyProtection="1">
      <alignment horizontal="right" vertical="center"/>
      <protection locked="0"/>
    </xf>
    <xf numFmtId="168" fontId="2" fillId="2" borderId="19" xfId="6" applyNumberFormat="1" applyFont="1" applyFill="1" applyBorder="1" applyAlignment="1" applyProtection="1">
      <alignment horizontal="right" vertical="center"/>
    </xf>
    <xf numFmtId="168" fontId="3" fillId="2" borderId="13" xfId="6" applyNumberFormat="1" applyFont="1" applyFill="1" applyBorder="1" applyAlignment="1">
      <alignment horizontal="right"/>
    </xf>
    <xf numFmtId="168" fontId="3" fillId="2" borderId="14" xfId="6" applyNumberFormat="1" applyFont="1" applyFill="1" applyBorder="1" applyAlignment="1">
      <alignment horizontal="right"/>
    </xf>
    <xf numFmtId="168" fontId="3" fillId="2" borderId="15" xfId="6" applyNumberFormat="1" applyFont="1" applyFill="1" applyBorder="1" applyAlignment="1" applyProtection="1">
      <alignment horizontal="right" vertical="center"/>
    </xf>
    <xf numFmtId="168" fontId="3" fillId="2" borderId="14" xfId="6" applyNumberFormat="1" applyFont="1" applyFill="1" applyBorder="1" applyAlignment="1" applyProtection="1">
      <alignment horizontal="right" vertical="center"/>
    </xf>
    <xf numFmtId="164" fontId="8" fillId="2" borderId="4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 applyProtection="1">
      <alignment horizontal="right" vertical="center"/>
    </xf>
    <xf numFmtId="0" fontId="18" fillId="2" borderId="4" xfId="13" applyFont="1" applyFill="1" applyBorder="1" applyAlignment="1">
      <alignment horizontal="right" vertical="center"/>
    </xf>
    <xf numFmtId="0" fontId="18" fillId="2" borderId="5" xfId="13" applyFont="1" applyFill="1" applyBorder="1" applyAlignment="1">
      <alignment horizontal="right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164" fontId="14" fillId="2" borderId="0" xfId="0" applyNumberFormat="1" applyFont="1" applyFill="1" applyAlignment="1">
      <alignment horizontal="center"/>
    </xf>
    <xf numFmtId="164" fontId="4" fillId="2" borderId="0" xfId="5" applyNumberFormat="1" applyFont="1" applyFill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center" vertical="center" wrapText="1"/>
    </xf>
    <xf numFmtId="164" fontId="2" fillId="2" borderId="9" xfId="5" applyNumberFormat="1" applyFont="1" applyFill="1" applyBorder="1" applyAlignment="1" applyProtection="1">
      <alignment horizontal="center" vertical="center" wrapText="1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8 (Trans &amp; Comm)" xfId="14"/>
    <cellStyle name="Normal_X-5 (Electricity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I22"/>
  <sheetViews>
    <sheetView tabSelected="1" zoomScaleNormal="100" workbookViewId="0">
      <selection activeCell="J19" sqref="J19"/>
    </sheetView>
  </sheetViews>
  <sheetFormatPr defaultColWidth="9.140625" defaultRowHeight="15" x14ac:dyDescent="0.25"/>
  <cols>
    <col min="1" max="1" width="12.140625" style="4" customWidth="1"/>
    <col min="2" max="7" width="14.5703125" style="4" customWidth="1"/>
    <col min="8" max="8" width="9.140625" style="4"/>
    <col min="9" max="9" width="8.85546875" style="4" customWidth="1"/>
    <col min="10" max="16384" width="9.140625" style="4"/>
  </cols>
  <sheetData>
    <row r="2" spans="1:9" ht="23.25" customHeight="1" x14ac:dyDescent="0.55000000000000004">
      <c r="A2" s="50" t="s">
        <v>37</v>
      </c>
      <c r="B2" s="50"/>
      <c r="C2" s="50"/>
      <c r="D2" s="50"/>
      <c r="E2" s="50"/>
      <c r="F2" s="50"/>
      <c r="G2" s="50"/>
      <c r="H2" s="16"/>
      <c r="I2" s="14"/>
    </row>
    <row r="3" spans="1:9" ht="15" customHeight="1" x14ac:dyDescent="0.25">
      <c r="A3" s="51" t="s">
        <v>36</v>
      </c>
      <c r="B3" s="51"/>
      <c r="C3" s="51"/>
      <c r="D3" s="51"/>
      <c r="E3" s="51"/>
      <c r="F3" s="51"/>
      <c r="G3" s="51"/>
      <c r="H3" s="16"/>
      <c r="I3" s="14"/>
    </row>
    <row r="4" spans="1:9" x14ac:dyDescent="0.25">
      <c r="A4" s="49" t="s">
        <v>35</v>
      </c>
      <c r="B4" s="49"/>
      <c r="C4" s="49"/>
      <c r="D4" s="49"/>
      <c r="E4" s="49"/>
      <c r="F4" s="49"/>
      <c r="G4" s="49"/>
      <c r="H4" s="16"/>
      <c r="I4" s="14"/>
    </row>
    <row r="5" spans="1:9" x14ac:dyDescent="0.25">
      <c r="A5" s="44"/>
      <c r="B5" s="44"/>
      <c r="C5" s="52" t="s">
        <v>2</v>
      </c>
      <c r="D5" s="52"/>
      <c r="E5" s="53" t="s">
        <v>6</v>
      </c>
      <c r="F5" s="52"/>
      <c r="G5" s="47" t="s">
        <v>7</v>
      </c>
      <c r="H5" s="16"/>
      <c r="I5" s="14"/>
    </row>
    <row r="6" spans="1:9" x14ac:dyDescent="0.25">
      <c r="A6" s="45" t="s">
        <v>5</v>
      </c>
      <c r="B6" s="46" t="s">
        <v>34</v>
      </c>
      <c r="C6" s="17" t="s">
        <v>32</v>
      </c>
      <c r="D6" s="17" t="s">
        <v>33</v>
      </c>
      <c r="E6" s="18" t="s">
        <v>32</v>
      </c>
      <c r="F6" s="17" t="s">
        <v>33</v>
      </c>
      <c r="G6" s="48"/>
      <c r="H6" s="16"/>
      <c r="I6" s="14"/>
    </row>
    <row r="7" spans="1:9" ht="17.25" x14ac:dyDescent="0.4">
      <c r="A7" s="11" t="s">
        <v>1</v>
      </c>
      <c r="B7" s="19">
        <f t="shared" ref="B7:B19" si="0">SUM(C7:F7)</f>
        <v>383973.13999999996</v>
      </c>
      <c r="C7" s="20">
        <f>SUM(C8:C19)</f>
        <v>279188.93</v>
      </c>
      <c r="D7" s="21">
        <f>SUM(D8:D19)</f>
        <v>53253.91</v>
      </c>
      <c r="E7" s="22">
        <f>SUM(E8:E19)</f>
        <v>3618.12</v>
      </c>
      <c r="F7" s="21">
        <f>SUM(F8:F19)</f>
        <v>47912.180000000008</v>
      </c>
      <c r="G7" s="6" t="s">
        <v>0</v>
      </c>
      <c r="H7" s="16"/>
      <c r="I7" s="14"/>
    </row>
    <row r="8" spans="1:9" ht="17.25" x14ac:dyDescent="0.4">
      <c r="A8" s="7" t="s">
        <v>8</v>
      </c>
      <c r="B8" s="29">
        <f t="shared" si="0"/>
        <v>23598.859999999997</v>
      </c>
      <c r="C8" s="30">
        <v>19110.009999999998</v>
      </c>
      <c r="D8" s="31">
        <v>2093.3999999999996</v>
      </c>
      <c r="E8" s="32">
        <v>335.95</v>
      </c>
      <c r="F8" s="33">
        <v>2059.5</v>
      </c>
      <c r="G8" s="8" t="s">
        <v>9</v>
      </c>
      <c r="H8" s="16"/>
      <c r="I8" s="14"/>
    </row>
    <row r="9" spans="1:9" ht="17.25" x14ac:dyDescent="0.4">
      <c r="A9" s="7" t="s">
        <v>10</v>
      </c>
      <c r="B9" s="29">
        <f t="shared" si="0"/>
        <v>20181.939999999999</v>
      </c>
      <c r="C9" s="30">
        <v>14784.099999999999</v>
      </c>
      <c r="D9" s="31">
        <v>1885.6</v>
      </c>
      <c r="E9" s="32">
        <v>342.22</v>
      </c>
      <c r="F9" s="33">
        <v>3170.02</v>
      </c>
      <c r="G9" s="8" t="s">
        <v>11</v>
      </c>
      <c r="H9" s="16"/>
      <c r="I9" s="14"/>
    </row>
    <row r="10" spans="1:9" ht="17.25" x14ac:dyDescent="0.4">
      <c r="A10" s="7" t="s">
        <v>12</v>
      </c>
      <c r="B10" s="29">
        <f t="shared" si="0"/>
        <v>42615.489999999991</v>
      </c>
      <c r="C10" s="30">
        <v>37369.739999999991</v>
      </c>
      <c r="D10" s="31">
        <v>1292.3200000000002</v>
      </c>
      <c r="E10" s="32">
        <v>192.66</v>
      </c>
      <c r="F10" s="33">
        <v>3760.7700000000004</v>
      </c>
      <c r="G10" s="8" t="s">
        <v>13</v>
      </c>
      <c r="H10" s="16"/>
      <c r="I10" s="14"/>
    </row>
    <row r="11" spans="1:9" ht="17.25" x14ac:dyDescent="0.4">
      <c r="A11" s="7" t="s">
        <v>14</v>
      </c>
      <c r="B11" s="29">
        <f t="shared" si="0"/>
        <v>24764.170000000002</v>
      </c>
      <c r="C11" s="30">
        <v>18113.600000000002</v>
      </c>
      <c r="D11" s="31">
        <v>1396.3999999999999</v>
      </c>
      <c r="E11" s="32">
        <v>318.51</v>
      </c>
      <c r="F11" s="33">
        <v>4935.6600000000008</v>
      </c>
      <c r="G11" s="8" t="s">
        <v>15</v>
      </c>
      <c r="H11" s="16"/>
      <c r="I11" s="14"/>
    </row>
    <row r="12" spans="1:9" ht="17.25" x14ac:dyDescent="0.4">
      <c r="A12" s="7" t="s">
        <v>16</v>
      </c>
      <c r="B12" s="29">
        <f t="shared" si="0"/>
        <v>29199.199999999997</v>
      </c>
      <c r="C12" s="30">
        <v>23273.579999999998</v>
      </c>
      <c r="D12" s="31">
        <v>1411.1</v>
      </c>
      <c r="E12" s="32">
        <v>240.76999999999998</v>
      </c>
      <c r="F12" s="33">
        <v>4273.75</v>
      </c>
      <c r="G12" s="8" t="s">
        <v>17</v>
      </c>
      <c r="H12" s="16"/>
      <c r="I12" s="16"/>
    </row>
    <row r="13" spans="1:9" ht="17.25" x14ac:dyDescent="0.4">
      <c r="A13" s="7" t="s">
        <v>18</v>
      </c>
      <c r="B13" s="29">
        <f t="shared" si="0"/>
        <v>31405.15</v>
      </c>
      <c r="C13" s="30">
        <v>25548.940000000002</v>
      </c>
      <c r="D13" s="31">
        <v>1270.55</v>
      </c>
      <c r="E13" s="32">
        <v>285.89999999999998</v>
      </c>
      <c r="F13" s="33">
        <v>4299.76</v>
      </c>
      <c r="G13" s="8" t="s">
        <v>19</v>
      </c>
      <c r="H13" s="16"/>
      <c r="I13" s="16"/>
    </row>
    <row r="14" spans="1:9" ht="17.25" x14ac:dyDescent="0.4">
      <c r="A14" s="7" t="s">
        <v>20</v>
      </c>
      <c r="B14" s="29">
        <f t="shared" si="0"/>
        <v>26485.299999999996</v>
      </c>
      <c r="C14" s="30">
        <v>21772.859999999997</v>
      </c>
      <c r="D14" s="31">
        <v>892.8</v>
      </c>
      <c r="E14" s="32">
        <v>157.6</v>
      </c>
      <c r="F14" s="33">
        <v>3662.04</v>
      </c>
      <c r="G14" s="8" t="s">
        <v>21</v>
      </c>
      <c r="H14" s="16"/>
      <c r="I14" s="16"/>
    </row>
    <row r="15" spans="1:9" ht="17.25" x14ac:dyDescent="0.4">
      <c r="A15" s="7" t="s">
        <v>22</v>
      </c>
      <c r="B15" s="29">
        <f t="shared" si="0"/>
        <v>32238.909999999996</v>
      </c>
      <c r="C15" s="30">
        <v>25060.309999999998</v>
      </c>
      <c r="D15" s="31">
        <v>1277.3</v>
      </c>
      <c r="E15" s="32">
        <v>267</v>
      </c>
      <c r="F15" s="33">
        <v>5634.3</v>
      </c>
      <c r="G15" s="8" t="s">
        <v>23</v>
      </c>
      <c r="H15" s="16"/>
      <c r="I15" s="16"/>
    </row>
    <row r="16" spans="1:9" ht="17.25" x14ac:dyDescent="0.4">
      <c r="A16" s="7" t="s">
        <v>24</v>
      </c>
      <c r="B16" s="29">
        <f t="shared" si="0"/>
        <v>25586.559999999998</v>
      </c>
      <c r="C16" s="30">
        <v>20196.009999999998</v>
      </c>
      <c r="D16" s="31">
        <v>1123.1999999999998</v>
      </c>
      <c r="E16" s="32">
        <v>384.09999999999997</v>
      </c>
      <c r="F16" s="33">
        <v>3883.25</v>
      </c>
      <c r="G16" s="8" t="s">
        <v>25</v>
      </c>
      <c r="H16" s="16"/>
      <c r="I16" s="16"/>
    </row>
    <row r="17" spans="1:9" ht="17.25" x14ac:dyDescent="0.4">
      <c r="A17" s="7" t="s">
        <v>26</v>
      </c>
      <c r="B17" s="34">
        <f t="shared" si="0"/>
        <v>23992.05</v>
      </c>
      <c r="C17" s="35">
        <v>18520.11</v>
      </c>
      <c r="D17" s="36">
        <v>1199.94</v>
      </c>
      <c r="E17" s="37">
        <v>202.10000000000002</v>
      </c>
      <c r="F17" s="38">
        <v>4069.9</v>
      </c>
      <c r="G17" s="8" t="s">
        <v>27</v>
      </c>
      <c r="H17" s="16"/>
      <c r="I17" s="16"/>
    </row>
    <row r="18" spans="1:9" s="5" customFormat="1" ht="17.25" x14ac:dyDescent="0.4">
      <c r="A18" s="7" t="s">
        <v>28</v>
      </c>
      <c r="B18" s="23">
        <f t="shared" si="0"/>
        <v>39681.489999999991</v>
      </c>
      <c r="C18" s="26">
        <v>21727.249999999993</v>
      </c>
      <c r="D18" s="26">
        <v>13755.199999999999</v>
      </c>
      <c r="E18" s="27">
        <v>506.5</v>
      </c>
      <c r="F18" s="28">
        <v>3692.54</v>
      </c>
      <c r="G18" s="8" t="s">
        <v>29</v>
      </c>
      <c r="H18" s="12"/>
      <c r="I18" s="12"/>
    </row>
    <row r="19" spans="1:9" ht="17.25" x14ac:dyDescent="0.4">
      <c r="A19" s="9" t="s">
        <v>30</v>
      </c>
      <c r="B19" s="39">
        <f t="shared" si="0"/>
        <v>64224.020000000004</v>
      </c>
      <c r="C19" s="40">
        <v>33712.420000000006</v>
      </c>
      <c r="D19" s="41">
        <v>25656.100000000002</v>
      </c>
      <c r="E19" s="42">
        <v>384.81</v>
      </c>
      <c r="F19" s="43">
        <v>4470.6900000000005</v>
      </c>
      <c r="G19" s="10" t="s">
        <v>31</v>
      </c>
      <c r="H19" s="16"/>
      <c r="I19" s="16"/>
    </row>
    <row r="20" spans="1:9" ht="18.75" x14ac:dyDescent="0.25">
      <c r="A20" s="1" t="s">
        <v>3</v>
      </c>
      <c r="B20" s="1"/>
      <c r="C20" s="2"/>
      <c r="D20" s="2"/>
      <c r="E20" s="2"/>
      <c r="F20" s="3"/>
      <c r="G20" s="13" t="s">
        <v>4</v>
      </c>
      <c r="H20" s="16"/>
      <c r="I20" s="16"/>
    </row>
    <row r="21" spans="1:9" x14ac:dyDescent="0.25">
      <c r="A21" s="24"/>
      <c r="B21" s="25"/>
      <c r="C21" s="25"/>
      <c r="D21" s="25"/>
      <c r="E21" s="25"/>
      <c r="F21" s="25"/>
    </row>
    <row r="22" spans="1:9" ht="17.25" x14ac:dyDescent="0.25">
      <c r="A22" s="25"/>
      <c r="B22" s="25"/>
      <c r="C22" s="25"/>
      <c r="D22" s="25"/>
      <c r="E22" s="25"/>
      <c r="F22" s="25"/>
      <c r="G22" s="15"/>
    </row>
  </sheetData>
  <mergeCells count="6">
    <mergeCell ref="A2:G2"/>
    <mergeCell ref="A3:G3"/>
    <mergeCell ref="A4:G4"/>
    <mergeCell ref="C5:D5"/>
    <mergeCell ref="E5:F5"/>
    <mergeCell ref="G5:G6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11.23</vt:lpstr>
      <vt:lpstr>' 11.23'!Print_Area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2017-07-05T08:58:42Z</cp:lastPrinted>
  <dcterms:created xsi:type="dcterms:W3CDTF">2014-05-22T03:57:11Z</dcterms:created>
  <dcterms:modified xsi:type="dcterms:W3CDTF">2017-07-05T08:58:44Z</dcterms:modified>
</cp:coreProperties>
</file>