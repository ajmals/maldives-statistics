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30" yWindow="0" windowWidth="20730" windowHeight="11760" tabRatio="880"/>
  </bookViews>
  <sheets>
    <sheet name="7.9" sheetId="11" r:id="rId1"/>
  </sheets>
  <externalReferences>
    <externalReference r:id="rId2"/>
  </externalReferences>
  <definedNames>
    <definedName name="_xlnm.Print_Area" localSheetId="0">'7.9'!$A$1:$M$45</definedName>
  </definedNames>
  <calcPr calcId="144525"/>
</workbook>
</file>

<file path=xl/calcChain.xml><?xml version="1.0" encoding="utf-8"?>
<calcChain xmlns="http://schemas.openxmlformats.org/spreadsheetml/2006/main">
  <c r="D8" i="11" l="1"/>
  <c r="L8" i="11" s="1"/>
  <c r="D10" i="11"/>
  <c r="L10" i="11" s="1"/>
  <c r="D11" i="11"/>
  <c r="L11" i="11" s="1"/>
  <c r="D12" i="11"/>
  <c r="L12" i="11" s="1"/>
  <c r="D13" i="11"/>
  <c r="L13" i="11" s="1"/>
  <c r="D14" i="11"/>
  <c r="L14" i="11" s="1"/>
  <c r="D15" i="11"/>
  <c r="L15" i="11" s="1"/>
  <c r="D16" i="11"/>
  <c r="L16" i="11" s="1"/>
  <c r="D17" i="11"/>
  <c r="L17" i="11" s="1"/>
  <c r="D18" i="11"/>
  <c r="L18" i="11" s="1"/>
  <c r="D19" i="11"/>
  <c r="L19" i="11" s="1"/>
  <c r="D20" i="11"/>
  <c r="L20" i="11" s="1"/>
  <c r="D21" i="11"/>
  <c r="L21" i="11" s="1"/>
  <c r="D22" i="11"/>
  <c r="L22" i="11" s="1"/>
  <c r="D23" i="11"/>
  <c r="L23" i="11" s="1"/>
  <c r="D24" i="11"/>
  <c r="L24" i="11" s="1"/>
  <c r="D25" i="11"/>
  <c r="L25" i="11" s="1"/>
  <c r="D26" i="11"/>
  <c r="L26" i="11" s="1"/>
  <c r="D27" i="11"/>
  <c r="L27" i="11" s="1"/>
  <c r="D28" i="11"/>
  <c r="L28" i="11" s="1"/>
  <c r="D29" i="11"/>
  <c r="L29" i="11" s="1"/>
  <c r="C9" i="11"/>
  <c r="B9" i="11"/>
  <c r="H8" i="11"/>
  <c r="M8" i="11" s="1"/>
  <c r="H10" i="11"/>
  <c r="M10" i="11" s="1"/>
  <c r="H11" i="11"/>
  <c r="M11" i="11" s="1"/>
  <c r="H12" i="11"/>
  <c r="M12" i="11" s="1"/>
  <c r="H13" i="11"/>
  <c r="M13" i="11" s="1"/>
  <c r="H14" i="11"/>
  <c r="M14" i="11" s="1"/>
  <c r="H15" i="11"/>
  <c r="M15" i="11" s="1"/>
  <c r="H16" i="11"/>
  <c r="M16" i="11" s="1"/>
  <c r="H17" i="11"/>
  <c r="M17" i="11" s="1"/>
  <c r="H18" i="11"/>
  <c r="M18" i="11" s="1"/>
  <c r="H19" i="11"/>
  <c r="M19" i="11" s="1"/>
  <c r="H20" i="11"/>
  <c r="M20" i="11" s="1"/>
  <c r="H21" i="11"/>
  <c r="M21" i="11" s="1"/>
  <c r="H22" i="11"/>
  <c r="M22" i="11" s="1"/>
  <c r="H23" i="11"/>
  <c r="M23" i="11" s="1"/>
  <c r="H24" i="11"/>
  <c r="M24" i="11" s="1"/>
  <c r="H25" i="11"/>
  <c r="M25" i="11" s="1"/>
  <c r="H26" i="11"/>
  <c r="M26" i="11" s="1"/>
  <c r="H27" i="11"/>
  <c r="M27" i="11" s="1"/>
  <c r="H28" i="11"/>
  <c r="M28" i="11" s="1"/>
  <c r="H29" i="11"/>
  <c r="M29" i="11" s="1"/>
  <c r="G9" i="11"/>
  <c r="F9" i="11"/>
  <c r="D9" i="11" l="1"/>
  <c r="L9" i="11" s="1"/>
  <c r="H9" i="11"/>
  <c r="M9" i="11" s="1"/>
  <c r="B7" i="11" l="1"/>
  <c r="G7" i="11"/>
  <c r="F7" i="11"/>
  <c r="H7" i="11" s="1"/>
  <c r="C7" i="11"/>
  <c r="M7" i="11" l="1"/>
  <c r="D7" i="11"/>
  <c r="J7" i="11" s="1"/>
  <c r="K7" i="11" s="1"/>
  <c r="J14" i="11"/>
  <c r="K14" i="11" s="1"/>
  <c r="J18" i="11"/>
  <c r="J22" i="11"/>
  <c r="K22" i="11" s="1"/>
  <c r="J26" i="11"/>
  <c r="K26" i="11" s="1"/>
  <c r="J10" i="11"/>
  <c r="K10" i="11" s="1"/>
  <c r="J11" i="11"/>
  <c r="K11" i="11" s="1"/>
  <c r="J15" i="11"/>
  <c r="K15" i="11" s="1"/>
  <c r="J19" i="11"/>
  <c r="K19" i="11" s="1"/>
  <c r="J23" i="11"/>
  <c r="K23" i="11" s="1"/>
  <c r="J27" i="11"/>
  <c r="K27" i="11" s="1"/>
  <c r="J13" i="11"/>
  <c r="K13" i="11" s="1"/>
  <c r="J17" i="11"/>
  <c r="K17" i="11" s="1"/>
  <c r="J21" i="11"/>
  <c r="K21" i="11" s="1"/>
  <c r="J25" i="11"/>
  <c r="K25" i="11" s="1"/>
  <c r="J29" i="11"/>
  <c r="K29" i="11" s="1"/>
  <c r="J8" i="11"/>
  <c r="K8" i="11" s="1"/>
  <c r="J12" i="11"/>
  <c r="K12" i="11" s="1"/>
  <c r="J16" i="11"/>
  <c r="K16" i="11" s="1"/>
  <c r="J20" i="11"/>
  <c r="K20" i="11" s="1"/>
  <c r="J24" i="11"/>
  <c r="K24" i="11" s="1"/>
  <c r="J28" i="11"/>
  <c r="K28" i="11" s="1"/>
  <c r="K18" i="11"/>
  <c r="L7" i="11" l="1"/>
  <c r="J9" i="11"/>
  <c r="K9" i="11" s="1"/>
</calcChain>
</file>

<file path=xl/sharedStrings.xml><?xml version="1.0" encoding="utf-8"?>
<sst xmlns="http://schemas.openxmlformats.org/spreadsheetml/2006/main" count="45" uniqueCount="41">
  <si>
    <t>Male</t>
  </si>
  <si>
    <t>Female</t>
  </si>
  <si>
    <t>Republic</t>
  </si>
  <si>
    <t>Male'</t>
  </si>
  <si>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</si>
  <si>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</si>
  <si>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</si>
  <si>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</si>
  <si>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</si>
  <si>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</si>
  <si>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</si>
  <si>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</si>
  <si>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</si>
  <si>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</si>
  <si>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</si>
  <si>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</si>
  <si>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</si>
  <si>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</si>
  <si>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</si>
  <si>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</si>
  <si>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</si>
  <si>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</si>
  <si>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Locality</t>
  </si>
  <si>
    <t>Teachers</t>
  </si>
  <si>
    <t xml:space="preserve"> Teachers</t>
  </si>
  <si>
    <t xml:space="preserve">Total </t>
  </si>
  <si>
    <t xml:space="preserve">Trained </t>
  </si>
  <si>
    <t xml:space="preserve">Untrained </t>
  </si>
  <si>
    <t>Total Male</t>
  </si>
  <si>
    <t>Total Female</t>
  </si>
  <si>
    <t>Female as a</t>
  </si>
  <si>
    <t xml:space="preserve"> % of total</t>
  </si>
  <si>
    <t>HA</t>
  </si>
  <si>
    <t>HDh</t>
  </si>
  <si>
    <t>Sh</t>
  </si>
  <si>
    <t>R</t>
  </si>
  <si>
    <t>Females</t>
  </si>
  <si>
    <t>Males</t>
  </si>
  <si>
    <t>% share of untrained</t>
  </si>
  <si>
    <t xml:space="preserve"> ތާވަލް 7.9: މާލެ އާއި އަތޮޅުތަކުގެ މަދަރުސާތަކުގައި ހަރަކާތްތެރިވާ މުދައްރިސުން، ޖިންސް ވަކިން، 2016</t>
  </si>
  <si>
    <t>Table 7.9: TEACHERS SERVING IN SCHOOLS OF MALE' AND ATOLLS BY LOCALITY AND SEX,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</si>
</sst>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Faruma"/>
    </font>
    <font>
      <sz val="9"/>
      <color theme="1"/>
      <name val="A_Randhoo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62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6" fontId="2" fillId="0" borderId="0"/>
    <xf numFmtId="40" fontId="14" fillId="0" borderId="0" applyFont="0" applyFill="0" applyBorder="0" applyAlignment="0" applyProtection="0"/>
    <xf numFmtId="164" fontId="2" fillId="0" borderId="0"/>
    <xf numFmtId="0" fontId="1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17" fillId="0" borderId="0"/>
    <xf numFmtId="171" fontId="2" fillId="0" borderId="0"/>
    <xf numFmtId="0" fontId="14" fillId="0" borderId="0"/>
    <xf numFmtId="0" fontId="14" fillId="0" borderId="0"/>
    <xf numFmtId="171" fontId="2" fillId="0" borderId="0"/>
    <xf numFmtId="0" fontId="14" fillId="0" borderId="0"/>
    <xf numFmtId="0" fontId="14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14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60">
    <xf numFmtId="0" fontId="0" fillId="0" borderId="0" xfId="0"/>
    <xf numFmtId="165" fontId="12" fillId="2" borderId="0" xfId="0" applyNumberFormat="1" applyFont="1" applyFill="1" applyAlignment="1">
      <alignment vertical="center"/>
    </xf>
    <xf numFmtId="165" fontId="0" fillId="2" borderId="0" xfId="0" applyNumberFormat="1" applyFont="1" applyFill="1" applyAlignment="1">
      <alignment horizontal="center" vertical="center"/>
    </xf>
    <xf numFmtId="165" fontId="11" fillId="2" borderId="0" xfId="0" applyNumberFormat="1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165" fontId="0" fillId="2" borderId="0" xfId="0" applyNumberFormat="1" applyFont="1" applyFill="1" applyBorder="1" applyAlignment="1">
      <alignment horizontal="center" vertical="center"/>
    </xf>
    <xf numFmtId="165" fontId="10" fillId="2" borderId="2" xfId="0" applyNumberFormat="1" applyFont="1" applyFill="1" applyBorder="1" applyAlignment="1">
      <alignment horizontal="left" vertical="center"/>
    </xf>
    <xf numFmtId="165" fontId="9" fillId="2" borderId="10" xfId="0" applyNumberFormat="1" applyFont="1" applyFill="1" applyBorder="1" applyAlignment="1">
      <alignment horizontal="center" vertical="center"/>
    </xf>
    <xf numFmtId="165" fontId="11" fillId="2" borderId="10" xfId="0" applyNumberFormat="1" applyFont="1" applyFill="1" applyBorder="1" applyAlignment="1">
      <alignment horizontal="center" vertical="center"/>
    </xf>
    <xf numFmtId="165" fontId="10" fillId="2" borderId="0" xfId="0" applyNumberFormat="1" applyFont="1" applyFill="1" applyAlignment="1">
      <alignment horizontal="center" vertical="center"/>
    </xf>
    <xf numFmtId="165" fontId="11" fillId="2" borderId="0" xfId="0" applyNumberFormat="1" applyFont="1" applyFill="1" applyBorder="1" applyAlignment="1">
      <alignment horizontal="right" vertical="center"/>
    </xf>
    <xf numFmtId="165" fontId="11" fillId="2" borderId="9" xfId="0" applyNumberFormat="1" applyFont="1" applyFill="1" applyBorder="1" applyAlignment="1">
      <alignment horizontal="right" vertical="center"/>
    </xf>
    <xf numFmtId="165" fontId="9" fillId="2" borderId="1" xfId="0" applyNumberFormat="1" applyFont="1" applyFill="1" applyBorder="1" applyAlignment="1" applyProtection="1">
      <alignment horizontal="left" vertical="center"/>
    </xf>
    <xf numFmtId="165" fontId="11" fillId="2" borderId="1" xfId="0" applyNumberFormat="1" applyFont="1" applyFill="1" applyBorder="1" applyAlignment="1">
      <alignment horizontal="right" vertical="center"/>
    </xf>
    <xf numFmtId="165" fontId="11" fillId="2" borderId="5" xfId="0" applyNumberFormat="1" applyFont="1" applyFill="1" applyBorder="1" applyAlignment="1">
      <alignment horizontal="right" vertical="center"/>
    </xf>
    <xf numFmtId="165" fontId="11" fillId="2" borderId="5" xfId="0" applyNumberFormat="1" applyFont="1" applyFill="1" applyBorder="1" applyAlignment="1">
      <alignment horizontal="center" vertical="center"/>
    </xf>
    <xf numFmtId="165" fontId="7" fillId="2" borderId="0" xfId="0" applyNumberFormat="1" applyFont="1" applyFill="1" applyAlignment="1" applyProtection="1">
      <alignment horizontal="left" vertical="center"/>
    </xf>
    <xf numFmtId="165" fontId="10" fillId="2" borderId="0" xfId="0" applyNumberFormat="1" applyFont="1" applyFill="1" applyAlignment="1">
      <alignment horizontal="right" vertical="center"/>
    </xf>
    <xf numFmtId="165" fontId="13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 applyProtection="1">
      <alignment horizontal="left" vertical="center"/>
    </xf>
    <xf numFmtId="165" fontId="0" fillId="2" borderId="0" xfId="0" applyNumberFormat="1" applyFont="1" applyFill="1" applyAlignment="1">
      <alignment horizontal="right" vertical="center"/>
    </xf>
    <xf numFmtId="165" fontId="0" fillId="2" borderId="0" xfId="0" applyNumberFormat="1" applyFont="1" applyFill="1" applyBorder="1" applyAlignment="1">
      <alignment horizontal="left" vertical="center"/>
    </xf>
    <xf numFmtId="165" fontId="0" fillId="2" borderId="0" xfId="0" applyNumberFormat="1" applyFont="1" applyFill="1" applyAlignment="1">
      <alignment horizontal="left" vertical="center"/>
    </xf>
    <xf numFmtId="165" fontId="10" fillId="2" borderId="0" xfId="0" applyNumberFormat="1" applyFont="1" applyFill="1" applyAlignment="1" applyProtection="1">
      <alignment horizontal="left" vertical="center"/>
    </xf>
    <xf numFmtId="165" fontId="10" fillId="2" borderId="0" xfId="0" applyNumberFormat="1" applyFont="1" applyFill="1" applyBorder="1" applyAlignment="1" applyProtection="1">
      <alignment horizontal="left" vertical="center"/>
    </xf>
    <xf numFmtId="165" fontId="10" fillId="2" borderId="1" xfId="0" applyNumberFormat="1" applyFont="1" applyFill="1" applyBorder="1" applyAlignment="1" applyProtection="1">
      <alignment horizontal="left" vertical="center"/>
    </xf>
    <xf numFmtId="3" fontId="3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3" fontId="4" fillId="2" borderId="1" xfId="0" applyNumberFormat="1" applyFont="1" applyFill="1" applyBorder="1" applyAlignment="1">
      <alignment horizontal="right" vertical="center"/>
    </xf>
    <xf numFmtId="165" fontId="11" fillId="2" borderId="0" xfId="0" applyNumberFormat="1" applyFont="1" applyFill="1" applyAlignment="1" applyProtection="1">
      <alignment horizontal="left" vertical="center"/>
    </xf>
    <xf numFmtId="3" fontId="3" fillId="2" borderId="2" xfId="0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165" fontId="10" fillId="2" borderId="7" xfId="0" applyNumberFormat="1" applyFont="1" applyFill="1" applyBorder="1" applyAlignment="1">
      <alignment horizontal="center" vertical="center"/>
    </xf>
    <xf numFmtId="3" fontId="11" fillId="2" borderId="2" xfId="0" applyNumberFormat="1" applyFont="1" applyFill="1" applyBorder="1"/>
    <xf numFmtId="3" fontId="3" fillId="2" borderId="8" xfId="0" applyNumberFormat="1" applyFont="1" applyFill="1" applyBorder="1" applyAlignment="1">
      <alignment horizontal="right" vertical="center"/>
    </xf>
    <xf numFmtId="165" fontId="10" fillId="2" borderId="9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/>
    <xf numFmtId="3" fontId="4" fillId="2" borderId="8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/>
    <xf numFmtId="3" fontId="3" fillId="2" borderId="1" xfId="0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>
      <alignment horizontal="right" vertical="center"/>
    </xf>
    <xf numFmtId="165" fontId="10" fillId="2" borderId="5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/>
    <xf numFmtId="3" fontId="0" fillId="2" borderId="8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2" borderId="15" xfId="0" applyNumberFormat="1" applyFont="1" applyFill="1" applyBorder="1" applyAlignment="1">
      <alignment horizontal="right" vertical="center"/>
    </xf>
    <xf numFmtId="3" fontId="0" fillId="2" borderId="14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right" vertical="center" indent="2"/>
    </xf>
    <xf numFmtId="3" fontId="4" fillId="2" borderId="0" xfId="0" applyNumberFormat="1" applyFont="1" applyFill="1" applyAlignment="1">
      <alignment horizontal="right" vertical="center" indent="2"/>
    </xf>
    <xf numFmtId="3" fontId="4" fillId="2" borderId="1" xfId="0" applyNumberFormat="1" applyFont="1" applyFill="1" applyBorder="1" applyAlignment="1">
      <alignment horizontal="right" vertical="center" indent="2"/>
    </xf>
    <xf numFmtId="166" fontId="3" fillId="2" borderId="0" xfId="1" applyNumberFormat="1" applyFont="1" applyFill="1" applyBorder="1" applyAlignment="1">
      <alignment horizontal="right" vertical="center"/>
    </xf>
    <xf numFmtId="166" fontId="0" fillId="2" borderId="0" xfId="1" applyNumberFormat="1" applyFont="1" applyFill="1" applyBorder="1" applyAlignment="1">
      <alignment horizontal="center" vertical="center"/>
    </xf>
    <xf numFmtId="165" fontId="11" fillId="2" borderId="13" xfId="0" applyNumberFormat="1" applyFont="1" applyFill="1" applyBorder="1" applyAlignment="1">
      <alignment horizontal="center" vertical="center"/>
    </xf>
    <xf numFmtId="165" fontId="11" fillId="2" borderId="3" xfId="0" applyNumberFormat="1" applyFont="1" applyFill="1" applyBorder="1" applyAlignment="1">
      <alignment horizontal="center" vertical="center"/>
    </xf>
    <xf numFmtId="165" fontId="11" fillId="2" borderId="12" xfId="0" applyNumberFormat="1" applyFont="1" applyFill="1" applyBorder="1" applyAlignment="1">
      <alignment horizontal="right" vertical="center"/>
    </xf>
    <xf numFmtId="165" fontId="11" fillId="2" borderId="15" xfId="0" applyNumberFormat="1" applyFont="1" applyFill="1" applyBorder="1" applyAlignment="1">
      <alignment horizontal="right" vertical="center"/>
    </xf>
    <xf numFmtId="165" fontId="11" fillId="2" borderId="11" xfId="0" applyNumberFormat="1" applyFont="1" applyFill="1" applyBorder="1" applyAlignment="1">
      <alignment horizontal="right" vertical="center"/>
    </xf>
    <xf numFmtId="165" fontId="11" fillId="2" borderId="14" xfId="0" applyNumberFormat="1" applyFont="1" applyFill="1" applyBorder="1" applyAlignment="1">
      <alignment horizontal="right" vertical="center"/>
    </xf>
    <xf numFmtId="165" fontId="12" fillId="2" borderId="0" xfId="0" applyNumberFormat="1" applyFont="1" applyFill="1" applyAlignment="1">
      <alignment horizontal="center"/>
    </xf>
    <xf numFmtId="165" fontId="6" fillId="2" borderId="0" xfId="0" applyNumberFormat="1" applyFont="1" applyFill="1" applyBorder="1" applyAlignment="1">
      <alignment horizontal="center" vertical="top"/>
    </xf>
  </cellXfs>
  <cellStyles count="162">
    <cellStyle name="1" xfId="139"/>
    <cellStyle name="Comma" xfId="1" builtinId="3"/>
    <cellStyle name="Comma 2" xfId="6"/>
    <cellStyle name="Comma 3" xfId="9"/>
    <cellStyle name="Comma 3 2" xfId="157"/>
    <cellStyle name="Normal" xfId="0" builtinId="0"/>
    <cellStyle name="Normal - Style1" xfId="144"/>
    <cellStyle name="Normal 10" xfId="19"/>
    <cellStyle name="Normal 10 2" xfId="33"/>
    <cellStyle name="Normal 105 2" xfId="125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45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43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46"/>
    <cellStyle name="Normal 2 4" xfId="98"/>
    <cellStyle name="Normal 2 4 2" xfId="147"/>
    <cellStyle name="Normal 2 5" xfId="99"/>
    <cellStyle name="Normal 2 5 2" xfId="158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4" xfId="132"/>
    <cellStyle name="Normal 25" xfId="14"/>
    <cellStyle name="Normal 25 2" xfId="126"/>
    <cellStyle name="Normal 26" xfId="119"/>
    <cellStyle name="Normal 26 2" xfId="136"/>
    <cellStyle name="Normal 27" xfId="117"/>
    <cellStyle name="Normal 27 2" xfId="135"/>
    <cellStyle name="Normal 28" xfId="120"/>
    <cellStyle name="Normal 28 2" xfId="129"/>
    <cellStyle name="Normal 29" xfId="127"/>
    <cellStyle name="Normal 3" xfId="8"/>
    <cellStyle name="Normal 3 11" xfId="123"/>
    <cellStyle name="Normal 3 12" xfId="121"/>
    <cellStyle name="Normal 3 13" xfId="122"/>
    <cellStyle name="Normal 3 14" xfId="124"/>
    <cellStyle name="Normal 3 2" xfId="109"/>
    <cellStyle name="Normal 3 2 2" xfId="149"/>
    <cellStyle name="Normal 3 3" xfId="110"/>
    <cellStyle name="Normal 3 3 2" xfId="150"/>
    <cellStyle name="Normal 3 4" xfId="148"/>
    <cellStyle name="Normal 30" xfId="134"/>
    <cellStyle name="Normal 31" xfId="131"/>
    <cellStyle name="Normal 32" xfId="128"/>
    <cellStyle name="Normal 33" xfId="138"/>
    <cellStyle name="Normal 34" xfId="130"/>
    <cellStyle name="Normal 35" xfId="137"/>
    <cellStyle name="Normal 4" xfId="15"/>
    <cellStyle name="Normal 4 2" xfId="111"/>
    <cellStyle name="Normal 4 3" xfId="118"/>
    <cellStyle name="Normal 4 3 2" xfId="151"/>
    <cellStyle name="Normal 5" xfId="22"/>
    <cellStyle name="Normal 5 2" xfId="112"/>
    <cellStyle name="Normal 5 3" xfId="152"/>
    <cellStyle name="Normal 6" xfId="3"/>
    <cellStyle name="Normal 6 2" xfId="133"/>
    <cellStyle name="Normal 6 2 2" xfId="153"/>
    <cellStyle name="Normal 6 3" xfId="116"/>
    <cellStyle name="Normal 6 3 2" xfId="159"/>
    <cellStyle name="Normal 6 4" xfId="141"/>
    <cellStyle name="Normal 7" xfId="2"/>
    <cellStyle name="Normal 7 2" xfId="113"/>
    <cellStyle name="Normal 7 2 2" xfId="154"/>
    <cellStyle name="Normal 7 3" xfId="16"/>
    <cellStyle name="Normal 7 3 2" xfId="160"/>
    <cellStyle name="Normal 7 4" xfId="140"/>
    <cellStyle name="Normal 8" xfId="5"/>
    <cellStyle name="Normal 8 2" xfId="7"/>
    <cellStyle name="Normal 8 2 2" xfId="114"/>
    <cellStyle name="Normal 8 2 3" xfId="155"/>
    <cellStyle name="Normal 8 3" xfId="17"/>
    <cellStyle name="Normal 8 3 2" xfId="161"/>
    <cellStyle name="Normal 8 4" xfId="142"/>
    <cellStyle name="Normal 9" xfId="18"/>
    <cellStyle name="Normal 9 2" xfId="115"/>
    <cellStyle name="Normal 9 3" xfId="156"/>
    <cellStyle name="Percent 2" xfId="10"/>
  </cellStyles>
  <dxfs count="0"/>
  <tableStyles count="0" defaultTableStyle="TableStyleMedium9" defaultPivotStyle="PivotStyleLight16"/>
  <colors>
    <mruColors>
      <color rgb="FF953735"/>
      <color rgb="FFFFB265"/>
      <color rgb="FFF79747"/>
      <color rgb="FFFABF8E"/>
      <color rgb="FFFDEADA"/>
      <color rgb="FFC9F3F1"/>
      <color rgb="FFA3FFFF"/>
      <color rgb="FF33CCCC"/>
      <color rgb="FF1C706E"/>
      <color rgb="FFE1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050" b="1" i="0" u="none" strike="noStrike" baseline="0">
                <a:effectLst/>
              </a:rPr>
              <a:t>Figure 7.8: </a:t>
            </a:r>
            <a:r>
              <a:rPr lang="en-US" sz="1050">
                <a:latin typeface="Consolas" pitchFamily="49" charset="0"/>
                <a:cs typeface="Consolas" pitchFamily="49" charset="0"/>
              </a:rPr>
              <a:t>Percentage share of female teachers, 2016</a:t>
            </a:r>
          </a:p>
        </c:rich>
      </c:tx>
      <c:layout>
        <c:manualLayout>
          <c:xMode val="edge"/>
          <c:yMode val="edge"/>
          <c:x val="0.15560276249653698"/>
          <c:y val="3.544906569381776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53735"/>
            </a:solidFill>
          </c:spPr>
          <c:invertIfNegative val="0"/>
          <c:dLbls>
            <c:dLbl>
              <c:idx val="0"/>
              <c:layout>
                <c:manualLayout>
                  <c:x val="-5.0135494133653497E-3"/>
                  <c:y val="0.176328199538960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2.5067747066826861E-3"/>
                  <c:y val="0.126735893418628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7.5203241200481512E-3"/>
                  <c:y val="0.132246149654220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'7.9'!$A$7:$A$9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'7.9'!$K$7:$K$9</c:f>
              <c:numCache>
                <c:formatCode>#,##0</c:formatCode>
                <c:ptCount val="3"/>
                <c:pt idx="0">
                  <c:v>67.05370101596516</c:v>
                </c:pt>
                <c:pt idx="1">
                  <c:v>80.598903416280052</c:v>
                </c:pt>
                <c:pt idx="2">
                  <c:v>62.177345885211054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546624"/>
        <c:axId val="205548160"/>
      </c:barChart>
      <c:catAx>
        <c:axId val="205546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05548160"/>
        <c:crosses val="autoZero"/>
        <c:auto val="1"/>
        <c:lblAlgn val="ctr"/>
        <c:lblOffset val="100"/>
        <c:noMultiLvlLbl val="0"/>
      </c:catAx>
      <c:valAx>
        <c:axId val="20554816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205546624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333374</xdr:colOff>
      <xdr:row>31</xdr:row>
      <xdr:rowOff>167329</xdr:rowOff>
    </xdr:from>
    <xdr:to>
      <xdr:col>10</xdr:col>
      <xdr:colOff>244562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366840</xdr:colOff>
      <xdr:row>32</xdr:row>
      <xdr:rowOff>141589</xdr:rowOff>
    </xdr:from>
    <xdr:to>
      <xdr:col>3</xdr:col>
      <xdr:colOff>25743</xdr:colOff>
      <xdr:row>33</xdr:row>
      <xdr:rowOff>141589</xdr:rowOff>
    </xdr:to>
    <xdr:sp macro="" textlink="">
      <xdr:nvSpPr>
        <xdr:cNvPr id="3" name="TextBox 2"/>
        <xdr:cNvSpPr txBox="1"/>
      </xdr:nvSpPr>
      <xdr:spPr>
        <a:xfrm>
          <a:off x="1673310" y="6365018"/>
          <a:ext cx="469815" cy="1930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700"/>
            <a:t>Percent</a:t>
          </a:r>
        </a:p>
      </xdr:txBody>
    </xdr:sp>
    <xdr:clientData/>
  </xdr:twoCellAnchor>
  <xdr:twoCellAnchor>
    <xdr:from>
      <xdr:col>3</xdr:col>
      <xdr:colOff>266700</xdr:colOff>
      <xdr:row>33</xdr:row>
      <xdr:rowOff>66675</xdr:rowOff>
    </xdr:from>
    <xdr:to>
      <xdr:col>9</xdr:col>
      <xdr:colOff>742950</xdr:colOff>
      <xdr:row>33</xdr:row>
      <xdr:rowOff>66675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2381250" y="6410325"/>
          <a:ext cx="400050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7%20%20EDUCATION%20_OLEVEL%20STUDENTS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3"/>
      <sheetName val="7.14"/>
      <sheetName val="7.15"/>
      <sheetName val="7.16 &amp; 7.17"/>
      <sheetName val="7.18"/>
    </sheetNames>
    <sheetDataSet>
      <sheetData sheetId="0"/>
      <sheetData sheetId="1"/>
      <sheetData sheetId="2">
        <row r="51">
          <cell r="AA51">
            <v>2010</v>
          </cell>
          <cell r="AB51">
            <v>2011</v>
          </cell>
          <cell r="AC51">
            <v>2012</v>
          </cell>
          <cell r="AD51">
            <v>2013</v>
          </cell>
          <cell r="AE51">
            <v>2014</v>
          </cell>
          <cell r="AF51">
            <v>2015</v>
          </cell>
        </row>
        <row r="52">
          <cell r="Z52" t="str">
            <v>Republic</v>
          </cell>
          <cell r="AA52">
            <v>34.739884393063583</v>
          </cell>
          <cell r="AB52">
            <v>55.006218905472636</v>
          </cell>
          <cell r="AC52">
            <v>41.821619918058623</v>
          </cell>
          <cell r="AD52">
            <v>42.609532980259992</v>
          </cell>
          <cell r="AE52">
            <v>46.892301998519613</v>
          </cell>
          <cell r="AF52">
            <v>46</v>
          </cell>
        </row>
        <row r="53">
          <cell r="Z53" t="str">
            <v>Male'</v>
          </cell>
          <cell r="AA53">
            <v>53.695881731784581</v>
          </cell>
          <cell r="AB53">
            <v>57.991120976692571</v>
          </cell>
          <cell r="AC53">
            <v>59.810625986322982</v>
          </cell>
          <cell r="AD53">
            <v>55.791505791505791</v>
          </cell>
          <cell r="AE53">
            <v>70</v>
          </cell>
          <cell r="AF53">
            <v>62</v>
          </cell>
        </row>
        <row r="54">
          <cell r="Z54" t="str">
            <v>Atolls</v>
          </cell>
          <cell r="AA54">
            <v>27.596498209311584</v>
          </cell>
          <cell r="AB54">
            <v>29.784017278617707</v>
          </cell>
          <cell r="AC54">
            <v>34.128233970753655</v>
          </cell>
          <cell r="AD54">
            <v>36.042317864871364</v>
          </cell>
          <cell r="AE54">
            <v>38.095554420030659</v>
          </cell>
          <cell r="AF54">
            <v>38</v>
          </cell>
        </row>
      </sheetData>
      <sheetData sheetId="3"/>
      <sheetData sheetId="4">
        <row r="4">
          <cell r="E4">
            <v>2010</v>
          </cell>
          <cell r="F4">
            <v>2011</v>
          </cell>
          <cell r="G4">
            <v>2012</v>
          </cell>
          <cell r="H4">
            <v>2013</v>
          </cell>
          <cell r="I4">
            <v>2014</v>
          </cell>
        </row>
        <row r="5">
          <cell r="B5" t="str">
            <v>No Pass</v>
          </cell>
          <cell r="E5">
            <v>19</v>
          </cell>
          <cell r="F5">
            <v>17</v>
          </cell>
          <cell r="G5">
            <v>13</v>
          </cell>
          <cell r="H5">
            <v>11.8</v>
          </cell>
          <cell r="I5">
            <v>11</v>
          </cell>
        </row>
        <row r="6">
          <cell r="B6" t="str">
            <v>1 or more subject</v>
          </cell>
          <cell r="E6">
            <v>82</v>
          </cell>
          <cell r="F6">
            <v>83</v>
          </cell>
          <cell r="G6">
            <v>87</v>
          </cell>
          <cell r="H6">
            <v>86.2</v>
          </cell>
          <cell r="I6">
            <v>96.5</v>
          </cell>
        </row>
        <row r="7">
          <cell r="B7" t="str">
            <v>3 or mores subject</v>
          </cell>
          <cell r="E7">
            <v>49</v>
          </cell>
          <cell r="F7">
            <v>55</v>
          </cell>
          <cell r="G7">
            <v>59</v>
          </cell>
          <cell r="H7">
            <v>59</v>
          </cell>
          <cell r="I7">
            <v>63.6</v>
          </cell>
        </row>
        <row r="8">
          <cell r="B8" t="str">
            <v>5 or more subject</v>
          </cell>
          <cell r="E8">
            <v>35</v>
          </cell>
          <cell r="F8">
            <v>37</v>
          </cell>
          <cell r="G8">
            <v>41</v>
          </cell>
          <cell r="H8">
            <v>43</v>
          </cell>
          <cell r="I8">
            <v>46.9</v>
          </cell>
        </row>
        <row r="9">
          <cell r="B9" t="str">
            <v>8 or more subject</v>
          </cell>
          <cell r="E9">
            <v>14</v>
          </cell>
          <cell r="F9">
            <v>17</v>
          </cell>
          <cell r="G9">
            <v>19</v>
          </cell>
          <cell r="H9">
            <v>20.399999999999999</v>
          </cell>
          <cell r="I9">
            <v>21.7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34"/>
  <sheetViews>
    <sheetView tabSelected="1" zoomScaleNormal="100" zoomScaleSheetLayoutView="100" workbookViewId="0">
      <selection activeCell="O4" sqref="O4:R31"/>
    </sheetView>
  </sheetViews>
  <sheetFormatPr defaultColWidth="9.140625" defaultRowHeight="15" x14ac:dyDescent="0.25"/>
  <cols>
    <col min="1" max="1" width="7.42578125" style="22" customWidth="1"/>
    <col min="2" max="4" width="12.140625" style="2" customWidth="1"/>
    <col min="5" max="5" width="1.5703125" style="2" customWidth="1"/>
    <col min="6" max="6" width="12.140625" style="20" customWidth="1"/>
    <col min="7" max="8" width="12.5703125" style="20" customWidth="1"/>
    <col min="9" max="9" width="1.85546875" style="20" customWidth="1"/>
    <col min="10" max="10" width="12.140625" style="20" customWidth="1"/>
    <col min="11" max="11" width="15" style="20" customWidth="1"/>
    <col min="12" max="13" width="10.140625" style="2" customWidth="1"/>
    <col min="14" max="16" width="9.140625" style="2"/>
    <col min="17" max="17" width="9.5703125" style="2" bestFit="1" customWidth="1"/>
    <col min="18" max="16384" width="9.140625" style="2"/>
  </cols>
  <sheetData>
    <row r="1" spans="1:20" ht="21.75" x14ac:dyDescent="0.55000000000000004">
      <c r="A1" s="58" t="s">
        <v>39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1"/>
    </row>
    <row r="2" spans="1:20" ht="18" customHeight="1" x14ac:dyDescent="0.25">
      <c r="A2" s="59" t="s">
        <v>40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20" s="5" customFormat="1" ht="3.75" customHeight="1" x14ac:dyDescent="0.25">
      <c r="A3" s="3"/>
      <c r="B3" s="4"/>
      <c r="C3" s="4"/>
      <c r="D3" s="4"/>
      <c r="E3" s="3"/>
      <c r="F3" s="4"/>
      <c r="G3" s="4"/>
      <c r="H3" s="4"/>
      <c r="I3" s="4"/>
      <c r="J3" s="4"/>
      <c r="K3" s="4"/>
    </row>
    <row r="4" spans="1:20" ht="21" customHeight="1" x14ac:dyDescent="0.25">
      <c r="A4" s="6"/>
      <c r="B4" s="53" t="s">
        <v>0</v>
      </c>
      <c r="C4" s="53"/>
      <c r="D4" s="53"/>
      <c r="E4" s="7"/>
      <c r="F4" s="53" t="s">
        <v>1</v>
      </c>
      <c r="G4" s="53"/>
      <c r="H4" s="53"/>
      <c r="I4" s="8"/>
      <c r="J4" s="53" t="s">
        <v>25</v>
      </c>
      <c r="K4" s="53"/>
      <c r="L4" s="52" t="s">
        <v>38</v>
      </c>
      <c r="M4" s="53"/>
      <c r="N4" s="5"/>
      <c r="O4" s="5"/>
      <c r="P4" s="5"/>
      <c r="Q4" s="5"/>
      <c r="R4" s="5"/>
      <c r="S4" s="5"/>
      <c r="T4" s="5"/>
    </row>
    <row r="5" spans="1:20" x14ac:dyDescent="0.25">
      <c r="A5" s="9"/>
      <c r="B5" s="10" t="s">
        <v>26</v>
      </c>
      <c r="C5" s="10" t="s">
        <v>27</v>
      </c>
      <c r="D5" s="10" t="s">
        <v>28</v>
      </c>
      <c r="E5" s="11"/>
      <c r="F5" s="10" t="s">
        <v>26</v>
      </c>
      <c r="G5" s="10" t="s">
        <v>27</v>
      </c>
      <c r="H5" s="10" t="s">
        <v>29</v>
      </c>
      <c r="I5" s="11"/>
      <c r="J5" s="10" t="s">
        <v>25</v>
      </c>
      <c r="K5" s="10" t="s">
        <v>30</v>
      </c>
      <c r="L5" s="54" t="s">
        <v>37</v>
      </c>
      <c r="M5" s="56" t="s">
        <v>36</v>
      </c>
      <c r="N5" s="5"/>
      <c r="O5" s="5"/>
      <c r="P5" s="5"/>
      <c r="Q5" s="5"/>
      <c r="R5" s="5"/>
      <c r="S5" s="5"/>
      <c r="T5" s="5"/>
    </row>
    <row r="6" spans="1:20" x14ac:dyDescent="0.25">
      <c r="A6" s="12" t="s">
        <v>22</v>
      </c>
      <c r="B6" s="13"/>
      <c r="C6" s="13"/>
      <c r="D6" s="13" t="s">
        <v>23</v>
      </c>
      <c r="E6" s="14"/>
      <c r="F6" s="13"/>
      <c r="G6" s="13"/>
      <c r="H6" s="13" t="s">
        <v>24</v>
      </c>
      <c r="I6" s="15"/>
      <c r="J6" s="13" t="s">
        <v>23</v>
      </c>
      <c r="K6" s="13" t="s">
        <v>31</v>
      </c>
      <c r="L6" s="55"/>
      <c r="M6" s="57"/>
      <c r="N6" s="5"/>
      <c r="O6" s="5"/>
      <c r="P6" s="5"/>
      <c r="Q6" s="5"/>
      <c r="R6" s="5"/>
      <c r="S6" s="5"/>
      <c r="T6" s="5"/>
    </row>
    <row r="7" spans="1:20" x14ac:dyDescent="0.2">
      <c r="A7" s="29" t="s">
        <v>2</v>
      </c>
      <c r="B7" s="30">
        <f>SUM(B8:B9)</f>
        <v>2704</v>
      </c>
      <c r="C7" s="30">
        <f>SUM(C8:C9)</f>
        <v>247</v>
      </c>
      <c r="D7" s="30">
        <f>SUM(B7:C7)</f>
        <v>2951</v>
      </c>
      <c r="E7" s="26"/>
      <c r="F7" s="31">
        <f>SUM(F8:F9)</f>
        <v>5285</v>
      </c>
      <c r="G7" s="30">
        <f>SUM(G8:G9)</f>
        <v>721</v>
      </c>
      <c r="H7" s="30">
        <f>SUM(F7:G7)</f>
        <v>6006</v>
      </c>
      <c r="I7" s="32"/>
      <c r="J7" s="33">
        <f>SUM(D7,H7)</f>
        <v>8957</v>
      </c>
      <c r="K7" s="47">
        <f>H7/J7*100</f>
        <v>67.05370101596516</v>
      </c>
      <c r="L7" s="43">
        <f>C7/D7*100</f>
        <v>8.3700440528634363</v>
      </c>
      <c r="M7" s="44">
        <f>G7/H7*100</f>
        <v>12.004662004662006</v>
      </c>
      <c r="N7" s="5"/>
      <c r="O7" s="50"/>
      <c r="P7" s="51"/>
      <c r="Q7" s="51"/>
      <c r="R7" s="5"/>
      <c r="S7" s="5"/>
      <c r="T7" s="5"/>
    </row>
    <row r="8" spans="1:20" x14ac:dyDescent="0.2">
      <c r="A8" s="29" t="s">
        <v>3</v>
      </c>
      <c r="B8" s="26">
        <v>454</v>
      </c>
      <c r="C8" s="26">
        <v>6</v>
      </c>
      <c r="D8" s="26">
        <f t="shared" ref="D8:D29" si="0">SUM(B8:C8)</f>
        <v>460</v>
      </c>
      <c r="E8" s="26"/>
      <c r="F8" s="34">
        <v>1862</v>
      </c>
      <c r="G8" s="26">
        <v>49</v>
      </c>
      <c r="H8" s="26">
        <f t="shared" ref="H8:H29" si="1">SUM(F8:G8)</f>
        <v>1911</v>
      </c>
      <c r="I8" s="35"/>
      <c r="J8" s="36">
        <f>SUM(D8,H8)</f>
        <v>2371</v>
      </c>
      <c r="K8" s="47">
        <f>H8/J8*100</f>
        <v>80.598903416280052</v>
      </c>
      <c r="L8" s="43">
        <f t="shared" ref="L8:L29" si="2">C8/D8*100</f>
        <v>1.3043478260869565</v>
      </c>
      <c r="M8" s="44">
        <f t="shared" ref="M8:M29" si="3">G8/H8*100</f>
        <v>2.5641025641025639</v>
      </c>
      <c r="O8" s="50"/>
      <c r="P8" s="51"/>
      <c r="Q8" s="51"/>
      <c r="R8" s="5"/>
      <c r="S8" s="5"/>
      <c r="T8" s="5"/>
    </row>
    <row r="9" spans="1:20" x14ac:dyDescent="0.2">
      <c r="A9" s="29" t="s">
        <v>4</v>
      </c>
      <c r="B9" s="26">
        <f>SUM(B10:B29)</f>
        <v>2250</v>
      </c>
      <c r="C9" s="26">
        <f>SUM(C10:C29)</f>
        <v>241</v>
      </c>
      <c r="D9" s="26">
        <f t="shared" si="0"/>
        <v>2491</v>
      </c>
      <c r="E9" s="26"/>
      <c r="F9" s="34">
        <f>SUM(F10:F29)</f>
        <v>3423</v>
      </c>
      <c r="G9" s="26">
        <f>SUM(G10:G29)</f>
        <v>672</v>
      </c>
      <c r="H9" s="26">
        <f t="shared" si="1"/>
        <v>4095</v>
      </c>
      <c r="I9" s="35"/>
      <c r="J9" s="36">
        <f>SUM(D9,H9)</f>
        <v>6586</v>
      </c>
      <c r="K9" s="47">
        <f>H9/J9*100</f>
        <v>62.177345885211054</v>
      </c>
      <c r="L9" s="43">
        <f t="shared" si="2"/>
        <v>9.6748293857888399</v>
      </c>
      <c r="M9" s="44">
        <f t="shared" si="3"/>
        <v>16.410256410256409</v>
      </c>
      <c r="N9" s="5"/>
      <c r="O9" s="50"/>
      <c r="P9" s="51"/>
      <c r="Q9" s="51"/>
      <c r="R9" s="5"/>
      <c r="S9" s="5"/>
      <c r="T9" s="5"/>
    </row>
    <row r="10" spans="1:20" x14ac:dyDescent="0.2">
      <c r="A10" s="23" t="s">
        <v>32</v>
      </c>
      <c r="B10" s="27">
        <v>130</v>
      </c>
      <c r="C10" s="27">
        <v>28</v>
      </c>
      <c r="D10" s="26">
        <f t="shared" si="0"/>
        <v>158</v>
      </c>
      <c r="E10" s="27"/>
      <c r="F10" s="37">
        <v>246</v>
      </c>
      <c r="G10" s="27">
        <v>46</v>
      </c>
      <c r="H10" s="26">
        <f t="shared" si="1"/>
        <v>292</v>
      </c>
      <c r="I10" s="35"/>
      <c r="J10" s="38">
        <f t="shared" ref="J10:J29" si="4">SUM(D10,H10)</f>
        <v>450</v>
      </c>
      <c r="K10" s="48">
        <f t="shared" ref="K10:K29" si="5">H10/J10*100</f>
        <v>64.888888888888886</v>
      </c>
      <c r="L10" s="43">
        <f t="shared" si="2"/>
        <v>17.721518987341771</v>
      </c>
      <c r="M10" s="44">
        <f t="shared" si="3"/>
        <v>15.753424657534246</v>
      </c>
      <c r="O10" s="50"/>
      <c r="P10" s="51"/>
      <c r="Q10" s="51"/>
      <c r="R10" s="5"/>
      <c r="S10" s="5"/>
      <c r="T10" s="5"/>
    </row>
    <row r="11" spans="1:20" x14ac:dyDescent="0.2">
      <c r="A11" s="23" t="s">
        <v>33</v>
      </c>
      <c r="B11" s="27">
        <v>167</v>
      </c>
      <c r="C11" s="27">
        <v>32</v>
      </c>
      <c r="D11" s="26">
        <f t="shared" si="0"/>
        <v>199</v>
      </c>
      <c r="E11" s="27"/>
      <c r="F11" s="37">
        <v>311</v>
      </c>
      <c r="G11" s="27">
        <v>48</v>
      </c>
      <c r="H11" s="26">
        <f t="shared" si="1"/>
        <v>359</v>
      </c>
      <c r="I11" s="35"/>
      <c r="J11" s="38">
        <f t="shared" si="4"/>
        <v>558</v>
      </c>
      <c r="K11" s="48">
        <f t="shared" si="5"/>
        <v>64.336917562724011</v>
      </c>
      <c r="L11" s="43">
        <f t="shared" si="2"/>
        <v>16.08040201005025</v>
      </c>
      <c r="M11" s="44">
        <f t="shared" si="3"/>
        <v>13.370473537604457</v>
      </c>
      <c r="O11" s="50"/>
      <c r="P11" s="51"/>
      <c r="Q11" s="51"/>
      <c r="R11" s="5"/>
      <c r="S11" s="5"/>
      <c r="T11" s="5"/>
    </row>
    <row r="12" spans="1:20" x14ac:dyDescent="0.2">
      <c r="A12" s="23" t="s">
        <v>34</v>
      </c>
      <c r="B12" s="27">
        <v>171</v>
      </c>
      <c r="C12" s="27">
        <v>24</v>
      </c>
      <c r="D12" s="26">
        <f t="shared" si="0"/>
        <v>195</v>
      </c>
      <c r="E12" s="27"/>
      <c r="F12" s="37">
        <v>196</v>
      </c>
      <c r="G12" s="27">
        <v>31</v>
      </c>
      <c r="H12" s="26">
        <f t="shared" si="1"/>
        <v>227</v>
      </c>
      <c r="I12" s="35"/>
      <c r="J12" s="38">
        <f t="shared" si="4"/>
        <v>422</v>
      </c>
      <c r="K12" s="48">
        <f t="shared" si="5"/>
        <v>53.791469194312789</v>
      </c>
      <c r="L12" s="43">
        <f t="shared" si="2"/>
        <v>12.307692307692308</v>
      </c>
      <c r="M12" s="44">
        <f t="shared" si="3"/>
        <v>13.656387665198238</v>
      </c>
      <c r="O12" s="50"/>
      <c r="P12" s="51"/>
      <c r="Q12" s="51"/>
      <c r="R12" s="5"/>
      <c r="S12" s="5"/>
      <c r="T12" s="5"/>
    </row>
    <row r="13" spans="1:20" x14ac:dyDescent="0.2">
      <c r="A13" s="23" t="s">
        <v>20</v>
      </c>
      <c r="B13" s="27">
        <v>141</v>
      </c>
      <c r="C13" s="27">
        <v>21</v>
      </c>
      <c r="D13" s="26">
        <f t="shared" si="0"/>
        <v>162</v>
      </c>
      <c r="E13" s="27"/>
      <c r="F13" s="37">
        <v>204</v>
      </c>
      <c r="G13" s="27">
        <v>9</v>
      </c>
      <c r="H13" s="26">
        <f t="shared" si="1"/>
        <v>213</v>
      </c>
      <c r="I13" s="35"/>
      <c r="J13" s="38">
        <f t="shared" si="4"/>
        <v>375</v>
      </c>
      <c r="K13" s="48">
        <f t="shared" si="5"/>
        <v>56.8</v>
      </c>
      <c r="L13" s="43">
        <f t="shared" si="2"/>
        <v>12.962962962962962</v>
      </c>
      <c r="M13" s="44">
        <f t="shared" si="3"/>
        <v>4.225352112676056</v>
      </c>
      <c r="O13" s="50"/>
      <c r="P13" s="51"/>
      <c r="Q13" s="51"/>
      <c r="R13" s="5"/>
      <c r="S13" s="5"/>
      <c r="T13" s="5"/>
    </row>
    <row r="14" spans="1:20" x14ac:dyDescent="0.2">
      <c r="A14" s="23" t="s">
        <v>35</v>
      </c>
      <c r="B14" s="27">
        <v>237</v>
      </c>
      <c r="C14" s="27">
        <v>31</v>
      </c>
      <c r="D14" s="26">
        <f t="shared" si="0"/>
        <v>268</v>
      </c>
      <c r="E14" s="27"/>
      <c r="F14" s="37">
        <v>287</v>
      </c>
      <c r="G14" s="27">
        <v>47</v>
      </c>
      <c r="H14" s="26">
        <f t="shared" si="1"/>
        <v>334</v>
      </c>
      <c r="I14" s="35"/>
      <c r="J14" s="38">
        <f t="shared" si="4"/>
        <v>602</v>
      </c>
      <c r="K14" s="48">
        <f t="shared" si="5"/>
        <v>55.481727574750828</v>
      </c>
      <c r="L14" s="43">
        <f t="shared" si="2"/>
        <v>11.567164179104477</v>
      </c>
      <c r="M14" s="44">
        <f t="shared" si="3"/>
        <v>14.071856287425149</v>
      </c>
      <c r="O14" s="50"/>
      <c r="P14" s="51"/>
      <c r="Q14" s="51"/>
      <c r="R14" s="5"/>
      <c r="S14" s="5"/>
      <c r="T14" s="5"/>
    </row>
    <row r="15" spans="1:20" x14ac:dyDescent="0.2">
      <c r="A15" s="23" t="s">
        <v>6</v>
      </c>
      <c r="B15" s="27">
        <v>114</v>
      </c>
      <c r="C15" s="27">
        <v>4</v>
      </c>
      <c r="D15" s="26">
        <f t="shared" si="0"/>
        <v>118</v>
      </c>
      <c r="E15" s="27"/>
      <c r="F15" s="37">
        <v>162</v>
      </c>
      <c r="G15" s="27">
        <v>34</v>
      </c>
      <c r="H15" s="26">
        <f t="shared" si="1"/>
        <v>196</v>
      </c>
      <c r="I15" s="35"/>
      <c r="J15" s="38">
        <f t="shared" si="4"/>
        <v>314</v>
      </c>
      <c r="K15" s="48">
        <f t="shared" si="5"/>
        <v>62.420382165605091</v>
      </c>
      <c r="L15" s="43">
        <f t="shared" si="2"/>
        <v>3.3898305084745761</v>
      </c>
      <c r="M15" s="44">
        <f t="shared" si="3"/>
        <v>17.346938775510203</v>
      </c>
      <c r="O15" s="50"/>
      <c r="P15" s="51"/>
      <c r="Q15" s="51"/>
      <c r="R15" s="5"/>
      <c r="S15" s="5"/>
      <c r="T15" s="5"/>
    </row>
    <row r="16" spans="1:20" x14ac:dyDescent="0.2">
      <c r="A16" s="23" t="s">
        <v>7</v>
      </c>
      <c r="B16" s="27">
        <v>64</v>
      </c>
      <c r="C16" s="27">
        <v>9</v>
      </c>
      <c r="D16" s="26">
        <f t="shared" si="0"/>
        <v>73</v>
      </c>
      <c r="E16" s="27"/>
      <c r="F16" s="37">
        <v>118</v>
      </c>
      <c r="G16" s="27">
        <v>22</v>
      </c>
      <c r="H16" s="26">
        <f t="shared" si="1"/>
        <v>140</v>
      </c>
      <c r="I16" s="35"/>
      <c r="J16" s="38">
        <f t="shared" si="4"/>
        <v>213</v>
      </c>
      <c r="K16" s="48">
        <f t="shared" si="5"/>
        <v>65.727699530516432</v>
      </c>
      <c r="L16" s="43">
        <f t="shared" si="2"/>
        <v>12.328767123287671</v>
      </c>
      <c r="M16" s="44">
        <f t="shared" si="3"/>
        <v>15.714285714285714</v>
      </c>
      <c r="O16" s="50"/>
      <c r="P16" s="51"/>
      <c r="Q16" s="51"/>
      <c r="R16" s="5"/>
      <c r="S16" s="5"/>
      <c r="T16" s="5"/>
    </row>
    <row r="17" spans="1:20" x14ac:dyDescent="0.2">
      <c r="A17" s="23" t="s">
        <v>9</v>
      </c>
      <c r="B17" s="27">
        <v>107</v>
      </c>
      <c r="C17" s="27">
        <v>3</v>
      </c>
      <c r="D17" s="26">
        <f t="shared" si="0"/>
        <v>110</v>
      </c>
      <c r="E17" s="27"/>
      <c r="F17" s="37">
        <v>160</v>
      </c>
      <c r="G17" s="27">
        <v>21</v>
      </c>
      <c r="H17" s="26">
        <f t="shared" si="1"/>
        <v>181</v>
      </c>
      <c r="I17" s="35"/>
      <c r="J17" s="38">
        <f t="shared" si="4"/>
        <v>291</v>
      </c>
      <c r="K17" s="48">
        <f t="shared" si="5"/>
        <v>62.199312714776632</v>
      </c>
      <c r="L17" s="43">
        <f t="shared" si="2"/>
        <v>2.7272727272727271</v>
      </c>
      <c r="M17" s="44">
        <f t="shared" si="3"/>
        <v>11.602209944751381</v>
      </c>
      <c r="O17" s="50"/>
      <c r="P17" s="51"/>
      <c r="Q17" s="51"/>
      <c r="R17" s="5"/>
      <c r="S17" s="5"/>
      <c r="T17" s="5"/>
    </row>
    <row r="18" spans="1:20" x14ac:dyDescent="0.2">
      <c r="A18" s="23" t="s">
        <v>10</v>
      </c>
      <c r="B18" s="27">
        <v>88</v>
      </c>
      <c r="C18" s="27">
        <v>2</v>
      </c>
      <c r="D18" s="26">
        <f t="shared" si="0"/>
        <v>90</v>
      </c>
      <c r="E18" s="27"/>
      <c r="F18" s="37">
        <v>108</v>
      </c>
      <c r="G18" s="27">
        <v>13</v>
      </c>
      <c r="H18" s="26">
        <f t="shared" si="1"/>
        <v>121</v>
      </c>
      <c r="I18" s="35"/>
      <c r="J18" s="38">
        <f t="shared" si="4"/>
        <v>211</v>
      </c>
      <c r="K18" s="48">
        <f t="shared" si="5"/>
        <v>57.345971563981045</v>
      </c>
      <c r="L18" s="43">
        <f t="shared" si="2"/>
        <v>2.2222222222222223</v>
      </c>
      <c r="M18" s="44">
        <f t="shared" si="3"/>
        <v>10.743801652892563</v>
      </c>
      <c r="O18" s="50"/>
      <c r="P18" s="51"/>
      <c r="Q18" s="51"/>
      <c r="R18" s="5"/>
      <c r="S18" s="5"/>
      <c r="T18" s="5"/>
    </row>
    <row r="19" spans="1:20" x14ac:dyDescent="0.2">
      <c r="A19" s="23" t="s">
        <v>11</v>
      </c>
      <c r="B19" s="27">
        <v>82</v>
      </c>
      <c r="C19" s="27">
        <v>5</v>
      </c>
      <c r="D19" s="26">
        <f t="shared" si="0"/>
        <v>87</v>
      </c>
      <c r="E19" s="27"/>
      <c r="F19" s="37">
        <v>162</v>
      </c>
      <c r="G19" s="27">
        <v>30</v>
      </c>
      <c r="H19" s="26">
        <f t="shared" si="1"/>
        <v>192</v>
      </c>
      <c r="I19" s="35"/>
      <c r="J19" s="38">
        <f t="shared" si="4"/>
        <v>279</v>
      </c>
      <c r="K19" s="48">
        <f t="shared" si="5"/>
        <v>68.817204301075279</v>
      </c>
      <c r="L19" s="43">
        <f t="shared" si="2"/>
        <v>5.7471264367816088</v>
      </c>
      <c r="M19" s="44">
        <f t="shared" si="3"/>
        <v>15.625</v>
      </c>
      <c r="O19" s="50"/>
      <c r="P19" s="51"/>
      <c r="Q19" s="51"/>
    </row>
    <row r="20" spans="1:20" x14ac:dyDescent="0.2">
      <c r="A20" s="23" t="s">
        <v>12</v>
      </c>
      <c r="B20" s="27">
        <v>21</v>
      </c>
      <c r="C20" s="27">
        <v>0</v>
      </c>
      <c r="D20" s="26">
        <f t="shared" si="0"/>
        <v>21</v>
      </c>
      <c r="E20" s="27"/>
      <c r="F20" s="37">
        <v>43</v>
      </c>
      <c r="G20" s="27">
        <v>6</v>
      </c>
      <c r="H20" s="26">
        <f t="shared" si="1"/>
        <v>49</v>
      </c>
      <c r="I20" s="35"/>
      <c r="J20" s="38">
        <f t="shared" si="4"/>
        <v>70</v>
      </c>
      <c r="K20" s="48">
        <f t="shared" si="5"/>
        <v>70</v>
      </c>
      <c r="L20" s="43">
        <f t="shared" si="2"/>
        <v>0</v>
      </c>
      <c r="M20" s="44">
        <f t="shared" si="3"/>
        <v>12.244897959183673</v>
      </c>
      <c r="O20" s="50"/>
      <c r="P20" s="51"/>
      <c r="Q20" s="51"/>
    </row>
    <row r="21" spans="1:20" x14ac:dyDescent="0.2">
      <c r="A21" s="23" t="s">
        <v>13</v>
      </c>
      <c r="B21" s="27">
        <v>63</v>
      </c>
      <c r="C21" s="27">
        <v>0</v>
      </c>
      <c r="D21" s="26">
        <f t="shared" si="0"/>
        <v>63</v>
      </c>
      <c r="E21" s="27"/>
      <c r="F21" s="37">
        <v>105</v>
      </c>
      <c r="G21" s="27">
        <v>7</v>
      </c>
      <c r="H21" s="26">
        <f t="shared" si="1"/>
        <v>112</v>
      </c>
      <c r="I21" s="35"/>
      <c r="J21" s="38">
        <f t="shared" si="4"/>
        <v>175</v>
      </c>
      <c r="K21" s="48">
        <f t="shared" si="5"/>
        <v>64</v>
      </c>
      <c r="L21" s="43">
        <f t="shared" si="2"/>
        <v>0</v>
      </c>
      <c r="M21" s="44">
        <f t="shared" si="3"/>
        <v>6.25</v>
      </c>
      <c r="O21" s="50"/>
      <c r="P21" s="51"/>
      <c r="Q21" s="51"/>
    </row>
    <row r="22" spans="1:20" x14ac:dyDescent="0.2">
      <c r="A22" s="23" t="s">
        <v>14</v>
      </c>
      <c r="B22" s="27">
        <v>73</v>
      </c>
      <c r="C22" s="27">
        <v>4</v>
      </c>
      <c r="D22" s="26">
        <f t="shared" si="0"/>
        <v>77</v>
      </c>
      <c r="E22" s="27"/>
      <c r="F22" s="37">
        <v>84</v>
      </c>
      <c r="G22" s="27">
        <v>13</v>
      </c>
      <c r="H22" s="26">
        <f t="shared" si="1"/>
        <v>97</v>
      </c>
      <c r="I22" s="35"/>
      <c r="J22" s="38">
        <f t="shared" si="4"/>
        <v>174</v>
      </c>
      <c r="K22" s="48">
        <f t="shared" si="5"/>
        <v>55.747126436781613</v>
      </c>
      <c r="L22" s="43">
        <f t="shared" si="2"/>
        <v>5.1948051948051948</v>
      </c>
      <c r="M22" s="44">
        <f t="shared" si="3"/>
        <v>13.402061855670103</v>
      </c>
      <c r="O22" s="50"/>
      <c r="P22" s="51"/>
      <c r="Q22" s="51"/>
    </row>
    <row r="23" spans="1:20" x14ac:dyDescent="0.2">
      <c r="A23" s="23" t="s">
        <v>15</v>
      </c>
      <c r="B23" s="27">
        <v>77</v>
      </c>
      <c r="C23" s="27">
        <v>2</v>
      </c>
      <c r="D23" s="26">
        <f t="shared" si="0"/>
        <v>79</v>
      </c>
      <c r="E23" s="27"/>
      <c r="F23" s="37">
        <v>104</v>
      </c>
      <c r="G23" s="27">
        <v>8</v>
      </c>
      <c r="H23" s="26">
        <f t="shared" si="1"/>
        <v>112</v>
      </c>
      <c r="I23" s="35"/>
      <c r="J23" s="38">
        <f t="shared" si="4"/>
        <v>191</v>
      </c>
      <c r="K23" s="48">
        <f t="shared" si="5"/>
        <v>58.638743455497377</v>
      </c>
      <c r="L23" s="43">
        <f t="shared" si="2"/>
        <v>2.5316455696202533</v>
      </c>
      <c r="M23" s="44">
        <f t="shared" si="3"/>
        <v>7.1428571428571423</v>
      </c>
      <c r="O23" s="50"/>
      <c r="P23" s="51"/>
      <c r="Q23" s="51"/>
    </row>
    <row r="24" spans="1:20" x14ac:dyDescent="0.2">
      <c r="A24" s="23" t="s">
        <v>16</v>
      </c>
      <c r="B24" s="27">
        <v>150</v>
      </c>
      <c r="C24" s="27">
        <v>2</v>
      </c>
      <c r="D24" s="26">
        <f t="shared" si="0"/>
        <v>152</v>
      </c>
      <c r="E24" s="27"/>
      <c r="F24" s="37">
        <v>160</v>
      </c>
      <c r="G24" s="27">
        <v>37</v>
      </c>
      <c r="H24" s="26">
        <f t="shared" si="1"/>
        <v>197</v>
      </c>
      <c r="I24" s="35"/>
      <c r="J24" s="38">
        <f t="shared" si="4"/>
        <v>349</v>
      </c>
      <c r="K24" s="48">
        <f t="shared" si="5"/>
        <v>56.446991404011456</v>
      </c>
      <c r="L24" s="43">
        <f t="shared" si="2"/>
        <v>1.3157894736842104</v>
      </c>
      <c r="M24" s="44">
        <f t="shared" si="3"/>
        <v>18.781725888324875</v>
      </c>
      <c r="O24" s="50"/>
      <c r="P24" s="51"/>
      <c r="Q24" s="51"/>
    </row>
    <row r="25" spans="1:20" x14ac:dyDescent="0.2">
      <c r="A25" s="23" t="s">
        <v>8</v>
      </c>
      <c r="B25" s="27">
        <v>163</v>
      </c>
      <c r="C25" s="27">
        <v>4</v>
      </c>
      <c r="D25" s="26">
        <f t="shared" si="0"/>
        <v>167</v>
      </c>
      <c r="E25" s="27"/>
      <c r="F25" s="37">
        <v>207</v>
      </c>
      <c r="G25" s="27">
        <v>21</v>
      </c>
      <c r="H25" s="26">
        <f t="shared" si="1"/>
        <v>228</v>
      </c>
      <c r="I25" s="35"/>
      <c r="J25" s="38">
        <f t="shared" si="4"/>
        <v>395</v>
      </c>
      <c r="K25" s="48">
        <f t="shared" si="5"/>
        <v>57.721518987341767</v>
      </c>
      <c r="L25" s="43">
        <f t="shared" si="2"/>
        <v>2.3952095808383236</v>
      </c>
      <c r="M25" s="44">
        <f t="shared" si="3"/>
        <v>9.2105263157894726</v>
      </c>
      <c r="O25" s="50"/>
      <c r="P25" s="51"/>
      <c r="Q25" s="51"/>
    </row>
    <row r="26" spans="1:20" x14ac:dyDescent="0.2">
      <c r="A26" s="23" t="s">
        <v>17</v>
      </c>
      <c r="B26" s="27">
        <v>99</v>
      </c>
      <c r="C26" s="27">
        <v>20</v>
      </c>
      <c r="D26" s="26">
        <f t="shared" si="0"/>
        <v>119</v>
      </c>
      <c r="E26" s="27"/>
      <c r="F26" s="37">
        <v>107</v>
      </c>
      <c r="G26" s="27">
        <v>58</v>
      </c>
      <c r="H26" s="26">
        <f t="shared" si="1"/>
        <v>165</v>
      </c>
      <c r="I26" s="35"/>
      <c r="J26" s="38">
        <f t="shared" si="4"/>
        <v>284</v>
      </c>
      <c r="K26" s="48">
        <f t="shared" si="5"/>
        <v>58.098591549295776</v>
      </c>
      <c r="L26" s="43">
        <f t="shared" si="2"/>
        <v>16.806722689075631</v>
      </c>
      <c r="M26" s="44">
        <f t="shared" si="3"/>
        <v>35.151515151515149</v>
      </c>
      <c r="O26" s="50"/>
      <c r="P26" s="51"/>
      <c r="Q26" s="51"/>
    </row>
    <row r="27" spans="1:20" x14ac:dyDescent="0.2">
      <c r="A27" s="23" t="s">
        <v>18</v>
      </c>
      <c r="B27" s="27">
        <v>109</v>
      </c>
      <c r="C27" s="27">
        <v>29</v>
      </c>
      <c r="D27" s="26">
        <f t="shared" si="0"/>
        <v>138</v>
      </c>
      <c r="E27" s="27"/>
      <c r="F27" s="37">
        <v>222</v>
      </c>
      <c r="G27" s="27">
        <v>87</v>
      </c>
      <c r="H27" s="26">
        <f t="shared" si="1"/>
        <v>309</v>
      </c>
      <c r="I27" s="35"/>
      <c r="J27" s="38">
        <f t="shared" si="4"/>
        <v>447</v>
      </c>
      <c r="K27" s="48">
        <f t="shared" si="5"/>
        <v>69.127516778523486</v>
      </c>
      <c r="L27" s="43">
        <f t="shared" si="2"/>
        <v>21.014492753623188</v>
      </c>
      <c r="M27" s="44">
        <f t="shared" si="3"/>
        <v>28.155339805825243</v>
      </c>
      <c r="O27" s="50"/>
      <c r="P27" s="51"/>
      <c r="Q27" s="51"/>
    </row>
    <row r="28" spans="1:20" x14ac:dyDescent="0.2">
      <c r="A28" s="24" t="s">
        <v>19</v>
      </c>
      <c r="B28" s="27">
        <v>25</v>
      </c>
      <c r="C28" s="27">
        <v>8</v>
      </c>
      <c r="D28" s="26">
        <f t="shared" si="0"/>
        <v>33</v>
      </c>
      <c r="E28" s="27"/>
      <c r="F28" s="37">
        <v>95</v>
      </c>
      <c r="G28" s="27">
        <v>76</v>
      </c>
      <c r="H28" s="26">
        <f t="shared" si="1"/>
        <v>171</v>
      </c>
      <c r="I28" s="35"/>
      <c r="J28" s="38">
        <f t="shared" si="4"/>
        <v>204</v>
      </c>
      <c r="K28" s="48">
        <f t="shared" si="5"/>
        <v>83.82352941176471</v>
      </c>
      <c r="L28" s="43">
        <f t="shared" si="2"/>
        <v>24.242424242424242</v>
      </c>
      <c r="M28" s="44">
        <f t="shared" si="3"/>
        <v>44.444444444444443</v>
      </c>
      <c r="O28" s="50"/>
      <c r="P28" s="51"/>
      <c r="Q28" s="51"/>
    </row>
    <row r="29" spans="1:20" x14ac:dyDescent="0.2">
      <c r="A29" s="25" t="s">
        <v>5</v>
      </c>
      <c r="B29" s="28">
        <v>169</v>
      </c>
      <c r="C29" s="28">
        <v>13</v>
      </c>
      <c r="D29" s="39">
        <f t="shared" si="0"/>
        <v>182</v>
      </c>
      <c r="E29" s="28"/>
      <c r="F29" s="40">
        <v>342</v>
      </c>
      <c r="G29" s="28">
        <v>58</v>
      </c>
      <c r="H29" s="39">
        <f t="shared" si="1"/>
        <v>400</v>
      </c>
      <c r="I29" s="41"/>
      <c r="J29" s="42">
        <f t="shared" si="4"/>
        <v>582</v>
      </c>
      <c r="K29" s="49">
        <f t="shared" si="5"/>
        <v>68.728522336769757</v>
      </c>
      <c r="L29" s="45">
        <f t="shared" si="2"/>
        <v>7.1428571428571423</v>
      </c>
      <c r="M29" s="46">
        <f t="shared" si="3"/>
        <v>14.499999999999998</v>
      </c>
      <c r="O29" s="50"/>
      <c r="P29" s="51"/>
      <c r="Q29" s="51"/>
    </row>
    <row r="30" spans="1:20" x14ac:dyDescent="0.25">
      <c r="A30" s="16" t="s">
        <v>21</v>
      </c>
      <c r="B30" s="9"/>
      <c r="C30" s="9"/>
      <c r="D30" s="9"/>
      <c r="E30" s="9"/>
      <c r="F30" s="17"/>
      <c r="G30" s="17"/>
      <c r="H30" s="17"/>
      <c r="I30" s="17"/>
      <c r="J30" s="17"/>
      <c r="M30" s="18"/>
    </row>
    <row r="32" spans="1:20" x14ac:dyDescent="0.25">
      <c r="A32" s="19"/>
      <c r="B32" s="5"/>
    </row>
    <row r="33" spans="1:2" x14ac:dyDescent="0.25">
      <c r="A33" s="19"/>
      <c r="B33" s="5"/>
    </row>
    <row r="34" spans="1:2" x14ac:dyDescent="0.25">
      <c r="A34" s="21"/>
      <c r="B34" s="5"/>
    </row>
  </sheetData>
  <mergeCells count="8">
    <mergeCell ref="L4:M4"/>
    <mergeCell ref="L5:L6"/>
    <mergeCell ref="M5:M6"/>
    <mergeCell ref="A1:M1"/>
    <mergeCell ref="A2:M2"/>
    <mergeCell ref="B4:D4"/>
    <mergeCell ref="F4:H4"/>
    <mergeCell ref="J4:K4"/>
  </mergeCells>
  <pageMargins left="0.7" right="0.7" top="0.75" bottom="0.57999999999999996" header="0.3" footer="0.3"/>
  <pageSetup paperSize="9" scale="99" orientation="landscape" horizontalDpi="4294967295" verticalDpi="4294967295" r:id="rId1"/>
  <rowBreaks count="1" manualBreakCount="1">
    <brk id="31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7.9</vt:lpstr>
      <vt:lpstr>'7.9'!Print_Area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2017-06-08T07:52:18Z</cp:lastPrinted>
  <dcterms:created xsi:type="dcterms:W3CDTF">2014-03-05T03:36:41Z</dcterms:created>
  <dcterms:modified xsi:type="dcterms:W3CDTF">2017-06-08T07:52:20Z</dcterms:modified>
</cp:coreProperties>
</file>