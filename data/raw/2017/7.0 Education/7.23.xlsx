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7. EDUCATION\"/>
    </mc:Choice>
  </mc:AlternateContent>
  <bookViews>
    <workbookView xWindow="930" yWindow="0" windowWidth="20730" windowHeight="11760" tabRatio="880"/>
  </bookViews>
  <sheets>
    <sheet name="7.23" sheetId="35" r:id="rId1"/>
  </sheets>
  <definedNames>
    <definedName name="_xlnm.Print_Area" localSheetId="0">'7.23'!$A$1:$W$25</definedName>
  </definedNames>
  <calcPr calcId="162913"/>
</workbook>
</file>

<file path=xl/calcChain.xml><?xml version="1.0" encoding="utf-8"?>
<calcChain xmlns="http://schemas.openxmlformats.org/spreadsheetml/2006/main">
  <c r="N8" i="35" l="1"/>
  <c r="G8" i="35"/>
  <c r="F8" i="35"/>
  <c r="R21" i="35"/>
  <c r="R8" i="35" s="1"/>
  <c r="R20" i="35"/>
  <c r="H8" i="35" l="1"/>
  <c r="F9" i="35"/>
  <c r="P21" i="35" l="1"/>
  <c r="O21" i="35"/>
  <c r="F21" i="35"/>
  <c r="P20" i="35"/>
  <c r="O20" i="35"/>
  <c r="J20" i="35"/>
  <c r="F20" i="35"/>
  <c r="R19" i="35"/>
  <c r="P19" i="35"/>
  <c r="O19" i="35"/>
  <c r="J19" i="35"/>
  <c r="F19" i="35"/>
  <c r="R18" i="35"/>
  <c r="P18" i="35"/>
  <c r="O18" i="35"/>
  <c r="J18" i="35"/>
  <c r="F18" i="35"/>
  <c r="N18" i="35" s="1"/>
  <c r="R17" i="35"/>
  <c r="P17" i="35"/>
  <c r="O17" i="35"/>
  <c r="J17" i="35"/>
  <c r="F17" i="35"/>
  <c r="N17" i="35" s="1"/>
  <c r="P16" i="35"/>
  <c r="O16" i="35"/>
  <c r="J16" i="35"/>
  <c r="F16" i="35"/>
  <c r="R14" i="35"/>
  <c r="P14" i="35"/>
  <c r="O14" i="35"/>
  <c r="J14" i="35"/>
  <c r="N14" i="35" s="1"/>
  <c r="F14" i="35"/>
  <c r="R13" i="35"/>
  <c r="P13" i="35"/>
  <c r="O13" i="35"/>
  <c r="J13" i="35"/>
  <c r="F13" i="35"/>
  <c r="R12" i="35"/>
  <c r="P12" i="35"/>
  <c r="O12" i="35"/>
  <c r="J12" i="35"/>
  <c r="F12" i="35"/>
  <c r="N12" i="35" s="1"/>
  <c r="R11" i="35"/>
  <c r="P11" i="35"/>
  <c r="O11" i="35"/>
  <c r="J11" i="35"/>
  <c r="F11" i="35"/>
  <c r="N11" i="35" s="1"/>
  <c r="V8" i="35"/>
  <c r="U8" i="35"/>
  <c r="T8" i="35"/>
  <c r="S8" i="35"/>
  <c r="N19" i="35" l="1"/>
  <c r="N21" i="35"/>
  <c r="N20" i="35"/>
  <c r="N16" i="35"/>
  <c r="N13" i="35"/>
  <c r="P9" i="35" l="1"/>
  <c r="L8" i="35"/>
  <c r="P8" i="35" s="1"/>
  <c r="O9" i="35"/>
  <c r="K8" i="35"/>
  <c r="O8" i="35" s="1"/>
  <c r="J9" i="35"/>
  <c r="N9" i="35" s="1"/>
  <c r="J8" i="35" l="1"/>
</calcChain>
</file>

<file path=xl/sharedStrings.xml><?xml version="1.0" encoding="utf-8"?>
<sst xmlns="http://schemas.openxmlformats.org/spreadsheetml/2006/main" count="140" uniqueCount="58">
  <si>
    <t>Both Sexes</t>
  </si>
  <si>
    <t>Male</t>
  </si>
  <si>
    <t>Female</t>
  </si>
  <si>
    <t>Total</t>
  </si>
  <si>
    <t>Private</t>
  </si>
  <si>
    <t>ޖުމްލަ</t>
  </si>
  <si>
    <t xml:space="preserve">Total </t>
  </si>
  <si>
    <t>Maldives Polytechnic</t>
  </si>
  <si>
    <t>މޯލްޑިވްސް ޕޮލިޓެކްނިކް</t>
  </si>
  <si>
    <t>Institution</t>
  </si>
  <si>
    <t xml:space="preserve">Type of Institution
</t>
  </si>
  <si>
    <t>Students Enrolled</t>
  </si>
  <si>
    <t>Graduate output</t>
  </si>
  <si>
    <r>
      <t>Repeaters</t>
    </r>
    <r>
      <rPr>
        <b/>
        <vertAlign val="superscript"/>
        <sz val="10"/>
        <color theme="1"/>
        <rFont val="Calibri"/>
        <family val="2"/>
        <scheme val="minor"/>
      </rPr>
      <t>2_/</t>
    </r>
  </si>
  <si>
    <t>Dropouts</t>
  </si>
  <si>
    <t>މަރުކަޒު</t>
  </si>
  <si>
    <t>Full time</t>
  </si>
  <si>
    <t>Part time</t>
  </si>
  <si>
    <t>ރިޕީޓްކުރި އަދަދު</t>
  </si>
  <si>
    <t>ވަކިވި އަދަދު</t>
  </si>
  <si>
    <t>ދެޖިންސް</t>
  </si>
  <si>
    <t>ފިރިހެން</t>
  </si>
  <si>
    <t>އަންހެން</t>
  </si>
  <si>
    <t>Villa College</t>
  </si>
  <si>
    <t>College</t>
  </si>
  <si>
    <t>NA</t>
  </si>
  <si>
    <t>ވިލާ ކޮލެޖް</t>
  </si>
  <si>
    <t>MAPS College</t>
  </si>
  <si>
    <t>މެޕްސް ކޮލެޖް</t>
  </si>
  <si>
    <t>Govt.</t>
  </si>
  <si>
    <t>Polytechnic</t>
  </si>
  <si>
    <t>Mandhu College</t>
  </si>
  <si>
    <t>މަންދު ކޮލެޖް</t>
  </si>
  <si>
    <t>Clique College</t>
  </si>
  <si>
    <t>ކްލީކް ކޮލެޖް</t>
  </si>
  <si>
    <t>Islamic University of Maldives</t>
  </si>
  <si>
    <t>University</t>
  </si>
  <si>
    <t>ދިވެހިރާއްޖޭގެ އިސްލާމީ ޔުނިވަރސިޓީ</t>
  </si>
  <si>
    <t>The Maldives Natonal University</t>
  </si>
  <si>
    <t>ދިވެހިރާއްޖޭގެ ޤައުމީ ޔުނިވަރސިޓީ</t>
  </si>
  <si>
    <t>Maldives Business School</t>
  </si>
  <si>
    <t>މޯލްޑިވްސްބިޒްނަސް ސްކޫލް</t>
  </si>
  <si>
    <t>AVID College</t>
  </si>
  <si>
    <t>އެވިޑް ކޮލެޖް</t>
  </si>
  <si>
    <t>College of Defence and Securituy Studies</t>
  </si>
  <si>
    <t>ކޮލެޖް އޮފް ޑިފެންސް އެންޑް ސެކިއުރިޓީ ސްޓަޑީޒް</t>
  </si>
  <si>
    <t>Institute for Security and Law Enforcement Studies / Maldives Police Service</t>
  </si>
  <si>
    <t>އިންސްޓިޓިއުޓް ފޮރ ސެކިއުރިޓީ އެންޑް  ލޯ އެންފޯރސްމަންޓް ސްޓަޑީޒް / މޯލްޑިވްސް ޕޮލިސް ސަރވިސް</t>
  </si>
  <si>
    <t>MIANZ International College</t>
  </si>
  <si>
    <t>މިއާންޒް އިންޓަރނޭޝަނަލް ކޮލެޖް</t>
  </si>
  <si>
    <t>Cyryx College</t>
  </si>
  <si>
    <t>ސައިރިކްސް ކޮލެޖް</t>
  </si>
  <si>
    <r>
      <rPr>
        <vertAlign val="superscript"/>
        <sz val="10"/>
        <color theme="1"/>
        <rFont val="Calibri"/>
        <family val="2"/>
        <scheme val="minor"/>
      </rPr>
      <t>1_/</t>
    </r>
    <r>
      <rPr>
        <sz val="10"/>
        <color theme="1"/>
        <rFont val="Calibri"/>
        <family val="2"/>
        <scheme val="minor"/>
      </rPr>
      <t>: Students are allowed to repeat individual subjects not the whole course</t>
    </r>
  </si>
  <si>
    <r>
      <rPr>
        <vertAlign val="superscript"/>
        <sz val="10"/>
        <color theme="1"/>
        <rFont val="Calibri"/>
        <family val="2"/>
        <scheme val="minor"/>
      </rPr>
      <t xml:space="preserve">2_/  </t>
    </r>
    <r>
      <rPr>
        <sz val="10"/>
        <color theme="1"/>
        <rFont val="Calibri"/>
        <family val="2"/>
        <scheme val="minor"/>
      </rPr>
      <t xml:space="preserve">Students who have repeated individual modules due to lack of attendance/ failure of modules      </t>
    </r>
  </si>
  <si>
    <t xml:space="preserve">Note: NA= Data not available </t>
  </si>
  <si>
    <t xml:space="preserve">Source: Department of Higher Education </t>
  </si>
  <si>
    <t>TABLE 7.23: STUDENT ENROLMENT AND GRADUATE OUTPUT IN HIGHER EDUCATION INSTITUTIONS IN MALDIVES BY SEX, 2016</t>
  </si>
  <si>
    <t xml:space="preserve">2016 ،ތާވަލު 7.23 : މަތީ ތަޢުލީމުދޭ މަރްކަޒުތަކުގައި ކިޔަވަމުންދާ އަދި ދަސްވެނިވި ކުދިންގެ އަދަދު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</si>
</sst>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Faruma"/>
    </font>
    <font>
      <sz val="10"/>
      <color theme="1"/>
      <name val="Courier"/>
      <family val="3"/>
    </font>
    <font>
      <sz val="10"/>
      <color theme="1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b/>
      <sz val="10"/>
      <color theme="1"/>
      <name val="A_Randhoo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vertAlign val="superscript"/>
      <sz val="10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theme="1"/>
      <name val="Faruma"/>
    </font>
    <font>
      <b/>
      <i/>
      <sz val="16"/>
      <name val="Helv"/>
    </font>
    <font>
      <b/>
      <sz val="14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1" fillId="0" borderId="0" applyFont="0" applyFill="0" applyBorder="0" applyAlignment="0" applyProtection="0"/>
    <xf numFmtId="164" fontId="2" fillId="0" borderId="0"/>
    <xf numFmtId="0" fontId="1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19" fillId="0" borderId="0"/>
    <xf numFmtId="171" fontId="2" fillId="0" borderId="0"/>
    <xf numFmtId="0" fontId="11" fillId="0" borderId="0"/>
    <xf numFmtId="0" fontId="11" fillId="0" borderId="0"/>
    <xf numFmtId="171" fontId="2" fillId="0" borderId="0"/>
    <xf numFmtId="0" fontId="11" fillId="0" borderId="0"/>
    <xf numFmtId="0" fontId="11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11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  <xf numFmtId="0" fontId="2" fillId="0" borderId="0"/>
  </cellStyleXfs>
  <cellXfs count="89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/>
    <xf numFmtId="0" fontId="8" fillId="2" borderId="0" xfId="143" applyNumberFormat="1" applyFont="1" applyFill="1" applyBorder="1"/>
    <xf numFmtId="165" fontId="6" fillId="2" borderId="0" xfId="143" applyFont="1" applyFill="1"/>
    <xf numFmtId="0" fontId="1" fillId="2" borderId="0" xfId="0" applyNumberFormat="1" applyFont="1" applyFill="1" applyBorder="1"/>
    <xf numFmtId="0" fontId="9" fillId="2" borderId="7" xfId="143" applyNumberFormat="1" applyFont="1" applyFill="1" applyBorder="1" applyAlignment="1">
      <alignment horizontal="center" vertical="center" wrapText="1"/>
    </xf>
    <xf numFmtId="0" fontId="9" fillId="2" borderId="7" xfId="143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/>
    <xf numFmtId="0" fontId="12" fillId="2" borderId="0" xfId="143" applyNumberFormat="1" applyFont="1" applyFill="1" applyBorder="1" applyAlignment="1" applyProtection="1">
      <alignment horizontal="center" vertical="center" wrapText="1"/>
    </xf>
    <xf numFmtId="0" fontId="9" fillId="2" borderId="0" xfId="143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12" fillId="2" borderId="4" xfId="143" applyNumberFormat="1" applyFont="1" applyFill="1" applyBorder="1" applyAlignment="1" applyProtection="1">
      <alignment horizontal="center" vertical="center" wrapText="1"/>
    </xf>
    <xf numFmtId="0" fontId="9" fillId="2" borderId="4" xfId="143" applyNumberFormat="1" applyFont="1" applyFill="1" applyBorder="1" applyAlignment="1">
      <alignment horizontal="right" vertical="center"/>
    </xf>
    <xf numFmtId="0" fontId="9" fillId="2" borderId="0" xfId="143" applyNumberFormat="1" applyFont="1" applyFill="1" applyBorder="1" applyAlignment="1">
      <alignment horizontal="right" vertical="center"/>
    </xf>
    <xf numFmtId="0" fontId="9" fillId="2" borderId="4" xfId="0" applyNumberFormat="1" applyFont="1" applyFill="1" applyBorder="1" applyAlignment="1">
      <alignment horizontal="center" vertical="center"/>
    </xf>
    <xf numFmtId="0" fontId="8" fillId="2" borderId="5" xfId="143" applyNumberFormat="1" applyFont="1" applyFill="1" applyBorder="1" applyAlignment="1">
      <alignment horizontal="center" vertical="center"/>
    </xf>
    <xf numFmtId="0" fontId="12" fillId="2" borderId="5" xfId="143" applyNumberFormat="1" applyFont="1" applyFill="1" applyBorder="1" applyAlignment="1" applyProtection="1">
      <alignment horizontal="center" vertical="center" wrapText="1"/>
    </xf>
    <xf numFmtId="0" fontId="18" fillId="2" borderId="0" xfId="143" applyNumberFormat="1" applyFont="1" applyFill="1" applyBorder="1" applyAlignment="1">
      <alignment horizontal="right" vertical="center"/>
    </xf>
    <xf numFmtId="0" fontId="9" fillId="2" borderId="0" xfId="143" applyNumberFormat="1" applyFont="1" applyFill="1" applyBorder="1" applyAlignment="1">
      <alignment vertical="center"/>
    </xf>
    <xf numFmtId="0" fontId="9" fillId="2" borderId="0" xfId="0" applyNumberFormat="1" applyFont="1" applyFill="1" applyBorder="1" applyAlignment="1">
      <alignment vertical="center"/>
    </xf>
    <xf numFmtId="0" fontId="8" fillId="2" borderId="0" xfId="143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vertical="center"/>
    </xf>
    <xf numFmtId="0" fontId="8" fillId="2" borderId="0" xfId="143" applyNumberFormat="1" applyFont="1" applyFill="1" applyBorder="1" applyAlignment="1">
      <alignment horizontal="center" vertical="center"/>
    </xf>
    <xf numFmtId="0" fontId="8" fillId="2" borderId="0" xfId="143" applyNumberFormat="1" applyFont="1" applyFill="1" applyBorder="1" applyAlignment="1">
      <alignment horizontal="left" vertical="center" wrapText="1"/>
    </xf>
    <xf numFmtId="0" fontId="8" fillId="2" borderId="0" xfId="143" applyNumberFormat="1" applyFont="1" applyFill="1" applyBorder="1" applyAlignment="1" applyProtection="1">
      <alignment horizontal="center" vertical="center" wrapText="1"/>
    </xf>
    <xf numFmtId="0" fontId="8" fillId="2" borderId="0" xfId="143" applyNumberFormat="1" applyFont="1" applyFill="1" applyBorder="1" applyAlignment="1" applyProtection="1">
      <alignment horizontal="left"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5" xfId="143" applyNumberFormat="1" applyFont="1" applyFill="1" applyBorder="1" applyAlignment="1">
      <alignment horizontal="left" vertical="center" wrapText="1"/>
    </xf>
    <xf numFmtId="0" fontId="8" fillId="2" borderId="5" xfId="143" applyNumberFormat="1" applyFont="1" applyFill="1" applyBorder="1" applyAlignment="1" applyProtection="1">
      <alignment horizontal="center" vertical="center" wrapText="1"/>
    </xf>
    <xf numFmtId="0" fontId="7" fillId="2" borderId="0" xfId="143" applyNumberFormat="1" applyFont="1" applyFill="1" applyBorder="1" applyAlignment="1">
      <alignment horizontal="right" vertical="center"/>
    </xf>
    <xf numFmtId="0" fontId="8" fillId="2" borderId="0" xfId="0" applyNumberFormat="1" applyFont="1" applyFill="1" applyBorder="1" applyAlignment="1">
      <alignment horizontal="center" vertical="center"/>
    </xf>
    <xf numFmtId="0" fontId="1" fillId="2" borderId="0" xfId="143" applyNumberFormat="1" applyFont="1" applyFill="1" applyBorder="1" applyAlignment="1">
      <alignment horizontal="right" vertical="center"/>
    </xf>
    <xf numFmtId="0" fontId="1" fillId="2" borderId="0" xfId="143" applyNumberFormat="1" applyFont="1" applyFill="1" applyBorder="1"/>
    <xf numFmtId="165" fontId="5" fillId="2" borderId="0" xfId="162" applyNumberFormat="1" applyFont="1" applyFill="1" applyAlignment="1">
      <alignment horizontal="right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143" applyNumberFormat="1" applyFont="1" applyFill="1" applyBorder="1" applyAlignment="1">
      <alignment horizontal="center" vertical="center" wrapText="1"/>
    </xf>
    <xf numFmtId="0" fontId="1" fillId="2" borderId="0" xfId="143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right" vertical="center"/>
    </xf>
    <xf numFmtId="0" fontId="8" fillId="2" borderId="0" xfId="143" applyNumberFormat="1" applyFont="1" applyFill="1" applyBorder="1" applyAlignment="1">
      <alignment horizontal="left" vertical="center"/>
    </xf>
    <xf numFmtId="0" fontId="9" fillId="2" borderId="7" xfId="143" applyNumberFormat="1" applyFont="1" applyFill="1" applyBorder="1" applyAlignment="1">
      <alignment horizontal="left" vertical="center" wrapText="1"/>
    </xf>
    <xf numFmtId="0" fontId="9" fillId="2" borderId="7" xfId="143" applyNumberFormat="1" applyFont="1" applyFill="1" applyBorder="1" applyAlignment="1">
      <alignment vertical="center" wrapText="1"/>
    </xf>
    <xf numFmtId="0" fontId="9" fillId="2" borderId="7" xfId="143" applyNumberFormat="1" applyFont="1" applyFill="1" applyBorder="1" applyAlignment="1">
      <alignment vertical="center"/>
    </xf>
    <xf numFmtId="0" fontId="17" fillId="2" borderId="7" xfId="143" applyNumberFormat="1" applyFont="1" applyFill="1" applyBorder="1" applyAlignment="1">
      <alignment horizontal="right" vertical="center"/>
    </xf>
    <xf numFmtId="3" fontId="9" fillId="2" borderId="7" xfId="0" applyNumberFormat="1" applyFont="1" applyFill="1" applyBorder="1" applyAlignment="1">
      <alignment horizontal="right" vertical="center"/>
    </xf>
    <xf numFmtId="37" fontId="8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37" fontId="8" fillId="2" borderId="0" xfId="1" applyNumberFormat="1" applyFont="1" applyFill="1" applyBorder="1" applyAlignment="1">
      <alignment horizontal="right" vertical="center" wrapText="1"/>
    </xf>
    <xf numFmtId="37" fontId="8" fillId="3" borderId="0" xfId="1" applyNumberFormat="1" applyFont="1" applyFill="1" applyBorder="1" applyAlignment="1" applyProtection="1">
      <alignment horizontal="right" vertical="center" wrapText="1"/>
    </xf>
    <xf numFmtId="37" fontId="8" fillId="2" borderId="0" xfId="1" applyNumberFormat="1" applyFont="1" applyFill="1" applyBorder="1" applyAlignment="1" applyProtection="1">
      <alignment horizontal="right" vertical="center" wrapText="1"/>
    </xf>
    <xf numFmtId="37" fontId="8" fillId="2" borderId="5" xfId="1" applyNumberFormat="1" applyFont="1" applyFill="1" applyBorder="1" applyAlignment="1">
      <alignment horizontal="right" vertical="center"/>
    </xf>
    <xf numFmtId="37" fontId="8" fillId="2" borderId="5" xfId="1" applyNumberFormat="1" applyFont="1" applyFill="1" applyBorder="1" applyAlignment="1">
      <alignment horizontal="right" vertical="center" wrapText="1"/>
    </xf>
    <xf numFmtId="0" fontId="16" fillId="2" borderId="0" xfId="143" applyNumberFormat="1" applyFont="1" applyFill="1" applyBorder="1" applyAlignment="1">
      <alignment horizontal="right" vertical="center" indent="1"/>
    </xf>
    <xf numFmtId="0" fontId="16" fillId="2" borderId="0" xfId="143" applyNumberFormat="1" applyFont="1" applyFill="1" applyBorder="1" applyAlignment="1">
      <alignment horizontal="right" vertical="center" wrapText="1" indent="1"/>
    </xf>
    <xf numFmtId="0" fontId="16" fillId="2" borderId="5" xfId="143" applyNumberFormat="1" applyFont="1" applyFill="1" applyBorder="1" applyAlignment="1">
      <alignment horizontal="right" vertical="center" indent="1"/>
    </xf>
    <xf numFmtId="0" fontId="9" fillId="2" borderId="2" xfId="143" applyNumberFormat="1" applyFont="1" applyFill="1" applyBorder="1" applyAlignment="1">
      <alignment horizontal="center" vertical="center"/>
    </xf>
    <xf numFmtId="0" fontId="9" fillId="2" borderId="3" xfId="143" applyNumberFormat="1" applyFont="1" applyFill="1" applyBorder="1" applyAlignment="1">
      <alignment horizontal="center" vertical="center"/>
    </xf>
    <xf numFmtId="0" fontId="9" fillId="2" borderId="3" xfId="143" applyNumberFormat="1" applyFont="1" applyFill="1" applyBorder="1" applyAlignment="1">
      <alignment horizontal="right" vertical="center"/>
    </xf>
    <xf numFmtId="0" fontId="18" fillId="2" borderId="3" xfId="143" applyNumberFormat="1" applyFont="1" applyFill="1" applyBorder="1" applyAlignment="1">
      <alignment horizontal="right" vertical="center"/>
    </xf>
    <xf numFmtId="3" fontId="9" fillId="2" borderId="2" xfId="0" applyNumberFormat="1" applyFont="1" applyFill="1" applyBorder="1" applyAlignment="1">
      <alignment horizontal="right" vertical="center"/>
    </xf>
    <xf numFmtId="37" fontId="8" fillId="2" borderId="3" xfId="1" applyNumberFormat="1" applyFont="1" applyFill="1" applyBorder="1" applyAlignment="1">
      <alignment horizontal="right" vertical="center"/>
    </xf>
    <xf numFmtId="37" fontId="9" fillId="2" borderId="3" xfId="1" applyNumberFormat="1" applyFont="1" applyFill="1" applyBorder="1" applyAlignment="1">
      <alignment horizontal="right" vertical="center"/>
    </xf>
    <xf numFmtId="37" fontId="8" fillId="2" borderId="6" xfId="1" applyNumberFormat="1" applyFont="1" applyFill="1" applyBorder="1" applyAlignment="1">
      <alignment horizontal="right" vertical="center"/>
    </xf>
    <xf numFmtId="0" fontId="22" fillId="2" borderId="0" xfId="143" applyNumberFormat="1" applyFont="1" applyFill="1" applyBorder="1" applyAlignment="1">
      <alignment horizontal="left" vertical="center"/>
    </xf>
    <xf numFmtId="165" fontId="10" fillId="2" borderId="0" xfId="143" applyNumberFormat="1" applyFont="1" applyFill="1" applyBorder="1" applyAlignment="1">
      <alignment horizontal="center" vertical="center" readingOrder="1"/>
    </xf>
    <xf numFmtId="165" fontId="4" fillId="2" borderId="0" xfId="155" applyNumberFormat="1" applyFont="1" applyFill="1" applyBorder="1" applyAlignment="1">
      <alignment horizontal="center" vertical="center"/>
    </xf>
    <xf numFmtId="0" fontId="9" fillId="2" borderId="7" xfId="143" applyNumberFormat="1" applyFont="1" applyFill="1" applyBorder="1" applyAlignment="1">
      <alignment horizontal="left" vertical="center"/>
    </xf>
    <xf numFmtId="0" fontId="9" fillId="2" borderId="0" xfId="143" applyNumberFormat="1" applyFont="1" applyFill="1" applyBorder="1" applyAlignment="1">
      <alignment horizontal="left" vertical="center"/>
    </xf>
    <xf numFmtId="0" fontId="9" fillId="2" borderId="5" xfId="143" applyNumberFormat="1" applyFont="1" applyFill="1" applyBorder="1" applyAlignment="1">
      <alignment horizontal="left" vertical="center"/>
    </xf>
    <xf numFmtId="0" fontId="9" fillId="2" borderId="7" xfId="143" applyNumberFormat="1" applyFont="1" applyFill="1" applyBorder="1" applyAlignment="1">
      <alignment horizontal="center" vertical="center" wrapText="1"/>
    </xf>
    <xf numFmtId="0" fontId="9" fillId="2" borderId="0" xfId="143" applyNumberFormat="1" applyFont="1" applyFill="1" applyBorder="1" applyAlignment="1">
      <alignment horizontal="center" vertical="center" wrapText="1"/>
    </xf>
    <xf numFmtId="0" fontId="9" fillId="2" borderId="5" xfId="143" applyNumberFormat="1" applyFont="1" applyFill="1" applyBorder="1" applyAlignment="1">
      <alignment horizontal="center" vertical="center" wrapText="1"/>
    </xf>
    <xf numFmtId="0" fontId="18" fillId="2" borderId="7" xfId="143" applyNumberFormat="1" applyFont="1" applyFill="1" applyBorder="1" applyAlignment="1">
      <alignment horizontal="right" vertical="center"/>
    </xf>
    <xf numFmtId="0" fontId="18" fillId="2" borderId="0" xfId="143" applyNumberFormat="1" applyFont="1" applyFill="1" applyBorder="1" applyAlignment="1">
      <alignment horizontal="right" vertical="center"/>
    </xf>
    <xf numFmtId="0" fontId="18" fillId="2" borderId="5" xfId="143" applyNumberFormat="1" applyFont="1" applyFill="1" applyBorder="1" applyAlignment="1">
      <alignment horizontal="right" vertical="center"/>
    </xf>
    <xf numFmtId="0" fontId="9" fillId="2" borderId="0" xfId="143" applyNumberFormat="1" applyFont="1" applyFill="1" applyBorder="1" applyAlignment="1">
      <alignment horizontal="center" vertical="center"/>
    </xf>
    <xf numFmtId="0" fontId="18" fillId="2" borderId="0" xfId="143" applyNumberFormat="1" applyFont="1" applyFill="1" applyBorder="1" applyAlignment="1">
      <alignment horizontal="center" vertical="center" wrapText="1"/>
    </xf>
    <xf numFmtId="0" fontId="20" fillId="2" borderId="5" xfId="143" applyNumberFormat="1" applyFont="1" applyFill="1" applyBorder="1" applyAlignment="1">
      <alignment horizontal="center" vertical="center"/>
    </xf>
    <xf numFmtId="0" fontId="8" fillId="2" borderId="1" xfId="143" applyNumberFormat="1" applyFont="1" applyFill="1" applyBorder="1" applyAlignment="1">
      <alignment horizontal="center" vertical="center"/>
    </xf>
    <xf numFmtId="0" fontId="8" fillId="2" borderId="7" xfId="143" applyNumberFormat="1" applyFont="1" applyFill="1" applyBorder="1" applyAlignment="1">
      <alignment horizontal="center" vertical="center"/>
    </xf>
    <xf numFmtId="0" fontId="9" fillId="2" borderId="1" xfId="143" applyNumberFormat="1" applyFont="1" applyFill="1" applyBorder="1" applyAlignment="1">
      <alignment horizontal="center" vertical="center"/>
    </xf>
    <xf numFmtId="0" fontId="9" fillId="2" borderId="7" xfId="143" applyNumberFormat="1" applyFont="1" applyFill="1" applyBorder="1" applyAlignment="1">
      <alignment horizontal="center" vertical="center"/>
    </xf>
    <xf numFmtId="0" fontId="9" fillId="2" borderId="9" xfId="143" applyNumberFormat="1" applyFont="1" applyFill="1" applyBorder="1" applyAlignment="1">
      <alignment horizontal="center" vertical="center"/>
    </xf>
    <xf numFmtId="0" fontId="8" fillId="2" borderId="0" xfId="143" applyNumberFormat="1" applyFont="1" applyFill="1" applyBorder="1" applyAlignment="1">
      <alignment horizontal="left" vertical="center" wrapText="1"/>
    </xf>
    <xf numFmtId="37" fontId="8" fillId="2" borderId="8" xfId="1" applyNumberFormat="1" applyFont="1" applyFill="1" applyBorder="1" applyAlignment="1">
      <alignment horizontal="right" vertical="center"/>
    </xf>
    <xf numFmtId="1" fontId="9" fillId="2" borderId="7" xfId="0" applyNumberFormat="1" applyFont="1" applyFill="1" applyBorder="1" applyAlignment="1">
      <alignment horizontal="center" vertical="center"/>
    </xf>
    <xf numFmtId="1" fontId="8" fillId="2" borderId="0" xfId="1" applyNumberFormat="1" applyFont="1" applyFill="1" applyBorder="1" applyAlignment="1">
      <alignment horizontal="center" vertical="center" wrapText="1"/>
    </xf>
    <xf numFmtId="1" fontId="8" fillId="2" borderId="0" xfId="1" applyNumberFormat="1" applyFont="1" applyFill="1" applyBorder="1" applyAlignment="1">
      <alignment horizontal="center" vertical="center"/>
    </xf>
    <xf numFmtId="1" fontId="8" fillId="2" borderId="5" xfId="1" applyNumberFormat="1" applyFont="1" applyFill="1" applyBorder="1" applyAlignment="1">
      <alignment horizontal="center" vertical="center"/>
    </xf>
  </cellXfs>
  <cellStyles count="163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Normal_3 Population." xfId="162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N30"/>
  <sheetViews>
    <sheetView tabSelected="1" zoomScaleNormal="100" workbookViewId="0">
      <selection activeCell="N9" sqref="N9"/>
    </sheetView>
  </sheetViews>
  <sheetFormatPr defaultRowHeight="15" x14ac:dyDescent="0.25"/>
  <cols>
    <col min="1" max="1" width="4" style="35" customWidth="1"/>
    <col min="2" max="2" width="34.7109375" style="1" customWidth="1"/>
    <col min="3" max="3" width="10.140625" style="5" customWidth="1"/>
    <col min="4" max="4" width="15.5703125" style="5" customWidth="1"/>
    <col min="5" max="5" width="0.28515625" style="5" customWidth="1"/>
    <col min="6" max="8" width="8.7109375" style="38" customWidth="1"/>
    <col min="9" max="9" width="1.7109375" style="38" customWidth="1"/>
    <col min="10" max="12" width="8.7109375" style="38" customWidth="1"/>
    <col min="13" max="13" width="2.85546875" style="38" customWidth="1"/>
    <col min="14" max="14" width="7.7109375" style="38" customWidth="1"/>
    <col min="15" max="16" width="8.7109375" style="38" customWidth="1"/>
    <col min="17" max="17" width="1.28515625" style="38" customWidth="1"/>
    <col min="18" max="18" width="10" style="38" customWidth="1"/>
    <col min="19" max="20" width="8.7109375" style="38" customWidth="1"/>
    <col min="21" max="21" width="15.5703125" style="38" customWidth="1"/>
    <col min="22" max="22" width="10.7109375" style="38" customWidth="1"/>
    <col min="23" max="23" width="35.7109375" style="5" customWidth="1"/>
    <col min="24" max="24" width="25.5703125" style="5" customWidth="1"/>
    <col min="25" max="16384" width="9.140625" style="5"/>
  </cols>
  <sheetData>
    <row r="1" spans="1:66" s="2" customFormat="1" ht="25.5" customHeight="1" x14ac:dyDescent="0.2">
      <c r="A1" s="64" t="s">
        <v>57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x14ac:dyDescent="0.2">
      <c r="A2" s="65" t="s">
        <v>56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</row>
    <row r="3" spans="1:66" ht="21" customHeight="1" x14ac:dyDescent="0.2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66" s="8" customFormat="1" ht="16.5" customHeight="1" x14ac:dyDescent="0.2">
      <c r="A4" s="78"/>
      <c r="B4" s="66" t="s">
        <v>9</v>
      </c>
      <c r="C4" s="69" t="s">
        <v>10</v>
      </c>
      <c r="D4" s="69"/>
      <c r="E4" s="6"/>
      <c r="F4" s="80" t="s">
        <v>11</v>
      </c>
      <c r="G4" s="80"/>
      <c r="H4" s="80"/>
      <c r="I4" s="80"/>
      <c r="J4" s="80"/>
      <c r="K4" s="80"/>
      <c r="L4" s="80"/>
      <c r="M4" s="80"/>
      <c r="N4" s="80"/>
      <c r="O4" s="80"/>
      <c r="P4" s="80"/>
      <c r="Q4" s="55"/>
      <c r="R4" s="81" t="s">
        <v>12</v>
      </c>
      <c r="S4" s="81"/>
      <c r="T4" s="81"/>
      <c r="U4" s="81" t="s">
        <v>13</v>
      </c>
      <c r="V4" s="81" t="s">
        <v>14</v>
      </c>
      <c r="W4" s="72" t="s">
        <v>15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s="11" customFormat="1" ht="21.75" customHeight="1" x14ac:dyDescent="0.25">
      <c r="A5" s="78"/>
      <c r="B5" s="67"/>
      <c r="C5" s="70"/>
      <c r="D5" s="70"/>
      <c r="E5" s="9"/>
      <c r="F5" s="75" t="s">
        <v>16</v>
      </c>
      <c r="G5" s="75"/>
      <c r="H5" s="75"/>
      <c r="I5" s="10"/>
      <c r="J5" s="75" t="s">
        <v>17</v>
      </c>
      <c r="K5" s="75"/>
      <c r="L5" s="75"/>
      <c r="M5" s="10"/>
      <c r="N5" s="75" t="s">
        <v>3</v>
      </c>
      <c r="O5" s="75"/>
      <c r="P5" s="75"/>
      <c r="Q5" s="56"/>
      <c r="R5" s="82"/>
      <c r="S5" s="82"/>
      <c r="T5" s="82"/>
      <c r="U5" s="75"/>
      <c r="V5" s="75"/>
      <c r="W5" s="73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</row>
    <row r="6" spans="1:66" s="15" customFormat="1" ht="26.25" customHeight="1" x14ac:dyDescent="0.25">
      <c r="A6" s="79"/>
      <c r="B6" s="67"/>
      <c r="C6" s="70"/>
      <c r="D6" s="70"/>
      <c r="E6" s="12"/>
      <c r="F6" s="13" t="s">
        <v>0</v>
      </c>
      <c r="G6" s="13" t="s">
        <v>1</v>
      </c>
      <c r="H6" s="13" t="s">
        <v>2</v>
      </c>
      <c r="I6" s="14"/>
      <c r="J6" s="13" t="s">
        <v>0</v>
      </c>
      <c r="K6" s="13" t="s">
        <v>1</v>
      </c>
      <c r="L6" s="13" t="s">
        <v>2</v>
      </c>
      <c r="M6" s="14"/>
      <c r="N6" s="13" t="s">
        <v>0</v>
      </c>
      <c r="O6" s="13" t="s">
        <v>1</v>
      </c>
      <c r="P6" s="13" t="s">
        <v>2</v>
      </c>
      <c r="Q6" s="57"/>
      <c r="R6" s="14" t="s">
        <v>0</v>
      </c>
      <c r="S6" s="14" t="s">
        <v>1</v>
      </c>
      <c r="T6" s="14" t="s">
        <v>2</v>
      </c>
      <c r="U6" s="76" t="s">
        <v>18</v>
      </c>
      <c r="V6" s="76" t="s">
        <v>19</v>
      </c>
      <c r="W6" s="73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</row>
    <row r="7" spans="1:66" s="11" customFormat="1" ht="26.25" customHeight="1" x14ac:dyDescent="0.25">
      <c r="A7" s="16"/>
      <c r="B7" s="68"/>
      <c r="C7" s="71"/>
      <c r="D7" s="71"/>
      <c r="E7" s="17"/>
      <c r="F7" s="18" t="s">
        <v>20</v>
      </c>
      <c r="G7" s="18" t="s">
        <v>21</v>
      </c>
      <c r="H7" s="18" t="s">
        <v>22</v>
      </c>
      <c r="I7" s="18"/>
      <c r="J7" s="18" t="s">
        <v>20</v>
      </c>
      <c r="K7" s="18" t="s">
        <v>21</v>
      </c>
      <c r="L7" s="18" t="s">
        <v>22</v>
      </c>
      <c r="M7" s="18"/>
      <c r="N7" s="18" t="s">
        <v>20</v>
      </c>
      <c r="O7" s="18" t="s">
        <v>21</v>
      </c>
      <c r="P7" s="18" t="s">
        <v>22</v>
      </c>
      <c r="Q7" s="58"/>
      <c r="R7" s="18" t="s">
        <v>20</v>
      </c>
      <c r="S7" s="18" t="s">
        <v>21</v>
      </c>
      <c r="T7" s="18" t="s">
        <v>22</v>
      </c>
      <c r="U7" s="76"/>
      <c r="V7" s="76"/>
      <c r="W7" s="74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</row>
    <row r="8" spans="1:66" s="20" customFormat="1" ht="26.25" customHeight="1" x14ac:dyDescent="0.25">
      <c r="A8" s="7"/>
      <c r="B8" s="40" t="s">
        <v>6</v>
      </c>
      <c r="C8" s="41"/>
      <c r="D8" s="42"/>
      <c r="E8" s="42"/>
      <c r="F8" s="44">
        <f>SUM(F9:F21)</f>
        <v>8794</v>
      </c>
      <c r="G8" s="44">
        <f>SUM(G9:G21)</f>
        <v>4726</v>
      </c>
      <c r="H8" s="44">
        <f>SUM(H9:H21)</f>
        <v>4068</v>
      </c>
      <c r="I8" s="44"/>
      <c r="J8" s="44">
        <f>SUM(J9:J21)</f>
        <v>658</v>
      </c>
      <c r="K8" s="44">
        <f>SUM(K9:K21)</f>
        <v>236</v>
      </c>
      <c r="L8" s="44">
        <f t="shared" ref="L8" si="0">SUM(L9:L21)</f>
        <v>422</v>
      </c>
      <c r="M8" s="44"/>
      <c r="N8" s="44">
        <f>F8+J8</f>
        <v>9452</v>
      </c>
      <c r="O8" s="44">
        <f>G8+K8</f>
        <v>4962</v>
      </c>
      <c r="P8" s="44">
        <f t="shared" ref="P8" si="1">H8+L8</f>
        <v>4490</v>
      </c>
      <c r="Q8" s="59"/>
      <c r="R8" s="44">
        <f>SUM(R9:R21)</f>
        <v>4846</v>
      </c>
      <c r="S8" s="44">
        <f t="shared" ref="S8:V8" si="2">SUM(S9:S21)</f>
        <v>2679</v>
      </c>
      <c r="T8" s="44">
        <f t="shared" si="2"/>
        <v>2167</v>
      </c>
      <c r="U8" s="85">
        <f t="shared" si="2"/>
        <v>285</v>
      </c>
      <c r="V8" s="85">
        <f t="shared" si="2"/>
        <v>450</v>
      </c>
      <c r="W8" s="43" t="s">
        <v>5</v>
      </c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</row>
    <row r="9" spans="1:66" s="22" customFormat="1" ht="26.25" customHeight="1" x14ac:dyDescent="0.25">
      <c r="A9" s="23"/>
      <c r="B9" s="24" t="s">
        <v>23</v>
      </c>
      <c r="C9" s="25" t="s">
        <v>4</v>
      </c>
      <c r="D9" s="25" t="s">
        <v>24</v>
      </c>
      <c r="E9" s="25"/>
      <c r="F9" s="45">
        <f>SUM(G9:H9)</f>
        <v>1535</v>
      </c>
      <c r="G9" s="46">
        <v>759</v>
      </c>
      <c r="H9" s="46">
        <v>776</v>
      </c>
      <c r="I9" s="45"/>
      <c r="J9" s="45">
        <f>K9+L9</f>
        <v>0</v>
      </c>
      <c r="K9" s="45">
        <v>0</v>
      </c>
      <c r="L9" s="45">
        <v>0</v>
      </c>
      <c r="M9" s="45"/>
      <c r="N9" s="45">
        <f>F9+J9</f>
        <v>1535</v>
      </c>
      <c r="O9" s="45">
        <f>G9+K9</f>
        <v>759</v>
      </c>
      <c r="P9" s="45">
        <f>H9+L9</f>
        <v>776</v>
      </c>
      <c r="Q9" s="60"/>
      <c r="R9" s="45" t="s">
        <v>25</v>
      </c>
      <c r="S9" s="45" t="s">
        <v>25</v>
      </c>
      <c r="T9" s="45" t="s">
        <v>25</v>
      </c>
      <c r="U9" s="86" t="s">
        <v>25</v>
      </c>
      <c r="V9" s="87" t="s">
        <v>25</v>
      </c>
      <c r="W9" s="52" t="s">
        <v>26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</row>
    <row r="10" spans="1:66" s="22" customFormat="1" ht="26.25" customHeight="1" x14ac:dyDescent="0.25">
      <c r="A10" s="23"/>
      <c r="B10" s="39" t="s">
        <v>27</v>
      </c>
      <c r="C10" s="25" t="s">
        <v>4</v>
      </c>
      <c r="D10" s="25" t="s">
        <v>24</v>
      </c>
      <c r="E10" s="25"/>
      <c r="F10" s="45" t="s">
        <v>25</v>
      </c>
      <c r="G10" s="48" t="s">
        <v>25</v>
      </c>
      <c r="H10" s="48" t="s">
        <v>25</v>
      </c>
      <c r="I10" s="45"/>
      <c r="J10" s="45" t="s">
        <v>25</v>
      </c>
      <c r="K10" s="45" t="s">
        <v>25</v>
      </c>
      <c r="L10" s="45" t="s">
        <v>25</v>
      </c>
      <c r="M10" s="45"/>
      <c r="N10" s="45" t="s">
        <v>25</v>
      </c>
      <c r="O10" s="45" t="s">
        <v>25</v>
      </c>
      <c r="P10" s="45" t="s">
        <v>25</v>
      </c>
      <c r="Q10" s="60"/>
      <c r="R10" s="45" t="s">
        <v>25</v>
      </c>
      <c r="S10" s="45" t="s">
        <v>25</v>
      </c>
      <c r="T10" s="45" t="s">
        <v>25</v>
      </c>
      <c r="U10" s="87" t="s">
        <v>25</v>
      </c>
      <c r="V10" s="87" t="s">
        <v>25</v>
      </c>
      <c r="W10" s="52" t="s">
        <v>28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</row>
    <row r="11" spans="1:66" s="22" customFormat="1" ht="21" x14ac:dyDescent="0.25">
      <c r="A11" s="23"/>
      <c r="B11" s="24" t="s">
        <v>7</v>
      </c>
      <c r="C11" s="25" t="s">
        <v>29</v>
      </c>
      <c r="D11" s="25" t="s">
        <v>30</v>
      </c>
      <c r="E11" s="25"/>
      <c r="F11" s="45">
        <f t="shared" ref="F11:F14" si="3">SUM(G11:H11)</f>
        <v>629</v>
      </c>
      <c r="G11" s="49">
        <v>569</v>
      </c>
      <c r="H11" s="49">
        <v>60</v>
      </c>
      <c r="I11" s="45"/>
      <c r="J11" s="45">
        <f t="shared" ref="J11:J13" si="4">K11+L11</f>
        <v>0</v>
      </c>
      <c r="K11" s="45">
        <v>0</v>
      </c>
      <c r="L11" s="45">
        <v>0</v>
      </c>
      <c r="M11" s="45"/>
      <c r="N11" s="45">
        <f t="shared" ref="N11:P14" si="5">F11+J11</f>
        <v>629</v>
      </c>
      <c r="O11" s="45">
        <f t="shared" si="5"/>
        <v>569</v>
      </c>
      <c r="P11" s="45">
        <f t="shared" si="5"/>
        <v>60</v>
      </c>
      <c r="Q11" s="60"/>
      <c r="R11" s="45">
        <f t="shared" ref="R11:R20" si="6">S11+T11</f>
        <v>134</v>
      </c>
      <c r="S11" s="45">
        <v>132</v>
      </c>
      <c r="T11" s="45">
        <v>2</v>
      </c>
      <c r="U11" s="87">
        <v>12</v>
      </c>
      <c r="V11" s="87">
        <v>186</v>
      </c>
      <c r="W11" s="52" t="s">
        <v>8</v>
      </c>
    </row>
    <row r="12" spans="1:66" s="22" customFormat="1" ht="21" x14ac:dyDescent="0.25">
      <c r="A12" s="23"/>
      <c r="B12" s="24" t="s">
        <v>31</v>
      </c>
      <c r="C12" s="25" t="s">
        <v>4</v>
      </c>
      <c r="D12" s="25" t="s">
        <v>24</v>
      </c>
      <c r="E12" s="25"/>
      <c r="F12" s="45">
        <f t="shared" si="3"/>
        <v>486</v>
      </c>
      <c r="G12" s="49">
        <v>170</v>
      </c>
      <c r="H12" s="49">
        <v>316</v>
      </c>
      <c r="I12" s="45"/>
      <c r="J12" s="45">
        <f t="shared" si="4"/>
        <v>0</v>
      </c>
      <c r="K12" s="45">
        <v>0</v>
      </c>
      <c r="L12" s="45">
        <v>0</v>
      </c>
      <c r="M12" s="45"/>
      <c r="N12" s="45">
        <f t="shared" si="5"/>
        <v>486</v>
      </c>
      <c r="O12" s="45">
        <f t="shared" si="5"/>
        <v>170</v>
      </c>
      <c r="P12" s="45">
        <f t="shared" si="5"/>
        <v>316</v>
      </c>
      <c r="Q12" s="60"/>
      <c r="R12" s="45">
        <f t="shared" si="6"/>
        <v>390</v>
      </c>
      <c r="S12" s="45">
        <v>108</v>
      </c>
      <c r="T12" s="45">
        <v>282</v>
      </c>
      <c r="U12" s="87" t="s">
        <v>25</v>
      </c>
      <c r="V12" s="87" t="s">
        <v>25</v>
      </c>
      <c r="W12" s="52" t="s">
        <v>32</v>
      </c>
    </row>
    <row r="13" spans="1:66" s="22" customFormat="1" ht="21" x14ac:dyDescent="0.25">
      <c r="A13" s="23"/>
      <c r="B13" s="24" t="s">
        <v>33</v>
      </c>
      <c r="C13" s="25" t="s">
        <v>4</v>
      </c>
      <c r="D13" s="25" t="s">
        <v>24</v>
      </c>
      <c r="E13" s="25"/>
      <c r="F13" s="45">
        <f t="shared" si="3"/>
        <v>558</v>
      </c>
      <c r="G13" s="47">
        <v>290</v>
      </c>
      <c r="H13" s="47">
        <v>268</v>
      </c>
      <c r="I13" s="45"/>
      <c r="J13" s="45">
        <f t="shared" si="4"/>
        <v>0</v>
      </c>
      <c r="K13" s="45">
        <v>0</v>
      </c>
      <c r="L13" s="45">
        <v>0</v>
      </c>
      <c r="M13" s="45"/>
      <c r="N13" s="45">
        <f t="shared" si="5"/>
        <v>558</v>
      </c>
      <c r="O13" s="45">
        <f t="shared" si="5"/>
        <v>290</v>
      </c>
      <c r="P13" s="45">
        <f t="shared" si="5"/>
        <v>268</v>
      </c>
      <c r="Q13" s="60"/>
      <c r="R13" s="45">
        <f t="shared" si="6"/>
        <v>129</v>
      </c>
      <c r="S13" s="45">
        <v>64</v>
      </c>
      <c r="T13" s="45">
        <v>65</v>
      </c>
      <c r="U13" s="87">
        <v>45</v>
      </c>
      <c r="V13" s="87">
        <v>72</v>
      </c>
      <c r="W13" s="52" t="s">
        <v>34</v>
      </c>
    </row>
    <row r="14" spans="1:66" s="22" customFormat="1" ht="21" x14ac:dyDescent="0.25">
      <c r="A14" s="23"/>
      <c r="B14" s="24" t="s">
        <v>35</v>
      </c>
      <c r="C14" s="25" t="s">
        <v>29</v>
      </c>
      <c r="D14" s="25" t="s">
        <v>36</v>
      </c>
      <c r="E14" s="26"/>
      <c r="F14" s="45">
        <f t="shared" si="3"/>
        <v>632</v>
      </c>
      <c r="G14" s="48">
        <v>214</v>
      </c>
      <c r="H14" s="48">
        <v>418</v>
      </c>
      <c r="I14" s="45"/>
      <c r="J14" s="45">
        <f>K14+L14</f>
        <v>620</v>
      </c>
      <c r="K14" s="45">
        <v>201</v>
      </c>
      <c r="L14" s="45">
        <v>419</v>
      </c>
      <c r="M14" s="45"/>
      <c r="N14" s="45">
        <f t="shared" si="5"/>
        <v>1252</v>
      </c>
      <c r="O14" s="45">
        <f>G14+K14</f>
        <v>415</v>
      </c>
      <c r="P14" s="45">
        <f>H14+L14</f>
        <v>837</v>
      </c>
      <c r="Q14" s="60"/>
      <c r="R14" s="45">
        <f t="shared" si="6"/>
        <v>715</v>
      </c>
      <c r="S14" s="45">
        <v>199</v>
      </c>
      <c r="T14" s="45">
        <v>516</v>
      </c>
      <c r="U14" s="87" t="s">
        <v>25</v>
      </c>
      <c r="V14" s="87" t="s">
        <v>25</v>
      </c>
      <c r="W14" s="52" t="s">
        <v>37</v>
      </c>
    </row>
    <row r="15" spans="1:66" s="22" customFormat="1" ht="29.25" customHeight="1" x14ac:dyDescent="0.25">
      <c r="A15" s="23"/>
      <c r="B15" s="24" t="s">
        <v>38</v>
      </c>
      <c r="C15" s="25" t="s">
        <v>29</v>
      </c>
      <c r="D15" s="25" t="s">
        <v>36</v>
      </c>
      <c r="E15" s="25"/>
      <c r="F15" s="45" t="s">
        <v>25</v>
      </c>
      <c r="G15" s="45" t="s">
        <v>25</v>
      </c>
      <c r="H15" s="45" t="s">
        <v>25</v>
      </c>
      <c r="I15" s="45"/>
      <c r="J15" s="45" t="s">
        <v>25</v>
      </c>
      <c r="K15" s="45" t="s">
        <v>25</v>
      </c>
      <c r="L15" s="45" t="s">
        <v>25</v>
      </c>
      <c r="M15" s="45"/>
      <c r="N15" s="45" t="s">
        <v>25</v>
      </c>
      <c r="O15" s="45" t="s">
        <v>25</v>
      </c>
      <c r="P15" s="45" t="s">
        <v>25</v>
      </c>
      <c r="Q15" s="61"/>
      <c r="R15" s="45" t="s">
        <v>25</v>
      </c>
      <c r="S15" s="45" t="s">
        <v>25</v>
      </c>
      <c r="T15" s="45" t="s">
        <v>25</v>
      </c>
      <c r="U15" s="87" t="s">
        <v>25</v>
      </c>
      <c r="V15" s="87" t="s">
        <v>25</v>
      </c>
      <c r="W15" s="52" t="s">
        <v>39</v>
      </c>
    </row>
    <row r="16" spans="1:66" s="22" customFormat="1" ht="21" x14ac:dyDescent="0.25">
      <c r="A16" s="23"/>
      <c r="B16" s="24" t="s">
        <v>40</v>
      </c>
      <c r="C16" s="25" t="s">
        <v>4</v>
      </c>
      <c r="D16" s="25" t="s">
        <v>24</v>
      </c>
      <c r="E16" s="25"/>
      <c r="F16" s="45">
        <f t="shared" ref="F16:F21" si="7">SUM(G16:H16)</f>
        <v>213</v>
      </c>
      <c r="G16" s="48">
        <v>121</v>
      </c>
      <c r="H16" s="48">
        <v>92</v>
      </c>
      <c r="I16" s="45"/>
      <c r="J16" s="45">
        <f t="shared" ref="J16" si="8">K16+L16</f>
        <v>0</v>
      </c>
      <c r="K16" s="45">
        <v>0</v>
      </c>
      <c r="L16" s="45">
        <v>0</v>
      </c>
      <c r="M16" s="45"/>
      <c r="N16" s="45">
        <f t="shared" ref="N16:P21" si="9">F16+J16</f>
        <v>213</v>
      </c>
      <c r="O16" s="45">
        <f t="shared" si="9"/>
        <v>121</v>
      </c>
      <c r="P16" s="45">
        <f t="shared" si="9"/>
        <v>92</v>
      </c>
      <c r="Q16" s="60"/>
      <c r="R16" s="45" t="s">
        <v>25</v>
      </c>
      <c r="S16" s="45" t="s">
        <v>25</v>
      </c>
      <c r="T16" s="45" t="s">
        <v>25</v>
      </c>
      <c r="U16" s="87" t="s">
        <v>25</v>
      </c>
      <c r="V16" s="87" t="s">
        <v>25</v>
      </c>
      <c r="W16" s="52" t="s">
        <v>41</v>
      </c>
    </row>
    <row r="17" spans="1:23" s="22" customFormat="1" ht="21" x14ac:dyDescent="0.25">
      <c r="A17" s="23"/>
      <c r="B17" s="24" t="s">
        <v>42</v>
      </c>
      <c r="C17" s="25" t="s">
        <v>4</v>
      </c>
      <c r="D17" s="25" t="s">
        <v>24</v>
      </c>
      <c r="E17" s="21"/>
      <c r="F17" s="45">
        <f t="shared" si="7"/>
        <v>705</v>
      </c>
      <c r="G17" s="48">
        <v>183</v>
      </c>
      <c r="H17" s="48">
        <v>522</v>
      </c>
      <c r="I17" s="45"/>
      <c r="J17" s="45">
        <f>K17+L17</f>
        <v>0</v>
      </c>
      <c r="K17" s="45">
        <v>0</v>
      </c>
      <c r="L17" s="45">
        <v>0</v>
      </c>
      <c r="M17" s="45"/>
      <c r="N17" s="45">
        <f>F17+J17</f>
        <v>705</v>
      </c>
      <c r="O17" s="45">
        <f t="shared" si="9"/>
        <v>183</v>
      </c>
      <c r="P17" s="45">
        <f t="shared" si="9"/>
        <v>522</v>
      </c>
      <c r="Q17" s="60"/>
      <c r="R17" s="45">
        <f t="shared" si="6"/>
        <v>623</v>
      </c>
      <c r="S17" s="45">
        <v>166</v>
      </c>
      <c r="T17" s="45">
        <v>457</v>
      </c>
      <c r="U17" s="87" t="s">
        <v>25</v>
      </c>
      <c r="V17" s="87" t="s">
        <v>25</v>
      </c>
      <c r="W17" s="52" t="s">
        <v>43</v>
      </c>
    </row>
    <row r="18" spans="1:23" s="22" customFormat="1" ht="21" x14ac:dyDescent="0.25">
      <c r="A18" s="23"/>
      <c r="B18" s="24" t="s">
        <v>44</v>
      </c>
      <c r="C18" s="25" t="s">
        <v>29</v>
      </c>
      <c r="D18" s="25" t="s">
        <v>24</v>
      </c>
      <c r="E18" s="21"/>
      <c r="F18" s="45">
        <f t="shared" si="7"/>
        <v>827</v>
      </c>
      <c r="G18" s="45">
        <v>801</v>
      </c>
      <c r="H18" s="48">
        <v>26</v>
      </c>
      <c r="I18" s="48"/>
      <c r="J18" s="45">
        <f>K18+L18</f>
        <v>38</v>
      </c>
      <c r="K18" s="45">
        <v>35</v>
      </c>
      <c r="L18" s="45">
        <v>3</v>
      </c>
      <c r="M18" s="45"/>
      <c r="N18" s="45">
        <f>F18+J18</f>
        <v>865</v>
      </c>
      <c r="O18" s="45">
        <f t="shared" si="9"/>
        <v>836</v>
      </c>
      <c r="P18" s="45">
        <f t="shared" si="9"/>
        <v>29</v>
      </c>
      <c r="Q18" s="60"/>
      <c r="R18" s="45">
        <f t="shared" si="6"/>
        <v>815</v>
      </c>
      <c r="S18" s="45">
        <v>790</v>
      </c>
      <c r="T18" s="45">
        <v>25</v>
      </c>
      <c r="U18" s="87">
        <v>0</v>
      </c>
      <c r="V18" s="87">
        <v>38</v>
      </c>
      <c r="W18" s="52" t="s">
        <v>45</v>
      </c>
    </row>
    <row r="19" spans="1:23" s="22" customFormat="1" ht="42" customHeight="1" x14ac:dyDescent="0.25">
      <c r="A19" s="23"/>
      <c r="B19" s="27" t="s">
        <v>46</v>
      </c>
      <c r="C19" s="25" t="s">
        <v>29</v>
      </c>
      <c r="D19" s="25" t="s">
        <v>24</v>
      </c>
      <c r="E19" s="21"/>
      <c r="F19" s="45">
        <f t="shared" si="7"/>
        <v>1068</v>
      </c>
      <c r="G19" s="47">
        <v>935</v>
      </c>
      <c r="H19" s="47">
        <v>133</v>
      </c>
      <c r="I19" s="45"/>
      <c r="J19" s="45">
        <f>K19+L19</f>
        <v>0</v>
      </c>
      <c r="K19" s="45">
        <v>0</v>
      </c>
      <c r="L19" s="45">
        <v>0</v>
      </c>
      <c r="M19" s="45"/>
      <c r="N19" s="45">
        <f>F19+J19</f>
        <v>1068</v>
      </c>
      <c r="O19" s="45">
        <f t="shared" si="9"/>
        <v>935</v>
      </c>
      <c r="P19" s="45">
        <f t="shared" si="9"/>
        <v>133</v>
      </c>
      <c r="Q19" s="60"/>
      <c r="R19" s="45">
        <f t="shared" si="6"/>
        <v>1118</v>
      </c>
      <c r="S19" s="45">
        <v>989</v>
      </c>
      <c r="T19" s="45">
        <v>129</v>
      </c>
      <c r="U19" s="87">
        <v>6</v>
      </c>
      <c r="V19" s="87">
        <v>1</v>
      </c>
      <c r="W19" s="53" t="s">
        <v>47</v>
      </c>
    </row>
    <row r="20" spans="1:23" s="22" customFormat="1" ht="21" x14ac:dyDescent="0.25">
      <c r="A20" s="23"/>
      <c r="B20" s="24" t="s">
        <v>48</v>
      </c>
      <c r="C20" s="25" t="s">
        <v>4</v>
      </c>
      <c r="D20" s="25" t="s">
        <v>24</v>
      </c>
      <c r="E20" s="21"/>
      <c r="F20" s="45">
        <f t="shared" si="7"/>
        <v>1439</v>
      </c>
      <c r="G20" s="48">
        <v>346</v>
      </c>
      <c r="H20" s="48">
        <v>1093</v>
      </c>
      <c r="I20" s="45"/>
      <c r="J20" s="45">
        <f>K20+L20</f>
        <v>0</v>
      </c>
      <c r="K20" s="45">
        <v>0</v>
      </c>
      <c r="L20" s="45">
        <v>0</v>
      </c>
      <c r="M20" s="45"/>
      <c r="N20" s="45">
        <f>F20+J20</f>
        <v>1439</v>
      </c>
      <c r="O20" s="45">
        <f t="shared" si="9"/>
        <v>346</v>
      </c>
      <c r="P20" s="45">
        <f t="shared" si="9"/>
        <v>1093</v>
      </c>
      <c r="Q20" s="60"/>
      <c r="R20" s="45">
        <f>S20+T20</f>
        <v>729</v>
      </c>
      <c r="S20" s="45">
        <v>150</v>
      </c>
      <c r="T20" s="45">
        <v>579</v>
      </c>
      <c r="U20" s="87">
        <v>66</v>
      </c>
      <c r="V20" s="87">
        <v>153</v>
      </c>
      <c r="W20" s="52" t="s">
        <v>49</v>
      </c>
    </row>
    <row r="21" spans="1:23" s="22" customFormat="1" ht="21" x14ac:dyDescent="0.25">
      <c r="A21" s="16"/>
      <c r="B21" s="28" t="s">
        <v>50</v>
      </c>
      <c r="C21" s="29" t="s">
        <v>4</v>
      </c>
      <c r="D21" s="29" t="s">
        <v>24</v>
      </c>
      <c r="E21" s="29"/>
      <c r="F21" s="50">
        <f t="shared" si="7"/>
        <v>702</v>
      </c>
      <c r="G21" s="50">
        <v>338</v>
      </c>
      <c r="H21" s="50">
        <v>364</v>
      </c>
      <c r="I21" s="50"/>
      <c r="J21" s="50">
        <v>0</v>
      </c>
      <c r="K21" s="51">
        <v>0</v>
      </c>
      <c r="L21" s="51">
        <v>0</v>
      </c>
      <c r="M21" s="50"/>
      <c r="N21" s="50">
        <f>F21+J21</f>
        <v>702</v>
      </c>
      <c r="O21" s="50">
        <f t="shared" si="9"/>
        <v>338</v>
      </c>
      <c r="P21" s="50">
        <f t="shared" si="9"/>
        <v>364</v>
      </c>
      <c r="Q21" s="62"/>
      <c r="R21" s="84">
        <f>S21+T21</f>
        <v>193</v>
      </c>
      <c r="S21" s="50">
        <v>81</v>
      </c>
      <c r="T21" s="50">
        <v>112</v>
      </c>
      <c r="U21" s="88">
        <v>156</v>
      </c>
      <c r="V21" s="88">
        <v>0</v>
      </c>
      <c r="W21" s="54" t="s">
        <v>51</v>
      </c>
    </row>
    <row r="22" spans="1:23" s="31" customFormat="1" ht="18.75" x14ac:dyDescent="0.2">
      <c r="A22" s="21" t="s">
        <v>52</v>
      </c>
      <c r="B22" s="3"/>
      <c r="C22" s="3"/>
      <c r="D22" s="3"/>
      <c r="E22" s="3"/>
      <c r="F22" s="3"/>
      <c r="G22" s="3"/>
      <c r="H22" s="3"/>
      <c r="I22" s="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30"/>
      <c r="W22" s="23"/>
    </row>
    <row r="23" spans="1:23" s="31" customFormat="1" ht="18.75" customHeight="1" x14ac:dyDescent="0.25">
      <c r="A23" s="83" t="s">
        <v>53</v>
      </c>
      <c r="B23" s="83"/>
      <c r="C23" s="83"/>
      <c r="D23" s="83"/>
      <c r="E23" s="83"/>
      <c r="F23" s="83"/>
      <c r="G23" s="83"/>
      <c r="H23" s="83"/>
      <c r="I23" s="24"/>
      <c r="J23" s="27"/>
      <c r="K23" s="27"/>
      <c r="L23" s="27"/>
      <c r="M23" s="27"/>
      <c r="N23" s="27"/>
      <c r="O23" s="27"/>
      <c r="P23" s="27"/>
      <c r="Q23" s="27"/>
      <c r="R23" s="27"/>
      <c r="S23" s="23"/>
      <c r="T23" s="23"/>
      <c r="U23" s="23"/>
      <c r="V23" s="30"/>
      <c r="W23" s="23"/>
    </row>
    <row r="24" spans="1:23" x14ac:dyDescent="0.25">
      <c r="A24" s="63" t="s">
        <v>54</v>
      </c>
      <c r="B24" s="63"/>
      <c r="C24" s="63"/>
      <c r="D24" s="63"/>
      <c r="E24" s="63"/>
      <c r="F24" s="63"/>
      <c r="G24" s="63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3"/>
    </row>
    <row r="25" spans="1:23" ht="17.25" x14ac:dyDescent="0.25">
      <c r="A25" s="63" t="s">
        <v>55</v>
      </c>
      <c r="B25" s="63"/>
      <c r="C25" s="63"/>
      <c r="D25" s="63"/>
      <c r="E25" s="33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4"/>
      <c r="W25" s="33"/>
    </row>
    <row r="26" spans="1:23" ht="77.25" customHeight="1" x14ac:dyDescent="0.25">
      <c r="B26" s="36"/>
      <c r="C26" s="37"/>
    </row>
    <row r="27" spans="1:23" ht="77.25" customHeight="1" x14ac:dyDescent="0.25">
      <c r="B27" s="36"/>
      <c r="C27" s="37"/>
    </row>
    <row r="28" spans="1:23" ht="77.25" customHeight="1" x14ac:dyDescent="0.25">
      <c r="B28" s="36"/>
      <c r="C28" s="37"/>
    </row>
    <row r="29" spans="1:23" ht="77.25" customHeight="1" x14ac:dyDescent="0.25">
      <c r="B29" s="36"/>
      <c r="C29" s="37"/>
    </row>
    <row r="30" spans="1:23" ht="77.25" customHeight="1" x14ac:dyDescent="0.25">
      <c r="B30" s="36"/>
      <c r="C30" s="37"/>
    </row>
  </sheetData>
  <mergeCells count="19">
    <mergeCell ref="V4:V5"/>
    <mergeCell ref="A23:H23"/>
    <mergeCell ref="A24:G24"/>
    <mergeCell ref="A25:D25"/>
    <mergeCell ref="A1:W1"/>
    <mergeCell ref="A2:W2"/>
    <mergeCell ref="B4:B7"/>
    <mergeCell ref="C4:D7"/>
    <mergeCell ref="W4:W7"/>
    <mergeCell ref="F5:H5"/>
    <mergeCell ref="J5:L5"/>
    <mergeCell ref="N5:P5"/>
    <mergeCell ref="U6:U7"/>
    <mergeCell ref="V6:V7"/>
    <mergeCell ref="A3:V3"/>
    <mergeCell ref="A4:A6"/>
    <mergeCell ref="F4:P4"/>
    <mergeCell ref="R4:T5"/>
    <mergeCell ref="U4:U5"/>
  </mergeCells>
  <pageMargins left="0.7" right="0.7" top="0.75" bottom="0.75" header="0.3" footer="0.3"/>
  <pageSetup paperSize="9" scale="55" orientation="landscape" horizontalDpi="4294967295" verticalDpi="4294967295" r:id="rId1"/>
  <rowBreaks count="1" manualBreakCount="1">
    <brk id="25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7.23</vt:lpstr>
      <vt:lpstr>'7.23'!Print_Area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2017-11-09T07:00:17Z</cp:lastPrinted>
  <dcterms:created xsi:type="dcterms:W3CDTF">2014-03-05T03:36:41Z</dcterms:created>
  <dcterms:modified xsi:type="dcterms:W3CDTF">2017-11-09T07:00:37Z</dcterms:modified>
</cp:coreProperties>
</file>