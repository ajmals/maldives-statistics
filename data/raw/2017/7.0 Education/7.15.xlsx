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7. EDUCATION\"/>
    </mc:Choice>
  </mc:AlternateContent>
  <bookViews>
    <workbookView xWindow="930" yWindow="0" windowWidth="20730" windowHeight="11760" tabRatio="880"/>
  </bookViews>
  <sheets>
    <sheet name="7.15" sheetId="21" r:id="rId1"/>
  </sheets>
  <definedNames>
    <definedName name="_xlnm.Print_Area" localSheetId="0">'7.15'!$A$1:$L$52</definedName>
  </definedNames>
  <calcPr calcId="162913"/>
</workbook>
</file>

<file path=xl/calcChain.xml><?xml version="1.0" encoding="utf-8"?>
<calcChain xmlns="http://schemas.openxmlformats.org/spreadsheetml/2006/main">
  <c r="EZ53" i="21" l="1"/>
  <c r="EZ54" i="21"/>
  <c r="EZ52" i="21"/>
  <c r="J30" i="21" l="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I10" i="21"/>
  <c r="H10" i="21"/>
  <c r="H8" i="21" s="1"/>
  <c r="J9" i="21"/>
  <c r="J10" i="21" l="1"/>
  <c r="I8" i="21"/>
  <c r="J8" i="21" s="1"/>
  <c r="G30" i="21" l="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F10" i="21"/>
  <c r="F8" i="21" s="1"/>
  <c r="E10" i="21"/>
  <c r="E8" i="21" s="1"/>
  <c r="G9" i="21"/>
  <c r="G8" i="21" l="1"/>
  <c r="G10" i="21"/>
</calcChain>
</file>

<file path=xl/sharedStrings.xml><?xml version="1.0" encoding="utf-8"?>
<sst xmlns="http://schemas.openxmlformats.org/spreadsheetml/2006/main" count="75" uniqueCount="60">
  <si>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</si>
  <si>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</si>
  <si>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</si>
  <si>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</si>
  <si>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</si>
  <si>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</si>
  <si>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</si>
  <si>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</si>
  <si>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</si>
  <si>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</si>
  <si>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</si>
  <si>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</si>
  <si>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</si>
  <si>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</si>
  <si>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</si>
  <si>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</si>
  <si>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</si>
  <si>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</si>
  <si>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</si>
  <si>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</si>
  <si>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</si>
  <si>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HA</t>
  </si>
  <si>
    <t>HDh</t>
  </si>
  <si>
    <t>Sh</t>
  </si>
  <si>
    <t>R</t>
  </si>
  <si>
    <t>Region</t>
  </si>
  <si>
    <t>ސަރަހައްދު</t>
  </si>
  <si>
    <t>Candidates</t>
  </si>
  <si>
    <t>Passed</t>
  </si>
  <si>
    <t>% passed</t>
  </si>
  <si>
    <t>ބައިވެރިވި</t>
  </si>
  <si>
    <t xml:space="preserve">ފާސްވި </t>
  </si>
  <si>
    <t xml:space="preserve">ފާސްވި % </t>
  </si>
  <si>
    <t>ދިވެހިރާއްޖެ</t>
  </si>
  <si>
    <t>މާލެ</t>
  </si>
  <si>
    <t>އަތޮޅުތައް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</si>
  <si>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</si>
  <si>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</si>
  <si>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</si>
  <si>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</si>
  <si>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</si>
  <si>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</si>
  <si>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</si>
  <si>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</si>
  <si>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</si>
  <si>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</si>
  <si>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</si>
  <si>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</si>
  <si>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</si>
  <si>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</si>
  <si>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</si>
  <si>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</si>
  <si>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</si>
  <si>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</si>
  <si>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</si>
  <si>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</si>
  <si>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Note: 1. Here "Passed" means five or more subjects passed.</t>
  </si>
  <si>
    <t xml:space="preserve">          2. Passed grades are A, B and C</t>
  </si>
  <si>
    <t>ތާވަލް 7.15: ޖީ. ސީ. އޯ ލެވެލް އިމްތިހާނުގައި ބައިވެރިވި ދަރިވަރުންގެ ޢަދަދާއި ފާސްވި ދަރިވަރުންގެ ޢަދަދު، 2014 - 2016</t>
  </si>
  <si>
    <t>Table 7.15: Number of students sat and passed in the O'level examination by Atolls,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</si>
</sst>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A_Randhoo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  <font>
      <b/>
      <sz val="9"/>
      <color theme="1"/>
      <name val="Faruma"/>
    </font>
    <font>
      <i/>
      <sz val="9"/>
      <color theme="1"/>
      <name val="Faruma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name val="Helv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theme="1"/>
      </left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3" fillId="0" borderId="0" applyFont="0" applyFill="0" applyBorder="0" applyAlignment="0" applyProtection="0"/>
    <xf numFmtId="164" fontId="2" fillId="0" borderId="0"/>
    <xf numFmtId="0" fontId="14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23" fillId="0" borderId="0"/>
    <xf numFmtId="171" fontId="2" fillId="0" borderId="0"/>
    <xf numFmtId="0" fontId="13" fillId="0" borderId="0"/>
    <xf numFmtId="0" fontId="13" fillId="0" borderId="0"/>
    <xf numFmtId="171" fontId="2" fillId="0" borderId="0"/>
    <xf numFmtId="0" fontId="13" fillId="0" borderId="0"/>
    <xf numFmtId="0" fontId="13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3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71">
    <xf numFmtId="0" fontId="0" fillId="0" borderId="0" xfId="0"/>
    <xf numFmtId="165" fontId="9" fillId="2" borderId="0" xfId="0" applyNumberFormat="1" applyFont="1" applyFill="1" applyBorder="1" applyAlignment="1">
      <alignment horizontal="right" vertical="center"/>
    </xf>
    <xf numFmtId="0" fontId="0" fillId="2" borderId="4" xfId="0" applyNumberFormat="1" applyFill="1" applyBorder="1"/>
    <xf numFmtId="0" fontId="19" fillId="2" borderId="9" xfId="0" applyNumberFormat="1" applyFont="1" applyFill="1" applyBorder="1" applyAlignment="1">
      <alignment horizontal="right" vertical="center"/>
    </xf>
    <xf numFmtId="0" fontId="19" fillId="2" borderId="4" xfId="0" applyNumberFormat="1" applyFont="1" applyFill="1" applyBorder="1" applyAlignment="1">
      <alignment horizontal="right" vertical="center"/>
    </xf>
    <xf numFmtId="0" fontId="17" fillId="2" borderId="9" xfId="0" applyNumberFormat="1" applyFont="1" applyFill="1" applyBorder="1" applyAlignment="1">
      <alignment horizontal="right" vertical="center"/>
    </xf>
    <xf numFmtId="0" fontId="16" fillId="2" borderId="16" xfId="0" applyNumberFormat="1" applyFont="1" applyFill="1" applyBorder="1" applyAlignment="1">
      <alignment horizontal="right" vertical="center"/>
    </xf>
    <xf numFmtId="0" fontId="0" fillId="2" borderId="0" xfId="0" applyFill="1"/>
    <xf numFmtId="0" fontId="16" fillId="2" borderId="4" xfId="0" applyNumberFormat="1" applyFont="1" applyFill="1" applyBorder="1" applyAlignment="1">
      <alignment horizontal="right" vertical="center"/>
    </xf>
    <xf numFmtId="0" fontId="17" fillId="2" borderId="4" xfId="0" applyNumberFormat="1" applyFont="1" applyFill="1" applyBorder="1" applyAlignment="1">
      <alignment horizontal="right" vertical="center"/>
    </xf>
    <xf numFmtId="0" fontId="16" fillId="2" borderId="13" xfId="0" applyNumberFormat="1" applyFont="1" applyFill="1" applyBorder="1" applyAlignment="1">
      <alignment horizontal="right" vertical="center"/>
    </xf>
    <xf numFmtId="0" fontId="0" fillId="2" borderId="1" xfId="0" applyNumberFormat="1" applyFill="1" applyBorder="1"/>
    <xf numFmtId="0" fontId="0" fillId="2" borderId="2" xfId="0" applyNumberFormat="1" applyFill="1" applyBorder="1"/>
    <xf numFmtId="0" fontId="16" fillId="2" borderId="2" xfId="0" applyNumberFormat="1" applyFont="1" applyFill="1" applyBorder="1"/>
    <xf numFmtId="0" fontId="0" fillId="2" borderId="3" xfId="0" applyNumberFormat="1" applyFill="1" applyBorder="1"/>
    <xf numFmtId="0" fontId="17" fillId="2" borderId="16" xfId="0" applyNumberFormat="1" applyFont="1" applyFill="1" applyBorder="1" applyAlignment="1">
      <alignment horizontal="right" vertical="center"/>
    </xf>
    <xf numFmtId="0" fontId="8" fillId="2" borderId="9" xfId="0" applyNumberFormat="1" applyFont="1" applyFill="1" applyBorder="1" applyAlignment="1">
      <alignment horizontal="left" vertical="center"/>
    </xf>
    <xf numFmtId="0" fontId="0" fillId="2" borderId="4" xfId="0" applyNumberFormat="1" applyFill="1" applyBorder="1" applyAlignment="1">
      <alignment horizontal="right" vertical="center"/>
    </xf>
    <xf numFmtId="0" fontId="8" fillId="2" borderId="4" xfId="0" applyNumberFormat="1" applyFont="1" applyFill="1" applyBorder="1" applyAlignment="1">
      <alignment horizontal="left" vertical="center"/>
    </xf>
    <xf numFmtId="38" fontId="4" fillId="2" borderId="4" xfId="5" applyNumberFormat="1" applyFont="1" applyFill="1" applyBorder="1" applyAlignment="1">
      <alignment horizontal="left" vertical="center"/>
    </xf>
    <xf numFmtId="38" fontId="4" fillId="2" borderId="4" xfId="5" applyNumberFormat="1" applyFont="1" applyFill="1" applyBorder="1" applyAlignment="1">
      <alignment horizontal="right" vertical="center"/>
    </xf>
    <xf numFmtId="38" fontId="4" fillId="2" borderId="13" xfId="5" applyNumberFormat="1" applyFont="1" applyFill="1" applyBorder="1" applyAlignment="1">
      <alignment horizontal="left" vertical="center"/>
    </xf>
    <xf numFmtId="38" fontId="4" fillId="2" borderId="13" xfId="5" applyNumberFormat="1" applyFont="1" applyFill="1" applyBorder="1" applyAlignment="1">
      <alignment horizontal="right" vertical="center"/>
    </xf>
    <xf numFmtId="2" fontId="0" fillId="2" borderId="4" xfId="0" applyNumberFormat="1" applyFill="1" applyBorder="1"/>
    <xf numFmtId="0" fontId="22" fillId="2" borderId="4" xfId="0" applyNumberFormat="1" applyFont="1" applyFill="1" applyBorder="1" applyAlignment="1">
      <alignment horizontal="left" indent="1"/>
    </xf>
    <xf numFmtId="1" fontId="0" fillId="2" borderId="4" xfId="0" applyNumberFormat="1" applyFill="1" applyBorder="1"/>
    <xf numFmtId="38" fontId="16" fillId="2" borderId="4" xfId="0" applyNumberFormat="1" applyFont="1" applyFill="1" applyBorder="1"/>
    <xf numFmtId="38" fontId="4" fillId="2" borderId="1" xfId="5" applyNumberFormat="1" applyFont="1" applyFill="1" applyBorder="1" applyAlignment="1">
      <alignment horizontal="right" vertical="center"/>
    </xf>
    <xf numFmtId="38" fontId="4" fillId="2" borderId="14" xfId="5" applyNumberFormat="1" applyFont="1" applyFill="1" applyBorder="1" applyAlignment="1">
      <alignment horizontal="right" vertical="center"/>
    </xf>
    <xf numFmtId="0" fontId="10" fillId="2" borderId="4" xfId="0" applyNumberFormat="1" applyFont="1" applyFill="1" applyBorder="1"/>
    <xf numFmtId="0" fontId="10" fillId="2" borderId="0" xfId="0" applyNumberFormat="1" applyFont="1" applyFill="1" applyBorder="1"/>
    <xf numFmtId="0" fontId="20" fillId="2" borderId="4" xfId="0" applyNumberFormat="1" applyFont="1" applyFill="1" applyBorder="1"/>
    <xf numFmtId="0" fontId="21" fillId="2" borderId="4" xfId="0" applyNumberFormat="1" applyFont="1" applyFill="1" applyBorder="1"/>
    <xf numFmtId="0" fontId="21" fillId="2" borderId="4" xfId="0" applyNumberFormat="1" applyFont="1" applyFill="1" applyBorder="1" applyAlignment="1">
      <alignment horizontal="center" vertical="center"/>
    </xf>
    <xf numFmtId="38" fontId="3" fillId="2" borderId="10" xfId="5" applyNumberFormat="1" applyFont="1" applyFill="1" applyBorder="1" applyAlignment="1">
      <alignment horizontal="right" vertical="center"/>
    </xf>
    <xf numFmtId="38" fontId="3" fillId="2" borderId="4" xfId="5" applyNumberFormat="1" applyFont="1" applyFill="1" applyBorder="1" applyAlignment="1">
      <alignment horizontal="right" vertical="center"/>
    </xf>
    <xf numFmtId="38" fontId="3" fillId="2" borderId="11" xfId="5" applyNumberFormat="1" applyFont="1" applyFill="1" applyBorder="1" applyAlignment="1">
      <alignment horizontal="right" vertical="center"/>
    </xf>
    <xf numFmtId="38" fontId="3" fillId="2" borderId="1" xfId="5" applyNumberFormat="1" applyFont="1" applyFill="1" applyBorder="1" applyAlignment="1">
      <alignment horizontal="right" vertical="center"/>
    </xf>
    <xf numFmtId="38" fontId="3" fillId="2" borderId="17" xfId="5" applyNumberFormat="1" applyFont="1" applyFill="1" applyBorder="1" applyAlignment="1">
      <alignment horizontal="right" vertical="center"/>
    </xf>
    <xf numFmtId="38" fontId="4" fillId="2" borderId="17" xfId="5" applyNumberFormat="1" applyFont="1" applyFill="1" applyBorder="1" applyAlignment="1">
      <alignment horizontal="right" vertical="center"/>
    </xf>
    <xf numFmtId="38" fontId="4" fillId="2" borderId="15" xfId="5" applyNumberFormat="1" applyFont="1" applyFill="1" applyBorder="1" applyAlignment="1">
      <alignment horizontal="right" vertical="center"/>
    </xf>
    <xf numFmtId="0" fontId="12" fillId="2" borderId="9" xfId="0" applyNumberFormat="1" applyFont="1" applyFill="1" applyBorder="1" applyAlignment="1">
      <alignment horizontal="right"/>
    </xf>
    <xf numFmtId="0" fontId="12" fillId="2" borderId="11" xfId="0" applyNumberFormat="1" applyFont="1" applyFill="1" applyBorder="1" applyAlignment="1">
      <alignment horizontal="right"/>
    </xf>
    <xf numFmtId="0" fontId="12" fillId="2" borderId="12" xfId="0" applyNumberFormat="1" applyFont="1" applyFill="1" applyBorder="1" applyAlignment="1">
      <alignment horizontal="right"/>
    </xf>
    <xf numFmtId="0" fontId="17" fillId="2" borderId="13" xfId="0" applyNumberFormat="1" applyFont="1" applyFill="1" applyBorder="1" applyAlignment="1">
      <alignment horizontal="right" vertical="center" wrapText="1"/>
    </xf>
    <xf numFmtId="0" fontId="17" fillId="2" borderId="14" xfId="0" applyNumberFormat="1" applyFont="1" applyFill="1" applyBorder="1" applyAlignment="1">
      <alignment horizontal="right" vertical="center" wrapText="1"/>
    </xf>
    <xf numFmtId="0" fontId="17" fillId="2" borderId="15" xfId="0" applyNumberFormat="1" applyFont="1" applyFill="1" applyBorder="1" applyAlignment="1">
      <alignment horizontal="right" vertical="center" wrapText="1"/>
    </xf>
    <xf numFmtId="0" fontId="20" fillId="2" borderId="9" xfId="0" applyNumberFormat="1" applyFont="1" applyFill="1" applyBorder="1"/>
    <xf numFmtId="0" fontId="10" fillId="2" borderId="9" xfId="0" applyNumberFormat="1" applyFont="1" applyFill="1" applyBorder="1"/>
    <xf numFmtId="0" fontId="0" fillId="2" borderId="0" xfId="0" applyFill="1"/>
    <xf numFmtId="0" fontId="12" fillId="2" borderId="19" xfId="0" applyNumberFormat="1" applyFont="1" applyFill="1" applyBorder="1" applyAlignment="1">
      <alignment horizontal="right"/>
    </xf>
    <xf numFmtId="0" fontId="17" fillId="2" borderId="20" xfId="0" applyNumberFormat="1" applyFont="1" applyFill="1" applyBorder="1" applyAlignment="1">
      <alignment horizontal="right" vertical="center" wrapText="1"/>
    </xf>
    <xf numFmtId="38" fontId="0" fillId="2" borderId="0" xfId="0" applyNumberFormat="1" applyFill="1"/>
    <xf numFmtId="0" fontId="17" fillId="2" borderId="1" xfId="0" applyNumberFormat="1" applyFont="1" applyFill="1" applyBorder="1" applyAlignment="1">
      <alignment horizontal="center"/>
    </xf>
    <xf numFmtId="0" fontId="17" fillId="2" borderId="2" xfId="0" applyNumberFormat="1" applyFont="1" applyFill="1" applyBorder="1" applyAlignment="1">
      <alignment horizontal="center"/>
    </xf>
    <xf numFmtId="0" fontId="17" fillId="2" borderId="3" xfId="0" applyNumberFormat="1" applyFont="1" applyFill="1" applyBorder="1" applyAlignment="1">
      <alignment horizont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11" fillId="2" borderId="5" xfId="0" applyNumberFormat="1" applyFont="1" applyFill="1" applyBorder="1" applyAlignment="1">
      <alignment horizontal="left" vertical="center"/>
    </xf>
    <xf numFmtId="0" fontId="11" fillId="2" borderId="4" xfId="0" applyNumberFormat="1" applyFont="1" applyFill="1" applyBorder="1" applyAlignment="1">
      <alignment horizontal="left" vertical="center"/>
    </xf>
    <xf numFmtId="0" fontId="11" fillId="2" borderId="13" xfId="0" applyNumberFormat="1" applyFont="1" applyFill="1" applyBorder="1" applyAlignment="1">
      <alignment horizontal="left" vertical="center"/>
    </xf>
    <xf numFmtId="0" fontId="7" fillId="2" borderId="7" xfId="0" applyNumberFormat="1" applyFont="1" applyFill="1" applyBorder="1" applyAlignment="1">
      <alignment horizontal="center" vertical="center"/>
    </xf>
    <xf numFmtId="0" fontId="7" fillId="2" borderId="6" xfId="0" applyNumberFormat="1" applyFont="1" applyFill="1" applyBorder="1" applyAlignment="1">
      <alignment horizontal="center" vertical="center"/>
    </xf>
    <xf numFmtId="0" fontId="18" fillId="2" borderId="5" xfId="0" applyNumberFormat="1" applyFont="1" applyFill="1" applyBorder="1" applyAlignment="1">
      <alignment horizontal="right" vertical="center"/>
    </xf>
    <xf numFmtId="0" fontId="18" fillId="2" borderId="4" xfId="0" applyNumberFormat="1" applyFont="1" applyFill="1" applyBorder="1" applyAlignment="1">
      <alignment horizontal="right" vertical="center"/>
    </xf>
    <xf numFmtId="0" fontId="18" fillId="2" borderId="13" xfId="0" applyNumberFormat="1" applyFont="1" applyFill="1" applyBorder="1" applyAlignment="1">
      <alignment horizontal="right" vertical="center"/>
    </xf>
    <xf numFmtId="0" fontId="7" fillId="2" borderId="18" xfId="0" applyNumberFormat="1" applyFont="1" applyFill="1" applyBorder="1" applyAlignment="1">
      <alignment horizontal="center" vertical="center"/>
    </xf>
    <xf numFmtId="0" fontId="7" fillId="2" borderId="8" xfId="0" applyNumberFormat="1" applyFont="1" applyFill="1" applyBorder="1" applyAlignment="1">
      <alignment horizontal="center" vertical="center"/>
    </xf>
    <xf numFmtId="0" fontId="24" fillId="2" borderId="4" xfId="0" applyNumberFormat="1" applyFont="1" applyFill="1" applyBorder="1"/>
    <xf numFmtId="165" fontId="6" fillId="2" borderId="0" xfId="6" applyNumberFormat="1" applyFont="1" applyFill="1" applyAlignment="1">
      <alignment horizontal="left" vertic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740727893594802E-2"/>
          <c:y val="0.15428930540734961"/>
          <c:w val="0.92581389881330911"/>
          <c:h val="0.729730772972981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'7.15'!$ES$52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'7.15'!$ET$51:$EZ$51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'7.15'!$ET$52:$EZ$52</c:f>
              <c:numCache>
                <c:formatCode>0</c:formatCode>
                <c:ptCount val="7"/>
                <c:pt idx="0">
                  <c:v>34.739884393063583</c:v>
                </c:pt>
                <c:pt idx="1">
                  <c:v>55.006218905472636</c:v>
                </c:pt>
                <c:pt idx="2">
                  <c:v>41.821619918058623</c:v>
                </c:pt>
                <c:pt idx="3" formatCode="#,##0_);[Red]\(#,##0\)">
                  <c:v>42.609532980259992</c:v>
                </c:pt>
                <c:pt idx="4" formatCode="#,##0_);[Red]\(#,##0\)">
                  <c:v>46.892301998519613</c:v>
                </c:pt>
                <c:pt idx="5" formatCode="General">
                  <c:v>46</c:v>
                </c:pt>
                <c:pt idx="6" formatCode="#,##0_);[Red]\(#,##0\)">
                  <c:v>59.512550018188435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9-4E93-8D5A-09A92BEB6727}"/>
            </c:ext>
          </c:extLst>
        </c:ser>
        <c:ser>
          <c:idx val="1"/>
          <c:order val="1"/>
          <c:tx>
            <c:strRef>
              <c:f>'7.15'!$ES$53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numRef>
              <c:f>'7.15'!$ET$51:$EZ$51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'7.15'!$ET$53:$EZ$53</c:f>
              <c:numCache>
                <c:formatCode>0</c:formatCode>
                <c:ptCount val="7"/>
                <c:pt idx="0">
                  <c:v>53.695881731784581</c:v>
                </c:pt>
                <c:pt idx="1">
                  <c:v>57.991120976692571</c:v>
                </c:pt>
                <c:pt idx="2">
                  <c:v>59.810625986322982</c:v>
                </c:pt>
                <c:pt idx="3" formatCode="#,##0_);[Red]\(#,##0\)">
                  <c:v>55.791505791505791</c:v>
                </c:pt>
                <c:pt idx="4" formatCode="#,##0_);[Red]\(#,##0\)">
                  <c:v>70</c:v>
                </c:pt>
                <c:pt idx="5" formatCode="General">
                  <c:v>62</c:v>
                </c:pt>
                <c:pt idx="6" formatCode="#,##0_);[Red]\(#,##0\)">
                  <c:v>69.472502805836129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79-4E93-8D5A-09A92BEB6727}"/>
            </c:ext>
          </c:extLst>
        </c:ser>
        <c:ser>
          <c:idx val="2"/>
          <c:order val="2"/>
          <c:tx>
            <c:strRef>
              <c:f>'7.15'!$ES$54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cat>
            <c:numRef>
              <c:f>'7.15'!$ET$51:$EZ$51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'7.15'!$ET$54:$EZ$54</c:f>
              <c:numCache>
                <c:formatCode>0</c:formatCode>
                <c:ptCount val="7"/>
                <c:pt idx="0">
                  <c:v>27.596498209311584</c:v>
                </c:pt>
                <c:pt idx="1">
                  <c:v>29.784017278617707</c:v>
                </c:pt>
                <c:pt idx="2">
                  <c:v>34.128233970753655</c:v>
                </c:pt>
                <c:pt idx="3" formatCode="#,##0_);[Red]\(#,##0\)">
                  <c:v>36.042317864871364</c:v>
                </c:pt>
                <c:pt idx="4" formatCode="#,##0_);[Red]\(#,##0\)">
                  <c:v>38.095554420030659</c:v>
                </c:pt>
                <c:pt idx="5" formatCode="General">
                  <c:v>38</c:v>
                </c:pt>
                <c:pt idx="6" formatCode="#,##0_);[Red]\(#,##0\)">
                  <c:v>54.73627556512379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79-4E93-8D5A-09A92BEB6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63775232"/>
        <c:axId val="163776768"/>
      </c:barChart>
      <c:catAx>
        <c:axId val="16377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63776768"/>
        <c:crosses val="autoZero"/>
        <c:auto val="1"/>
        <c:lblAlgn val="ctr"/>
        <c:lblOffset val="100"/>
        <c:noMultiLvlLbl val="0"/>
      </c:catAx>
      <c:valAx>
        <c:axId val="1637767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1"/>
        <c:majorTickMark val="none"/>
        <c:minorTickMark val="none"/>
        <c:tickLblPos val="nextTo"/>
        <c:crossAx val="16377523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0078574262539071"/>
          <c:y val="0.20521004301826481"/>
          <c:w val="0.29813123386009094"/>
          <c:h val="8.059200062678731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328633</xdr:colOff>
      <xdr:row>34</xdr:row>
      <xdr:rowOff>139129</xdr:rowOff>
    </xdr:from>
    <xdr:to>
      <xdr:col>10</xdr:col>
      <xdr:colOff>501815</xdr:colOff>
      <xdr:row>51</xdr:row>
      <xdr:rowOff>53975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103106</xdr:colOff>
      <xdr:row>36</xdr:row>
      <xdr:rowOff>85410</xdr:rowOff>
    </xdr:from>
    <xdr:to>
      <xdr:col>10</xdr:col>
      <xdr:colOff>103104</xdr:colOff>
      <xdr:row>36</xdr:row>
      <xdr:rowOff>85410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713134" y="8861253"/>
          <a:ext cx="65497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0.99343</cdr:x>
      <cdr:y>0.13756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0"/>
          <a:ext cx="7284807" cy="438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7.18: Passed percentage of students who sat O'level exam, 2010 - 2016</a:t>
          </a:r>
          <a:r>
            <a:rPr lang="dv-MV" sz="1200" b="1" i="0" baseline="0">
              <a:effectLst/>
              <a:latin typeface="Consolas" pitchFamily="49" charset="0"/>
              <a:ea typeface="+mn-ea"/>
              <a:cs typeface="+mn-cs"/>
            </a:rPr>
            <a:t> 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D54"/>
  <sheetViews>
    <sheetView tabSelected="1" zoomScale="86" zoomScaleNormal="86" zoomScaleSheetLayoutView="89" workbookViewId="0">
      <selection activeCell="BL30" sqref="BL30"/>
    </sheetView>
  </sheetViews>
  <sheetFormatPr defaultRowHeight="15" x14ac:dyDescent="0.25"/>
  <cols>
    <col min="1" max="1" width="9.140625" style="7" customWidth="1"/>
    <col min="2" max="7" width="10.85546875" style="7" customWidth="1"/>
    <col min="8" max="10" width="10.85546875" style="49" customWidth="1"/>
    <col min="11" max="11" width="10.85546875" style="7" customWidth="1"/>
    <col min="12" max="12" width="5.85546875" style="7" customWidth="1"/>
    <col min="13" max="13" width="6.140625" style="7" customWidth="1"/>
    <col min="14" max="15" width="5.5703125" style="7" hidden="1" customWidth="1"/>
    <col min="16" max="36" width="5.5703125" style="49" hidden="1" customWidth="1"/>
    <col min="37" max="48" width="6.28515625" style="49" hidden="1" customWidth="1"/>
    <col min="49" max="141" width="6.28515625" style="49" customWidth="1"/>
    <col min="142" max="146" width="6.28515625" style="7" customWidth="1"/>
    <col min="147" max="147" width="6.7109375" style="7" customWidth="1"/>
    <col min="148" max="148" width="6.28515625" style="7" customWidth="1"/>
    <col min="149" max="149" width="6" style="7" customWidth="1"/>
    <col min="150" max="150" width="6.5703125" style="7" customWidth="1"/>
    <col min="151" max="151" width="6.140625" style="7" customWidth="1"/>
    <col min="152" max="16384" width="9.140625" style="7"/>
  </cols>
  <sheetData>
    <row r="1" spans="1:156" ht="9.75" customHeight="1" x14ac:dyDescent="0.55000000000000004">
      <c r="A1" s="11"/>
      <c r="B1" s="12"/>
      <c r="C1" s="13"/>
      <c r="D1" s="12"/>
      <c r="E1" s="12"/>
      <c r="F1" s="13"/>
      <c r="G1" s="12"/>
      <c r="H1" s="12"/>
      <c r="I1" s="13"/>
      <c r="J1" s="12"/>
      <c r="K1" s="14"/>
    </row>
    <row r="2" spans="1:156" ht="21" x14ac:dyDescent="0.55000000000000004">
      <c r="A2" s="53" t="s">
        <v>58</v>
      </c>
      <c r="B2" s="54"/>
      <c r="C2" s="54"/>
      <c r="D2" s="54"/>
      <c r="E2" s="54"/>
      <c r="F2" s="54"/>
      <c r="G2" s="54"/>
      <c r="H2" s="54"/>
      <c r="I2" s="54"/>
      <c r="J2" s="54"/>
      <c r="K2" s="55"/>
    </row>
    <row r="3" spans="1:156" x14ac:dyDescent="0.25">
      <c r="A3" s="56" t="s">
        <v>59</v>
      </c>
      <c r="B3" s="57"/>
      <c r="C3" s="57"/>
      <c r="D3" s="57"/>
      <c r="E3" s="57"/>
      <c r="F3" s="57"/>
      <c r="G3" s="57"/>
      <c r="H3" s="57"/>
      <c r="I3" s="57"/>
      <c r="J3" s="57"/>
      <c r="K3" s="58"/>
    </row>
    <row r="4" spans="1:156" ht="6.75" customHeight="1" x14ac:dyDescent="0.25">
      <c r="C4" s="2"/>
      <c r="F4" s="2"/>
      <c r="I4" s="2"/>
    </row>
    <row r="5" spans="1:156" ht="21" x14ac:dyDescent="0.25">
      <c r="A5" s="59" t="s">
        <v>25</v>
      </c>
      <c r="B5" s="62">
        <v>2014</v>
      </c>
      <c r="C5" s="63"/>
      <c r="D5" s="63"/>
      <c r="E5" s="62">
        <v>2015</v>
      </c>
      <c r="F5" s="63"/>
      <c r="G5" s="63"/>
      <c r="H5" s="67">
        <v>2016</v>
      </c>
      <c r="I5" s="63"/>
      <c r="J5" s="68"/>
      <c r="K5" s="64" t="s">
        <v>26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</row>
    <row r="6" spans="1:156" ht="21" x14ac:dyDescent="0.25">
      <c r="A6" s="60"/>
      <c r="B6" s="43" t="s">
        <v>27</v>
      </c>
      <c r="C6" s="41" t="s">
        <v>28</v>
      </c>
      <c r="D6" s="42" t="s">
        <v>29</v>
      </c>
      <c r="E6" s="43" t="s">
        <v>27</v>
      </c>
      <c r="F6" s="41" t="s">
        <v>28</v>
      </c>
      <c r="G6" s="42" t="s">
        <v>29</v>
      </c>
      <c r="H6" s="50" t="s">
        <v>27</v>
      </c>
      <c r="I6" s="41" t="s">
        <v>28</v>
      </c>
      <c r="J6" s="41" t="s">
        <v>29</v>
      </c>
      <c r="K6" s="65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</row>
    <row r="7" spans="1:156" ht="21" x14ac:dyDescent="0.25">
      <c r="A7" s="61"/>
      <c r="B7" s="46" t="s">
        <v>30</v>
      </c>
      <c r="C7" s="44" t="s">
        <v>31</v>
      </c>
      <c r="D7" s="45" t="s">
        <v>32</v>
      </c>
      <c r="E7" s="46" t="s">
        <v>30</v>
      </c>
      <c r="F7" s="44" t="s">
        <v>31</v>
      </c>
      <c r="G7" s="45" t="s">
        <v>32</v>
      </c>
      <c r="H7" s="51" t="s">
        <v>30</v>
      </c>
      <c r="I7" s="44" t="s">
        <v>31</v>
      </c>
      <c r="J7" s="44" t="s">
        <v>32</v>
      </c>
      <c r="K7" s="66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</row>
    <row r="8" spans="1:156" ht="17.25" x14ac:dyDescent="0.25">
      <c r="A8" s="16" t="s">
        <v>0</v>
      </c>
      <c r="B8" s="38">
        <v>5404</v>
      </c>
      <c r="C8" s="34">
        <v>2534.06</v>
      </c>
      <c r="D8" s="36">
        <v>46.892301998519613</v>
      </c>
      <c r="E8" s="38">
        <f>SUM(E9:E10)</f>
        <v>5272</v>
      </c>
      <c r="F8" s="34">
        <f>SUM(F9:F10)</f>
        <v>2409</v>
      </c>
      <c r="G8" s="36">
        <f>F8/E8*100</f>
        <v>45.694233687405159</v>
      </c>
      <c r="H8" s="38">
        <f>SUM(H9:H10)</f>
        <v>5498</v>
      </c>
      <c r="I8" s="34">
        <f>SUM(I9:I10)</f>
        <v>3272</v>
      </c>
      <c r="J8" s="36">
        <f>I8/H8*100</f>
        <v>59.512550018188435</v>
      </c>
      <c r="K8" s="3" t="s">
        <v>33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</row>
    <row r="9" spans="1:156" ht="17.25" x14ac:dyDescent="0.25">
      <c r="A9" s="18" t="s">
        <v>1</v>
      </c>
      <c r="B9" s="38">
        <v>1490</v>
      </c>
      <c r="C9" s="35">
        <v>1043</v>
      </c>
      <c r="D9" s="37">
        <v>70</v>
      </c>
      <c r="E9" s="38">
        <v>1665</v>
      </c>
      <c r="F9" s="35">
        <v>1031</v>
      </c>
      <c r="G9" s="37">
        <f t="shared" ref="G9:G30" si="0">F9/E9*100</f>
        <v>61.921921921921921</v>
      </c>
      <c r="H9" s="38">
        <v>1782</v>
      </c>
      <c r="I9" s="35">
        <v>1238</v>
      </c>
      <c r="J9" s="37">
        <f t="shared" ref="J9:J30" si="1">I9/H9*100</f>
        <v>69.472502805836129</v>
      </c>
      <c r="K9" s="4" t="s">
        <v>34</v>
      </c>
      <c r="L9" s="4"/>
      <c r="M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</row>
    <row r="10" spans="1:156" ht="21" x14ac:dyDescent="0.25">
      <c r="A10" s="18" t="s">
        <v>2</v>
      </c>
      <c r="B10" s="38">
        <v>3914</v>
      </c>
      <c r="C10" s="35">
        <v>1491.06</v>
      </c>
      <c r="D10" s="37">
        <v>38.095554420030659</v>
      </c>
      <c r="E10" s="38">
        <f>SUM(E11:E30)</f>
        <v>3607</v>
      </c>
      <c r="F10" s="35">
        <f>SUM(F11:F30)</f>
        <v>1378</v>
      </c>
      <c r="G10" s="37">
        <f t="shared" si="0"/>
        <v>38.203493207651789</v>
      </c>
      <c r="H10" s="38">
        <f>SUM(H11:H30)</f>
        <v>3716</v>
      </c>
      <c r="I10" s="35">
        <f>SUM(I11:I30)</f>
        <v>2034</v>
      </c>
      <c r="J10" s="37">
        <f t="shared" si="1"/>
        <v>54.73627556512379</v>
      </c>
      <c r="K10" s="4" t="s">
        <v>35</v>
      </c>
      <c r="L10" s="1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</row>
    <row r="11" spans="1:156" ht="21" x14ac:dyDescent="0.25">
      <c r="A11" s="19" t="s">
        <v>21</v>
      </c>
      <c r="B11" s="39">
        <v>281</v>
      </c>
      <c r="C11" s="20">
        <v>129.26000000000002</v>
      </c>
      <c r="D11" s="27">
        <v>46.000000000000007</v>
      </c>
      <c r="E11" s="39">
        <v>283</v>
      </c>
      <c r="F11" s="20">
        <v>94</v>
      </c>
      <c r="G11" s="27">
        <f t="shared" si="0"/>
        <v>33.215547703180206</v>
      </c>
      <c r="H11" s="39">
        <v>262</v>
      </c>
      <c r="I11" s="20">
        <v>177</v>
      </c>
      <c r="J11" s="27">
        <f t="shared" si="1"/>
        <v>67.55725190839695</v>
      </c>
      <c r="K11" s="8" t="s">
        <v>36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</row>
    <row r="12" spans="1:156" ht="21" x14ac:dyDescent="0.25">
      <c r="A12" s="19" t="s">
        <v>22</v>
      </c>
      <c r="B12" s="39">
        <v>327</v>
      </c>
      <c r="C12" s="20">
        <v>127.53</v>
      </c>
      <c r="D12" s="27">
        <v>39</v>
      </c>
      <c r="E12" s="39">
        <v>343</v>
      </c>
      <c r="F12" s="20">
        <v>109</v>
      </c>
      <c r="G12" s="27">
        <f t="shared" si="0"/>
        <v>31.778425655976676</v>
      </c>
      <c r="H12" s="39">
        <v>362</v>
      </c>
      <c r="I12" s="20">
        <v>176</v>
      </c>
      <c r="J12" s="27">
        <f t="shared" si="1"/>
        <v>48.618784530386741</v>
      </c>
      <c r="K12" s="8" t="s">
        <v>37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</row>
    <row r="13" spans="1:156" ht="21" x14ac:dyDescent="0.25">
      <c r="A13" s="19" t="s">
        <v>23</v>
      </c>
      <c r="B13" s="39">
        <v>263</v>
      </c>
      <c r="C13" s="20">
        <v>115.72</v>
      </c>
      <c r="D13" s="27">
        <v>44</v>
      </c>
      <c r="E13" s="39">
        <v>251</v>
      </c>
      <c r="F13" s="20">
        <v>121</v>
      </c>
      <c r="G13" s="27">
        <f t="shared" si="0"/>
        <v>48.207171314741039</v>
      </c>
      <c r="H13" s="39">
        <v>243</v>
      </c>
      <c r="I13" s="20">
        <v>176</v>
      </c>
      <c r="J13" s="27">
        <f t="shared" si="1"/>
        <v>72.427983539094654</v>
      </c>
      <c r="K13" s="8" t="s">
        <v>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</row>
    <row r="14" spans="1:156" ht="21" x14ac:dyDescent="0.25">
      <c r="A14" s="19" t="s">
        <v>18</v>
      </c>
      <c r="B14" s="39">
        <v>237</v>
      </c>
      <c r="C14" s="20">
        <v>90.06</v>
      </c>
      <c r="D14" s="27">
        <v>38</v>
      </c>
      <c r="E14" s="39">
        <v>169</v>
      </c>
      <c r="F14" s="20">
        <v>53</v>
      </c>
      <c r="G14" s="27">
        <f t="shared" si="0"/>
        <v>31.360946745562128</v>
      </c>
      <c r="H14" s="39">
        <v>192</v>
      </c>
      <c r="I14" s="20">
        <v>123</v>
      </c>
      <c r="J14" s="27">
        <f t="shared" si="1"/>
        <v>64.0625</v>
      </c>
      <c r="K14" s="8" t="s">
        <v>39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</row>
    <row r="15" spans="1:156" ht="21" x14ac:dyDescent="0.25">
      <c r="A15" s="19" t="s">
        <v>24</v>
      </c>
      <c r="B15" s="39">
        <v>337</v>
      </c>
      <c r="C15" s="20">
        <v>94.360000000000014</v>
      </c>
      <c r="D15" s="27">
        <v>28.000000000000004</v>
      </c>
      <c r="E15" s="39">
        <v>306</v>
      </c>
      <c r="F15" s="20">
        <v>115</v>
      </c>
      <c r="G15" s="27">
        <f t="shared" si="0"/>
        <v>37.58169934640523</v>
      </c>
      <c r="H15" s="39">
        <v>342</v>
      </c>
      <c r="I15" s="20">
        <v>191</v>
      </c>
      <c r="J15" s="27">
        <f t="shared" si="1"/>
        <v>55.847953216374272</v>
      </c>
      <c r="K15" s="8" t="s">
        <v>40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</row>
    <row r="16" spans="1:156" ht="21" x14ac:dyDescent="0.25">
      <c r="A16" s="19" t="s">
        <v>4</v>
      </c>
      <c r="B16" s="39">
        <v>208</v>
      </c>
      <c r="C16" s="20">
        <v>87.36</v>
      </c>
      <c r="D16" s="27">
        <v>42</v>
      </c>
      <c r="E16" s="39">
        <v>182</v>
      </c>
      <c r="F16" s="20">
        <v>79</v>
      </c>
      <c r="G16" s="27">
        <f t="shared" si="0"/>
        <v>43.406593406593409</v>
      </c>
      <c r="H16" s="39">
        <v>190</v>
      </c>
      <c r="I16" s="20">
        <v>112</v>
      </c>
      <c r="J16" s="27">
        <f t="shared" si="1"/>
        <v>58.947368421052623</v>
      </c>
      <c r="K16" s="8" t="s">
        <v>41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</row>
    <row r="17" spans="1:157" ht="21" x14ac:dyDescent="0.25">
      <c r="A17" s="19" t="s">
        <v>5</v>
      </c>
      <c r="B17" s="39">
        <v>145</v>
      </c>
      <c r="C17" s="20">
        <v>42.05</v>
      </c>
      <c r="D17" s="27">
        <v>28.999999999999996</v>
      </c>
      <c r="E17" s="39">
        <v>153</v>
      </c>
      <c r="F17" s="20">
        <v>63</v>
      </c>
      <c r="G17" s="27">
        <f t="shared" si="0"/>
        <v>41.17647058823529</v>
      </c>
      <c r="H17" s="39">
        <v>159</v>
      </c>
      <c r="I17" s="20">
        <v>68</v>
      </c>
      <c r="J17" s="27">
        <f t="shared" si="1"/>
        <v>42.767295597484278</v>
      </c>
      <c r="K17" s="8" t="s">
        <v>42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17"/>
    </row>
    <row r="18" spans="1:157" ht="21" x14ac:dyDescent="0.25">
      <c r="A18" s="19" t="s">
        <v>7</v>
      </c>
      <c r="B18" s="39">
        <v>170</v>
      </c>
      <c r="C18" s="20">
        <v>59.499999999999993</v>
      </c>
      <c r="D18" s="27">
        <v>35</v>
      </c>
      <c r="E18" s="39">
        <v>163</v>
      </c>
      <c r="F18" s="20">
        <v>47</v>
      </c>
      <c r="G18" s="27">
        <f t="shared" si="0"/>
        <v>28.834355828220858</v>
      </c>
      <c r="H18" s="39">
        <v>153</v>
      </c>
      <c r="I18" s="20">
        <v>84</v>
      </c>
      <c r="J18" s="27">
        <f t="shared" si="1"/>
        <v>54.901960784313729</v>
      </c>
      <c r="K18" s="8" t="s">
        <v>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17"/>
    </row>
    <row r="19" spans="1:157" ht="21" x14ac:dyDescent="0.25">
      <c r="A19" s="19" t="s">
        <v>8</v>
      </c>
      <c r="B19" s="39">
        <v>109</v>
      </c>
      <c r="C19" s="20">
        <v>42.51</v>
      </c>
      <c r="D19" s="27">
        <v>38.999999999999993</v>
      </c>
      <c r="E19" s="39">
        <v>86</v>
      </c>
      <c r="F19" s="20">
        <v>23</v>
      </c>
      <c r="G19" s="27">
        <f t="shared" si="0"/>
        <v>26.744186046511626</v>
      </c>
      <c r="H19" s="39">
        <v>89</v>
      </c>
      <c r="I19" s="20">
        <v>38</v>
      </c>
      <c r="J19" s="27">
        <f t="shared" si="1"/>
        <v>42.696629213483142</v>
      </c>
      <c r="K19" s="8" t="s">
        <v>44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17"/>
    </row>
    <row r="20" spans="1:157" ht="21" x14ac:dyDescent="0.25">
      <c r="A20" s="19" t="s">
        <v>9</v>
      </c>
      <c r="B20" s="39">
        <v>142</v>
      </c>
      <c r="C20" s="20">
        <v>51.12</v>
      </c>
      <c r="D20" s="27">
        <v>36</v>
      </c>
      <c r="E20" s="39">
        <v>137</v>
      </c>
      <c r="F20" s="20">
        <v>38</v>
      </c>
      <c r="G20" s="27">
        <f t="shared" si="0"/>
        <v>27.737226277372262</v>
      </c>
      <c r="H20" s="39">
        <v>102</v>
      </c>
      <c r="I20" s="20">
        <v>42</v>
      </c>
      <c r="J20" s="27">
        <f t="shared" si="1"/>
        <v>41.17647058823529</v>
      </c>
      <c r="K20" s="8" t="s">
        <v>45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17"/>
    </row>
    <row r="21" spans="1:157" ht="21" x14ac:dyDescent="0.25">
      <c r="A21" s="19" t="s">
        <v>10</v>
      </c>
      <c r="B21" s="39">
        <v>25</v>
      </c>
      <c r="C21" s="20">
        <v>10</v>
      </c>
      <c r="D21" s="27">
        <v>40</v>
      </c>
      <c r="E21" s="39">
        <v>25</v>
      </c>
      <c r="F21" s="20">
        <v>12</v>
      </c>
      <c r="G21" s="27">
        <f t="shared" si="0"/>
        <v>48</v>
      </c>
      <c r="H21" s="39">
        <v>25</v>
      </c>
      <c r="I21" s="20">
        <v>19</v>
      </c>
      <c r="J21" s="27">
        <f t="shared" si="1"/>
        <v>76</v>
      </c>
      <c r="K21" s="8" t="s">
        <v>46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17"/>
    </row>
    <row r="22" spans="1:157" ht="21" x14ac:dyDescent="0.25">
      <c r="A22" s="19" t="s">
        <v>11</v>
      </c>
      <c r="B22" s="39">
        <v>99</v>
      </c>
      <c r="C22" s="20">
        <v>44.550000000000004</v>
      </c>
      <c r="D22" s="27">
        <v>45.000000000000007</v>
      </c>
      <c r="E22" s="39">
        <v>90</v>
      </c>
      <c r="F22" s="20">
        <v>43</v>
      </c>
      <c r="G22" s="27">
        <f t="shared" si="0"/>
        <v>47.777777777777779</v>
      </c>
      <c r="H22" s="39">
        <v>112</v>
      </c>
      <c r="I22" s="20">
        <v>58</v>
      </c>
      <c r="J22" s="27">
        <f t="shared" si="1"/>
        <v>51.785714285714292</v>
      </c>
      <c r="K22" s="8" t="s">
        <v>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17"/>
    </row>
    <row r="23" spans="1:157" ht="21" x14ac:dyDescent="0.25">
      <c r="A23" s="19" t="s">
        <v>12</v>
      </c>
      <c r="B23" s="39">
        <v>98</v>
      </c>
      <c r="C23" s="20">
        <v>49.980000000000004</v>
      </c>
      <c r="D23" s="27">
        <v>51</v>
      </c>
      <c r="E23" s="39">
        <v>63</v>
      </c>
      <c r="F23" s="20">
        <v>31</v>
      </c>
      <c r="G23" s="27">
        <f t="shared" si="0"/>
        <v>49.206349206349202</v>
      </c>
      <c r="H23" s="39">
        <v>99</v>
      </c>
      <c r="I23" s="20">
        <v>60</v>
      </c>
      <c r="J23" s="27">
        <f t="shared" si="1"/>
        <v>60.606060606060609</v>
      </c>
      <c r="K23" s="8" t="s">
        <v>48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17"/>
    </row>
    <row r="24" spans="1:157" ht="21" x14ac:dyDescent="0.25">
      <c r="A24" s="19" t="s">
        <v>13</v>
      </c>
      <c r="B24" s="39">
        <v>88</v>
      </c>
      <c r="C24" s="20">
        <v>31.68</v>
      </c>
      <c r="D24" s="27">
        <v>36</v>
      </c>
      <c r="E24" s="39">
        <v>91</v>
      </c>
      <c r="F24" s="20">
        <v>39</v>
      </c>
      <c r="G24" s="27">
        <f t="shared" si="0"/>
        <v>42.857142857142854</v>
      </c>
      <c r="H24" s="39">
        <v>83</v>
      </c>
      <c r="I24" s="20">
        <v>47</v>
      </c>
      <c r="J24" s="27">
        <f t="shared" si="1"/>
        <v>56.626506024096393</v>
      </c>
      <c r="K24" s="8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17"/>
    </row>
    <row r="25" spans="1:157" ht="21" x14ac:dyDescent="0.25">
      <c r="A25" s="19" t="s">
        <v>14</v>
      </c>
      <c r="B25" s="39">
        <v>140</v>
      </c>
      <c r="C25" s="20">
        <v>47.6</v>
      </c>
      <c r="D25" s="27">
        <v>34</v>
      </c>
      <c r="E25" s="39">
        <v>145</v>
      </c>
      <c r="F25" s="20">
        <v>59</v>
      </c>
      <c r="G25" s="27">
        <f t="shared" si="0"/>
        <v>40.689655172413794</v>
      </c>
      <c r="H25" s="39">
        <v>182</v>
      </c>
      <c r="I25" s="20">
        <v>106</v>
      </c>
      <c r="J25" s="27">
        <f t="shared" si="1"/>
        <v>58.241758241758248</v>
      </c>
      <c r="K25" s="8" t="s">
        <v>50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17"/>
    </row>
    <row r="26" spans="1:157" ht="21" x14ac:dyDescent="0.25">
      <c r="A26" s="19" t="s">
        <v>6</v>
      </c>
      <c r="B26" s="39">
        <v>217</v>
      </c>
      <c r="C26" s="20">
        <v>54.25</v>
      </c>
      <c r="D26" s="27">
        <v>25</v>
      </c>
      <c r="E26" s="39">
        <v>215</v>
      </c>
      <c r="F26" s="20">
        <v>60</v>
      </c>
      <c r="G26" s="27">
        <f t="shared" si="0"/>
        <v>27.906976744186046</v>
      </c>
      <c r="H26" s="39">
        <v>241</v>
      </c>
      <c r="I26" s="20">
        <v>100</v>
      </c>
      <c r="J26" s="27">
        <f t="shared" si="1"/>
        <v>41.49377593360996</v>
      </c>
      <c r="K26" s="8" t="s">
        <v>51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17"/>
    </row>
    <row r="27" spans="1:157" ht="21" x14ac:dyDescent="0.25">
      <c r="A27" s="19" t="s">
        <v>15</v>
      </c>
      <c r="B27" s="39">
        <v>214</v>
      </c>
      <c r="C27" s="20">
        <v>74.899999999999991</v>
      </c>
      <c r="D27" s="27">
        <v>35</v>
      </c>
      <c r="E27" s="39">
        <v>180</v>
      </c>
      <c r="F27" s="20">
        <v>86</v>
      </c>
      <c r="G27" s="27">
        <f t="shared" si="0"/>
        <v>47.777777777777779</v>
      </c>
      <c r="H27" s="39">
        <v>171</v>
      </c>
      <c r="I27" s="20">
        <v>93</v>
      </c>
      <c r="J27" s="27">
        <f t="shared" si="1"/>
        <v>54.385964912280706</v>
      </c>
      <c r="K27" s="8" t="s">
        <v>52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17"/>
    </row>
    <row r="28" spans="1:157" ht="21" x14ac:dyDescent="0.25">
      <c r="A28" s="19" t="s">
        <v>16</v>
      </c>
      <c r="B28" s="39">
        <v>267</v>
      </c>
      <c r="C28" s="20">
        <v>90.78</v>
      </c>
      <c r="D28" s="27">
        <v>34</v>
      </c>
      <c r="E28" s="39">
        <v>211</v>
      </c>
      <c r="F28" s="20">
        <v>93</v>
      </c>
      <c r="G28" s="27">
        <f t="shared" si="0"/>
        <v>44.075829383886258</v>
      </c>
      <c r="H28" s="39">
        <v>200</v>
      </c>
      <c r="I28" s="20">
        <v>79</v>
      </c>
      <c r="J28" s="27">
        <f t="shared" si="1"/>
        <v>39.5</v>
      </c>
      <c r="K28" s="8" t="s">
        <v>53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17"/>
    </row>
    <row r="29" spans="1:157" ht="21" x14ac:dyDescent="0.25">
      <c r="A29" s="19" t="s">
        <v>17</v>
      </c>
      <c r="B29" s="39">
        <v>171</v>
      </c>
      <c r="C29" s="20">
        <v>59.849999999999994</v>
      </c>
      <c r="D29" s="27">
        <v>35</v>
      </c>
      <c r="E29" s="39">
        <v>201</v>
      </c>
      <c r="F29" s="20">
        <v>59</v>
      </c>
      <c r="G29" s="27">
        <f t="shared" si="0"/>
        <v>29.35323383084577</v>
      </c>
      <c r="H29" s="39">
        <v>172</v>
      </c>
      <c r="I29" s="20">
        <v>78</v>
      </c>
      <c r="J29" s="27">
        <f t="shared" si="1"/>
        <v>45.348837209302324</v>
      </c>
      <c r="K29" s="8" t="s">
        <v>54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17"/>
    </row>
    <row r="30" spans="1:157" ht="21" x14ac:dyDescent="0.25">
      <c r="A30" s="21" t="s">
        <v>3</v>
      </c>
      <c r="B30" s="40">
        <v>376</v>
      </c>
      <c r="C30" s="22">
        <v>188</v>
      </c>
      <c r="D30" s="28">
        <v>50</v>
      </c>
      <c r="E30" s="40">
        <v>313</v>
      </c>
      <c r="F30" s="22">
        <v>154</v>
      </c>
      <c r="G30" s="28">
        <f t="shared" si="0"/>
        <v>49.201277955271564</v>
      </c>
      <c r="H30" s="40">
        <v>337</v>
      </c>
      <c r="I30" s="22">
        <v>207</v>
      </c>
      <c r="J30" s="28">
        <f t="shared" si="1"/>
        <v>61.424332344213653</v>
      </c>
      <c r="K30" s="10" t="s">
        <v>55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17"/>
    </row>
    <row r="31" spans="1:157" ht="18" x14ac:dyDescent="0.45">
      <c r="A31" s="70" t="s">
        <v>19</v>
      </c>
      <c r="B31" s="30"/>
      <c r="C31" s="31"/>
      <c r="D31" s="29"/>
      <c r="E31" s="30"/>
      <c r="F31" s="47"/>
      <c r="G31" s="48"/>
      <c r="H31" s="30"/>
      <c r="I31" s="47"/>
      <c r="J31" s="48"/>
      <c r="K31" s="1" t="s">
        <v>20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</row>
    <row r="32" spans="1:157" ht="18" x14ac:dyDescent="0.45">
      <c r="A32" s="69" t="s">
        <v>56</v>
      </c>
      <c r="B32" s="29"/>
      <c r="C32" s="31"/>
      <c r="D32" s="29"/>
      <c r="E32" s="29"/>
      <c r="F32" s="31"/>
      <c r="G32" s="29"/>
      <c r="H32" s="29"/>
      <c r="I32" s="31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32"/>
    </row>
    <row r="33" spans="1:160" ht="18" x14ac:dyDescent="0.45">
      <c r="A33" s="69" t="s">
        <v>57</v>
      </c>
      <c r="B33" s="29"/>
      <c r="C33" s="31"/>
      <c r="D33" s="29"/>
      <c r="E33" s="29"/>
      <c r="F33" s="31"/>
      <c r="G33" s="29"/>
      <c r="H33" s="29"/>
      <c r="I33" s="31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33"/>
      <c r="FC33" s="33"/>
      <c r="FD33" s="33"/>
    </row>
    <row r="34" spans="1:160" x14ac:dyDescent="0.25"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FB34" s="23"/>
      <c r="FC34" s="23"/>
      <c r="FD34" s="23"/>
    </row>
    <row r="35" spans="1:160" x14ac:dyDescent="0.25"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FA35" s="24"/>
      <c r="FB35" s="23"/>
      <c r="FC35" s="23"/>
      <c r="FD35" s="23"/>
    </row>
    <row r="36" spans="1:160" x14ac:dyDescent="0.25"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FA36" s="24"/>
      <c r="FB36" s="23"/>
      <c r="FC36" s="23"/>
      <c r="FD36" s="23"/>
    </row>
    <row r="37" spans="1:160" x14ac:dyDescent="0.25"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FA37" s="24"/>
      <c r="FB37" s="23"/>
      <c r="FC37" s="23"/>
      <c r="FD37" s="23"/>
    </row>
    <row r="38" spans="1:160" x14ac:dyDescent="0.25"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FA38" s="24"/>
      <c r="FB38" s="23"/>
      <c r="FC38" s="23"/>
      <c r="FD38" s="23"/>
    </row>
    <row r="39" spans="1:160" x14ac:dyDescent="0.25"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FA39" s="24"/>
      <c r="FB39" s="23"/>
      <c r="FC39" s="23"/>
      <c r="FD39" s="23"/>
    </row>
    <row r="40" spans="1:160" x14ac:dyDescent="0.25"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FA40" s="24"/>
      <c r="FB40" s="23"/>
      <c r="FC40" s="23"/>
      <c r="FD40" s="23"/>
    </row>
    <row r="41" spans="1:160" x14ac:dyDescent="0.25"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FA41" s="24"/>
      <c r="FB41" s="23"/>
      <c r="FC41" s="23"/>
      <c r="FD41" s="23"/>
    </row>
    <row r="42" spans="1:160" x14ac:dyDescent="0.25"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FA42" s="24"/>
      <c r="FB42" s="23"/>
      <c r="FC42" s="23"/>
      <c r="FD42" s="23"/>
    </row>
    <row r="43" spans="1:160" x14ac:dyDescent="0.25"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FA43" s="24"/>
      <c r="FB43" s="23"/>
      <c r="FC43" s="23"/>
      <c r="FD43" s="23"/>
    </row>
    <row r="44" spans="1:160" x14ac:dyDescent="0.25"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FA44" s="24"/>
      <c r="FB44" s="23"/>
      <c r="FC44" s="23"/>
      <c r="FD44" s="23"/>
    </row>
    <row r="45" spans="1:160" x14ac:dyDescent="0.25"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FA45" s="24"/>
      <c r="FB45" s="23"/>
      <c r="FC45" s="23"/>
      <c r="FD45" s="23"/>
    </row>
    <row r="46" spans="1:160" x14ac:dyDescent="0.25"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FA46" s="24"/>
      <c r="FB46" s="23"/>
      <c r="FC46" s="23"/>
      <c r="FD46" s="23"/>
    </row>
    <row r="47" spans="1:160" x14ac:dyDescent="0.25"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FA47" s="24"/>
      <c r="FB47" s="23"/>
      <c r="FC47" s="23"/>
      <c r="FD47" s="23"/>
    </row>
    <row r="48" spans="1:160" x14ac:dyDescent="0.25"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FA48" s="24"/>
      <c r="FB48" s="23"/>
      <c r="FC48" s="23"/>
      <c r="FD48" s="23"/>
    </row>
    <row r="49" spans="14:160" x14ac:dyDescent="0.25"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FA49" s="24"/>
      <c r="FB49" s="23"/>
      <c r="FC49" s="23"/>
      <c r="FD49" s="23"/>
    </row>
    <row r="50" spans="14:160" x14ac:dyDescent="0.25"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FA50" s="24"/>
      <c r="FB50" s="23"/>
      <c r="FC50" s="23"/>
      <c r="FD50" s="23"/>
    </row>
    <row r="51" spans="14:160" x14ac:dyDescent="0.25"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T51" s="2">
        <v>2010</v>
      </c>
      <c r="EU51" s="2">
        <v>2011</v>
      </c>
      <c r="EV51" s="2">
        <v>2012</v>
      </c>
      <c r="EW51" s="2">
        <v>2013</v>
      </c>
      <c r="EX51" s="2">
        <v>2014</v>
      </c>
      <c r="EY51" s="7">
        <v>2015</v>
      </c>
      <c r="EZ51" s="2">
        <v>2016</v>
      </c>
      <c r="FA51" s="24"/>
      <c r="FB51" s="23"/>
      <c r="FC51" s="23"/>
      <c r="FD51" s="23"/>
    </row>
    <row r="52" spans="14:160" ht="21" x14ac:dyDescent="0.55000000000000004"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" t="s">
        <v>0</v>
      </c>
      <c r="ET52" s="25">
        <v>34.739884393063583</v>
      </c>
      <c r="EU52" s="25">
        <v>55.006218905472636</v>
      </c>
      <c r="EV52" s="25">
        <v>41.821619918058623</v>
      </c>
      <c r="EW52" s="26">
        <v>42.609532980259992</v>
      </c>
      <c r="EX52" s="26">
        <v>46.892301998519613</v>
      </c>
      <c r="EY52" s="7">
        <v>46</v>
      </c>
      <c r="EZ52" s="52">
        <f>J8</f>
        <v>59.512550018188435</v>
      </c>
      <c r="FA52" s="24"/>
      <c r="FB52" s="23"/>
      <c r="FC52" s="23"/>
      <c r="FD52" s="23"/>
    </row>
    <row r="53" spans="14:160" ht="21" x14ac:dyDescent="0.55000000000000004"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" t="s">
        <v>1</v>
      </c>
      <c r="ET53" s="25">
        <v>53.695881731784581</v>
      </c>
      <c r="EU53" s="25">
        <v>57.991120976692571</v>
      </c>
      <c r="EV53" s="25">
        <v>59.810625986322982</v>
      </c>
      <c r="EW53" s="26">
        <v>55.791505791505791</v>
      </c>
      <c r="EX53" s="26">
        <v>70</v>
      </c>
      <c r="EY53" s="7">
        <v>62</v>
      </c>
      <c r="EZ53" s="52">
        <f t="shared" ref="EZ53:EZ54" si="2">J9</f>
        <v>69.472502805836129</v>
      </c>
      <c r="FA53" s="24"/>
      <c r="FB53" s="23"/>
      <c r="FC53" s="23"/>
      <c r="FD53" s="23"/>
    </row>
    <row r="54" spans="14:160" ht="21" x14ac:dyDescent="0.55000000000000004">
      <c r="ES54" s="2" t="s">
        <v>2</v>
      </c>
      <c r="ET54" s="25">
        <v>27.596498209311584</v>
      </c>
      <c r="EU54" s="25">
        <v>29.784017278617707</v>
      </c>
      <c r="EV54" s="25">
        <v>34.128233970753655</v>
      </c>
      <c r="EW54" s="26">
        <v>36.042317864871364</v>
      </c>
      <c r="EX54" s="26">
        <v>38.095554420030659</v>
      </c>
      <c r="EY54" s="7">
        <v>38</v>
      </c>
      <c r="EZ54" s="52">
        <f t="shared" si="2"/>
        <v>54.73627556512379</v>
      </c>
    </row>
  </sheetData>
  <mergeCells count="7">
    <mergeCell ref="A2:K2"/>
    <mergeCell ref="A3:K3"/>
    <mergeCell ref="A5:A7"/>
    <mergeCell ref="B5:D5"/>
    <mergeCell ref="E5:G5"/>
    <mergeCell ref="K5:K7"/>
    <mergeCell ref="H5:J5"/>
  </mergeCells>
  <pageMargins left="0.7" right="0.7" top="0.75" bottom="0.75" header="0.3" footer="0.3"/>
  <pageSetup paperSize="9" scale="68" orientation="portrait" horizontalDpi="4294967295" verticalDpi="4294967295" r:id="rId1"/>
  <rowBreaks count="1" manualBreakCount="1">
    <brk id="52" max="11" man="1"/>
  </rowBreaks>
  <ignoredErrors>
    <ignoredError sqref="G8:G1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7.15</vt:lpstr>
      <vt:lpstr>'7.15'!Print_Area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2017-11-09T06:29:42Z</cp:lastPrinted>
  <dcterms:created xsi:type="dcterms:W3CDTF">2014-03-05T03:36:41Z</dcterms:created>
  <dcterms:modified xsi:type="dcterms:W3CDTF">2017-11-09T06:29:57Z</dcterms:modified>
</cp:coreProperties>
</file>