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3" sheetId="5" r:id="rId1"/>
  </sheets>
  <externalReferences>
    <externalReference r:id="rId2"/>
  </externalReferences>
  <definedNames>
    <definedName name="_xlnm.Print_Area" localSheetId="0">'7.3'!$A$1:$S$33</definedName>
  </definedNames>
  <calcPr calcId="144525"/>
</workbook>
</file>

<file path=xl/calcChain.xml><?xml version="1.0" encoding="utf-8"?>
<calcChain xmlns="http://schemas.openxmlformats.org/spreadsheetml/2006/main">
  <c r="F13" i="5" l="1"/>
  <c r="F17" i="5"/>
  <c r="F14" i="5" l="1"/>
  <c r="F29" i="5"/>
  <c r="F25" i="5"/>
  <c r="F21" i="5"/>
  <c r="F24" i="5"/>
  <c r="F20" i="5"/>
  <c r="F16" i="5"/>
  <c r="F12" i="5"/>
  <c r="F22" i="5"/>
  <c r="F18" i="5"/>
  <c r="F23" i="5"/>
  <c r="F30" i="5"/>
  <c r="F19" i="5"/>
  <c r="F27" i="5"/>
  <c r="D10" i="5"/>
  <c r="D8" i="5" s="1"/>
  <c r="F15" i="5"/>
  <c r="F28" i="5"/>
  <c r="F26" i="5"/>
  <c r="F9" i="5"/>
  <c r="C10" i="5"/>
  <c r="C8" i="5" s="1"/>
  <c r="F11" i="5"/>
  <c r="N28" i="5" l="1"/>
  <c r="N20" i="5"/>
  <c r="N17" i="5"/>
  <c r="R28" i="5"/>
  <c r="R20" i="5"/>
  <c r="R17" i="5"/>
  <c r="N24" i="5"/>
  <c r="N23" i="5"/>
  <c r="N22" i="5"/>
  <c r="N19" i="5"/>
  <c r="N18" i="5"/>
  <c r="R24" i="5"/>
  <c r="R23" i="5"/>
  <c r="R22" i="5"/>
  <c r="R19" i="5"/>
  <c r="R18" i="5"/>
  <c r="R9" i="5"/>
  <c r="N27" i="5"/>
  <c r="N25" i="5"/>
  <c r="N21" i="5"/>
  <c r="N16" i="5"/>
  <c r="N15" i="5"/>
  <c r="N13" i="5"/>
  <c r="R27" i="5"/>
  <c r="R25" i="5"/>
  <c r="R16" i="5"/>
  <c r="R15" i="5"/>
  <c r="R13" i="5"/>
  <c r="N30" i="5"/>
  <c r="N29" i="5"/>
  <c r="N26" i="5"/>
  <c r="N14" i="5"/>
  <c r="N12" i="5"/>
  <c r="R30" i="5"/>
  <c r="R29" i="5"/>
  <c r="R26" i="5"/>
  <c r="R14" i="5"/>
  <c r="R12" i="5"/>
  <c r="F10" i="5"/>
  <c r="F8" i="5"/>
  <c r="O10" i="5" l="1"/>
  <c r="O8" i="5" s="1"/>
  <c r="B19" i="5"/>
  <c r="J19" i="5"/>
  <c r="J23" i="5"/>
  <c r="B23" i="5"/>
  <c r="B20" i="5"/>
  <c r="J20" i="5"/>
  <c r="B21" i="5"/>
  <c r="J21" i="5"/>
  <c r="R11" i="5"/>
  <c r="P10" i="5"/>
  <c r="N9" i="5"/>
  <c r="B11" i="5"/>
  <c r="H10" i="5"/>
  <c r="H8" i="5" s="1"/>
  <c r="J8" i="5" s="1"/>
  <c r="J11" i="5"/>
  <c r="J12" i="5"/>
  <c r="B12" i="5"/>
  <c r="B26" i="5"/>
  <c r="J26" i="5"/>
  <c r="J30" i="5"/>
  <c r="B30" i="5"/>
  <c r="B9" i="5"/>
  <c r="J9" i="5"/>
  <c r="L10" i="5"/>
  <c r="N10" i="5" s="1"/>
  <c r="N11" i="5"/>
  <c r="K10" i="5"/>
  <c r="K8" i="5" s="1"/>
  <c r="B17" i="5"/>
  <c r="J17" i="5"/>
  <c r="B28" i="5"/>
  <c r="J28" i="5"/>
  <c r="G10" i="5"/>
  <c r="G8" i="5" s="1"/>
  <c r="B13" i="5"/>
  <c r="J13" i="5"/>
  <c r="J16" i="5"/>
  <c r="B16" i="5"/>
  <c r="B25" i="5"/>
  <c r="J25" i="5"/>
  <c r="J18" i="5"/>
  <c r="B18" i="5"/>
  <c r="B22" i="5"/>
  <c r="J22" i="5"/>
  <c r="B24" i="5"/>
  <c r="J24" i="5"/>
  <c r="J14" i="5"/>
  <c r="B14" i="5"/>
  <c r="B29" i="5"/>
  <c r="J29" i="5"/>
  <c r="B15" i="5"/>
  <c r="J15" i="5"/>
  <c r="J27" i="5"/>
  <c r="B27" i="5"/>
  <c r="L8" i="5" l="1"/>
  <c r="N8" i="5" s="1"/>
  <c r="P8" i="5"/>
  <c r="R8" i="5" s="1"/>
  <c r="R10" i="5"/>
  <c r="J10" i="5"/>
  <c r="B10" i="5"/>
  <c r="B8" i="5" s="1"/>
</calcChain>
</file>

<file path=xl/sharedStrings.xml><?xml version="1.0" encoding="utf-8"?>
<sst xmlns="http://schemas.openxmlformats.org/spreadsheetml/2006/main" count="97" uniqueCount="72">
  <si>
    <t>cscnijed</t>
  </si>
  <si>
    <t>Both Sexes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</si>
  <si>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</si>
  <si>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</si>
  <si>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</si>
  <si>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</si>
  <si>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</si>
  <si>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</si>
  <si>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</si>
  <si>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</si>
  <si>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</si>
  <si>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</si>
  <si>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</si>
  <si>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</si>
  <si>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</si>
  <si>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</si>
  <si>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</si>
  <si>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</si>
  <si>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</si>
  <si>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</si>
  <si>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</si>
  <si>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</si>
  <si>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</si>
  <si>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</si>
  <si>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</si>
  <si>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</si>
  <si>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</si>
  <si>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</si>
  <si>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</si>
  <si>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</si>
  <si>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</si>
  <si>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</si>
  <si>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</si>
  <si>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</si>
  <si>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</si>
  <si>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</si>
  <si>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</si>
  <si>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</si>
  <si>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</si>
  <si>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</si>
  <si>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</si>
  <si>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cnwxEkuaiDea cfoa IrcTcsinim :ctWrwf ivcaed utWmUluAwm</t>
  </si>
  <si>
    <t>Pre - Primary</t>
  </si>
  <si>
    <t xml:space="preserve">Both Sexes </t>
  </si>
  <si>
    <t>Locality</t>
  </si>
  <si>
    <t>clUkcsIrcp</t>
  </si>
  <si>
    <t>umIluAwtWSwf</t>
  </si>
  <si>
    <t>umIluAwtIvwnWX</t>
  </si>
  <si>
    <t>umIluAwtIvwnWXItwm</t>
  </si>
  <si>
    <t>Lower Secondary Level</t>
  </si>
  <si>
    <t>Higher Secondary Level</t>
  </si>
  <si>
    <t>egcnidukWvwyik udwdwA</t>
  </si>
  <si>
    <t>udwdwa egclUkcs</t>
  </si>
  <si>
    <t xml:space="preserve">cnehcnwa cnia wtcawscnia  </t>
  </si>
  <si>
    <t xml:space="preserve">cnehcnwa cniawtcawscnia  </t>
  </si>
  <si>
    <t>cnwt</t>
  </si>
  <si>
    <t>No .of schools</t>
  </si>
  <si>
    <t>% of Females</t>
  </si>
  <si>
    <t>Note: Sum of schools in this table does not add up to total number of schools as schools overlap in levels</t>
  </si>
  <si>
    <t>Source : Ministry of Education</t>
  </si>
  <si>
    <t>HA</t>
  </si>
  <si>
    <t>HDh</t>
  </si>
  <si>
    <t>Sh</t>
  </si>
  <si>
    <t>R</t>
  </si>
  <si>
    <t xml:space="preserve">ޚާއްސަ އެހީއަށް ބޭނުންވާ ކްލާސްތަކުގައި ކިޔަވާ ކުދިން ނުހިމެނޭނެއެވެ. </t>
  </si>
  <si>
    <t>Females</t>
  </si>
  <si>
    <t xml:space="preserve"> Primary Level </t>
  </si>
  <si>
    <r>
      <t>No. of Students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</si>
  <si>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        </t>
    </r>
    <r>
      <rPr>
        <i/>
        <vertAlign val="superscript"/>
        <sz val="9"/>
        <color theme="1"/>
        <rFont val="Calibri"/>
        <family val="2"/>
        <scheme val="minor"/>
      </rPr>
      <t xml:space="preserve">  1_/</t>
    </r>
    <r>
      <rPr>
        <i/>
        <sz val="9"/>
        <color theme="1"/>
        <rFont val="Calibri"/>
        <family val="2"/>
        <scheme val="minor"/>
      </rPr>
      <t xml:space="preserve">  Excludes children with special needs.</t>
    </r>
  </si>
  <si>
    <t xml:space="preserve">2016 ,cnikwwv cscnij udwdwA egcnidukWvwyik iawgunwtcnwtea iaWnwtcnwtEdWvwyiik cSwkwtitcnwfikea iruh iawgukwtuLotwa iaWaelWm :7.3 clwvWt </t>
  </si>
  <si>
    <t>Table 7.3: STUDENT ENROLMENT IN MALE' AND ATOLLS BY TYPE OF  LEVEL AND INSTITUTION , 2016</t>
  </si>
  <si>
    <t>ccnehcnwa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</si>
</sst>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i/>
      <sz val="9"/>
      <color theme="1"/>
      <name val="Arial"/>
      <family val="2"/>
    </font>
    <font>
      <sz val="9"/>
      <color theme="1"/>
      <name val="Courier"/>
      <family val="3"/>
    </font>
    <font>
      <sz val="10"/>
      <color theme="1"/>
      <name val="A_Randhoo"/>
    </font>
    <font>
      <b/>
      <sz val="9"/>
      <color theme="1"/>
      <name val="A_Randhoo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Faruma"/>
    </font>
    <font>
      <sz val="8"/>
      <color theme="1"/>
      <name val="A_Randhoo"/>
    </font>
    <font>
      <vertAlign val="superscript"/>
      <sz val="11"/>
      <color theme="1"/>
      <name val="Faruma"/>
    </font>
    <font>
      <sz val="9"/>
      <color theme="1"/>
      <name val="Win Ahamedey PRB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A_Funa"/>
    </font>
    <font>
      <b/>
      <sz val="10"/>
      <color theme="1"/>
      <name val="A_Randhoo"/>
    </font>
    <font>
      <b/>
      <sz val="11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9"/>
      <color theme="1"/>
      <name val="Courier"/>
      <family val="3"/>
    </font>
    <font>
      <b/>
      <vertAlign val="superscript"/>
      <sz val="10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6" fontId="2" fillId="0" borderId="0"/>
    <xf numFmtId="40" fontId="22" fillId="0" borderId="0" applyFont="0" applyFill="0" applyBorder="0" applyAlignment="0" applyProtection="0"/>
    <xf numFmtId="164" fontId="2" fillId="0" borderId="0"/>
    <xf numFmtId="0" fontId="28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3" fillId="0" borderId="0"/>
    <xf numFmtId="171" fontId="2" fillId="0" borderId="0"/>
    <xf numFmtId="0" fontId="22" fillId="0" borderId="0"/>
    <xf numFmtId="0" fontId="22" fillId="0" borderId="0"/>
    <xf numFmtId="171" fontId="2" fillId="0" borderId="0"/>
    <xf numFmtId="0" fontId="22" fillId="0" borderId="0"/>
    <xf numFmtId="0" fontId="2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95">
    <xf numFmtId="0" fontId="0" fillId="0" borderId="0" xfId="0"/>
    <xf numFmtId="165" fontId="7" fillId="2" borderId="1" xfId="0" applyNumberFormat="1" applyFont="1" applyFill="1" applyBorder="1" applyAlignment="1">
      <alignment wrapText="1"/>
    </xf>
    <xf numFmtId="3" fontId="4" fillId="2" borderId="0" xfId="4" applyNumberFormat="1" applyFont="1" applyFill="1" applyAlignment="1">
      <alignment vertical="center"/>
    </xf>
    <xf numFmtId="3" fontId="8" fillId="2" borderId="0" xfId="4" applyNumberFormat="1" applyFont="1" applyFill="1" applyBorder="1" applyAlignment="1">
      <alignment vertical="center"/>
    </xf>
    <xf numFmtId="3" fontId="8" fillId="2" borderId="0" xfId="4" applyNumberFormat="1" applyFont="1" applyFill="1" applyAlignment="1">
      <alignment horizontal="center" vertical="center"/>
    </xf>
    <xf numFmtId="3" fontId="8" fillId="2" borderId="0" xfId="4" applyNumberFormat="1" applyFont="1" applyFill="1"/>
    <xf numFmtId="3" fontId="8" fillId="2" borderId="0" xfId="4" applyNumberFormat="1" applyFont="1" applyFill="1" applyAlignment="1"/>
    <xf numFmtId="3" fontId="8" fillId="2" borderId="0" xfId="4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3" fontId="11" fillId="2" borderId="0" xfId="4" applyNumberFormat="1" applyFont="1" applyFill="1" applyBorder="1" applyAlignment="1">
      <alignment horizontal="right" textRotation="90"/>
    </xf>
    <xf numFmtId="3" fontId="12" fillId="2" borderId="0" xfId="4" applyNumberFormat="1" applyFont="1" applyFill="1" applyBorder="1" applyAlignment="1">
      <alignment horizontal="center" textRotation="90"/>
    </xf>
    <xf numFmtId="3" fontId="11" fillId="2" borderId="0" xfId="4" applyNumberFormat="1" applyFont="1" applyFill="1" applyBorder="1" applyAlignment="1">
      <alignment horizontal="center" textRotation="90"/>
    </xf>
    <xf numFmtId="3" fontId="13" fillId="2" borderId="0" xfId="4" applyNumberFormat="1" applyFont="1" applyFill="1" applyBorder="1" applyAlignment="1">
      <alignment horizontal="center" textRotation="90"/>
    </xf>
    <xf numFmtId="165" fontId="4" fillId="2" borderId="0" xfId="0" applyNumberFormat="1" applyFont="1" applyFill="1" applyBorder="1" applyAlignment="1">
      <alignment vertical="center"/>
    </xf>
    <xf numFmtId="3" fontId="5" fillId="2" borderId="0" xfId="4" applyNumberFormat="1" applyFont="1" applyFill="1" applyBorder="1"/>
    <xf numFmtId="3" fontId="5" fillId="2" borderId="0" xfId="4" applyNumberFormat="1" applyFont="1" applyFill="1" applyBorder="1" applyAlignment="1">
      <alignment horizontal="center"/>
    </xf>
    <xf numFmtId="3" fontId="5" fillId="2" borderId="0" xfId="4" applyNumberFormat="1" applyFont="1" applyFill="1" applyBorder="1" applyAlignment="1"/>
    <xf numFmtId="3" fontId="5" fillId="2" borderId="0" xfId="4" applyNumberFormat="1" applyFont="1" applyFill="1" applyBorder="1" applyAlignment="1">
      <alignment horizontal="right"/>
    </xf>
    <xf numFmtId="165" fontId="14" fillId="2" borderId="0" xfId="0" applyNumberFormat="1" applyFont="1" applyFill="1" applyAlignment="1">
      <alignment horizontal="right"/>
    </xf>
    <xf numFmtId="3" fontId="15" fillId="2" borderId="0" xfId="4" applyNumberFormat="1" applyFont="1" applyFill="1" applyBorder="1" applyAlignment="1">
      <alignment horizontal="right"/>
    </xf>
    <xf numFmtId="165" fontId="16" fillId="2" borderId="0" xfId="0" applyNumberFormat="1" applyFont="1" applyFill="1" applyBorder="1" applyAlignment="1">
      <alignment horizontal="right" vertical="center"/>
    </xf>
    <xf numFmtId="3" fontId="17" fillId="2" borderId="0" xfId="4" applyNumberFormat="1" applyFont="1" applyFill="1" applyBorder="1" applyAlignment="1">
      <alignment horizontal="left"/>
    </xf>
    <xf numFmtId="3" fontId="11" fillId="2" borderId="0" xfId="4" applyNumberFormat="1" applyFont="1" applyFill="1" applyBorder="1" applyAlignment="1">
      <alignment horizontal="center"/>
    </xf>
    <xf numFmtId="3" fontId="15" fillId="2" borderId="0" xfId="4" applyNumberFormat="1" applyFont="1" applyFill="1" applyBorder="1"/>
    <xf numFmtId="165" fontId="14" fillId="2" borderId="0" xfId="0" applyNumberFormat="1" applyFont="1" applyFill="1"/>
    <xf numFmtId="165" fontId="10" fillId="2" borderId="0" xfId="0" applyNumberFormat="1" applyFont="1" applyFill="1" applyBorder="1" applyAlignment="1">
      <alignment wrapText="1" readingOrder="2"/>
    </xf>
    <xf numFmtId="49" fontId="18" fillId="2" borderId="0" xfId="5" applyNumberFormat="1" applyFont="1" applyFill="1" applyBorder="1" applyAlignment="1">
      <alignment horizontal="right" vertical="top"/>
    </xf>
    <xf numFmtId="3" fontId="19" fillId="2" borderId="0" xfId="4" applyNumberFormat="1" applyFont="1" applyFill="1" applyBorder="1"/>
    <xf numFmtId="165" fontId="1" fillId="2" borderId="0" xfId="0" applyNumberFormat="1" applyFont="1" applyFill="1"/>
    <xf numFmtId="3" fontId="24" fillId="2" borderId="0" xfId="4" applyNumberFormat="1" applyFont="1" applyFill="1" applyBorder="1" applyAlignment="1" applyProtection="1">
      <alignment horizontal="center"/>
    </xf>
    <xf numFmtId="3" fontId="15" fillId="2" borderId="2" xfId="4" applyNumberFormat="1" applyFont="1" applyFill="1" applyBorder="1"/>
    <xf numFmtId="165" fontId="1" fillId="2" borderId="0" xfId="0" applyNumberFormat="1" applyFont="1" applyFill="1" applyBorder="1"/>
    <xf numFmtId="165" fontId="9" fillId="2" borderId="0" xfId="0" applyNumberFormat="1" applyFont="1" applyFill="1"/>
    <xf numFmtId="3" fontId="25" fillId="2" borderId="0" xfId="4" applyNumberFormat="1" applyFont="1" applyFill="1" applyBorder="1" applyAlignment="1">
      <alignment horizontal="right" vertical="top" textRotation="90" wrapText="1"/>
    </xf>
    <xf numFmtId="3" fontId="26" fillId="2" borderId="0" xfId="4" applyNumberFormat="1" applyFont="1" applyFill="1" applyBorder="1" applyAlignment="1">
      <alignment horizontal="right" vertical="top"/>
    </xf>
    <xf numFmtId="165" fontId="9" fillId="2" borderId="0" xfId="0" applyNumberFormat="1" applyFont="1" applyFill="1" applyAlignment="1">
      <alignment vertical="top"/>
    </xf>
    <xf numFmtId="3" fontId="21" fillId="2" borderId="1" xfId="4" applyNumberFormat="1" applyFont="1" applyFill="1" applyBorder="1" applyAlignment="1">
      <alignment horizontal="right" textRotation="90" wrapText="1"/>
    </xf>
    <xf numFmtId="165" fontId="7" fillId="2" borderId="0" xfId="0" applyNumberFormat="1" applyFont="1" applyFill="1" applyAlignment="1">
      <alignment wrapText="1"/>
    </xf>
    <xf numFmtId="3" fontId="21" fillId="2" borderId="0" xfId="4" applyNumberFormat="1" applyFont="1" applyFill="1"/>
    <xf numFmtId="38" fontId="21" fillId="2" borderId="6" xfId="1" applyNumberFormat="1" applyFont="1" applyFill="1" applyBorder="1" applyAlignment="1">
      <alignment horizontal="right"/>
    </xf>
    <xf numFmtId="38" fontId="21" fillId="2" borderId="2" xfId="1" applyNumberFormat="1" applyFont="1" applyFill="1" applyBorder="1" applyAlignment="1">
      <alignment horizontal="right"/>
    </xf>
    <xf numFmtId="38" fontId="21" fillId="2" borderId="9" xfId="1" applyNumberFormat="1" applyFont="1" applyFill="1" applyBorder="1" applyAlignment="1">
      <alignment horizontal="right"/>
    </xf>
    <xf numFmtId="165" fontId="26" fillId="2" borderId="0" xfId="0" applyNumberFormat="1" applyFont="1" applyFill="1" applyAlignment="1">
      <alignment horizontal="right" vertical="center"/>
    </xf>
    <xf numFmtId="3" fontId="21" fillId="2" borderId="0" xfId="4" applyNumberFormat="1" applyFont="1" applyFill="1" applyAlignment="1"/>
    <xf numFmtId="38" fontId="21" fillId="2" borderId="0" xfId="1" applyNumberFormat="1" applyFont="1" applyFill="1" applyBorder="1" applyAlignment="1">
      <alignment horizontal="right"/>
    </xf>
    <xf numFmtId="38" fontId="21" fillId="2" borderId="11" xfId="1" applyNumberFormat="1" applyFont="1" applyFill="1" applyBorder="1" applyAlignment="1">
      <alignment horizontal="right"/>
    </xf>
    <xf numFmtId="38" fontId="21" fillId="2" borderId="8" xfId="1" applyNumberFormat="1" applyFont="1" applyFill="1" applyBorder="1" applyAlignment="1">
      <alignment horizontal="right"/>
    </xf>
    <xf numFmtId="165" fontId="10" fillId="2" borderId="0" xfId="0" applyNumberFormat="1" applyFont="1" applyFill="1" applyAlignment="1">
      <alignment horizontal="right" vertical="center"/>
    </xf>
    <xf numFmtId="165" fontId="9" fillId="2" borderId="0" xfId="0" applyNumberFormat="1" applyFont="1" applyFill="1" applyBorder="1"/>
    <xf numFmtId="38" fontId="20" fillId="2" borderId="0" xfId="1" applyNumberFormat="1" applyFont="1" applyFill="1" applyBorder="1"/>
    <xf numFmtId="3" fontId="13" fillId="2" borderId="0" xfId="4" applyNumberFormat="1" applyFont="1" applyFill="1" applyBorder="1" applyAlignment="1"/>
    <xf numFmtId="165" fontId="1" fillId="2" borderId="0" xfId="0" applyNumberFormat="1" applyFont="1" applyFill="1" applyBorder="1" applyAlignment="1"/>
    <xf numFmtId="165" fontId="1" fillId="2" borderId="0" xfId="0" applyNumberFormat="1" applyFont="1" applyFill="1" applyAlignment="1"/>
    <xf numFmtId="165" fontId="1" fillId="2" borderId="0" xfId="0" applyNumberFormat="1" applyFont="1" applyFill="1" applyAlignment="1">
      <alignment horizontal="right"/>
    </xf>
    <xf numFmtId="165" fontId="27" fillId="2" borderId="0" xfId="0" applyNumberFormat="1" applyFont="1" applyFill="1" applyAlignment="1">
      <alignment horizontal="center" vertical="center"/>
    </xf>
    <xf numFmtId="49" fontId="13" fillId="2" borderId="0" xfId="5" applyNumberFormat="1" applyFont="1" applyFill="1" applyBorder="1" applyAlignment="1">
      <alignment horizontal="center" vertical="center"/>
    </xf>
    <xf numFmtId="38" fontId="21" fillId="2" borderId="11" xfId="1" applyNumberFormat="1" applyFont="1" applyFill="1" applyBorder="1"/>
    <xf numFmtId="38" fontId="21" fillId="2" borderId="0" xfId="1" applyNumberFormat="1" applyFont="1" applyFill="1" applyBorder="1"/>
    <xf numFmtId="38" fontId="20" fillId="2" borderId="11" xfId="1" applyNumberFormat="1" applyFont="1" applyFill="1" applyBorder="1" applyAlignment="1">
      <alignment horizontal="right"/>
    </xf>
    <xf numFmtId="38" fontId="20" fillId="2" borderId="10" xfId="1" applyNumberFormat="1" applyFont="1" applyFill="1" applyBorder="1" applyAlignment="1">
      <alignment horizontal="right"/>
    </xf>
    <xf numFmtId="38" fontId="21" fillId="2" borderId="8" xfId="1" applyNumberFormat="1" applyFont="1" applyFill="1" applyBorder="1"/>
    <xf numFmtId="165" fontId="10" fillId="2" borderId="0" xfId="0" applyNumberFormat="1" applyFont="1" applyFill="1" applyBorder="1" applyAlignment="1">
      <alignment horizontal="right" vertical="center"/>
    </xf>
    <xf numFmtId="38" fontId="20" fillId="2" borderId="4" xfId="1" applyNumberFormat="1" applyFont="1" applyFill="1" applyBorder="1"/>
    <xf numFmtId="38" fontId="21" fillId="2" borderId="15" xfId="1" applyNumberFormat="1" applyFont="1" applyFill="1" applyBorder="1" applyAlignment="1">
      <alignment horizontal="right"/>
    </xf>
    <xf numFmtId="165" fontId="30" fillId="2" borderId="0" xfId="0" applyNumberFormat="1" applyFont="1" applyFill="1"/>
    <xf numFmtId="38" fontId="21" fillId="2" borderId="13" xfId="1" applyNumberFormat="1" applyFont="1" applyFill="1" applyBorder="1" applyAlignment="1">
      <alignment horizontal="right"/>
    </xf>
    <xf numFmtId="38" fontId="21" fillId="2" borderId="7" xfId="1" applyNumberFormat="1" applyFont="1" applyFill="1" applyBorder="1" applyAlignment="1">
      <alignment horizontal="right"/>
    </xf>
    <xf numFmtId="38" fontId="20" fillId="2" borderId="11" xfId="1" applyNumberFormat="1" applyFont="1" applyFill="1" applyBorder="1"/>
    <xf numFmtId="38" fontId="20" fillId="2" borderId="8" xfId="1" applyNumberFormat="1" applyFont="1" applyFill="1" applyBorder="1"/>
    <xf numFmtId="38" fontId="20" fillId="2" borderId="10" xfId="1" applyNumberFormat="1" applyFont="1" applyFill="1" applyBorder="1"/>
    <xf numFmtId="38" fontId="20" fillId="2" borderId="12" xfId="1" applyNumberFormat="1" applyFont="1" applyFill="1" applyBorder="1"/>
    <xf numFmtId="165" fontId="10" fillId="2" borderId="12" xfId="0" applyNumberFormat="1" applyFont="1" applyFill="1" applyBorder="1" applyAlignment="1">
      <alignment horizontal="right" vertical="center"/>
    </xf>
    <xf numFmtId="165" fontId="20" fillId="2" borderId="0" xfId="0" applyNumberFormat="1" applyFont="1" applyFill="1" applyAlignment="1" applyProtection="1">
      <alignment horizontal="left" vertical="center" indent="1"/>
    </xf>
    <xf numFmtId="165" fontId="20" fillId="2" borderId="0" xfId="0" applyNumberFormat="1" applyFont="1" applyFill="1" applyBorder="1" applyAlignment="1" applyProtection="1">
      <alignment horizontal="left" vertical="center" indent="1"/>
    </xf>
    <xf numFmtId="165" fontId="20" fillId="2" borderId="1" xfId="0" applyNumberFormat="1" applyFont="1" applyFill="1" applyBorder="1" applyAlignment="1" applyProtection="1">
      <alignment horizontal="left" vertical="center" indent="1"/>
    </xf>
    <xf numFmtId="3" fontId="25" fillId="2" borderId="9" xfId="4" applyNumberFormat="1" applyFont="1" applyFill="1" applyBorder="1" applyAlignment="1">
      <alignment horizontal="center" vertical="center" textRotation="90"/>
    </xf>
    <xf numFmtId="3" fontId="21" fillId="2" borderId="10" xfId="4" applyNumberFormat="1" applyFont="1" applyFill="1" applyBorder="1" applyAlignment="1">
      <alignment horizontal="center" textRotation="90" wrapText="1"/>
    </xf>
    <xf numFmtId="3" fontId="21" fillId="2" borderId="14" xfId="4" applyNumberFormat="1" applyFont="1" applyFill="1" applyBorder="1" applyAlignment="1">
      <alignment horizontal="center" textRotation="90" wrapText="1"/>
    </xf>
    <xf numFmtId="3" fontId="25" fillId="2" borderId="9" xfId="4" applyNumberFormat="1" applyFont="1" applyFill="1" applyBorder="1" applyAlignment="1">
      <alignment horizontal="center" vertical="center" textRotation="90" wrapText="1"/>
    </xf>
    <xf numFmtId="165" fontId="10" fillId="2" borderId="0" xfId="0" applyNumberFormat="1" applyFont="1" applyFill="1" applyBorder="1" applyAlignment="1">
      <alignment horizontal="right" wrapText="1" readingOrder="2"/>
    </xf>
    <xf numFmtId="49" fontId="13" fillId="2" borderId="0" xfId="5" applyNumberFormat="1" applyFont="1" applyFill="1" applyBorder="1" applyAlignment="1">
      <alignment horizontal="center" vertical="center"/>
    </xf>
    <xf numFmtId="3" fontId="23" fillId="2" borderId="0" xfId="4" applyNumberFormat="1" applyFont="1" applyFill="1" applyAlignment="1">
      <alignment horizontal="center" vertical="center"/>
    </xf>
    <xf numFmtId="3" fontId="24" fillId="2" borderId="0" xfId="4" applyNumberFormat="1" applyFont="1" applyFill="1" applyBorder="1" applyAlignment="1" applyProtection="1">
      <alignment horizontal="center"/>
    </xf>
    <xf numFmtId="3" fontId="21" fillId="2" borderId="2" xfId="4" applyNumberFormat="1" applyFont="1" applyFill="1" applyBorder="1" applyAlignment="1">
      <alignment horizontal="left" vertical="center"/>
    </xf>
    <xf numFmtId="3" fontId="21" fillId="2" borderId="0" xfId="4" applyNumberFormat="1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left" vertical="center"/>
    </xf>
    <xf numFmtId="3" fontId="11" fillId="2" borderId="5" xfId="4" applyNumberFormat="1" applyFont="1" applyFill="1" applyBorder="1" applyAlignment="1">
      <alignment horizontal="center" readingOrder="2"/>
    </xf>
    <xf numFmtId="3" fontId="11" fillId="2" borderId="2" xfId="4" applyNumberFormat="1" applyFont="1" applyFill="1" applyBorder="1" applyAlignment="1">
      <alignment horizontal="center" readingOrder="2"/>
    </xf>
    <xf numFmtId="3" fontId="11" fillId="2" borderId="6" xfId="4" applyNumberFormat="1" applyFont="1" applyFill="1" applyBorder="1" applyAlignment="1">
      <alignment horizontal="center" readingOrder="2"/>
    </xf>
    <xf numFmtId="3" fontId="11" fillId="2" borderId="5" xfId="4" applyNumberFormat="1" applyFont="1" applyFill="1" applyBorder="1" applyAlignment="1">
      <alignment horizontal="center"/>
    </xf>
    <xf numFmtId="3" fontId="11" fillId="2" borderId="2" xfId="4" applyNumberFormat="1" applyFont="1" applyFill="1" applyBorder="1" applyAlignment="1">
      <alignment horizontal="center"/>
    </xf>
    <xf numFmtId="3" fontId="11" fillId="2" borderId="6" xfId="4" applyNumberFormat="1" applyFont="1" applyFill="1" applyBorder="1" applyAlignment="1">
      <alignment horizontal="center"/>
    </xf>
    <xf numFmtId="49" fontId="6" fillId="2" borderId="3" xfId="5" applyNumberFormat="1" applyFont="1" applyFill="1" applyBorder="1" applyAlignment="1">
      <alignment horizontal="center" vertical="center"/>
    </xf>
    <xf numFmtId="49" fontId="6" fillId="2" borderId="1" xfId="5" applyNumberFormat="1" applyFont="1" applyFill="1" applyBorder="1" applyAlignment="1">
      <alignment horizontal="center" vertical="center"/>
    </xf>
    <xf numFmtId="49" fontId="6" fillId="2" borderId="4" xfId="5" applyNumberFormat="1" applyFont="1" applyFill="1" applyBorder="1" applyAlignment="1">
      <alignment horizontal="center" vertical="center"/>
    </xf>
  </cellXfs>
  <cellStyles count="164">
    <cellStyle name="1" xfId="141"/>
    <cellStyle name="Comma" xfId="1" builtinId="3"/>
    <cellStyle name="Comma 2" xfId="8"/>
    <cellStyle name="Comma 3" xfId="11"/>
    <cellStyle name="Comma 3 2" xfId="159"/>
    <cellStyle name="Comma_II-15(Population)" xfId="5"/>
    <cellStyle name="Normal" xfId="0" builtinId="0"/>
    <cellStyle name="Normal - Style1" xfId="146"/>
    <cellStyle name="Normal 10" xfId="21"/>
    <cellStyle name="Normal 10 2" xfId="35"/>
    <cellStyle name="Normal 105 2" xfId="127"/>
    <cellStyle name="Normal 11" xfId="22"/>
    <cellStyle name="Normal 11 2" xfId="36"/>
    <cellStyle name="Normal 12" xfId="23"/>
    <cellStyle name="Normal 12 2" xfId="37"/>
    <cellStyle name="Normal 13" xfId="25"/>
    <cellStyle name="Normal 13 2" xfId="38"/>
    <cellStyle name="Normal 14" xfId="26"/>
    <cellStyle name="Normal 14 2" xfId="39"/>
    <cellStyle name="Normal 15" xfId="27"/>
    <cellStyle name="Normal 15 2" xfId="40"/>
    <cellStyle name="Normal 16" xfId="28"/>
    <cellStyle name="Normal 16 2" xfId="41"/>
    <cellStyle name="Normal 17" xfId="29"/>
    <cellStyle name="Normal 17 2" xfId="42"/>
    <cellStyle name="Normal 18" xfId="30"/>
    <cellStyle name="Normal 18 2" xfId="43"/>
    <cellStyle name="Normal 19" xfId="31"/>
    <cellStyle name="Normal 19 2" xfId="44"/>
    <cellStyle name="Normal 2" xfId="14"/>
    <cellStyle name="Normal 2 10" xfId="45"/>
    <cellStyle name="Normal 2 11" xfId="46"/>
    <cellStyle name="Normal 2 12" xfId="47"/>
    <cellStyle name="Normal 2 13" xfId="48"/>
    <cellStyle name="Normal 2 14" xfId="49"/>
    <cellStyle name="Normal 2 15" xfId="50"/>
    <cellStyle name="Normal 2 16" xfId="51"/>
    <cellStyle name="Normal 2 17" xfId="52"/>
    <cellStyle name="Normal 2 18" xfId="53"/>
    <cellStyle name="Normal 2 19" xfId="54"/>
    <cellStyle name="Normal 2 2" xfId="13"/>
    <cellStyle name="Normal 2 2 10" xfId="55"/>
    <cellStyle name="Normal 2 2 11" xfId="56"/>
    <cellStyle name="Normal 2 2 12" xfId="57"/>
    <cellStyle name="Normal 2 2 13" xfId="58"/>
    <cellStyle name="Normal 2 2 14" xfId="59"/>
    <cellStyle name="Normal 2 2 15" xfId="60"/>
    <cellStyle name="Normal 2 2 16" xfId="61"/>
    <cellStyle name="Normal 2 2 17" xfId="62"/>
    <cellStyle name="Normal 2 2 18" xfId="63"/>
    <cellStyle name="Normal 2 2 19" xfId="64"/>
    <cellStyle name="Normal 2 2 2" xfId="6"/>
    <cellStyle name="Normal 2 2 20" xfId="65"/>
    <cellStyle name="Normal 2 2 21" xfId="66"/>
    <cellStyle name="Normal 2 2 22" xfId="67"/>
    <cellStyle name="Normal 2 2 23" xfId="68"/>
    <cellStyle name="Normal 2 2 24" xfId="69"/>
    <cellStyle name="Normal 2 2 24 2" xfId="70"/>
    <cellStyle name="Normal 2 2 24 2 2" xfId="71"/>
    <cellStyle name="Normal 2 2 25" xfId="72"/>
    <cellStyle name="Normal 2 2 25 2" xfId="73"/>
    <cellStyle name="Normal 2 2 26" xfId="147"/>
    <cellStyle name="Normal 2 2 3" xfId="74"/>
    <cellStyle name="Normal 2 2 4" xfId="75"/>
    <cellStyle name="Normal 2 2 5" xfId="76"/>
    <cellStyle name="Normal 2 2 5 2" xfId="77"/>
    <cellStyle name="Normal 2 2 5 2 2" xfId="78"/>
    <cellStyle name="Normal 2 2 5 2 2 2" xfId="79"/>
    <cellStyle name="Normal 2 2 5 3" xfId="80"/>
    <cellStyle name="Normal 2 2 5 4" xfId="81"/>
    <cellStyle name="Normal 2 2 6" xfId="82"/>
    <cellStyle name="Normal 2 2 7" xfId="83"/>
    <cellStyle name="Normal 2 2 8" xfId="84"/>
    <cellStyle name="Normal 2 2 9" xfId="85"/>
    <cellStyle name="Normal 2 20" xfId="86"/>
    <cellStyle name="Normal 2 21" xfId="87"/>
    <cellStyle name="Normal 2 22" xfId="88"/>
    <cellStyle name="Normal 2 23" xfId="89"/>
    <cellStyle name="Normal 2 24" xfId="90"/>
    <cellStyle name="Normal 2 24 2" xfId="91"/>
    <cellStyle name="Normal 2 24 2 2" xfId="92"/>
    <cellStyle name="Normal 2 25" xfId="93"/>
    <cellStyle name="Normal 2 25 2" xfId="94"/>
    <cellStyle name="Normal 2 26" xfId="145"/>
    <cellStyle name="Normal 2 3" xfId="15"/>
    <cellStyle name="Normal 2 3 2" xfId="95"/>
    <cellStyle name="Normal 2 3 2 2" xfId="96"/>
    <cellStyle name="Normal 2 3 2 2 2" xfId="97"/>
    <cellStyle name="Normal 2 3 3" xfId="98"/>
    <cellStyle name="Normal 2 3 4" xfId="99"/>
    <cellStyle name="Normal 2 3 5" xfId="148"/>
    <cellStyle name="Normal 2 4" xfId="100"/>
    <cellStyle name="Normal 2 4 2" xfId="149"/>
    <cellStyle name="Normal 2 5" xfId="101"/>
    <cellStyle name="Normal 2 5 2" xfId="160"/>
    <cellStyle name="Normal 2 6" xfId="102"/>
    <cellStyle name="Normal 2 7" xfId="103"/>
    <cellStyle name="Normal 2 8" xfId="104"/>
    <cellStyle name="Normal 2 9" xfId="105"/>
    <cellStyle name="Normal 20" xfId="32"/>
    <cellStyle name="Normal 20 2" xfId="106"/>
    <cellStyle name="Normal 21" xfId="33"/>
    <cellStyle name="Normal 21 2" xfId="107"/>
    <cellStyle name="Normal 22" xfId="34"/>
    <cellStyle name="Normal 22 2" xfId="108"/>
    <cellStyle name="Normal 23" xfId="109"/>
    <cellStyle name="Normal 23 2" xfId="110"/>
    <cellStyle name="Normal 24" xfId="134"/>
    <cellStyle name="Normal 25" xfId="16"/>
    <cellStyle name="Normal 25 2" xfId="128"/>
    <cellStyle name="Normal 26" xfId="121"/>
    <cellStyle name="Normal 26 2" xfId="138"/>
    <cellStyle name="Normal 27" xfId="119"/>
    <cellStyle name="Normal 27 2" xfId="137"/>
    <cellStyle name="Normal 28" xfId="122"/>
    <cellStyle name="Normal 28 2" xfId="131"/>
    <cellStyle name="Normal 29" xfId="129"/>
    <cellStyle name="Normal 3" xfId="10"/>
    <cellStyle name="Normal 3 11" xfId="125"/>
    <cellStyle name="Normal 3 12" xfId="123"/>
    <cellStyle name="Normal 3 13" xfId="124"/>
    <cellStyle name="Normal 3 14" xfId="126"/>
    <cellStyle name="Normal 3 2" xfId="111"/>
    <cellStyle name="Normal 3 2 2" xfId="151"/>
    <cellStyle name="Normal 3 3" xfId="112"/>
    <cellStyle name="Normal 3 3 2" xfId="152"/>
    <cellStyle name="Normal 3 4" xfId="150"/>
    <cellStyle name="Normal 30" xfId="136"/>
    <cellStyle name="Normal 31" xfId="133"/>
    <cellStyle name="Normal 32" xfId="130"/>
    <cellStyle name="Normal 33" xfId="140"/>
    <cellStyle name="Normal 34" xfId="132"/>
    <cellStyle name="Normal 35" xfId="139"/>
    <cellStyle name="Normal 4" xfId="17"/>
    <cellStyle name="Normal 4 2" xfId="113"/>
    <cellStyle name="Normal 4 3" xfId="120"/>
    <cellStyle name="Normal 4 3 2" xfId="153"/>
    <cellStyle name="Normal 5" xfId="24"/>
    <cellStyle name="Normal 5 2" xfId="114"/>
    <cellStyle name="Normal 5 3" xfId="154"/>
    <cellStyle name="Normal 6" xfId="3"/>
    <cellStyle name="Normal 6 2" xfId="135"/>
    <cellStyle name="Normal 6 2 2" xfId="155"/>
    <cellStyle name="Normal 6 3" xfId="118"/>
    <cellStyle name="Normal 6 3 2" xfId="161"/>
    <cellStyle name="Normal 6 4" xfId="143"/>
    <cellStyle name="Normal 7" xfId="2"/>
    <cellStyle name="Normal 7 2" xfId="115"/>
    <cellStyle name="Normal 7 2 2" xfId="156"/>
    <cellStyle name="Normal 7 3" xfId="18"/>
    <cellStyle name="Normal 7 3 2" xfId="162"/>
    <cellStyle name="Normal 7 4" xfId="142"/>
    <cellStyle name="Normal 8" xfId="7"/>
    <cellStyle name="Normal 8 2" xfId="9"/>
    <cellStyle name="Normal 8 2 2" xfId="116"/>
    <cellStyle name="Normal 8 2 3" xfId="157"/>
    <cellStyle name="Normal 8 3" xfId="19"/>
    <cellStyle name="Normal 8 3 2" xfId="163"/>
    <cellStyle name="Normal 8 4" xfId="144"/>
    <cellStyle name="Normal 9" xfId="20"/>
    <cellStyle name="Normal 9 2" xfId="117"/>
    <cellStyle name="Normal 9 3" xfId="158"/>
    <cellStyle name="Normal_II-15(Population)" xfId="4"/>
    <cellStyle name="Percent 2" xfId="12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37"/>
  <sheetViews>
    <sheetView tabSelected="1" zoomScaleNormal="100" workbookViewId="0">
      <selection activeCell="Y9" sqref="Y9"/>
    </sheetView>
  </sheetViews>
  <sheetFormatPr defaultColWidth="9.140625" defaultRowHeight="15"/>
  <cols>
    <col min="1" max="1" width="12.85546875" style="28" customWidth="1"/>
    <col min="2" max="2" width="10.42578125" style="31" customWidth="1"/>
    <col min="3" max="3" width="6.42578125" style="28" customWidth="1"/>
    <col min="4" max="4" width="7.140625" style="28" customWidth="1"/>
    <col min="5" max="5" width="9.5703125" style="28" hidden="1" customWidth="1"/>
    <col min="6" max="6" width="7.85546875" style="52" customWidth="1"/>
    <col min="7" max="7" width="9.140625" style="53" customWidth="1"/>
    <col min="8" max="8" width="9.5703125" style="53" customWidth="1"/>
    <col min="9" max="9" width="6" style="53" hidden="1" customWidth="1"/>
    <col min="10" max="10" width="7.5703125" style="53" customWidth="1"/>
    <col min="11" max="12" width="8.28515625" style="53" customWidth="1"/>
    <col min="13" max="13" width="6.5703125" style="53" hidden="1" customWidth="1"/>
    <col min="14" max="14" width="8.28515625" style="53" customWidth="1"/>
    <col min="15" max="16" width="7.28515625" style="53" customWidth="1"/>
    <col min="17" max="17" width="8" style="53" hidden="1" customWidth="1"/>
    <col min="18" max="18" width="7.28515625" style="53" customWidth="1"/>
    <col min="19" max="19" width="15.5703125" style="28" customWidth="1"/>
    <col min="20" max="20" width="14.85546875" style="28" bestFit="1" customWidth="1"/>
    <col min="21" max="16384" width="9.140625" style="28"/>
  </cols>
  <sheetData>
    <row r="1" spans="1:20" ht="19.5">
      <c r="A1" s="81" t="s">
        <v>69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54"/>
    </row>
    <row r="2" spans="1:20" s="31" customFormat="1" ht="15.75">
      <c r="A2" s="82" t="s">
        <v>70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</row>
    <row r="3" spans="1:20" ht="15.7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20" ht="19.5" customHeight="1">
      <c r="A4" s="83" t="s">
        <v>44</v>
      </c>
      <c r="B4" s="30"/>
      <c r="C4" s="86" t="s">
        <v>45</v>
      </c>
      <c r="D4" s="87"/>
      <c r="E4" s="87"/>
      <c r="F4" s="88"/>
      <c r="G4" s="89" t="s">
        <v>46</v>
      </c>
      <c r="H4" s="90"/>
      <c r="I4" s="90"/>
      <c r="J4" s="91"/>
      <c r="K4" s="89" t="s">
        <v>47</v>
      </c>
      <c r="L4" s="90"/>
      <c r="M4" s="90"/>
      <c r="N4" s="91"/>
      <c r="O4" s="89" t="s">
        <v>48</v>
      </c>
      <c r="P4" s="90"/>
      <c r="Q4" s="90"/>
      <c r="R4" s="91"/>
      <c r="S4" s="30"/>
      <c r="T4" s="54"/>
    </row>
    <row r="5" spans="1:20" s="32" customFormat="1">
      <c r="A5" s="84"/>
      <c r="B5" s="31"/>
      <c r="C5" s="92" t="s">
        <v>42</v>
      </c>
      <c r="D5" s="93"/>
      <c r="E5" s="93"/>
      <c r="F5" s="94"/>
      <c r="G5" s="92" t="s">
        <v>66</v>
      </c>
      <c r="H5" s="93"/>
      <c r="I5" s="93"/>
      <c r="J5" s="94"/>
      <c r="K5" s="92" t="s">
        <v>49</v>
      </c>
      <c r="L5" s="93"/>
      <c r="M5" s="93"/>
      <c r="N5" s="94"/>
      <c r="O5" s="92" t="s">
        <v>50</v>
      </c>
      <c r="P5" s="93"/>
      <c r="Q5" s="93"/>
      <c r="R5" s="94"/>
      <c r="S5" s="27"/>
    </row>
    <row r="6" spans="1:20" s="35" customFormat="1" ht="57" customHeight="1">
      <c r="A6" s="84"/>
      <c r="B6" s="33" t="s">
        <v>51</v>
      </c>
      <c r="C6" s="78" t="s">
        <v>52</v>
      </c>
      <c r="D6" s="75" t="s">
        <v>0</v>
      </c>
      <c r="E6" s="75" t="s">
        <v>71</v>
      </c>
      <c r="F6" s="78" t="s">
        <v>53</v>
      </c>
      <c r="G6" s="75" t="s">
        <v>52</v>
      </c>
      <c r="H6" s="75" t="s">
        <v>0</v>
      </c>
      <c r="I6" s="75" t="s">
        <v>71</v>
      </c>
      <c r="J6" s="78" t="s">
        <v>54</v>
      </c>
      <c r="K6" s="75" t="s">
        <v>52</v>
      </c>
      <c r="L6" s="75" t="s">
        <v>0</v>
      </c>
      <c r="M6" s="75" t="s">
        <v>71</v>
      </c>
      <c r="N6" s="78" t="s">
        <v>54</v>
      </c>
      <c r="O6" s="75" t="s">
        <v>52</v>
      </c>
      <c r="P6" s="75" t="s">
        <v>0</v>
      </c>
      <c r="Q6" s="75" t="s">
        <v>71</v>
      </c>
      <c r="R6" s="78" t="s">
        <v>54</v>
      </c>
      <c r="S6" s="34" t="s">
        <v>55</v>
      </c>
    </row>
    <row r="7" spans="1:20" s="37" customFormat="1" ht="52.5" customHeight="1">
      <c r="A7" s="85"/>
      <c r="B7" s="36" t="s">
        <v>67</v>
      </c>
      <c r="C7" s="76" t="s">
        <v>56</v>
      </c>
      <c r="D7" s="76" t="s">
        <v>1</v>
      </c>
      <c r="E7" s="77" t="s">
        <v>65</v>
      </c>
      <c r="F7" s="76" t="s">
        <v>57</v>
      </c>
      <c r="G7" s="76" t="s">
        <v>56</v>
      </c>
      <c r="H7" s="76" t="s">
        <v>43</v>
      </c>
      <c r="I7" s="76" t="s">
        <v>65</v>
      </c>
      <c r="J7" s="76" t="s">
        <v>57</v>
      </c>
      <c r="K7" s="76" t="s">
        <v>56</v>
      </c>
      <c r="L7" s="76" t="s">
        <v>1</v>
      </c>
      <c r="M7" s="76" t="s">
        <v>65</v>
      </c>
      <c r="N7" s="76" t="s">
        <v>57</v>
      </c>
      <c r="O7" s="76" t="s">
        <v>56</v>
      </c>
      <c r="P7" s="76" t="s">
        <v>1</v>
      </c>
      <c r="Q7" s="76" t="s">
        <v>65</v>
      </c>
      <c r="R7" s="76" t="s">
        <v>57</v>
      </c>
      <c r="S7" s="1"/>
    </row>
    <row r="8" spans="1:20" s="64" customFormat="1" ht="15.75">
      <c r="A8" s="38" t="s">
        <v>2</v>
      </c>
      <c r="B8" s="39">
        <f>SUM(B9:B10)</f>
        <v>87420</v>
      </c>
      <c r="C8" s="41">
        <f t="shared" ref="C8" si="0">SUM(C9:C10)</f>
        <v>344</v>
      </c>
      <c r="D8" s="39">
        <f>SUM(D9:D10)</f>
        <v>22263</v>
      </c>
      <c r="E8" s="65">
        <v>10677</v>
      </c>
      <c r="F8" s="63">
        <f>E8/D8*100</f>
        <v>47.958496159547231</v>
      </c>
      <c r="G8" s="40">
        <f t="shared" ref="G8:H8" si="1">SUM(G9:G10)</f>
        <v>210</v>
      </c>
      <c r="H8" s="41">
        <f t="shared" si="1"/>
        <v>43781</v>
      </c>
      <c r="I8" s="41">
        <v>21439</v>
      </c>
      <c r="J8" s="63">
        <f>I8/H8*100</f>
        <v>48.968730727941349</v>
      </c>
      <c r="K8" s="41">
        <f t="shared" ref="K8:L8" si="2">SUM(K9:K10)</f>
        <v>195</v>
      </c>
      <c r="L8" s="41">
        <f t="shared" si="2"/>
        <v>17256</v>
      </c>
      <c r="M8" s="41">
        <v>8296</v>
      </c>
      <c r="N8" s="63">
        <f>M8/L8*100</f>
        <v>48.076031525266572</v>
      </c>
      <c r="O8" s="41">
        <f t="shared" ref="O8:P8" si="3">SUM(O9:O10)</f>
        <v>51</v>
      </c>
      <c r="P8" s="41">
        <f t="shared" si="3"/>
        <v>4120</v>
      </c>
      <c r="Q8" s="41">
        <v>2344</v>
      </c>
      <c r="R8" s="63">
        <f>Q8/P8*100</f>
        <v>56.893203883495147</v>
      </c>
      <c r="S8" s="42" t="s">
        <v>3</v>
      </c>
    </row>
    <row r="9" spans="1:20" s="64" customFormat="1" ht="15.75">
      <c r="A9" s="43" t="s">
        <v>4</v>
      </c>
      <c r="B9" s="60">
        <f>D9+H9+L9+P9</f>
        <v>31442</v>
      </c>
      <c r="C9" s="56">
        <v>21</v>
      </c>
      <c r="D9" s="56">
        <v>8776</v>
      </c>
      <c r="E9" s="57">
        <v>4278</v>
      </c>
      <c r="F9" s="45">
        <f>E9/D9*100</f>
        <v>48.746581586144025</v>
      </c>
      <c r="G9" s="56">
        <v>17</v>
      </c>
      <c r="H9" s="56">
        <v>14620</v>
      </c>
      <c r="I9" s="57">
        <v>7308</v>
      </c>
      <c r="J9" s="45">
        <f>I9/H9*100</f>
        <v>49.986320109439127</v>
      </c>
      <c r="K9" s="56">
        <v>18</v>
      </c>
      <c r="L9" s="56">
        <v>5547</v>
      </c>
      <c r="M9" s="57">
        <v>2727</v>
      </c>
      <c r="N9" s="45">
        <f>M9/L9*100</f>
        <v>49.16170903190914</v>
      </c>
      <c r="O9" s="56">
        <v>7</v>
      </c>
      <c r="P9" s="56">
        <v>2499</v>
      </c>
      <c r="Q9" s="57">
        <v>1415</v>
      </c>
      <c r="R9" s="45">
        <f>Q9/P9*100</f>
        <v>56.622649059623853</v>
      </c>
      <c r="S9" s="42" t="s">
        <v>5</v>
      </c>
    </row>
    <row r="10" spans="1:20" s="64" customFormat="1" ht="15.75">
      <c r="A10" s="38" t="s">
        <v>6</v>
      </c>
      <c r="B10" s="46">
        <f>D10+H10+L10+P10</f>
        <v>55978</v>
      </c>
      <c r="C10" s="45">
        <f>SUM(C11:C30)</f>
        <v>323</v>
      </c>
      <c r="D10" s="45">
        <f>SUM(D11:D30)</f>
        <v>13487</v>
      </c>
      <c r="E10" s="66">
        <v>6399</v>
      </c>
      <c r="F10" s="45">
        <f t="shared" ref="F10:F30" si="4">E10/D10*100</f>
        <v>47.445688440720694</v>
      </c>
      <c r="G10" s="44">
        <f t="shared" ref="G10:H10" si="5">SUM(G11:G30)</f>
        <v>193</v>
      </c>
      <c r="H10" s="45">
        <f t="shared" si="5"/>
        <v>29161</v>
      </c>
      <c r="I10" s="45">
        <v>14131</v>
      </c>
      <c r="J10" s="45">
        <f t="shared" ref="J10:J30" si="6">I10/H10*100</f>
        <v>48.458557662631598</v>
      </c>
      <c r="K10" s="45">
        <f t="shared" ref="K10:L10" si="7">SUM(K11:K30)</f>
        <v>177</v>
      </c>
      <c r="L10" s="45">
        <f t="shared" si="7"/>
        <v>11709</v>
      </c>
      <c r="M10" s="45">
        <v>5569</v>
      </c>
      <c r="N10" s="45">
        <f t="shared" ref="N10:N30" si="8">M10/L10*100</f>
        <v>47.56170467162012</v>
      </c>
      <c r="O10" s="45">
        <f t="shared" ref="O10:P10" si="9">SUM(O11:O30)</f>
        <v>44</v>
      </c>
      <c r="P10" s="45">
        <f t="shared" si="9"/>
        <v>1621</v>
      </c>
      <c r="Q10" s="45">
        <v>929</v>
      </c>
      <c r="R10" s="45">
        <f t="shared" ref="R10:R20" si="10">Q10/P10*100</f>
        <v>57.310302282541635</v>
      </c>
      <c r="S10" s="42" t="s">
        <v>7</v>
      </c>
    </row>
    <row r="11" spans="1:20" s="32" customFormat="1" ht="15.75">
      <c r="A11" s="72" t="s">
        <v>60</v>
      </c>
      <c r="B11" s="68">
        <f>D11+H11+L11+P11</f>
        <v>3584</v>
      </c>
      <c r="C11" s="67">
        <v>24</v>
      </c>
      <c r="D11" s="67">
        <v>834</v>
      </c>
      <c r="E11" s="49">
        <v>398</v>
      </c>
      <c r="F11" s="58">
        <f t="shared" si="4"/>
        <v>47.721822541966425</v>
      </c>
      <c r="G11" s="67">
        <v>14</v>
      </c>
      <c r="H11" s="67">
        <v>1859</v>
      </c>
      <c r="I11" s="49">
        <v>886</v>
      </c>
      <c r="J11" s="58">
        <f t="shared" si="6"/>
        <v>47.660032275416889</v>
      </c>
      <c r="K11" s="67">
        <v>14</v>
      </c>
      <c r="L11" s="67">
        <v>793</v>
      </c>
      <c r="M11" s="49">
        <v>403</v>
      </c>
      <c r="N11" s="58">
        <f t="shared" si="8"/>
        <v>50.819672131147541</v>
      </c>
      <c r="O11" s="67">
        <v>4</v>
      </c>
      <c r="P11" s="67">
        <v>98</v>
      </c>
      <c r="Q11" s="49">
        <v>59</v>
      </c>
      <c r="R11" s="58">
        <f t="shared" si="10"/>
        <v>60.204081632653065</v>
      </c>
      <c r="S11" s="47" t="s">
        <v>8</v>
      </c>
    </row>
    <row r="12" spans="1:20" s="48" customFormat="1" ht="15.75">
      <c r="A12" s="72" t="s">
        <v>61</v>
      </c>
      <c r="B12" s="68">
        <f t="shared" ref="B12:B30" si="11">D12+H12+L12+P12</f>
        <v>5625</v>
      </c>
      <c r="C12" s="67">
        <v>28</v>
      </c>
      <c r="D12" s="67">
        <v>1530</v>
      </c>
      <c r="E12" s="49">
        <v>720</v>
      </c>
      <c r="F12" s="58">
        <f t="shared" si="4"/>
        <v>47.058823529411761</v>
      </c>
      <c r="G12" s="67">
        <v>14</v>
      </c>
      <c r="H12" s="67">
        <v>2785</v>
      </c>
      <c r="I12" s="49">
        <v>1339</v>
      </c>
      <c r="J12" s="58">
        <f t="shared" si="6"/>
        <v>48.078994614003591</v>
      </c>
      <c r="K12" s="67">
        <v>14</v>
      </c>
      <c r="L12" s="67">
        <v>1123</v>
      </c>
      <c r="M12" s="49">
        <v>525</v>
      </c>
      <c r="N12" s="58">
        <f t="shared" si="8"/>
        <v>46.749777382012461</v>
      </c>
      <c r="O12" s="67">
        <v>5</v>
      </c>
      <c r="P12" s="67">
        <v>187</v>
      </c>
      <c r="Q12" s="49">
        <v>114</v>
      </c>
      <c r="R12" s="58">
        <f t="shared" si="10"/>
        <v>60.962566844919785</v>
      </c>
      <c r="S12" s="47" t="s">
        <v>9</v>
      </c>
    </row>
    <row r="13" spans="1:20" s="48" customFormat="1" ht="15.75">
      <c r="A13" s="72" t="s">
        <v>62</v>
      </c>
      <c r="B13" s="68">
        <f t="shared" si="11"/>
        <v>3673</v>
      </c>
      <c r="C13" s="67">
        <v>19</v>
      </c>
      <c r="D13" s="67">
        <v>784</v>
      </c>
      <c r="E13" s="49">
        <v>360</v>
      </c>
      <c r="F13" s="58">
        <f t="shared" si="4"/>
        <v>45.91836734693878</v>
      </c>
      <c r="G13" s="67">
        <v>14</v>
      </c>
      <c r="H13" s="67">
        <v>1970</v>
      </c>
      <c r="I13" s="49">
        <v>977</v>
      </c>
      <c r="J13" s="58">
        <f>I13/H13*100</f>
        <v>49.593908629441621</v>
      </c>
      <c r="K13" s="67">
        <v>14</v>
      </c>
      <c r="L13" s="67">
        <v>861</v>
      </c>
      <c r="M13" s="49">
        <v>390</v>
      </c>
      <c r="N13" s="58">
        <f t="shared" si="8"/>
        <v>45.296167247386762</v>
      </c>
      <c r="O13" s="67">
        <v>3</v>
      </c>
      <c r="P13" s="67">
        <v>58</v>
      </c>
      <c r="Q13" s="49">
        <v>31</v>
      </c>
      <c r="R13" s="58">
        <f t="shared" si="10"/>
        <v>53.448275862068961</v>
      </c>
      <c r="S13" s="47" t="s">
        <v>10</v>
      </c>
    </row>
    <row r="14" spans="1:20" s="48" customFormat="1" ht="15.75">
      <c r="A14" s="72" t="s">
        <v>39</v>
      </c>
      <c r="B14" s="68">
        <f t="shared" si="11"/>
        <v>2967</v>
      </c>
      <c r="C14" s="67">
        <v>25</v>
      </c>
      <c r="D14" s="67">
        <v>765</v>
      </c>
      <c r="E14" s="49">
        <v>375</v>
      </c>
      <c r="F14" s="58">
        <f t="shared" si="4"/>
        <v>49.019607843137251</v>
      </c>
      <c r="G14" s="67">
        <v>13</v>
      </c>
      <c r="H14" s="67">
        <v>1548</v>
      </c>
      <c r="I14" s="49">
        <v>738</v>
      </c>
      <c r="J14" s="58">
        <f t="shared" si="6"/>
        <v>47.674418604651166</v>
      </c>
      <c r="K14" s="67">
        <v>11</v>
      </c>
      <c r="L14" s="67">
        <v>579</v>
      </c>
      <c r="M14" s="49">
        <v>286</v>
      </c>
      <c r="N14" s="58">
        <f t="shared" si="8"/>
        <v>49.395509499136445</v>
      </c>
      <c r="O14" s="67">
        <v>3</v>
      </c>
      <c r="P14" s="67">
        <v>75</v>
      </c>
      <c r="Q14" s="49">
        <v>40</v>
      </c>
      <c r="R14" s="58">
        <f t="shared" si="10"/>
        <v>53.333333333333336</v>
      </c>
      <c r="S14" s="47" t="s">
        <v>11</v>
      </c>
    </row>
    <row r="15" spans="1:20" s="32" customFormat="1" ht="15.75">
      <c r="A15" s="72" t="s">
        <v>63</v>
      </c>
      <c r="B15" s="68">
        <f t="shared" si="11"/>
        <v>4704</v>
      </c>
      <c r="C15" s="67">
        <v>27</v>
      </c>
      <c r="D15" s="67">
        <v>1153</v>
      </c>
      <c r="E15" s="49">
        <v>551</v>
      </c>
      <c r="F15" s="58">
        <f t="shared" si="4"/>
        <v>47.788378143972245</v>
      </c>
      <c r="G15" s="67">
        <v>15</v>
      </c>
      <c r="H15" s="67">
        <v>2349</v>
      </c>
      <c r="I15" s="49">
        <v>1126</v>
      </c>
      <c r="J15" s="58">
        <f t="shared" si="6"/>
        <v>47.935291613452534</v>
      </c>
      <c r="K15" s="67">
        <v>15</v>
      </c>
      <c r="L15" s="67">
        <v>1051</v>
      </c>
      <c r="M15" s="49">
        <v>489</v>
      </c>
      <c r="N15" s="58">
        <f t="shared" si="8"/>
        <v>46.527117031398667</v>
      </c>
      <c r="O15" s="67">
        <v>5</v>
      </c>
      <c r="P15" s="67">
        <v>151</v>
      </c>
      <c r="Q15" s="49">
        <v>88</v>
      </c>
      <c r="R15" s="58">
        <f t="shared" si="10"/>
        <v>58.278145695364238</v>
      </c>
      <c r="S15" s="47" t="s">
        <v>12</v>
      </c>
    </row>
    <row r="16" spans="1:20" s="32" customFormat="1" ht="15.75">
      <c r="A16" s="72" t="s">
        <v>13</v>
      </c>
      <c r="B16" s="68">
        <f t="shared" si="11"/>
        <v>2614</v>
      </c>
      <c r="C16" s="67">
        <v>22</v>
      </c>
      <c r="D16" s="67">
        <v>614</v>
      </c>
      <c r="E16" s="49">
        <v>300</v>
      </c>
      <c r="F16" s="58">
        <f t="shared" si="4"/>
        <v>48.859934853420192</v>
      </c>
      <c r="G16" s="67">
        <v>12</v>
      </c>
      <c r="H16" s="67">
        <v>1310</v>
      </c>
      <c r="I16" s="49">
        <v>610</v>
      </c>
      <c r="J16" s="58">
        <f t="shared" si="6"/>
        <v>46.564885496183209</v>
      </c>
      <c r="K16" s="67">
        <v>11</v>
      </c>
      <c r="L16" s="67">
        <v>562</v>
      </c>
      <c r="M16" s="49">
        <v>243</v>
      </c>
      <c r="N16" s="58">
        <f t="shared" si="8"/>
        <v>43.238434163701065</v>
      </c>
      <c r="O16" s="67">
        <v>2</v>
      </c>
      <c r="P16" s="67">
        <v>128</v>
      </c>
      <c r="Q16" s="49">
        <v>76</v>
      </c>
      <c r="R16" s="58">
        <f t="shared" si="10"/>
        <v>59.375</v>
      </c>
      <c r="S16" s="47" t="s">
        <v>14</v>
      </c>
    </row>
    <row r="17" spans="1:24" s="32" customFormat="1" ht="18" customHeight="1">
      <c r="A17" s="72" t="s">
        <v>15</v>
      </c>
      <c r="B17" s="68">
        <f t="shared" si="11"/>
        <v>2088</v>
      </c>
      <c r="C17" s="67">
        <v>7</v>
      </c>
      <c r="D17" s="67">
        <v>440</v>
      </c>
      <c r="E17" s="49">
        <v>219</v>
      </c>
      <c r="F17" s="58">
        <f t="shared" si="4"/>
        <v>49.772727272727273</v>
      </c>
      <c r="G17" s="67">
        <v>4</v>
      </c>
      <c r="H17" s="67">
        <v>1135</v>
      </c>
      <c r="I17" s="49">
        <v>570</v>
      </c>
      <c r="J17" s="58">
        <f t="shared" si="6"/>
        <v>50.220264317180622</v>
      </c>
      <c r="K17" s="67">
        <v>4</v>
      </c>
      <c r="L17" s="67">
        <v>434</v>
      </c>
      <c r="M17" s="49">
        <v>208</v>
      </c>
      <c r="N17" s="58">
        <f t="shared" si="8"/>
        <v>47.926267281105986</v>
      </c>
      <c r="O17" s="67">
        <v>2</v>
      </c>
      <c r="P17" s="67">
        <v>79</v>
      </c>
      <c r="Q17" s="49">
        <v>49</v>
      </c>
      <c r="R17" s="58">
        <f t="shared" si="10"/>
        <v>62.025316455696199</v>
      </c>
      <c r="S17" s="47" t="s">
        <v>16</v>
      </c>
    </row>
    <row r="18" spans="1:24" s="32" customFormat="1" ht="18" customHeight="1">
      <c r="A18" s="72" t="s">
        <v>17</v>
      </c>
      <c r="B18" s="68">
        <f t="shared" si="11"/>
        <v>2791</v>
      </c>
      <c r="C18" s="67">
        <v>16</v>
      </c>
      <c r="D18" s="67">
        <v>779</v>
      </c>
      <c r="E18" s="49">
        <v>367</v>
      </c>
      <c r="F18" s="58">
        <f t="shared" si="4"/>
        <v>47.111681643132222</v>
      </c>
      <c r="G18" s="67">
        <v>9</v>
      </c>
      <c r="H18" s="67">
        <v>1478</v>
      </c>
      <c r="I18" s="49">
        <v>690</v>
      </c>
      <c r="J18" s="58">
        <f t="shared" si="6"/>
        <v>46.684709066305821</v>
      </c>
      <c r="K18" s="67">
        <v>9</v>
      </c>
      <c r="L18" s="67">
        <v>522</v>
      </c>
      <c r="M18" s="49">
        <v>255</v>
      </c>
      <c r="N18" s="58">
        <f t="shared" si="8"/>
        <v>48.850574712643677</v>
      </c>
      <c r="O18" s="67">
        <v>2</v>
      </c>
      <c r="P18" s="67">
        <v>12</v>
      </c>
      <c r="Q18" s="49">
        <v>9</v>
      </c>
      <c r="R18" s="58">
        <f t="shared" si="10"/>
        <v>75</v>
      </c>
      <c r="S18" s="47" t="s">
        <v>18</v>
      </c>
    </row>
    <row r="19" spans="1:24" s="32" customFormat="1" ht="18" customHeight="1">
      <c r="A19" s="72" t="s">
        <v>19</v>
      </c>
      <c r="B19" s="68">
        <f t="shared" si="11"/>
        <v>1681</v>
      </c>
      <c r="C19" s="67">
        <v>13</v>
      </c>
      <c r="D19" s="67">
        <v>423</v>
      </c>
      <c r="E19" s="49">
        <v>200</v>
      </c>
      <c r="F19" s="58">
        <f t="shared" si="4"/>
        <v>47.281323877068559</v>
      </c>
      <c r="G19" s="67">
        <v>8</v>
      </c>
      <c r="H19" s="67">
        <v>930</v>
      </c>
      <c r="I19" s="49">
        <v>442</v>
      </c>
      <c r="J19" s="58">
        <f t="shared" si="6"/>
        <v>47.526881720430111</v>
      </c>
      <c r="K19" s="67">
        <v>8</v>
      </c>
      <c r="L19" s="67">
        <v>303</v>
      </c>
      <c r="M19" s="49">
        <v>156</v>
      </c>
      <c r="N19" s="58">
        <f t="shared" si="8"/>
        <v>51.485148514851488</v>
      </c>
      <c r="O19" s="67">
        <v>1</v>
      </c>
      <c r="P19" s="67">
        <v>25</v>
      </c>
      <c r="Q19" s="49">
        <v>11</v>
      </c>
      <c r="R19" s="58">
        <f t="shared" si="10"/>
        <v>44</v>
      </c>
      <c r="S19" s="47" t="s">
        <v>20</v>
      </c>
    </row>
    <row r="20" spans="1:24" s="32" customFormat="1" ht="18" customHeight="1">
      <c r="A20" s="72" t="s">
        <v>21</v>
      </c>
      <c r="B20" s="68">
        <f t="shared" si="11"/>
        <v>2122</v>
      </c>
      <c r="C20" s="67">
        <v>18</v>
      </c>
      <c r="D20" s="67">
        <v>648</v>
      </c>
      <c r="E20" s="49">
        <v>296</v>
      </c>
      <c r="F20" s="58">
        <f t="shared" si="4"/>
        <v>45.679012345679013</v>
      </c>
      <c r="G20" s="67">
        <v>10</v>
      </c>
      <c r="H20" s="67">
        <v>1104</v>
      </c>
      <c r="I20" s="49">
        <v>540</v>
      </c>
      <c r="J20" s="58">
        <f t="shared" si="6"/>
        <v>48.913043478260867</v>
      </c>
      <c r="K20" s="67">
        <v>9</v>
      </c>
      <c r="L20" s="67">
        <v>359</v>
      </c>
      <c r="M20" s="49">
        <v>168</v>
      </c>
      <c r="N20" s="58">
        <f t="shared" si="8"/>
        <v>46.796657381615596</v>
      </c>
      <c r="O20" s="67">
        <v>1</v>
      </c>
      <c r="P20" s="67">
        <v>11</v>
      </c>
      <c r="Q20" s="49">
        <v>8</v>
      </c>
      <c r="R20" s="58">
        <f t="shared" si="10"/>
        <v>72.727272727272734</v>
      </c>
      <c r="S20" s="47" t="s">
        <v>22</v>
      </c>
    </row>
    <row r="21" spans="1:24" s="32" customFormat="1" ht="18" customHeight="1">
      <c r="A21" s="72" t="s">
        <v>23</v>
      </c>
      <c r="B21" s="68">
        <f t="shared" si="11"/>
        <v>347</v>
      </c>
      <c r="C21" s="67">
        <v>5</v>
      </c>
      <c r="D21" s="67">
        <v>91</v>
      </c>
      <c r="E21" s="49">
        <v>58</v>
      </c>
      <c r="F21" s="58">
        <f t="shared" si="4"/>
        <v>63.73626373626373</v>
      </c>
      <c r="G21" s="67">
        <v>3</v>
      </c>
      <c r="H21" s="67">
        <v>190</v>
      </c>
      <c r="I21" s="49">
        <v>78</v>
      </c>
      <c r="J21" s="58">
        <f t="shared" si="6"/>
        <v>41.05263157894737</v>
      </c>
      <c r="K21" s="67">
        <v>3</v>
      </c>
      <c r="L21" s="67">
        <v>66</v>
      </c>
      <c r="M21" s="49">
        <v>34</v>
      </c>
      <c r="N21" s="58">
        <f t="shared" si="8"/>
        <v>51.515151515151516</v>
      </c>
      <c r="O21" s="67">
        <v>0</v>
      </c>
      <c r="P21" s="67">
        <v>0</v>
      </c>
      <c r="Q21" s="49">
        <v>0</v>
      </c>
      <c r="R21" s="58">
        <v>0</v>
      </c>
      <c r="S21" s="47" t="s">
        <v>24</v>
      </c>
    </row>
    <row r="22" spans="1:24" s="32" customFormat="1" ht="18" customHeight="1">
      <c r="A22" s="72" t="s">
        <v>25</v>
      </c>
      <c r="B22" s="68">
        <f t="shared" si="11"/>
        <v>1217</v>
      </c>
      <c r="C22" s="67">
        <v>12</v>
      </c>
      <c r="D22" s="67">
        <v>303</v>
      </c>
      <c r="E22" s="49">
        <v>142</v>
      </c>
      <c r="F22" s="58">
        <f t="shared" si="4"/>
        <v>46.864686468646866</v>
      </c>
      <c r="G22" s="67">
        <v>8</v>
      </c>
      <c r="H22" s="67">
        <v>645</v>
      </c>
      <c r="I22" s="49">
        <v>318</v>
      </c>
      <c r="J22" s="58">
        <f t="shared" si="6"/>
        <v>49.302325581395351</v>
      </c>
      <c r="K22" s="67">
        <v>5</v>
      </c>
      <c r="L22" s="67">
        <v>228</v>
      </c>
      <c r="M22" s="49">
        <v>102</v>
      </c>
      <c r="N22" s="58">
        <f t="shared" si="8"/>
        <v>44.736842105263158</v>
      </c>
      <c r="O22" s="67">
        <v>2</v>
      </c>
      <c r="P22" s="67">
        <v>41</v>
      </c>
      <c r="Q22" s="49">
        <v>28</v>
      </c>
      <c r="R22" s="58">
        <f t="shared" ref="R22:R30" si="12">Q22/P22*100</f>
        <v>68.292682926829272</v>
      </c>
      <c r="S22" s="47" t="s">
        <v>26</v>
      </c>
    </row>
    <row r="23" spans="1:24" s="32" customFormat="1" ht="18" customHeight="1">
      <c r="A23" s="72" t="s">
        <v>27</v>
      </c>
      <c r="B23" s="68">
        <f t="shared" si="11"/>
        <v>1421</v>
      </c>
      <c r="C23" s="67">
        <v>8</v>
      </c>
      <c r="D23" s="67">
        <v>304</v>
      </c>
      <c r="E23" s="49">
        <v>153</v>
      </c>
      <c r="F23" s="58">
        <f t="shared" si="4"/>
        <v>50.328947368421048</v>
      </c>
      <c r="G23" s="67">
        <v>5</v>
      </c>
      <c r="H23" s="67">
        <v>726</v>
      </c>
      <c r="I23" s="49">
        <v>344</v>
      </c>
      <c r="J23" s="58">
        <f t="shared" si="6"/>
        <v>47.382920110192842</v>
      </c>
      <c r="K23" s="67">
        <v>5</v>
      </c>
      <c r="L23" s="67">
        <v>325</v>
      </c>
      <c r="M23" s="49">
        <v>164</v>
      </c>
      <c r="N23" s="58">
        <f t="shared" si="8"/>
        <v>50.46153846153846</v>
      </c>
      <c r="O23" s="67">
        <v>2</v>
      </c>
      <c r="P23" s="67">
        <v>66</v>
      </c>
      <c r="Q23" s="49">
        <v>28</v>
      </c>
      <c r="R23" s="58">
        <f t="shared" si="12"/>
        <v>42.424242424242422</v>
      </c>
      <c r="S23" s="47" t="s">
        <v>28</v>
      </c>
    </row>
    <row r="24" spans="1:24" s="32" customFormat="1" ht="18" customHeight="1">
      <c r="A24" s="72" t="s">
        <v>29</v>
      </c>
      <c r="B24" s="68">
        <f t="shared" si="11"/>
        <v>1697</v>
      </c>
      <c r="C24" s="67">
        <v>11</v>
      </c>
      <c r="D24" s="67">
        <v>421</v>
      </c>
      <c r="E24" s="49">
        <v>211</v>
      </c>
      <c r="F24" s="58">
        <f t="shared" si="4"/>
        <v>50.118764845605703</v>
      </c>
      <c r="G24" s="67">
        <v>6</v>
      </c>
      <c r="H24" s="67">
        <v>879</v>
      </c>
      <c r="I24" s="49">
        <v>438</v>
      </c>
      <c r="J24" s="58">
        <f t="shared" si="6"/>
        <v>49.829351535836174</v>
      </c>
      <c r="K24" s="67">
        <v>6</v>
      </c>
      <c r="L24" s="67">
        <v>356</v>
      </c>
      <c r="M24" s="49">
        <v>162</v>
      </c>
      <c r="N24" s="58">
        <f t="shared" si="8"/>
        <v>45.50561797752809</v>
      </c>
      <c r="O24" s="67">
        <v>2</v>
      </c>
      <c r="P24" s="67">
        <v>41</v>
      </c>
      <c r="Q24" s="49">
        <v>23</v>
      </c>
      <c r="R24" s="58">
        <f t="shared" si="12"/>
        <v>56.09756097560976</v>
      </c>
      <c r="S24" s="47" t="s">
        <v>30</v>
      </c>
    </row>
    <row r="25" spans="1:24" s="32" customFormat="1" ht="18" customHeight="1">
      <c r="A25" s="72" t="s">
        <v>31</v>
      </c>
      <c r="B25" s="68">
        <f t="shared" si="11"/>
        <v>2547</v>
      </c>
      <c r="C25" s="67">
        <v>19</v>
      </c>
      <c r="D25" s="67">
        <v>656</v>
      </c>
      <c r="E25" s="49">
        <v>309</v>
      </c>
      <c r="F25" s="58">
        <f t="shared" si="4"/>
        <v>47.103658536585364</v>
      </c>
      <c r="G25" s="67">
        <v>13</v>
      </c>
      <c r="H25" s="67">
        <v>1322</v>
      </c>
      <c r="I25" s="49">
        <v>647</v>
      </c>
      <c r="J25" s="58">
        <f t="shared" si="6"/>
        <v>48.940998487140696</v>
      </c>
      <c r="K25" s="67">
        <v>13</v>
      </c>
      <c r="L25" s="67">
        <v>531</v>
      </c>
      <c r="M25" s="49">
        <v>251</v>
      </c>
      <c r="N25" s="58">
        <f t="shared" si="8"/>
        <v>47.269303201506588</v>
      </c>
      <c r="O25" s="67">
        <v>2</v>
      </c>
      <c r="P25" s="67">
        <v>38</v>
      </c>
      <c r="Q25" s="49">
        <v>19</v>
      </c>
      <c r="R25" s="58">
        <f t="shared" si="12"/>
        <v>50</v>
      </c>
      <c r="S25" s="47" t="s">
        <v>32</v>
      </c>
    </row>
    <row r="26" spans="1:24" s="32" customFormat="1" ht="18" customHeight="1">
      <c r="A26" s="72" t="s">
        <v>16</v>
      </c>
      <c r="B26" s="68">
        <f t="shared" si="11"/>
        <v>3527</v>
      </c>
      <c r="C26" s="67">
        <v>21</v>
      </c>
      <c r="D26" s="67">
        <v>721</v>
      </c>
      <c r="E26" s="49">
        <v>332</v>
      </c>
      <c r="F26" s="58">
        <f t="shared" si="4"/>
        <v>46.047156726768378</v>
      </c>
      <c r="G26" s="67">
        <v>13</v>
      </c>
      <c r="H26" s="67">
        <v>1904</v>
      </c>
      <c r="I26" s="49">
        <v>921</v>
      </c>
      <c r="J26" s="58">
        <f t="shared" si="6"/>
        <v>48.371848739495796</v>
      </c>
      <c r="K26" s="67">
        <v>12</v>
      </c>
      <c r="L26" s="67">
        <v>832</v>
      </c>
      <c r="M26" s="49">
        <v>407</v>
      </c>
      <c r="N26" s="58">
        <f t="shared" si="8"/>
        <v>48.918269230769226</v>
      </c>
      <c r="O26" s="67">
        <v>2</v>
      </c>
      <c r="P26" s="67">
        <v>70</v>
      </c>
      <c r="Q26" s="49">
        <v>46</v>
      </c>
      <c r="R26" s="58">
        <f t="shared" si="12"/>
        <v>65.714285714285708</v>
      </c>
      <c r="S26" s="47" t="s">
        <v>33</v>
      </c>
    </row>
    <row r="27" spans="1:24" s="32" customFormat="1" ht="18" customHeight="1">
      <c r="A27" s="72" t="s">
        <v>34</v>
      </c>
      <c r="B27" s="68">
        <f t="shared" si="11"/>
        <v>2232</v>
      </c>
      <c r="C27" s="67">
        <v>14</v>
      </c>
      <c r="D27" s="67">
        <v>481</v>
      </c>
      <c r="E27" s="49">
        <v>228</v>
      </c>
      <c r="F27" s="58">
        <f t="shared" si="4"/>
        <v>47.401247401247403</v>
      </c>
      <c r="G27" s="67">
        <v>9</v>
      </c>
      <c r="H27" s="67">
        <v>1209</v>
      </c>
      <c r="I27" s="49">
        <v>595</v>
      </c>
      <c r="J27" s="58">
        <f t="shared" si="6"/>
        <v>49.214226633581468</v>
      </c>
      <c r="K27" s="67">
        <v>9</v>
      </c>
      <c r="L27" s="67">
        <v>508</v>
      </c>
      <c r="M27" s="49">
        <v>260</v>
      </c>
      <c r="N27" s="58">
        <f t="shared" si="8"/>
        <v>51.181102362204726</v>
      </c>
      <c r="O27" s="67">
        <v>2</v>
      </c>
      <c r="P27" s="67">
        <v>34</v>
      </c>
      <c r="Q27" s="49">
        <v>16</v>
      </c>
      <c r="R27" s="58">
        <f t="shared" si="12"/>
        <v>47.058823529411761</v>
      </c>
      <c r="S27" s="47" t="s">
        <v>35</v>
      </c>
    </row>
    <row r="28" spans="1:24" ht="18" customHeight="1">
      <c r="A28" s="72" t="s">
        <v>36</v>
      </c>
      <c r="B28" s="68">
        <f t="shared" si="11"/>
        <v>3178</v>
      </c>
      <c r="C28" s="67">
        <v>16</v>
      </c>
      <c r="D28" s="67">
        <v>719</v>
      </c>
      <c r="E28" s="49">
        <v>343</v>
      </c>
      <c r="F28" s="58">
        <f t="shared" si="4"/>
        <v>47.705146036161331</v>
      </c>
      <c r="G28" s="67">
        <v>10</v>
      </c>
      <c r="H28" s="67">
        <v>1720</v>
      </c>
      <c r="I28" s="49">
        <v>817</v>
      </c>
      <c r="J28" s="58">
        <f t="shared" si="6"/>
        <v>47.5</v>
      </c>
      <c r="K28" s="67">
        <v>9</v>
      </c>
      <c r="L28" s="67">
        <v>681</v>
      </c>
      <c r="M28" s="49">
        <v>310</v>
      </c>
      <c r="N28" s="58">
        <f t="shared" si="8"/>
        <v>45.521292217327456</v>
      </c>
      <c r="O28" s="67">
        <v>1</v>
      </c>
      <c r="P28" s="67">
        <v>58</v>
      </c>
      <c r="Q28" s="49">
        <v>45</v>
      </c>
      <c r="R28" s="58">
        <f t="shared" si="12"/>
        <v>77.58620689655173</v>
      </c>
      <c r="S28" s="47" t="s">
        <v>37</v>
      </c>
    </row>
    <row r="29" spans="1:24" ht="18" customHeight="1">
      <c r="A29" s="73" t="s">
        <v>38</v>
      </c>
      <c r="B29" s="68">
        <f t="shared" si="11"/>
        <v>2397</v>
      </c>
      <c r="C29" s="67">
        <v>7</v>
      </c>
      <c r="D29" s="67">
        <v>513</v>
      </c>
      <c r="E29" s="49">
        <v>239</v>
      </c>
      <c r="F29" s="58">
        <f t="shared" si="4"/>
        <v>46.588693957115005</v>
      </c>
      <c r="G29" s="67">
        <v>3</v>
      </c>
      <c r="H29" s="67">
        <v>1292</v>
      </c>
      <c r="I29" s="49">
        <v>637</v>
      </c>
      <c r="J29" s="58">
        <f t="shared" si="6"/>
        <v>49.303405572755416</v>
      </c>
      <c r="K29" s="67">
        <v>1</v>
      </c>
      <c r="L29" s="67">
        <v>528</v>
      </c>
      <c r="M29" s="49">
        <v>254</v>
      </c>
      <c r="N29" s="58">
        <f t="shared" si="8"/>
        <v>48.106060606060609</v>
      </c>
      <c r="O29" s="67">
        <v>1</v>
      </c>
      <c r="P29" s="67">
        <v>64</v>
      </c>
      <c r="Q29" s="49">
        <v>37</v>
      </c>
      <c r="R29" s="58">
        <f t="shared" si="12"/>
        <v>57.8125</v>
      </c>
      <c r="S29" s="61" t="s">
        <v>39</v>
      </c>
    </row>
    <row r="30" spans="1:24" ht="18" customHeight="1">
      <c r="A30" s="74" t="s">
        <v>10</v>
      </c>
      <c r="B30" s="62">
        <f t="shared" si="11"/>
        <v>5566</v>
      </c>
      <c r="C30" s="69">
        <v>11</v>
      </c>
      <c r="D30" s="69">
        <v>1308</v>
      </c>
      <c r="E30" s="70">
        <v>598</v>
      </c>
      <c r="F30" s="59">
        <f t="shared" si="4"/>
        <v>45.718654434250766</v>
      </c>
      <c r="G30" s="69">
        <v>10</v>
      </c>
      <c r="H30" s="69">
        <v>2806</v>
      </c>
      <c r="I30" s="70">
        <v>1418</v>
      </c>
      <c r="J30" s="59">
        <f t="shared" si="6"/>
        <v>50.534568781183175</v>
      </c>
      <c r="K30" s="69">
        <v>5</v>
      </c>
      <c r="L30" s="69">
        <v>1067</v>
      </c>
      <c r="M30" s="70">
        <v>502</v>
      </c>
      <c r="N30" s="59">
        <f t="shared" si="8"/>
        <v>47.047797563261476</v>
      </c>
      <c r="O30" s="69">
        <v>2</v>
      </c>
      <c r="P30" s="69">
        <v>385</v>
      </c>
      <c r="Q30" s="70">
        <v>202</v>
      </c>
      <c r="R30" s="59">
        <f t="shared" si="12"/>
        <v>52.467532467532465</v>
      </c>
      <c r="S30" s="71" t="s">
        <v>40</v>
      </c>
    </row>
    <row r="31" spans="1:24" s="24" customFormat="1" ht="14.25" customHeight="1">
      <c r="A31" s="13" t="s">
        <v>58</v>
      </c>
      <c r="B31" s="14"/>
      <c r="C31" s="15"/>
      <c r="D31" s="14"/>
      <c r="E31" s="14"/>
      <c r="F31" s="16"/>
      <c r="G31" s="17"/>
      <c r="H31" s="8"/>
      <c r="I31" s="8"/>
      <c r="J31" s="17"/>
      <c r="K31" s="17"/>
      <c r="L31" s="18"/>
      <c r="M31" s="18"/>
      <c r="N31" s="19"/>
      <c r="O31" s="19"/>
      <c r="P31" s="18"/>
      <c r="Q31" s="18"/>
      <c r="R31" s="19"/>
      <c r="S31" s="20"/>
      <c r="T31" s="21"/>
      <c r="U31" s="22"/>
      <c r="V31" s="22"/>
      <c r="W31" s="22"/>
      <c r="X31" s="23"/>
    </row>
    <row r="32" spans="1:24" s="24" customFormat="1" ht="14.25" customHeight="1">
      <c r="A32" s="13" t="s">
        <v>68</v>
      </c>
      <c r="B32" s="14"/>
      <c r="C32" s="15"/>
      <c r="D32" s="14"/>
      <c r="E32" s="14"/>
      <c r="F32" s="50"/>
      <c r="G32" s="17"/>
      <c r="H32" s="8"/>
      <c r="I32" s="8"/>
      <c r="J32" s="17"/>
      <c r="K32" s="17"/>
      <c r="L32" s="25"/>
      <c r="M32" s="25"/>
      <c r="N32" s="25"/>
      <c r="O32" s="25"/>
      <c r="P32" s="25"/>
      <c r="Q32" s="25"/>
      <c r="R32" s="25"/>
      <c r="S32" s="20" t="s">
        <v>64</v>
      </c>
      <c r="T32" s="26"/>
      <c r="U32" s="55"/>
      <c r="V32" s="55"/>
      <c r="W32" s="55"/>
      <c r="X32" s="27"/>
    </row>
    <row r="33" spans="1:24" ht="15.75" customHeight="1">
      <c r="A33" s="2" t="s">
        <v>59</v>
      </c>
      <c r="B33" s="3"/>
      <c r="C33" s="4"/>
      <c r="D33" s="5"/>
      <c r="E33" s="5"/>
      <c r="F33" s="6"/>
      <c r="G33" s="7"/>
      <c r="H33" s="8"/>
      <c r="I33" s="8"/>
      <c r="J33" s="7"/>
      <c r="K33" s="7"/>
      <c r="L33" s="79" t="s">
        <v>41</v>
      </c>
      <c r="M33" s="79"/>
      <c r="N33" s="79"/>
      <c r="O33" s="79"/>
      <c r="P33" s="79"/>
      <c r="Q33" s="79"/>
      <c r="R33" s="79"/>
      <c r="S33" s="79"/>
      <c r="T33" s="9"/>
      <c r="U33" s="10"/>
      <c r="V33" s="9"/>
      <c r="W33" s="10"/>
      <c r="X33" s="11"/>
    </row>
    <row r="34" spans="1:24">
      <c r="D34" s="12"/>
      <c r="E34" s="12"/>
      <c r="F34" s="51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55"/>
    </row>
    <row r="35" spans="1:24">
      <c r="B35" s="49"/>
      <c r="C35" s="49"/>
      <c r="D35" s="31"/>
      <c r="E35" s="31"/>
    </row>
    <row r="36" spans="1:24">
      <c r="B36" s="49"/>
      <c r="C36" s="49"/>
      <c r="D36" s="31"/>
      <c r="E36" s="31"/>
    </row>
    <row r="37" spans="1:24">
      <c r="B37" s="49"/>
      <c r="C37" s="49"/>
      <c r="D37" s="31"/>
      <c r="E37" s="31"/>
    </row>
  </sheetData>
  <mergeCells count="15">
    <mergeCell ref="L33:S33"/>
    <mergeCell ref="G34:J34"/>
    <mergeCell ref="K34:N34"/>
    <mergeCell ref="O34:R34"/>
    <mergeCell ref="A1:S1"/>
    <mergeCell ref="A2:S2"/>
    <mergeCell ref="A4:A7"/>
    <mergeCell ref="C4:F4"/>
    <mergeCell ref="G4:J4"/>
    <mergeCell ref="K4:N4"/>
    <mergeCell ref="O4:R4"/>
    <mergeCell ref="C5:F5"/>
    <mergeCell ref="G5:J5"/>
    <mergeCell ref="K5:N5"/>
    <mergeCell ref="O5:R5"/>
  </mergeCells>
  <pageMargins left="0.7" right="0.7" top="0.75" bottom="0.75" header="0.3" footer="0.3"/>
  <pageSetup paperSize="9" scale="7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2017-06-08T07:47:52Z</cp:lastPrinted>
  <dcterms:created xsi:type="dcterms:W3CDTF">2014-03-05T03:36:41Z</dcterms:created>
  <dcterms:modified xsi:type="dcterms:W3CDTF">2017-06-08T07:47:54Z</dcterms:modified>
</cp:coreProperties>
</file>