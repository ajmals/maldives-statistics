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30" yWindow="0" windowWidth="20730" windowHeight="11760" tabRatio="880"/>
  </bookViews>
  <sheets>
    <sheet name="7.8" sheetId="10" r:id="rId1"/>
  </sheets>
  <externalReferences>
    <externalReference r:id="rId2"/>
    <externalReference r:id="rId3"/>
  </externalReferences>
  <definedNames>
    <definedName name="_xlnm.Print_Area" localSheetId="0">'7.8'!$A$1:$K$33</definedName>
  </definedNames>
  <calcPr calcId="144525"/>
</workbook>
</file>

<file path=xl/calcChain.xml><?xml version="1.0" encoding="utf-8"?>
<calcChain xmlns="http://schemas.openxmlformats.org/spreadsheetml/2006/main">
  <c r="H10" i="10" l="1"/>
  <c r="I10" i="10"/>
  <c r="G30" i="10"/>
  <c r="F30" i="10"/>
  <c r="G29" i="10"/>
  <c r="F29" i="10"/>
  <c r="G28" i="10"/>
  <c r="F28" i="10"/>
  <c r="G27" i="10"/>
  <c r="F27" i="10"/>
  <c r="G26" i="10"/>
  <c r="F26" i="10"/>
  <c r="G25" i="10"/>
  <c r="F25" i="10"/>
  <c r="G24" i="10"/>
  <c r="F24" i="10"/>
  <c r="G23" i="10"/>
  <c r="F23" i="10"/>
  <c r="G22" i="10"/>
  <c r="F22" i="10"/>
  <c r="G21" i="10"/>
  <c r="F21" i="10"/>
  <c r="G20" i="10"/>
  <c r="F20" i="10"/>
  <c r="G19" i="10"/>
  <c r="F19" i="10"/>
  <c r="G18" i="10"/>
  <c r="F18" i="10"/>
  <c r="G17" i="10"/>
  <c r="F17" i="10"/>
  <c r="G16" i="10"/>
  <c r="F16" i="10"/>
  <c r="G15" i="10"/>
  <c r="F15" i="10"/>
  <c r="G14" i="10"/>
  <c r="F14" i="10"/>
  <c r="G13" i="10"/>
  <c r="F13" i="10"/>
  <c r="G12" i="10"/>
  <c r="F12" i="10"/>
  <c r="G11" i="10"/>
  <c r="F11" i="10"/>
  <c r="G9" i="10"/>
  <c r="F9" i="10"/>
  <c r="D10" i="10"/>
  <c r="C10" i="10"/>
  <c r="F10" i="10" l="1"/>
  <c r="G10" i="10"/>
  <c r="D8" i="10" l="1"/>
  <c r="F8" i="10"/>
  <c r="B8" i="10" s="1"/>
  <c r="G8" i="10"/>
  <c r="I8" i="10"/>
  <c r="H8" i="10"/>
  <c r="C8" i="10"/>
  <c r="J8" i="10" l="1"/>
  <c r="B11" i="10" l="1"/>
  <c r="J11" i="10" s="1"/>
  <c r="B30" i="10" l="1"/>
  <c r="J30" i="10" s="1"/>
  <c r="B29" i="10"/>
  <c r="J29" i="10" s="1"/>
  <c r="B28" i="10"/>
  <c r="J28" i="10" s="1"/>
  <c r="B27" i="10"/>
  <c r="J27" i="10" s="1"/>
  <c r="B26" i="10"/>
  <c r="J26" i="10" s="1"/>
  <c r="B25" i="10"/>
  <c r="J25" i="10" s="1"/>
  <c r="B24" i="10"/>
  <c r="J24" i="10" s="1"/>
  <c r="B23" i="10"/>
  <c r="J23" i="10" s="1"/>
  <c r="B22" i="10"/>
  <c r="J22" i="10" s="1"/>
  <c r="B21" i="10"/>
  <c r="J21" i="10" s="1"/>
  <c r="B20" i="10"/>
  <c r="J20" i="10" s="1"/>
  <c r="B19" i="10"/>
  <c r="J19" i="10" s="1"/>
  <c r="B18" i="10"/>
  <c r="J18" i="10" s="1"/>
  <c r="B17" i="10"/>
  <c r="J17" i="10" s="1"/>
  <c r="B16" i="10"/>
  <c r="J16" i="10" s="1"/>
  <c r="B15" i="10"/>
  <c r="J15" i="10" s="1"/>
  <c r="B14" i="10"/>
  <c r="J14" i="10" s="1"/>
  <c r="B13" i="10"/>
  <c r="J13" i="10" s="1"/>
  <c r="B12" i="10"/>
  <c r="J12" i="10" s="1"/>
  <c r="B10" i="10"/>
  <c r="J10" i="10" s="1"/>
  <c r="B9" i="10"/>
  <c r="J9" i="10" s="1"/>
</calcChain>
</file>

<file path=xl/sharedStrings.xml><?xml version="1.0" encoding="utf-8"?>
<sst xmlns="http://schemas.openxmlformats.org/spreadsheetml/2006/main" count="80" uniqueCount="72">
  <si>
    <t>Total</t>
  </si>
  <si>
    <t xml:space="preserve">  Locality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</si>
  <si>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</si>
  <si>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</si>
  <si>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</si>
  <si>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</si>
  <si>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</si>
  <si>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</si>
  <si>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</si>
  <si>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</si>
  <si>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</si>
  <si>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</si>
  <si>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</si>
  <si>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</si>
  <si>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</si>
  <si>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</si>
  <si>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</si>
  <si>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</si>
  <si>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</si>
  <si>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</si>
  <si>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</si>
  <si>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</si>
  <si>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</si>
  <si>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</si>
  <si>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</si>
  <si>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</si>
  <si>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</si>
  <si>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</si>
  <si>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</si>
  <si>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</si>
  <si>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</si>
  <si>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</si>
  <si>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</si>
  <si>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</si>
  <si>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</si>
  <si>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</si>
  <si>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</si>
  <si>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</si>
  <si>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</si>
  <si>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</si>
  <si>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</si>
  <si>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</si>
  <si>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Teachers</t>
  </si>
  <si>
    <t>Trained</t>
  </si>
  <si>
    <t>cnIsEdib</t>
  </si>
  <si>
    <t>cnusircawdum</t>
  </si>
  <si>
    <t>Untrained</t>
  </si>
  <si>
    <t>Expatriate</t>
  </si>
  <si>
    <t>ތަމްރިން ލިބިފައިވާ</t>
  </si>
  <si>
    <t>WvuniawfibilcnIrcmwt</t>
  </si>
  <si>
    <t>IsEdib wlcmuj</t>
  </si>
  <si>
    <t>ihevid wlcmuj</t>
  </si>
  <si>
    <t>ޖުމްލަ</t>
  </si>
  <si>
    <t>އިންސަތްތައިން</t>
  </si>
  <si>
    <t>ImiaWd</t>
  </si>
  <si>
    <t>Itugwv</t>
  </si>
  <si>
    <t>Total expatriate</t>
  </si>
  <si>
    <t xml:space="preserve">Total Local </t>
  </si>
  <si>
    <t>ތަން</t>
  </si>
  <si>
    <t>Permanant</t>
  </si>
  <si>
    <t>Temporary</t>
  </si>
  <si>
    <t xml:space="preserve"> Teachers</t>
  </si>
  <si>
    <t>as a % of total</t>
  </si>
  <si>
    <t>Adh</t>
  </si>
  <si>
    <t>ބިދޭސީ ޓީޗަރުންގެ ތެރޭގައި ތަމްރީނު ލިބިފައިނުވާ ޓީޗަރުންނެއް ނެތް</t>
  </si>
  <si>
    <t>HA</t>
  </si>
  <si>
    <t>HDh</t>
  </si>
  <si>
    <t>Sh</t>
  </si>
  <si>
    <t>R</t>
  </si>
  <si>
    <t>2016 ,cnusircawdum IsEdib idwa ihevid WviretctWkwrwH iawgukwtWswrudwm egukwtuLotwa iaWaelWm : 7.8 ulwvWt</t>
  </si>
  <si>
    <t>TABLE 7.8: LOCAL AND EXPATRIATE TEACHERS SERVING IN SCHOOLS OF MALE' AND ATOLLS BY LOCALITY, 2016</t>
  </si>
  <si>
    <t>Note: No untrained expatriate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</si>
</sst>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70" formatCode="#,##0.0_);[Red]\(#,##0.0\)"/>
    <numFmt numFmtId="171" formatCode="_-* #,##0.00\ &quot;ރ.&quot;_-;_-* #,##0.00\ &quot;ރ.&quot;\-;_-* &quot;-&quot;??\ &quot;ރ.&quot;_-;_-@_-"/>
    <numFmt numFmtId="172" formatCode="&quot;Rf&quot;#,##0;\-&quot;Rf&quot;#,##0"/>
    <numFmt numFmtId="173" formatCode="0.00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Faruma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_Waheed"/>
    </font>
    <font>
      <i/>
      <sz val="9"/>
      <name val="Calibri"/>
      <family val="2"/>
      <scheme val="minor"/>
    </font>
    <font>
      <sz val="9"/>
      <name val="A_Waheed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A_Utheem"/>
    </font>
    <font>
      <sz val="9"/>
      <name val="Faruma"/>
    </font>
    <font>
      <sz val="12"/>
      <name val="A_Utheem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9"/>
      <color indexed="8"/>
      <name val="Calibri"/>
      <family val="2"/>
      <scheme val="minor"/>
    </font>
    <font>
      <sz val="10"/>
      <name val="MS Sans Serif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61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26" fillId="0" borderId="0" applyFont="0" applyFill="0" applyBorder="0" applyAlignment="0" applyProtection="0"/>
    <xf numFmtId="164" fontId="2" fillId="0" borderId="0"/>
    <xf numFmtId="0" fontId="2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1" fillId="0" borderId="0"/>
    <xf numFmtId="0" fontId="29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2" fillId="0" borderId="0"/>
    <xf numFmtId="165" fontId="2" fillId="0" borderId="0"/>
    <xf numFmtId="170" fontId="2" fillId="0" borderId="0"/>
    <xf numFmtId="165" fontId="2" fillId="0" borderId="0"/>
    <xf numFmtId="173" fontId="30" fillId="0" borderId="0"/>
    <xf numFmtId="171" fontId="2" fillId="0" borderId="0"/>
    <xf numFmtId="0" fontId="26" fillId="0" borderId="0"/>
    <xf numFmtId="0" fontId="26" fillId="0" borderId="0"/>
    <xf numFmtId="171" fontId="2" fillId="0" borderId="0"/>
    <xf numFmtId="0" fontId="26" fillId="0" borderId="0"/>
    <xf numFmtId="0" fontId="26" fillId="0" borderId="0"/>
    <xf numFmtId="171" fontId="2" fillId="0" borderId="0"/>
    <xf numFmtId="171" fontId="2" fillId="0" borderId="0"/>
    <xf numFmtId="172" fontId="2" fillId="0" borderId="0"/>
    <xf numFmtId="172" fontId="2" fillId="0" borderId="0"/>
    <xf numFmtId="165" fontId="2" fillId="0" borderId="0"/>
    <xf numFmtId="165" fontId="2" fillId="0" borderId="0"/>
    <xf numFmtId="40" fontId="26" fillId="0" borderId="0" applyFont="0" applyFill="0" applyBorder="0" applyAlignment="0" applyProtection="0"/>
    <xf numFmtId="171" fontId="2" fillId="0" borderId="0"/>
    <xf numFmtId="172" fontId="2" fillId="0" borderId="0"/>
    <xf numFmtId="172" fontId="2" fillId="0" borderId="0"/>
    <xf numFmtId="165" fontId="2" fillId="0" borderId="0"/>
  </cellStyleXfs>
  <cellXfs count="49">
    <xf numFmtId="0" fontId="0" fillId="0" borderId="0" xfId="0"/>
    <xf numFmtId="165" fontId="14" fillId="2" borderId="0" xfId="0" applyNumberFormat="1" applyFont="1" applyFill="1" applyBorder="1" applyAlignment="1">
      <alignment horizontal="right" vertical="center"/>
    </xf>
    <xf numFmtId="165" fontId="15" fillId="2" borderId="0" xfId="0" applyNumberFormat="1" applyFont="1" applyFill="1" applyBorder="1" applyAlignment="1">
      <alignment horizontal="right" vertical="center"/>
    </xf>
    <xf numFmtId="165" fontId="17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165" fontId="5" fillId="2" borderId="2" xfId="0" applyNumberFormat="1" applyFont="1" applyFill="1" applyBorder="1" applyAlignment="1">
      <alignment horizontal="right" vertical="center"/>
    </xf>
    <xf numFmtId="165" fontId="8" fillId="2" borderId="0" xfId="4" applyNumberFormat="1" applyFont="1" applyFill="1" applyAlignment="1">
      <alignment horizontal="center" vertical="center"/>
    </xf>
    <xf numFmtId="165" fontId="8" fillId="2" borderId="0" xfId="4" applyNumberFormat="1" applyFont="1" applyFill="1" applyAlignment="1">
      <alignment horizontal="center" vertical="top"/>
    </xf>
    <xf numFmtId="165" fontId="3" fillId="2" borderId="1" xfId="4" applyNumberFormat="1" applyFont="1" applyFill="1" applyBorder="1" applyAlignment="1">
      <alignment horizontal="center" vertical="top"/>
    </xf>
    <xf numFmtId="165" fontId="4" fillId="2" borderId="0" xfId="4" applyNumberFormat="1" applyFont="1" applyFill="1" applyBorder="1" applyAlignment="1">
      <alignment horizontal="center" vertical="center"/>
    </xf>
    <xf numFmtId="165" fontId="22" fillId="2" borderId="0" xfId="4" applyNumberFormat="1" applyFont="1" applyFill="1" applyAlignment="1">
      <alignment horizontal="right" vertical="center"/>
    </xf>
    <xf numFmtId="165" fontId="12" fillId="2" borderId="0" xfId="4" applyNumberFormat="1" applyFont="1" applyFill="1" applyBorder="1" applyAlignment="1" applyProtection="1">
      <alignment horizontal="left" vertical="center"/>
    </xf>
    <xf numFmtId="165" fontId="6" fillId="2" borderId="0" xfId="0" applyNumberFormat="1" applyFont="1" applyFill="1" applyBorder="1" applyAlignment="1">
      <alignment horizontal="right" vertical="center"/>
    </xf>
    <xf numFmtId="165" fontId="8" fillId="2" borderId="0" xfId="4" applyNumberFormat="1" applyFont="1" applyFill="1" applyAlignment="1">
      <alignment horizontal="right" vertical="center"/>
    </xf>
    <xf numFmtId="165" fontId="11" fillId="2" borderId="0" xfId="4" applyNumberFormat="1" applyFont="1" applyFill="1" applyBorder="1" applyAlignment="1" applyProtection="1">
      <alignment horizontal="left" vertical="center"/>
    </xf>
    <xf numFmtId="165" fontId="3" fillId="2" borderId="0" xfId="4" applyNumberFormat="1" applyFont="1" applyFill="1" applyBorder="1" applyAlignment="1">
      <alignment horizontal="right" vertical="center"/>
    </xf>
    <xf numFmtId="165" fontId="4" fillId="2" borderId="0" xfId="4" applyNumberFormat="1" applyFont="1" applyFill="1" applyBorder="1" applyAlignment="1">
      <alignment horizontal="right" vertical="center"/>
    </xf>
    <xf numFmtId="165" fontId="11" fillId="2" borderId="0" xfId="4" applyNumberFormat="1" applyFont="1" applyFill="1" applyBorder="1" applyAlignment="1">
      <alignment horizontal="lef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12" fillId="2" borderId="2" xfId="4" applyNumberFormat="1" applyFont="1" applyFill="1" applyBorder="1" applyAlignment="1" applyProtection="1">
      <alignment horizontal="left" vertical="center"/>
    </xf>
    <xf numFmtId="165" fontId="13" fillId="2" borderId="0" xfId="4" applyNumberFormat="1" applyFont="1" applyFill="1" applyBorder="1" applyAlignment="1" applyProtection="1">
      <alignment horizontal="left" vertical="center"/>
    </xf>
    <xf numFmtId="165" fontId="13" fillId="2" borderId="1" xfId="4" applyNumberFormat="1" applyFont="1" applyFill="1" applyBorder="1" applyAlignment="1" applyProtection="1">
      <alignment horizontal="left" vertical="center"/>
    </xf>
    <xf numFmtId="165" fontId="17" fillId="2" borderId="1" xfId="0" applyNumberFormat="1" applyFont="1" applyFill="1" applyBorder="1" applyAlignment="1">
      <alignment horizontal="right" vertical="center"/>
    </xf>
    <xf numFmtId="165" fontId="25" fillId="2" borderId="0" xfId="4" applyNumberFormat="1" applyFont="1" applyFill="1" applyAlignment="1">
      <alignment horizontal="left" vertical="center"/>
    </xf>
    <xf numFmtId="165" fontId="21" fillId="2" borderId="0" xfId="4" applyNumberFormat="1" applyFont="1" applyFill="1" applyAlignment="1">
      <alignment horizontal="right"/>
    </xf>
    <xf numFmtId="165" fontId="16" fillId="2" borderId="0" xfId="4" applyNumberFormat="1" applyFont="1" applyFill="1" applyAlignment="1">
      <alignment horizontal="left" vertical="center"/>
    </xf>
    <xf numFmtId="3" fontId="23" fillId="2" borderId="0" xfId="4" applyNumberFormat="1" applyFont="1" applyFill="1" applyBorder="1" applyAlignment="1">
      <alignment horizontal="right" vertical="center"/>
    </xf>
    <xf numFmtId="3" fontId="24" fillId="2" borderId="0" xfId="4" applyNumberFormat="1" applyFont="1" applyFill="1" applyBorder="1" applyAlignment="1">
      <alignment horizontal="center" vertical="center"/>
    </xf>
    <xf numFmtId="3" fontId="24" fillId="2" borderId="1" xfId="4" applyNumberFormat="1" applyFont="1" applyFill="1" applyBorder="1" applyAlignment="1">
      <alignment horizontal="center" vertical="center"/>
    </xf>
    <xf numFmtId="165" fontId="8" fillId="2" borderId="0" xfId="4" applyNumberFormat="1" applyFont="1" applyFill="1" applyAlignment="1">
      <alignment horizontal="left" vertical="center"/>
    </xf>
    <xf numFmtId="165" fontId="7" fillId="2" borderId="0" xfId="4" applyNumberFormat="1" applyFont="1" applyFill="1" applyAlignment="1">
      <alignment horizontal="right" vertical="center"/>
    </xf>
    <xf numFmtId="3" fontId="19" fillId="2" borderId="2" xfId="4" applyNumberFormat="1" applyFont="1" applyFill="1" applyBorder="1" applyAlignment="1">
      <alignment vertical="center"/>
    </xf>
    <xf numFmtId="3" fontId="19" fillId="2" borderId="2" xfId="4" applyNumberFormat="1" applyFont="1" applyFill="1" applyBorder="1" applyAlignment="1">
      <alignment horizontal="right" vertical="center"/>
    </xf>
    <xf numFmtId="3" fontId="3" fillId="2" borderId="0" xfId="4" applyNumberFormat="1" applyFont="1" applyFill="1" applyBorder="1" applyAlignment="1">
      <alignment vertical="center"/>
    </xf>
    <xf numFmtId="3" fontId="19" fillId="2" borderId="0" xfId="4" applyNumberFormat="1" applyFont="1" applyFill="1" applyBorder="1" applyAlignment="1">
      <alignment vertical="center"/>
    </xf>
    <xf numFmtId="3" fontId="18" fillId="2" borderId="0" xfId="4" applyNumberFormat="1" applyFont="1" applyFill="1" applyBorder="1" applyAlignment="1">
      <alignment horizontal="right" vertical="center"/>
    </xf>
    <xf numFmtId="3" fontId="3" fillId="2" borderId="1" xfId="4" applyNumberFormat="1" applyFont="1" applyFill="1" applyBorder="1" applyAlignment="1">
      <alignment vertical="center"/>
    </xf>
    <xf numFmtId="3" fontId="18" fillId="2" borderId="1" xfId="4" applyNumberFormat="1" applyFont="1" applyFill="1" applyBorder="1" applyAlignment="1">
      <alignment horizontal="right" vertical="center"/>
    </xf>
    <xf numFmtId="165" fontId="27" fillId="2" borderId="0" xfId="4" applyNumberFormat="1" applyFont="1" applyFill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3" fontId="19" fillId="2" borderId="0" xfId="4" applyNumberFormat="1" applyFont="1" applyFill="1" applyBorder="1" applyAlignment="1">
      <alignment horizontal="right" vertical="center"/>
    </xf>
    <xf numFmtId="3" fontId="19" fillId="2" borderId="5" xfId="4" applyNumberFormat="1" applyFont="1" applyFill="1" applyBorder="1" applyAlignment="1">
      <alignment horizontal="right" vertical="center"/>
    </xf>
    <xf numFmtId="3" fontId="18" fillId="2" borderId="4" xfId="4" applyNumberFormat="1" applyFont="1" applyFill="1" applyBorder="1" applyAlignment="1">
      <alignment horizontal="right" vertical="center"/>
    </xf>
    <xf numFmtId="165" fontId="8" fillId="2" borderId="0" xfId="4" applyNumberFormat="1" applyFont="1" applyFill="1" applyBorder="1" applyAlignment="1">
      <alignment horizontal="center" vertical="top"/>
    </xf>
    <xf numFmtId="165" fontId="10" fillId="2" borderId="0" xfId="0" applyNumberFormat="1" applyFont="1" applyFill="1" applyBorder="1" applyAlignment="1">
      <alignment horizontal="center" vertical="center"/>
    </xf>
    <xf numFmtId="165" fontId="9" fillId="2" borderId="0" xfId="4" applyNumberFormat="1" applyFont="1" applyFill="1" applyBorder="1" applyAlignment="1">
      <alignment horizontal="center" vertical="top"/>
    </xf>
    <xf numFmtId="165" fontId="6" fillId="2" borderId="0" xfId="0" applyNumberFormat="1" applyFont="1" applyFill="1" applyBorder="1" applyAlignment="1">
      <alignment horizontal="center" vertical="center"/>
    </xf>
    <xf numFmtId="165" fontId="20" fillId="2" borderId="0" xfId="0" applyNumberFormat="1" applyFont="1" applyFill="1" applyBorder="1" applyAlignment="1">
      <alignment horizontal="center" vertical="center"/>
    </xf>
    <xf numFmtId="165" fontId="3" fillId="2" borderId="3" xfId="4" applyNumberFormat="1" applyFont="1" applyFill="1" applyBorder="1" applyAlignment="1">
      <alignment horizontal="center" vertical="center"/>
    </xf>
  </cellXfs>
  <cellStyles count="161">
    <cellStyle name="1" xfId="138"/>
    <cellStyle name="Comma 2" xfId="5"/>
    <cellStyle name="Comma 3" xfId="8"/>
    <cellStyle name="Comma 3 2" xfId="156"/>
    <cellStyle name="Normal" xfId="0" builtinId="0"/>
    <cellStyle name="Normal - Style1" xfId="143"/>
    <cellStyle name="Normal 10" xfId="18"/>
    <cellStyle name="Normal 10 2" xfId="32"/>
    <cellStyle name="Normal 105 2" xfId="124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44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42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45"/>
    <cellStyle name="Normal 2 4" xfId="97"/>
    <cellStyle name="Normal 2 4 2" xfId="146"/>
    <cellStyle name="Normal 2 5" xfId="98"/>
    <cellStyle name="Normal 2 5 2" xfId="157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4" xfId="131"/>
    <cellStyle name="Normal 25" xfId="13"/>
    <cellStyle name="Normal 25 2" xfId="125"/>
    <cellStyle name="Normal 26" xfId="118"/>
    <cellStyle name="Normal 26 2" xfId="135"/>
    <cellStyle name="Normal 27" xfId="116"/>
    <cellStyle name="Normal 27 2" xfId="134"/>
    <cellStyle name="Normal 28" xfId="119"/>
    <cellStyle name="Normal 28 2" xfId="128"/>
    <cellStyle name="Normal 29" xfId="126"/>
    <cellStyle name="Normal 3" xfId="7"/>
    <cellStyle name="Normal 3 11" xfId="122"/>
    <cellStyle name="Normal 3 12" xfId="120"/>
    <cellStyle name="Normal 3 13" xfId="121"/>
    <cellStyle name="Normal 3 14" xfId="123"/>
    <cellStyle name="Normal 3 2" xfId="108"/>
    <cellStyle name="Normal 3 2 2" xfId="148"/>
    <cellStyle name="Normal 3 3" xfId="109"/>
    <cellStyle name="Normal 3 3 2" xfId="149"/>
    <cellStyle name="Normal 3 4" xfId="147"/>
    <cellStyle name="Normal 30" xfId="133"/>
    <cellStyle name="Normal 31" xfId="130"/>
    <cellStyle name="Normal 32" xfId="127"/>
    <cellStyle name="Normal 33" xfId="137"/>
    <cellStyle name="Normal 34" xfId="129"/>
    <cellStyle name="Normal 35" xfId="136"/>
    <cellStyle name="Normal 4" xfId="14"/>
    <cellStyle name="Normal 4 2" xfId="110"/>
    <cellStyle name="Normal 4 3" xfId="117"/>
    <cellStyle name="Normal 4 3 2" xfId="150"/>
    <cellStyle name="Normal 5" xfId="21"/>
    <cellStyle name="Normal 5 2" xfId="111"/>
    <cellStyle name="Normal 5 3" xfId="151"/>
    <cellStyle name="Normal 6" xfId="2"/>
    <cellStyle name="Normal 6 2" xfId="132"/>
    <cellStyle name="Normal 6 2 2" xfId="152"/>
    <cellStyle name="Normal 6 3" xfId="115"/>
    <cellStyle name="Normal 6 3 2" xfId="158"/>
    <cellStyle name="Normal 6 4" xfId="140"/>
    <cellStyle name="Normal 7" xfId="1"/>
    <cellStyle name="Normal 7 2" xfId="112"/>
    <cellStyle name="Normal 7 2 2" xfId="153"/>
    <cellStyle name="Normal 7 3" xfId="15"/>
    <cellStyle name="Normal 7 3 2" xfId="159"/>
    <cellStyle name="Normal 7 4" xfId="139"/>
    <cellStyle name="Normal 8" xfId="4"/>
    <cellStyle name="Normal 8 2" xfId="6"/>
    <cellStyle name="Normal 8 2 2" xfId="113"/>
    <cellStyle name="Normal 8 2 3" xfId="154"/>
    <cellStyle name="Normal 8 3" xfId="16"/>
    <cellStyle name="Normal 8 3 2" xfId="160"/>
    <cellStyle name="Normal 8 4" xfId="141"/>
    <cellStyle name="Normal 9" xfId="17"/>
    <cellStyle name="Normal 9 2" xfId="114"/>
    <cellStyle name="Normal 9 3" xfId="155"/>
    <cellStyle name="Percent 2" xfId="9"/>
  </cellStyles>
  <dxfs count="0"/>
  <tableStyles count="0" defaultTableStyle="TableStyleMedium9" defaultPivotStyle="PivotStyleLight16"/>
  <colors>
    <mruColors>
      <color rgb="FF953735"/>
      <color rgb="FFFFB265"/>
      <color rgb="FFF79747"/>
      <color rgb="FFFABF8E"/>
      <color rgb="FFFDEADA"/>
      <color rgb="FFC9F3F1"/>
      <color rgb="FFA3FFFF"/>
      <color rgb="FF33CCCC"/>
      <color rgb="FF1C706E"/>
      <color rgb="FFE1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Stat%20Book%202016%20Final%20(4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7%20%20EDUCATION%20_OLEVEL%20STUDENTS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 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71"/>
      <sheetName val="72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>
        <row r="11">
          <cell r="D11">
            <v>3</v>
          </cell>
          <cell r="E11">
            <v>3</v>
          </cell>
          <cell r="I11">
            <v>27</v>
          </cell>
          <cell r="J11">
            <v>22</v>
          </cell>
        </row>
        <row r="13">
          <cell r="D13">
            <v>19</v>
          </cell>
          <cell r="E13">
            <v>9</v>
          </cell>
          <cell r="I13">
            <v>15</v>
          </cell>
          <cell r="J13">
            <v>31</v>
          </cell>
        </row>
        <row r="14">
          <cell r="D14">
            <v>13</v>
          </cell>
          <cell r="E14">
            <v>19</v>
          </cell>
          <cell r="I14">
            <v>16</v>
          </cell>
          <cell r="J14">
            <v>32</v>
          </cell>
        </row>
        <row r="15">
          <cell r="D15">
            <v>11</v>
          </cell>
          <cell r="E15">
            <v>13</v>
          </cell>
          <cell r="I15">
            <v>10</v>
          </cell>
          <cell r="J15">
            <v>21</v>
          </cell>
        </row>
        <row r="16">
          <cell r="D16">
            <v>9</v>
          </cell>
          <cell r="E16">
            <v>12</v>
          </cell>
          <cell r="I16">
            <v>3</v>
          </cell>
          <cell r="J16">
            <v>6</v>
          </cell>
        </row>
        <row r="17">
          <cell r="D17">
            <v>18</v>
          </cell>
          <cell r="E17">
            <v>13</v>
          </cell>
          <cell r="I17">
            <v>22</v>
          </cell>
          <cell r="J17">
            <v>25</v>
          </cell>
        </row>
        <row r="18">
          <cell r="D18">
            <v>1</v>
          </cell>
          <cell r="E18">
            <v>3</v>
          </cell>
          <cell r="I18">
            <v>10</v>
          </cell>
          <cell r="J18">
            <v>24</v>
          </cell>
        </row>
        <row r="19">
          <cell r="D19">
            <v>0</v>
          </cell>
          <cell r="E19">
            <v>9</v>
          </cell>
          <cell r="I19">
            <v>13</v>
          </cell>
          <cell r="J19">
            <v>9</v>
          </cell>
        </row>
        <row r="20">
          <cell r="D20">
            <v>0</v>
          </cell>
          <cell r="E20">
            <v>3</v>
          </cell>
          <cell r="I20">
            <v>0</v>
          </cell>
          <cell r="J20">
            <v>21</v>
          </cell>
        </row>
        <row r="21">
          <cell r="D21">
            <v>0</v>
          </cell>
          <cell r="E21">
            <v>2</v>
          </cell>
          <cell r="I21">
            <v>4</v>
          </cell>
          <cell r="J21">
            <v>9</v>
          </cell>
        </row>
        <row r="22">
          <cell r="D22">
            <v>0</v>
          </cell>
          <cell r="E22">
            <v>5</v>
          </cell>
          <cell r="I22">
            <v>5</v>
          </cell>
          <cell r="J22">
            <v>25</v>
          </cell>
        </row>
        <row r="23">
          <cell r="D23">
            <v>0</v>
          </cell>
          <cell r="E23">
            <v>0</v>
          </cell>
          <cell r="I23">
            <v>1</v>
          </cell>
          <cell r="J23">
            <v>5</v>
          </cell>
        </row>
        <row r="24">
          <cell r="D24">
            <v>0</v>
          </cell>
          <cell r="E24">
            <v>0</v>
          </cell>
          <cell r="I24">
            <v>5</v>
          </cell>
          <cell r="J24">
            <v>2</v>
          </cell>
        </row>
        <row r="25">
          <cell r="D25">
            <v>0</v>
          </cell>
          <cell r="E25">
            <v>4</v>
          </cell>
          <cell r="I25">
            <v>13</v>
          </cell>
          <cell r="J25">
            <v>0</v>
          </cell>
        </row>
        <row r="26">
          <cell r="D26">
            <v>0</v>
          </cell>
          <cell r="E26">
            <v>2</v>
          </cell>
          <cell r="I26">
            <v>1</v>
          </cell>
          <cell r="J26">
            <v>7</v>
          </cell>
        </row>
        <row r="27">
          <cell r="D27">
            <v>0</v>
          </cell>
          <cell r="E27">
            <v>2</v>
          </cell>
          <cell r="I27">
            <v>7</v>
          </cell>
          <cell r="J27">
            <v>30</v>
          </cell>
        </row>
        <row r="28">
          <cell r="D28">
            <v>0</v>
          </cell>
          <cell r="E28">
            <v>4</v>
          </cell>
          <cell r="I28">
            <v>3</v>
          </cell>
          <cell r="J28">
            <v>18</v>
          </cell>
        </row>
        <row r="29">
          <cell r="D29">
            <v>20</v>
          </cell>
          <cell r="E29">
            <v>0</v>
          </cell>
          <cell r="I29">
            <v>50</v>
          </cell>
          <cell r="J29">
            <v>8</v>
          </cell>
        </row>
        <row r="30">
          <cell r="D30">
            <v>25</v>
          </cell>
          <cell r="E30">
            <v>4</v>
          </cell>
          <cell r="I30">
            <v>49</v>
          </cell>
          <cell r="J30">
            <v>38</v>
          </cell>
        </row>
        <row r="31">
          <cell r="D31">
            <v>8</v>
          </cell>
          <cell r="E31">
            <v>0</v>
          </cell>
          <cell r="I31">
            <v>75</v>
          </cell>
          <cell r="J31">
            <v>1</v>
          </cell>
        </row>
        <row r="32">
          <cell r="D32">
            <v>11</v>
          </cell>
          <cell r="E32">
            <v>2</v>
          </cell>
          <cell r="I32">
            <v>45</v>
          </cell>
          <cell r="J32">
            <v>13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3"/>
      <sheetName val="7.14"/>
      <sheetName val="7.15"/>
      <sheetName val="7.16 &amp; 7.17"/>
      <sheetName val="7.18"/>
    </sheetNames>
    <sheetDataSet>
      <sheetData sheetId="0"/>
      <sheetData sheetId="1"/>
      <sheetData sheetId="2">
        <row r="51">
          <cell r="AA51">
            <v>2010</v>
          </cell>
          <cell r="AB51">
            <v>2011</v>
          </cell>
          <cell r="AC51">
            <v>2012</v>
          </cell>
          <cell r="AD51">
            <v>2013</v>
          </cell>
          <cell r="AE51">
            <v>2014</v>
          </cell>
          <cell r="AF51">
            <v>2015</v>
          </cell>
        </row>
        <row r="52">
          <cell r="Z52" t="str">
            <v>Republic</v>
          </cell>
          <cell r="AA52">
            <v>34.739884393063583</v>
          </cell>
          <cell r="AB52">
            <v>55.006218905472636</v>
          </cell>
          <cell r="AC52">
            <v>41.821619918058623</v>
          </cell>
          <cell r="AD52">
            <v>42.609532980259992</v>
          </cell>
          <cell r="AE52">
            <v>46.892301998519613</v>
          </cell>
          <cell r="AF52">
            <v>46</v>
          </cell>
        </row>
        <row r="53">
          <cell r="Z53" t="str">
            <v>Male'</v>
          </cell>
          <cell r="AA53">
            <v>53.695881731784581</v>
          </cell>
          <cell r="AB53">
            <v>57.991120976692571</v>
          </cell>
          <cell r="AC53">
            <v>59.810625986322982</v>
          </cell>
          <cell r="AD53">
            <v>55.791505791505791</v>
          </cell>
          <cell r="AE53">
            <v>70</v>
          </cell>
          <cell r="AF53">
            <v>62</v>
          </cell>
        </row>
        <row r="54">
          <cell r="Z54" t="str">
            <v>Atolls</v>
          </cell>
          <cell r="AA54">
            <v>27.596498209311584</v>
          </cell>
          <cell r="AB54">
            <v>29.784017278617707</v>
          </cell>
          <cell r="AC54">
            <v>34.128233970753655</v>
          </cell>
          <cell r="AD54">
            <v>36.042317864871364</v>
          </cell>
          <cell r="AE54">
            <v>38.095554420030659</v>
          </cell>
          <cell r="AF54">
            <v>38</v>
          </cell>
        </row>
      </sheetData>
      <sheetData sheetId="3"/>
      <sheetData sheetId="4">
        <row r="4">
          <cell r="E4">
            <v>2010</v>
          </cell>
          <cell r="F4">
            <v>2011</v>
          </cell>
          <cell r="G4">
            <v>2012</v>
          </cell>
          <cell r="H4">
            <v>2013</v>
          </cell>
          <cell r="I4">
            <v>2014</v>
          </cell>
        </row>
        <row r="5">
          <cell r="B5" t="str">
            <v>No Pass</v>
          </cell>
          <cell r="E5">
            <v>19</v>
          </cell>
          <cell r="F5">
            <v>17</v>
          </cell>
          <cell r="G5">
            <v>13</v>
          </cell>
          <cell r="H5">
            <v>11.8</v>
          </cell>
          <cell r="I5">
            <v>11</v>
          </cell>
        </row>
        <row r="6">
          <cell r="B6" t="str">
            <v>1 or more subject</v>
          </cell>
          <cell r="E6">
            <v>82</v>
          </cell>
          <cell r="F6">
            <v>83</v>
          </cell>
          <cell r="G6">
            <v>87</v>
          </cell>
          <cell r="H6">
            <v>86.2</v>
          </cell>
          <cell r="I6">
            <v>96.5</v>
          </cell>
        </row>
        <row r="7">
          <cell r="B7" t="str">
            <v>3 or mores subject</v>
          </cell>
          <cell r="E7">
            <v>49</v>
          </cell>
          <cell r="F7">
            <v>55</v>
          </cell>
          <cell r="G7">
            <v>59</v>
          </cell>
          <cell r="H7">
            <v>59</v>
          </cell>
          <cell r="I7">
            <v>63.6</v>
          </cell>
        </row>
        <row r="8">
          <cell r="B8" t="str">
            <v>5 or more subject</v>
          </cell>
          <cell r="E8">
            <v>35</v>
          </cell>
          <cell r="F8">
            <v>37</v>
          </cell>
          <cell r="G8">
            <v>41</v>
          </cell>
          <cell r="H8">
            <v>43</v>
          </cell>
          <cell r="I8">
            <v>46.9</v>
          </cell>
        </row>
        <row r="9">
          <cell r="B9" t="str">
            <v>8 or more subject</v>
          </cell>
          <cell r="E9">
            <v>14</v>
          </cell>
          <cell r="F9">
            <v>17</v>
          </cell>
          <cell r="G9">
            <v>19</v>
          </cell>
          <cell r="H9">
            <v>20.399999999999999</v>
          </cell>
          <cell r="I9">
            <v>21.7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V32"/>
  <sheetViews>
    <sheetView tabSelected="1" zoomScaleNormal="100" zoomScaleSheetLayoutView="100" workbookViewId="0">
      <selection activeCell="N20" sqref="N20"/>
    </sheetView>
  </sheetViews>
  <sheetFormatPr defaultColWidth="9.140625" defaultRowHeight="12.75" x14ac:dyDescent="0.25"/>
  <cols>
    <col min="1" max="1" width="11.42578125" style="29" customWidth="1"/>
    <col min="2" max="2" width="11.5703125" style="6" customWidth="1"/>
    <col min="3" max="4" width="13" style="6" customWidth="1"/>
    <col min="5" max="5" width="2.140625" style="6" customWidth="1"/>
    <col min="6" max="7" width="13.7109375" style="6" customWidth="1"/>
    <col min="8" max="10" width="14.5703125" style="6" customWidth="1"/>
    <col min="11" max="11" width="16.85546875" style="6" customWidth="1"/>
    <col min="12" max="16384" width="9.140625" style="6"/>
  </cols>
  <sheetData>
    <row r="1" spans="1:22" ht="20.25" customHeight="1" x14ac:dyDescent="0.25">
      <c r="A1" s="44" t="s">
        <v>69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38"/>
    </row>
    <row r="2" spans="1:22" s="7" customFormat="1" ht="16.5" customHeight="1" x14ac:dyDescent="0.25">
      <c r="A2" s="45" t="s">
        <v>70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22" s="7" customFormat="1" ht="5.25" customHeight="1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M3" s="43"/>
      <c r="N3" s="43"/>
      <c r="O3" s="43"/>
      <c r="P3" s="43"/>
      <c r="Q3" s="43"/>
      <c r="R3" s="43"/>
      <c r="S3" s="43"/>
      <c r="T3" s="43"/>
      <c r="U3" s="43"/>
      <c r="V3" s="43"/>
    </row>
    <row r="4" spans="1:22" ht="18.75" x14ac:dyDescent="0.25">
      <c r="A4" s="9"/>
      <c r="B4" s="9"/>
      <c r="C4" s="46" t="s">
        <v>48</v>
      </c>
      <c r="D4" s="46"/>
      <c r="E4" s="9"/>
      <c r="F4" s="47" t="s">
        <v>49</v>
      </c>
      <c r="G4" s="47"/>
      <c r="H4" s="4" t="s">
        <v>50</v>
      </c>
      <c r="I4" s="4" t="s">
        <v>51</v>
      </c>
      <c r="J4" s="4" t="s">
        <v>44</v>
      </c>
      <c r="K4" s="10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spans="1:22" ht="17.25" customHeight="1" x14ac:dyDescent="0.25">
      <c r="A5" s="11" t="s">
        <v>1</v>
      </c>
      <c r="B5" s="12" t="s">
        <v>52</v>
      </c>
      <c r="C5" s="48" t="s">
        <v>43</v>
      </c>
      <c r="D5" s="48"/>
      <c r="E5" s="9"/>
      <c r="F5" s="48" t="s">
        <v>46</v>
      </c>
      <c r="G5" s="48"/>
      <c r="H5" s="4" t="s">
        <v>45</v>
      </c>
      <c r="I5" s="4" t="s">
        <v>45</v>
      </c>
      <c r="J5" s="12" t="s">
        <v>53</v>
      </c>
      <c r="K5" s="13"/>
      <c r="M5" s="39"/>
      <c r="N5" s="39"/>
      <c r="O5" s="39"/>
      <c r="P5" s="39"/>
      <c r="Q5" s="39"/>
      <c r="R5" s="39"/>
      <c r="S5" s="39"/>
      <c r="T5" s="39"/>
      <c r="U5" s="39"/>
      <c r="V5" s="39"/>
    </row>
    <row r="6" spans="1:22" ht="18.75" x14ac:dyDescent="0.25">
      <c r="A6" s="14"/>
      <c r="B6" s="15" t="s">
        <v>0</v>
      </c>
      <c r="C6" s="4" t="s">
        <v>54</v>
      </c>
      <c r="D6" s="4" t="s">
        <v>55</v>
      </c>
      <c r="E6" s="16"/>
      <c r="F6" s="4" t="s">
        <v>54</v>
      </c>
      <c r="G6" s="4" t="s">
        <v>55</v>
      </c>
      <c r="H6" s="15" t="s">
        <v>56</v>
      </c>
      <c r="I6" s="15" t="s">
        <v>57</v>
      </c>
      <c r="J6" s="15" t="s">
        <v>47</v>
      </c>
      <c r="K6" s="12" t="s">
        <v>58</v>
      </c>
      <c r="M6" s="39"/>
      <c r="N6" s="39"/>
      <c r="O6" s="39"/>
      <c r="P6" s="39"/>
      <c r="Q6" s="39"/>
      <c r="R6" s="39"/>
      <c r="S6" s="39"/>
      <c r="T6" s="39"/>
      <c r="U6" s="39"/>
      <c r="V6" s="39"/>
    </row>
    <row r="7" spans="1:22" ht="12.75" customHeight="1" x14ac:dyDescent="0.25">
      <c r="A7" s="17"/>
      <c r="B7" s="16"/>
      <c r="C7" s="15" t="s">
        <v>59</v>
      </c>
      <c r="D7" s="15" t="s">
        <v>60</v>
      </c>
      <c r="E7" s="16"/>
      <c r="F7" s="15" t="s">
        <v>59</v>
      </c>
      <c r="G7" s="15" t="s">
        <v>60</v>
      </c>
      <c r="H7" s="15" t="s">
        <v>61</v>
      </c>
      <c r="I7" s="15" t="s">
        <v>42</v>
      </c>
      <c r="J7" s="15" t="s">
        <v>62</v>
      </c>
      <c r="K7" s="18"/>
      <c r="M7" s="15"/>
      <c r="N7" s="15"/>
      <c r="O7" s="39"/>
      <c r="P7" s="39"/>
      <c r="Q7" s="39"/>
      <c r="R7" s="39"/>
      <c r="S7" s="39"/>
      <c r="T7" s="39"/>
      <c r="U7" s="39"/>
      <c r="V7" s="39"/>
    </row>
    <row r="8" spans="1:22" ht="15" x14ac:dyDescent="0.25">
      <c r="A8" s="19" t="s">
        <v>2</v>
      </c>
      <c r="B8" s="31">
        <f>SUM(C8:G8)</f>
        <v>8957</v>
      </c>
      <c r="C8" s="32">
        <f>SUM(C9:C10)</f>
        <v>6873</v>
      </c>
      <c r="D8" s="32">
        <f>SUM(D9:D10)</f>
        <v>1116</v>
      </c>
      <c r="E8" s="32"/>
      <c r="F8" s="32">
        <f>SUM(F9:F10)</f>
        <v>512</v>
      </c>
      <c r="G8" s="32">
        <f>SUM(G9:G10)</f>
        <v>456</v>
      </c>
      <c r="H8" s="32">
        <f>SUM(H9:H10)</f>
        <v>2224</v>
      </c>
      <c r="I8" s="32">
        <f>SUM(I9:I10)</f>
        <v>6733</v>
      </c>
      <c r="J8" s="41">
        <f>H8/B8*100</f>
        <v>24.829742101149936</v>
      </c>
      <c r="K8" s="5" t="s">
        <v>3</v>
      </c>
      <c r="M8" s="35"/>
      <c r="N8" s="35"/>
      <c r="O8" s="35"/>
      <c r="P8" s="35"/>
      <c r="Q8" s="39"/>
      <c r="R8" s="39"/>
      <c r="S8" s="39"/>
      <c r="T8" s="39"/>
      <c r="U8" s="39"/>
      <c r="V8" s="39"/>
    </row>
    <row r="9" spans="1:22" ht="14.25" x14ac:dyDescent="0.25">
      <c r="A9" s="11" t="s">
        <v>4</v>
      </c>
      <c r="B9" s="33">
        <f t="shared" ref="B9:B30" si="0">SUM(C9:G9)</f>
        <v>2371</v>
      </c>
      <c r="C9" s="34">
        <v>2246</v>
      </c>
      <c r="D9" s="34">
        <v>70</v>
      </c>
      <c r="E9" s="26"/>
      <c r="F9" s="34">
        <f>'[1]46'!D11+'[1]46'!I11</f>
        <v>30</v>
      </c>
      <c r="G9" s="34">
        <f>'[1]46'!E11+'[1]46'!J11</f>
        <v>25</v>
      </c>
      <c r="H9" s="34">
        <v>392</v>
      </c>
      <c r="I9" s="34">
        <v>1979</v>
      </c>
      <c r="J9" s="40">
        <f>H9/B9*100</f>
        <v>16.533108393083086</v>
      </c>
      <c r="K9" s="2" t="s">
        <v>5</v>
      </c>
      <c r="M9" s="35"/>
      <c r="N9" s="35"/>
      <c r="O9" s="35"/>
      <c r="P9" s="35"/>
      <c r="Q9" s="39"/>
      <c r="R9" s="39"/>
      <c r="S9" s="39"/>
      <c r="T9" s="39"/>
      <c r="U9" s="39"/>
      <c r="V9" s="39"/>
    </row>
    <row r="10" spans="1:22" ht="14.25" x14ac:dyDescent="0.25">
      <c r="A10" s="11" t="s">
        <v>6</v>
      </c>
      <c r="B10" s="34">
        <f t="shared" si="0"/>
        <v>6586</v>
      </c>
      <c r="C10" s="34">
        <f>SUM(C11:C30)</f>
        <v>4627</v>
      </c>
      <c r="D10" s="34">
        <f>SUM(D11:D30)</f>
        <v>1046</v>
      </c>
      <c r="E10" s="34"/>
      <c r="F10" s="34">
        <f>SUM(F11:F30)</f>
        <v>482</v>
      </c>
      <c r="G10" s="34">
        <f>SUM(G11:G30)</f>
        <v>431</v>
      </c>
      <c r="H10" s="34">
        <f>SUM(H11:H30)</f>
        <v>1832</v>
      </c>
      <c r="I10" s="34">
        <f>SUM(I11:I30)</f>
        <v>4754</v>
      </c>
      <c r="J10" s="40">
        <f t="shared" ref="J10:J30" si="1">H10/B10*100</f>
        <v>27.816580625569387</v>
      </c>
      <c r="K10" s="2" t="s">
        <v>7</v>
      </c>
      <c r="M10" s="35"/>
      <c r="N10" s="35"/>
      <c r="O10" s="35"/>
      <c r="P10" s="35"/>
      <c r="Q10" s="39"/>
      <c r="R10" s="39"/>
      <c r="S10" s="39"/>
      <c r="T10" s="39"/>
      <c r="U10" s="39"/>
      <c r="V10" s="39"/>
    </row>
    <row r="11" spans="1:22" ht="14.25" x14ac:dyDescent="0.25">
      <c r="A11" s="20" t="s">
        <v>65</v>
      </c>
      <c r="B11" s="33">
        <f t="shared" si="0"/>
        <v>450</v>
      </c>
      <c r="C11" s="35">
        <v>258</v>
      </c>
      <c r="D11" s="35">
        <v>118</v>
      </c>
      <c r="E11" s="27"/>
      <c r="F11" s="35">
        <f>'[1]46'!D13+'[1]46'!I13</f>
        <v>34</v>
      </c>
      <c r="G11" s="35">
        <f>'[1]46'!E13+'[1]46'!J13</f>
        <v>40</v>
      </c>
      <c r="H11" s="35">
        <v>125</v>
      </c>
      <c r="I11" s="35">
        <v>325</v>
      </c>
      <c r="J11" s="35">
        <f t="shared" si="1"/>
        <v>27.777777777777779</v>
      </c>
      <c r="K11" s="3" t="s">
        <v>8</v>
      </c>
      <c r="M11" s="35"/>
      <c r="N11" s="35"/>
      <c r="O11" s="35"/>
      <c r="P11" s="35"/>
      <c r="Q11" s="39"/>
      <c r="R11" s="39"/>
      <c r="S11" s="39"/>
      <c r="T11" s="39"/>
      <c r="U11" s="39"/>
      <c r="V11" s="39"/>
    </row>
    <row r="12" spans="1:22" ht="14.25" x14ac:dyDescent="0.25">
      <c r="A12" s="20" t="s">
        <v>66</v>
      </c>
      <c r="B12" s="33">
        <f t="shared" si="0"/>
        <v>558</v>
      </c>
      <c r="C12" s="30">
        <v>345</v>
      </c>
      <c r="D12" s="30">
        <v>133</v>
      </c>
      <c r="E12" s="27"/>
      <c r="F12" s="35">
        <f>'[1]46'!D14+'[1]46'!I14</f>
        <v>29</v>
      </c>
      <c r="G12" s="35">
        <f>'[1]46'!E14+'[1]46'!J14</f>
        <v>51</v>
      </c>
      <c r="H12" s="35">
        <v>154</v>
      </c>
      <c r="I12" s="35">
        <v>404</v>
      </c>
      <c r="J12" s="35">
        <f t="shared" si="1"/>
        <v>27.598566308243726</v>
      </c>
      <c r="K12" s="3" t="s">
        <v>9</v>
      </c>
      <c r="M12" s="35"/>
      <c r="N12" s="35"/>
      <c r="O12" s="35"/>
      <c r="P12" s="35"/>
      <c r="Q12" s="39"/>
      <c r="R12" s="39"/>
      <c r="S12" s="39"/>
      <c r="T12" s="39"/>
      <c r="U12" s="39"/>
      <c r="V12" s="39"/>
    </row>
    <row r="13" spans="1:22" ht="14.25" x14ac:dyDescent="0.25">
      <c r="A13" s="20" t="s">
        <v>67</v>
      </c>
      <c r="B13" s="33">
        <f t="shared" si="0"/>
        <v>422</v>
      </c>
      <c r="C13" s="35">
        <v>299</v>
      </c>
      <c r="D13" s="35">
        <v>68</v>
      </c>
      <c r="E13" s="27"/>
      <c r="F13" s="35">
        <f>'[1]46'!D15+'[1]46'!I15</f>
        <v>21</v>
      </c>
      <c r="G13" s="35">
        <f>'[1]46'!E15+'[1]46'!J15</f>
        <v>34</v>
      </c>
      <c r="H13" s="35">
        <v>142</v>
      </c>
      <c r="I13" s="35">
        <v>280</v>
      </c>
      <c r="J13" s="35">
        <f t="shared" si="1"/>
        <v>33.649289099526065</v>
      </c>
      <c r="K13" s="3" t="s">
        <v>10</v>
      </c>
      <c r="M13" s="35"/>
      <c r="N13" s="35"/>
      <c r="O13" s="35"/>
      <c r="P13" s="35"/>
      <c r="Q13" s="39"/>
      <c r="R13" s="39"/>
      <c r="S13" s="39"/>
      <c r="T13" s="39"/>
      <c r="U13" s="39"/>
      <c r="V13" s="39"/>
    </row>
    <row r="14" spans="1:22" ht="14.25" x14ac:dyDescent="0.25">
      <c r="A14" s="20" t="s">
        <v>38</v>
      </c>
      <c r="B14" s="33">
        <f t="shared" si="0"/>
        <v>375</v>
      </c>
      <c r="C14" s="35">
        <v>275</v>
      </c>
      <c r="D14" s="35">
        <v>70</v>
      </c>
      <c r="E14" s="27"/>
      <c r="F14" s="35">
        <f>'[1]46'!D16+'[1]46'!I16</f>
        <v>12</v>
      </c>
      <c r="G14" s="35">
        <f>'[1]46'!E16+'[1]46'!J16</f>
        <v>18</v>
      </c>
      <c r="H14" s="35">
        <v>104</v>
      </c>
      <c r="I14" s="35">
        <v>271</v>
      </c>
      <c r="J14" s="35">
        <f t="shared" si="1"/>
        <v>27.733333333333331</v>
      </c>
      <c r="K14" s="3" t="s">
        <v>11</v>
      </c>
      <c r="M14" s="35"/>
      <c r="N14" s="35"/>
      <c r="O14" s="35"/>
      <c r="P14" s="35"/>
      <c r="Q14" s="39"/>
      <c r="R14" s="39"/>
      <c r="S14" s="39"/>
      <c r="T14" s="39"/>
      <c r="U14" s="39"/>
      <c r="V14" s="39"/>
    </row>
    <row r="15" spans="1:22" ht="14.25" x14ac:dyDescent="0.25">
      <c r="A15" s="20" t="s">
        <v>68</v>
      </c>
      <c r="B15" s="33">
        <f t="shared" si="0"/>
        <v>602</v>
      </c>
      <c r="C15" s="35">
        <v>373</v>
      </c>
      <c r="D15" s="35">
        <v>151</v>
      </c>
      <c r="E15" s="27"/>
      <c r="F15" s="35">
        <f>'[1]46'!D17+'[1]46'!I17</f>
        <v>40</v>
      </c>
      <c r="G15" s="35">
        <f>'[1]46'!E17+'[1]46'!J17</f>
        <v>38</v>
      </c>
      <c r="H15" s="35">
        <v>158</v>
      </c>
      <c r="I15" s="35">
        <v>444</v>
      </c>
      <c r="J15" s="35">
        <f t="shared" si="1"/>
        <v>26.245847176079735</v>
      </c>
      <c r="K15" s="3" t="s">
        <v>12</v>
      </c>
      <c r="M15" s="35"/>
      <c r="N15" s="35"/>
      <c r="O15" s="35"/>
      <c r="P15" s="35"/>
      <c r="Q15" s="39"/>
      <c r="R15" s="39"/>
      <c r="S15" s="39"/>
      <c r="T15" s="39"/>
      <c r="U15" s="39"/>
      <c r="V15" s="39"/>
    </row>
    <row r="16" spans="1:22" ht="14.25" x14ac:dyDescent="0.25">
      <c r="A16" s="20" t="s">
        <v>13</v>
      </c>
      <c r="B16" s="33">
        <f t="shared" si="0"/>
        <v>314</v>
      </c>
      <c r="C16" s="35">
        <v>206</v>
      </c>
      <c r="D16" s="35">
        <v>70</v>
      </c>
      <c r="E16" s="27"/>
      <c r="F16" s="35">
        <f>'[1]46'!D18+'[1]46'!I18</f>
        <v>11</v>
      </c>
      <c r="G16" s="35">
        <f>'[1]46'!E18+'[1]46'!J18</f>
        <v>27</v>
      </c>
      <c r="H16" s="35">
        <v>92</v>
      </c>
      <c r="I16" s="35">
        <v>222</v>
      </c>
      <c r="J16" s="35">
        <f t="shared" si="1"/>
        <v>29.29936305732484</v>
      </c>
      <c r="K16" s="3" t="s">
        <v>14</v>
      </c>
      <c r="M16" s="35"/>
      <c r="N16" s="35"/>
      <c r="O16" s="35"/>
      <c r="P16" s="35"/>
      <c r="Q16" s="39"/>
      <c r="R16" s="39"/>
      <c r="S16" s="39"/>
      <c r="T16" s="39"/>
      <c r="U16" s="39"/>
      <c r="V16" s="39"/>
    </row>
    <row r="17" spans="1:22" ht="14.25" x14ac:dyDescent="0.25">
      <c r="A17" s="20" t="s">
        <v>15</v>
      </c>
      <c r="B17" s="33">
        <f t="shared" si="0"/>
        <v>213</v>
      </c>
      <c r="C17" s="35">
        <v>159</v>
      </c>
      <c r="D17" s="35">
        <v>23</v>
      </c>
      <c r="E17" s="27"/>
      <c r="F17" s="35">
        <f>'[1]46'!D19+'[1]46'!I19</f>
        <v>13</v>
      </c>
      <c r="G17" s="35">
        <f>'[1]46'!E19+'[1]46'!J19</f>
        <v>18</v>
      </c>
      <c r="H17" s="35">
        <v>55</v>
      </c>
      <c r="I17" s="35">
        <v>158</v>
      </c>
      <c r="J17" s="35">
        <f t="shared" si="1"/>
        <v>25.821596244131456</v>
      </c>
      <c r="K17" s="3" t="s">
        <v>16</v>
      </c>
      <c r="M17" s="35"/>
      <c r="N17" s="35"/>
      <c r="O17" s="35"/>
      <c r="P17" s="35"/>
      <c r="Q17" s="39"/>
      <c r="R17" s="39"/>
      <c r="S17" s="39"/>
      <c r="T17" s="39"/>
      <c r="U17" s="39"/>
      <c r="V17" s="39"/>
    </row>
    <row r="18" spans="1:22" ht="14.25" x14ac:dyDescent="0.25">
      <c r="A18" s="20" t="s">
        <v>17</v>
      </c>
      <c r="B18" s="33">
        <f t="shared" si="0"/>
        <v>291</v>
      </c>
      <c r="C18" s="35">
        <v>230</v>
      </c>
      <c r="D18" s="35">
        <v>37</v>
      </c>
      <c r="E18" s="27"/>
      <c r="F18" s="35">
        <f>'[1]46'!D20+'[1]46'!I20</f>
        <v>0</v>
      </c>
      <c r="G18" s="35">
        <f>'[1]46'!E20+'[1]46'!J20</f>
        <v>24</v>
      </c>
      <c r="H18" s="35">
        <v>87</v>
      </c>
      <c r="I18" s="35">
        <v>204</v>
      </c>
      <c r="J18" s="35">
        <f t="shared" si="1"/>
        <v>29.896907216494846</v>
      </c>
      <c r="K18" s="3" t="s">
        <v>18</v>
      </c>
      <c r="M18" s="35"/>
      <c r="N18" s="35"/>
      <c r="O18" s="35"/>
      <c r="P18" s="35"/>
      <c r="Q18" s="39"/>
      <c r="R18" s="39"/>
      <c r="S18" s="39"/>
      <c r="T18" s="39"/>
      <c r="U18" s="39"/>
      <c r="V18" s="39"/>
    </row>
    <row r="19" spans="1:22" ht="14.25" x14ac:dyDescent="0.25">
      <c r="A19" s="20" t="s">
        <v>19</v>
      </c>
      <c r="B19" s="33">
        <f t="shared" si="0"/>
        <v>211</v>
      </c>
      <c r="C19" s="35">
        <v>133</v>
      </c>
      <c r="D19" s="35">
        <v>63</v>
      </c>
      <c r="E19" s="27"/>
      <c r="F19" s="35">
        <f>'[1]46'!D21+'[1]46'!I21</f>
        <v>4</v>
      </c>
      <c r="G19" s="35">
        <f>'[1]46'!E21+'[1]46'!J21</f>
        <v>11</v>
      </c>
      <c r="H19" s="35">
        <v>60</v>
      </c>
      <c r="I19" s="35">
        <v>151</v>
      </c>
      <c r="J19" s="35">
        <f t="shared" si="1"/>
        <v>28.436018957345972</v>
      </c>
      <c r="K19" s="3" t="s">
        <v>20</v>
      </c>
      <c r="M19" s="35"/>
      <c r="N19" s="35"/>
      <c r="O19" s="35"/>
      <c r="P19" s="35"/>
      <c r="Q19" s="39"/>
      <c r="R19" s="39"/>
      <c r="S19" s="39"/>
      <c r="T19" s="39"/>
      <c r="U19" s="39"/>
      <c r="V19" s="39"/>
    </row>
    <row r="20" spans="1:22" ht="14.25" x14ac:dyDescent="0.25">
      <c r="A20" s="20" t="s">
        <v>63</v>
      </c>
      <c r="B20" s="33">
        <f t="shared" si="0"/>
        <v>279</v>
      </c>
      <c r="C20" s="35">
        <v>187</v>
      </c>
      <c r="D20" s="35">
        <v>57</v>
      </c>
      <c r="E20" s="27"/>
      <c r="F20" s="35">
        <f>'[1]46'!D22+'[1]46'!I22</f>
        <v>5</v>
      </c>
      <c r="G20" s="35">
        <f>'[1]46'!E22+'[1]46'!J22</f>
        <v>30</v>
      </c>
      <c r="H20" s="35">
        <v>76</v>
      </c>
      <c r="I20" s="35">
        <v>203</v>
      </c>
      <c r="J20" s="35">
        <f t="shared" si="1"/>
        <v>27.24014336917563</v>
      </c>
      <c r="K20" s="3" t="s">
        <v>21</v>
      </c>
      <c r="M20" s="35"/>
      <c r="N20" s="35"/>
      <c r="O20" s="35"/>
      <c r="P20" s="35"/>
      <c r="Q20" s="39"/>
      <c r="R20" s="39"/>
      <c r="S20" s="39"/>
      <c r="T20" s="39"/>
      <c r="U20" s="39"/>
      <c r="V20" s="39"/>
    </row>
    <row r="21" spans="1:22" ht="14.25" x14ac:dyDescent="0.25">
      <c r="A21" s="20" t="s">
        <v>22</v>
      </c>
      <c r="B21" s="33">
        <f t="shared" si="0"/>
        <v>70</v>
      </c>
      <c r="C21" s="35">
        <v>53</v>
      </c>
      <c r="D21" s="35">
        <v>11</v>
      </c>
      <c r="E21" s="27"/>
      <c r="F21" s="35">
        <f>'[1]46'!D23+'[1]46'!I23</f>
        <v>1</v>
      </c>
      <c r="G21" s="35">
        <f>'[1]46'!E23+'[1]46'!J23</f>
        <v>5</v>
      </c>
      <c r="H21" s="35">
        <v>22</v>
      </c>
      <c r="I21" s="35">
        <v>48</v>
      </c>
      <c r="J21" s="35">
        <f t="shared" si="1"/>
        <v>31.428571428571427</v>
      </c>
      <c r="K21" s="3" t="s">
        <v>23</v>
      </c>
      <c r="M21" s="35"/>
      <c r="N21" s="35"/>
      <c r="O21" s="35"/>
      <c r="P21" s="35"/>
      <c r="Q21" s="39"/>
      <c r="R21" s="39"/>
      <c r="S21" s="39"/>
      <c r="T21" s="39"/>
      <c r="U21" s="39"/>
      <c r="V21" s="39"/>
    </row>
    <row r="22" spans="1:22" ht="14.25" x14ac:dyDescent="0.25">
      <c r="A22" s="20" t="s">
        <v>24</v>
      </c>
      <c r="B22" s="33">
        <f t="shared" si="0"/>
        <v>175</v>
      </c>
      <c r="C22" s="35">
        <v>146</v>
      </c>
      <c r="D22" s="35">
        <v>22</v>
      </c>
      <c r="E22" s="27"/>
      <c r="F22" s="35">
        <f>'[1]46'!D24+'[1]46'!I24</f>
        <v>5</v>
      </c>
      <c r="G22" s="35">
        <f>'[1]46'!E24+'[1]46'!J24</f>
        <v>2</v>
      </c>
      <c r="H22" s="35">
        <v>54</v>
      </c>
      <c r="I22" s="35">
        <v>121</v>
      </c>
      <c r="J22" s="35">
        <f t="shared" si="1"/>
        <v>30.857142857142854</v>
      </c>
      <c r="K22" s="3" t="s">
        <v>25</v>
      </c>
      <c r="M22" s="35"/>
      <c r="N22" s="35"/>
      <c r="O22" s="35"/>
      <c r="P22" s="35"/>
      <c r="Q22" s="39"/>
      <c r="R22" s="39"/>
      <c r="S22" s="39"/>
      <c r="T22" s="39"/>
      <c r="U22" s="39"/>
      <c r="V22" s="39"/>
    </row>
    <row r="23" spans="1:22" ht="14.25" x14ac:dyDescent="0.25">
      <c r="A23" s="20" t="s">
        <v>26</v>
      </c>
      <c r="B23" s="33">
        <f t="shared" si="0"/>
        <v>174</v>
      </c>
      <c r="C23" s="35">
        <v>133</v>
      </c>
      <c r="D23" s="35">
        <v>24</v>
      </c>
      <c r="E23" s="27"/>
      <c r="F23" s="35">
        <f>'[1]46'!D25+'[1]46'!I25</f>
        <v>13</v>
      </c>
      <c r="G23" s="35">
        <f>'[1]46'!E25+'[1]46'!J25</f>
        <v>4</v>
      </c>
      <c r="H23" s="35">
        <v>41</v>
      </c>
      <c r="I23" s="35">
        <v>133</v>
      </c>
      <c r="J23" s="35">
        <f t="shared" si="1"/>
        <v>23.563218390804597</v>
      </c>
      <c r="K23" s="3" t="s">
        <v>27</v>
      </c>
      <c r="M23" s="35"/>
      <c r="N23" s="35"/>
      <c r="O23" s="35"/>
      <c r="P23" s="35"/>
      <c r="Q23" s="39"/>
      <c r="R23" s="39"/>
      <c r="S23" s="39"/>
      <c r="T23" s="39"/>
      <c r="U23" s="39"/>
      <c r="V23" s="39"/>
    </row>
    <row r="24" spans="1:22" ht="14.25" x14ac:dyDescent="0.25">
      <c r="A24" s="20" t="s">
        <v>28</v>
      </c>
      <c r="B24" s="33">
        <f t="shared" si="0"/>
        <v>191</v>
      </c>
      <c r="C24" s="35">
        <v>144</v>
      </c>
      <c r="D24" s="35">
        <v>37</v>
      </c>
      <c r="E24" s="27"/>
      <c r="F24" s="35">
        <f>'[1]46'!D26+'[1]46'!I26</f>
        <v>1</v>
      </c>
      <c r="G24" s="35">
        <f>'[1]46'!E26+'[1]46'!J26</f>
        <v>9</v>
      </c>
      <c r="H24" s="35">
        <v>55</v>
      </c>
      <c r="I24" s="35">
        <v>136</v>
      </c>
      <c r="J24" s="35">
        <f t="shared" si="1"/>
        <v>28.795811518324609</v>
      </c>
      <c r="K24" s="3" t="s">
        <v>29</v>
      </c>
      <c r="M24" s="35"/>
      <c r="N24" s="35"/>
      <c r="O24" s="35"/>
      <c r="P24" s="35"/>
      <c r="Q24" s="39"/>
      <c r="R24" s="39"/>
      <c r="S24" s="39"/>
      <c r="T24" s="39"/>
      <c r="U24" s="39"/>
      <c r="V24" s="39"/>
    </row>
    <row r="25" spans="1:22" ht="14.25" x14ac:dyDescent="0.25">
      <c r="A25" s="20" t="s">
        <v>30</v>
      </c>
      <c r="B25" s="33">
        <f t="shared" si="0"/>
        <v>349</v>
      </c>
      <c r="C25" s="35">
        <v>264</v>
      </c>
      <c r="D25" s="35">
        <v>46</v>
      </c>
      <c r="E25" s="27"/>
      <c r="F25" s="35">
        <f>'[1]46'!D27+'[1]46'!I27</f>
        <v>7</v>
      </c>
      <c r="G25" s="35">
        <f>'[1]46'!E27+'[1]46'!J27</f>
        <v>32</v>
      </c>
      <c r="H25" s="35">
        <v>115</v>
      </c>
      <c r="I25" s="35">
        <v>234</v>
      </c>
      <c r="J25" s="35">
        <f t="shared" si="1"/>
        <v>32.951289398280807</v>
      </c>
      <c r="K25" s="3" t="s">
        <v>31</v>
      </c>
      <c r="M25" s="35"/>
      <c r="N25" s="35"/>
      <c r="O25" s="35"/>
      <c r="P25" s="35"/>
      <c r="Q25" s="39"/>
      <c r="R25" s="39"/>
      <c r="S25" s="39"/>
      <c r="T25" s="39"/>
      <c r="U25" s="39"/>
      <c r="V25" s="39"/>
    </row>
    <row r="26" spans="1:22" ht="14.25" x14ac:dyDescent="0.25">
      <c r="A26" s="20" t="s">
        <v>16</v>
      </c>
      <c r="B26" s="33">
        <f t="shared" si="0"/>
        <v>395</v>
      </c>
      <c r="C26" s="35">
        <v>322</v>
      </c>
      <c r="D26" s="35">
        <v>48</v>
      </c>
      <c r="E26" s="27"/>
      <c r="F26" s="35">
        <f>'[1]46'!D28+'[1]46'!I28</f>
        <v>3</v>
      </c>
      <c r="G26" s="35">
        <f>'[1]46'!E28+'[1]46'!J28</f>
        <v>22</v>
      </c>
      <c r="H26" s="35">
        <v>118</v>
      </c>
      <c r="I26" s="35">
        <v>277</v>
      </c>
      <c r="J26" s="35">
        <f t="shared" si="1"/>
        <v>29.873417721518987</v>
      </c>
      <c r="K26" s="3" t="s">
        <v>32</v>
      </c>
      <c r="M26" s="35"/>
      <c r="N26" s="35"/>
      <c r="O26" s="35"/>
      <c r="P26" s="35"/>
      <c r="Q26" s="39"/>
      <c r="R26" s="39"/>
      <c r="S26" s="39"/>
      <c r="T26" s="39"/>
      <c r="U26" s="39"/>
      <c r="V26" s="39"/>
    </row>
    <row r="27" spans="1:22" ht="14.25" x14ac:dyDescent="0.25">
      <c r="A27" s="20" t="s">
        <v>33</v>
      </c>
      <c r="B27" s="33">
        <f t="shared" si="0"/>
        <v>284</v>
      </c>
      <c r="C27" s="35">
        <v>192</v>
      </c>
      <c r="D27" s="35">
        <v>14</v>
      </c>
      <c r="E27" s="27"/>
      <c r="F27" s="35">
        <f>'[1]46'!D29+'[1]46'!I29</f>
        <v>70</v>
      </c>
      <c r="G27" s="35">
        <f>'[1]46'!E29+'[1]46'!J29</f>
        <v>8</v>
      </c>
      <c r="H27" s="35">
        <v>79</v>
      </c>
      <c r="I27" s="35">
        <v>205</v>
      </c>
      <c r="J27" s="35">
        <f t="shared" si="1"/>
        <v>27.816901408450708</v>
      </c>
      <c r="K27" s="3" t="s">
        <v>34</v>
      </c>
      <c r="M27" s="35"/>
      <c r="N27" s="35"/>
      <c r="O27" s="35"/>
      <c r="P27" s="35"/>
      <c r="Q27" s="39"/>
      <c r="R27" s="39"/>
      <c r="S27" s="39"/>
      <c r="T27" s="39"/>
      <c r="U27" s="39"/>
      <c r="V27" s="39"/>
    </row>
    <row r="28" spans="1:22" ht="14.25" x14ac:dyDescent="0.25">
      <c r="A28" s="20" t="s">
        <v>35</v>
      </c>
      <c r="B28" s="33">
        <f t="shared" si="0"/>
        <v>447</v>
      </c>
      <c r="C28" s="35">
        <v>304</v>
      </c>
      <c r="D28" s="35">
        <v>27</v>
      </c>
      <c r="E28" s="27"/>
      <c r="F28" s="35">
        <f>'[1]46'!D30+'[1]46'!I30</f>
        <v>74</v>
      </c>
      <c r="G28" s="35">
        <f>'[1]46'!E30+'[1]46'!J30</f>
        <v>42</v>
      </c>
      <c r="H28" s="35">
        <v>153</v>
      </c>
      <c r="I28" s="35">
        <v>294</v>
      </c>
      <c r="J28" s="35">
        <f t="shared" si="1"/>
        <v>34.228187919463089</v>
      </c>
      <c r="K28" s="3" t="s">
        <v>36</v>
      </c>
      <c r="M28" s="35"/>
      <c r="N28" s="35"/>
      <c r="O28" s="35"/>
      <c r="P28" s="35"/>
      <c r="Q28" s="39"/>
      <c r="R28" s="39"/>
      <c r="S28" s="39"/>
      <c r="T28" s="39"/>
      <c r="U28" s="39"/>
      <c r="V28" s="39"/>
    </row>
    <row r="29" spans="1:22" ht="14.25" x14ac:dyDescent="0.25">
      <c r="A29" s="20" t="s">
        <v>37</v>
      </c>
      <c r="B29" s="33">
        <f t="shared" si="0"/>
        <v>204</v>
      </c>
      <c r="C29" s="35">
        <v>106</v>
      </c>
      <c r="D29" s="35">
        <v>14</v>
      </c>
      <c r="E29" s="27"/>
      <c r="F29" s="35">
        <f>'[1]46'!D31+'[1]46'!I31</f>
        <v>83</v>
      </c>
      <c r="G29" s="35">
        <f>'[1]46'!E31+'[1]46'!J31</f>
        <v>1</v>
      </c>
      <c r="H29" s="35">
        <v>15</v>
      </c>
      <c r="I29" s="35">
        <v>189</v>
      </c>
      <c r="J29" s="35">
        <f t="shared" si="1"/>
        <v>7.3529411764705888</v>
      </c>
      <c r="K29" s="3" t="s">
        <v>38</v>
      </c>
      <c r="M29" s="35"/>
      <c r="N29" s="35"/>
      <c r="O29" s="35"/>
      <c r="P29" s="35"/>
      <c r="Q29" s="39"/>
      <c r="R29" s="39"/>
      <c r="S29" s="39"/>
      <c r="T29" s="39"/>
      <c r="U29" s="39"/>
      <c r="V29" s="39"/>
    </row>
    <row r="30" spans="1:22" ht="14.25" x14ac:dyDescent="0.25">
      <c r="A30" s="21" t="s">
        <v>10</v>
      </c>
      <c r="B30" s="36">
        <f t="shared" si="0"/>
        <v>582</v>
      </c>
      <c r="C30" s="37">
        <v>498</v>
      </c>
      <c r="D30" s="37">
        <v>13</v>
      </c>
      <c r="E30" s="28"/>
      <c r="F30" s="37">
        <f>'[1]46'!D32+'[1]46'!I32</f>
        <v>56</v>
      </c>
      <c r="G30" s="37">
        <f>'[1]46'!E32+'[1]46'!J32</f>
        <v>15</v>
      </c>
      <c r="H30" s="37">
        <v>127</v>
      </c>
      <c r="I30" s="37">
        <v>455</v>
      </c>
      <c r="J30" s="42">
        <f t="shared" si="1"/>
        <v>21.821305841924399</v>
      </c>
      <c r="K30" s="22" t="s">
        <v>39</v>
      </c>
      <c r="M30" s="35"/>
      <c r="N30" s="35"/>
      <c r="O30" s="35"/>
      <c r="P30" s="35"/>
      <c r="Q30" s="39"/>
      <c r="R30" s="39"/>
      <c r="S30" s="39"/>
      <c r="T30" s="39"/>
      <c r="U30" s="39"/>
      <c r="V30" s="39"/>
    </row>
    <row r="31" spans="1:22" ht="17.25" x14ac:dyDescent="0.45">
      <c r="A31" s="23" t="s">
        <v>71</v>
      </c>
      <c r="K31" s="24" t="s">
        <v>64</v>
      </c>
      <c r="M31" s="39"/>
      <c r="N31" s="39"/>
      <c r="O31" s="39"/>
      <c r="P31" s="39"/>
      <c r="Q31" s="39"/>
      <c r="R31" s="39"/>
      <c r="S31" s="39"/>
      <c r="T31" s="39"/>
      <c r="U31" s="39"/>
      <c r="V31" s="39"/>
    </row>
    <row r="32" spans="1:22" ht="15" x14ac:dyDescent="0.25">
      <c r="A32" s="25" t="s">
        <v>40</v>
      </c>
      <c r="K32" s="1" t="s">
        <v>41</v>
      </c>
      <c r="M32" s="39"/>
      <c r="N32" s="39"/>
      <c r="O32" s="39"/>
      <c r="P32" s="39"/>
      <c r="Q32" s="39"/>
      <c r="R32" s="39"/>
      <c r="S32" s="39"/>
      <c r="T32" s="39"/>
      <c r="U32" s="39"/>
      <c r="V32" s="39"/>
    </row>
  </sheetData>
  <mergeCells count="6">
    <mergeCell ref="A1:K1"/>
    <mergeCell ref="A2:K2"/>
    <mergeCell ref="C4:D4"/>
    <mergeCell ref="F4:G4"/>
    <mergeCell ref="C5:D5"/>
    <mergeCell ref="F5:G5"/>
  </mergeCells>
  <pageMargins left="0.25" right="0.27" top="0.75" bottom="0.75" header="0.3" footer="0.3"/>
  <pageSetup paperSize="9" orientation="landscape" horizontalDpi="4294967295" verticalDpi="4294967295" r:id="rId1"/>
  <ignoredErrors>
    <ignoredError sqref="K10 K29 K28 K24 K8 K9 K11:K23 K30 K25:K2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7.8</vt:lpstr>
      <vt:lpstr>'7.8'!Print_Area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2017-06-08T07:51:22Z</cp:lastPrinted>
  <dcterms:created xsi:type="dcterms:W3CDTF">2014-03-05T03:36:41Z</dcterms:created>
  <dcterms:modified xsi:type="dcterms:W3CDTF">2017-06-08T07:51:25Z</dcterms:modified>
</cp:coreProperties>
</file>