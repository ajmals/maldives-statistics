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21" sheetId="33" r:id="rId1"/>
  </sheets>
  <definedNames>
    <definedName name="_xlnm.Print_Area" localSheetId="0">'7.21'!$A$1:$AA$48</definedName>
  </definedNames>
  <calcPr calcId="162913"/>
</workbook>
</file>

<file path=xl/calcChain.xml><?xml version="1.0" encoding="utf-8"?>
<calcChain xmlns="http://schemas.openxmlformats.org/spreadsheetml/2006/main">
  <c r="X13" i="33" l="1"/>
  <c r="X23" i="33" l="1"/>
  <c r="T23" i="33"/>
  <c r="X22" i="33"/>
  <c r="T22" i="33"/>
  <c r="X21" i="33"/>
  <c r="T21" i="33"/>
  <c r="X20" i="33"/>
  <c r="T20" i="33"/>
  <c r="X19" i="33"/>
  <c r="T19" i="33"/>
  <c r="X18" i="33"/>
  <c r="T18" i="33"/>
  <c r="X17" i="33"/>
  <c r="T17" i="33"/>
  <c r="P17" i="33"/>
  <c r="L17" i="33"/>
  <c r="H17" i="33"/>
  <c r="D17" i="33"/>
  <c r="X16" i="33"/>
  <c r="T16" i="33"/>
  <c r="X15" i="33"/>
  <c r="T15" i="33"/>
  <c r="X14" i="33"/>
  <c r="Z13" i="33"/>
  <c r="Y13" i="33"/>
  <c r="V13" i="33"/>
  <c r="U13" i="33"/>
  <c r="X12" i="33"/>
  <c r="X11" i="33"/>
  <c r="T11" i="33"/>
  <c r="X10" i="33"/>
  <c r="T10" i="33"/>
  <c r="X9" i="33"/>
  <c r="T9" i="33"/>
  <c r="X8" i="33"/>
  <c r="T8" i="33"/>
  <c r="Z7" i="33"/>
  <c r="Y7" i="33"/>
  <c r="V7" i="33"/>
  <c r="U7" i="33"/>
  <c r="V6" i="33" l="1"/>
  <c r="Y6" i="33"/>
  <c r="AE6" i="33" s="1"/>
  <c r="T13" i="33"/>
  <c r="U6" i="33"/>
  <c r="X6" i="33"/>
  <c r="X7" i="33"/>
  <c r="T7" i="33"/>
  <c r="Z6" i="33"/>
  <c r="AF6" i="33" s="1"/>
  <c r="AG6" i="33" l="1"/>
  <c r="AE9" i="33" s="1"/>
  <c r="AF9" i="33"/>
  <c r="T6" i="33"/>
</calcChain>
</file>

<file path=xl/sharedStrings.xml><?xml version="1.0" encoding="utf-8"?>
<sst xmlns="http://schemas.openxmlformats.org/spreadsheetml/2006/main" count="85" uniqueCount="46">
  <si>
    <t>cscnijed</t>
  </si>
  <si>
    <t>cnehirif</t>
  </si>
  <si>
    <t>cnehcnwa</t>
  </si>
  <si>
    <t>Both Sexes</t>
  </si>
  <si>
    <t>Male</t>
  </si>
  <si>
    <t>Female</t>
  </si>
  <si>
    <t>Total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</si>
  <si>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</si>
  <si>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</si>
  <si>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</si>
  <si>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</si>
  <si>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</si>
  <si>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</si>
  <si>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10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</si>
  <si>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</si>
  <si>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rFont val="Faruma"/>
      </rPr>
      <t xml:space="preserve">ޑިޕްލޮމާ ކޯސް </t>
    </r>
    <r>
      <rPr>
        <sz val="10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</si>
  <si>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</si>
  <si>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rFont val="Faruma"/>
      </rPr>
      <t>ޑިޕްލޮމާ ކޯސް</t>
    </r>
    <r>
      <rPr>
        <sz val="10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</si>
  <si>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</si>
  <si>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</si>
  <si>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</si>
  <si>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rFont val="Faruma"/>
      </rPr>
      <t>ސެޓްފިކެޓް ޓްރީ ކޯސް</t>
    </r>
    <r>
      <rPr>
        <sz val="10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</si>
  <si>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</si>
  <si>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</si>
  <si>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</si>
  <si>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</t>
    </r>
  </si>
  <si>
    <t xml:space="preserve">   Certificate 1 Course (1 Month)</t>
  </si>
  <si>
    <r>
      <t xml:space="preserve">(Wtcfwh 1 ) </t>
    </r>
    <r>
      <rPr>
        <sz val="10"/>
        <rFont val="Faruma"/>
      </rPr>
      <t>ސެޓްފިކެޓް ވަން ކޯސް</t>
    </r>
    <r>
      <rPr>
        <sz val="10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</si>
  <si>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</si>
  <si>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</si>
  <si>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</si>
  <si>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</si>
  <si>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</si>
  <si>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</si>
  <si>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 xml:space="preserve">Out Reach Centre </t>
  </si>
  <si>
    <t>އައުޓްރީޗް ސެންޓަރ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</si>
  <si>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</si>
  <si>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</si>
  <si>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</si>
  <si>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</si>
  <si>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</si>
  <si>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</si>
  <si>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</si>
  <si>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</si>
  <si>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 xml:space="preserve"> 2016 - 2014 ,udwdwA egcnidukWvwyik cniaWriaWd egumIluAwt Incnwf cnutogeguscnij  : 7.21 ulwvWt</t>
  </si>
  <si>
    <t>Table 7.21: STUDENT ENROLMENT IN TECHNICAL EDUCATION BY SEX, 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</si>
</sst>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name val="Faruma"/>
    </font>
    <font>
      <b/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6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7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8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63">
    <xf numFmtId="0" fontId="0" fillId="0" borderId="0" xfId="0"/>
    <xf numFmtId="38" fontId="4" fillId="2" borderId="0" xfId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2" fillId="2" borderId="0" xfId="2" applyNumberFormat="1" applyFill="1"/>
    <xf numFmtId="165" fontId="5" fillId="2" borderId="3" xfId="140" applyNumberFormat="1" applyFont="1" applyFill="1" applyBorder="1" applyAlignment="1">
      <alignment horizontal="center"/>
    </xf>
    <xf numFmtId="165" fontId="4" fillId="2" borderId="3" xfId="140" applyNumberFormat="1" applyFont="1" applyFill="1" applyBorder="1" applyAlignment="1">
      <alignment horizontal="center"/>
    </xf>
    <xf numFmtId="165" fontId="5" fillId="2" borderId="3" xfId="140" applyNumberFormat="1" applyFont="1" applyFill="1" applyBorder="1" applyAlignment="1"/>
    <xf numFmtId="165" fontId="2" fillId="2" borderId="0" xfId="2" applyNumberFormat="1" applyFont="1" applyFill="1"/>
    <xf numFmtId="165" fontId="7" fillId="2" borderId="2" xfId="140" applyNumberFormat="1" applyFont="1" applyFill="1" applyBorder="1" applyAlignment="1">
      <alignment horizontal="right" vertical="center"/>
    </xf>
    <xf numFmtId="165" fontId="7" fillId="2" borderId="0" xfId="140" applyNumberFormat="1" applyFont="1" applyFill="1" applyBorder="1" applyAlignment="1">
      <alignment horizontal="right" vertical="center"/>
    </xf>
    <xf numFmtId="165" fontId="5" fillId="2" borderId="0" xfId="140" applyNumberFormat="1" applyFont="1" applyFill="1" applyBorder="1" applyAlignment="1">
      <alignment horizontal="right" vertical="center"/>
    </xf>
    <xf numFmtId="165" fontId="2" fillId="2" borderId="0" xfId="2" applyNumberFormat="1" applyFont="1" applyFill="1" applyAlignment="1">
      <alignment horizontal="center" vertical="center"/>
    </xf>
    <xf numFmtId="165" fontId="5" fillId="2" borderId="2" xfId="140" applyNumberFormat="1" applyFont="1" applyFill="1" applyBorder="1" applyAlignment="1">
      <alignment horizontal="right" vertical="center" wrapText="1"/>
    </xf>
    <xf numFmtId="165" fontId="4" fillId="2" borderId="2" xfId="140" applyNumberFormat="1" applyFont="1" applyFill="1" applyBorder="1" applyAlignment="1">
      <alignment horizontal="right" vertical="center" wrapText="1"/>
    </xf>
    <xf numFmtId="165" fontId="5" fillId="2" borderId="2" xfId="140" applyNumberFormat="1" applyFont="1" applyFill="1" applyBorder="1" applyAlignment="1">
      <alignment horizontal="center" vertical="center" wrapText="1"/>
    </xf>
    <xf numFmtId="165" fontId="4" fillId="2" borderId="0" xfId="140" applyNumberFormat="1" applyFont="1" applyFill="1" applyAlignment="1">
      <alignment horizontal="left" vertical="center"/>
    </xf>
    <xf numFmtId="165" fontId="4" fillId="2" borderId="0" xfId="140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vertical="center"/>
    </xf>
    <xf numFmtId="165" fontId="8" fillId="2" borderId="0" xfId="140" applyNumberFormat="1" applyFont="1" applyFill="1" applyAlignment="1">
      <alignment horizontal="right" vertical="center"/>
    </xf>
    <xf numFmtId="165" fontId="9" fillId="2" borderId="0" xfId="140" applyNumberFormat="1" applyFont="1" applyFill="1" applyAlignment="1">
      <alignment horizontal="left" vertical="center"/>
    </xf>
    <xf numFmtId="165" fontId="9" fillId="2" borderId="0" xfId="140" quotePrefix="1" applyNumberFormat="1" applyFont="1" applyFill="1" applyBorder="1" applyAlignment="1">
      <alignment horizontal="right" vertical="center"/>
    </xf>
    <xf numFmtId="165" fontId="10" fillId="2" borderId="0" xfId="140" applyNumberFormat="1" applyFont="1" applyFill="1" applyBorder="1" applyAlignment="1">
      <alignment horizontal="right" vertical="center"/>
    </xf>
    <xf numFmtId="165" fontId="11" fillId="2" borderId="0" xfId="140" applyNumberFormat="1" applyFont="1" applyFill="1" applyAlignment="1">
      <alignment horizontal="right" vertical="center"/>
    </xf>
    <xf numFmtId="165" fontId="10" fillId="2" borderId="0" xfId="140" quotePrefix="1" applyNumberFormat="1" applyFont="1" applyFill="1" applyBorder="1" applyAlignment="1">
      <alignment horizontal="right" vertical="center"/>
    </xf>
    <xf numFmtId="165" fontId="6" fillId="2" borderId="0" xfId="140" applyNumberFormat="1" applyFont="1" applyFill="1" applyAlignment="1">
      <alignment horizontal="right" vertical="center"/>
    </xf>
    <xf numFmtId="165" fontId="12" fillId="2" borderId="0" xfId="2" applyNumberFormat="1" applyFont="1" applyFill="1"/>
    <xf numFmtId="165" fontId="9" fillId="2" borderId="0" xfId="140" applyNumberFormat="1" applyFont="1" applyFill="1" applyBorder="1" applyAlignment="1">
      <alignment horizontal="righ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8" fillId="2" borderId="0" xfId="140" applyNumberFormat="1" applyFont="1" applyFill="1" applyBorder="1" applyAlignment="1">
      <alignment horizontal="righ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right" vertical="center"/>
    </xf>
    <xf numFmtId="38" fontId="4" fillId="2" borderId="2" xfId="1" applyNumberFormat="1" applyFont="1" applyFill="1" applyBorder="1" applyAlignment="1">
      <alignment horizontal="right" vertical="center"/>
    </xf>
    <xf numFmtId="165" fontId="5" fillId="2" borderId="2" xfId="140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>
      <alignment vertical="center"/>
    </xf>
    <xf numFmtId="165" fontId="8" fillId="2" borderId="2" xfId="140" applyNumberFormat="1" applyFont="1" applyFill="1" applyBorder="1" applyAlignment="1">
      <alignment horizontal="right" vertical="center"/>
    </xf>
    <xf numFmtId="165" fontId="20" fillId="2" borderId="0" xfId="140" applyNumberFormat="1" applyFont="1" applyFill="1" applyBorder="1" applyAlignment="1">
      <alignment horizontal="left" vertical="center"/>
    </xf>
    <xf numFmtId="165" fontId="19" fillId="2" borderId="0" xfId="140" applyNumberFormat="1" applyFont="1" applyFill="1" applyBorder="1" applyAlignment="1">
      <alignment horizontal="right" vertical="center"/>
    </xf>
    <xf numFmtId="165" fontId="13" fillId="2" borderId="0" xfId="140" applyNumberFormat="1" applyFont="1" applyFill="1"/>
    <xf numFmtId="165" fontId="10" fillId="2" borderId="0" xfId="140" applyNumberFormat="1" applyFont="1" applyFill="1"/>
    <xf numFmtId="165" fontId="10" fillId="2" borderId="0" xfId="140" applyNumberFormat="1" applyFont="1" applyFill="1" applyAlignment="1">
      <alignment horizontal="right"/>
    </xf>
    <xf numFmtId="165" fontId="10" fillId="2" borderId="0" xfId="140" applyNumberFormat="1" applyFont="1" applyFill="1" applyAlignment="1"/>
    <xf numFmtId="165" fontId="19" fillId="2" borderId="0" xfId="140" applyNumberFormat="1" applyFont="1" applyFill="1" applyAlignment="1">
      <alignment horizontal="right"/>
    </xf>
    <xf numFmtId="165" fontId="2" fillId="2" borderId="0" xfId="140" applyNumberFormat="1" applyFont="1" applyFill="1"/>
    <xf numFmtId="165" fontId="2" fillId="2" borderId="0" xfId="140" applyNumberFormat="1" applyFont="1" applyFill="1" applyAlignment="1">
      <alignment horizontal="right"/>
    </xf>
    <xf numFmtId="165" fontId="2" fillId="2" borderId="0" xfId="140" applyNumberFormat="1" applyFont="1" applyFill="1" applyAlignment="1"/>
    <xf numFmtId="165" fontId="2" fillId="2" borderId="0" xfId="2" applyNumberFormat="1" applyFill="1" applyAlignment="1">
      <alignment horizontal="right"/>
    </xf>
    <xf numFmtId="165" fontId="2" fillId="2" borderId="0" xfId="2" applyNumberFormat="1" applyFill="1" applyAlignment="1"/>
    <xf numFmtId="165" fontId="4" fillId="3" borderId="2" xfId="140" applyNumberFormat="1" applyFont="1" applyFill="1" applyBorder="1" applyAlignment="1">
      <alignment horizontal="right" vertical="center" wrapText="1"/>
    </xf>
    <xf numFmtId="1" fontId="2" fillId="3" borderId="0" xfId="2" applyNumberFormat="1" applyFont="1" applyFill="1"/>
    <xf numFmtId="165" fontId="2" fillId="3" borderId="0" xfId="2" applyNumberFormat="1" applyFont="1" applyFill="1"/>
    <xf numFmtId="165" fontId="4" fillId="3" borderId="0" xfId="140" applyNumberFormat="1" applyFont="1" applyFill="1" applyAlignment="1">
      <alignment horizontal="left" vertical="center"/>
    </xf>
    <xf numFmtId="165" fontId="3" fillId="2" borderId="0" xfId="140" applyNumberFormat="1" applyFont="1" applyFill="1" applyAlignment="1">
      <alignment horizontal="center"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3" fillId="2" borderId="0" xfId="140" applyNumberFormat="1" applyFont="1" applyFill="1" applyAlignment="1">
      <alignment horizontal="center" vertical="center"/>
    </xf>
    <xf numFmtId="165" fontId="14" fillId="2" borderId="2" xfId="140" applyNumberFormat="1" applyFont="1" applyFill="1" applyBorder="1" applyAlignment="1">
      <alignment horizontal="center" vertical="top"/>
    </xf>
    <xf numFmtId="165" fontId="4" fillId="2" borderId="3" xfId="140" applyNumberFormat="1" applyFont="1" applyFill="1" applyBorder="1" applyAlignment="1">
      <alignment horizontal="lef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1" xfId="140" applyNumberFormat="1" applyFont="1" applyFill="1" applyBorder="1" applyAlignment="1">
      <alignment horizontal="center"/>
    </xf>
    <xf numFmtId="165" fontId="6" fillId="2" borderId="3" xfId="140" applyNumberFormat="1" applyFont="1" applyFill="1" applyBorder="1" applyAlignment="1">
      <alignment horizontal="right"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6" fillId="2" borderId="2" xfId="140" applyNumberFormat="1" applyFont="1" applyFill="1" applyBorder="1" applyAlignment="1">
      <alignment horizontal="right" vertical="center"/>
    </xf>
    <xf numFmtId="165" fontId="14" fillId="2" borderId="0" xfId="140" applyNumberFormat="1" applyFont="1" applyFill="1" applyBorder="1" applyAlignment="1">
      <alignment horizontal="center" vertical="top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630358705161854"/>
          <c:y val="0.17394257061150939"/>
          <c:w val="0.40089934488518536"/>
          <c:h val="0.78743824186155831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F797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DE-4EA5-8C91-FD4CAA96D313}"/>
              </c:ext>
            </c:extLst>
          </c:dPt>
          <c:dPt>
            <c:idx val="1"/>
            <c:bubble3D val="0"/>
            <c:spPr>
              <a:solidFill>
                <a:srgbClr val="9537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DE-4EA5-8C91-FD4CAA96D313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EDE-4EA5-8C91-FD4CAA96D3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'7.21'!$AE$8:$AF$8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'7.21'!$AE$9:$AF$9</c:f>
              <c:numCache>
                <c:formatCode>0</c:formatCode>
                <c:ptCount val="2"/>
                <c:pt idx="0">
                  <c:v>92.691839220462839</c:v>
                </c:pt>
                <c:pt idx="1">
                  <c:v>7.3081607795371495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DE-4EA5-8C91-FD4CAA96D3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2714625</xdr:colOff>
      <xdr:row>25</xdr:row>
      <xdr:rowOff>95249</xdr:rowOff>
    </xdr:from>
    <xdr:to>
      <xdr:col>26</xdr:col>
      <xdr:colOff>1609725</xdr:colOff>
      <xdr:row>46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27</xdr:row>
      <xdr:rowOff>142875</xdr:rowOff>
    </xdr:from>
    <xdr:to>
      <xdr:col>26</xdr:col>
      <xdr:colOff>1352550</xdr:colOff>
      <xdr:row>27</xdr:row>
      <xdr:rowOff>142875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990850" y="6172200"/>
          <a:ext cx="67818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0.03255</cdr:x>
      <cdr:y>0.03582</cdr:y>
    </cdr:from>
    <cdr:to>
      <cdr:x>0.9976</cdr:x>
      <cdr:y>0.13134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8125" y="114302"/>
          <a:ext cx="7059531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onsolas" pitchFamily="49" charset="0"/>
              <a:cs typeface="Consolas" pitchFamily="49" charset="0"/>
            </a:rPr>
            <a:t>Figure 7.20: Percentage share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 enrolment in technical Education by sex, 2016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376"/>
  <sheetViews>
    <sheetView tabSelected="1" topLeftCell="A4" zoomScaleNormal="100" workbookViewId="0">
      <selection activeCell="AB38" sqref="AB38"/>
    </sheetView>
  </sheetViews>
  <sheetFormatPr defaultRowHeight="12" x14ac:dyDescent="0.15"/>
  <cols>
    <col min="1" max="1" width="41.140625" style="3" customWidth="1"/>
    <col min="2" max="2" width="0.140625" style="3" hidden="1" customWidth="1"/>
    <col min="3" max="3" width="1.85546875" style="45" hidden="1" customWidth="1"/>
    <col min="4" max="4" width="10.7109375" style="3" hidden="1" customWidth="1"/>
    <col min="5" max="5" width="7.7109375" style="3" hidden="1" customWidth="1"/>
    <col min="6" max="6" width="8.140625" style="45" hidden="1" customWidth="1"/>
    <col min="7" max="7" width="1.85546875" style="45" hidden="1" customWidth="1"/>
    <col min="8" max="8" width="10.5703125" style="3" hidden="1" customWidth="1"/>
    <col min="9" max="9" width="7.7109375" style="3" hidden="1" customWidth="1"/>
    <col min="10" max="10" width="8.140625" style="45" hidden="1" customWidth="1"/>
    <col min="11" max="11" width="1.85546875" style="45" hidden="1" customWidth="1"/>
    <col min="12" max="12" width="11" style="3" hidden="1" customWidth="1"/>
    <col min="13" max="13" width="7.7109375" style="3" hidden="1" customWidth="1"/>
    <col min="14" max="14" width="8.140625" style="45" hidden="1" customWidth="1"/>
    <col min="15" max="15" width="2.5703125" style="3" hidden="1" customWidth="1"/>
    <col min="16" max="16" width="11" style="3" customWidth="1"/>
    <col min="17" max="17" width="7.7109375" style="3" customWidth="1"/>
    <col min="18" max="18" width="8.140625" style="45" customWidth="1"/>
    <col min="19" max="19" width="2.5703125" style="3" customWidth="1"/>
    <col min="20" max="20" width="11" style="3" customWidth="1"/>
    <col min="21" max="21" width="7.7109375" style="3" customWidth="1"/>
    <col min="22" max="22" width="8.140625" style="45" customWidth="1"/>
    <col min="23" max="23" width="2" style="46" customWidth="1"/>
    <col min="24" max="24" width="11" style="3" customWidth="1"/>
    <col min="25" max="25" width="7.7109375" style="3" customWidth="1"/>
    <col min="26" max="26" width="8.140625" style="45" customWidth="1"/>
    <col min="27" max="28" width="54.5703125" style="3" customWidth="1"/>
    <col min="29" max="29" width="49.7109375" style="3" customWidth="1"/>
    <col min="30" max="276" width="9.140625" style="3"/>
    <col min="277" max="277" width="43.28515625" style="3" customWidth="1"/>
    <col min="278" max="278" width="5.85546875" style="3" customWidth="1"/>
    <col min="279" max="279" width="6.28515625" style="3" customWidth="1"/>
    <col min="280" max="280" width="7.7109375" style="3" customWidth="1"/>
    <col min="281" max="281" width="8.140625" style="3" customWidth="1"/>
    <col min="282" max="282" width="2.5703125" style="3" customWidth="1"/>
    <col min="283" max="283" width="6.5703125" style="3" customWidth="1"/>
    <col min="284" max="284" width="48.85546875" style="3" customWidth="1"/>
    <col min="285" max="285" width="49.7109375" style="3" customWidth="1"/>
    <col min="286" max="532" width="9.140625" style="3"/>
    <col min="533" max="533" width="43.28515625" style="3" customWidth="1"/>
    <col min="534" max="534" width="5.85546875" style="3" customWidth="1"/>
    <col min="535" max="535" width="6.28515625" style="3" customWidth="1"/>
    <col min="536" max="536" width="7.7109375" style="3" customWidth="1"/>
    <col min="537" max="537" width="8.140625" style="3" customWidth="1"/>
    <col min="538" max="538" width="2.5703125" style="3" customWidth="1"/>
    <col min="539" max="539" width="6.5703125" style="3" customWidth="1"/>
    <col min="540" max="540" width="48.85546875" style="3" customWidth="1"/>
    <col min="541" max="541" width="49.7109375" style="3" customWidth="1"/>
    <col min="542" max="788" width="9.140625" style="3"/>
    <col min="789" max="789" width="43.28515625" style="3" customWidth="1"/>
    <col min="790" max="790" width="5.85546875" style="3" customWidth="1"/>
    <col min="791" max="791" width="6.28515625" style="3" customWidth="1"/>
    <col min="792" max="792" width="7.7109375" style="3" customWidth="1"/>
    <col min="793" max="793" width="8.140625" style="3" customWidth="1"/>
    <col min="794" max="794" width="2.5703125" style="3" customWidth="1"/>
    <col min="795" max="795" width="6.5703125" style="3" customWidth="1"/>
    <col min="796" max="796" width="48.85546875" style="3" customWidth="1"/>
    <col min="797" max="797" width="49.7109375" style="3" customWidth="1"/>
    <col min="798" max="1044" width="9.140625" style="3"/>
    <col min="1045" max="1045" width="43.28515625" style="3" customWidth="1"/>
    <col min="1046" max="1046" width="5.85546875" style="3" customWidth="1"/>
    <col min="1047" max="1047" width="6.28515625" style="3" customWidth="1"/>
    <col min="1048" max="1048" width="7.7109375" style="3" customWidth="1"/>
    <col min="1049" max="1049" width="8.140625" style="3" customWidth="1"/>
    <col min="1050" max="1050" width="2.5703125" style="3" customWidth="1"/>
    <col min="1051" max="1051" width="6.5703125" style="3" customWidth="1"/>
    <col min="1052" max="1052" width="48.85546875" style="3" customWidth="1"/>
    <col min="1053" max="1053" width="49.7109375" style="3" customWidth="1"/>
    <col min="1054" max="1300" width="9.140625" style="3"/>
    <col min="1301" max="1301" width="43.28515625" style="3" customWidth="1"/>
    <col min="1302" max="1302" width="5.85546875" style="3" customWidth="1"/>
    <col min="1303" max="1303" width="6.28515625" style="3" customWidth="1"/>
    <col min="1304" max="1304" width="7.7109375" style="3" customWidth="1"/>
    <col min="1305" max="1305" width="8.140625" style="3" customWidth="1"/>
    <col min="1306" max="1306" width="2.5703125" style="3" customWidth="1"/>
    <col min="1307" max="1307" width="6.5703125" style="3" customWidth="1"/>
    <col min="1308" max="1308" width="48.85546875" style="3" customWidth="1"/>
    <col min="1309" max="1309" width="49.7109375" style="3" customWidth="1"/>
    <col min="1310" max="1556" width="9.140625" style="3"/>
    <col min="1557" max="1557" width="43.28515625" style="3" customWidth="1"/>
    <col min="1558" max="1558" width="5.85546875" style="3" customWidth="1"/>
    <col min="1559" max="1559" width="6.28515625" style="3" customWidth="1"/>
    <col min="1560" max="1560" width="7.7109375" style="3" customWidth="1"/>
    <col min="1561" max="1561" width="8.140625" style="3" customWidth="1"/>
    <col min="1562" max="1562" width="2.5703125" style="3" customWidth="1"/>
    <col min="1563" max="1563" width="6.5703125" style="3" customWidth="1"/>
    <col min="1564" max="1564" width="48.85546875" style="3" customWidth="1"/>
    <col min="1565" max="1565" width="49.7109375" style="3" customWidth="1"/>
    <col min="1566" max="1812" width="9.140625" style="3"/>
    <col min="1813" max="1813" width="43.28515625" style="3" customWidth="1"/>
    <col min="1814" max="1814" width="5.85546875" style="3" customWidth="1"/>
    <col min="1815" max="1815" width="6.28515625" style="3" customWidth="1"/>
    <col min="1816" max="1816" width="7.7109375" style="3" customWidth="1"/>
    <col min="1817" max="1817" width="8.140625" style="3" customWidth="1"/>
    <col min="1818" max="1818" width="2.5703125" style="3" customWidth="1"/>
    <col min="1819" max="1819" width="6.5703125" style="3" customWidth="1"/>
    <col min="1820" max="1820" width="48.85546875" style="3" customWidth="1"/>
    <col min="1821" max="1821" width="49.7109375" style="3" customWidth="1"/>
    <col min="1822" max="2068" width="9.140625" style="3"/>
    <col min="2069" max="2069" width="43.28515625" style="3" customWidth="1"/>
    <col min="2070" max="2070" width="5.85546875" style="3" customWidth="1"/>
    <col min="2071" max="2071" width="6.28515625" style="3" customWidth="1"/>
    <col min="2072" max="2072" width="7.7109375" style="3" customWidth="1"/>
    <col min="2073" max="2073" width="8.140625" style="3" customWidth="1"/>
    <col min="2074" max="2074" width="2.5703125" style="3" customWidth="1"/>
    <col min="2075" max="2075" width="6.5703125" style="3" customWidth="1"/>
    <col min="2076" max="2076" width="48.85546875" style="3" customWidth="1"/>
    <col min="2077" max="2077" width="49.7109375" style="3" customWidth="1"/>
    <col min="2078" max="2324" width="9.140625" style="3"/>
    <col min="2325" max="2325" width="43.28515625" style="3" customWidth="1"/>
    <col min="2326" max="2326" width="5.85546875" style="3" customWidth="1"/>
    <col min="2327" max="2327" width="6.28515625" style="3" customWidth="1"/>
    <col min="2328" max="2328" width="7.7109375" style="3" customWidth="1"/>
    <col min="2329" max="2329" width="8.140625" style="3" customWidth="1"/>
    <col min="2330" max="2330" width="2.5703125" style="3" customWidth="1"/>
    <col min="2331" max="2331" width="6.5703125" style="3" customWidth="1"/>
    <col min="2332" max="2332" width="48.85546875" style="3" customWidth="1"/>
    <col min="2333" max="2333" width="49.7109375" style="3" customWidth="1"/>
    <col min="2334" max="2580" width="9.140625" style="3"/>
    <col min="2581" max="2581" width="43.28515625" style="3" customWidth="1"/>
    <col min="2582" max="2582" width="5.85546875" style="3" customWidth="1"/>
    <col min="2583" max="2583" width="6.28515625" style="3" customWidth="1"/>
    <col min="2584" max="2584" width="7.7109375" style="3" customWidth="1"/>
    <col min="2585" max="2585" width="8.140625" style="3" customWidth="1"/>
    <col min="2586" max="2586" width="2.5703125" style="3" customWidth="1"/>
    <col min="2587" max="2587" width="6.5703125" style="3" customWidth="1"/>
    <col min="2588" max="2588" width="48.85546875" style="3" customWidth="1"/>
    <col min="2589" max="2589" width="49.7109375" style="3" customWidth="1"/>
    <col min="2590" max="2836" width="9.140625" style="3"/>
    <col min="2837" max="2837" width="43.28515625" style="3" customWidth="1"/>
    <col min="2838" max="2838" width="5.85546875" style="3" customWidth="1"/>
    <col min="2839" max="2839" width="6.28515625" style="3" customWidth="1"/>
    <col min="2840" max="2840" width="7.7109375" style="3" customWidth="1"/>
    <col min="2841" max="2841" width="8.140625" style="3" customWidth="1"/>
    <col min="2842" max="2842" width="2.5703125" style="3" customWidth="1"/>
    <col min="2843" max="2843" width="6.5703125" style="3" customWidth="1"/>
    <col min="2844" max="2844" width="48.85546875" style="3" customWidth="1"/>
    <col min="2845" max="2845" width="49.7109375" style="3" customWidth="1"/>
    <col min="2846" max="3092" width="9.140625" style="3"/>
    <col min="3093" max="3093" width="43.28515625" style="3" customWidth="1"/>
    <col min="3094" max="3094" width="5.85546875" style="3" customWidth="1"/>
    <col min="3095" max="3095" width="6.28515625" style="3" customWidth="1"/>
    <col min="3096" max="3096" width="7.7109375" style="3" customWidth="1"/>
    <col min="3097" max="3097" width="8.140625" style="3" customWidth="1"/>
    <col min="3098" max="3098" width="2.5703125" style="3" customWidth="1"/>
    <col min="3099" max="3099" width="6.5703125" style="3" customWidth="1"/>
    <col min="3100" max="3100" width="48.85546875" style="3" customWidth="1"/>
    <col min="3101" max="3101" width="49.7109375" style="3" customWidth="1"/>
    <col min="3102" max="3348" width="9.140625" style="3"/>
    <col min="3349" max="3349" width="43.28515625" style="3" customWidth="1"/>
    <col min="3350" max="3350" width="5.85546875" style="3" customWidth="1"/>
    <col min="3351" max="3351" width="6.28515625" style="3" customWidth="1"/>
    <col min="3352" max="3352" width="7.7109375" style="3" customWidth="1"/>
    <col min="3353" max="3353" width="8.140625" style="3" customWidth="1"/>
    <col min="3354" max="3354" width="2.5703125" style="3" customWidth="1"/>
    <col min="3355" max="3355" width="6.5703125" style="3" customWidth="1"/>
    <col min="3356" max="3356" width="48.85546875" style="3" customWidth="1"/>
    <col min="3357" max="3357" width="49.7109375" style="3" customWidth="1"/>
    <col min="3358" max="3604" width="9.140625" style="3"/>
    <col min="3605" max="3605" width="43.28515625" style="3" customWidth="1"/>
    <col min="3606" max="3606" width="5.85546875" style="3" customWidth="1"/>
    <col min="3607" max="3607" width="6.28515625" style="3" customWidth="1"/>
    <col min="3608" max="3608" width="7.7109375" style="3" customWidth="1"/>
    <col min="3609" max="3609" width="8.140625" style="3" customWidth="1"/>
    <col min="3610" max="3610" width="2.5703125" style="3" customWidth="1"/>
    <col min="3611" max="3611" width="6.5703125" style="3" customWidth="1"/>
    <col min="3612" max="3612" width="48.85546875" style="3" customWidth="1"/>
    <col min="3613" max="3613" width="49.7109375" style="3" customWidth="1"/>
    <col min="3614" max="3860" width="9.140625" style="3"/>
    <col min="3861" max="3861" width="43.28515625" style="3" customWidth="1"/>
    <col min="3862" max="3862" width="5.85546875" style="3" customWidth="1"/>
    <col min="3863" max="3863" width="6.28515625" style="3" customWidth="1"/>
    <col min="3864" max="3864" width="7.7109375" style="3" customWidth="1"/>
    <col min="3865" max="3865" width="8.140625" style="3" customWidth="1"/>
    <col min="3866" max="3866" width="2.5703125" style="3" customWidth="1"/>
    <col min="3867" max="3867" width="6.5703125" style="3" customWidth="1"/>
    <col min="3868" max="3868" width="48.85546875" style="3" customWidth="1"/>
    <col min="3869" max="3869" width="49.7109375" style="3" customWidth="1"/>
    <col min="3870" max="4116" width="9.140625" style="3"/>
    <col min="4117" max="4117" width="43.28515625" style="3" customWidth="1"/>
    <col min="4118" max="4118" width="5.85546875" style="3" customWidth="1"/>
    <col min="4119" max="4119" width="6.28515625" style="3" customWidth="1"/>
    <col min="4120" max="4120" width="7.7109375" style="3" customWidth="1"/>
    <col min="4121" max="4121" width="8.140625" style="3" customWidth="1"/>
    <col min="4122" max="4122" width="2.5703125" style="3" customWidth="1"/>
    <col min="4123" max="4123" width="6.5703125" style="3" customWidth="1"/>
    <col min="4124" max="4124" width="48.85546875" style="3" customWidth="1"/>
    <col min="4125" max="4125" width="49.7109375" style="3" customWidth="1"/>
    <col min="4126" max="4372" width="9.140625" style="3"/>
    <col min="4373" max="4373" width="43.28515625" style="3" customWidth="1"/>
    <col min="4374" max="4374" width="5.85546875" style="3" customWidth="1"/>
    <col min="4375" max="4375" width="6.28515625" style="3" customWidth="1"/>
    <col min="4376" max="4376" width="7.7109375" style="3" customWidth="1"/>
    <col min="4377" max="4377" width="8.140625" style="3" customWidth="1"/>
    <col min="4378" max="4378" width="2.5703125" style="3" customWidth="1"/>
    <col min="4379" max="4379" width="6.5703125" style="3" customWidth="1"/>
    <col min="4380" max="4380" width="48.85546875" style="3" customWidth="1"/>
    <col min="4381" max="4381" width="49.7109375" style="3" customWidth="1"/>
    <col min="4382" max="4628" width="9.140625" style="3"/>
    <col min="4629" max="4629" width="43.28515625" style="3" customWidth="1"/>
    <col min="4630" max="4630" width="5.85546875" style="3" customWidth="1"/>
    <col min="4631" max="4631" width="6.28515625" style="3" customWidth="1"/>
    <col min="4632" max="4632" width="7.7109375" style="3" customWidth="1"/>
    <col min="4633" max="4633" width="8.140625" style="3" customWidth="1"/>
    <col min="4634" max="4634" width="2.5703125" style="3" customWidth="1"/>
    <col min="4635" max="4635" width="6.5703125" style="3" customWidth="1"/>
    <col min="4636" max="4636" width="48.85546875" style="3" customWidth="1"/>
    <col min="4637" max="4637" width="49.7109375" style="3" customWidth="1"/>
    <col min="4638" max="4884" width="9.140625" style="3"/>
    <col min="4885" max="4885" width="43.28515625" style="3" customWidth="1"/>
    <col min="4886" max="4886" width="5.85546875" style="3" customWidth="1"/>
    <col min="4887" max="4887" width="6.28515625" style="3" customWidth="1"/>
    <col min="4888" max="4888" width="7.7109375" style="3" customWidth="1"/>
    <col min="4889" max="4889" width="8.140625" style="3" customWidth="1"/>
    <col min="4890" max="4890" width="2.5703125" style="3" customWidth="1"/>
    <col min="4891" max="4891" width="6.5703125" style="3" customWidth="1"/>
    <col min="4892" max="4892" width="48.85546875" style="3" customWidth="1"/>
    <col min="4893" max="4893" width="49.7109375" style="3" customWidth="1"/>
    <col min="4894" max="5140" width="9.140625" style="3"/>
    <col min="5141" max="5141" width="43.28515625" style="3" customWidth="1"/>
    <col min="5142" max="5142" width="5.85546875" style="3" customWidth="1"/>
    <col min="5143" max="5143" width="6.28515625" style="3" customWidth="1"/>
    <col min="5144" max="5144" width="7.7109375" style="3" customWidth="1"/>
    <col min="5145" max="5145" width="8.140625" style="3" customWidth="1"/>
    <col min="5146" max="5146" width="2.5703125" style="3" customWidth="1"/>
    <col min="5147" max="5147" width="6.5703125" style="3" customWidth="1"/>
    <col min="5148" max="5148" width="48.85546875" style="3" customWidth="1"/>
    <col min="5149" max="5149" width="49.7109375" style="3" customWidth="1"/>
    <col min="5150" max="5396" width="9.140625" style="3"/>
    <col min="5397" max="5397" width="43.28515625" style="3" customWidth="1"/>
    <col min="5398" max="5398" width="5.85546875" style="3" customWidth="1"/>
    <col min="5399" max="5399" width="6.28515625" style="3" customWidth="1"/>
    <col min="5400" max="5400" width="7.7109375" style="3" customWidth="1"/>
    <col min="5401" max="5401" width="8.140625" style="3" customWidth="1"/>
    <col min="5402" max="5402" width="2.5703125" style="3" customWidth="1"/>
    <col min="5403" max="5403" width="6.5703125" style="3" customWidth="1"/>
    <col min="5404" max="5404" width="48.85546875" style="3" customWidth="1"/>
    <col min="5405" max="5405" width="49.7109375" style="3" customWidth="1"/>
    <col min="5406" max="5652" width="9.140625" style="3"/>
    <col min="5653" max="5653" width="43.28515625" style="3" customWidth="1"/>
    <col min="5654" max="5654" width="5.85546875" style="3" customWidth="1"/>
    <col min="5655" max="5655" width="6.28515625" style="3" customWidth="1"/>
    <col min="5656" max="5656" width="7.7109375" style="3" customWidth="1"/>
    <col min="5657" max="5657" width="8.140625" style="3" customWidth="1"/>
    <col min="5658" max="5658" width="2.5703125" style="3" customWidth="1"/>
    <col min="5659" max="5659" width="6.5703125" style="3" customWidth="1"/>
    <col min="5660" max="5660" width="48.85546875" style="3" customWidth="1"/>
    <col min="5661" max="5661" width="49.7109375" style="3" customWidth="1"/>
    <col min="5662" max="5908" width="9.140625" style="3"/>
    <col min="5909" max="5909" width="43.28515625" style="3" customWidth="1"/>
    <col min="5910" max="5910" width="5.85546875" style="3" customWidth="1"/>
    <col min="5911" max="5911" width="6.28515625" style="3" customWidth="1"/>
    <col min="5912" max="5912" width="7.7109375" style="3" customWidth="1"/>
    <col min="5913" max="5913" width="8.140625" style="3" customWidth="1"/>
    <col min="5914" max="5914" width="2.5703125" style="3" customWidth="1"/>
    <col min="5915" max="5915" width="6.5703125" style="3" customWidth="1"/>
    <col min="5916" max="5916" width="48.85546875" style="3" customWidth="1"/>
    <col min="5917" max="5917" width="49.7109375" style="3" customWidth="1"/>
    <col min="5918" max="6164" width="9.140625" style="3"/>
    <col min="6165" max="6165" width="43.28515625" style="3" customWidth="1"/>
    <col min="6166" max="6166" width="5.85546875" style="3" customWidth="1"/>
    <col min="6167" max="6167" width="6.28515625" style="3" customWidth="1"/>
    <col min="6168" max="6168" width="7.7109375" style="3" customWidth="1"/>
    <col min="6169" max="6169" width="8.140625" style="3" customWidth="1"/>
    <col min="6170" max="6170" width="2.5703125" style="3" customWidth="1"/>
    <col min="6171" max="6171" width="6.5703125" style="3" customWidth="1"/>
    <col min="6172" max="6172" width="48.85546875" style="3" customWidth="1"/>
    <col min="6173" max="6173" width="49.7109375" style="3" customWidth="1"/>
    <col min="6174" max="6420" width="9.140625" style="3"/>
    <col min="6421" max="6421" width="43.28515625" style="3" customWidth="1"/>
    <col min="6422" max="6422" width="5.85546875" style="3" customWidth="1"/>
    <col min="6423" max="6423" width="6.28515625" style="3" customWidth="1"/>
    <col min="6424" max="6424" width="7.7109375" style="3" customWidth="1"/>
    <col min="6425" max="6425" width="8.140625" style="3" customWidth="1"/>
    <col min="6426" max="6426" width="2.5703125" style="3" customWidth="1"/>
    <col min="6427" max="6427" width="6.5703125" style="3" customWidth="1"/>
    <col min="6428" max="6428" width="48.85546875" style="3" customWidth="1"/>
    <col min="6429" max="6429" width="49.7109375" style="3" customWidth="1"/>
    <col min="6430" max="6676" width="9.140625" style="3"/>
    <col min="6677" max="6677" width="43.28515625" style="3" customWidth="1"/>
    <col min="6678" max="6678" width="5.85546875" style="3" customWidth="1"/>
    <col min="6679" max="6679" width="6.28515625" style="3" customWidth="1"/>
    <col min="6680" max="6680" width="7.7109375" style="3" customWidth="1"/>
    <col min="6681" max="6681" width="8.140625" style="3" customWidth="1"/>
    <col min="6682" max="6682" width="2.5703125" style="3" customWidth="1"/>
    <col min="6683" max="6683" width="6.5703125" style="3" customWidth="1"/>
    <col min="6684" max="6684" width="48.85546875" style="3" customWidth="1"/>
    <col min="6685" max="6685" width="49.7109375" style="3" customWidth="1"/>
    <col min="6686" max="6932" width="9.140625" style="3"/>
    <col min="6933" max="6933" width="43.28515625" style="3" customWidth="1"/>
    <col min="6934" max="6934" width="5.85546875" style="3" customWidth="1"/>
    <col min="6935" max="6935" width="6.28515625" style="3" customWidth="1"/>
    <col min="6936" max="6936" width="7.7109375" style="3" customWidth="1"/>
    <col min="6937" max="6937" width="8.140625" style="3" customWidth="1"/>
    <col min="6938" max="6938" width="2.5703125" style="3" customWidth="1"/>
    <col min="6939" max="6939" width="6.5703125" style="3" customWidth="1"/>
    <col min="6940" max="6940" width="48.85546875" style="3" customWidth="1"/>
    <col min="6941" max="6941" width="49.7109375" style="3" customWidth="1"/>
    <col min="6942" max="7188" width="9.140625" style="3"/>
    <col min="7189" max="7189" width="43.28515625" style="3" customWidth="1"/>
    <col min="7190" max="7190" width="5.85546875" style="3" customWidth="1"/>
    <col min="7191" max="7191" width="6.28515625" style="3" customWidth="1"/>
    <col min="7192" max="7192" width="7.7109375" style="3" customWidth="1"/>
    <col min="7193" max="7193" width="8.140625" style="3" customWidth="1"/>
    <col min="7194" max="7194" width="2.5703125" style="3" customWidth="1"/>
    <col min="7195" max="7195" width="6.5703125" style="3" customWidth="1"/>
    <col min="7196" max="7196" width="48.85546875" style="3" customWidth="1"/>
    <col min="7197" max="7197" width="49.7109375" style="3" customWidth="1"/>
    <col min="7198" max="7444" width="9.140625" style="3"/>
    <col min="7445" max="7445" width="43.28515625" style="3" customWidth="1"/>
    <col min="7446" max="7446" width="5.85546875" style="3" customWidth="1"/>
    <col min="7447" max="7447" width="6.28515625" style="3" customWidth="1"/>
    <col min="7448" max="7448" width="7.7109375" style="3" customWidth="1"/>
    <col min="7449" max="7449" width="8.140625" style="3" customWidth="1"/>
    <col min="7450" max="7450" width="2.5703125" style="3" customWidth="1"/>
    <col min="7451" max="7451" width="6.5703125" style="3" customWidth="1"/>
    <col min="7452" max="7452" width="48.85546875" style="3" customWidth="1"/>
    <col min="7453" max="7453" width="49.7109375" style="3" customWidth="1"/>
    <col min="7454" max="7700" width="9.140625" style="3"/>
    <col min="7701" max="7701" width="43.28515625" style="3" customWidth="1"/>
    <col min="7702" max="7702" width="5.85546875" style="3" customWidth="1"/>
    <col min="7703" max="7703" width="6.28515625" style="3" customWidth="1"/>
    <col min="7704" max="7704" width="7.7109375" style="3" customWidth="1"/>
    <col min="7705" max="7705" width="8.140625" style="3" customWidth="1"/>
    <col min="7706" max="7706" width="2.5703125" style="3" customWidth="1"/>
    <col min="7707" max="7707" width="6.5703125" style="3" customWidth="1"/>
    <col min="7708" max="7708" width="48.85546875" style="3" customWidth="1"/>
    <col min="7709" max="7709" width="49.7109375" style="3" customWidth="1"/>
    <col min="7710" max="7956" width="9.140625" style="3"/>
    <col min="7957" max="7957" width="43.28515625" style="3" customWidth="1"/>
    <col min="7958" max="7958" width="5.85546875" style="3" customWidth="1"/>
    <col min="7959" max="7959" width="6.28515625" style="3" customWidth="1"/>
    <col min="7960" max="7960" width="7.7109375" style="3" customWidth="1"/>
    <col min="7961" max="7961" width="8.140625" style="3" customWidth="1"/>
    <col min="7962" max="7962" width="2.5703125" style="3" customWidth="1"/>
    <col min="7963" max="7963" width="6.5703125" style="3" customWidth="1"/>
    <col min="7964" max="7964" width="48.85546875" style="3" customWidth="1"/>
    <col min="7965" max="7965" width="49.7109375" style="3" customWidth="1"/>
    <col min="7966" max="8212" width="9.140625" style="3"/>
    <col min="8213" max="8213" width="43.28515625" style="3" customWidth="1"/>
    <col min="8214" max="8214" width="5.85546875" style="3" customWidth="1"/>
    <col min="8215" max="8215" width="6.28515625" style="3" customWidth="1"/>
    <col min="8216" max="8216" width="7.7109375" style="3" customWidth="1"/>
    <col min="8217" max="8217" width="8.140625" style="3" customWidth="1"/>
    <col min="8218" max="8218" width="2.5703125" style="3" customWidth="1"/>
    <col min="8219" max="8219" width="6.5703125" style="3" customWidth="1"/>
    <col min="8220" max="8220" width="48.85546875" style="3" customWidth="1"/>
    <col min="8221" max="8221" width="49.7109375" style="3" customWidth="1"/>
    <col min="8222" max="8468" width="9.140625" style="3"/>
    <col min="8469" max="8469" width="43.28515625" style="3" customWidth="1"/>
    <col min="8470" max="8470" width="5.85546875" style="3" customWidth="1"/>
    <col min="8471" max="8471" width="6.28515625" style="3" customWidth="1"/>
    <col min="8472" max="8472" width="7.7109375" style="3" customWidth="1"/>
    <col min="8473" max="8473" width="8.140625" style="3" customWidth="1"/>
    <col min="8474" max="8474" width="2.5703125" style="3" customWidth="1"/>
    <col min="8475" max="8475" width="6.5703125" style="3" customWidth="1"/>
    <col min="8476" max="8476" width="48.85546875" style="3" customWidth="1"/>
    <col min="8477" max="8477" width="49.7109375" style="3" customWidth="1"/>
    <col min="8478" max="8724" width="9.140625" style="3"/>
    <col min="8725" max="8725" width="43.28515625" style="3" customWidth="1"/>
    <col min="8726" max="8726" width="5.85546875" style="3" customWidth="1"/>
    <col min="8727" max="8727" width="6.28515625" style="3" customWidth="1"/>
    <col min="8728" max="8728" width="7.7109375" style="3" customWidth="1"/>
    <col min="8729" max="8729" width="8.140625" style="3" customWidth="1"/>
    <col min="8730" max="8730" width="2.5703125" style="3" customWidth="1"/>
    <col min="8731" max="8731" width="6.5703125" style="3" customWidth="1"/>
    <col min="8732" max="8732" width="48.85546875" style="3" customWidth="1"/>
    <col min="8733" max="8733" width="49.7109375" style="3" customWidth="1"/>
    <col min="8734" max="8980" width="9.140625" style="3"/>
    <col min="8981" max="8981" width="43.28515625" style="3" customWidth="1"/>
    <col min="8982" max="8982" width="5.85546875" style="3" customWidth="1"/>
    <col min="8983" max="8983" width="6.28515625" style="3" customWidth="1"/>
    <col min="8984" max="8984" width="7.7109375" style="3" customWidth="1"/>
    <col min="8985" max="8985" width="8.140625" style="3" customWidth="1"/>
    <col min="8986" max="8986" width="2.5703125" style="3" customWidth="1"/>
    <col min="8987" max="8987" width="6.5703125" style="3" customWidth="1"/>
    <col min="8988" max="8988" width="48.85546875" style="3" customWidth="1"/>
    <col min="8989" max="8989" width="49.7109375" style="3" customWidth="1"/>
    <col min="8990" max="9236" width="9.140625" style="3"/>
    <col min="9237" max="9237" width="43.28515625" style="3" customWidth="1"/>
    <col min="9238" max="9238" width="5.85546875" style="3" customWidth="1"/>
    <col min="9239" max="9239" width="6.28515625" style="3" customWidth="1"/>
    <col min="9240" max="9240" width="7.7109375" style="3" customWidth="1"/>
    <col min="9241" max="9241" width="8.140625" style="3" customWidth="1"/>
    <col min="9242" max="9242" width="2.5703125" style="3" customWidth="1"/>
    <col min="9243" max="9243" width="6.5703125" style="3" customWidth="1"/>
    <col min="9244" max="9244" width="48.85546875" style="3" customWidth="1"/>
    <col min="9245" max="9245" width="49.7109375" style="3" customWidth="1"/>
    <col min="9246" max="9492" width="9.140625" style="3"/>
    <col min="9493" max="9493" width="43.28515625" style="3" customWidth="1"/>
    <col min="9494" max="9494" width="5.85546875" style="3" customWidth="1"/>
    <col min="9495" max="9495" width="6.28515625" style="3" customWidth="1"/>
    <col min="9496" max="9496" width="7.7109375" style="3" customWidth="1"/>
    <col min="9497" max="9497" width="8.140625" style="3" customWidth="1"/>
    <col min="9498" max="9498" width="2.5703125" style="3" customWidth="1"/>
    <col min="9499" max="9499" width="6.5703125" style="3" customWidth="1"/>
    <col min="9500" max="9500" width="48.85546875" style="3" customWidth="1"/>
    <col min="9501" max="9501" width="49.7109375" style="3" customWidth="1"/>
    <col min="9502" max="9748" width="9.140625" style="3"/>
    <col min="9749" max="9749" width="43.28515625" style="3" customWidth="1"/>
    <col min="9750" max="9750" width="5.85546875" style="3" customWidth="1"/>
    <col min="9751" max="9751" width="6.28515625" style="3" customWidth="1"/>
    <col min="9752" max="9752" width="7.7109375" style="3" customWidth="1"/>
    <col min="9753" max="9753" width="8.140625" style="3" customWidth="1"/>
    <col min="9754" max="9754" width="2.5703125" style="3" customWidth="1"/>
    <col min="9755" max="9755" width="6.5703125" style="3" customWidth="1"/>
    <col min="9756" max="9756" width="48.85546875" style="3" customWidth="1"/>
    <col min="9757" max="9757" width="49.7109375" style="3" customWidth="1"/>
    <col min="9758" max="10004" width="9.140625" style="3"/>
    <col min="10005" max="10005" width="43.28515625" style="3" customWidth="1"/>
    <col min="10006" max="10006" width="5.85546875" style="3" customWidth="1"/>
    <col min="10007" max="10007" width="6.28515625" style="3" customWidth="1"/>
    <col min="10008" max="10008" width="7.7109375" style="3" customWidth="1"/>
    <col min="10009" max="10009" width="8.140625" style="3" customWidth="1"/>
    <col min="10010" max="10010" width="2.5703125" style="3" customWidth="1"/>
    <col min="10011" max="10011" width="6.5703125" style="3" customWidth="1"/>
    <col min="10012" max="10012" width="48.85546875" style="3" customWidth="1"/>
    <col min="10013" max="10013" width="49.7109375" style="3" customWidth="1"/>
    <col min="10014" max="10260" width="9.140625" style="3"/>
    <col min="10261" max="10261" width="43.28515625" style="3" customWidth="1"/>
    <col min="10262" max="10262" width="5.85546875" style="3" customWidth="1"/>
    <col min="10263" max="10263" width="6.28515625" style="3" customWidth="1"/>
    <col min="10264" max="10264" width="7.7109375" style="3" customWidth="1"/>
    <col min="10265" max="10265" width="8.140625" style="3" customWidth="1"/>
    <col min="10266" max="10266" width="2.5703125" style="3" customWidth="1"/>
    <col min="10267" max="10267" width="6.5703125" style="3" customWidth="1"/>
    <col min="10268" max="10268" width="48.85546875" style="3" customWidth="1"/>
    <col min="10269" max="10269" width="49.7109375" style="3" customWidth="1"/>
    <col min="10270" max="10516" width="9.140625" style="3"/>
    <col min="10517" max="10517" width="43.28515625" style="3" customWidth="1"/>
    <col min="10518" max="10518" width="5.85546875" style="3" customWidth="1"/>
    <col min="10519" max="10519" width="6.28515625" style="3" customWidth="1"/>
    <col min="10520" max="10520" width="7.7109375" style="3" customWidth="1"/>
    <col min="10521" max="10521" width="8.140625" style="3" customWidth="1"/>
    <col min="10522" max="10522" width="2.5703125" style="3" customWidth="1"/>
    <col min="10523" max="10523" width="6.5703125" style="3" customWidth="1"/>
    <col min="10524" max="10524" width="48.85546875" style="3" customWidth="1"/>
    <col min="10525" max="10525" width="49.7109375" style="3" customWidth="1"/>
    <col min="10526" max="10772" width="9.140625" style="3"/>
    <col min="10773" max="10773" width="43.28515625" style="3" customWidth="1"/>
    <col min="10774" max="10774" width="5.85546875" style="3" customWidth="1"/>
    <col min="10775" max="10775" width="6.28515625" style="3" customWidth="1"/>
    <col min="10776" max="10776" width="7.7109375" style="3" customWidth="1"/>
    <col min="10777" max="10777" width="8.140625" style="3" customWidth="1"/>
    <col min="10778" max="10778" width="2.5703125" style="3" customWidth="1"/>
    <col min="10779" max="10779" width="6.5703125" style="3" customWidth="1"/>
    <col min="10780" max="10780" width="48.85546875" style="3" customWidth="1"/>
    <col min="10781" max="10781" width="49.7109375" style="3" customWidth="1"/>
    <col min="10782" max="11028" width="9.140625" style="3"/>
    <col min="11029" max="11029" width="43.28515625" style="3" customWidth="1"/>
    <col min="11030" max="11030" width="5.85546875" style="3" customWidth="1"/>
    <col min="11031" max="11031" width="6.28515625" style="3" customWidth="1"/>
    <col min="11032" max="11032" width="7.7109375" style="3" customWidth="1"/>
    <col min="11033" max="11033" width="8.140625" style="3" customWidth="1"/>
    <col min="11034" max="11034" width="2.5703125" style="3" customWidth="1"/>
    <col min="11035" max="11035" width="6.5703125" style="3" customWidth="1"/>
    <col min="11036" max="11036" width="48.85546875" style="3" customWidth="1"/>
    <col min="11037" max="11037" width="49.7109375" style="3" customWidth="1"/>
    <col min="11038" max="11284" width="9.140625" style="3"/>
    <col min="11285" max="11285" width="43.28515625" style="3" customWidth="1"/>
    <col min="11286" max="11286" width="5.85546875" style="3" customWidth="1"/>
    <col min="11287" max="11287" width="6.28515625" style="3" customWidth="1"/>
    <col min="11288" max="11288" width="7.7109375" style="3" customWidth="1"/>
    <col min="11289" max="11289" width="8.140625" style="3" customWidth="1"/>
    <col min="11290" max="11290" width="2.5703125" style="3" customWidth="1"/>
    <col min="11291" max="11291" width="6.5703125" style="3" customWidth="1"/>
    <col min="11292" max="11292" width="48.85546875" style="3" customWidth="1"/>
    <col min="11293" max="11293" width="49.7109375" style="3" customWidth="1"/>
    <col min="11294" max="11540" width="9.140625" style="3"/>
    <col min="11541" max="11541" width="43.28515625" style="3" customWidth="1"/>
    <col min="11542" max="11542" width="5.85546875" style="3" customWidth="1"/>
    <col min="11543" max="11543" width="6.28515625" style="3" customWidth="1"/>
    <col min="11544" max="11544" width="7.7109375" style="3" customWidth="1"/>
    <col min="11545" max="11545" width="8.140625" style="3" customWidth="1"/>
    <col min="11546" max="11546" width="2.5703125" style="3" customWidth="1"/>
    <col min="11547" max="11547" width="6.5703125" style="3" customWidth="1"/>
    <col min="11548" max="11548" width="48.85546875" style="3" customWidth="1"/>
    <col min="11549" max="11549" width="49.7109375" style="3" customWidth="1"/>
    <col min="11550" max="11796" width="9.140625" style="3"/>
    <col min="11797" max="11797" width="43.28515625" style="3" customWidth="1"/>
    <col min="11798" max="11798" width="5.85546875" style="3" customWidth="1"/>
    <col min="11799" max="11799" width="6.28515625" style="3" customWidth="1"/>
    <col min="11800" max="11800" width="7.7109375" style="3" customWidth="1"/>
    <col min="11801" max="11801" width="8.140625" style="3" customWidth="1"/>
    <col min="11802" max="11802" width="2.5703125" style="3" customWidth="1"/>
    <col min="11803" max="11803" width="6.5703125" style="3" customWidth="1"/>
    <col min="11804" max="11804" width="48.85546875" style="3" customWidth="1"/>
    <col min="11805" max="11805" width="49.7109375" style="3" customWidth="1"/>
    <col min="11806" max="12052" width="9.140625" style="3"/>
    <col min="12053" max="12053" width="43.28515625" style="3" customWidth="1"/>
    <col min="12054" max="12054" width="5.85546875" style="3" customWidth="1"/>
    <col min="12055" max="12055" width="6.28515625" style="3" customWidth="1"/>
    <col min="12056" max="12056" width="7.7109375" style="3" customWidth="1"/>
    <col min="12057" max="12057" width="8.140625" style="3" customWidth="1"/>
    <col min="12058" max="12058" width="2.5703125" style="3" customWidth="1"/>
    <col min="12059" max="12059" width="6.5703125" style="3" customWidth="1"/>
    <col min="12060" max="12060" width="48.85546875" style="3" customWidth="1"/>
    <col min="12061" max="12061" width="49.7109375" style="3" customWidth="1"/>
    <col min="12062" max="12308" width="9.140625" style="3"/>
    <col min="12309" max="12309" width="43.28515625" style="3" customWidth="1"/>
    <col min="12310" max="12310" width="5.85546875" style="3" customWidth="1"/>
    <col min="12311" max="12311" width="6.28515625" style="3" customWidth="1"/>
    <col min="12312" max="12312" width="7.7109375" style="3" customWidth="1"/>
    <col min="12313" max="12313" width="8.140625" style="3" customWidth="1"/>
    <col min="12314" max="12314" width="2.5703125" style="3" customWidth="1"/>
    <col min="12315" max="12315" width="6.5703125" style="3" customWidth="1"/>
    <col min="12316" max="12316" width="48.85546875" style="3" customWidth="1"/>
    <col min="12317" max="12317" width="49.7109375" style="3" customWidth="1"/>
    <col min="12318" max="12564" width="9.140625" style="3"/>
    <col min="12565" max="12565" width="43.28515625" style="3" customWidth="1"/>
    <col min="12566" max="12566" width="5.85546875" style="3" customWidth="1"/>
    <col min="12567" max="12567" width="6.28515625" style="3" customWidth="1"/>
    <col min="12568" max="12568" width="7.7109375" style="3" customWidth="1"/>
    <col min="12569" max="12569" width="8.140625" style="3" customWidth="1"/>
    <col min="12570" max="12570" width="2.5703125" style="3" customWidth="1"/>
    <col min="12571" max="12571" width="6.5703125" style="3" customWidth="1"/>
    <col min="12572" max="12572" width="48.85546875" style="3" customWidth="1"/>
    <col min="12573" max="12573" width="49.7109375" style="3" customWidth="1"/>
    <col min="12574" max="12820" width="9.140625" style="3"/>
    <col min="12821" max="12821" width="43.28515625" style="3" customWidth="1"/>
    <col min="12822" max="12822" width="5.85546875" style="3" customWidth="1"/>
    <col min="12823" max="12823" width="6.28515625" style="3" customWidth="1"/>
    <col min="12824" max="12824" width="7.7109375" style="3" customWidth="1"/>
    <col min="12825" max="12825" width="8.140625" style="3" customWidth="1"/>
    <col min="12826" max="12826" width="2.5703125" style="3" customWidth="1"/>
    <col min="12827" max="12827" width="6.5703125" style="3" customWidth="1"/>
    <col min="12828" max="12828" width="48.85546875" style="3" customWidth="1"/>
    <col min="12829" max="12829" width="49.7109375" style="3" customWidth="1"/>
    <col min="12830" max="13076" width="9.140625" style="3"/>
    <col min="13077" max="13077" width="43.28515625" style="3" customWidth="1"/>
    <col min="13078" max="13078" width="5.85546875" style="3" customWidth="1"/>
    <col min="13079" max="13079" width="6.28515625" style="3" customWidth="1"/>
    <col min="13080" max="13080" width="7.7109375" style="3" customWidth="1"/>
    <col min="13081" max="13081" width="8.140625" style="3" customWidth="1"/>
    <col min="13082" max="13082" width="2.5703125" style="3" customWidth="1"/>
    <col min="13083" max="13083" width="6.5703125" style="3" customWidth="1"/>
    <col min="13084" max="13084" width="48.85546875" style="3" customWidth="1"/>
    <col min="13085" max="13085" width="49.7109375" style="3" customWidth="1"/>
    <col min="13086" max="13332" width="9.140625" style="3"/>
    <col min="13333" max="13333" width="43.28515625" style="3" customWidth="1"/>
    <col min="13334" max="13334" width="5.85546875" style="3" customWidth="1"/>
    <col min="13335" max="13335" width="6.28515625" style="3" customWidth="1"/>
    <col min="13336" max="13336" width="7.7109375" style="3" customWidth="1"/>
    <col min="13337" max="13337" width="8.140625" style="3" customWidth="1"/>
    <col min="13338" max="13338" width="2.5703125" style="3" customWidth="1"/>
    <col min="13339" max="13339" width="6.5703125" style="3" customWidth="1"/>
    <col min="13340" max="13340" width="48.85546875" style="3" customWidth="1"/>
    <col min="13341" max="13341" width="49.7109375" style="3" customWidth="1"/>
    <col min="13342" max="13588" width="9.140625" style="3"/>
    <col min="13589" max="13589" width="43.28515625" style="3" customWidth="1"/>
    <col min="13590" max="13590" width="5.85546875" style="3" customWidth="1"/>
    <col min="13591" max="13591" width="6.28515625" style="3" customWidth="1"/>
    <col min="13592" max="13592" width="7.7109375" style="3" customWidth="1"/>
    <col min="13593" max="13593" width="8.140625" style="3" customWidth="1"/>
    <col min="13594" max="13594" width="2.5703125" style="3" customWidth="1"/>
    <col min="13595" max="13595" width="6.5703125" style="3" customWidth="1"/>
    <col min="13596" max="13596" width="48.85546875" style="3" customWidth="1"/>
    <col min="13597" max="13597" width="49.7109375" style="3" customWidth="1"/>
    <col min="13598" max="13844" width="9.140625" style="3"/>
    <col min="13845" max="13845" width="43.28515625" style="3" customWidth="1"/>
    <col min="13846" max="13846" width="5.85546875" style="3" customWidth="1"/>
    <col min="13847" max="13847" width="6.28515625" style="3" customWidth="1"/>
    <col min="13848" max="13848" width="7.7109375" style="3" customWidth="1"/>
    <col min="13849" max="13849" width="8.140625" style="3" customWidth="1"/>
    <col min="13850" max="13850" width="2.5703125" style="3" customWidth="1"/>
    <col min="13851" max="13851" width="6.5703125" style="3" customWidth="1"/>
    <col min="13852" max="13852" width="48.85546875" style="3" customWidth="1"/>
    <col min="13853" max="13853" width="49.7109375" style="3" customWidth="1"/>
    <col min="13854" max="14100" width="9.140625" style="3"/>
    <col min="14101" max="14101" width="43.28515625" style="3" customWidth="1"/>
    <col min="14102" max="14102" width="5.85546875" style="3" customWidth="1"/>
    <col min="14103" max="14103" width="6.28515625" style="3" customWidth="1"/>
    <col min="14104" max="14104" width="7.7109375" style="3" customWidth="1"/>
    <col min="14105" max="14105" width="8.140625" style="3" customWidth="1"/>
    <col min="14106" max="14106" width="2.5703125" style="3" customWidth="1"/>
    <col min="14107" max="14107" width="6.5703125" style="3" customWidth="1"/>
    <col min="14108" max="14108" width="48.85546875" style="3" customWidth="1"/>
    <col min="14109" max="14109" width="49.7109375" style="3" customWidth="1"/>
    <col min="14110" max="14356" width="9.140625" style="3"/>
    <col min="14357" max="14357" width="43.28515625" style="3" customWidth="1"/>
    <col min="14358" max="14358" width="5.85546875" style="3" customWidth="1"/>
    <col min="14359" max="14359" width="6.28515625" style="3" customWidth="1"/>
    <col min="14360" max="14360" width="7.7109375" style="3" customWidth="1"/>
    <col min="14361" max="14361" width="8.140625" style="3" customWidth="1"/>
    <col min="14362" max="14362" width="2.5703125" style="3" customWidth="1"/>
    <col min="14363" max="14363" width="6.5703125" style="3" customWidth="1"/>
    <col min="14364" max="14364" width="48.85546875" style="3" customWidth="1"/>
    <col min="14365" max="14365" width="49.7109375" style="3" customWidth="1"/>
    <col min="14366" max="14612" width="9.140625" style="3"/>
    <col min="14613" max="14613" width="43.28515625" style="3" customWidth="1"/>
    <col min="14614" max="14614" width="5.85546875" style="3" customWidth="1"/>
    <col min="14615" max="14615" width="6.28515625" style="3" customWidth="1"/>
    <col min="14616" max="14616" width="7.7109375" style="3" customWidth="1"/>
    <col min="14617" max="14617" width="8.140625" style="3" customWidth="1"/>
    <col min="14618" max="14618" width="2.5703125" style="3" customWidth="1"/>
    <col min="14619" max="14619" width="6.5703125" style="3" customWidth="1"/>
    <col min="14620" max="14620" width="48.85546875" style="3" customWidth="1"/>
    <col min="14621" max="14621" width="49.7109375" style="3" customWidth="1"/>
    <col min="14622" max="14868" width="9.140625" style="3"/>
    <col min="14869" max="14869" width="43.28515625" style="3" customWidth="1"/>
    <col min="14870" max="14870" width="5.85546875" style="3" customWidth="1"/>
    <col min="14871" max="14871" width="6.28515625" style="3" customWidth="1"/>
    <col min="14872" max="14872" width="7.7109375" style="3" customWidth="1"/>
    <col min="14873" max="14873" width="8.140625" style="3" customWidth="1"/>
    <col min="14874" max="14874" width="2.5703125" style="3" customWidth="1"/>
    <col min="14875" max="14875" width="6.5703125" style="3" customWidth="1"/>
    <col min="14876" max="14876" width="48.85546875" style="3" customWidth="1"/>
    <col min="14877" max="14877" width="49.7109375" style="3" customWidth="1"/>
    <col min="14878" max="15124" width="9.140625" style="3"/>
    <col min="15125" max="15125" width="43.28515625" style="3" customWidth="1"/>
    <col min="15126" max="15126" width="5.85546875" style="3" customWidth="1"/>
    <col min="15127" max="15127" width="6.28515625" style="3" customWidth="1"/>
    <col min="15128" max="15128" width="7.7109375" style="3" customWidth="1"/>
    <col min="15129" max="15129" width="8.140625" style="3" customWidth="1"/>
    <col min="15130" max="15130" width="2.5703125" style="3" customWidth="1"/>
    <col min="15131" max="15131" width="6.5703125" style="3" customWidth="1"/>
    <col min="15132" max="15132" width="48.85546875" style="3" customWidth="1"/>
    <col min="15133" max="15133" width="49.7109375" style="3" customWidth="1"/>
    <col min="15134" max="15380" width="9.140625" style="3"/>
    <col min="15381" max="15381" width="43.28515625" style="3" customWidth="1"/>
    <col min="15382" max="15382" width="5.85546875" style="3" customWidth="1"/>
    <col min="15383" max="15383" width="6.28515625" style="3" customWidth="1"/>
    <col min="15384" max="15384" width="7.7109375" style="3" customWidth="1"/>
    <col min="15385" max="15385" width="8.140625" style="3" customWidth="1"/>
    <col min="15386" max="15386" width="2.5703125" style="3" customWidth="1"/>
    <col min="15387" max="15387" width="6.5703125" style="3" customWidth="1"/>
    <col min="15388" max="15388" width="48.85546875" style="3" customWidth="1"/>
    <col min="15389" max="15389" width="49.7109375" style="3" customWidth="1"/>
    <col min="15390" max="15636" width="9.140625" style="3"/>
    <col min="15637" max="15637" width="43.28515625" style="3" customWidth="1"/>
    <col min="15638" max="15638" width="5.85546875" style="3" customWidth="1"/>
    <col min="15639" max="15639" width="6.28515625" style="3" customWidth="1"/>
    <col min="15640" max="15640" width="7.7109375" style="3" customWidth="1"/>
    <col min="15641" max="15641" width="8.140625" style="3" customWidth="1"/>
    <col min="15642" max="15642" width="2.5703125" style="3" customWidth="1"/>
    <col min="15643" max="15643" width="6.5703125" style="3" customWidth="1"/>
    <col min="15644" max="15644" width="48.85546875" style="3" customWidth="1"/>
    <col min="15645" max="15645" width="49.7109375" style="3" customWidth="1"/>
    <col min="15646" max="15892" width="9.140625" style="3"/>
    <col min="15893" max="15893" width="43.28515625" style="3" customWidth="1"/>
    <col min="15894" max="15894" width="5.85546875" style="3" customWidth="1"/>
    <col min="15895" max="15895" width="6.28515625" style="3" customWidth="1"/>
    <col min="15896" max="15896" width="7.7109375" style="3" customWidth="1"/>
    <col min="15897" max="15897" width="8.140625" style="3" customWidth="1"/>
    <col min="15898" max="15898" width="2.5703125" style="3" customWidth="1"/>
    <col min="15899" max="15899" width="6.5703125" style="3" customWidth="1"/>
    <col min="15900" max="15900" width="48.85546875" style="3" customWidth="1"/>
    <col min="15901" max="15901" width="49.7109375" style="3" customWidth="1"/>
    <col min="15902" max="16148" width="9.140625" style="3"/>
    <col min="16149" max="16149" width="43.28515625" style="3" customWidth="1"/>
    <col min="16150" max="16150" width="5.85546875" style="3" customWidth="1"/>
    <col min="16151" max="16151" width="6.28515625" style="3" customWidth="1"/>
    <col min="16152" max="16152" width="7.7109375" style="3" customWidth="1"/>
    <col min="16153" max="16153" width="8.140625" style="3" customWidth="1"/>
    <col min="16154" max="16154" width="2.5703125" style="3" customWidth="1"/>
    <col min="16155" max="16155" width="6.5703125" style="3" customWidth="1"/>
    <col min="16156" max="16156" width="48.85546875" style="3" customWidth="1"/>
    <col min="16157" max="16157" width="49.7109375" style="3" customWidth="1"/>
    <col min="16158" max="16384" width="9.140625" style="3"/>
  </cols>
  <sheetData>
    <row r="1" spans="1:33" ht="19.5" x14ac:dyDescent="0.15">
      <c r="A1" s="53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1"/>
    </row>
    <row r="2" spans="1:33" ht="15" x14ac:dyDescent="0.15">
      <c r="A2" s="54" t="s">
        <v>45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62"/>
    </row>
    <row r="3" spans="1:33" s="7" customFormat="1" ht="12.75" customHeight="1" x14ac:dyDescent="0.2">
      <c r="A3" s="55" t="s">
        <v>7</v>
      </c>
      <c r="B3" s="4"/>
      <c r="C3" s="5"/>
      <c r="D3" s="58">
        <v>2011</v>
      </c>
      <c r="E3" s="58"/>
      <c r="F3" s="58"/>
      <c r="G3" s="5"/>
      <c r="H3" s="58">
        <v>2012</v>
      </c>
      <c r="I3" s="58"/>
      <c r="J3" s="58"/>
      <c r="K3" s="5"/>
      <c r="L3" s="58">
        <v>2013</v>
      </c>
      <c r="M3" s="58"/>
      <c r="N3" s="58"/>
      <c r="O3" s="4"/>
      <c r="P3" s="58">
        <v>2014</v>
      </c>
      <c r="Q3" s="58"/>
      <c r="R3" s="58"/>
      <c r="S3" s="4"/>
      <c r="T3" s="58">
        <v>2015</v>
      </c>
      <c r="U3" s="58"/>
      <c r="V3" s="58"/>
      <c r="W3" s="6"/>
      <c r="X3" s="58">
        <v>2016</v>
      </c>
      <c r="Y3" s="58"/>
      <c r="Z3" s="58"/>
      <c r="AA3" s="59" t="s">
        <v>8</v>
      </c>
      <c r="AB3" s="52"/>
    </row>
    <row r="4" spans="1:33" s="11" customFormat="1" ht="15.75" x14ac:dyDescent="0.25">
      <c r="A4" s="56"/>
      <c r="B4" s="8"/>
      <c r="C4" s="8"/>
      <c r="D4" s="8" t="s">
        <v>0</v>
      </c>
      <c r="E4" s="8" t="s">
        <v>1</v>
      </c>
      <c r="F4" s="8" t="s">
        <v>2</v>
      </c>
      <c r="G4" s="8"/>
      <c r="H4" s="8" t="s">
        <v>0</v>
      </c>
      <c r="I4" s="8" t="s">
        <v>1</v>
      </c>
      <c r="J4" s="8" t="s">
        <v>2</v>
      </c>
      <c r="K4" s="8"/>
      <c r="L4" s="8" t="s">
        <v>0</v>
      </c>
      <c r="M4" s="8" t="s">
        <v>1</v>
      </c>
      <c r="N4" s="8" t="s">
        <v>2</v>
      </c>
      <c r="O4" s="9"/>
      <c r="P4" s="8" t="s">
        <v>0</v>
      </c>
      <c r="Q4" s="8" t="s">
        <v>1</v>
      </c>
      <c r="R4" s="8" t="s">
        <v>2</v>
      </c>
      <c r="S4" s="9"/>
      <c r="T4" s="8" t="s">
        <v>0</v>
      </c>
      <c r="U4" s="8" t="s">
        <v>1</v>
      </c>
      <c r="V4" s="8" t="s">
        <v>2</v>
      </c>
      <c r="W4" s="10"/>
      <c r="X4" s="8" t="s">
        <v>0</v>
      </c>
      <c r="Y4" s="8" t="s">
        <v>1</v>
      </c>
      <c r="Z4" s="8" t="s">
        <v>2</v>
      </c>
      <c r="AA4" s="60"/>
      <c r="AB4" s="52"/>
    </row>
    <row r="5" spans="1:33" s="7" customFormat="1" ht="12.75" customHeight="1" x14ac:dyDescent="0.15">
      <c r="A5" s="57"/>
      <c r="B5" s="12"/>
      <c r="C5" s="13"/>
      <c r="D5" s="13" t="s">
        <v>3</v>
      </c>
      <c r="E5" s="13" t="s">
        <v>4</v>
      </c>
      <c r="F5" s="13" t="s">
        <v>5</v>
      </c>
      <c r="G5" s="13"/>
      <c r="H5" s="13" t="s">
        <v>3</v>
      </c>
      <c r="I5" s="13" t="s">
        <v>4</v>
      </c>
      <c r="J5" s="13" t="s">
        <v>5</v>
      </c>
      <c r="K5" s="13"/>
      <c r="L5" s="13" t="s">
        <v>3</v>
      </c>
      <c r="M5" s="13" t="s">
        <v>4</v>
      </c>
      <c r="N5" s="13" t="s">
        <v>5</v>
      </c>
      <c r="O5" s="12"/>
      <c r="P5" s="13" t="s">
        <v>3</v>
      </c>
      <c r="Q5" s="13" t="s">
        <v>4</v>
      </c>
      <c r="R5" s="13" t="s">
        <v>5</v>
      </c>
      <c r="S5" s="12"/>
      <c r="T5" s="13" t="s">
        <v>3</v>
      </c>
      <c r="U5" s="13" t="s">
        <v>4</v>
      </c>
      <c r="V5" s="13" t="s">
        <v>5</v>
      </c>
      <c r="W5" s="14"/>
      <c r="X5" s="13" t="s">
        <v>3</v>
      </c>
      <c r="Y5" s="13" t="s">
        <v>4</v>
      </c>
      <c r="Z5" s="13" t="s">
        <v>5</v>
      </c>
      <c r="AA5" s="61"/>
      <c r="AB5" s="52"/>
      <c r="AD5" s="49"/>
      <c r="AE5" s="47" t="s">
        <v>4</v>
      </c>
      <c r="AF5" s="47" t="s">
        <v>5</v>
      </c>
      <c r="AG5" s="49"/>
    </row>
    <row r="6" spans="1:33" s="7" customFormat="1" ht="18.75" x14ac:dyDescent="0.15">
      <c r="A6" s="15" t="s">
        <v>6</v>
      </c>
      <c r="B6" s="16"/>
      <c r="C6" s="1"/>
      <c r="D6" s="1">
        <v>785</v>
      </c>
      <c r="E6" s="1">
        <v>783</v>
      </c>
      <c r="F6" s="1">
        <v>2</v>
      </c>
      <c r="G6" s="1"/>
      <c r="H6" s="1">
        <v>561</v>
      </c>
      <c r="I6" s="1">
        <v>561</v>
      </c>
      <c r="J6" s="1">
        <v>0</v>
      </c>
      <c r="K6" s="1"/>
      <c r="L6" s="1">
        <v>402</v>
      </c>
      <c r="M6" s="1">
        <v>397</v>
      </c>
      <c r="N6" s="1">
        <v>5</v>
      </c>
      <c r="O6" s="10"/>
      <c r="P6" s="1">
        <v>260</v>
      </c>
      <c r="Q6" s="1">
        <v>252</v>
      </c>
      <c r="R6" s="1">
        <v>8</v>
      </c>
      <c r="S6" s="10"/>
      <c r="T6" s="1">
        <f>T7+T13</f>
        <v>498</v>
      </c>
      <c r="U6" s="1">
        <f>U7+U13</f>
        <v>430</v>
      </c>
      <c r="V6" s="1">
        <f>V7+V13</f>
        <v>68</v>
      </c>
      <c r="W6" s="17"/>
      <c r="X6" s="1">
        <f>X7+X13+X19+X23+X21</f>
        <v>821</v>
      </c>
      <c r="Y6" s="1">
        <f>Y7+Y13+Y19+Y23+Y21</f>
        <v>761</v>
      </c>
      <c r="Z6" s="1">
        <f>Z7+Z13+Z18+Z19+Z20+Z22+Z23</f>
        <v>60</v>
      </c>
      <c r="AA6" s="18" t="s">
        <v>9</v>
      </c>
      <c r="AB6" s="18"/>
      <c r="AD6" s="50" t="s">
        <v>6</v>
      </c>
      <c r="AE6" s="49">
        <f>Y6</f>
        <v>761</v>
      </c>
      <c r="AF6" s="49">
        <f>Z6</f>
        <v>60</v>
      </c>
      <c r="AG6" s="49">
        <f>SUM(AE6:AF6)</f>
        <v>821</v>
      </c>
    </row>
    <row r="7" spans="1:33" s="7" customFormat="1" ht="18.75" x14ac:dyDescent="0.15">
      <c r="A7" s="15" t="s">
        <v>10</v>
      </c>
      <c r="B7" s="16"/>
      <c r="C7" s="1"/>
      <c r="D7" s="1">
        <v>329</v>
      </c>
      <c r="E7" s="1">
        <v>327</v>
      </c>
      <c r="F7" s="1">
        <v>2</v>
      </c>
      <c r="G7" s="1"/>
      <c r="H7" s="1">
        <v>276</v>
      </c>
      <c r="I7" s="1">
        <v>276</v>
      </c>
      <c r="J7" s="1">
        <v>0</v>
      </c>
      <c r="K7" s="1"/>
      <c r="L7" s="1">
        <v>307</v>
      </c>
      <c r="M7" s="1">
        <v>302</v>
      </c>
      <c r="N7" s="1">
        <v>5</v>
      </c>
      <c r="O7" s="10"/>
      <c r="P7" s="1">
        <v>235</v>
      </c>
      <c r="Q7" s="1">
        <v>227</v>
      </c>
      <c r="R7" s="1">
        <v>8</v>
      </c>
      <c r="S7" s="10"/>
      <c r="T7" s="1">
        <f>T10+T11+T12+T23</f>
        <v>412</v>
      </c>
      <c r="U7" s="1">
        <f>U8+U9+U10+U11+U12+U23</f>
        <v>356</v>
      </c>
      <c r="V7" s="1">
        <f>V8+V9+V10+V11+V12+V23</f>
        <v>56</v>
      </c>
      <c r="W7" s="17"/>
      <c r="X7" s="1">
        <f>X8+X9+X10+X11+X12</f>
        <v>495</v>
      </c>
      <c r="Y7" s="1">
        <f>Y8+Y9+Y10+Y11+Y12</f>
        <v>435</v>
      </c>
      <c r="Z7" s="1">
        <f>Z8+Z9+Z10+Z11+Z12</f>
        <v>60</v>
      </c>
      <c r="AA7" s="18" t="s">
        <v>11</v>
      </c>
      <c r="AB7" s="18"/>
      <c r="AD7" s="15"/>
    </row>
    <row r="8" spans="1:33" s="7" customFormat="1" ht="18.75" x14ac:dyDescent="0.15">
      <c r="A8" s="19" t="s">
        <v>12</v>
      </c>
      <c r="B8" s="20"/>
      <c r="C8" s="2"/>
      <c r="D8" s="2">
        <v>0</v>
      </c>
      <c r="E8" s="2">
        <v>0</v>
      </c>
      <c r="F8" s="2">
        <v>0</v>
      </c>
      <c r="G8" s="2"/>
      <c r="H8" s="2">
        <v>0</v>
      </c>
      <c r="I8" s="2">
        <v>0</v>
      </c>
      <c r="J8" s="2">
        <v>0</v>
      </c>
      <c r="K8" s="2"/>
      <c r="L8" s="2">
        <v>0</v>
      </c>
      <c r="M8" s="2">
        <v>0</v>
      </c>
      <c r="N8" s="2">
        <v>0</v>
      </c>
      <c r="O8" s="21"/>
      <c r="P8" s="2">
        <v>0</v>
      </c>
      <c r="Q8" s="2">
        <v>0</v>
      </c>
      <c r="R8" s="2">
        <v>0</v>
      </c>
      <c r="S8" s="21"/>
      <c r="T8" s="2">
        <f>U8+V8</f>
        <v>0</v>
      </c>
      <c r="U8" s="2">
        <v>0</v>
      </c>
      <c r="V8" s="2">
        <v>0</v>
      </c>
      <c r="W8" s="17"/>
      <c r="X8" s="2">
        <f>Y8+Z8</f>
        <v>0</v>
      </c>
      <c r="Y8" s="2">
        <v>0</v>
      </c>
      <c r="Z8" s="2">
        <v>0</v>
      </c>
      <c r="AA8" s="22" t="s">
        <v>13</v>
      </c>
      <c r="AB8" s="22"/>
      <c r="AE8" s="47" t="s">
        <v>4</v>
      </c>
      <c r="AF8" s="47" t="s">
        <v>5</v>
      </c>
    </row>
    <row r="9" spans="1:33" s="7" customFormat="1" ht="18.75" x14ac:dyDescent="0.15">
      <c r="A9" s="19" t="s">
        <v>14</v>
      </c>
      <c r="B9" s="20"/>
      <c r="C9" s="2"/>
      <c r="D9" s="2">
        <v>7</v>
      </c>
      <c r="E9" s="2">
        <v>7</v>
      </c>
      <c r="F9" s="2">
        <v>0</v>
      </c>
      <c r="G9" s="2"/>
      <c r="H9" s="2">
        <v>1</v>
      </c>
      <c r="I9" s="2">
        <v>1</v>
      </c>
      <c r="J9" s="2">
        <v>0</v>
      </c>
      <c r="K9" s="2"/>
      <c r="L9" s="2">
        <v>0</v>
      </c>
      <c r="M9" s="2">
        <v>0</v>
      </c>
      <c r="N9" s="2">
        <v>0</v>
      </c>
      <c r="O9" s="21"/>
      <c r="P9" s="2">
        <v>25</v>
      </c>
      <c r="Q9" s="2">
        <v>22</v>
      </c>
      <c r="R9" s="2">
        <v>3</v>
      </c>
      <c r="S9" s="21"/>
      <c r="T9" s="2">
        <f>U9+V9</f>
        <v>0</v>
      </c>
      <c r="U9" s="2">
        <v>0</v>
      </c>
      <c r="V9" s="2">
        <v>0</v>
      </c>
      <c r="W9" s="17"/>
      <c r="X9" s="2">
        <f>Y9+Z9</f>
        <v>40</v>
      </c>
      <c r="Y9" s="2">
        <v>38</v>
      </c>
      <c r="Z9" s="2">
        <v>2</v>
      </c>
      <c r="AA9" s="22" t="s">
        <v>15</v>
      </c>
      <c r="AB9" s="22"/>
      <c r="AE9" s="48">
        <f>AE6/AG6*100</f>
        <v>92.691839220462839</v>
      </c>
      <c r="AF9" s="48">
        <f>AF6/AG6*100</f>
        <v>7.3081607795371495</v>
      </c>
    </row>
    <row r="10" spans="1:33" s="7" customFormat="1" ht="18.75" x14ac:dyDescent="0.15">
      <c r="A10" s="19" t="s">
        <v>16</v>
      </c>
      <c r="B10" s="20"/>
      <c r="C10" s="2"/>
      <c r="D10" s="2">
        <v>6</v>
      </c>
      <c r="E10" s="2">
        <v>4</v>
      </c>
      <c r="F10" s="2">
        <v>2</v>
      </c>
      <c r="G10" s="2"/>
      <c r="H10" s="2">
        <v>0</v>
      </c>
      <c r="I10" s="2">
        <v>0</v>
      </c>
      <c r="J10" s="2">
        <v>0</v>
      </c>
      <c r="K10" s="2"/>
      <c r="L10" s="2">
        <v>13</v>
      </c>
      <c r="M10" s="2">
        <v>8</v>
      </c>
      <c r="N10" s="2">
        <v>5</v>
      </c>
      <c r="O10" s="21"/>
      <c r="P10" s="2">
        <v>24</v>
      </c>
      <c r="Q10" s="2">
        <v>19</v>
      </c>
      <c r="R10" s="2">
        <v>5</v>
      </c>
      <c r="S10" s="21"/>
      <c r="T10" s="2">
        <f>U10+V10</f>
        <v>28</v>
      </c>
      <c r="U10" s="2">
        <v>26</v>
      </c>
      <c r="V10" s="2">
        <v>2</v>
      </c>
      <c r="W10" s="17"/>
      <c r="X10" s="2">
        <f>Y10+Z10</f>
        <v>96</v>
      </c>
      <c r="Y10" s="2">
        <v>84</v>
      </c>
      <c r="Z10" s="2">
        <v>12</v>
      </c>
      <c r="AA10" s="22" t="s">
        <v>17</v>
      </c>
      <c r="AB10" s="22"/>
    </row>
    <row r="11" spans="1:33" s="7" customFormat="1" ht="18.75" x14ac:dyDescent="0.15">
      <c r="A11" s="19" t="s">
        <v>18</v>
      </c>
      <c r="B11" s="20"/>
      <c r="C11" s="2"/>
      <c r="D11" s="2">
        <v>316</v>
      </c>
      <c r="E11" s="2">
        <v>316</v>
      </c>
      <c r="F11" s="2">
        <v>0</v>
      </c>
      <c r="G11" s="2"/>
      <c r="H11" s="2">
        <v>270</v>
      </c>
      <c r="I11" s="2">
        <v>270</v>
      </c>
      <c r="J11" s="2">
        <v>0</v>
      </c>
      <c r="K11" s="2"/>
      <c r="L11" s="2">
        <v>261</v>
      </c>
      <c r="M11" s="2">
        <v>261</v>
      </c>
      <c r="N11" s="2">
        <v>0</v>
      </c>
      <c r="O11" s="21"/>
      <c r="P11" s="2">
        <v>133</v>
      </c>
      <c r="Q11" s="2">
        <v>133</v>
      </c>
      <c r="R11" s="2">
        <v>0</v>
      </c>
      <c r="S11" s="21"/>
      <c r="T11" s="2">
        <f>U11+V11</f>
        <v>155</v>
      </c>
      <c r="U11" s="2">
        <v>117</v>
      </c>
      <c r="V11" s="2">
        <v>38</v>
      </c>
      <c r="W11" s="17"/>
      <c r="X11" s="2">
        <f>Y11+Z11</f>
        <v>167</v>
      </c>
      <c r="Y11" s="2">
        <v>167</v>
      </c>
      <c r="Z11" s="2">
        <v>0</v>
      </c>
      <c r="AA11" s="22" t="s">
        <v>19</v>
      </c>
      <c r="AB11" s="22"/>
    </row>
    <row r="12" spans="1:33" s="7" customFormat="1" ht="18.75" x14ac:dyDescent="0.15">
      <c r="A12" s="19" t="s">
        <v>20</v>
      </c>
      <c r="B12" s="20"/>
      <c r="C12" s="2"/>
      <c r="D12" s="2">
        <v>0</v>
      </c>
      <c r="E12" s="2">
        <v>0</v>
      </c>
      <c r="F12" s="2">
        <v>0</v>
      </c>
      <c r="G12" s="2"/>
      <c r="H12" s="2">
        <v>5</v>
      </c>
      <c r="I12" s="2">
        <v>5</v>
      </c>
      <c r="J12" s="2">
        <v>0</v>
      </c>
      <c r="K12" s="2"/>
      <c r="L12" s="2">
        <v>33</v>
      </c>
      <c r="M12" s="2">
        <v>33</v>
      </c>
      <c r="N12" s="2">
        <v>0</v>
      </c>
      <c r="O12" s="23"/>
      <c r="P12" s="2">
        <v>53</v>
      </c>
      <c r="Q12" s="2">
        <v>53</v>
      </c>
      <c r="R12" s="2">
        <v>0</v>
      </c>
      <c r="S12" s="23"/>
      <c r="T12" s="2">
        <v>109</v>
      </c>
      <c r="U12" s="2">
        <v>98</v>
      </c>
      <c r="V12" s="2">
        <v>11</v>
      </c>
      <c r="W12" s="17"/>
      <c r="X12" s="2">
        <f>Y12+Z12</f>
        <v>192</v>
      </c>
      <c r="Y12" s="2">
        <v>146</v>
      </c>
      <c r="Z12" s="2">
        <v>46</v>
      </c>
      <c r="AA12" s="22" t="s">
        <v>21</v>
      </c>
      <c r="AB12" s="22"/>
    </row>
    <row r="13" spans="1:33" s="25" customFormat="1" ht="18.75" x14ac:dyDescent="0.15">
      <c r="A13" s="15" t="s">
        <v>22</v>
      </c>
      <c r="B13" s="16"/>
      <c r="C13" s="1"/>
      <c r="D13" s="1">
        <v>51</v>
      </c>
      <c r="E13" s="1">
        <v>51</v>
      </c>
      <c r="F13" s="1">
        <v>0</v>
      </c>
      <c r="G13" s="1"/>
      <c r="H13" s="1">
        <v>4</v>
      </c>
      <c r="I13" s="1">
        <v>4</v>
      </c>
      <c r="J13" s="1">
        <v>0</v>
      </c>
      <c r="K13" s="1"/>
      <c r="L13" s="1">
        <v>6</v>
      </c>
      <c r="M13" s="1">
        <v>6</v>
      </c>
      <c r="N13" s="1">
        <v>0</v>
      </c>
      <c r="O13" s="10"/>
      <c r="P13" s="1">
        <v>25</v>
      </c>
      <c r="Q13" s="1">
        <v>25</v>
      </c>
      <c r="R13" s="1">
        <v>0</v>
      </c>
      <c r="S13" s="10"/>
      <c r="T13" s="1">
        <f>T15+T16+T17</f>
        <v>86</v>
      </c>
      <c r="U13" s="1">
        <f>U15+U16+U17</f>
        <v>74</v>
      </c>
      <c r="V13" s="1">
        <f>V15+V16+V17</f>
        <v>12</v>
      </c>
      <c r="W13" s="17"/>
      <c r="X13" s="1">
        <f>Y13+Z13</f>
        <v>173</v>
      </c>
      <c r="Y13" s="1">
        <f>Y15+Y16+Y17+Y14</f>
        <v>173</v>
      </c>
      <c r="Z13" s="1">
        <f>Z15+Z16+Z17</f>
        <v>0</v>
      </c>
      <c r="AA13" s="24" t="s">
        <v>23</v>
      </c>
      <c r="AB13" s="24"/>
    </row>
    <row r="14" spans="1:33" s="25" customFormat="1" ht="18.75" x14ac:dyDescent="0.15">
      <c r="A14" s="19" t="s">
        <v>16</v>
      </c>
      <c r="B14" s="16"/>
      <c r="C14" s="1"/>
      <c r="D14" s="1"/>
      <c r="E14" s="1"/>
      <c r="F14" s="1"/>
      <c r="G14" s="1"/>
      <c r="H14" s="1"/>
      <c r="I14" s="1"/>
      <c r="J14" s="1"/>
      <c r="K14" s="1"/>
      <c r="L14" s="1">
        <v>0</v>
      </c>
      <c r="M14" s="1">
        <v>0</v>
      </c>
      <c r="N14" s="1">
        <v>0</v>
      </c>
      <c r="O14" s="10"/>
      <c r="P14" s="1">
        <v>0</v>
      </c>
      <c r="Q14" s="1">
        <v>0</v>
      </c>
      <c r="R14" s="1">
        <v>0</v>
      </c>
      <c r="S14" s="10"/>
      <c r="T14" s="1">
        <v>0</v>
      </c>
      <c r="U14" s="1">
        <v>0</v>
      </c>
      <c r="V14" s="1">
        <v>0</v>
      </c>
      <c r="W14" s="17"/>
      <c r="X14" s="2">
        <f>Y14+Z14</f>
        <v>13</v>
      </c>
      <c r="Y14" s="1">
        <v>13</v>
      </c>
      <c r="Z14" s="1">
        <v>0</v>
      </c>
      <c r="AA14" s="22" t="s">
        <v>17</v>
      </c>
      <c r="AB14" s="22"/>
    </row>
    <row r="15" spans="1:33" s="7" customFormat="1" ht="18.75" x14ac:dyDescent="0.15">
      <c r="A15" s="19" t="s">
        <v>24</v>
      </c>
      <c r="B15" s="26"/>
      <c r="C15" s="2"/>
      <c r="D15" s="2">
        <v>46</v>
      </c>
      <c r="E15" s="2">
        <v>46</v>
      </c>
      <c r="F15" s="2">
        <v>0</v>
      </c>
      <c r="G15" s="2"/>
      <c r="H15" s="2">
        <v>4</v>
      </c>
      <c r="I15" s="2">
        <v>4</v>
      </c>
      <c r="J15" s="2">
        <v>0</v>
      </c>
      <c r="K15" s="2"/>
      <c r="L15" s="2">
        <v>6</v>
      </c>
      <c r="M15" s="2">
        <v>6</v>
      </c>
      <c r="N15" s="2">
        <v>0</v>
      </c>
      <c r="O15" s="21"/>
      <c r="P15" s="2">
        <v>3</v>
      </c>
      <c r="Q15" s="2">
        <v>3</v>
      </c>
      <c r="R15" s="2">
        <v>0</v>
      </c>
      <c r="S15" s="21"/>
      <c r="T15" s="2">
        <f t="shared" ref="T15:T22" si="0">U15+V15</f>
        <v>0</v>
      </c>
      <c r="U15" s="2">
        <v>0</v>
      </c>
      <c r="V15" s="2">
        <v>0</v>
      </c>
      <c r="W15" s="17"/>
      <c r="X15" s="2">
        <f>Y15+Z15</f>
        <v>19</v>
      </c>
      <c r="Y15" s="2">
        <v>19</v>
      </c>
      <c r="Z15" s="2">
        <v>0</v>
      </c>
      <c r="AA15" s="22" t="s">
        <v>25</v>
      </c>
      <c r="AB15" s="22"/>
    </row>
    <row r="16" spans="1:33" s="7" customFormat="1" ht="18.75" x14ac:dyDescent="0.15">
      <c r="A16" s="19" t="s">
        <v>20</v>
      </c>
      <c r="B16" s="20"/>
      <c r="C16" s="2"/>
      <c r="D16" s="2">
        <v>0</v>
      </c>
      <c r="E16" s="2">
        <v>0</v>
      </c>
      <c r="F16" s="2">
        <v>0</v>
      </c>
      <c r="G16" s="2"/>
      <c r="H16" s="2">
        <v>0</v>
      </c>
      <c r="I16" s="2">
        <v>0</v>
      </c>
      <c r="J16" s="2">
        <v>0</v>
      </c>
      <c r="K16" s="2"/>
      <c r="L16" s="2">
        <v>0</v>
      </c>
      <c r="M16" s="2">
        <v>0</v>
      </c>
      <c r="N16" s="2">
        <v>0</v>
      </c>
      <c r="O16" s="23"/>
      <c r="P16" s="2">
        <v>22</v>
      </c>
      <c r="Q16" s="2">
        <v>22</v>
      </c>
      <c r="R16" s="2">
        <v>0</v>
      </c>
      <c r="S16" s="23"/>
      <c r="T16" s="2">
        <f t="shared" si="0"/>
        <v>74</v>
      </c>
      <c r="U16" s="2">
        <v>74</v>
      </c>
      <c r="V16" s="2">
        <v>0</v>
      </c>
      <c r="W16" s="17"/>
      <c r="X16" s="2">
        <f t="shared" ref="X16:X23" si="1">Y16+Z16</f>
        <v>141</v>
      </c>
      <c r="Y16" s="2">
        <v>141</v>
      </c>
      <c r="Z16" s="2">
        <v>0</v>
      </c>
      <c r="AA16" s="22" t="s">
        <v>21</v>
      </c>
      <c r="AB16" s="22"/>
    </row>
    <row r="17" spans="1:28" s="7" customFormat="1" ht="18.75" x14ac:dyDescent="0.15">
      <c r="A17" s="19" t="s">
        <v>26</v>
      </c>
      <c r="B17" s="20"/>
      <c r="C17" s="2"/>
      <c r="D17" s="2">
        <f>E17+F17</f>
        <v>0</v>
      </c>
      <c r="E17" s="2">
        <v>0</v>
      </c>
      <c r="F17" s="2">
        <v>0</v>
      </c>
      <c r="G17" s="2"/>
      <c r="H17" s="2">
        <f>I17+J17</f>
        <v>0</v>
      </c>
      <c r="I17" s="2">
        <v>0</v>
      </c>
      <c r="J17" s="2">
        <v>0</v>
      </c>
      <c r="K17" s="2"/>
      <c r="L17" s="2">
        <f>M17+N17</f>
        <v>0</v>
      </c>
      <c r="M17" s="2">
        <v>0</v>
      </c>
      <c r="N17" s="2">
        <v>0</v>
      </c>
      <c r="O17" s="23"/>
      <c r="P17" s="2">
        <f>Q17+R17</f>
        <v>0</v>
      </c>
      <c r="Q17" s="2">
        <v>0</v>
      </c>
      <c r="R17" s="2">
        <v>0</v>
      </c>
      <c r="S17" s="23"/>
      <c r="T17" s="2">
        <f t="shared" si="0"/>
        <v>12</v>
      </c>
      <c r="U17" s="2">
        <v>0</v>
      </c>
      <c r="V17" s="2">
        <v>12</v>
      </c>
      <c r="W17" s="17"/>
      <c r="X17" s="2">
        <f t="shared" si="1"/>
        <v>0</v>
      </c>
      <c r="Y17" s="2">
        <v>0</v>
      </c>
      <c r="Z17" s="2">
        <v>0</v>
      </c>
      <c r="AA17" s="22" t="s">
        <v>27</v>
      </c>
      <c r="AB17" s="22"/>
    </row>
    <row r="18" spans="1:28" s="7" customFormat="1" ht="18.75" x14ac:dyDescent="0.15">
      <c r="A18" s="27" t="s">
        <v>28</v>
      </c>
      <c r="B18" s="16"/>
      <c r="C18" s="1"/>
      <c r="D18" s="1">
        <v>256</v>
      </c>
      <c r="E18" s="1">
        <v>256</v>
      </c>
      <c r="F18" s="1">
        <v>0</v>
      </c>
      <c r="G18" s="1"/>
      <c r="H18" s="1">
        <v>37</v>
      </c>
      <c r="I18" s="1">
        <v>37</v>
      </c>
      <c r="J18" s="1">
        <v>0</v>
      </c>
      <c r="K18" s="1"/>
      <c r="L18" s="1">
        <v>75</v>
      </c>
      <c r="M18" s="1">
        <v>75</v>
      </c>
      <c r="N18" s="1">
        <v>0</v>
      </c>
      <c r="O18" s="10"/>
      <c r="P18" s="1">
        <v>0</v>
      </c>
      <c r="Q18" s="1">
        <v>0</v>
      </c>
      <c r="R18" s="1">
        <v>0</v>
      </c>
      <c r="S18" s="10"/>
      <c r="T18" s="1">
        <f t="shared" si="0"/>
        <v>0</v>
      </c>
      <c r="U18" s="1">
        <v>0</v>
      </c>
      <c r="V18" s="1">
        <v>0</v>
      </c>
      <c r="W18" s="17"/>
      <c r="X18" s="1">
        <f t="shared" si="1"/>
        <v>0</v>
      </c>
      <c r="Y18" s="1">
        <v>0</v>
      </c>
      <c r="Z18" s="1">
        <v>0</v>
      </c>
      <c r="AA18" s="18" t="s">
        <v>29</v>
      </c>
      <c r="AB18" s="18"/>
    </row>
    <row r="19" spans="1:28" s="7" customFormat="1" ht="18.75" x14ac:dyDescent="0.15">
      <c r="A19" s="27" t="s">
        <v>30</v>
      </c>
      <c r="B19" s="16"/>
      <c r="C19" s="1"/>
      <c r="D19" s="1">
        <v>149</v>
      </c>
      <c r="E19" s="1">
        <v>149</v>
      </c>
      <c r="F19" s="1">
        <v>0</v>
      </c>
      <c r="G19" s="1"/>
      <c r="H19" s="1">
        <v>21</v>
      </c>
      <c r="I19" s="1">
        <v>21</v>
      </c>
      <c r="J19" s="1">
        <v>0</v>
      </c>
      <c r="K19" s="1"/>
      <c r="L19" s="1">
        <v>14</v>
      </c>
      <c r="M19" s="1">
        <v>14</v>
      </c>
      <c r="N19" s="1">
        <v>0</v>
      </c>
      <c r="O19" s="10"/>
      <c r="P19" s="1">
        <v>0</v>
      </c>
      <c r="Q19" s="1">
        <v>0</v>
      </c>
      <c r="R19" s="1">
        <v>0</v>
      </c>
      <c r="S19" s="10"/>
      <c r="T19" s="1">
        <f t="shared" si="0"/>
        <v>0</v>
      </c>
      <c r="U19" s="1">
        <v>0</v>
      </c>
      <c r="V19" s="1">
        <v>0</v>
      </c>
      <c r="W19" s="17"/>
      <c r="X19" s="1">
        <f t="shared" si="1"/>
        <v>23</v>
      </c>
      <c r="Y19" s="1">
        <v>23</v>
      </c>
      <c r="Z19" s="1">
        <v>0</v>
      </c>
      <c r="AA19" s="18" t="s">
        <v>31</v>
      </c>
      <c r="AB19" s="18"/>
    </row>
    <row r="20" spans="1:28" s="7" customFormat="1" ht="18.75" x14ac:dyDescent="0.15">
      <c r="A20" s="27" t="s">
        <v>32</v>
      </c>
      <c r="B20" s="16"/>
      <c r="C20" s="1"/>
      <c r="D20" s="1">
        <v>0</v>
      </c>
      <c r="E20" s="1">
        <v>0</v>
      </c>
      <c r="F20" s="1">
        <v>0</v>
      </c>
      <c r="G20" s="1"/>
      <c r="H20" s="1">
        <v>25</v>
      </c>
      <c r="I20" s="1">
        <v>25</v>
      </c>
      <c r="J20" s="1">
        <v>0</v>
      </c>
      <c r="K20" s="1"/>
      <c r="L20" s="1">
        <v>0</v>
      </c>
      <c r="M20" s="1">
        <v>0</v>
      </c>
      <c r="N20" s="1">
        <v>0</v>
      </c>
      <c r="O20" s="10"/>
      <c r="P20" s="1">
        <v>0</v>
      </c>
      <c r="Q20" s="1">
        <v>0</v>
      </c>
      <c r="R20" s="1">
        <v>0</v>
      </c>
      <c r="S20" s="10"/>
      <c r="T20" s="1">
        <f t="shared" si="0"/>
        <v>0</v>
      </c>
      <c r="U20" s="1">
        <v>0</v>
      </c>
      <c r="V20" s="1">
        <v>0</v>
      </c>
      <c r="W20" s="17"/>
      <c r="X20" s="1">
        <f t="shared" si="1"/>
        <v>0</v>
      </c>
      <c r="Y20" s="1">
        <v>0</v>
      </c>
      <c r="Z20" s="1">
        <v>0</v>
      </c>
      <c r="AA20" s="28" t="s">
        <v>33</v>
      </c>
      <c r="AB20" s="28"/>
    </row>
    <row r="21" spans="1:28" s="7" customFormat="1" ht="18.75" x14ac:dyDescent="0.15">
      <c r="A21" s="27" t="s">
        <v>34</v>
      </c>
      <c r="B21" s="16"/>
      <c r="C21" s="1"/>
      <c r="D21" s="1"/>
      <c r="E21" s="1"/>
      <c r="F21" s="1"/>
      <c r="G21" s="1"/>
      <c r="H21" s="1"/>
      <c r="I21" s="1"/>
      <c r="J21" s="1"/>
      <c r="K21" s="1"/>
      <c r="L21" s="1">
        <v>0</v>
      </c>
      <c r="M21" s="1">
        <v>0</v>
      </c>
      <c r="N21" s="1">
        <v>0</v>
      </c>
      <c r="O21" s="10"/>
      <c r="P21" s="1">
        <v>0</v>
      </c>
      <c r="Q21" s="1">
        <v>0</v>
      </c>
      <c r="R21" s="1">
        <v>0</v>
      </c>
      <c r="S21" s="10"/>
      <c r="T21" s="1">
        <f t="shared" si="0"/>
        <v>0</v>
      </c>
      <c r="U21" s="1">
        <v>0</v>
      </c>
      <c r="V21" s="1">
        <v>0</v>
      </c>
      <c r="W21" s="17"/>
      <c r="X21" s="1">
        <f t="shared" si="1"/>
        <v>23</v>
      </c>
      <c r="Y21" s="1">
        <v>23</v>
      </c>
      <c r="Z21" s="1">
        <v>0</v>
      </c>
      <c r="AA21" s="28" t="s">
        <v>35</v>
      </c>
      <c r="AB21" s="28"/>
    </row>
    <row r="22" spans="1:28" s="7" customFormat="1" ht="18.75" x14ac:dyDescent="0.15">
      <c r="A22" s="27" t="s">
        <v>36</v>
      </c>
      <c r="B22" s="16"/>
      <c r="C22" s="1"/>
      <c r="D22" s="1">
        <v>0</v>
      </c>
      <c r="E22" s="1">
        <v>0</v>
      </c>
      <c r="F22" s="1">
        <v>0</v>
      </c>
      <c r="G22" s="1"/>
      <c r="H22" s="1">
        <v>198</v>
      </c>
      <c r="I22" s="1">
        <v>198</v>
      </c>
      <c r="J22" s="1">
        <v>0</v>
      </c>
      <c r="K22" s="1"/>
      <c r="L22" s="1">
        <v>0</v>
      </c>
      <c r="M22" s="1">
        <v>0</v>
      </c>
      <c r="N22" s="1">
        <v>0</v>
      </c>
      <c r="O22" s="10"/>
      <c r="P22" s="1">
        <v>0</v>
      </c>
      <c r="Q22" s="1">
        <v>0</v>
      </c>
      <c r="R22" s="1">
        <v>0</v>
      </c>
      <c r="S22" s="10"/>
      <c r="T22" s="1">
        <f t="shared" si="0"/>
        <v>0</v>
      </c>
      <c r="U22" s="1">
        <v>0</v>
      </c>
      <c r="V22" s="1">
        <v>0</v>
      </c>
      <c r="W22" s="17"/>
      <c r="X22" s="1">
        <f t="shared" si="1"/>
        <v>0</v>
      </c>
      <c r="Y22" s="1">
        <v>0</v>
      </c>
      <c r="Z22" s="1">
        <v>0</v>
      </c>
      <c r="AA22" s="28" t="s">
        <v>37</v>
      </c>
      <c r="AB22" s="28"/>
    </row>
    <row r="23" spans="1:28" s="7" customFormat="1" ht="18.75" x14ac:dyDescent="0.15">
      <c r="A23" s="29" t="s">
        <v>38</v>
      </c>
      <c r="B23" s="30"/>
      <c r="C23" s="31"/>
      <c r="D23" s="31">
        <v>0</v>
      </c>
      <c r="E23" s="31">
        <v>0</v>
      </c>
      <c r="F23" s="31">
        <v>0</v>
      </c>
      <c r="G23" s="31"/>
      <c r="H23" s="31">
        <v>198</v>
      </c>
      <c r="I23" s="31">
        <v>198</v>
      </c>
      <c r="J23" s="31">
        <v>0</v>
      </c>
      <c r="K23" s="31"/>
      <c r="L23" s="31">
        <v>0</v>
      </c>
      <c r="M23" s="31">
        <v>0</v>
      </c>
      <c r="N23" s="31">
        <v>0</v>
      </c>
      <c r="O23" s="32"/>
      <c r="P23" s="31">
        <v>0</v>
      </c>
      <c r="Q23" s="31">
        <v>0</v>
      </c>
      <c r="R23" s="31">
        <v>0</v>
      </c>
      <c r="S23" s="32"/>
      <c r="T23" s="31">
        <f>U23+V23</f>
        <v>120</v>
      </c>
      <c r="U23" s="31">
        <v>115</v>
      </c>
      <c r="V23" s="31">
        <v>5</v>
      </c>
      <c r="W23" s="33"/>
      <c r="X23" s="31">
        <f t="shared" si="1"/>
        <v>107</v>
      </c>
      <c r="Y23" s="31">
        <v>107</v>
      </c>
      <c r="Z23" s="31">
        <v>0</v>
      </c>
      <c r="AA23" s="34" t="s">
        <v>39</v>
      </c>
      <c r="AB23" s="28"/>
    </row>
    <row r="24" spans="1:28" s="7" customFormat="1" ht="18.75" x14ac:dyDescent="0.15">
      <c r="A24" s="35" t="s">
        <v>40</v>
      </c>
      <c r="B24" s="1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0"/>
      <c r="P24" s="1"/>
      <c r="Q24" s="1"/>
      <c r="R24" s="1"/>
      <c r="S24" s="10"/>
      <c r="T24" s="1"/>
      <c r="U24" s="1"/>
      <c r="V24" s="1"/>
      <c r="W24" s="17"/>
      <c r="X24" s="1"/>
      <c r="Y24" s="1"/>
      <c r="Z24" s="1"/>
      <c r="AA24" s="36" t="s">
        <v>41</v>
      </c>
      <c r="AB24" s="36"/>
    </row>
    <row r="25" spans="1:28" s="7" customFormat="1" ht="18.75" x14ac:dyDescent="0.5">
      <c r="A25" s="37" t="s">
        <v>42</v>
      </c>
      <c r="B25" s="38"/>
      <c r="C25" s="39"/>
      <c r="D25" s="38"/>
      <c r="E25" s="38"/>
      <c r="F25" s="39"/>
      <c r="G25" s="39"/>
      <c r="H25" s="38"/>
      <c r="I25" s="38"/>
      <c r="J25" s="39"/>
      <c r="K25" s="39"/>
      <c r="L25" s="38"/>
      <c r="M25" s="38"/>
      <c r="N25" s="39"/>
      <c r="O25" s="38"/>
      <c r="P25" s="38"/>
      <c r="Q25" s="38"/>
      <c r="R25" s="39"/>
      <c r="S25" s="38"/>
      <c r="T25" s="38"/>
      <c r="U25" s="38"/>
      <c r="V25" s="39"/>
      <c r="W25" s="40"/>
      <c r="X25" s="38"/>
      <c r="Y25" s="38"/>
      <c r="Z25" s="39"/>
      <c r="AA25" s="41" t="s">
        <v>43</v>
      </c>
      <c r="AB25" s="41"/>
    </row>
    <row r="26" spans="1:28" s="7" customFormat="1" x14ac:dyDescent="0.15">
      <c r="A26" s="42"/>
      <c r="B26" s="42"/>
      <c r="C26" s="43"/>
      <c r="D26" s="42"/>
      <c r="E26" s="42"/>
      <c r="F26" s="43"/>
      <c r="G26" s="43"/>
      <c r="H26" s="42"/>
      <c r="I26" s="42"/>
      <c r="J26" s="43"/>
      <c r="K26" s="43"/>
      <c r="L26" s="42"/>
      <c r="M26" s="42"/>
      <c r="N26" s="43"/>
      <c r="O26" s="42"/>
      <c r="P26" s="42"/>
      <c r="Q26" s="42"/>
      <c r="R26" s="43"/>
      <c r="S26" s="42"/>
      <c r="T26" s="42"/>
      <c r="U26" s="42"/>
      <c r="V26" s="43"/>
      <c r="W26" s="44"/>
      <c r="X26" s="42"/>
      <c r="Y26" s="42"/>
      <c r="Z26" s="43"/>
      <c r="AA26" s="42"/>
      <c r="AB26" s="42"/>
    </row>
    <row r="27" spans="1:28" s="7" customFormat="1" x14ac:dyDescent="0.15">
      <c r="A27" s="42"/>
      <c r="B27" s="42"/>
      <c r="C27" s="43"/>
      <c r="D27" s="42"/>
      <c r="E27" s="42"/>
      <c r="F27" s="43"/>
      <c r="G27" s="43"/>
      <c r="H27" s="42"/>
      <c r="I27" s="42"/>
      <c r="J27" s="43"/>
      <c r="K27" s="43"/>
      <c r="L27" s="42"/>
      <c r="M27" s="42"/>
      <c r="N27" s="43"/>
      <c r="O27" s="42"/>
      <c r="P27" s="42"/>
      <c r="Q27" s="42"/>
      <c r="R27" s="43"/>
      <c r="S27" s="42"/>
      <c r="T27" s="42"/>
      <c r="U27" s="42"/>
      <c r="V27" s="43"/>
      <c r="W27" s="44"/>
      <c r="X27" s="42"/>
      <c r="Y27" s="42"/>
      <c r="Z27" s="43"/>
      <c r="AA27" s="42"/>
      <c r="AB27" s="42"/>
    </row>
    <row r="28" spans="1:28" s="7" customFormat="1" x14ac:dyDescent="0.15">
      <c r="A28" s="42"/>
      <c r="B28" s="42"/>
      <c r="C28" s="43"/>
      <c r="D28" s="42"/>
      <c r="E28" s="42"/>
      <c r="F28" s="43"/>
      <c r="G28" s="43"/>
      <c r="H28" s="42"/>
      <c r="I28" s="42"/>
      <c r="J28" s="43"/>
      <c r="K28" s="43"/>
      <c r="L28" s="42"/>
      <c r="M28" s="42"/>
      <c r="N28" s="43"/>
      <c r="O28" s="42"/>
      <c r="P28" s="42"/>
      <c r="Q28" s="42"/>
      <c r="R28" s="43"/>
      <c r="S28" s="42"/>
      <c r="T28" s="42"/>
      <c r="U28" s="42"/>
      <c r="V28" s="43"/>
      <c r="W28" s="44"/>
      <c r="X28" s="42"/>
      <c r="Y28" s="42"/>
      <c r="Z28" s="43"/>
      <c r="AA28" s="42"/>
      <c r="AB28" s="42"/>
    </row>
    <row r="29" spans="1:28" s="7" customFormat="1" x14ac:dyDescent="0.15">
      <c r="A29" s="42"/>
      <c r="B29" s="42"/>
      <c r="C29" s="43"/>
      <c r="D29" s="42"/>
      <c r="E29" s="42"/>
      <c r="F29" s="43"/>
      <c r="G29" s="43"/>
      <c r="H29" s="42"/>
      <c r="I29" s="42"/>
      <c r="J29" s="43"/>
      <c r="K29" s="43"/>
      <c r="L29" s="42"/>
      <c r="M29" s="42"/>
      <c r="N29" s="43"/>
      <c r="O29" s="42"/>
      <c r="P29" s="42"/>
      <c r="Q29" s="42"/>
      <c r="R29" s="43"/>
      <c r="S29" s="42"/>
      <c r="T29" s="42"/>
      <c r="U29" s="42"/>
      <c r="V29" s="43"/>
      <c r="W29" s="44"/>
      <c r="X29" s="42"/>
      <c r="Y29" s="42"/>
      <c r="Z29" s="43"/>
      <c r="AA29" s="42"/>
      <c r="AB29" s="42"/>
    </row>
    <row r="33" s="3" customFormat="1" x14ac:dyDescent="0.15"/>
    <row r="34" s="3" customFormat="1" x14ac:dyDescent="0.15"/>
    <row r="35" s="3" customFormat="1" x14ac:dyDescent="0.15"/>
    <row r="36" s="3" customFormat="1" x14ac:dyDescent="0.15"/>
    <row r="37" s="3" customFormat="1" x14ac:dyDescent="0.15"/>
    <row r="38" s="3" customFormat="1" x14ac:dyDescent="0.15"/>
    <row r="39" s="3" customFormat="1" x14ac:dyDescent="0.15"/>
    <row r="40" s="3" customFormat="1" x14ac:dyDescent="0.15"/>
    <row r="41" s="3" customFormat="1" x14ac:dyDescent="0.15"/>
    <row r="42" s="3" customFormat="1" x14ac:dyDescent="0.15"/>
    <row r="43" s="3" customFormat="1" x14ac:dyDescent="0.15"/>
    <row r="44" s="3" customFormat="1" x14ac:dyDescent="0.15"/>
    <row r="45" s="3" customFormat="1" x14ac:dyDescent="0.15"/>
    <row r="46" s="3" customFormat="1" x14ac:dyDescent="0.15"/>
    <row r="47" s="3" customFormat="1" x14ac:dyDescent="0.15"/>
    <row r="48" s="3" customFormat="1" x14ac:dyDescent="0.15"/>
    <row r="49" s="3" customFormat="1" x14ac:dyDescent="0.15"/>
    <row r="50" s="3" customFormat="1" x14ac:dyDescent="0.15"/>
    <row r="51" s="3" customFormat="1" x14ac:dyDescent="0.15"/>
    <row r="52" s="3" customFormat="1" x14ac:dyDescent="0.15"/>
    <row r="53" s="3" customFormat="1" x14ac:dyDescent="0.15"/>
    <row r="54" s="3" customFormat="1" x14ac:dyDescent="0.15"/>
    <row r="55" s="3" customFormat="1" x14ac:dyDescent="0.15"/>
    <row r="56" s="3" customFormat="1" x14ac:dyDescent="0.15"/>
    <row r="57" s="3" customFormat="1" x14ac:dyDescent="0.15"/>
    <row r="58" s="3" customFormat="1" x14ac:dyDescent="0.15"/>
    <row r="59" s="3" customFormat="1" x14ac:dyDescent="0.15"/>
    <row r="60" s="3" customFormat="1" x14ac:dyDescent="0.15"/>
    <row r="61" s="3" customFormat="1" x14ac:dyDescent="0.15"/>
    <row r="62" s="3" customFormat="1" x14ac:dyDescent="0.15"/>
    <row r="63" s="3" customFormat="1" x14ac:dyDescent="0.15"/>
    <row r="64" s="3" customFormat="1" x14ac:dyDescent="0.15"/>
    <row r="65" s="3" customFormat="1" x14ac:dyDescent="0.15"/>
    <row r="66" s="3" customFormat="1" x14ac:dyDescent="0.15"/>
    <row r="67" s="3" customFormat="1" x14ac:dyDescent="0.15"/>
    <row r="68" s="3" customFormat="1" x14ac:dyDescent="0.15"/>
    <row r="69" s="3" customFormat="1" x14ac:dyDescent="0.15"/>
    <row r="70" s="3" customFormat="1" x14ac:dyDescent="0.15"/>
    <row r="71" s="3" customFormat="1" x14ac:dyDescent="0.15"/>
    <row r="72" s="3" customFormat="1" x14ac:dyDescent="0.15"/>
    <row r="73" s="3" customFormat="1" x14ac:dyDescent="0.15"/>
    <row r="74" s="3" customFormat="1" x14ac:dyDescent="0.15"/>
    <row r="75" s="3" customFormat="1" x14ac:dyDescent="0.15"/>
    <row r="76" s="3" customFormat="1" x14ac:dyDescent="0.15"/>
    <row r="77" s="3" customFormat="1" x14ac:dyDescent="0.15"/>
    <row r="78" s="3" customFormat="1" x14ac:dyDescent="0.15"/>
    <row r="79" s="3" customFormat="1" x14ac:dyDescent="0.15"/>
    <row r="80" s="3" customFormat="1" x14ac:dyDescent="0.15"/>
    <row r="81" s="3" customFormat="1" x14ac:dyDescent="0.15"/>
    <row r="82" s="3" customFormat="1" x14ac:dyDescent="0.15"/>
    <row r="83" s="3" customFormat="1" x14ac:dyDescent="0.15"/>
    <row r="84" s="3" customFormat="1" x14ac:dyDescent="0.15"/>
    <row r="85" s="3" customFormat="1" x14ac:dyDescent="0.15"/>
    <row r="86" s="3" customFormat="1" x14ac:dyDescent="0.15"/>
    <row r="87" s="3" customFormat="1" x14ac:dyDescent="0.15"/>
    <row r="88" s="3" customFormat="1" x14ac:dyDescent="0.15"/>
    <row r="89" s="3" customFormat="1" x14ac:dyDescent="0.15"/>
    <row r="90" s="3" customFormat="1" x14ac:dyDescent="0.15"/>
    <row r="91" s="3" customFormat="1" x14ac:dyDescent="0.15"/>
    <row r="92" s="3" customFormat="1" x14ac:dyDescent="0.15"/>
    <row r="93" s="3" customFormat="1" x14ac:dyDescent="0.15"/>
    <row r="94" s="3" customFormat="1" x14ac:dyDescent="0.15"/>
    <row r="95" s="3" customFormat="1" x14ac:dyDescent="0.15"/>
    <row r="96" s="3" customFormat="1" x14ac:dyDescent="0.15"/>
    <row r="97" s="3" customFormat="1" x14ac:dyDescent="0.15"/>
    <row r="98" s="3" customFormat="1" x14ac:dyDescent="0.15"/>
    <row r="99" s="3" customFormat="1" x14ac:dyDescent="0.15"/>
    <row r="100" s="3" customFormat="1" x14ac:dyDescent="0.15"/>
    <row r="101" s="3" customFormat="1" x14ac:dyDescent="0.15"/>
    <row r="102" s="3" customFormat="1" x14ac:dyDescent="0.15"/>
    <row r="103" s="3" customFormat="1" x14ac:dyDescent="0.15"/>
    <row r="104" s="3" customFormat="1" x14ac:dyDescent="0.15"/>
    <row r="105" s="3" customFormat="1" x14ac:dyDescent="0.15"/>
    <row r="106" s="3" customFormat="1" x14ac:dyDescent="0.15"/>
    <row r="107" s="3" customFormat="1" x14ac:dyDescent="0.15"/>
    <row r="108" s="3" customFormat="1" x14ac:dyDescent="0.15"/>
    <row r="109" s="3" customFormat="1" x14ac:dyDescent="0.15"/>
    <row r="110" s="3" customFormat="1" x14ac:dyDescent="0.15"/>
    <row r="111" s="3" customFormat="1" x14ac:dyDescent="0.15"/>
    <row r="112" s="3" customFormat="1" x14ac:dyDescent="0.15"/>
    <row r="113" s="3" customFormat="1" x14ac:dyDescent="0.15"/>
    <row r="114" s="3" customFormat="1" x14ac:dyDescent="0.15"/>
    <row r="115" s="3" customFormat="1" x14ac:dyDescent="0.15"/>
    <row r="116" s="3" customFormat="1" x14ac:dyDescent="0.15"/>
    <row r="117" s="3" customFormat="1" x14ac:dyDescent="0.15"/>
    <row r="118" s="3" customFormat="1" x14ac:dyDescent="0.15"/>
    <row r="119" s="3" customFormat="1" x14ac:dyDescent="0.15"/>
    <row r="120" s="3" customFormat="1" x14ac:dyDescent="0.15"/>
    <row r="121" s="3" customFormat="1" x14ac:dyDescent="0.15"/>
    <row r="122" s="3" customFormat="1" x14ac:dyDescent="0.15"/>
    <row r="123" s="3" customFormat="1" x14ac:dyDescent="0.15"/>
    <row r="124" s="3" customFormat="1" x14ac:dyDescent="0.15"/>
    <row r="125" s="3" customFormat="1" x14ac:dyDescent="0.15"/>
    <row r="126" s="3" customFormat="1" x14ac:dyDescent="0.15"/>
    <row r="127" s="3" customFormat="1" x14ac:dyDescent="0.15"/>
    <row r="128" s="3" customFormat="1" x14ac:dyDescent="0.15"/>
    <row r="129" s="3" customFormat="1" x14ac:dyDescent="0.15"/>
    <row r="130" s="3" customFormat="1" x14ac:dyDescent="0.15"/>
    <row r="131" s="3" customFormat="1" x14ac:dyDescent="0.15"/>
    <row r="132" s="3" customFormat="1" x14ac:dyDescent="0.15"/>
    <row r="133" s="3" customFormat="1" x14ac:dyDescent="0.15"/>
    <row r="134" s="3" customFormat="1" x14ac:dyDescent="0.15"/>
    <row r="135" s="3" customFormat="1" x14ac:dyDescent="0.15"/>
    <row r="136" s="3" customFormat="1" x14ac:dyDescent="0.15"/>
    <row r="137" s="3" customFormat="1" x14ac:dyDescent="0.15"/>
    <row r="138" s="3" customFormat="1" x14ac:dyDescent="0.15"/>
    <row r="139" s="3" customFormat="1" x14ac:dyDescent="0.15"/>
    <row r="140" s="3" customFormat="1" x14ac:dyDescent="0.15"/>
    <row r="141" s="3" customFormat="1" x14ac:dyDescent="0.15"/>
    <row r="142" s="3" customFormat="1" x14ac:dyDescent="0.15"/>
    <row r="143" s="3" customFormat="1" x14ac:dyDescent="0.15"/>
    <row r="144" s="3" customFormat="1" x14ac:dyDescent="0.15"/>
    <row r="145" s="3" customFormat="1" x14ac:dyDescent="0.15"/>
    <row r="146" s="3" customFormat="1" x14ac:dyDescent="0.15"/>
    <row r="147" s="3" customFormat="1" x14ac:dyDescent="0.15"/>
    <row r="148" s="3" customFormat="1" x14ac:dyDescent="0.15"/>
    <row r="149" s="3" customFormat="1" x14ac:dyDescent="0.15"/>
    <row r="150" s="3" customFormat="1" x14ac:dyDescent="0.15"/>
    <row r="151" s="3" customFormat="1" x14ac:dyDescent="0.15"/>
    <row r="152" s="3" customFormat="1" x14ac:dyDescent="0.15"/>
    <row r="153" s="3" customFormat="1" x14ac:dyDescent="0.15"/>
    <row r="154" s="3" customFormat="1" x14ac:dyDescent="0.15"/>
    <row r="155" s="3" customFormat="1" x14ac:dyDescent="0.15"/>
    <row r="156" s="3" customFormat="1" x14ac:dyDescent="0.15"/>
    <row r="157" s="3" customFormat="1" x14ac:dyDescent="0.15"/>
    <row r="158" s="3" customFormat="1" x14ac:dyDescent="0.15"/>
    <row r="159" s="3" customFormat="1" x14ac:dyDescent="0.15"/>
    <row r="160" s="3" customFormat="1" x14ac:dyDescent="0.15"/>
    <row r="161" s="3" customFormat="1" x14ac:dyDescent="0.15"/>
    <row r="162" s="3" customFormat="1" x14ac:dyDescent="0.15"/>
    <row r="163" s="3" customFormat="1" x14ac:dyDescent="0.15"/>
    <row r="164" s="3" customFormat="1" x14ac:dyDescent="0.15"/>
    <row r="165" s="3" customFormat="1" x14ac:dyDescent="0.15"/>
    <row r="166" s="3" customFormat="1" x14ac:dyDescent="0.15"/>
    <row r="167" s="3" customFormat="1" x14ac:dyDescent="0.15"/>
    <row r="168" s="3" customFormat="1" x14ac:dyDescent="0.15"/>
    <row r="169" s="3" customFormat="1" x14ac:dyDescent="0.15"/>
    <row r="170" s="3" customFormat="1" x14ac:dyDescent="0.15"/>
    <row r="171" s="3" customFormat="1" x14ac:dyDescent="0.15"/>
    <row r="172" s="3" customFormat="1" x14ac:dyDescent="0.15"/>
    <row r="173" s="3" customFormat="1" x14ac:dyDescent="0.15"/>
    <row r="174" s="3" customFormat="1" x14ac:dyDescent="0.15"/>
    <row r="175" s="3" customFormat="1" x14ac:dyDescent="0.15"/>
    <row r="176" s="3" customFormat="1" x14ac:dyDescent="0.15"/>
    <row r="177" s="3" customFormat="1" x14ac:dyDescent="0.15"/>
    <row r="178" s="3" customFormat="1" x14ac:dyDescent="0.15"/>
    <row r="179" s="3" customFormat="1" x14ac:dyDescent="0.15"/>
    <row r="180" s="3" customFormat="1" x14ac:dyDescent="0.15"/>
    <row r="181" s="3" customFormat="1" x14ac:dyDescent="0.15"/>
    <row r="182" s="3" customFormat="1" x14ac:dyDescent="0.15"/>
    <row r="183" s="3" customFormat="1" x14ac:dyDescent="0.15"/>
    <row r="184" s="3" customFormat="1" x14ac:dyDescent="0.15"/>
    <row r="185" s="3" customFormat="1" x14ac:dyDescent="0.15"/>
    <row r="186" s="3" customFormat="1" x14ac:dyDescent="0.15"/>
    <row r="187" s="3" customFormat="1" x14ac:dyDescent="0.15"/>
    <row r="188" s="3" customFormat="1" x14ac:dyDescent="0.15"/>
    <row r="189" s="3" customFormat="1" x14ac:dyDescent="0.15"/>
    <row r="190" s="3" customFormat="1" x14ac:dyDescent="0.15"/>
    <row r="191" s="3" customFormat="1" x14ac:dyDescent="0.15"/>
    <row r="192" s="3" customFormat="1" x14ac:dyDescent="0.15"/>
    <row r="193" s="3" customFormat="1" x14ac:dyDescent="0.15"/>
    <row r="194" s="3" customFormat="1" x14ac:dyDescent="0.15"/>
    <row r="195" s="3" customFormat="1" x14ac:dyDescent="0.15"/>
    <row r="196" s="3" customFormat="1" x14ac:dyDescent="0.15"/>
    <row r="197" s="3" customFormat="1" x14ac:dyDescent="0.15"/>
    <row r="198" s="3" customFormat="1" x14ac:dyDescent="0.15"/>
    <row r="199" s="3" customFormat="1" x14ac:dyDescent="0.15"/>
    <row r="200" s="3" customFormat="1" x14ac:dyDescent="0.15"/>
    <row r="201" s="3" customFormat="1" x14ac:dyDescent="0.15"/>
    <row r="202" s="3" customFormat="1" x14ac:dyDescent="0.15"/>
    <row r="203" s="3" customFormat="1" x14ac:dyDescent="0.15"/>
    <row r="204" s="3" customFormat="1" x14ac:dyDescent="0.15"/>
    <row r="205" s="3" customFormat="1" x14ac:dyDescent="0.15"/>
    <row r="206" s="3" customFormat="1" x14ac:dyDescent="0.15"/>
    <row r="207" s="3" customFormat="1" x14ac:dyDescent="0.15"/>
    <row r="208" s="3" customFormat="1" x14ac:dyDescent="0.15"/>
    <row r="209" s="3" customFormat="1" x14ac:dyDescent="0.15"/>
    <row r="210" s="3" customFormat="1" x14ac:dyDescent="0.15"/>
    <row r="211" s="3" customFormat="1" x14ac:dyDescent="0.15"/>
    <row r="212" s="3" customFormat="1" x14ac:dyDescent="0.15"/>
    <row r="213" s="3" customFormat="1" x14ac:dyDescent="0.15"/>
    <row r="214" s="3" customFormat="1" x14ac:dyDescent="0.15"/>
    <row r="215" s="3" customFormat="1" x14ac:dyDescent="0.15"/>
    <row r="216" s="3" customFormat="1" x14ac:dyDescent="0.15"/>
    <row r="217" s="3" customFormat="1" x14ac:dyDescent="0.15"/>
    <row r="218" s="3" customFormat="1" x14ac:dyDescent="0.15"/>
    <row r="219" s="3" customFormat="1" x14ac:dyDescent="0.15"/>
    <row r="220" s="3" customFormat="1" x14ac:dyDescent="0.15"/>
    <row r="221" s="3" customFormat="1" x14ac:dyDescent="0.15"/>
    <row r="222" s="3" customFormat="1" x14ac:dyDescent="0.15"/>
    <row r="223" s="3" customFormat="1" x14ac:dyDescent="0.15"/>
    <row r="224" s="3" customFormat="1" x14ac:dyDescent="0.15"/>
    <row r="225" s="3" customFormat="1" x14ac:dyDescent="0.15"/>
    <row r="226" s="3" customFormat="1" x14ac:dyDescent="0.15"/>
    <row r="227" s="3" customFormat="1" x14ac:dyDescent="0.15"/>
    <row r="228" s="3" customFormat="1" x14ac:dyDescent="0.15"/>
    <row r="229" s="3" customFormat="1" x14ac:dyDescent="0.15"/>
    <row r="230" s="3" customFormat="1" x14ac:dyDescent="0.15"/>
    <row r="231" s="3" customFormat="1" x14ac:dyDescent="0.15"/>
    <row r="232" s="3" customFormat="1" x14ac:dyDescent="0.15"/>
    <row r="233" s="3" customFormat="1" x14ac:dyDescent="0.15"/>
    <row r="234" s="3" customFormat="1" x14ac:dyDescent="0.15"/>
    <row r="235" s="3" customFormat="1" x14ac:dyDescent="0.15"/>
    <row r="236" s="3" customFormat="1" x14ac:dyDescent="0.15"/>
    <row r="237" s="3" customFormat="1" x14ac:dyDescent="0.15"/>
    <row r="238" s="3" customFormat="1" x14ac:dyDescent="0.15"/>
    <row r="239" s="3" customFormat="1" x14ac:dyDescent="0.15"/>
    <row r="240" s="3" customFormat="1" x14ac:dyDescent="0.15"/>
    <row r="241" s="3" customFormat="1" x14ac:dyDescent="0.15"/>
    <row r="242" s="3" customFormat="1" x14ac:dyDescent="0.15"/>
    <row r="243" s="3" customFormat="1" x14ac:dyDescent="0.15"/>
    <row r="244" s="3" customFormat="1" x14ac:dyDescent="0.15"/>
    <row r="245" s="3" customFormat="1" x14ac:dyDescent="0.15"/>
    <row r="246" s="3" customFormat="1" x14ac:dyDescent="0.15"/>
    <row r="247" s="3" customFormat="1" x14ac:dyDescent="0.15"/>
    <row r="248" s="3" customFormat="1" x14ac:dyDescent="0.15"/>
    <row r="249" s="3" customFormat="1" x14ac:dyDescent="0.15"/>
    <row r="250" s="3" customFormat="1" x14ac:dyDescent="0.15"/>
    <row r="251" s="3" customFormat="1" x14ac:dyDescent="0.15"/>
    <row r="252" s="3" customFormat="1" x14ac:dyDescent="0.15"/>
    <row r="253" s="3" customFormat="1" x14ac:dyDescent="0.15"/>
    <row r="254" s="3" customFormat="1" x14ac:dyDescent="0.15"/>
    <row r="255" s="3" customFormat="1" x14ac:dyDescent="0.15"/>
    <row r="256" s="3" customFormat="1" x14ac:dyDescent="0.15"/>
    <row r="257" s="3" customFormat="1" x14ac:dyDescent="0.15"/>
    <row r="258" s="3" customFormat="1" x14ac:dyDescent="0.15"/>
    <row r="259" s="3" customFormat="1" x14ac:dyDescent="0.15"/>
    <row r="260" s="3" customFormat="1" x14ac:dyDescent="0.15"/>
    <row r="261" s="3" customFormat="1" x14ac:dyDescent="0.15"/>
    <row r="262" s="3" customFormat="1" x14ac:dyDescent="0.15"/>
    <row r="263" s="3" customFormat="1" x14ac:dyDescent="0.15"/>
    <row r="264" s="3" customFormat="1" x14ac:dyDescent="0.15"/>
    <row r="265" s="3" customFormat="1" x14ac:dyDescent="0.15"/>
    <row r="266" s="3" customFormat="1" x14ac:dyDescent="0.15"/>
    <row r="267" s="3" customFormat="1" x14ac:dyDescent="0.15"/>
    <row r="268" s="3" customFormat="1" x14ac:dyDescent="0.15"/>
    <row r="269" s="3" customFormat="1" x14ac:dyDescent="0.15"/>
    <row r="270" s="3" customFormat="1" x14ac:dyDescent="0.15"/>
    <row r="271" s="3" customFormat="1" x14ac:dyDescent="0.15"/>
    <row r="272" s="3" customFormat="1" x14ac:dyDescent="0.15"/>
    <row r="273" s="3" customFormat="1" x14ac:dyDescent="0.15"/>
    <row r="274" s="3" customFormat="1" x14ac:dyDescent="0.15"/>
    <row r="275" s="3" customFormat="1" x14ac:dyDescent="0.15"/>
    <row r="276" s="3" customFormat="1" x14ac:dyDescent="0.15"/>
    <row r="277" s="3" customFormat="1" x14ac:dyDescent="0.15"/>
    <row r="278" s="3" customFormat="1" x14ac:dyDescent="0.15"/>
    <row r="279" s="3" customFormat="1" x14ac:dyDescent="0.15"/>
    <row r="280" s="3" customFormat="1" x14ac:dyDescent="0.15"/>
    <row r="281" s="3" customFormat="1" x14ac:dyDescent="0.15"/>
    <row r="282" s="3" customFormat="1" x14ac:dyDescent="0.15"/>
    <row r="283" s="3" customFormat="1" x14ac:dyDescent="0.15"/>
    <row r="284" s="3" customFormat="1" x14ac:dyDescent="0.15"/>
    <row r="285" s="3" customFormat="1" x14ac:dyDescent="0.15"/>
    <row r="286" s="3" customFormat="1" x14ac:dyDescent="0.15"/>
    <row r="287" s="3" customFormat="1" x14ac:dyDescent="0.15"/>
    <row r="288" s="3" customFormat="1" x14ac:dyDescent="0.15"/>
    <row r="289" s="3" customFormat="1" x14ac:dyDescent="0.15"/>
    <row r="290" s="3" customFormat="1" x14ac:dyDescent="0.15"/>
    <row r="291" s="3" customFormat="1" x14ac:dyDescent="0.15"/>
    <row r="292" s="3" customFormat="1" x14ac:dyDescent="0.15"/>
    <row r="293" s="3" customFormat="1" x14ac:dyDescent="0.15"/>
    <row r="294" s="3" customFormat="1" x14ac:dyDescent="0.15"/>
    <row r="295" s="3" customFormat="1" x14ac:dyDescent="0.15"/>
    <row r="296" s="3" customFormat="1" x14ac:dyDescent="0.15"/>
    <row r="297" s="3" customFormat="1" x14ac:dyDescent="0.15"/>
    <row r="298" s="3" customFormat="1" x14ac:dyDescent="0.15"/>
    <row r="299" s="3" customFormat="1" x14ac:dyDescent="0.15"/>
    <row r="300" s="3" customFormat="1" x14ac:dyDescent="0.15"/>
    <row r="301" s="3" customFormat="1" x14ac:dyDescent="0.15"/>
    <row r="302" s="3" customFormat="1" x14ac:dyDescent="0.15"/>
    <row r="303" s="3" customFormat="1" x14ac:dyDescent="0.15"/>
    <row r="304" s="3" customFormat="1" x14ac:dyDescent="0.15"/>
    <row r="305" s="3" customFormat="1" x14ac:dyDescent="0.15"/>
    <row r="306" s="3" customFormat="1" x14ac:dyDescent="0.15"/>
    <row r="307" s="3" customFormat="1" x14ac:dyDescent="0.15"/>
    <row r="308" s="3" customFormat="1" x14ac:dyDescent="0.15"/>
    <row r="309" s="3" customFormat="1" x14ac:dyDescent="0.15"/>
    <row r="310" s="3" customFormat="1" x14ac:dyDescent="0.15"/>
    <row r="311" s="3" customFormat="1" x14ac:dyDescent="0.15"/>
    <row r="312" s="3" customFormat="1" x14ac:dyDescent="0.15"/>
    <row r="313" s="3" customFormat="1" x14ac:dyDescent="0.15"/>
    <row r="314" s="3" customFormat="1" x14ac:dyDescent="0.15"/>
    <row r="315" s="3" customFormat="1" x14ac:dyDescent="0.15"/>
    <row r="316" s="3" customFormat="1" x14ac:dyDescent="0.15"/>
    <row r="317" s="3" customFormat="1" x14ac:dyDescent="0.15"/>
    <row r="318" s="3" customFormat="1" x14ac:dyDescent="0.15"/>
    <row r="319" s="3" customFormat="1" x14ac:dyDescent="0.15"/>
    <row r="320" s="3" customFormat="1" x14ac:dyDescent="0.15"/>
    <row r="321" s="3" customFormat="1" x14ac:dyDescent="0.15"/>
    <row r="322" s="3" customFormat="1" x14ac:dyDescent="0.15"/>
    <row r="323" s="3" customFormat="1" x14ac:dyDescent="0.15"/>
    <row r="324" s="3" customFormat="1" x14ac:dyDescent="0.15"/>
    <row r="325" s="3" customFormat="1" x14ac:dyDescent="0.15"/>
    <row r="326" s="3" customFormat="1" x14ac:dyDescent="0.15"/>
    <row r="327" s="3" customFormat="1" x14ac:dyDescent="0.15"/>
    <row r="328" s="3" customFormat="1" x14ac:dyDescent="0.15"/>
    <row r="329" s="3" customFormat="1" x14ac:dyDescent="0.15"/>
    <row r="330" s="3" customFormat="1" x14ac:dyDescent="0.15"/>
    <row r="331" s="3" customFormat="1" x14ac:dyDescent="0.15"/>
    <row r="332" s="3" customFormat="1" x14ac:dyDescent="0.15"/>
    <row r="333" s="3" customFormat="1" x14ac:dyDescent="0.15"/>
    <row r="334" s="3" customFormat="1" x14ac:dyDescent="0.15"/>
    <row r="335" s="3" customFormat="1" x14ac:dyDescent="0.15"/>
    <row r="336" s="3" customFormat="1" x14ac:dyDescent="0.15"/>
    <row r="337" s="3" customFormat="1" x14ac:dyDescent="0.15"/>
    <row r="338" s="3" customFormat="1" x14ac:dyDescent="0.15"/>
    <row r="339" s="3" customFormat="1" x14ac:dyDescent="0.15"/>
    <row r="340" s="3" customFormat="1" x14ac:dyDescent="0.15"/>
    <row r="341" s="3" customFormat="1" x14ac:dyDescent="0.15"/>
    <row r="342" s="3" customFormat="1" x14ac:dyDescent="0.15"/>
    <row r="343" s="3" customFormat="1" x14ac:dyDescent="0.15"/>
    <row r="344" s="3" customFormat="1" x14ac:dyDescent="0.15"/>
    <row r="345" s="3" customFormat="1" x14ac:dyDescent="0.15"/>
    <row r="346" s="3" customFormat="1" x14ac:dyDescent="0.15"/>
    <row r="347" s="3" customFormat="1" x14ac:dyDescent="0.15"/>
    <row r="348" s="3" customFormat="1" x14ac:dyDescent="0.15"/>
    <row r="349" s="3" customFormat="1" x14ac:dyDescent="0.15"/>
    <row r="350" s="3" customFormat="1" x14ac:dyDescent="0.15"/>
    <row r="351" s="3" customFormat="1" x14ac:dyDescent="0.15"/>
    <row r="352" s="3" customFormat="1" x14ac:dyDescent="0.15"/>
    <row r="353" s="3" customFormat="1" x14ac:dyDescent="0.15"/>
    <row r="354" s="3" customFormat="1" x14ac:dyDescent="0.15"/>
    <row r="355" s="3" customFormat="1" x14ac:dyDescent="0.15"/>
    <row r="356" s="3" customFormat="1" x14ac:dyDescent="0.15"/>
    <row r="357" s="3" customFormat="1" x14ac:dyDescent="0.15"/>
    <row r="358" s="3" customFormat="1" x14ac:dyDescent="0.15"/>
    <row r="359" s="3" customFormat="1" x14ac:dyDescent="0.15"/>
    <row r="360" s="3" customFormat="1" x14ac:dyDescent="0.15"/>
    <row r="361" s="3" customFormat="1" x14ac:dyDescent="0.15"/>
    <row r="362" s="3" customFormat="1" x14ac:dyDescent="0.15"/>
    <row r="363" s="3" customFormat="1" x14ac:dyDescent="0.15"/>
    <row r="364" s="3" customFormat="1" x14ac:dyDescent="0.15"/>
    <row r="365" s="3" customFormat="1" x14ac:dyDescent="0.15"/>
    <row r="366" s="3" customFormat="1" x14ac:dyDescent="0.15"/>
    <row r="367" s="3" customFormat="1" x14ac:dyDescent="0.15"/>
    <row r="368" s="3" customFormat="1" x14ac:dyDescent="0.15"/>
    <row r="369" s="3" customFormat="1" x14ac:dyDescent="0.15"/>
    <row r="370" s="3" customFormat="1" x14ac:dyDescent="0.15"/>
    <row r="371" s="3" customFormat="1" x14ac:dyDescent="0.15"/>
    <row r="372" s="3" customFormat="1" x14ac:dyDescent="0.15"/>
    <row r="373" s="3" customFormat="1" x14ac:dyDescent="0.15"/>
    <row r="374" s="3" customFormat="1" x14ac:dyDescent="0.15"/>
    <row r="375" s="3" customFormat="1" x14ac:dyDescent="0.15"/>
    <row r="376" s="3" customFormat="1" x14ac:dyDescent="0.15"/>
  </sheetData>
  <mergeCells count="10">
    <mergeCell ref="A1:AA1"/>
    <mergeCell ref="A2:AA2"/>
    <mergeCell ref="A3:A5"/>
    <mergeCell ref="D3:F3"/>
    <mergeCell ref="H3:J3"/>
    <mergeCell ref="L3:N3"/>
    <mergeCell ref="P3:R3"/>
    <mergeCell ref="T3:V3"/>
    <mergeCell ref="X3:Z3"/>
    <mergeCell ref="AA3:AA5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7.21</vt:lpstr>
      <vt:lpstr>'7.21'!Print_Area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2017-11-09T06:50:34Z</cp:lastPrinted>
  <dcterms:created xsi:type="dcterms:W3CDTF">2014-03-05T03:36:41Z</dcterms:created>
  <dcterms:modified xsi:type="dcterms:W3CDTF">2017-11-09T06:50:38Z</dcterms:modified>
</cp:coreProperties>
</file>