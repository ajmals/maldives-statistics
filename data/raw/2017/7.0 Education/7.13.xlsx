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13" sheetId="19" r:id="rId1"/>
  </sheets>
  <externalReferences>
    <externalReference r:id="rId2"/>
  </externalReferences>
  <definedNames>
    <definedName name="_xlnm.Print_Area" localSheetId="0">'7.13'!$A$1:$AK$89</definedName>
  </definedNames>
  <calcPr calcId="144525"/>
</workbook>
</file>

<file path=xl/calcChain.xml><?xml version="1.0" encoding="utf-8"?>
<calcChain xmlns="http://schemas.openxmlformats.org/spreadsheetml/2006/main">
  <c r="BE11" i="19" l="1"/>
  <c r="BG11" i="19"/>
  <c r="BI11" i="19"/>
  <c r="BK11" i="19"/>
  <c r="BM11" i="19"/>
  <c r="BO11" i="19"/>
  <c r="BQ11" i="19"/>
  <c r="BS11" i="19"/>
  <c r="BU11" i="19"/>
  <c r="BW11" i="19"/>
  <c r="BY11" i="19"/>
  <c r="CA11" i="19"/>
  <c r="CC11" i="19"/>
  <c r="CE11" i="19"/>
  <c r="CG11" i="19"/>
  <c r="CI11" i="19"/>
  <c r="BE12" i="19"/>
  <c r="BG12" i="19"/>
  <c r="BI12" i="19"/>
  <c r="BK12" i="19"/>
  <c r="BM12" i="19"/>
  <c r="BO12" i="19"/>
  <c r="BQ12" i="19"/>
  <c r="BS12" i="19"/>
  <c r="BU12" i="19"/>
  <c r="BW12" i="19"/>
  <c r="BY12" i="19"/>
  <c r="CA12" i="19"/>
  <c r="CC12" i="19"/>
  <c r="CE12" i="19"/>
  <c r="CG12" i="19"/>
  <c r="CI12" i="19"/>
  <c r="CI10" i="19"/>
  <c r="CG10" i="19"/>
  <c r="CE10" i="19"/>
  <c r="CC10" i="19"/>
  <c r="CA10" i="19"/>
  <c r="BY10" i="19"/>
  <c r="BW10" i="19"/>
  <c r="BU10" i="19"/>
  <c r="BS10" i="19"/>
  <c r="BQ10" i="19"/>
  <c r="BO10" i="19"/>
  <c r="BM10" i="19"/>
  <c r="BK10" i="19"/>
  <c r="BI10" i="19"/>
  <c r="BG10" i="19"/>
  <c r="BE10" i="19"/>
  <c r="F8" i="19" l="1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E8" i="19"/>
  <c r="B7" i="19" l="1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C7" i="19"/>
  <c r="D7" i="19"/>
  <c r="C9" i="19"/>
  <c r="D9" i="19"/>
  <c r="C10" i="19"/>
  <c r="D10" i="19"/>
  <c r="C11" i="19"/>
  <c r="D11" i="19"/>
  <c r="C12" i="19"/>
  <c r="D12" i="19"/>
  <c r="C13" i="19"/>
  <c r="D13" i="19"/>
  <c r="C14" i="19"/>
  <c r="D14" i="19"/>
  <c r="C15" i="19"/>
  <c r="D15" i="19"/>
  <c r="C16" i="19"/>
  <c r="D16" i="19"/>
  <c r="C17" i="19"/>
  <c r="D17" i="19"/>
  <c r="C18" i="19"/>
  <c r="D18" i="19"/>
  <c r="C19" i="19"/>
  <c r="D19" i="19"/>
  <c r="C20" i="19"/>
  <c r="D20" i="19"/>
  <c r="C21" i="19"/>
  <c r="D21" i="19"/>
  <c r="C22" i="19"/>
  <c r="D22" i="19"/>
  <c r="C23" i="19"/>
  <c r="D23" i="19"/>
  <c r="C24" i="19"/>
  <c r="D24" i="19"/>
  <c r="C25" i="19"/>
  <c r="D25" i="19"/>
  <c r="C26" i="19"/>
  <c r="D26" i="19"/>
  <c r="C27" i="19"/>
  <c r="D27" i="19"/>
  <c r="C28" i="19"/>
  <c r="D28" i="19"/>
  <c r="K6" i="19" l="1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J6" i="19"/>
  <c r="I6" i="19"/>
  <c r="H6" i="19"/>
  <c r="G6" i="19"/>
  <c r="E6" i="19" l="1"/>
  <c r="B8" i="19"/>
  <c r="C8" i="19"/>
  <c r="F6" i="19"/>
  <c r="D6" i="19" s="1"/>
  <c r="D8" i="19"/>
  <c r="B6" i="19" l="1"/>
  <c r="AK7" i="19" s="1"/>
  <c r="C6" i="19"/>
  <c r="AK15" i="19" l="1"/>
  <c r="AK23" i="19"/>
  <c r="AK16" i="19"/>
  <c r="AK24" i="19"/>
  <c r="AK12" i="19"/>
  <c r="AK11" i="19"/>
  <c r="AK19" i="19"/>
  <c r="AK27" i="19"/>
  <c r="AK20" i="19"/>
  <c r="AK28" i="19"/>
  <c r="AK6" i="19"/>
  <c r="AK17" i="19"/>
  <c r="AK9" i="19"/>
  <c r="AK26" i="19"/>
  <c r="AK22" i="19"/>
  <c r="AK18" i="19"/>
  <c r="AK21" i="19"/>
  <c r="AK13" i="19"/>
  <c r="AK14" i="19"/>
  <c r="AK10" i="19"/>
  <c r="AK25" i="19"/>
  <c r="AK8" i="19"/>
</calcChain>
</file>

<file path=xl/sharedStrings.xml><?xml version="1.0" encoding="utf-8"?>
<sst xmlns="http://schemas.openxmlformats.org/spreadsheetml/2006/main" count="191" uniqueCount="70">
  <si>
    <t>Male</t>
  </si>
  <si>
    <t>Female</t>
  </si>
  <si>
    <t>Total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</si>
  <si>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</si>
  <si>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</si>
  <si>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</si>
  <si>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</si>
  <si>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</si>
  <si>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</si>
  <si>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</si>
  <si>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</si>
  <si>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</si>
  <si>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</si>
  <si>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</si>
  <si>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</si>
  <si>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</si>
  <si>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</si>
  <si>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</si>
  <si>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</si>
  <si>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</si>
  <si>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</si>
  <si>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</si>
  <si>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</si>
  <si>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HA</t>
  </si>
  <si>
    <t>HDh</t>
  </si>
  <si>
    <t>Sh</t>
  </si>
  <si>
    <t>R</t>
  </si>
  <si>
    <t>LKG</t>
  </si>
  <si>
    <t>UKG</t>
  </si>
  <si>
    <t>Special</t>
  </si>
  <si>
    <t>TOTAL</t>
  </si>
  <si>
    <t>Name of Atoll</t>
  </si>
  <si>
    <t>Nurs.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</si>
  <si>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</si>
  <si>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</si>
  <si>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</si>
  <si>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</si>
  <si>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</si>
  <si>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</si>
  <si>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</si>
  <si>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</si>
  <si>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</si>
  <si>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</si>
  <si>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</si>
  <si>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</si>
  <si>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</si>
  <si>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</si>
  <si>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</si>
  <si>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</si>
  <si>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</si>
  <si>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</si>
  <si>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</si>
  <si>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</si>
  <si>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</si>
  <si>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</si>
  <si>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</si>
  <si>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</si>
  <si>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</si>
  <si>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</si>
  <si>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</si>
  <si>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</si>
  <si>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</si>
  <si>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</si>
  <si>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</si>
  <si>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</si>
  <si>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% Share</t>
  </si>
  <si>
    <t>Both sex</t>
  </si>
  <si>
    <t>TABLE 7.13: ENROLMENT IN MALE' AND ATOLLS BY GRADE AND SEX, 2016</t>
  </si>
  <si>
    <t xml:space="preserve"> 2016 ,cnikwv cscnij idwa cDErcg ,udwdwA egcnidukWvwyik ibit iawgukwtuLotwa iaWaelWm :7.13 ulwvWt</t>
  </si>
  <si>
    <t>sex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</si>
</sst>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_(* ###0_);_(* \(###0\);_(* &quot;&quot;_);_(@_)"/>
    <numFmt numFmtId="169" formatCode="0.0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8"/>
      <name val="A_Randhoo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_Waheed"/>
    </font>
    <font>
      <b/>
      <i/>
      <sz val="16"/>
      <name val="Helv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13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9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2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84">
    <xf numFmtId="0" fontId="0" fillId="0" borderId="0" xfId="0"/>
    <xf numFmtId="165" fontId="3" fillId="2" borderId="0" xfId="0" applyNumberFormat="1" applyFont="1" applyFill="1" applyAlignment="1" applyProtection="1">
      <alignment horizontal="left" vertical="center" indent="1"/>
    </xf>
    <xf numFmtId="165" fontId="3" fillId="2" borderId="1" xfId="0" applyNumberFormat="1" applyFont="1" applyFill="1" applyBorder="1" applyAlignment="1" applyProtection="1">
      <alignment horizontal="left" vertical="center" indent="1"/>
    </xf>
    <xf numFmtId="165" fontId="10" fillId="2" borderId="0" xfId="0" applyNumberFormat="1" applyFont="1" applyFill="1" applyAlignment="1" applyProtection="1">
      <alignment horizontal="left" vertical="center"/>
    </xf>
    <xf numFmtId="165" fontId="11" fillId="2" borderId="0" xfId="0" applyNumberFormat="1" applyFont="1" applyFill="1" applyBorder="1" applyAlignment="1">
      <alignment horizontal="right" vertical="center"/>
    </xf>
    <xf numFmtId="0" fontId="0" fillId="2" borderId="0" xfId="0" applyFont="1" applyFill="1" applyBorder="1"/>
    <xf numFmtId="3" fontId="6" fillId="2" borderId="0" xfId="0" applyNumberFormat="1" applyFont="1" applyFill="1" applyBorder="1" applyAlignment="1">
      <alignment horizontal="right" vertical="center"/>
    </xf>
    <xf numFmtId="169" fontId="0" fillId="2" borderId="0" xfId="0" applyNumberFormat="1" applyFont="1" applyFill="1" applyBorder="1" applyAlignment="1">
      <alignment horizontal="right" vertical="center"/>
    </xf>
    <xf numFmtId="169" fontId="0" fillId="2" borderId="12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right" vertical="center"/>
    </xf>
    <xf numFmtId="3" fontId="6" fillId="2" borderId="0" xfId="12" applyNumberFormat="1" applyFont="1" applyFill="1" applyBorder="1" applyAlignment="1">
      <alignment horizontal="right" vertical="center"/>
    </xf>
    <xf numFmtId="3" fontId="6" fillId="2" borderId="0" xfId="13" applyNumberFormat="1" applyFont="1" applyFill="1" applyBorder="1" applyAlignment="1">
      <alignment horizontal="right" vertical="center"/>
    </xf>
    <xf numFmtId="3" fontId="6" fillId="2" borderId="0" xfId="14" applyNumberFormat="1" applyFont="1" applyFill="1" applyBorder="1" applyAlignment="1">
      <alignment horizontal="right" vertical="center"/>
    </xf>
    <xf numFmtId="3" fontId="6" fillId="2" borderId="0" xfId="112" applyNumberFormat="1" applyFont="1" applyFill="1" applyBorder="1" applyAlignment="1">
      <alignment horizontal="right" vertical="center"/>
    </xf>
    <xf numFmtId="3" fontId="6" fillId="2" borderId="0" xfId="113" applyNumberFormat="1" applyFont="1" applyFill="1" applyBorder="1" applyAlignment="1">
      <alignment horizontal="right" vertical="center"/>
    </xf>
    <xf numFmtId="3" fontId="6" fillId="2" borderId="0" xfId="17" applyNumberFormat="1" applyFont="1" applyFill="1" applyBorder="1" applyAlignment="1">
      <alignment horizontal="right" vertical="center"/>
    </xf>
    <xf numFmtId="3" fontId="6" fillId="2" borderId="0" xfId="18" applyNumberFormat="1" applyFont="1" applyFill="1" applyBorder="1" applyAlignment="1">
      <alignment horizontal="right" vertical="center"/>
    </xf>
    <xf numFmtId="3" fontId="6" fillId="2" borderId="0" xfId="19" applyNumberFormat="1" applyFont="1" applyFill="1" applyBorder="1" applyAlignment="1">
      <alignment horizontal="right" vertical="center"/>
    </xf>
    <xf numFmtId="3" fontId="6" fillId="2" borderId="0" xfId="20" applyNumberFormat="1" applyFont="1" applyFill="1" applyBorder="1" applyAlignment="1">
      <alignment horizontal="right" vertical="center"/>
    </xf>
    <xf numFmtId="3" fontId="6" fillId="2" borderId="0" xfId="22" applyNumberFormat="1" applyFont="1" applyFill="1" applyBorder="1" applyAlignment="1">
      <alignment horizontal="right" vertical="center"/>
    </xf>
    <xf numFmtId="3" fontId="6" fillId="2" borderId="0" xfId="23" applyNumberFormat="1" applyFont="1" applyFill="1" applyBorder="1" applyAlignment="1">
      <alignment horizontal="right" vertical="center"/>
    </xf>
    <xf numFmtId="3" fontId="6" fillId="2" borderId="0" xfId="24" applyNumberFormat="1" applyFont="1" applyFill="1" applyBorder="1" applyAlignment="1">
      <alignment horizontal="right" vertical="center"/>
    </xf>
    <xf numFmtId="3" fontId="6" fillId="2" borderId="0" xfId="25" applyNumberFormat="1" applyFont="1" applyFill="1" applyBorder="1" applyAlignment="1">
      <alignment horizontal="right" vertical="center"/>
    </xf>
    <xf numFmtId="3" fontId="6" fillId="2" borderId="0" xfId="26" applyNumberFormat="1" applyFont="1" applyFill="1" applyBorder="1" applyAlignment="1">
      <alignment horizontal="right" vertical="center"/>
    </xf>
    <xf numFmtId="3" fontId="6" fillId="2" borderId="0" xfId="27" applyNumberFormat="1" applyFont="1" applyFill="1" applyBorder="1" applyAlignment="1">
      <alignment horizontal="right" vertical="center"/>
    </xf>
    <xf numFmtId="3" fontId="6" fillId="2" borderId="0" xfId="28" applyNumberFormat="1" applyFont="1" applyFill="1" applyBorder="1" applyAlignment="1">
      <alignment horizontal="right" vertical="center"/>
    </xf>
    <xf numFmtId="3" fontId="6" fillId="2" borderId="0" xfId="29" applyNumberFormat="1" applyFont="1" applyFill="1" applyBorder="1" applyAlignment="1">
      <alignment horizontal="right" vertical="center"/>
    </xf>
    <xf numFmtId="3" fontId="6" fillId="2" borderId="0" xfId="30" applyNumberFormat="1" applyFont="1" applyFill="1" applyBorder="1" applyAlignment="1">
      <alignment horizontal="right" vertical="center"/>
    </xf>
    <xf numFmtId="3" fontId="6" fillId="2" borderId="0" xfId="31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/>
    </xf>
    <xf numFmtId="0" fontId="5" fillId="2" borderId="9" xfId="0" applyFont="1" applyFill="1" applyBorder="1" applyAlignment="1">
      <alignment horizontal="center"/>
    </xf>
    <xf numFmtId="3" fontId="5" fillId="2" borderId="4" xfId="0" applyNumberFormat="1" applyFont="1" applyFill="1" applyBorder="1" applyAlignment="1">
      <alignment horizontal="right" vertical="center"/>
    </xf>
    <xf numFmtId="3" fontId="6" fillId="2" borderId="4" xfId="0" applyNumberFormat="1" applyFont="1" applyFill="1" applyBorder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3" fontId="16" fillId="2" borderId="4" xfId="0" applyNumberFormat="1" applyFont="1" applyFill="1" applyBorder="1" applyAlignment="1">
      <alignment horizontal="right" vertical="center"/>
    </xf>
    <xf numFmtId="3" fontId="6" fillId="2" borderId="10" xfId="0" applyNumberFormat="1" applyFont="1" applyFill="1" applyBorder="1" applyAlignment="1">
      <alignment horizontal="right" vertical="center"/>
    </xf>
    <xf numFmtId="3" fontId="6" fillId="2" borderId="9" xfId="0" applyNumberFormat="1" applyFont="1" applyFill="1" applyBorder="1" applyAlignment="1">
      <alignment horizontal="right" vertical="center"/>
    </xf>
    <xf numFmtId="3" fontId="6" fillId="2" borderId="12" xfId="0" applyNumberFormat="1" applyFont="1" applyFill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3" fontId="5" fillId="2" borderId="9" xfId="0" applyNumberFormat="1" applyFont="1" applyFill="1" applyBorder="1" applyAlignment="1">
      <alignment horizontal="right" vertical="center"/>
    </xf>
    <xf numFmtId="0" fontId="7" fillId="2" borderId="8" xfId="0" applyFont="1" applyFill="1" applyBorder="1"/>
    <xf numFmtId="0" fontId="9" fillId="2" borderId="0" xfId="0" applyFont="1" applyFill="1" applyBorder="1" applyAlignment="1">
      <alignment horizontal="left" vertical="center"/>
    </xf>
    <xf numFmtId="3" fontId="17" fillId="2" borderId="3" xfId="21" applyNumberFormat="1" applyFont="1" applyFill="1" applyBorder="1" applyAlignment="1">
      <alignment horizontal="right" vertical="center"/>
    </xf>
    <xf numFmtId="3" fontId="17" fillId="2" borderId="4" xfId="0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left" vertical="center"/>
    </xf>
    <xf numFmtId="3" fontId="16" fillId="2" borderId="12" xfId="0" applyNumberFormat="1" applyFont="1" applyFill="1" applyBorder="1" applyAlignment="1">
      <alignment horizontal="right" vertical="center"/>
    </xf>
    <xf numFmtId="3" fontId="16" fillId="2" borderId="10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1" fontId="5" fillId="2" borderId="13" xfId="0" applyNumberFormat="1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right" vertical="center"/>
    </xf>
    <xf numFmtId="167" fontId="5" fillId="2" borderId="13" xfId="0" applyNumberFormat="1" applyFont="1" applyFill="1" applyBorder="1" applyAlignment="1">
      <alignment horizontal="right" vertical="center"/>
    </xf>
    <xf numFmtId="1" fontId="15" fillId="2" borderId="13" xfId="0" applyNumberFormat="1" applyFont="1" applyFill="1" applyBorder="1" applyAlignment="1">
      <alignment horizontal="right" vertical="center"/>
    </xf>
    <xf numFmtId="169" fontId="7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0" fontId="0" fillId="3" borderId="0" xfId="0" applyFont="1" applyFill="1" applyBorder="1"/>
    <xf numFmtId="0" fontId="0" fillId="3" borderId="0" xfId="0" applyFont="1" applyFill="1" applyBorder="1" applyAlignment="1">
      <alignment horizontal="left"/>
    </xf>
    <xf numFmtId="0" fontId="0" fillId="3" borderId="0" xfId="0" applyFont="1" applyFill="1" applyBorder="1" applyAlignment="1">
      <alignment horizontal="right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right" vertical="center"/>
    </xf>
    <xf numFmtId="0" fontId="0" fillId="3" borderId="0" xfId="0" applyFont="1" applyFill="1" applyBorder="1" applyAlignment="1">
      <alignment horizontal="right" vertical="center"/>
    </xf>
    <xf numFmtId="1" fontId="0" fillId="3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15" fillId="0" borderId="0" xfId="0" applyFont="1" applyBorder="1" applyAlignment="1">
      <alignment horizontal="center"/>
    </xf>
    <xf numFmtId="1" fontId="5" fillId="2" borderId="6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8" fillId="2" borderId="11" xfId="0" applyNumberFormat="1" applyFont="1" applyFill="1" applyBorder="1" applyAlignment="1">
      <alignment horizontal="left" vertical="center" wrapText="1"/>
    </xf>
    <xf numFmtId="1" fontId="8" fillId="2" borderId="9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FDEADA"/>
      <color rgb="FF953735"/>
      <color rgb="FFF79747"/>
      <color rgb="FFFFB265"/>
      <color rgb="FFFABF8E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9318619667442E-2"/>
          <c:y val="0.13950893782674986"/>
          <c:w val="0.93987566975476233"/>
          <c:h val="0.76241960457713398"/>
        </c:manualLayout>
      </c:layout>
      <c:lineChart>
        <c:grouping val="standard"/>
        <c:varyColors val="0"/>
        <c:ser>
          <c:idx val="0"/>
          <c:order val="0"/>
          <c:tx>
            <c:strRef>
              <c:f>'7.13'!$BD$19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rgbClr val="95373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48886"/>
              </a:solidFill>
              <a:ln w="9525">
                <a:solidFill>
                  <a:srgbClr val="F79747"/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'7.13'!$BE$19:$BS$19</c:f>
              <c:numCache>
                <c:formatCode>0</c:formatCode>
                <c:ptCount val="15"/>
                <c:pt idx="0">
                  <c:v>105.31537916371367</c:v>
                </c:pt>
                <c:pt idx="1">
                  <c:v>111.56963890935887</c:v>
                </c:pt>
                <c:pt idx="2">
                  <c:v>99.205298013245041</c:v>
                </c:pt>
                <c:pt idx="3">
                  <c:v>94.214876033057848</c:v>
                </c:pt>
                <c:pt idx="4">
                  <c:v>104.85436893203884</c:v>
                </c:pt>
                <c:pt idx="5">
                  <c:v>97.733454215775168</c:v>
                </c:pt>
                <c:pt idx="6">
                  <c:v>93.785850860420652</c:v>
                </c:pt>
                <c:pt idx="7">
                  <c:v>105.44217687074831</c:v>
                </c:pt>
                <c:pt idx="8">
                  <c:v>103.47624565469293</c:v>
                </c:pt>
                <c:pt idx="9">
                  <c:v>103.89610389610388</c:v>
                </c:pt>
                <c:pt idx="10">
                  <c:v>102.80583613916947</c:v>
                </c:pt>
                <c:pt idx="11">
                  <c:v>100.54945054945054</c:v>
                </c:pt>
                <c:pt idx="12">
                  <c:v>106.8034557235421</c:v>
                </c:pt>
                <c:pt idx="13">
                  <c:v>74.550484094052564</c:v>
                </c:pt>
                <c:pt idx="14">
                  <c:v>78.757225433526017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'7.13'!$BD$20</c:f>
              <c:strCache>
                <c:ptCount val="1"/>
                <c:pt idx="0">
                  <c:v>Atolls</c:v>
                </c:pt>
              </c:strCache>
            </c:strRef>
          </c:tx>
          <c:spPr>
            <a:ln w="28575" cap="rnd">
              <a:solidFill>
                <a:srgbClr val="F7974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rgbClr val="FFB265"/>
                </a:solidFill>
              </a:ln>
              <a:effectLst/>
            </c:spPr>
          </c:marker>
          <c:dPt>
            <c:idx val="8"/>
            <c:marker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rgbClr val="FABF8E"/>
                  </a:solidFill>
                </a:ln>
                <a:effectLst/>
              </c:spPr>
            </c:marker>
            <c:bubble3D val="0"/>
          </c:dPt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'7.13'!$BE$20:$BS$20</c:f>
              <c:numCache>
                <c:formatCode>0</c:formatCode>
                <c:ptCount val="15"/>
                <c:pt idx="0">
                  <c:v>109.47616244849911</c:v>
                </c:pt>
                <c:pt idx="1">
                  <c:v>110.11466011466011</c:v>
                </c:pt>
                <c:pt idx="2">
                  <c:v>112.444641275465</c:v>
                </c:pt>
                <c:pt idx="3">
                  <c:v>103.50949628406276</c:v>
                </c:pt>
                <c:pt idx="4">
                  <c:v>102.38818931828051</c:v>
                </c:pt>
                <c:pt idx="5">
                  <c:v>109.07808090310442</c:v>
                </c:pt>
                <c:pt idx="6">
                  <c:v>106.81818181818181</c:v>
                </c:pt>
                <c:pt idx="7">
                  <c:v>98.298777246145661</c:v>
                </c:pt>
                <c:pt idx="8">
                  <c:v>110.76833527357392</c:v>
                </c:pt>
                <c:pt idx="9">
                  <c:v>116.10315186246419</c:v>
                </c:pt>
                <c:pt idx="10">
                  <c:v>115.52690582959642</c:v>
                </c:pt>
                <c:pt idx="11">
                  <c:v>111.0878661087866</c:v>
                </c:pt>
                <c:pt idx="12">
                  <c:v>104.37800320341697</c:v>
                </c:pt>
                <c:pt idx="13">
                  <c:v>65.451055662188097</c:v>
                </c:pt>
                <c:pt idx="14">
                  <c:v>86.029411764705884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37152"/>
        <c:axId val="120751232"/>
      </c:lineChart>
      <c:catAx>
        <c:axId val="12073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51232"/>
        <c:crosses val="autoZero"/>
        <c:auto val="1"/>
        <c:lblAlgn val="ctr"/>
        <c:lblOffset val="100"/>
        <c:noMultiLvlLbl val="0"/>
      </c:catAx>
      <c:valAx>
        <c:axId val="12075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BD1AF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37152"/>
        <c:crosses val="autoZero"/>
        <c:crossBetween val="between"/>
      </c:valAx>
      <c:spPr>
        <a:solidFill>
          <a:srgbClr val="FDEADA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531190239679991"/>
          <c:y val="0.48887226283195723"/>
          <c:w val="0.21872229456749498"/>
          <c:h val="6.3473437672148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27062038464606E-2"/>
          <c:y val="0.17800131570079555"/>
          <c:w val="0.93996728945531571"/>
          <c:h val="0.71305138211207553"/>
        </c:manualLayout>
      </c:layout>
      <c:lineChart>
        <c:grouping val="standard"/>
        <c:varyColors val="0"/>
        <c:ser>
          <c:idx val="0"/>
          <c:order val="0"/>
          <c:tx>
            <c:strRef>
              <c:f>'7.13'!$BD$15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7974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B265"/>
                </a:solidFill>
              </a:ln>
              <a:effectLst/>
            </c:spPr>
          </c:marker>
          <c:cat>
            <c:strRef>
              <c:f>'7.13'!$BE$14:$BS$14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'7.13'!$BE$15:$BS$15</c:f>
              <c:numCache>
                <c:formatCode>0</c:formatCode>
                <c:ptCount val="15"/>
                <c:pt idx="0">
                  <c:v>107.58842443729904</c:v>
                </c:pt>
                <c:pt idx="1">
                  <c:v>110.63437746775466</c:v>
                </c:pt>
                <c:pt idx="2">
                  <c:v>107.13906581740977</c:v>
                </c:pt>
                <c:pt idx="3">
                  <c:v>100.21316280309087</c:v>
                </c:pt>
                <c:pt idx="4">
                  <c:v>103.2495055100311</c:v>
                </c:pt>
                <c:pt idx="5">
                  <c:v>105.20284917931248</c:v>
                </c:pt>
                <c:pt idx="6">
                  <c:v>102.24681421864521</c:v>
                </c:pt>
                <c:pt idx="7">
                  <c:v>100.57908070937387</c:v>
                </c:pt>
                <c:pt idx="8">
                  <c:v>108.33010461061603</c:v>
                </c:pt>
                <c:pt idx="9">
                  <c:v>112.1141975308642</c:v>
                </c:pt>
                <c:pt idx="10">
                  <c:v>111.28971962616822</c:v>
                </c:pt>
                <c:pt idx="11">
                  <c:v>107.68958185683913</c:v>
                </c:pt>
                <c:pt idx="12">
                  <c:v>105.18042157913541</c:v>
                </c:pt>
                <c:pt idx="13">
                  <c:v>70.739549839228303</c:v>
                </c:pt>
                <c:pt idx="14">
                  <c:v>81.454545454545453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70944"/>
        <c:axId val="120772864"/>
      </c:lineChart>
      <c:catAx>
        <c:axId val="1207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72864"/>
        <c:crosses val="autoZero"/>
        <c:auto val="1"/>
        <c:lblAlgn val="ctr"/>
        <c:lblOffset val="100"/>
        <c:noMultiLvlLbl val="0"/>
      </c:catAx>
      <c:valAx>
        <c:axId val="12077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BD1AF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7094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10730473219028E-2"/>
          <c:y val="0.14065624631408272"/>
          <c:w val="0.94027177875454249"/>
          <c:h val="0.74693294355302275"/>
        </c:manualLayout>
      </c:layout>
      <c:lineChart>
        <c:grouping val="standard"/>
        <c:varyColors val="0"/>
        <c:ser>
          <c:idx val="0"/>
          <c:order val="0"/>
          <c:tx>
            <c:strRef>
              <c:f>'7.13'!$BD$19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rgbClr val="95373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9747"/>
              </a:solidFill>
              <a:ln w="9525">
                <a:solidFill>
                  <a:srgbClr val="FFB265"/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'7.13'!$BE$19:$BS$19</c:f>
              <c:numCache>
                <c:formatCode>0</c:formatCode>
                <c:ptCount val="15"/>
                <c:pt idx="0">
                  <c:v>105.31537916371367</c:v>
                </c:pt>
                <c:pt idx="1">
                  <c:v>111.56963890935887</c:v>
                </c:pt>
                <c:pt idx="2">
                  <c:v>99.205298013245041</c:v>
                </c:pt>
                <c:pt idx="3">
                  <c:v>94.214876033057848</c:v>
                </c:pt>
                <c:pt idx="4">
                  <c:v>104.85436893203884</c:v>
                </c:pt>
                <c:pt idx="5">
                  <c:v>97.733454215775168</c:v>
                </c:pt>
                <c:pt idx="6">
                  <c:v>93.785850860420652</c:v>
                </c:pt>
                <c:pt idx="7">
                  <c:v>105.44217687074831</c:v>
                </c:pt>
                <c:pt idx="8">
                  <c:v>103.47624565469293</c:v>
                </c:pt>
                <c:pt idx="9">
                  <c:v>103.89610389610388</c:v>
                </c:pt>
                <c:pt idx="10">
                  <c:v>102.80583613916947</c:v>
                </c:pt>
                <c:pt idx="11">
                  <c:v>100.54945054945054</c:v>
                </c:pt>
                <c:pt idx="12">
                  <c:v>106.8034557235421</c:v>
                </c:pt>
                <c:pt idx="13">
                  <c:v>74.550484094052564</c:v>
                </c:pt>
                <c:pt idx="14">
                  <c:v>78.757225433526017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04864"/>
        <c:axId val="120806784"/>
      </c:lineChart>
      <c:catAx>
        <c:axId val="1208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6784"/>
        <c:crosses val="autoZero"/>
        <c:auto val="1"/>
        <c:lblAlgn val="ctr"/>
        <c:lblOffset val="100"/>
        <c:noMultiLvlLbl val="0"/>
      </c:catAx>
      <c:valAx>
        <c:axId val="12080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BD1AF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486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6899504334557007"/>
          <c:y val="0.42043565611954453"/>
          <c:w val="0.13487486430463003"/>
          <c:h val="6.3995437300960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53361967547681E-2"/>
          <c:y val="0.14039761983676019"/>
          <c:w val="0.93993084904242574"/>
          <c:h val="0.73225697035883663"/>
        </c:manualLayout>
      </c:layout>
      <c:lineChart>
        <c:grouping val="standard"/>
        <c:varyColors val="0"/>
        <c:ser>
          <c:idx val="1"/>
          <c:order val="0"/>
          <c:tx>
            <c:strRef>
              <c:f>'7.13'!$BD$20</c:f>
              <c:strCache>
                <c:ptCount val="1"/>
                <c:pt idx="0">
                  <c:v>Atolls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'7.13'!$BE$20:$BS$20</c:f>
              <c:numCache>
                <c:formatCode>0</c:formatCode>
                <c:ptCount val="15"/>
                <c:pt idx="0">
                  <c:v>109.47616244849911</c:v>
                </c:pt>
                <c:pt idx="1">
                  <c:v>110.11466011466011</c:v>
                </c:pt>
                <c:pt idx="2">
                  <c:v>112.444641275465</c:v>
                </c:pt>
                <c:pt idx="3">
                  <c:v>103.50949628406276</c:v>
                </c:pt>
                <c:pt idx="4">
                  <c:v>102.38818931828051</c:v>
                </c:pt>
                <c:pt idx="5">
                  <c:v>109.07808090310442</c:v>
                </c:pt>
                <c:pt idx="6">
                  <c:v>106.81818181818181</c:v>
                </c:pt>
                <c:pt idx="7">
                  <c:v>98.298777246145661</c:v>
                </c:pt>
                <c:pt idx="8">
                  <c:v>110.76833527357392</c:v>
                </c:pt>
                <c:pt idx="9">
                  <c:v>116.10315186246419</c:v>
                </c:pt>
                <c:pt idx="10">
                  <c:v>115.52690582959642</c:v>
                </c:pt>
                <c:pt idx="11">
                  <c:v>111.0878661087866</c:v>
                </c:pt>
                <c:pt idx="12">
                  <c:v>104.37800320341697</c:v>
                </c:pt>
                <c:pt idx="13">
                  <c:v>65.451055662188097</c:v>
                </c:pt>
                <c:pt idx="14">
                  <c:v>86.029411764705884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34688"/>
        <c:axId val="120902400"/>
      </c:lineChart>
      <c:catAx>
        <c:axId val="12083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2400"/>
        <c:crosses val="autoZero"/>
        <c:auto val="1"/>
        <c:lblAlgn val="ctr"/>
        <c:lblOffset val="100"/>
        <c:noMultiLvlLbl val="0"/>
      </c:catAx>
      <c:valAx>
        <c:axId val="1209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BD1AF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34688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7451278919391848"/>
          <c:y val="0.44781560053697927"/>
          <c:w val="8.1366645575496971E-2"/>
          <c:h val="6.38777680544991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59081263813853E-2"/>
          <c:y val="0.15444255935078957"/>
          <c:w val="0.94328922653947689"/>
          <c:h val="0.74766867963031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79747"/>
            </a:solidFill>
            <a:ln>
              <a:noFill/>
            </a:ln>
            <a:effectLst/>
          </c:spPr>
          <c:invertIfNegative val="0"/>
          <c:cat>
            <c:strRef>
              <c:f>'7.13'!$CA$24:$CA$43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'7.13'!$AK$9:$AK$28</c:f>
              <c:numCache>
                <c:formatCode>0.0</c:formatCode>
                <c:ptCount val="20"/>
                <c:pt idx="0">
                  <c:v>4.0825625370210057</c:v>
                </c:pt>
                <c:pt idx="1">
                  <c:v>6.4074816603636036</c:v>
                </c:pt>
                <c:pt idx="2">
                  <c:v>4.1919168906912105</c:v>
                </c:pt>
                <c:pt idx="3">
                  <c:v>3.3797329931197884</c:v>
                </c:pt>
                <c:pt idx="4">
                  <c:v>5.3583633298400688</c:v>
                </c:pt>
                <c:pt idx="5">
                  <c:v>2.9776279218116373</c:v>
                </c:pt>
                <c:pt idx="6">
                  <c:v>2.3830136237298944</c:v>
                </c:pt>
                <c:pt idx="7">
                  <c:v>3.1792500113910784</c:v>
                </c:pt>
                <c:pt idx="8">
                  <c:v>1.9148402970793275</c:v>
                </c:pt>
                <c:pt idx="9">
                  <c:v>2.4262997220576841</c:v>
                </c:pt>
                <c:pt idx="10">
                  <c:v>0.39527042420376363</c:v>
                </c:pt>
                <c:pt idx="11">
                  <c:v>1.386294254340001</c:v>
                </c:pt>
                <c:pt idx="12">
                  <c:v>1.6186722558891875</c:v>
                </c:pt>
                <c:pt idx="13">
                  <c:v>1.9330660226910286</c:v>
                </c:pt>
                <c:pt idx="14">
                  <c:v>2.9013076958126396</c:v>
                </c:pt>
                <c:pt idx="15">
                  <c:v>4.0176333895293208</c:v>
                </c:pt>
                <c:pt idx="16">
                  <c:v>2.5538798013395909</c:v>
                </c:pt>
                <c:pt idx="17">
                  <c:v>3.6417277987879895</c:v>
                </c:pt>
                <c:pt idx="18">
                  <c:v>2.8079008520526725</c:v>
                </c:pt>
                <c:pt idx="19">
                  <c:v>6.3915341504533654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20939264"/>
        <c:axId val="120940800"/>
      </c:barChart>
      <c:catAx>
        <c:axId val="12093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0800"/>
        <c:crosses val="autoZero"/>
        <c:auto val="1"/>
        <c:lblAlgn val="ctr"/>
        <c:lblOffset val="100"/>
        <c:noMultiLvlLbl val="0"/>
      </c:catAx>
      <c:valAx>
        <c:axId val="1209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BD1AF"/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926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89931717220767"/>
          <c:y val="0.1435881414833857"/>
          <c:w val="0.33330107306605744"/>
          <c:h val="0.83408163143863656"/>
        </c:manualLayout>
      </c:layout>
      <c:doughnutChart>
        <c:varyColors val="1"/>
        <c:ser>
          <c:idx val="0"/>
          <c:order val="0"/>
          <c:spPr>
            <a:solidFill>
              <a:srgbClr val="F79747"/>
            </a:solidFill>
          </c:spPr>
          <c:explosion val="5"/>
          <c:dPt>
            <c:idx val="0"/>
            <c:bubble3D val="0"/>
            <c:spPr>
              <a:solidFill>
                <a:srgbClr val="95373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79747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'7.13'!$A$7:$A$8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'7.13'!$AK$7:$AK$8</c:f>
              <c:numCache>
                <c:formatCode>0.0</c:formatCode>
                <c:ptCount val="2"/>
                <c:pt idx="0">
                  <c:v>36.051624367795142</c:v>
                </c:pt>
                <c:pt idx="1">
                  <c:v>63.948375632204858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DEADA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361931</xdr:colOff>
      <xdr:row>29</xdr:row>
      <xdr:rowOff>155306</xdr:rowOff>
    </xdr:from>
    <xdr:to>
      <xdr:col>36</xdr:col>
      <xdr:colOff>470898</xdr:colOff>
      <xdr:row>47</xdr:row>
      <xdr:rowOff>64214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282661</xdr:colOff>
      <xdr:row>48</xdr:row>
      <xdr:rowOff>186205</xdr:rowOff>
    </xdr:from>
    <xdr:to>
      <xdr:col>17</xdr:col>
      <xdr:colOff>149832</xdr:colOff>
      <xdr:row>66</xdr:row>
      <xdr:rowOff>64213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338664</xdr:colOff>
      <xdr:row>49</xdr:row>
      <xdr:rowOff>908</xdr:rowOff>
    </xdr:from>
    <xdr:to>
      <xdr:col>36</xdr:col>
      <xdr:colOff>503005</xdr:colOff>
      <xdr:row>66</xdr:row>
      <xdr:rowOff>74915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279344</xdr:colOff>
      <xdr:row>68</xdr:row>
      <xdr:rowOff>26846</xdr:rowOff>
    </xdr:from>
    <xdr:to>
      <xdr:col>17</xdr:col>
      <xdr:colOff>152400</xdr:colOff>
      <xdr:row>85</xdr:row>
      <xdr:rowOff>107022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265151</xdr:colOff>
      <xdr:row>29</xdr:row>
      <xdr:rowOff>160263</xdr:rowOff>
    </xdr:from>
    <xdr:to>
      <xdr:col>17</xdr:col>
      <xdr:colOff>149832</xdr:colOff>
      <xdr:row>47</xdr:row>
      <xdr:rowOff>64215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416497</xdr:colOff>
      <xdr:row>68</xdr:row>
      <xdr:rowOff>31653</xdr:rowOff>
    </xdr:from>
    <xdr:to>
      <xdr:col>36</xdr:col>
      <xdr:colOff>586525</xdr:colOff>
      <xdr:row>85</xdr:row>
      <xdr:rowOff>117725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438791</xdr:colOff>
      <xdr:row>30</xdr:row>
      <xdr:rowOff>64213</xdr:rowOff>
    </xdr:from>
    <xdr:to>
      <xdr:col>14</xdr:col>
      <xdr:colOff>139129</xdr:colOff>
      <xdr:row>32</xdr:row>
      <xdr:rowOff>42809</xdr:rowOff>
    </xdr:to>
    <xdr:sp macro="" textlink="">
      <xdr:nvSpPr>
        <xdr:cNvPr id="10" name="TextBox 9"/>
        <xdr:cNvSpPr txBox="1"/>
      </xdr:nvSpPr>
      <xdr:spPr>
        <a:xfrm>
          <a:off x="1530420" y="7138398"/>
          <a:ext cx="5779215" cy="363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onsolas" pitchFamily="49" charset="0"/>
              <a:cs typeface="Consolas" pitchFamily="49" charset="0"/>
            </a:rPr>
            <a:t>Figure 7.12: Percentage share of students enrolled by Atolls,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2016</a:t>
          </a:r>
          <a:endParaRPr lang="en-US" sz="12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19</xdr:col>
      <xdr:colOff>352426</xdr:colOff>
      <xdr:row>30</xdr:row>
      <xdr:rowOff>53512</xdr:rowOff>
    </xdr:from>
    <xdr:to>
      <xdr:col>35</xdr:col>
      <xdr:colOff>117727</xdr:colOff>
      <xdr:row>32</xdr:row>
      <xdr:rowOff>53512</xdr:rowOff>
    </xdr:to>
    <xdr:sp macro="" textlink="">
      <xdr:nvSpPr>
        <xdr:cNvPr id="11" name="TextBox 10"/>
        <xdr:cNvSpPr txBox="1"/>
      </xdr:nvSpPr>
      <xdr:spPr>
        <a:xfrm>
          <a:off x="9677401" y="7149637"/>
          <a:ext cx="667092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7.13: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by grade and locality, 2016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19</xdr:col>
      <xdr:colOff>353753</xdr:colOff>
      <xdr:row>49</xdr:row>
      <xdr:rowOff>44908</xdr:rowOff>
    </xdr:from>
    <xdr:to>
      <xdr:col>34</xdr:col>
      <xdr:colOff>353969</xdr:colOff>
      <xdr:row>50</xdr:row>
      <xdr:rowOff>180203</xdr:rowOff>
    </xdr:to>
    <xdr:sp macro="" textlink="">
      <xdr:nvSpPr>
        <xdr:cNvPr id="12" name="TextBox 11"/>
        <xdr:cNvSpPr txBox="1"/>
      </xdr:nvSpPr>
      <xdr:spPr>
        <a:xfrm>
          <a:off x="9711422" y="10747661"/>
          <a:ext cx="6468206" cy="328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7.15: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for Male' by grade, 2016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460198</xdr:colOff>
      <xdr:row>31</xdr:row>
      <xdr:rowOff>139129</xdr:rowOff>
    </xdr:from>
    <xdr:to>
      <xdr:col>14</xdr:col>
      <xdr:colOff>42809</xdr:colOff>
      <xdr:row>31</xdr:row>
      <xdr:rowOff>139129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1551827" y="7405955"/>
          <a:ext cx="5661488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10703</xdr:colOff>
      <xdr:row>31</xdr:row>
      <xdr:rowOff>109408</xdr:rowOff>
    </xdr:from>
    <xdr:to>
      <xdr:col>34</xdr:col>
      <xdr:colOff>386148</xdr:colOff>
      <xdr:row>31</xdr:row>
      <xdr:rowOff>117723</xdr:rowOff>
    </xdr:to>
    <xdr:sp macro="" textlink="">
      <xdr:nvSpPr>
        <xdr:cNvPr id="14" name="Line 4"/>
        <xdr:cNvSpPr>
          <a:spLocks noChangeShapeType="1"/>
        </xdr:cNvSpPr>
      </xdr:nvSpPr>
      <xdr:spPr bwMode="auto">
        <a:xfrm flipV="1">
          <a:off x="9799571" y="7336824"/>
          <a:ext cx="6412236" cy="831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231689</xdr:colOff>
      <xdr:row>51</xdr:row>
      <xdr:rowOff>19305</xdr:rowOff>
    </xdr:from>
    <xdr:to>
      <xdr:col>15</xdr:col>
      <xdr:colOff>205946</xdr:colOff>
      <xdr:row>51</xdr:row>
      <xdr:rowOff>25742</xdr:rowOff>
    </xdr:to>
    <xdr:sp macro="" textlink="">
      <xdr:nvSpPr>
        <xdr:cNvPr id="15" name="Line 4"/>
        <xdr:cNvSpPr>
          <a:spLocks noChangeShapeType="1"/>
        </xdr:cNvSpPr>
      </xdr:nvSpPr>
      <xdr:spPr bwMode="auto">
        <a:xfrm>
          <a:off x="1325777" y="11108207"/>
          <a:ext cx="6513041" cy="6437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19</xdr:col>
      <xdr:colOff>386149</xdr:colOff>
      <xdr:row>50</xdr:row>
      <xdr:rowOff>96537</xdr:rowOff>
    </xdr:from>
    <xdr:to>
      <xdr:col>34</xdr:col>
      <xdr:colOff>122280</xdr:colOff>
      <xdr:row>50</xdr:row>
      <xdr:rowOff>109408</xdr:rowOff>
    </xdr:to>
    <xdr:sp macro="" textlink="">
      <xdr:nvSpPr>
        <xdr:cNvPr id="16" name="Line 4"/>
        <xdr:cNvSpPr>
          <a:spLocks noChangeShapeType="1"/>
        </xdr:cNvSpPr>
      </xdr:nvSpPr>
      <xdr:spPr bwMode="auto">
        <a:xfrm>
          <a:off x="9743818" y="10992365"/>
          <a:ext cx="6204121" cy="1287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257432</xdr:colOff>
      <xdr:row>69</xdr:row>
      <xdr:rowOff>167330</xdr:rowOff>
    </xdr:from>
    <xdr:to>
      <xdr:col>15</xdr:col>
      <xdr:colOff>6435</xdr:colOff>
      <xdr:row>69</xdr:row>
      <xdr:rowOff>167331</xdr:rowOff>
    </xdr:to>
    <xdr:sp macro="" textlink="">
      <xdr:nvSpPr>
        <xdr:cNvPr id="17" name="Line 4"/>
        <xdr:cNvSpPr>
          <a:spLocks noChangeShapeType="1"/>
        </xdr:cNvSpPr>
      </xdr:nvSpPr>
      <xdr:spPr bwMode="auto">
        <a:xfrm>
          <a:off x="1351520" y="14731570"/>
          <a:ext cx="6287787" cy="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236074</xdr:colOff>
      <xdr:row>70</xdr:row>
      <xdr:rowOff>62983</xdr:rowOff>
    </xdr:from>
    <xdr:to>
      <xdr:col>34</xdr:col>
      <xdr:colOff>395589</xdr:colOff>
      <xdr:row>70</xdr:row>
      <xdr:rowOff>62983</xdr:rowOff>
    </xdr:to>
    <xdr:sp macro="" textlink="">
      <xdr:nvSpPr>
        <xdr:cNvPr id="18" name="Line 4"/>
        <xdr:cNvSpPr>
          <a:spLocks noChangeShapeType="1"/>
        </xdr:cNvSpPr>
      </xdr:nvSpPr>
      <xdr:spPr bwMode="auto">
        <a:xfrm>
          <a:off x="9989674" y="14779108"/>
          <a:ext cx="616026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0.10005</cdr:x>
      <cdr:y>0.04479</cdr:y>
    </cdr:from>
    <cdr:to>
      <cdr:x>0.91051</cdr:x>
      <cdr:y>0.12872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3906" y="148856"/>
          <a:ext cx="6755058" cy="2789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7.14: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by  grade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for Republic , 2016</a:t>
          </a:r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0.12389</cdr:x>
      <cdr:y>0.02071</cdr:y>
    </cdr:from>
    <cdr:to>
      <cdr:x>0.94015</cdr:x>
      <cdr:y>0.12408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36993" y="69051"/>
          <a:ext cx="6832322" cy="344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eaLnBrk="1" fontAlgn="auto" latinLnBrk="0" hangingPunct="1"/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7.16: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by  grade 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for Atolls, 2016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0.13022</cdr:x>
      <cdr:y>0.05206</cdr:y>
    </cdr:from>
    <cdr:to>
      <cdr:x>0.88511</cdr:x>
      <cdr:y>0.12793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95055" y="173064"/>
          <a:ext cx="6347964" cy="2522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7.17: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Percentage share of students enrolled in  Male'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and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 Atolls,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L43"/>
  <sheetViews>
    <sheetView tabSelected="1" zoomScaleNormal="100" workbookViewId="0">
      <selection activeCell="E23" sqref="E23"/>
    </sheetView>
  </sheetViews>
  <sheetFormatPr defaultRowHeight="15" x14ac:dyDescent="0.25"/>
  <cols>
    <col min="1" max="1" width="16.42578125" style="5" customWidth="1"/>
    <col min="2" max="4" width="9" style="5" customWidth="1"/>
    <col min="5" max="34" width="6.42578125" style="5" customWidth="1"/>
    <col min="35" max="36" width="7.140625" style="5" customWidth="1"/>
    <col min="37" max="16384" width="9.140625" style="5"/>
  </cols>
  <sheetData>
    <row r="1" spans="1:90" ht="18.75" x14ac:dyDescent="0.45">
      <c r="A1" s="75" t="s">
        <v>68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</row>
    <row r="2" spans="1:90" ht="15.75" x14ac:dyDescent="0.25">
      <c r="A2" s="76" t="s">
        <v>67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</row>
    <row r="4" spans="1:90" ht="15" customHeight="1" x14ac:dyDescent="0.25">
      <c r="A4" s="79" t="s">
        <v>31</v>
      </c>
      <c r="B4" s="72" t="s">
        <v>2</v>
      </c>
      <c r="C4" s="72"/>
      <c r="D4" s="73"/>
      <c r="E4" s="81" t="s">
        <v>32</v>
      </c>
      <c r="F4" s="82"/>
      <c r="G4" s="81" t="s">
        <v>27</v>
      </c>
      <c r="H4" s="82"/>
      <c r="I4" s="83" t="s">
        <v>28</v>
      </c>
      <c r="J4" s="82"/>
      <c r="K4" s="74" t="s">
        <v>33</v>
      </c>
      <c r="L4" s="74"/>
      <c r="M4" s="74" t="s">
        <v>34</v>
      </c>
      <c r="N4" s="74"/>
      <c r="O4" s="74" t="s">
        <v>35</v>
      </c>
      <c r="P4" s="74"/>
      <c r="Q4" s="74" t="s">
        <v>36</v>
      </c>
      <c r="R4" s="74"/>
      <c r="S4" s="74" t="s">
        <v>37</v>
      </c>
      <c r="T4" s="74"/>
      <c r="U4" s="74" t="s">
        <v>38</v>
      </c>
      <c r="V4" s="74"/>
      <c r="W4" s="74" t="s">
        <v>39</v>
      </c>
      <c r="X4" s="74"/>
      <c r="Y4" s="74" t="s">
        <v>40</v>
      </c>
      <c r="Z4" s="74"/>
      <c r="AA4" s="74" t="s">
        <v>41</v>
      </c>
      <c r="AB4" s="74"/>
      <c r="AC4" s="74" t="s">
        <v>42</v>
      </c>
      <c r="AD4" s="74"/>
      <c r="AE4" s="74" t="s">
        <v>43</v>
      </c>
      <c r="AF4" s="74"/>
      <c r="AG4" s="74" t="s">
        <v>44</v>
      </c>
      <c r="AH4" s="74"/>
      <c r="AI4" s="77" t="s">
        <v>29</v>
      </c>
      <c r="AJ4" s="78"/>
      <c r="AK4" s="70" t="s">
        <v>65</v>
      </c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D4" s="60"/>
      <c r="BE4" s="60" t="s">
        <v>32</v>
      </c>
      <c r="BF4" s="60"/>
      <c r="BG4" s="60" t="s">
        <v>27</v>
      </c>
      <c r="BH4" s="61"/>
      <c r="BI4" s="61" t="s">
        <v>28</v>
      </c>
      <c r="BJ4" s="61"/>
      <c r="BK4" s="61" t="s">
        <v>33</v>
      </c>
      <c r="BL4" s="61"/>
      <c r="BM4" s="61" t="s">
        <v>34</v>
      </c>
      <c r="BN4" s="61"/>
      <c r="BO4" s="61" t="s">
        <v>35</v>
      </c>
      <c r="BP4" s="61"/>
      <c r="BQ4" s="61" t="s">
        <v>36</v>
      </c>
      <c r="BR4" s="61"/>
      <c r="BS4" s="61" t="s">
        <v>37</v>
      </c>
      <c r="BT4" s="61"/>
      <c r="BU4" s="61" t="s">
        <v>38</v>
      </c>
      <c r="BV4" s="61"/>
      <c r="BW4" s="61" t="s">
        <v>39</v>
      </c>
      <c r="BX4" s="61"/>
      <c r="BY4" s="61" t="s">
        <v>40</v>
      </c>
      <c r="BZ4" s="61"/>
      <c r="CA4" s="61" t="s">
        <v>41</v>
      </c>
      <c r="CB4" s="61"/>
      <c r="CC4" s="61" t="s">
        <v>42</v>
      </c>
      <c r="CD4" s="61"/>
      <c r="CE4" s="61" t="s">
        <v>43</v>
      </c>
      <c r="CF4" s="61"/>
      <c r="CG4" s="61" t="s">
        <v>44</v>
      </c>
      <c r="CH4" s="61"/>
      <c r="CI4" s="60" t="s">
        <v>29</v>
      </c>
      <c r="CJ4" s="60"/>
      <c r="CK4" s="60"/>
      <c r="CL4" s="60"/>
    </row>
    <row r="5" spans="1:90" ht="15.75" x14ac:dyDescent="0.25">
      <c r="A5" s="80"/>
      <c r="B5" s="41" t="s">
        <v>66</v>
      </c>
      <c r="C5" s="31" t="s">
        <v>0</v>
      </c>
      <c r="D5" s="43" t="s">
        <v>1</v>
      </c>
      <c r="E5" s="53" t="s">
        <v>13</v>
      </c>
      <c r="F5" s="52" t="s">
        <v>14</v>
      </c>
      <c r="G5" s="53" t="s">
        <v>13</v>
      </c>
      <c r="H5" s="52" t="s">
        <v>14</v>
      </c>
      <c r="I5" s="53" t="s">
        <v>13</v>
      </c>
      <c r="J5" s="54" t="s">
        <v>14</v>
      </c>
      <c r="K5" s="53" t="s">
        <v>13</v>
      </c>
      <c r="L5" s="52" t="s">
        <v>14</v>
      </c>
      <c r="M5" s="53" t="s">
        <v>13</v>
      </c>
      <c r="N5" s="52" t="s">
        <v>14</v>
      </c>
      <c r="O5" s="53" t="s">
        <v>13</v>
      </c>
      <c r="P5" s="52" t="s">
        <v>14</v>
      </c>
      <c r="Q5" s="53" t="s">
        <v>13</v>
      </c>
      <c r="R5" s="52" t="s">
        <v>14</v>
      </c>
      <c r="S5" s="53" t="s">
        <v>13</v>
      </c>
      <c r="T5" s="52" t="s">
        <v>14</v>
      </c>
      <c r="U5" s="53" t="s">
        <v>13</v>
      </c>
      <c r="V5" s="52" t="s">
        <v>14</v>
      </c>
      <c r="W5" s="53" t="s">
        <v>13</v>
      </c>
      <c r="X5" s="52" t="s">
        <v>14</v>
      </c>
      <c r="Y5" s="53" t="s">
        <v>13</v>
      </c>
      <c r="Z5" s="52" t="s">
        <v>14</v>
      </c>
      <c r="AA5" s="53" t="s">
        <v>13</v>
      </c>
      <c r="AB5" s="52" t="s">
        <v>14</v>
      </c>
      <c r="AC5" s="53" t="s">
        <v>13</v>
      </c>
      <c r="AD5" s="52" t="s">
        <v>14</v>
      </c>
      <c r="AE5" s="53" t="s">
        <v>13</v>
      </c>
      <c r="AF5" s="52" t="s">
        <v>14</v>
      </c>
      <c r="AG5" s="53" t="s">
        <v>13</v>
      </c>
      <c r="AH5" s="52" t="s">
        <v>14</v>
      </c>
      <c r="AI5" s="55" t="s">
        <v>13</v>
      </c>
      <c r="AJ5" s="55" t="s">
        <v>14</v>
      </c>
      <c r="AK5" s="71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D5" s="60"/>
      <c r="BE5" s="60" t="s">
        <v>13</v>
      </c>
      <c r="BF5" s="60" t="s">
        <v>14</v>
      </c>
      <c r="BG5" s="60" t="s">
        <v>13</v>
      </c>
      <c r="BH5" s="62" t="s">
        <v>14</v>
      </c>
      <c r="BI5" s="62" t="s">
        <v>13</v>
      </c>
      <c r="BJ5" s="62" t="s">
        <v>14</v>
      </c>
      <c r="BK5" s="62" t="s">
        <v>13</v>
      </c>
      <c r="BL5" s="62" t="s">
        <v>14</v>
      </c>
      <c r="BM5" s="62" t="s">
        <v>13</v>
      </c>
      <c r="BN5" s="62" t="s">
        <v>14</v>
      </c>
      <c r="BO5" s="62" t="s">
        <v>13</v>
      </c>
      <c r="BP5" s="62" t="s">
        <v>14</v>
      </c>
      <c r="BQ5" s="62" t="s">
        <v>13</v>
      </c>
      <c r="BR5" s="62" t="s">
        <v>14</v>
      </c>
      <c r="BS5" s="62" t="s">
        <v>13</v>
      </c>
      <c r="BT5" s="62" t="s">
        <v>14</v>
      </c>
      <c r="BU5" s="62" t="s">
        <v>13</v>
      </c>
      <c r="BV5" s="62" t="s">
        <v>14</v>
      </c>
      <c r="BW5" s="62" t="s">
        <v>13</v>
      </c>
      <c r="BX5" s="62" t="s">
        <v>14</v>
      </c>
      <c r="BY5" s="62" t="s">
        <v>13</v>
      </c>
      <c r="BZ5" s="62" t="s">
        <v>14</v>
      </c>
      <c r="CA5" s="62" t="s">
        <v>13</v>
      </c>
      <c r="CB5" s="62" t="s">
        <v>14</v>
      </c>
      <c r="CC5" s="62" t="s">
        <v>13</v>
      </c>
      <c r="CD5" s="62" t="s">
        <v>14</v>
      </c>
      <c r="CE5" s="62" t="s">
        <v>13</v>
      </c>
      <c r="CF5" s="62" t="s">
        <v>14</v>
      </c>
      <c r="CG5" s="62" t="s">
        <v>13</v>
      </c>
      <c r="CH5" s="62" t="s">
        <v>14</v>
      </c>
      <c r="CI5" s="62" t="s">
        <v>13</v>
      </c>
      <c r="CJ5" s="62" t="s">
        <v>14</v>
      </c>
      <c r="CK5" s="60"/>
      <c r="CL5" s="60"/>
    </row>
    <row r="6" spans="1:90" s="57" customFormat="1" ht="19.5" customHeight="1" x14ac:dyDescent="0.25">
      <c r="A6" s="9" t="s">
        <v>30</v>
      </c>
      <c r="B6" s="10">
        <f>SUM(E6:AJ6)</f>
        <v>87788</v>
      </c>
      <c r="C6" s="10">
        <f>E6+G6+I6+K6+M6+O6+Q6+S6+U6+W6+Y6+AA6+AC6+AE6+AG6+AI6</f>
        <v>44919</v>
      </c>
      <c r="D6" s="32">
        <f>F6+H6+J6+L6+N6+P6+R6+T6+V6+X6+Z6+AB6+AD6+AF6+AH6+AJ6</f>
        <v>42869</v>
      </c>
      <c r="E6" s="10">
        <f>SUM(E7:E8)</f>
        <v>3346</v>
      </c>
      <c r="F6" s="10">
        <f t="shared" ref="F6:K6" si="0">SUM(F7:F8)</f>
        <v>3110</v>
      </c>
      <c r="G6" s="10">
        <f t="shared" si="0"/>
        <v>4203</v>
      </c>
      <c r="H6" s="10">
        <f t="shared" si="0"/>
        <v>3799</v>
      </c>
      <c r="I6" s="10">
        <f t="shared" si="0"/>
        <v>4037</v>
      </c>
      <c r="J6" s="32">
        <f t="shared" si="0"/>
        <v>3768</v>
      </c>
      <c r="K6" s="10">
        <f t="shared" si="0"/>
        <v>3761</v>
      </c>
      <c r="L6" s="10">
        <f t="shared" ref="L6" si="1">SUM(L7:L8)</f>
        <v>3753</v>
      </c>
      <c r="M6" s="10">
        <f t="shared" ref="M6" si="2">SUM(M7:M8)</f>
        <v>3654</v>
      </c>
      <c r="N6" s="10">
        <f t="shared" ref="N6" si="3">SUM(N7:N8)</f>
        <v>3539</v>
      </c>
      <c r="O6" s="10">
        <f t="shared" ref="O6" si="4">SUM(O7:O8)</f>
        <v>3397</v>
      </c>
      <c r="P6" s="10">
        <f t="shared" ref="P6:Q6" si="5">SUM(P7:P8)</f>
        <v>3229</v>
      </c>
      <c r="Q6" s="10">
        <f t="shared" si="5"/>
        <v>3049</v>
      </c>
      <c r="R6" s="10">
        <f t="shared" ref="R6" si="6">SUM(R7:R8)</f>
        <v>2982</v>
      </c>
      <c r="S6" s="10">
        <f t="shared" ref="S6" si="7">SUM(S7:S8)</f>
        <v>2779</v>
      </c>
      <c r="T6" s="10">
        <f t="shared" ref="T6" si="8">SUM(T7:T8)</f>
        <v>2763</v>
      </c>
      <c r="U6" s="10">
        <f t="shared" ref="U6" si="9">SUM(U7:U8)</f>
        <v>2796</v>
      </c>
      <c r="V6" s="10">
        <f t="shared" ref="V6:W6" si="10">SUM(V7:V8)</f>
        <v>2581</v>
      </c>
      <c r="W6" s="10">
        <f t="shared" si="10"/>
        <v>2906</v>
      </c>
      <c r="X6" s="32">
        <f t="shared" ref="X6" si="11">SUM(X7:X8)</f>
        <v>2592</v>
      </c>
      <c r="Y6" s="10">
        <f t="shared" ref="Y6" si="12">SUM(Y7:Y8)</f>
        <v>2977</v>
      </c>
      <c r="Z6" s="10">
        <f t="shared" ref="Z6" si="13">SUM(Z7:Z8)</f>
        <v>2675</v>
      </c>
      <c r="AA6" s="10">
        <f t="shared" ref="AA6" si="14">SUM(AA7:AA8)</f>
        <v>3039</v>
      </c>
      <c r="AB6" s="10">
        <f t="shared" ref="AB6:AC6" si="15">SUM(AB7:AB8)</f>
        <v>2822</v>
      </c>
      <c r="AC6" s="10">
        <f t="shared" si="15"/>
        <v>2944</v>
      </c>
      <c r="AD6" s="32">
        <f t="shared" ref="AD6" si="16">SUM(AD7:AD8)</f>
        <v>2799</v>
      </c>
      <c r="AE6" s="10">
        <f t="shared" ref="AE6" si="17">SUM(AE7:AE8)</f>
        <v>880</v>
      </c>
      <c r="AF6" s="10">
        <f t="shared" ref="AF6" si="18">SUM(AF7:AF8)</f>
        <v>1244</v>
      </c>
      <c r="AG6" s="10">
        <f t="shared" ref="AG6" si="19">SUM(AG7:AG8)</f>
        <v>896</v>
      </c>
      <c r="AH6" s="32">
        <f t="shared" ref="AH6:AI6" si="20">SUM(AH7:AH8)</f>
        <v>1100</v>
      </c>
      <c r="AI6" s="10">
        <f t="shared" si="20"/>
        <v>255</v>
      </c>
      <c r="AJ6" s="32">
        <f t="shared" ref="AJ6" si="21">SUM(AJ7:AJ8)</f>
        <v>113</v>
      </c>
      <c r="AK6" s="56">
        <f t="shared" ref="AK6:AK28" si="22">B6/$B$6*100</f>
        <v>100</v>
      </c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D6" s="63" t="s">
        <v>30</v>
      </c>
      <c r="BE6" s="64">
        <v>3346</v>
      </c>
      <c r="BF6" s="64">
        <v>3110</v>
      </c>
      <c r="BG6" s="64">
        <v>4203</v>
      </c>
      <c r="BH6" s="64">
        <v>3799</v>
      </c>
      <c r="BI6" s="64">
        <v>4037</v>
      </c>
      <c r="BJ6" s="64">
        <v>3768</v>
      </c>
      <c r="BK6" s="64">
        <v>3761</v>
      </c>
      <c r="BL6" s="64">
        <v>3753</v>
      </c>
      <c r="BM6" s="64">
        <v>3654</v>
      </c>
      <c r="BN6" s="64">
        <v>3539</v>
      </c>
      <c r="BO6" s="64">
        <v>3397</v>
      </c>
      <c r="BP6" s="64">
        <v>3229</v>
      </c>
      <c r="BQ6" s="64">
        <v>3049</v>
      </c>
      <c r="BR6" s="64">
        <v>2982</v>
      </c>
      <c r="BS6" s="64">
        <v>2779</v>
      </c>
      <c r="BT6" s="64">
        <v>2763</v>
      </c>
      <c r="BU6" s="64">
        <v>2796</v>
      </c>
      <c r="BV6" s="64">
        <v>2581</v>
      </c>
      <c r="BW6" s="64">
        <v>2906</v>
      </c>
      <c r="BX6" s="64">
        <v>2592</v>
      </c>
      <c r="BY6" s="64">
        <v>2977</v>
      </c>
      <c r="BZ6" s="64">
        <v>2675</v>
      </c>
      <c r="CA6" s="64">
        <v>3039</v>
      </c>
      <c r="CB6" s="64">
        <v>2822</v>
      </c>
      <c r="CC6" s="64">
        <v>2944</v>
      </c>
      <c r="CD6" s="64">
        <v>2799</v>
      </c>
      <c r="CE6" s="64">
        <v>880</v>
      </c>
      <c r="CF6" s="64">
        <v>1244</v>
      </c>
      <c r="CG6" s="64">
        <v>896</v>
      </c>
      <c r="CH6" s="64">
        <v>1100</v>
      </c>
      <c r="CI6" s="64">
        <v>255</v>
      </c>
      <c r="CJ6" s="64">
        <v>113</v>
      </c>
      <c r="CK6" s="64"/>
      <c r="CL6" s="64"/>
    </row>
    <row r="7" spans="1:90" s="57" customFormat="1" ht="19.5" customHeight="1" x14ac:dyDescent="0.25">
      <c r="A7" s="9" t="s">
        <v>3</v>
      </c>
      <c r="B7" s="10">
        <f t="shared" ref="B7:B28" si="23">SUM(E7:AJ7)</f>
        <v>31649</v>
      </c>
      <c r="C7" s="10">
        <f t="shared" ref="C7:C28" si="24">E7+G7+I7+K7+M7+O7+Q7+S7+U7+W7+Y7+AA7+AC7+AE7+AG7+AI7</f>
        <v>15859</v>
      </c>
      <c r="D7" s="32">
        <f t="shared" ref="D7:D28" si="25">F7+H7+J7+L7+N7+P7+R7+T7+V7+X7+Z7+AB7+AD7+AF7+AH7+AJ7</f>
        <v>15790</v>
      </c>
      <c r="E7" s="10">
        <v>1486</v>
      </c>
      <c r="F7" s="10">
        <v>1411</v>
      </c>
      <c r="G7" s="10">
        <v>1514</v>
      </c>
      <c r="H7" s="10">
        <v>1357</v>
      </c>
      <c r="I7" s="10">
        <v>1498</v>
      </c>
      <c r="J7" s="32">
        <v>1510</v>
      </c>
      <c r="K7" s="58">
        <v>1254</v>
      </c>
      <c r="L7" s="10">
        <v>1331</v>
      </c>
      <c r="M7" s="10">
        <v>1296</v>
      </c>
      <c r="N7" s="10">
        <v>1236</v>
      </c>
      <c r="O7" s="10">
        <v>1078</v>
      </c>
      <c r="P7" s="10">
        <v>1103</v>
      </c>
      <c r="Q7" s="10">
        <v>981</v>
      </c>
      <c r="R7" s="10">
        <v>1046</v>
      </c>
      <c r="S7" s="10">
        <v>930</v>
      </c>
      <c r="T7" s="10">
        <v>882</v>
      </c>
      <c r="U7" s="10">
        <v>893</v>
      </c>
      <c r="V7" s="10">
        <v>863</v>
      </c>
      <c r="W7" s="10">
        <v>880</v>
      </c>
      <c r="X7" s="32">
        <v>847</v>
      </c>
      <c r="Y7" s="58">
        <v>916</v>
      </c>
      <c r="Z7" s="10">
        <v>891</v>
      </c>
      <c r="AA7" s="10">
        <v>915</v>
      </c>
      <c r="AB7" s="10">
        <v>910</v>
      </c>
      <c r="AC7" s="10">
        <v>989</v>
      </c>
      <c r="AD7" s="32">
        <v>926</v>
      </c>
      <c r="AE7" s="10">
        <v>539</v>
      </c>
      <c r="AF7" s="10">
        <v>723</v>
      </c>
      <c r="AG7" s="10">
        <v>545</v>
      </c>
      <c r="AH7" s="32">
        <v>692</v>
      </c>
      <c r="AI7" s="59">
        <v>145</v>
      </c>
      <c r="AJ7" s="35">
        <v>62</v>
      </c>
      <c r="AK7" s="56">
        <f>B7/$B$6*100</f>
        <v>36.051624367795142</v>
      </c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D7" s="63" t="s">
        <v>3</v>
      </c>
      <c r="BE7" s="64">
        <v>1486</v>
      </c>
      <c r="BF7" s="64">
        <v>1411</v>
      </c>
      <c r="BG7" s="64">
        <v>1514</v>
      </c>
      <c r="BH7" s="64">
        <v>1357</v>
      </c>
      <c r="BI7" s="64">
        <v>1498</v>
      </c>
      <c r="BJ7" s="64">
        <v>1510</v>
      </c>
      <c r="BK7" s="64">
        <v>1254</v>
      </c>
      <c r="BL7" s="64">
        <v>1331</v>
      </c>
      <c r="BM7" s="64">
        <v>1296</v>
      </c>
      <c r="BN7" s="64">
        <v>1236</v>
      </c>
      <c r="BO7" s="64">
        <v>1078</v>
      </c>
      <c r="BP7" s="64">
        <v>1103</v>
      </c>
      <c r="BQ7" s="64">
        <v>981</v>
      </c>
      <c r="BR7" s="64">
        <v>1046</v>
      </c>
      <c r="BS7" s="64">
        <v>930</v>
      </c>
      <c r="BT7" s="64">
        <v>882</v>
      </c>
      <c r="BU7" s="64">
        <v>893</v>
      </c>
      <c r="BV7" s="64">
        <v>863</v>
      </c>
      <c r="BW7" s="64">
        <v>880</v>
      </c>
      <c r="BX7" s="64">
        <v>847</v>
      </c>
      <c r="BY7" s="64">
        <v>916</v>
      </c>
      <c r="BZ7" s="64">
        <v>891</v>
      </c>
      <c r="CA7" s="64">
        <v>915</v>
      </c>
      <c r="CB7" s="64">
        <v>910</v>
      </c>
      <c r="CC7" s="64">
        <v>989</v>
      </c>
      <c r="CD7" s="64">
        <v>926</v>
      </c>
      <c r="CE7" s="64">
        <v>539</v>
      </c>
      <c r="CF7" s="64">
        <v>723</v>
      </c>
      <c r="CG7" s="64">
        <v>545</v>
      </c>
      <c r="CH7" s="64">
        <v>692</v>
      </c>
      <c r="CI7" s="64">
        <v>145</v>
      </c>
      <c r="CJ7" s="64">
        <v>62</v>
      </c>
      <c r="CK7" s="64"/>
      <c r="CL7" s="64"/>
    </row>
    <row r="8" spans="1:90" s="57" customFormat="1" ht="19.5" customHeight="1" x14ac:dyDescent="0.25">
      <c r="A8" s="9" t="s">
        <v>4</v>
      </c>
      <c r="B8" s="10">
        <f t="shared" si="23"/>
        <v>56139</v>
      </c>
      <c r="C8" s="10">
        <f t="shared" si="24"/>
        <v>29060</v>
      </c>
      <c r="D8" s="32">
        <f t="shared" si="25"/>
        <v>27079</v>
      </c>
      <c r="E8" s="10">
        <f>SUM(E9:E28)</f>
        <v>1860</v>
      </c>
      <c r="F8" s="10">
        <f t="shared" ref="F8:AJ8" si="26">SUM(F9:F28)</f>
        <v>1699</v>
      </c>
      <c r="G8" s="10">
        <f t="shared" si="26"/>
        <v>2689</v>
      </c>
      <c r="H8" s="10">
        <f t="shared" si="26"/>
        <v>2442</v>
      </c>
      <c r="I8" s="10">
        <f t="shared" si="26"/>
        <v>2539</v>
      </c>
      <c r="J8" s="32">
        <f t="shared" si="26"/>
        <v>2258</v>
      </c>
      <c r="K8" s="58">
        <f t="shared" si="26"/>
        <v>2507</v>
      </c>
      <c r="L8" s="10">
        <f t="shared" si="26"/>
        <v>2422</v>
      </c>
      <c r="M8" s="10">
        <f t="shared" si="26"/>
        <v>2358</v>
      </c>
      <c r="N8" s="10">
        <f t="shared" si="26"/>
        <v>2303</v>
      </c>
      <c r="O8" s="10">
        <f t="shared" si="26"/>
        <v>2319</v>
      </c>
      <c r="P8" s="10">
        <f t="shared" si="26"/>
        <v>2126</v>
      </c>
      <c r="Q8" s="10">
        <f t="shared" si="26"/>
        <v>2068</v>
      </c>
      <c r="R8" s="10">
        <f t="shared" si="26"/>
        <v>1936</v>
      </c>
      <c r="S8" s="10">
        <f t="shared" si="26"/>
        <v>1849</v>
      </c>
      <c r="T8" s="10">
        <f t="shared" si="26"/>
        <v>1881</v>
      </c>
      <c r="U8" s="10">
        <f t="shared" si="26"/>
        <v>1903</v>
      </c>
      <c r="V8" s="10">
        <f t="shared" si="26"/>
        <v>1718</v>
      </c>
      <c r="W8" s="10">
        <f t="shared" si="26"/>
        <v>2026</v>
      </c>
      <c r="X8" s="32">
        <f t="shared" si="26"/>
        <v>1745</v>
      </c>
      <c r="Y8" s="58">
        <f t="shared" si="26"/>
        <v>2061</v>
      </c>
      <c r="Z8" s="10">
        <f t="shared" si="26"/>
        <v>1784</v>
      </c>
      <c r="AA8" s="10">
        <f t="shared" si="26"/>
        <v>2124</v>
      </c>
      <c r="AB8" s="10">
        <f t="shared" si="26"/>
        <v>1912</v>
      </c>
      <c r="AC8" s="10">
        <f t="shared" si="26"/>
        <v>1955</v>
      </c>
      <c r="AD8" s="32">
        <f t="shared" si="26"/>
        <v>1873</v>
      </c>
      <c r="AE8" s="10">
        <f t="shared" si="26"/>
        <v>341</v>
      </c>
      <c r="AF8" s="10">
        <f t="shared" si="26"/>
        <v>521</v>
      </c>
      <c r="AG8" s="10">
        <f t="shared" si="26"/>
        <v>351</v>
      </c>
      <c r="AH8" s="32">
        <f t="shared" si="26"/>
        <v>408</v>
      </c>
      <c r="AI8" s="59">
        <f t="shared" si="26"/>
        <v>110</v>
      </c>
      <c r="AJ8" s="35">
        <f t="shared" si="26"/>
        <v>51</v>
      </c>
      <c r="AK8" s="56">
        <f t="shared" si="22"/>
        <v>63.948375632204858</v>
      </c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D8" s="63" t="s">
        <v>4</v>
      </c>
      <c r="BE8" s="64">
        <v>1860</v>
      </c>
      <c r="BF8" s="64">
        <v>1699</v>
      </c>
      <c r="BG8" s="64">
        <v>2689</v>
      </c>
      <c r="BH8" s="64">
        <v>2442</v>
      </c>
      <c r="BI8" s="64">
        <v>2539</v>
      </c>
      <c r="BJ8" s="64">
        <v>2258</v>
      </c>
      <c r="BK8" s="64">
        <v>2507</v>
      </c>
      <c r="BL8" s="64">
        <v>2422</v>
      </c>
      <c r="BM8" s="64">
        <v>2358</v>
      </c>
      <c r="BN8" s="64">
        <v>2303</v>
      </c>
      <c r="BO8" s="64">
        <v>2319</v>
      </c>
      <c r="BP8" s="64">
        <v>2126</v>
      </c>
      <c r="BQ8" s="64">
        <v>2068</v>
      </c>
      <c r="BR8" s="64">
        <v>1936</v>
      </c>
      <c r="BS8" s="64">
        <v>1849</v>
      </c>
      <c r="BT8" s="64">
        <v>1881</v>
      </c>
      <c r="BU8" s="64">
        <v>1903</v>
      </c>
      <c r="BV8" s="64">
        <v>1718</v>
      </c>
      <c r="BW8" s="64">
        <v>2026</v>
      </c>
      <c r="BX8" s="64">
        <v>1745</v>
      </c>
      <c r="BY8" s="64">
        <v>2061</v>
      </c>
      <c r="BZ8" s="64">
        <v>1784</v>
      </c>
      <c r="CA8" s="64">
        <v>2124</v>
      </c>
      <c r="CB8" s="64">
        <v>1912</v>
      </c>
      <c r="CC8" s="64">
        <v>1955</v>
      </c>
      <c r="CD8" s="64">
        <v>1873</v>
      </c>
      <c r="CE8" s="64">
        <v>341</v>
      </c>
      <c r="CF8" s="64">
        <v>521</v>
      </c>
      <c r="CG8" s="64">
        <v>351</v>
      </c>
      <c r="CH8" s="64">
        <v>408</v>
      </c>
      <c r="CI8" s="64">
        <v>110</v>
      </c>
      <c r="CJ8" s="64">
        <v>51</v>
      </c>
      <c r="CK8" s="64"/>
      <c r="CL8" s="64"/>
    </row>
    <row r="9" spans="1:90" s="51" customFormat="1" ht="19.5" customHeight="1" x14ac:dyDescent="0.25">
      <c r="A9" s="44" t="s">
        <v>45</v>
      </c>
      <c r="B9" s="10">
        <f t="shared" si="23"/>
        <v>3584</v>
      </c>
      <c r="C9" s="6">
        <f t="shared" si="24"/>
        <v>1838</v>
      </c>
      <c r="D9" s="33">
        <f t="shared" si="25"/>
        <v>1746</v>
      </c>
      <c r="E9" s="11">
        <v>104</v>
      </c>
      <c r="F9" s="6">
        <v>97</v>
      </c>
      <c r="G9" s="6">
        <v>182</v>
      </c>
      <c r="H9" s="6">
        <v>151</v>
      </c>
      <c r="I9" s="6">
        <v>150</v>
      </c>
      <c r="J9" s="33">
        <v>150</v>
      </c>
      <c r="K9" s="34">
        <v>161</v>
      </c>
      <c r="L9" s="6">
        <v>153</v>
      </c>
      <c r="M9" s="6">
        <v>172</v>
      </c>
      <c r="N9" s="6">
        <v>156</v>
      </c>
      <c r="O9" s="6">
        <v>144</v>
      </c>
      <c r="P9" s="6">
        <v>125</v>
      </c>
      <c r="Q9" s="6">
        <v>121</v>
      </c>
      <c r="R9" s="6">
        <v>111</v>
      </c>
      <c r="S9" s="6">
        <v>107</v>
      </c>
      <c r="T9" s="6">
        <v>115</v>
      </c>
      <c r="U9" s="6">
        <v>129</v>
      </c>
      <c r="V9" s="6">
        <v>105</v>
      </c>
      <c r="W9" s="6">
        <v>139</v>
      </c>
      <c r="X9" s="33">
        <v>121</v>
      </c>
      <c r="Y9" s="34">
        <v>143</v>
      </c>
      <c r="Z9" s="6">
        <v>133</v>
      </c>
      <c r="AA9" s="6">
        <v>148</v>
      </c>
      <c r="AB9" s="6">
        <v>121</v>
      </c>
      <c r="AC9" s="6">
        <v>99</v>
      </c>
      <c r="AD9" s="33">
        <v>149</v>
      </c>
      <c r="AE9" s="6">
        <v>14</v>
      </c>
      <c r="AF9" s="6">
        <v>34</v>
      </c>
      <c r="AG9" s="6">
        <v>25</v>
      </c>
      <c r="AH9" s="33">
        <v>25</v>
      </c>
      <c r="AI9" s="36">
        <v>0</v>
      </c>
      <c r="AJ9" s="37">
        <v>0</v>
      </c>
      <c r="AK9" s="7">
        <f t="shared" si="22"/>
        <v>4.0825625370210057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D9" s="65" t="s">
        <v>69</v>
      </c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</row>
    <row r="10" spans="1:90" s="51" customFormat="1" ht="19.5" customHeight="1" x14ac:dyDescent="0.25">
      <c r="A10" s="44" t="s">
        <v>46</v>
      </c>
      <c r="B10" s="10">
        <f t="shared" si="23"/>
        <v>5625</v>
      </c>
      <c r="C10" s="6">
        <f t="shared" si="24"/>
        <v>2927</v>
      </c>
      <c r="D10" s="33">
        <f t="shared" si="25"/>
        <v>2698</v>
      </c>
      <c r="E10" s="12">
        <v>237</v>
      </c>
      <c r="F10" s="6">
        <v>227</v>
      </c>
      <c r="G10" s="6">
        <v>290</v>
      </c>
      <c r="H10" s="6">
        <v>255</v>
      </c>
      <c r="I10" s="6">
        <v>283</v>
      </c>
      <c r="J10" s="33">
        <v>238</v>
      </c>
      <c r="K10" s="34">
        <v>252</v>
      </c>
      <c r="L10" s="6">
        <v>248</v>
      </c>
      <c r="M10" s="6">
        <v>212</v>
      </c>
      <c r="N10" s="6">
        <v>226</v>
      </c>
      <c r="O10" s="6">
        <v>220</v>
      </c>
      <c r="P10" s="6">
        <v>208</v>
      </c>
      <c r="Q10" s="6">
        <v>219</v>
      </c>
      <c r="R10" s="6">
        <v>186</v>
      </c>
      <c r="S10" s="6">
        <v>171</v>
      </c>
      <c r="T10" s="6">
        <v>158</v>
      </c>
      <c r="U10" s="6">
        <v>174</v>
      </c>
      <c r="V10" s="6">
        <v>150</v>
      </c>
      <c r="W10" s="6">
        <v>198</v>
      </c>
      <c r="X10" s="33">
        <v>163</v>
      </c>
      <c r="Y10" s="34">
        <v>196</v>
      </c>
      <c r="Z10" s="6">
        <v>176</v>
      </c>
      <c r="AA10" s="6">
        <v>180</v>
      </c>
      <c r="AB10" s="6">
        <v>181</v>
      </c>
      <c r="AC10" s="6">
        <v>222</v>
      </c>
      <c r="AD10" s="33">
        <v>168</v>
      </c>
      <c r="AE10" s="6">
        <v>37</v>
      </c>
      <c r="AF10" s="6">
        <v>47</v>
      </c>
      <c r="AG10" s="6">
        <v>36</v>
      </c>
      <c r="AH10" s="33">
        <v>67</v>
      </c>
      <c r="AI10" s="36">
        <v>0</v>
      </c>
      <c r="AJ10" s="35">
        <v>0</v>
      </c>
      <c r="AK10" s="7">
        <f t="shared" si="22"/>
        <v>6.4074816603636036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D10" s="63" t="s">
        <v>30</v>
      </c>
      <c r="BE10" s="66">
        <f>BE6/BF6*100</f>
        <v>107.58842443729904</v>
      </c>
      <c r="BF10" s="66"/>
      <c r="BG10" s="66">
        <f>BG6/BH6*100</f>
        <v>110.63437746775466</v>
      </c>
      <c r="BH10" s="65"/>
      <c r="BI10" s="66">
        <f>BI6/BJ6*100</f>
        <v>107.13906581740977</v>
      </c>
      <c r="BJ10" s="65"/>
      <c r="BK10" s="66">
        <f>BK6/BL6*100</f>
        <v>100.21316280309087</v>
      </c>
      <c r="BL10" s="65"/>
      <c r="BM10" s="66">
        <f>BM6/BN6*100</f>
        <v>103.2495055100311</v>
      </c>
      <c r="BN10" s="65"/>
      <c r="BO10" s="66">
        <f>BO6/BP6*100</f>
        <v>105.20284917931248</v>
      </c>
      <c r="BP10" s="65"/>
      <c r="BQ10" s="66">
        <f>BQ6/BR6*100</f>
        <v>102.24681421864521</v>
      </c>
      <c r="BR10" s="65"/>
      <c r="BS10" s="66">
        <f>BS6/BT6*100</f>
        <v>100.57908070937387</v>
      </c>
      <c r="BT10" s="65"/>
      <c r="BU10" s="66">
        <f>BU6/BV6*100</f>
        <v>108.33010461061603</v>
      </c>
      <c r="BV10" s="65"/>
      <c r="BW10" s="66">
        <f>BW6/BX6*100</f>
        <v>112.1141975308642</v>
      </c>
      <c r="BX10" s="65"/>
      <c r="BY10" s="66">
        <f>BY6/BZ6*100</f>
        <v>111.28971962616822</v>
      </c>
      <c r="BZ10" s="65"/>
      <c r="CA10" s="66">
        <f>CA6/CB6*100</f>
        <v>107.68958185683913</v>
      </c>
      <c r="CB10" s="65"/>
      <c r="CC10" s="66">
        <f>CC6/CD6*100</f>
        <v>105.18042157913541</v>
      </c>
      <c r="CD10" s="65"/>
      <c r="CE10" s="66">
        <f>CE6/CF6*100</f>
        <v>70.739549839228303</v>
      </c>
      <c r="CF10" s="65"/>
      <c r="CG10" s="66">
        <f>CG6/CH6*100</f>
        <v>81.454545454545453</v>
      </c>
      <c r="CH10" s="65"/>
      <c r="CI10" s="66">
        <f>CI6/CJ6*100</f>
        <v>225.6637168141593</v>
      </c>
      <c r="CJ10" s="65"/>
      <c r="CK10" s="65"/>
      <c r="CL10" s="65"/>
    </row>
    <row r="11" spans="1:90" s="51" customFormat="1" ht="19.5" customHeight="1" x14ac:dyDescent="0.25">
      <c r="A11" s="44" t="s">
        <v>47</v>
      </c>
      <c r="B11" s="10">
        <f t="shared" si="23"/>
        <v>3680</v>
      </c>
      <c r="C11" s="6">
        <f t="shared" si="24"/>
        <v>1920</v>
      </c>
      <c r="D11" s="33">
        <f t="shared" si="25"/>
        <v>1760</v>
      </c>
      <c r="E11" s="13">
        <v>54</v>
      </c>
      <c r="F11" s="6">
        <v>40</v>
      </c>
      <c r="G11" s="6">
        <v>187</v>
      </c>
      <c r="H11" s="6">
        <v>160</v>
      </c>
      <c r="I11" s="6">
        <v>183</v>
      </c>
      <c r="J11" s="33">
        <v>160</v>
      </c>
      <c r="K11" s="34">
        <v>180</v>
      </c>
      <c r="L11" s="6">
        <v>177</v>
      </c>
      <c r="M11" s="6">
        <v>147</v>
      </c>
      <c r="N11" s="6">
        <v>145</v>
      </c>
      <c r="O11" s="6">
        <v>151</v>
      </c>
      <c r="P11" s="6">
        <v>141</v>
      </c>
      <c r="Q11" s="6">
        <v>124</v>
      </c>
      <c r="R11" s="6">
        <v>139</v>
      </c>
      <c r="S11" s="6">
        <v>122</v>
      </c>
      <c r="T11" s="6">
        <v>135</v>
      </c>
      <c r="U11" s="6">
        <v>130</v>
      </c>
      <c r="V11" s="6">
        <v>130</v>
      </c>
      <c r="W11" s="6">
        <v>139</v>
      </c>
      <c r="X11" s="33">
        <v>110</v>
      </c>
      <c r="Y11" s="34">
        <v>178</v>
      </c>
      <c r="Z11" s="6">
        <v>119</v>
      </c>
      <c r="AA11" s="6">
        <v>160</v>
      </c>
      <c r="AB11" s="6">
        <v>154</v>
      </c>
      <c r="AC11" s="6">
        <v>133</v>
      </c>
      <c r="AD11" s="33">
        <v>117</v>
      </c>
      <c r="AE11" s="6">
        <v>14</v>
      </c>
      <c r="AF11" s="6">
        <v>18</v>
      </c>
      <c r="AG11" s="6">
        <v>13</v>
      </c>
      <c r="AH11" s="33">
        <v>13</v>
      </c>
      <c r="AI11" s="36">
        <v>5</v>
      </c>
      <c r="AJ11" s="37">
        <v>2</v>
      </c>
      <c r="AK11" s="7">
        <f t="shared" si="22"/>
        <v>4.1919168906912105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D11" s="63" t="s">
        <v>3</v>
      </c>
      <c r="BE11" s="66">
        <f>BE7/BF7*100</f>
        <v>105.31537916371367</v>
      </c>
      <c r="BF11" s="66"/>
      <c r="BG11" s="66">
        <f>BG7/BH7*100</f>
        <v>111.56963890935887</v>
      </c>
      <c r="BH11" s="65"/>
      <c r="BI11" s="66">
        <f>BI7/BJ7*100</f>
        <v>99.205298013245041</v>
      </c>
      <c r="BJ11" s="65"/>
      <c r="BK11" s="66">
        <f>BK7/BL7*100</f>
        <v>94.214876033057848</v>
      </c>
      <c r="BL11" s="65"/>
      <c r="BM11" s="66">
        <f>BM7/BN7*100</f>
        <v>104.85436893203884</v>
      </c>
      <c r="BN11" s="65"/>
      <c r="BO11" s="66">
        <f>BO7/BP7*100</f>
        <v>97.733454215775168</v>
      </c>
      <c r="BP11" s="65"/>
      <c r="BQ11" s="66">
        <f>BQ7/BR7*100</f>
        <v>93.785850860420652</v>
      </c>
      <c r="BR11" s="65"/>
      <c r="BS11" s="66">
        <f>BS7/BT7*100</f>
        <v>105.44217687074831</v>
      </c>
      <c r="BT11" s="65"/>
      <c r="BU11" s="66">
        <f>BU7/BV7*100</f>
        <v>103.47624565469293</v>
      </c>
      <c r="BV11" s="65"/>
      <c r="BW11" s="66">
        <f>BW7/BX7*100</f>
        <v>103.89610389610388</v>
      </c>
      <c r="BX11" s="65"/>
      <c r="BY11" s="66">
        <f>BY7/BZ7*100</f>
        <v>102.80583613916947</v>
      </c>
      <c r="BZ11" s="65"/>
      <c r="CA11" s="66">
        <f>CA7/CB7*100</f>
        <v>100.54945054945054</v>
      </c>
      <c r="CB11" s="65"/>
      <c r="CC11" s="66">
        <f>CC7/CD7*100</f>
        <v>106.8034557235421</v>
      </c>
      <c r="CD11" s="65"/>
      <c r="CE11" s="66">
        <f>CE7/CF7*100</f>
        <v>74.550484094052564</v>
      </c>
      <c r="CF11" s="65"/>
      <c r="CG11" s="66">
        <f>CG7/CH7*100</f>
        <v>78.757225433526017</v>
      </c>
      <c r="CH11" s="65"/>
      <c r="CI11" s="66">
        <f>CI7/CJ7*100</f>
        <v>233.87096774193549</v>
      </c>
      <c r="CJ11" s="65"/>
      <c r="CK11" s="65"/>
      <c r="CL11" s="65"/>
    </row>
    <row r="12" spans="1:90" s="51" customFormat="1" ht="19.5" customHeight="1" x14ac:dyDescent="0.25">
      <c r="A12" s="44" t="s">
        <v>48</v>
      </c>
      <c r="B12" s="10">
        <f t="shared" si="23"/>
        <v>2967</v>
      </c>
      <c r="C12" s="6">
        <f t="shared" si="24"/>
        <v>1528</v>
      </c>
      <c r="D12" s="33">
        <f t="shared" si="25"/>
        <v>1439</v>
      </c>
      <c r="E12" s="14">
        <v>105</v>
      </c>
      <c r="F12" s="6">
        <v>101</v>
      </c>
      <c r="G12" s="6">
        <v>137</v>
      </c>
      <c r="H12" s="6">
        <v>150</v>
      </c>
      <c r="I12" s="6">
        <v>148</v>
      </c>
      <c r="J12" s="33">
        <v>124</v>
      </c>
      <c r="K12" s="34">
        <v>153</v>
      </c>
      <c r="L12" s="6">
        <v>141</v>
      </c>
      <c r="M12" s="6">
        <v>110</v>
      </c>
      <c r="N12" s="6">
        <v>119</v>
      </c>
      <c r="O12" s="6">
        <v>129</v>
      </c>
      <c r="P12" s="6">
        <v>95</v>
      </c>
      <c r="Q12" s="6">
        <v>107</v>
      </c>
      <c r="R12" s="6">
        <v>99</v>
      </c>
      <c r="S12" s="6">
        <v>108</v>
      </c>
      <c r="T12" s="6">
        <v>89</v>
      </c>
      <c r="U12" s="6">
        <v>96</v>
      </c>
      <c r="V12" s="6">
        <v>109</v>
      </c>
      <c r="W12" s="6">
        <v>107</v>
      </c>
      <c r="X12" s="33">
        <v>86</v>
      </c>
      <c r="Y12" s="34">
        <v>104</v>
      </c>
      <c r="Z12" s="6">
        <v>94</v>
      </c>
      <c r="AA12" s="6">
        <v>95</v>
      </c>
      <c r="AB12" s="6">
        <v>93</v>
      </c>
      <c r="AC12" s="6">
        <v>94</v>
      </c>
      <c r="AD12" s="33">
        <v>99</v>
      </c>
      <c r="AE12" s="6">
        <v>14</v>
      </c>
      <c r="AF12" s="6">
        <v>21</v>
      </c>
      <c r="AG12" s="6">
        <v>21</v>
      </c>
      <c r="AH12" s="33">
        <v>19</v>
      </c>
      <c r="AI12" s="36">
        <v>0</v>
      </c>
      <c r="AJ12" s="37">
        <v>0</v>
      </c>
      <c r="AK12" s="7">
        <f t="shared" si="22"/>
        <v>3.3797329931197884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D12" s="63" t="s">
        <v>4</v>
      </c>
      <c r="BE12" s="66">
        <f>BE8/BF8*100</f>
        <v>109.47616244849911</v>
      </c>
      <c r="BF12" s="66"/>
      <c r="BG12" s="66">
        <f>BG8/BH8*100</f>
        <v>110.11466011466011</v>
      </c>
      <c r="BH12" s="65"/>
      <c r="BI12" s="66">
        <f>BI8/BJ8*100</f>
        <v>112.444641275465</v>
      </c>
      <c r="BJ12" s="65"/>
      <c r="BK12" s="66">
        <f>BK8/BL8*100</f>
        <v>103.50949628406276</v>
      </c>
      <c r="BL12" s="65"/>
      <c r="BM12" s="66">
        <f>BM8/BN8*100</f>
        <v>102.38818931828051</v>
      </c>
      <c r="BN12" s="65"/>
      <c r="BO12" s="66">
        <f>BO8/BP8*100</f>
        <v>109.07808090310442</v>
      </c>
      <c r="BP12" s="65"/>
      <c r="BQ12" s="66">
        <f>BQ8/BR8*100</f>
        <v>106.81818181818181</v>
      </c>
      <c r="BR12" s="65"/>
      <c r="BS12" s="66">
        <f>BS8/BT8*100</f>
        <v>98.298777246145661</v>
      </c>
      <c r="BT12" s="65"/>
      <c r="BU12" s="66">
        <f>BU8/BV8*100</f>
        <v>110.76833527357392</v>
      </c>
      <c r="BV12" s="65"/>
      <c r="BW12" s="66">
        <f>BW8/BX8*100</f>
        <v>116.10315186246419</v>
      </c>
      <c r="BX12" s="65"/>
      <c r="BY12" s="66">
        <f>BY8/BZ8*100</f>
        <v>115.52690582959642</v>
      </c>
      <c r="BZ12" s="65"/>
      <c r="CA12" s="66">
        <f>CA8/CB8*100</f>
        <v>111.0878661087866</v>
      </c>
      <c r="CB12" s="65"/>
      <c r="CC12" s="66">
        <f>CC8/CD8*100</f>
        <v>104.37800320341697</v>
      </c>
      <c r="CD12" s="65"/>
      <c r="CE12" s="66">
        <f>CE8/CF8*100</f>
        <v>65.451055662188097</v>
      </c>
      <c r="CF12" s="65"/>
      <c r="CG12" s="66">
        <f>CG8/CH8*100</f>
        <v>86.029411764705884</v>
      </c>
      <c r="CH12" s="65"/>
      <c r="CI12" s="66">
        <f>CI8/CJ8*100</f>
        <v>215.68627450980392</v>
      </c>
      <c r="CJ12" s="65"/>
      <c r="CK12" s="65"/>
      <c r="CL12" s="65"/>
    </row>
    <row r="13" spans="1:90" s="51" customFormat="1" ht="19.5" customHeight="1" x14ac:dyDescent="0.25">
      <c r="A13" s="44" t="s">
        <v>49</v>
      </c>
      <c r="B13" s="10">
        <f t="shared" si="23"/>
        <v>4704</v>
      </c>
      <c r="C13" s="6">
        <f t="shared" si="24"/>
        <v>2450</v>
      </c>
      <c r="D13" s="33">
        <f t="shared" si="25"/>
        <v>2254</v>
      </c>
      <c r="E13" s="15">
        <v>178</v>
      </c>
      <c r="F13" s="6">
        <v>177</v>
      </c>
      <c r="G13" s="6">
        <v>221</v>
      </c>
      <c r="H13" s="6">
        <v>202</v>
      </c>
      <c r="I13" s="6">
        <v>203</v>
      </c>
      <c r="J13" s="33">
        <v>172</v>
      </c>
      <c r="K13" s="34">
        <v>201</v>
      </c>
      <c r="L13" s="6">
        <v>203</v>
      </c>
      <c r="M13" s="6">
        <v>176</v>
      </c>
      <c r="N13" s="6">
        <v>187</v>
      </c>
      <c r="O13" s="6">
        <v>191</v>
      </c>
      <c r="P13" s="6">
        <v>152</v>
      </c>
      <c r="Q13" s="6">
        <v>162</v>
      </c>
      <c r="R13" s="6">
        <v>151</v>
      </c>
      <c r="S13" s="6">
        <v>149</v>
      </c>
      <c r="T13" s="6">
        <v>162</v>
      </c>
      <c r="U13" s="6">
        <v>161</v>
      </c>
      <c r="V13" s="6">
        <v>111</v>
      </c>
      <c r="W13" s="6">
        <v>183</v>
      </c>
      <c r="X13" s="33">
        <v>160</v>
      </c>
      <c r="Y13" s="34">
        <v>181</v>
      </c>
      <c r="Z13" s="6">
        <v>151</v>
      </c>
      <c r="AA13" s="6">
        <v>212</v>
      </c>
      <c r="AB13" s="6">
        <v>153</v>
      </c>
      <c r="AC13" s="6">
        <v>169</v>
      </c>
      <c r="AD13" s="33">
        <v>185</v>
      </c>
      <c r="AE13" s="6">
        <v>35</v>
      </c>
      <c r="AF13" s="6">
        <v>61</v>
      </c>
      <c r="AG13" s="6">
        <v>28</v>
      </c>
      <c r="AH13" s="33">
        <v>27</v>
      </c>
      <c r="AI13" s="36">
        <v>0</v>
      </c>
      <c r="AJ13" s="37">
        <v>0</v>
      </c>
      <c r="AK13" s="7">
        <f t="shared" si="22"/>
        <v>5.3583633298400688</v>
      </c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</row>
    <row r="14" spans="1:90" s="51" customFormat="1" ht="19.5" customHeight="1" x14ac:dyDescent="0.25">
      <c r="A14" s="44" t="s">
        <v>50</v>
      </c>
      <c r="B14" s="10">
        <f t="shared" si="23"/>
        <v>2614</v>
      </c>
      <c r="C14" s="6">
        <f t="shared" si="24"/>
        <v>1385</v>
      </c>
      <c r="D14" s="33">
        <f t="shared" si="25"/>
        <v>1229</v>
      </c>
      <c r="E14" s="16">
        <v>83</v>
      </c>
      <c r="F14" s="6">
        <v>88</v>
      </c>
      <c r="G14" s="6">
        <v>115</v>
      </c>
      <c r="H14" s="6">
        <v>112</v>
      </c>
      <c r="I14" s="6">
        <v>116</v>
      </c>
      <c r="J14" s="33">
        <v>100</v>
      </c>
      <c r="K14" s="34">
        <v>120</v>
      </c>
      <c r="L14" s="6">
        <v>130</v>
      </c>
      <c r="M14" s="6">
        <v>96</v>
      </c>
      <c r="N14" s="6">
        <v>73</v>
      </c>
      <c r="O14" s="6">
        <v>97</v>
      </c>
      <c r="P14" s="6">
        <v>95</v>
      </c>
      <c r="Q14" s="6">
        <v>102</v>
      </c>
      <c r="R14" s="6">
        <v>67</v>
      </c>
      <c r="S14" s="6">
        <v>91</v>
      </c>
      <c r="T14" s="6">
        <v>75</v>
      </c>
      <c r="U14" s="6">
        <v>104</v>
      </c>
      <c r="V14" s="6">
        <v>92</v>
      </c>
      <c r="W14" s="6">
        <v>90</v>
      </c>
      <c r="X14" s="33">
        <v>78</v>
      </c>
      <c r="Y14" s="34">
        <v>107</v>
      </c>
      <c r="Z14" s="6">
        <v>87</v>
      </c>
      <c r="AA14" s="6">
        <v>92</v>
      </c>
      <c r="AB14" s="6">
        <v>79</v>
      </c>
      <c r="AC14" s="6">
        <v>120</v>
      </c>
      <c r="AD14" s="33">
        <v>77</v>
      </c>
      <c r="AE14" s="6">
        <v>19</v>
      </c>
      <c r="AF14" s="6">
        <v>32</v>
      </c>
      <c r="AG14" s="6">
        <v>33</v>
      </c>
      <c r="AH14" s="33">
        <v>44</v>
      </c>
      <c r="AI14" s="36">
        <v>0</v>
      </c>
      <c r="AJ14" s="37">
        <v>0</v>
      </c>
      <c r="AK14" s="7">
        <f t="shared" si="22"/>
        <v>2.9776279218116373</v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D14" s="65" t="s">
        <v>69</v>
      </c>
      <c r="BE14" s="60" t="s">
        <v>32</v>
      </c>
      <c r="BF14" s="60" t="s">
        <v>27</v>
      </c>
      <c r="BG14" s="61" t="s">
        <v>28</v>
      </c>
      <c r="BH14" s="61" t="s">
        <v>33</v>
      </c>
      <c r="BI14" s="61" t="s">
        <v>34</v>
      </c>
      <c r="BJ14" s="61" t="s">
        <v>35</v>
      </c>
      <c r="BK14" s="61" t="s">
        <v>36</v>
      </c>
      <c r="BL14" s="61" t="s">
        <v>37</v>
      </c>
      <c r="BM14" s="61" t="s">
        <v>38</v>
      </c>
      <c r="BN14" s="61" t="s">
        <v>39</v>
      </c>
      <c r="BO14" s="61" t="s">
        <v>40</v>
      </c>
      <c r="BP14" s="61" t="s">
        <v>41</v>
      </c>
      <c r="BQ14" s="61" t="s">
        <v>42</v>
      </c>
      <c r="BR14" s="61" t="s">
        <v>43</v>
      </c>
      <c r="BS14" s="61" t="s">
        <v>44</v>
      </c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1"/>
      <c r="CG14" s="65"/>
      <c r="CH14" s="65"/>
      <c r="CI14" s="65"/>
      <c r="CJ14" s="65"/>
      <c r="CK14" s="65"/>
      <c r="CL14" s="65"/>
    </row>
    <row r="15" spans="1:90" s="51" customFormat="1" ht="19.5" customHeight="1" x14ac:dyDescent="0.25">
      <c r="A15" s="44" t="s">
        <v>51</v>
      </c>
      <c r="B15" s="10">
        <f t="shared" si="23"/>
        <v>2092</v>
      </c>
      <c r="C15" s="6">
        <f t="shared" si="24"/>
        <v>1043</v>
      </c>
      <c r="D15" s="33">
        <f t="shared" si="25"/>
        <v>1049</v>
      </c>
      <c r="E15" s="17">
        <v>49</v>
      </c>
      <c r="F15" s="6">
        <v>46</v>
      </c>
      <c r="G15" s="6">
        <v>100</v>
      </c>
      <c r="H15" s="6">
        <v>89</v>
      </c>
      <c r="I15" s="6">
        <v>72</v>
      </c>
      <c r="J15" s="33">
        <v>84</v>
      </c>
      <c r="K15" s="34">
        <v>102</v>
      </c>
      <c r="L15" s="6">
        <v>93</v>
      </c>
      <c r="M15" s="6">
        <v>81</v>
      </c>
      <c r="N15" s="6">
        <v>89</v>
      </c>
      <c r="O15" s="6">
        <v>75</v>
      </c>
      <c r="P15" s="6">
        <v>88</v>
      </c>
      <c r="Q15" s="6">
        <v>77</v>
      </c>
      <c r="R15" s="6">
        <v>66</v>
      </c>
      <c r="S15" s="6">
        <v>72</v>
      </c>
      <c r="T15" s="6">
        <v>91</v>
      </c>
      <c r="U15" s="6">
        <v>69</v>
      </c>
      <c r="V15" s="6">
        <v>82</v>
      </c>
      <c r="W15" s="6">
        <v>89</v>
      </c>
      <c r="X15" s="33">
        <v>61</v>
      </c>
      <c r="Y15" s="34">
        <v>63</v>
      </c>
      <c r="Z15" s="6">
        <v>69</v>
      </c>
      <c r="AA15" s="6">
        <v>74</v>
      </c>
      <c r="AB15" s="6">
        <v>58</v>
      </c>
      <c r="AC15" s="6">
        <v>89</v>
      </c>
      <c r="AD15" s="33">
        <v>81</v>
      </c>
      <c r="AE15" s="6">
        <v>18</v>
      </c>
      <c r="AF15" s="6">
        <v>22</v>
      </c>
      <c r="AG15" s="6">
        <v>12</v>
      </c>
      <c r="AH15" s="33">
        <v>27</v>
      </c>
      <c r="AI15" s="36">
        <v>1</v>
      </c>
      <c r="AJ15" s="37">
        <v>3</v>
      </c>
      <c r="AK15" s="7">
        <f t="shared" si="22"/>
        <v>2.3830136237298944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D15" s="65" t="s">
        <v>30</v>
      </c>
      <c r="BE15" s="66">
        <v>107.58842443729904</v>
      </c>
      <c r="BF15" s="66">
        <v>110.63437746775466</v>
      </c>
      <c r="BG15" s="66">
        <v>107.13906581740977</v>
      </c>
      <c r="BH15" s="66">
        <v>100.21316280309087</v>
      </c>
      <c r="BI15" s="66">
        <v>103.2495055100311</v>
      </c>
      <c r="BJ15" s="66">
        <v>105.20284917931248</v>
      </c>
      <c r="BK15" s="66">
        <v>102.24681421864521</v>
      </c>
      <c r="BL15" s="66">
        <v>100.57908070937387</v>
      </c>
      <c r="BM15" s="66">
        <v>108.33010461061603</v>
      </c>
      <c r="BN15" s="66">
        <v>112.1141975308642</v>
      </c>
      <c r="BO15" s="66">
        <v>111.28971962616822</v>
      </c>
      <c r="BP15" s="66">
        <v>107.68958185683913</v>
      </c>
      <c r="BQ15" s="66">
        <v>105.18042157913541</v>
      </c>
      <c r="BR15" s="66">
        <v>70.739549839228303</v>
      </c>
      <c r="BS15" s="66">
        <v>81.454545454545453</v>
      </c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6"/>
      <c r="CG15" s="65"/>
      <c r="CH15" s="65"/>
      <c r="CI15" s="65"/>
      <c r="CJ15" s="65"/>
      <c r="CK15" s="65"/>
      <c r="CL15" s="65"/>
    </row>
    <row r="16" spans="1:90" s="51" customFormat="1" ht="19.5" customHeight="1" x14ac:dyDescent="0.25">
      <c r="A16" s="44" t="s">
        <v>52</v>
      </c>
      <c r="B16" s="10">
        <f t="shared" si="23"/>
        <v>2791</v>
      </c>
      <c r="C16" s="6">
        <f t="shared" si="24"/>
        <v>1470</v>
      </c>
      <c r="D16" s="33">
        <f t="shared" si="25"/>
        <v>1321</v>
      </c>
      <c r="E16" s="18">
        <v>102</v>
      </c>
      <c r="F16" s="6">
        <v>106</v>
      </c>
      <c r="G16" s="6">
        <v>171</v>
      </c>
      <c r="H16" s="6">
        <v>149</v>
      </c>
      <c r="I16" s="6">
        <v>139</v>
      </c>
      <c r="J16" s="33">
        <v>112</v>
      </c>
      <c r="K16" s="34">
        <v>132</v>
      </c>
      <c r="L16" s="6">
        <v>102</v>
      </c>
      <c r="M16" s="6">
        <v>137</v>
      </c>
      <c r="N16" s="6">
        <v>125</v>
      </c>
      <c r="O16" s="6">
        <v>114</v>
      </c>
      <c r="P16" s="6">
        <v>95</v>
      </c>
      <c r="Q16" s="6">
        <v>120</v>
      </c>
      <c r="R16" s="6">
        <v>111</v>
      </c>
      <c r="S16" s="6">
        <v>89</v>
      </c>
      <c r="T16" s="6">
        <v>90</v>
      </c>
      <c r="U16" s="6">
        <v>100</v>
      </c>
      <c r="V16" s="6">
        <v>88</v>
      </c>
      <c r="W16" s="6">
        <v>96</v>
      </c>
      <c r="X16" s="33">
        <v>79</v>
      </c>
      <c r="Y16" s="34">
        <v>75</v>
      </c>
      <c r="Z16" s="6">
        <v>82</v>
      </c>
      <c r="AA16" s="6">
        <v>120</v>
      </c>
      <c r="AB16" s="6">
        <v>84</v>
      </c>
      <c r="AC16" s="6">
        <v>72</v>
      </c>
      <c r="AD16" s="33">
        <v>89</v>
      </c>
      <c r="AE16" s="6">
        <v>1</v>
      </c>
      <c r="AF16" s="6">
        <v>5</v>
      </c>
      <c r="AG16" s="6">
        <v>2</v>
      </c>
      <c r="AH16" s="33">
        <v>4</v>
      </c>
      <c r="AI16" s="36">
        <v>0</v>
      </c>
      <c r="AJ16" s="37">
        <v>0</v>
      </c>
      <c r="AK16" s="7">
        <f t="shared" si="22"/>
        <v>3.1792500113910784</v>
      </c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6"/>
      <c r="CG16" s="65"/>
      <c r="CH16" s="65"/>
      <c r="CI16" s="65"/>
      <c r="CJ16" s="65"/>
      <c r="CK16" s="65"/>
      <c r="CL16" s="65"/>
    </row>
    <row r="17" spans="1:90" s="51" customFormat="1" ht="19.5" customHeight="1" x14ac:dyDescent="0.25">
      <c r="A17" s="44" t="s">
        <v>53</v>
      </c>
      <c r="B17" s="10">
        <f t="shared" si="23"/>
        <v>1681</v>
      </c>
      <c r="C17" s="6">
        <f t="shared" si="24"/>
        <v>872</v>
      </c>
      <c r="D17" s="33">
        <f t="shared" si="25"/>
        <v>809</v>
      </c>
      <c r="E17" s="19">
        <v>58</v>
      </c>
      <c r="F17" s="6">
        <v>42</v>
      </c>
      <c r="G17" s="6">
        <v>84</v>
      </c>
      <c r="H17" s="6">
        <v>85</v>
      </c>
      <c r="I17" s="6">
        <v>81</v>
      </c>
      <c r="J17" s="33">
        <v>73</v>
      </c>
      <c r="K17" s="34">
        <v>89</v>
      </c>
      <c r="L17" s="6">
        <v>75</v>
      </c>
      <c r="M17" s="6">
        <v>79</v>
      </c>
      <c r="N17" s="6">
        <v>77</v>
      </c>
      <c r="O17" s="6">
        <v>88</v>
      </c>
      <c r="P17" s="6">
        <v>68</v>
      </c>
      <c r="Q17" s="6">
        <v>53</v>
      </c>
      <c r="R17" s="6">
        <v>67</v>
      </c>
      <c r="S17" s="6">
        <v>73</v>
      </c>
      <c r="T17" s="6">
        <v>54</v>
      </c>
      <c r="U17" s="6">
        <v>55</v>
      </c>
      <c r="V17" s="6">
        <v>52</v>
      </c>
      <c r="W17" s="6">
        <v>51</v>
      </c>
      <c r="X17" s="33">
        <v>49</v>
      </c>
      <c r="Y17" s="34">
        <v>55</v>
      </c>
      <c r="Z17" s="6">
        <v>51</v>
      </c>
      <c r="AA17" s="6">
        <v>46</v>
      </c>
      <c r="AB17" s="6">
        <v>57</v>
      </c>
      <c r="AC17" s="6">
        <v>46</v>
      </c>
      <c r="AD17" s="33">
        <v>48</v>
      </c>
      <c r="AE17" s="6">
        <v>7</v>
      </c>
      <c r="AF17" s="6">
        <v>5</v>
      </c>
      <c r="AG17" s="6">
        <v>7</v>
      </c>
      <c r="AH17" s="33">
        <v>6</v>
      </c>
      <c r="AI17" s="45">
        <v>0</v>
      </c>
      <c r="AJ17" s="46">
        <v>0</v>
      </c>
      <c r="AK17" s="7">
        <f t="shared" si="22"/>
        <v>1.9148402970793275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6"/>
      <c r="CG17" s="65"/>
      <c r="CH17" s="65"/>
      <c r="CI17" s="65"/>
      <c r="CJ17" s="65"/>
      <c r="CK17" s="65"/>
      <c r="CL17" s="65"/>
    </row>
    <row r="18" spans="1:90" s="51" customFormat="1" ht="19.5" customHeight="1" x14ac:dyDescent="0.25">
      <c r="A18" s="44" t="s">
        <v>54</v>
      </c>
      <c r="B18" s="10">
        <f t="shared" si="23"/>
        <v>2130</v>
      </c>
      <c r="C18" s="6">
        <f t="shared" si="24"/>
        <v>1112</v>
      </c>
      <c r="D18" s="33">
        <f t="shared" si="25"/>
        <v>1018</v>
      </c>
      <c r="E18" s="20">
        <v>103</v>
      </c>
      <c r="F18" s="6">
        <v>100</v>
      </c>
      <c r="G18" s="6">
        <v>126</v>
      </c>
      <c r="H18" s="6">
        <v>98</v>
      </c>
      <c r="I18" s="6">
        <v>123</v>
      </c>
      <c r="J18" s="33">
        <v>98</v>
      </c>
      <c r="K18" s="34">
        <v>101</v>
      </c>
      <c r="L18" s="6">
        <v>104</v>
      </c>
      <c r="M18" s="6">
        <v>108</v>
      </c>
      <c r="N18" s="6">
        <v>88</v>
      </c>
      <c r="O18" s="6">
        <v>89</v>
      </c>
      <c r="P18" s="6">
        <v>91</v>
      </c>
      <c r="Q18" s="6">
        <v>71</v>
      </c>
      <c r="R18" s="6">
        <v>69</v>
      </c>
      <c r="S18" s="6">
        <v>66</v>
      </c>
      <c r="T18" s="6">
        <v>82</v>
      </c>
      <c r="U18" s="6">
        <v>82</v>
      </c>
      <c r="V18" s="6">
        <v>63</v>
      </c>
      <c r="W18" s="6">
        <v>47</v>
      </c>
      <c r="X18" s="33">
        <v>43</v>
      </c>
      <c r="Y18" s="34">
        <v>55</v>
      </c>
      <c r="Z18" s="6">
        <v>52</v>
      </c>
      <c r="AA18" s="6">
        <v>75</v>
      </c>
      <c r="AB18" s="6">
        <v>63</v>
      </c>
      <c r="AC18" s="6">
        <v>61</v>
      </c>
      <c r="AD18" s="33">
        <v>53</v>
      </c>
      <c r="AE18" s="6">
        <v>3</v>
      </c>
      <c r="AF18" s="6">
        <v>8</v>
      </c>
      <c r="AG18" s="6">
        <v>0</v>
      </c>
      <c r="AH18" s="33">
        <v>0</v>
      </c>
      <c r="AI18" s="47">
        <v>2</v>
      </c>
      <c r="AJ18" s="46">
        <v>6</v>
      </c>
      <c r="AK18" s="7">
        <f t="shared" si="22"/>
        <v>2.4262997220576841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D18" s="65" t="s">
        <v>69</v>
      </c>
      <c r="BE18" s="60" t="s">
        <v>32</v>
      </c>
      <c r="BF18" s="60" t="s">
        <v>27</v>
      </c>
      <c r="BG18" s="61" t="s">
        <v>28</v>
      </c>
      <c r="BH18" s="61" t="s">
        <v>33</v>
      </c>
      <c r="BI18" s="61" t="s">
        <v>34</v>
      </c>
      <c r="BJ18" s="61" t="s">
        <v>35</v>
      </c>
      <c r="BK18" s="61" t="s">
        <v>36</v>
      </c>
      <c r="BL18" s="61" t="s">
        <v>37</v>
      </c>
      <c r="BM18" s="61" t="s">
        <v>38</v>
      </c>
      <c r="BN18" s="61" t="s">
        <v>39</v>
      </c>
      <c r="BO18" s="61" t="s">
        <v>40</v>
      </c>
      <c r="BP18" s="61" t="s">
        <v>41</v>
      </c>
      <c r="BQ18" s="61" t="s">
        <v>42</v>
      </c>
      <c r="BR18" s="61" t="s">
        <v>43</v>
      </c>
      <c r="BS18" s="61" t="s">
        <v>44</v>
      </c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</row>
    <row r="19" spans="1:90" s="51" customFormat="1" ht="19.5" customHeight="1" x14ac:dyDescent="0.25">
      <c r="A19" s="44" t="s">
        <v>55</v>
      </c>
      <c r="B19" s="10">
        <f t="shared" si="23"/>
        <v>347</v>
      </c>
      <c r="C19" s="6">
        <f t="shared" si="24"/>
        <v>177</v>
      </c>
      <c r="D19" s="33">
        <f t="shared" si="25"/>
        <v>170</v>
      </c>
      <c r="E19" s="21">
        <v>9</v>
      </c>
      <c r="F19" s="6">
        <v>9</v>
      </c>
      <c r="G19" s="6">
        <v>14</v>
      </c>
      <c r="H19" s="6">
        <v>31</v>
      </c>
      <c r="I19" s="6">
        <v>10</v>
      </c>
      <c r="J19" s="33">
        <v>18</v>
      </c>
      <c r="K19" s="34">
        <v>18</v>
      </c>
      <c r="L19" s="6">
        <v>8</v>
      </c>
      <c r="M19" s="6">
        <v>22</v>
      </c>
      <c r="N19" s="6">
        <v>19</v>
      </c>
      <c r="O19" s="6">
        <v>15</v>
      </c>
      <c r="P19" s="6">
        <v>13</v>
      </c>
      <c r="Q19" s="6">
        <v>14</v>
      </c>
      <c r="R19" s="6">
        <v>11</v>
      </c>
      <c r="S19" s="6">
        <v>13</v>
      </c>
      <c r="T19" s="6">
        <v>11</v>
      </c>
      <c r="U19" s="6">
        <v>17</v>
      </c>
      <c r="V19" s="6">
        <v>6</v>
      </c>
      <c r="W19" s="6">
        <v>13</v>
      </c>
      <c r="X19" s="33">
        <v>10</v>
      </c>
      <c r="Y19" s="34">
        <v>9</v>
      </c>
      <c r="Z19" s="6">
        <v>10</v>
      </c>
      <c r="AA19" s="6">
        <v>14</v>
      </c>
      <c r="AB19" s="6">
        <v>7</v>
      </c>
      <c r="AC19" s="6">
        <v>9</v>
      </c>
      <c r="AD19" s="33">
        <v>17</v>
      </c>
      <c r="AE19" s="6">
        <v>0</v>
      </c>
      <c r="AF19" s="6">
        <v>0</v>
      </c>
      <c r="AG19" s="6">
        <v>0</v>
      </c>
      <c r="AH19" s="33">
        <v>0</v>
      </c>
      <c r="AI19" s="36">
        <v>0</v>
      </c>
      <c r="AJ19" s="37">
        <v>0</v>
      </c>
      <c r="AK19" s="7">
        <f t="shared" si="22"/>
        <v>0.39527042420376363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D19" s="65" t="s">
        <v>3</v>
      </c>
      <c r="BE19" s="66">
        <v>105.31537916371367</v>
      </c>
      <c r="BF19" s="66">
        <v>111.56963890935887</v>
      </c>
      <c r="BG19" s="66">
        <v>99.205298013245041</v>
      </c>
      <c r="BH19" s="66">
        <v>94.214876033057848</v>
      </c>
      <c r="BI19" s="66">
        <v>104.85436893203884</v>
      </c>
      <c r="BJ19" s="66">
        <v>97.733454215775168</v>
      </c>
      <c r="BK19" s="66">
        <v>93.785850860420652</v>
      </c>
      <c r="BL19" s="66">
        <v>105.44217687074831</v>
      </c>
      <c r="BM19" s="66">
        <v>103.47624565469293</v>
      </c>
      <c r="BN19" s="66">
        <v>103.89610389610388</v>
      </c>
      <c r="BO19" s="66">
        <v>102.80583613916947</v>
      </c>
      <c r="BP19" s="66">
        <v>100.54945054945054</v>
      </c>
      <c r="BQ19" s="66">
        <v>106.8034557235421</v>
      </c>
      <c r="BR19" s="66">
        <v>74.550484094052564</v>
      </c>
      <c r="BS19" s="66">
        <v>78.757225433526017</v>
      </c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</row>
    <row r="20" spans="1:90" s="51" customFormat="1" ht="19.5" customHeight="1" x14ac:dyDescent="0.25">
      <c r="A20" s="44" t="s">
        <v>56</v>
      </c>
      <c r="B20" s="10">
        <f t="shared" si="23"/>
        <v>1217</v>
      </c>
      <c r="C20" s="6">
        <f t="shared" si="24"/>
        <v>627</v>
      </c>
      <c r="D20" s="33">
        <f t="shared" si="25"/>
        <v>590</v>
      </c>
      <c r="E20" s="22">
        <v>40</v>
      </c>
      <c r="F20" s="6">
        <v>33</v>
      </c>
      <c r="G20" s="6">
        <v>61</v>
      </c>
      <c r="H20" s="6">
        <v>49</v>
      </c>
      <c r="I20" s="6">
        <v>60</v>
      </c>
      <c r="J20" s="33">
        <v>60</v>
      </c>
      <c r="K20" s="34">
        <v>52</v>
      </c>
      <c r="L20" s="6">
        <v>58</v>
      </c>
      <c r="M20" s="6">
        <v>73</v>
      </c>
      <c r="N20" s="6">
        <v>48</v>
      </c>
      <c r="O20" s="6">
        <v>47</v>
      </c>
      <c r="P20" s="6">
        <v>58</v>
      </c>
      <c r="Q20" s="6">
        <v>46</v>
      </c>
      <c r="R20" s="6">
        <v>50</v>
      </c>
      <c r="S20" s="6">
        <v>40</v>
      </c>
      <c r="T20" s="6">
        <v>44</v>
      </c>
      <c r="U20" s="6">
        <v>32</v>
      </c>
      <c r="V20" s="6">
        <v>35</v>
      </c>
      <c r="W20" s="6">
        <v>37</v>
      </c>
      <c r="X20" s="33">
        <v>25</v>
      </c>
      <c r="Y20" s="34">
        <v>39</v>
      </c>
      <c r="Z20" s="6">
        <v>27</v>
      </c>
      <c r="AA20" s="6">
        <v>38</v>
      </c>
      <c r="AB20" s="6">
        <v>36</v>
      </c>
      <c r="AC20" s="6">
        <v>49</v>
      </c>
      <c r="AD20" s="33">
        <v>39</v>
      </c>
      <c r="AE20" s="6">
        <v>5</v>
      </c>
      <c r="AF20" s="6">
        <v>11</v>
      </c>
      <c r="AG20" s="6">
        <v>8</v>
      </c>
      <c r="AH20" s="33">
        <v>17</v>
      </c>
      <c r="AI20" s="36">
        <v>0</v>
      </c>
      <c r="AJ20" s="37">
        <v>0</v>
      </c>
      <c r="AK20" s="7">
        <f t="shared" si="22"/>
        <v>1.386294254340001</v>
      </c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D20" s="65" t="s">
        <v>4</v>
      </c>
      <c r="BE20" s="66">
        <v>109.47616244849911</v>
      </c>
      <c r="BF20" s="66">
        <v>110.11466011466011</v>
      </c>
      <c r="BG20" s="66">
        <v>112.444641275465</v>
      </c>
      <c r="BH20" s="66">
        <v>103.50949628406276</v>
      </c>
      <c r="BI20" s="66">
        <v>102.38818931828051</v>
      </c>
      <c r="BJ20" s="66">
        <v>109.07808090310442</v>
      </c>
      <c r="BK20" s="66">
        <v>106.81818181818181</v>
      </c>
      <c r="BL20" s="66">
        <v>98.298777246145661</v>
      </c>
      <c r="BM20" s="66">
        <v>110.76833527357392</v>
      </c>
      <c r="BN20" s="66">
        <v>116.10315186246419</v>
      </c>
      <c r="BO20" s="66">
        <v>115.52690582959642</v>
      </c>
      <c r="BP20" s="66">
        <v>111.0878661087866</v>
      </c>
      <c r="BQ20" s="66">
        <v>104.37800320341697</v>
      </c>
      <c r="BR20" s="66">
        <v>65.451055662188097</v>
      </c>
      <c r="BS20" s="66">
        <v>86.029411764705884</v>
      </c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</row>
    <row r="21" spans="1:90" s="51" customFormat="1" ht="19.5" customHeight="1" x14ac:dyDescent="0.25">
      <c r="A21" s="44" t="s">
        <v>57</v>
      </c>
      <c r="B21" s="10">
        <f t="shared" si="23"/>
        <v>1421</v>
      </c>
      <c r="C21" s="6">
        <f t="shared" si="24"/>
        <v>732</v>
      </c>
      <c r="D21" s="33">
        <f t="shared" si="25"/>
        <v>689</v>
      </c>
      <c r="E21" s="23">
        <v>43</v>
      </c>
      <c r="F21" s="6">
        <v>28</v>
      </c>
      <c r="G21" s="6">
        <v>56</v>
      </c>
      <c r="H21" s="6">
        <v>62</v>
      </c>
      <c r="I21" s="6">
        <v>52</v>
      </c>
      <c r="J21" s="33">
        <v>63</v>
      </c>
      <c r="K21" s="34">
        <v>61</v>
      </c>
      <c r="L21" s="6">
        <v>55</v>
      </c>
      <c r="M21" s="6">
        <v>56</v>
      </c>
      <c r="N21" s="6">
        <v>55</v>
      </c>
      <c r="O21" s="6">
        <v>59</v>
      </c>
      <c r="P21" s="6">
        <v>49</v>
      </c>
      <c r="Q21" s="6">
        <v>63</v>
      </c>
      <c r="R21" s="6">
        <v>45</v>
      </c>
      <c r="S21" s="6">
        <v>47</v>
      </c>
      <c r="T21" s="6">
        <v>53</v>
      </c>
      <c r="U21" s="6">
        <v>37</v>
      </c>
      <c r="V21" s="6">
        <v>37</v>
      </c>
      <c r="W21" s="6">
        <v>59</v>
      </c>
      <c r="X21" s="33">
        <v>50</v>
      </c>
      <c r="Y21" s="34">
        <v>58</v>
      </c>
      <c r="Z21" s="6">
        <v>55</v>
      </c>
      <c r="AA21" s="6">
        <v>52</v>
      </c>
      <c r="AB21" s="6">
        <v>58</v>
      </c>
      <c r="AC21" s="6">
        <v>51</v>
      </c>
      <c r="AD21" s="33">
        <v>51</v>
      </c>
      <c r="AE21" s="6">
        <v>15</v>
      </c>
      <c r="AF21" s="6">
        <v>13</v>
      </c>
      <c r="AG21" s="6">
        <v>23</v>
      </c>
      <c r="AH21" s="33">
        <v>15</v>
      </c>
      <c r="AI21" s="47">
        <v>0</v>
      </c>
      <c r="AJ21" s="46">
        <v>0</v>
      </c>
      <c r="AK21" s="7">
        <f t="shared" si="22"/>
        <v>1.6186722558891875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90" s="51" customFormat="1" ht="19.5" customHeight="1" x14ac:dyDescent="0.25">
      <c r="A22" s="44" t="s">
        <v>58</v>
      </c>
      <c r="B22" s="10">
        <f t="shared" si="23"/>
        <v>1697</v>
      </c>
      <c r="C22" s="6">
        <f t="shared" si="24"/>
        <v>863</v>
      </c>
      <c r="D22" s="33">
        <f t="shared" si="25"/>
        <v>834</v>
      </c>
      <c r="E22" s="24">
        <v>78</v>
      </c>
      <c r="F22" s="6">
        <v>56</v>
      </c>
      <c r="G22" s="6">
        <v>73</v>
      </c>
      <c r="H22" s="6">
        <v>86</v>
      </c>
      <c r="I22" s="6">
        <v>59</v>
      </c>
      <c r="J22" s="33">
        <v>69</v>
      </c>
      <c r="K22" s="34">
        <v>84</v>
      </c>
      <c r="L22" s="6">
        <v>89</v>
      </c>
      <c r="M22" s="6">
        <v>74</v>
      </c>
      <c r="N22" s="6">
        <v>66</v>
      </c>
      <c r="O22" s="6">
        <v>63</v>
      </c>
      <c r="P22" s="6">
        <v>63</v>
      </c>
      <c r="Q22" s="6">
        <v>60</v>
      </c>
      <c r="R22" s="6">
        <v>75</v>
      </c>
      <c r="S22" s="6">
        <v>56</v>
      </c>
      <c r="T22" s="6">
        <v>63</v>
      </c>
      <c r="U22" s="6">
        <v>44</v>
      </c>
      <c r="V22" s="6">
        <v>40</v>
      </c>
      <c r="W22" s="6">
        <v>60</v>
      </c>
      <c r="X22" s="33">
        <v>42</v>
      </c>
      <c r="Y22" s="34">
        <v>70</v>
      </c>
      <c r="Z22" s="6">
        <v>65</v>
      </c>
      <c r="AA22" s="6">
        <v>81</v>
      </c>
      <c r="AB22" s="6">
        <v>55</v>
      </c>
      <c r="AC22" s="6">
        <v>43</v>
      </c>
      <c r="AD22" s="33">
        <v>42</v>
      </c>
      <c r="AE22" s="6">
        <v>8</v>
      </c>
      <c r="AF22" s="6">
        <v>11</v>
      </c>
      <c r="AG22" s="6">
        <v>10</v>
      </c>
      <c r="AH22" s="33">
        <v>12</v>
      </c>
      <c r="AI22" s="47">
        <v>0</v>
      </c>
      <c r="AJ22" s="46">
        <v>0</v>
      </c>
      <c r="AK22" s="7">
        <f t="shared" si="22"/>
        <v>1.9330660226910286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90" s="51" customFormat="1" ht="19.5" customHeight="1" x14ac:dyDescent="0.25">
      <c r="A23" s="44" t="s">
        <v>59</v>
      </c>
      <c r="B23" s="10">
        <f t="shared" si="23"/>
        <v>2547</v>
      </c>
      <c r="C23" s="6">
        <f t="shared" si="24"/>
        <v>1321</v>
      </c>
      <c r="D23" s="33">
        <f t="shared" si="25"/>
        <v>1226</v>
      </c>
      <c r="E23" s="25">
        <v>62</v>
      </c>
      <c r="F23" s="6">
        <v>65</v>
      </c>
      <c r="G23" s="6">
        <v>134</v>
      </c>
      <c r="H23" s="6">
        <v>121</v>
      </c>
      <c r="I23" s="6">
        <v>151</v>
      </c>
      <c r="J23" s="33">
        <v>123</v>
      </c>
      <c r="K23" s="34">
        <v>114</v>
      </c>
      <c r="L23" s="6">
        <v>117</v>
      </c>
      <c r="M23" s="6">
        <v>102</v>
      </c>
      <c r="N23" s="6">
        <v>105</v>
      </c>
      <c r="O23" s="6">
        <v>116</v>
      </c>
      <c r="P23" s="6">
        <v>113</v>
      </c>
      <c r="Q23" s="6">
        <v>91</v>
      </c>
      <c r="R23" s="6">
        <v>97</v>
      </c>
      <c r="S23" s="6">
        <v>74</v>
      </c>
      <c r="T23" s="6">
        <v>85</v>
      </c>
      <c r="U23" s="6">
        <v>77</v>
      </c>
      <c r="V23" s="6">
        <v>65</v>
      </c>
      <c r="W23" s="6">
        <v>101</v>
      </c>
      <c r="X23" s="33">
        <v>65</v>
      </c>
      <c r="Y23" s="34">
        <v>80</v>
      </c>
      <c r="Z23" s="6">
        <v>67</v>
      </c>
      <c r="AA23" s="6">
        <v>121</v>
      </c>
      <c r="AB23" s="6">
        <v>96</v>
      </c>
      <c r="AC23" s="6">
        <v>79</v>
      </c>
      <c r="AD23" s="33">
        <v>88</v>
      </c>
      <c r="AE23" s="6">
        <v>7</v>
      </c>
      <c r="AF23" s="6">
        <v>9</v>
      </c>
      <c r="AG23" s="6">
        <v>12</v>
      </c>
      <c r="AH23" s="33">
        <v>10</v>
      </c>
      <c r="AI23" s="36">
        <v>0</v>
      </c>
      <c r="AJ23" s="37">
        <v>0</v>
      </c>
      <c r="AK23" s="7">
        <f t="shared" si="22"/>
        <v>2.9013076958126396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90" s="51" customFormat="1" ht="19.5" customHeight="1" x14ac:dyDescent="0.25">
      <c r="A24" s="44" t="s">
        <v>60</v>
      </c>
      <c r="B24" s="10">
        <f t="shared" si="23"/>
        <v>3527</v>
      </c>
      <c r="C24" s="6">
        <f t="shared" si="24"/>
        <v>1821</v>
      </c>
      <c r="D24" s="33">
        <f t="shared" si="25"/>
        <v>1706</v>
      </c>
      <c r="E24" s="26">
        <v>79</v>
      </c>
      <c r="F24" s="6">
        <v>73</v>
      </c>
      <c r="G24" s="6">
        <v>159</v>
      </c>
      <c r="H24" s="6">
        <v>137</v>
      </c>
      <c r="I24" s="6">
        <v>151</v>
      </c>
      <c r="J24" s="33">
        <v>122</v>
      </c>
      <c r="K24" s="34">
        <v>151</v>
      </c>
      <c r="L24" s="6">
        <v>126</v>
      </c>
      <c r="M24" s="6">
        <v>153</v>
      </c>
      <c r="N24" s="6">
        <v>146</v>
      </c>
      <c r="O24" s="6">
        <v>173</v>
      </c>
      <c r="P24" s="6">
        <v>164</v>
      </c>
      <c r="Q24" s="6">
        <v>134</v>
      </c>
      <c r="R24" s="6">
        <v>133</v>
      </c>
      <c r="S24" s="6">
        <v>125</v>
      </c>
      <c r="T24" s="6">
        <v>130</v>
      </c>
      <c r="U24" s="6">
        <v>106</v>
      </c>
      <c r="V24" s="6">
        <v>84</v>
      </c>
      <c r="W24" s="6">
        <v>141</v>
      </c>
      <c r="X24" s="33">
        <v>138</v>
      </c>
      <c r="Y24" s="34">
        <v>150</v>
      </c>
      <c r="Z24" s="6">
        <v>126</v>
      </c>
      <c r="AA24" s="6">
        <v>143</v>
      </c>
      <c r="AB24" s="6">
        <v>149</v>
      </c>
      <c r="AC24" s="6">
        <v>132</v>
      </c>
      <c r="AD24" s="33">
        <v>132</v>
      </c>
      <c r="AE24" s="6">
        <v>13</v>
      </c>
      <c r="AF24" s="6">
        <v>28</v>
      </c>
      <c r="AG24" s="6">
        <v>11</v>
      </c>
      <c r="AH24" s="33">
        <v>18</v>
      </c>
      <c r="AI24" s="36">
        <v>0</v>
      </c>
      <c r="AJ24" s="37">
        <v>0</v>
      </c>
      <c r="AK24" s="7">
        <f t="shared" si="22"/>
        <v>4.0176333895293208</v>
      </c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CA24" s="1" t="s">
        <v>23</v>
      </c>
    </row>
    <row r="25" spans="1:90" s="51" customFormat="1" ht="19.5" customHeight="1" x14ac:dyDescent="0.25">
      <c r="A25" s="44" t="s">
        <v>61</v>
      </c>
      <c r="B25" s="10">
        <f t="shared" si="23"/>
        <v>2242</v>
      </c>
      <c r="C25" s="6">
        <f t="shared" si="24"/>
        <v>1139</v>
      </c>
      <c r="D25" s="33">
        <f t="shared" si="25"/>
        <v>1103</v>
      </c>
      <c r="E25" s="27">
        <v>57</v>
      </c>
      <c r="F25" s="6">
        <v>56</v>
      </c>
      <c r="G25" s="6">
        <v>110</v>
      </c>
      <c r="H25" s="6">
        <v>94</v>
      </c>
      <c r="I25" s="6">
        <v>86</v>
      </c>
      <c r="J25" s="33">
        <v>78</v>
      </c>
      <c r="K25" s="34">
        <v>92</v>
      </c>
      <c r="L25" s="6">
        <v>94</v>
      </c>
      <c r="M25" s="6">
        <v>85</v>
      </c>
      <c r="N25" s="6">
        <v>89</v>
      </c>
      <c r="O25" s="6">
        <v>92</v>
      </c>
      <c r="P25" s="6">
        <v>79</v>
      </c>
      <c r="Q25" s="6">
        <v>91</v>
      </c>
      <c r="R25" s="6">
        <v>82</v>
      </c>
      <c r="S25" s="6">
        <v>77</v>
      </c>
      <c r="T25" s="6">
        <v>78</v>
      </c>
      <c r="U25" s="6">
        <v>88</v>
      </c>
      <c r="V25" s="6">
        <v>79</v>
      </c>
      <c r="W25" s="6">
        <v>89</v>
      </c>
      <c r="X25" s="33">
        <v>94</v>
      </c>
      <c r="Y25" s="34">
        <v>88</v>
      </c>
      <c r="Z25" s="6">
        <v>74</v>
      </c>
      <c r="AA25" s="6">
        <v>70</v>
      </c>
      <c r="AB25" s="6">
        <v>95</v>
      </c>
      <c r="AC25" s="6">
        <v>90</v>
      </c>
      <c r="AD25" s="33">
        <v>91</v>
      </c>
      <c r="AE25" s="6">
        <v>10</v>
      </c>
      <c r="AF25" s="6">
        <v>7</v>
      </c>
      <c r="AG25" s="6">
        <v>8</v>
      </c>
      <c r="AH25" s="33">
        <v>9</v>
      </c>
      <c r="AI25" s="36">
        <v>6</v>
      </c>
      <c r="AJ25" s="37">
        <v>4</v>
      </c>
      <c r="AK25" s="7">
        <f t="shared" si="22"/>
        <v>2.5538798013395909</v>
      </c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CA25" s="1" t="s">
        <v>24</v>
      </c>
    </row>
    <row r="26" spans="1:90" s="51" customFormat="1" ht="19.5" customHeight="1" x14ac:dyDescent="0.25">
      <c r="A26" s="44" t="s">
        <v>62</v>
      </c>
      <c r="B26" s="10">
        <f t="shared" si="23"/>
        <v>3197</v>
      </c>
      <c r="C26" s="6">
        <f t="shared" si="24"/>
        <v>1678</v>
      </c>
      <c r="D26" s="33">
        <f t="shared" si="25"/>
        <v>1519</v>
      </c>
      <c r="E26" s="28">
        <v>81</v>
      </c>
      <c r="F26" s="6">
        <v>81</v>
      </c>
      <c r="G26" s="6">
        <v>165</v>
      </c>
      <c r="H26" s="6">
        <v>134</v>
      </c>
      <c r="I26" s="6">
        <v>130</v>
      </c>
      <c r="J26" s="33">
        <v>128</v>
      </c>
      <c r="K26" s="34">
        <v>119</v>
      </c>
      <c r="L26" s="6">
        <v>117</v>
      </c>
      <c r="M26" s="6">
        <v>150</v>
      </c>
      <c r="N26" s="6">
        <v>143</v>
      </c>
      <c r="O26" s="6">
        <v>135</v>
      </c>
      <c r="P26" s="6">
        <v>120</v>
      </c>
      <c r="Q26" s="6">
        <v>131</v>
      </c>
      <c r="R26" s="6">
        <v>107</v>
      </c>
      <c r="S26" s="6">
        <v>123</v>
      </c>
      <c r="T26" s="6">
        <v>113</v>
      </c>
      <c r="U26" s="6">
        <v>128</v>
      </c>
      <c r="V26" s="6">
        <v>103</v>
      </c>
      <c r="W26" s="6">
        <v>117</v>
      </c>
      <c r="X26" s="33">
        <v>114</v>
      </c>
      <c r="Y26" s="34">
        <v>132</v>
      </c>
      <c r="Z26" s="6">
        <v>104</v>
      </c>
      <c r="AA26" s="6">
        <v>129</v>
      </c>
      <c r="AB26" s="6">
        <v>97</v>
      </c>
      <c r="AC26" s="6">
        <v>110</v>
      </c>
      <c r="AD26" s="33">
        <v>109</v>
      </c>
      <c r="AE26" s="6">
        <v>7</v>
      </c>
      <c r="AF26" s="6">
        <v>30</v>
      </c>
      <c r="AG26" s="6">
        <v>6</v>
      </c>
      <c r="AH26" s="33">
        <v>15</v>
      </c>
      <c r="AI26" s="36">
        <v>15</v>
      </c>
      <c r="AJ26" s="37">
        <v>4</v>
      </c>
      <c r="AK26" s="7">
        <f t="shared" si="22"/>
        <v>3.6417277987879895</v>
      </c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CA26" s="1" t="s">
        <v>25</v>
      </c>
    </row>
    <row r="27" spans="1:90" s="51" customFormat="1" ht="19.5" customHeight="1" x14ac:dyDescent="0.25">
      <c r="A27" s="44" t="s">
        <v>63</v>
      </c>
      <c r="B27" s="10">
        <f t="shared" si="23"/>
        <v>2465</v>
      </c>
      <c r="C27" s="6">
        <f t="shared" si="24"/>
        <v>1280</v>
      </c>
      <c r="D27" s="33">
        <f t="shared" si="25"/>
        <v>1185</v>
      </c>
      <c r="E27" s="29">
        <v>90</v>
      </c>
      <c r="F27" s="6">
        <v>92</v>
      </c>
      <c r="G27" s="6">
        <v>91</v>
      </c>
      <c r="H27" s="6">
        <v>83</v>
      </c>
      <c r="I27" s="6">
        <v>93</v>
      </c>
      <c r="J27" s="33">
        <v>64</v>
      </c>
      <c r="K27" s="34">
        <v>134</v>
      </c>
      <c r="L27" s="6">
        <v>106</v>
      </c>
      <c r="M27" s="6">
        <v>109</v>
      </c>
      <c r="N27" s="6">
        <v>111</v>
      </c>
      <c r="O27" s="6">
        <v>93</v>
      </c>
      <c r="P27" s="6">
        <v>101</v>
      </c>
      <c r="Q27" s="6">
        <v>75</v>
      </c>
      <c r="R27" s="6">
        <v>96</v>
      </c>
      <c r="S27" s="6">
        <v>75</v>
      </c>
      <c r="T27" s="6">
        <v>71</v>
      </c>
      <c r="U27" s="6">
        <v>79</v>
      </c>
      <c r="V27" s="6">
        <v>77</v>
      </c>
      <c r="W27" s="6">
        <v>90</v>
      </c>
      <c r="X27" s="33">
        <v>75</v>
      </c>
      <c r="Y27" s="34">
        <v>86</v>
      </c>
      <c r="Z27" s="6">
        <v>107</v>
      </c>
      <c r="AA27" s="6">
        <v>83</v>
      </c>
      <c r="AB27" s="6">
        <v>93</v>
      </c>
      <c r="AC27" s="6">
        <v>105</v>
      </c>
      <c r="AD27" s="33">
        <v>54</v>
      </c>
      <c r="AE27" s="6">
        <v>9</v>
      </c>
      <c r="AF27" s="6">
        <v>19</v>
      </c>
      <c r="AG27" s="6">
        <v>18</v>
      </c>
      <c r="AH27" s="33">
        <v>18</v>
      </c>
      <c r="AI27" s="36">
        <v>50</v>
      </c>
      <c r="AJ27" s="37">
        <v>18</v>
      </c>
      <c r="AK27" s="7">
        <f t="shared" si="22"/>
        <v>2.8079008520526725</v>
      </c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CA27" s="1" t="s">
        <v>20</v>
      </c>
    </row>
    <row r="28" spans="1:90" s="51" customFormat="1" ht="19.5" customHeight="1" x14ac:dyDescent="0.25">
      <c r="A28" s="48" t="s">
        <v>64</v>
      </c>
      <c r="B28" s="42">
        <f t="shared" si="23"/>
        <v>5611</v>
      </c>
      <c r="C28" s="39">
        <f t="shared" si="24"/>
        <v>2877</v>
      </c>
      <c r="D28" s="38">
        <f t="shared" si="25"/>
        <v>2734</v>
      </c>
      <c r="E28" s="39">
        <v>248</v>
      </c>
      <c r="F28" s="39">
        <v>182</v>
      </c>
      <c r="G28" s="39">
        <v>213</v>
      </c>
      <c r="H28" s="39">
        <v>194</v>
      </c>
      <c r="I28" s="39">
        <v>249</v>
      </c>
      <c r="J28" s="38">
        <v>222</v>
      </c>
      <c r="K28" s="40">
        <v>191</v>
      </c>
      <c r="L28" s="39">
        <v>226</v>
      </c>
      <c r="M28" s="39">
        <v>216</v>
      </c>
      <c r="N28" s="39">
        <v>236</v>
      </c>
      <c r="O28" s="39">
        <v>228</v>
      </c>
      <c r="P28" s="39">
        <v>208</v>
      </c>
      <c r="Q28" s="39">
        <v>207</v>
      </c>
      <c r="R28" s="39">
        <v>174</v>
      </c>
      <c r="S28" s="39">
        <v>171</v>
      </c>
      <c r="T28" s="39">
        <v>182</v>
      </c>
      <c r="U28" s="39">
        <v>195</v>
      </c>
      <c r="V28" s="39">
        <v>210</v>
      </c>
      <c r="W28" s="39">
        <v>180</v>
      </c>
      <c r="X28" s="38">
        <v>182</v>
      </c>
      <c r="Y28" s="40">
        <v>192</v>
      </c>
      <c r="Z28" s="39">
        <v>135</v>
      </c>
      <c r="AA28" s="39">
        <v>191</v>
      </c>
      <c r="AB28" s="39">
        <v>183</v>
      </c>
      <c r="AC28" s="39">
        <v>182</v>
      </c>
      <c r="AD28" s="38">
        <v>184</v>
      </c>
      <c r="AE28" s="39">
        <v>105</v>
      </c>
      <c r="AF28" s="39">
        <v>140</v>
      </c>
      <c r="AG28" s="39">
        <v>78</v>
      </c>
      <c r="AH28" s="38">
        <v>62</v>
      </c>
      <c r="AI28" s="49">
        <v>31</v>
      </c>
      <c r="AJ28" s="50">
        <v>14</v>
      </c>
      <c r="AK28" s="8">
        <f t="shared" si="22"/>
        <v>6.3915341504533654</v>
      </c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CA28" s="1" t="s">
        <v>26</v>
      </c>
    </row>
    <row r="29" spans="1:90" x14ac:dyDescent="0.25">
      <c r="A29" s="3" t="s">
        <v>21</v>
      </c>
      <c r="B29" s="3"/>
      <c r="C29" s="3"/>
      <c r="D29" s="3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4" t="s">
        <v>22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CA29" s="1" t="s">
        <v>6</v>
      </c>
    </row>
    <row r="30" spans="1:90" x14ac:dyDescent="0.25">
      <c r="CA30" s="1" t="s">
        <v>7</v>
      </c>
    </row>
    <row r="31" spans="1:90" x14ac:dyDescent="0.25">
      <c r="CA31" s="1" t="s">
        <v>9</v>
      </c>
    </row>
    <row r="32" spans="1:90" x14ac:dyDescent="0.25">
      <c r="CA32" s="1" t="s">
        <v>10</v>
      </c>
    </row>
    <row r="33" spans="79:79" x14ac:dyDescent="0.25">
      <c r="CA33" s="1" t="s">
        <v>11</v>
      </c>
    </row>
    <row r="34" spans="79:79" x14ac:dyDescent="0.25">
      <c r="CA34" s="1" t="s">
        <v>12</v>
      </c>
    </row>
    <row r="35" spans="79:79" x14ac:dyDescent="0.25">
      <c r="CA35" s="1" t="s">
        <v>13</v>
      </c>
    </row>
    <row r="36" spans="79:79" x14ac:dyDescent="0.25">
      <c r="CA36" s="1" t="s">
        <v>14</v>
      </c>
    </row>
    <row r="37" spans="79:79" x14ac:dyDescent="0.25">
      <c r="CA37" s="1" t="s">
        <v>15</v>
      </c>
    </row>
    <row r="38" spans="79:79" x14ac:dyDescent="0.25">
      <c r="CA38" s="1" t="s">
        <v>16</v>
      </c>
    </row>
    <row r="39" spans="79:79" x14ac:dyDescent="0.25">
      <c r="CA39" s="1" t="s">
        <v>8</v>
      </c>
    </row>
    <row r="40" spans="79:79" x14ac:dyDescent="0.25">
      <c r="CA40" s="1" t="s">
        <v>17</v>
      </c>
    </row>
    <row r="41" spans="79:79" x14ac:dyDescent="0.25">
      <c r="CA41" s="1" t="s">
        <v>18</v>
      </c>
    </row>
    <row r="42" spans="79:79" x14ac:dyDescent="0.25">
      <c r="CA42" s="1" t="s">
        <v>19</v>
      </c>
    </row>
    <row r="43" spans="79:79" x14ac:dyDescent="0.25">
      <c r="CA43" s="2" t="s">
        <v>5</v>
      </c>
    </row>
  </sheetData>
  <mergeCells count="21">
    <mergeCell ref="E4:F4"/>
    <mergeCell ref="G4:H4"/>
    <mergeCell ref="I4:J4"/>
    <mergeCell ref="K4:L4"/>
    <mergeCell ref="M4:N4"/>
    <mergeCell ref="B4:D4"/>
    <mergeCell ref="AK4:AK5"/>
    <mergeCell ref="AE4:AF4"/>
    <mergeCell ref="A1:AK1"/>
    <mergeCell ref="A2:AK2"/>
    <mergeCell ref="AA4:AB4"/>
    <mergeCell ref="AC4:AD4"/>
    <mergeCell ref="AG4:AH4"/>
    <mergeCell ref="AI4:AJ4"/>
    <mergeCell ref="O4:P4"/>
    <mergeCell ref="Q4:R4"/>
    <mergeCell ref="S4:T4"/>
    <mergeCell ref="U4:V4"/>
    <mergeCell ref="W4:X4"/>
    <mergeCell ref="Y4:Z4"/>
    <mergeCell ref="A4:A5"/>
  </mergeCells>
  <pageMargins left="0.7" right="0.7" top="0.75" bottom="0.75" header="0.3" footer="0.3"/>
  <pageSetup paperSize="9" scale="50" orientation="landscape" horizontalDpi="4294967295" verticalDpi="4294967295" r:id="rId1"/>
  <rowBreaks count="1" manualBreakCount="1">
    <brk id="48" max="3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7.13</vt:lpstr>
      <vt:lpstr>'7.13'!Print_Area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2017-06-11T06:55:32Z</cp:lastPrinted>
  <dcterms:created xsi:type="dcterms:W3CDTF">2014-03-05T03:36:41Z</dcterms:created>
  <dcterms:modified xsi:type="dcterms:W3CDTF">2017-06-11T06:55:34Z</dcterms:modified>
</cp:coreProperties>
</file>