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30" yWindow="0" windowWidth="20730" windowHeight="11760" tabRatio="880"/>
  </bookViews>
  <sheets>
    <sheet name="7.2" sheetId="4" r:id="rId1"/>
  </sheets>
  <externalReferences>
    <externalReference r:id="rId2"/>
  </externalReferences>
  <definedNames>
    <definedName name="_xlnm.Print_Area" localSheetId="0">'7.2'!$A$1:$K$48</definedName>
  </definedNames>
  <calcPr calcId="144525"/>
</workbook>
</file>

<file path=xl/calcChain.xml><?xml version="1.0" encoding="utf-8"?>
<calcChain xmlns="http://schemas.openxmlformats.org/spreadsheetml/2006/main">
  <c r="C19" i="4" l="1"/>
  <c r="B20" i="4"/>
  <c r="C8" i="4"/>
  <c r="D8" i="4"/>
  <c r="C9" i="4"/>
  <c r="D9" i="4"/>
  <c r="C10" i="4"/>
  <c r="D10" i="4"/>
  <c r="C11" i="4"/>
  <c r="D11" i="4"/>
  <c r="C12" i="4"/>
  <c r="D12" i="4"/>
  <c r="B8" i="4" l="1"/>
  <c r="B15" i="4" l="1"/>
  <c r="I15" i="4" s="1"/>
  <c r="B18" i="4"/>
  <c r="I18" i="4" s="1"/>
  <c r="G19" i="4"/>
  <c r="B14" i="4"/>
  <c r="I14" i="4" s="1"/>
  <c r="C13" i="4"/>
  <c r="D13" i="4"/>
  <c r="B17" i="4"/>
  <c r="I17" i="4" s="1"/>
  <c r="D19" i="4"/>
  <c r="H23" i="4" s="1"/>
  <c r="B21" i="4"/>
  <c r="B16" i="4"/>
  <c r="I16" i="4" s="1"/>
  <c r="B24" i="4"/>
  <c r="B23" i="4"/>
  <c r="B22" i="4"/>
  <c r="I21" i="4" l="1"/>
  <c r="B19" i="4"/>
  <c r="H16" i="4"/>
  <c r="D7" i="4"/>
  <c r="G14" i="4"/>
  <c r="C7" i="4"/>
  <c r="G21" i="4"/>
  <c r="H18" i="4"/>
  <c r="G22" i="4"/>
  <c r="H15" i="4"/>
  <c r="G20" i="4"/>
  <c r="H14" i="4"/>
  <c r="G15" i="4"/>
  <c r="H22" i="4"/>
  <c r="G23" i="4"/>
  <c r="H20" i="4"/>
  <c r="H24" i="4"/>
  <c r="G24" i="4"/>
  <c r="H21" i="4"/>
  <c r="I20" i="4"/>
  <c r="H19" i="4"/>
  <c r="Q11" i="4"/>
  <c r="B12" i="4"/>
  <c r="I12" i="4" s="1"/>
  <c r="H17" i="4"/>
  <c r="B11" i="4"/>
  <c r="I11" i="4" s="1"/>
  <c r="G7" i="4"/>
  <c r="B9" i="4"/>
  <c r="I23" i="4"/>
  <c r="B13" i="4"/>
  <c r="I13" i="4" s="1"/>
  <c r="F19" i="4"/>
  <c r="H13" i="4"/>
  <c r="I22" i="4"/>
  <c r="I24" i="4"/>
  <c r="G18" i="4"/>
  <c r="G13" i="4"/>
  <c r="G16" i="4"/>
  <c r="G17" i="4"/>
  <c r="H10" i="4"/>
  <c r="B10" i="4"/>
  <c r="I10" i="4" s="1"/>
  <c r="F23" i="4" l="1"/>
  <c r="F20" i="4"/>
  <c r="F22" i="4"/>
  <c r="F24" i="4"/>
  <c r="F21" i="4"/>
  <c r="G12" i="4"/>
  <c r="G10" i="4"/>
  <c r="G8" i="4"/>
  <c r="G9" i="4"/>
  <c r="H11" i="4"/>
  <c r="I9" i="4"/>
  <c r="H12" i="4"/>
  <c r="H9" i="4"/>
  <c r="G11" i="4"/>
  <c r="H8" i="4"/>
  <c r="I8" i="4"/>
  <c r="B7" i="4"/>
  <c r="F7" i="4" s="1"/>
  <c r="I19" i="4"/>
  <c r="F13" i="4"/>
  <c r="F14" i="4"/>
  <c r="F15" i="4"/>
  <c r="F18" i="4"/>
  <c r="F17" i="4"/>
  <c r="H7" i="4"/>
  <c r="F16" i="4"/>
  <c r="F11" i="4" l="1"/>
  <c r="I7" i="4"/>
  <c r="F9" i="4"/>
  <c r="F12" i="4"/>
  <c r="F8" i="4"/>
  <c r="F10" i="4"/>
  <c r="R15" i="4" l="1"/>
  <c r="Q13" i="4"/>
  <c r="Q12" i="4"/>
  <c r="Q15" i="4" l="1"/>
  <c r="R14" i="4"/>
  <c r="R11" i="4"/>
  <c r="Q14" i="4"/>
  <c r="R12" i="4"/>
  <c r="R13" i="4"/>
</calcChain>
</file>

<file path=xl/sharedStrings.xml><?xml version="1.0" encoding="utf-8"?>
<sst xmlns="http://schemas.openxmlformats.org/spreadsheetml/2006/main" count="70" uniqueCount="40">
  <si>
    <t>cnehirif</t>
  </si>
  <si>
    <t>cnehcnwa</t>
  </si>
  <si>
    <t>Both Sexes</t>
  </si>
  <si>
    <t>Male</t>
  </si>
  <si>
    <t>Female</t>
  </si>
  <si>
    <t>Republic</t>
  </si>
  <si>
    <t>Male'</t>
  </si>
  <si>
    <t>elWm</t>
  </si>
  <si>
    <t>Atolls</t>
  </si>
  <si>
    <t>cawtuLotwa</t>
  </si>
  <si>
    <t>Source: Ministry of Education</t>
  </si>
  <si>
    <t>cnwxEkuaiDea cfoa IrcTcsinim :ctWrwf ivcaed utWmUluAwm</t>
  </si>
  <si>
    <t>Level</t>
  </si>
  <si>
    <t>No. of students</t>
  </si>
  <si>
    <t>udwdwA egcnidukWvwyik</t>
  </si>
  <si>
    <t>% share</t>
  </si>
  <si>
    <t>cniawtcaws ctogWviawfiheb</t>
  </si>
  <si>
    <t>uscnijed</t>
  </si>
  <si>
    <t>cniawtcawscnia</t>
  </si>
  <si>
    <t xml:space="preserve"> itcnwf</t>
  </si>
  <si>
    <t>% of females</t>
  </si>
  <si>
    <t xml:space="preserve">ejcaWriLum </t>
  </si>
  <si>
    <t>Pre - Primary</t>
  </si>
  <si>
    <t>clUkcs Ircp</t>
  </si>
  <si>
    <t>Primary ( 1 - 7)</t>
  </si>
  <si>
    <r>
      <t xml:space="preserve">                   (7 - 1 ) umIluAwt WSwf                     </t>
    </r>
    <r>
      <rPr>
        <sz val="9"/>
        <rFont val="Win Ahamedey PRB"/>
        <family val="2"/>
      </rPr>
      <t xml:space="preserve"> </t>
    </r>
  </si>
  <si>
    <t>Lower Secondary ( 8 - 10)</t>
  </si>
  <si>
    <r>
      <t xml:space="preserve">           (10 - 8 ) umIluAwt IvwnWX                 </t>
    </r>
    <r>
      <rPr>
        <sz val="9"/>
        <rFont val="Win Ahamedey PRB"/>
        <family val="2"/>
      </rPr>
      <t xml:space="preserve"> </t>
    </r>
  </si>
  <si>
    <t>Higher Secondary ( 11 - 12)</t>
  </si>
  <si>
    <r>
      <t xml:space="preserve">          (12 - 11 )  umIluAwt IvwnWXItwm                 </t>
    </r>
    <r>
      <rPr>
        <sz val="9"/>
        <rFont val="Win Ahamedey PRB"/>
        <family val="2"/>
      </rPr>
      <t xml:space="preserve"> </t>
    </r>
  </si>
  <si>
    <t>Special Classes  1_/</t>
  </si>
  <si>
    <t>1_/  cawtcsWlck wBcaWK</t>
  </si>
  <si>
    <t>Primary</t>
  </si>
  <si>
    <t>Lower Secondary</t>
  </si>
  <si>
    <t>Higher Secondary</t>
  </si>
  <si>
    <t>Special class</t>
  </si>
  <si>
    <t>1_/  For children with special needs.</t>
  </si>
  <si>
    <t>.cawtcsWlck egcniduk WvcnunEb cSwaIhea wBcaWK  1_/</t>
  </si>
  <si>
    <t xml:space="preserve"> 2016 ,cnikwv cscnij udwdwA egcnidukWvwyik iawgItcnwfikea egukwtWsurwdwm :7.2 clwvWt</t>
  </si>
  <si>
    <t>Table 7.2 :  STUDENT ENROLMENT BY EDUCATIONAL LEVEL AND SEX, 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</si>
</sst>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3" formatCode="_(* #,##0.00_);_(* \(#,##0.00\);_(* &quot;-&quot;??_);_(@_)"/>
    <numFmt numFmtId="164" formatCode="#,##0;[Red]#,##0"/>
    <numFmt numFmtId="165" formatCode="General_)"/>
    <numFmt numFmtId="166" formatCode="_(* #,##0_);_(* \(#,##0\);_(* &quot;-&quot;??_);_(@_)"/>
    <numFmt numFmtId="167" formatCode="_(* ###0_);_(* \(###0\);_(* &quot;&quot;_);_(@_)"/>
    <numFmt numFmtId="170" formatCode="#,##0.0_);[Red]\(#,##0.0\)"/>
    <numFmt numFmtId="171" formatCode="_-* #,##0.00\ &quot;ރ.&quot;_-;_-* #,##0.00\ &quot;ރ.&quot;\-;_-* &quot;-&quot;??\ &quot;ރ.&quot;_-;_-@_-"/>
    <numFmt numFmtId="172" formatCode="&quot;Rf&quot;#,##0;\-&quot;Rf&quot;#,##0"/>
    <numFmt numFmtId="173" formatCode="0.00_)"/>
  </numFmts>
  <fonts count="3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2"/>
      <name val="A_Randhoo"/>
    </font>
    <font>
      <sz val="10"/>
      <name val="Arial"/>
      <family val="2"/>
    </font>
    <font>
      <b/>
      <sz val="10"/>
      <name val="Courier"/>
      <family val="3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name val="Courier"/>
      <family val="3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sz val="9"/>
      <name val="A_Randhoo"/>
    </font>
    <font>
      <sz val="9"/>
      <name val="Arial"/>
      <family val="2"/>
    </font>
    <font>
      <u/>
      <sz val="10"/>
      <color indexed="12"/>
      <name val="Courier"/>
      <family val="3"/>
    </font>
    <font>
      <i/>
      <sz val="9"/>
      <name val="Calibri"/>
      <family val="2"/>
      <scheme val="minor"/>
    </font>
    <font>
      <u/>
      <sz val="9"/>
      <color indexed="12"/>
      <name val="Courier"/>
      <family val="3"/>
    </font>
    <font>
      <b/>
      <sz val="8"/>
      <name val="A_Randhoo"/>
    </font>
    <font>
      <b/>
      <sz val="9"/>
      <name val="A_Randhoo"/>
    </font>
    <font>
      <sz val="9"/>
      <name val="Akuru-Bodu Bold"/>
      <family val="2"/>
      <charset val="2"/>
    </font>
    <font>
      <b/>
      <sz val="9"/>
      <color theme="1"/>
      <name val="Calibri"/>
      <family val="2"/>
      <scheme val="minor"/>
    </font>
    <font>
      <sz val="9"/>
      <name val="Win Ahamedey PRB"/>
      <family val="2"/>
    </font>
    <font>
      <b/>
      <sz val="9"/>
      <color rgb="FFFF0000"/>
      <name val="Arial"/>
      <family val="2"/>
    </font>
    <font>
      <sz val="10"/>
      <name val="MS Sans Serif"/>
      <family val="2"/>
    </font>
    <font>
      <b/>
      <sz val="11"/>
      <color rgb="FFFF0000"/>
      <name val="Calibri"/>
      <family val="2"/>
      <scheme val="minor"/>
    </font>
    <font>
      <b/>
      <sz val="11"/>
      <name val="Times New Roman"/>
      <family val="1"/>
    </font>
    <font>
      <sz val="10"/>
      <name val="Arial"/>
      <family val="2"/>
    </font>
    <font>
      <sz val="11"/>
      <color theme="1"/>
      <name val="Calibri"/>
      <family val="2"/>
      <charset val="1"/>
      <scheme val="minor"/>
    </font>
    <font>
      <b/>
      <sz val="10"/>
      <name val="Times New Roman"/>
      <family val="1"/>
    </font>
    <font>
      <b/>
      <i/>
      <sz val="16"/>
      <name val="Helv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/>
      <top/>
      <bottom style="thin">
        <color auto="1"/>
      </bottom>
      <diagonal/>
    </border>
  </borders>
  <cellStyleXfs count="163">
    <xf numFmtId="0" fontId="0" fillId="0" borderId="0"/>
    <xf numFmtId="43" fontId="1" fillId="0" borderId="0" applyFont="0" applyFill="0" applyBorder="0" applyAlignment="0" applyProtection="0"/>
    <xf numFmtId="164" fontId="2" fillId="0" borderId="0"/>
    <xf numFmtId="164" fontId="2" fillId="0" borderId="0"/>
    <xf numFmtId="0" fontId="14" fillId="0" borderId="0" applyNumberFormat="0" applyFill="0" applyBorder="0" applyAlignment="0" applyProtection="0">
      <alignment vertical="top"/>
      <protection locked="0"/>
    </xf>
    <xf numFmtId="0" fontId="2" fillId="0" borderId="0"/>
    <xf numFmtId="166" fontId="2" fillId="0" borderId="0"/>
    <xf numFmtId="40" fontId="23" fillId="0" borderId="0" applyFont="0" applyFill="0" applyBorder="0" applyAlignment="0" applyProtection="0"/>
    <xf numFmtId="164" fontId="2" fillId="0" borderId="0"/>
    <xf numFmtId="0" fontId="26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7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27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5" fontId="2" fillId="0" borderId="0"/>
    <xf numFmtId="165" fontId="2" fillId="0" borderId="0"/>
    <xf numFmtId="170" fontId="2" fillId="0" borderId="0"/>
    <xf numFmtId="165" fontId="2" fillId="0" borderId="0"/>
    <xf numFmtId="173" fontId="29" fillId="0" borderId="0"/>
    <xf numFmtId="171" fontId="2" fillId="0" borderId="0"/>
    <xf numFmtId="0" fontId="23" fillId="0" borderId="0"/>
    <xf numFmtId="0" fontId="23" fillId="0" borderId="0"/>
    <xf numFmtId="171" fontId="2" fillId="0" borderId="0"/>
    <xf numFmtId="0" fontId="23" fillId="0" borderId="0"/>
    <xf numFmtId="0" fontId="23" fillId="0" borderId="0"/>
    <xf numFmtId="171" fontId="2" fillId="0" borderId="0"/>
    <xf numFmtId="171" fontId="2" fillId="0" borderId="0"/>
    <xf numFmtId="172" fontId="2" fillId="0" borderId="0"/>
    <xf numFmtId="172" fontId="2" fillId="0" borderId="0"/>
    <xf numFmtId="165" fontId="2" fillId="0" borderId="0"/>
    <xf numFmtId="165" fontId="2" fillId="0" borderId="0"/>
    <xf numFmtId="40" fontId="23" fillId="0" borderId="0" applyFont="0" applyFill="0" applyBorder="0" applyAlignment="0" applyProtection="0"/>
    <xf numFmtId="171" fontId="2" fillId="0" borderId="0"/>
    <xf numFmtId="172" fontId="2" fillId="0" borderId="0"/>
    <xf numFmtId="172" fontId="2" fillId="0" borderId="0"/>
    <xf numFmtId="165" fontId="2" fillId="0" borderId="0"/>
  </cellStyleXfs>
  <cellXfs count="67">
    <xf numFmtId="0" fontId="0" fillId="0" borderId="0" xfId="0"/>
    <xf numFmtId="165" fontId="4" fillId="2" borderId="0" xfId="0" applyNumberFormat="1" applyFont="1" applyFill="1"/>
    <xf numFmtId="165" fontId="9" fillId="2" borderId="0" xfId="0" applyNumberFormat="1" applyFont="1" applyFill="1" applyBorder="1" applyAlignment="1">
      <alignment vertical="center"/>
    </xf>
    <xf numFmtId="165" fontId="13" fillId="2" borderId="0" xfId="0" applyNumberFormat="1" applyFont="1" applyFill="1" applyAlignment="1">
      <alignment vertical="center"/>
    </xf>
    <xf numFmtId="165" fontId="13" fillId="2" borderId="0" xfId="0" applyNumberFormat="1" applyFont="1" applyFill="1" applyBorder="1" applyAlignment="1">
      <alignment vertical="center"/>
    </xf>
    <xf numFmtId="165" fontId="0" fillId="2" borderId="0" xfId="0" applyNumberFormat="1" applyFill="1"/>
    <xf numFmtId="165" fontId="0" fillId="2" borderId="1" xfId="0" applyNumberFormat="1" applyFill="1" applyBorder="1"/>
    <xf numFmtId="165" fontId="0" fillId="2" borderId="0" xfId="0" applyNumberFormat="1" applyFill="1" applyBorder="1" applyAlignment="1">
      <alignment vertical="center"/>
    </xf>
    <xf numFmtId="165" fontId="10" fillId="2" borderId="0" xfId="0" applyNumberFormat="1" applyFont="1" applyFill="1" applyBorder="1" applyAlignment="1">
      <alignment vertical="center"/>
    </xf>
    <xf numFmtId="165" fontId="17" fillId="2" borderId="0" xfId="0" applyNumberFormat="1" applyFont="1" applyFill="1" applyBorder="1" applyAlignment="1">
      <alignment horizontal="right" vertical="center"/>
    </xf>
    <xf numFmtId="165" fontId="18" fillId="2" borderId="0" xfId="0" applyNumberFormat="1" applyFont="1" applyFill="1" applyBorder="1" applyAlignment="1">
      <alignment horizontal="right" vertical="center"/>
    </xf>
    <xf numFmtId="165" fontId="12" fillId="2" borderId="0" xfId="0" applyNumberFormat="1" applyFont="1" applyFill="1" applyBorder="1" applyAlignment="1">
      <alignment horizontal="left" vertical="center"/>
    </xf>
    <xf numFmtId="165" fontId="18" fillId="2" borderId="3" xfId="0" applyNumberFormat="1" applyFont="1" applyFill="1" applyBorder="1" applyAlignment="1" applyProtection="1">
      <alignment horizontal="right" vertical="center"/>
    </xf>
    <xf numFmtId="165" fontId="18" fillId="2" borderId="0" xfId="0" applyNumberFormat="1" applyFont="1" applyFill="1" applyBorder="1" applyAlignment="1" applyProtection="1">
      <alignment horizontal="right" vertical="center"/>
    </xf>
    <xf numFmtId="165" fontId="18" fillId="2" borderId="3" xfId="0" applyNumberFormat="1" applyFont="1" applyFill="1" applyBorder="1" applyAlignment="1">
      <alignment horizontal="right" vertical="center"/>
    </xf>
    <xf numFmtId="165" fontId="10" fillId="2" borderId="1" xfId="0" applyNumberFormat="1" applyFont="1" applyFill="1" applyBorder="1" applyAlignment="1" applyProtection="1">
      <alignment horizontal="right" vertical="center"/>
    </xf>
    <xf numFmtId="165" fontId="10" fillId="2" borderId="1" xfId="0" applyNumberFormat="1" applyFont="1" applyFill="1" applyBorder="1" applyAlignment="1">
      <alignment horizontal="right" vertical="center"/>
    </xf>
    <xf numFmtId="165" fontId="19" fillId="2" borderId="1" xfId="0" applyNumberFormat="1" applyFont="1" applyFill="1" applyBorder="1" applyAlignment="1">
      <alignment horizontal="right" vertical="center"/>
    </xf>
    <xf numFmtId="165" fontId="10" fillId="2" borderId="0" xfId="0" applyNumberFormat="1" applyFont="1" applyFill="1" applyAlignment="1" applyProtection="1">
      <alignment horizontal="left"/>
    </xf>
    <xf numFmtId="38" fontId="20" fillId="2" borderId="0" xfId="1" applyNumberFormat="1" applyFont="1" applyFill="1" applyAlignment="1">
      <alignment horizontal="right"/>
    </xf>
    <xf numFmtId="38" fontId="10" fillId="2" borderId="0" xfId="1" applyNumberFormat="1" applyFont="1" applyFill="1" applyBorder="1" applyAlignment="1">
      <alignment horizontal="right"/>
    </xf>
    <xf numFmtId="1" fontId="10" fillId="2" borderId="0" xfId="0" applyNumberFormat="1" applyFont="1" applyFill="1" applyBorder="1" applyAlignment="1" applyProtection="1"/>
    <xf numFmtId="1" fontId="10" fillId="2" borderId="0" xfId="0" applyNumberFormat="1" applyFont="1" applyFill="1" applyBorder="1" applyAlignment="1"/>
    <xf numFmtId="165" fontId="18" fillId="2" borderId="0" xfId="0" applyNumberFormat="1" applyFont="1" applyFill="1" applyBorder="1" applyAlignment="1">
      <alignment horizontal="right"/>
    </xf>
    <xf numFmtId="165" fontId="11" fillId="2" borderId="0" xfId="0" applyNumberFormat="1" applyFont="1" applyFill="1" applyAlignment="1">
      <alignment horizontal="left"/>
    </xf>
    <xf numFmtId="38" fontId="10" fillId="2" borderId="0" xfId="1" applyNumberFormat="1" applyFont="1" applyFill="1" applyAlignment="1" applyProtection="1">
      <alignment horizontal="right"/>
    </xf>
    <xf numFmtId="38" fontId="11" fillId="2" borderId="0" xfId="1" applyNumberFormat="1" applyFont="1" applyFill="1" applyBorder="1" applyAlignment="1">
      <alignment horizontal="right"/>
    </xf>
    <xf numFmtId="1" fontId="11" fillId="2" borderId="0" xfId="0" applyNumberFormat="1" applyFont="1" applyFill="1" applyBorder="1" applyAlignment="1" applyProtection="1"/>
    <xf numFmtId="1" fontId="11" fillId="2" borderId="0" xfId="0" applyNumberFormat="1" applyFont="1" applyFill="1" applyBorder="1" applyAlignment="1"/>
    <xf numFmtId="165" fontId="12" fillId="2" borderId="0" xfId="0" applyNumberFormat="1" applyFont="1" applyFill="1" applyAlignment="1">
      <alignment horizontal="right"/>
    </xf>
    <xf numFmtId="165" fontId="12" fillId="2" borderId="0" xfId="0" applyNumberFormat="1" applyFont="1" applyFill="1" applyBorder="1" applyAlignment="1">
      <alignment horizontal="right"/>
    </xf>
    <xf numFmtId="166" fontId="0" fillId="2" borderId="0" xfId="1" applyNumberFormat="1" applyFont="1" applyFill="1"/>
    <xf numFmtId="0" fontId="10" fillId="2" borderId="0" xfId="0" applyNumberFormat="1" applyFont="1" applyFill="1" applyAlignment="1" applyProtection="1">
      <alignment horizontal="left"/>
    </xf>
    <xf numFmtId="38" fontId="10" fillId="2" borderId="0" xfId="1" applyNumberFormat="1" applyFont="1" applyFill="1" applyBorder="1" applyAlignment="1" applyProtection="1">
      <alignment horizontal="right"/>
    </xf>
    <xf numFmtId="165" fontId="8" fillId="2" borderId="0" xfId="0" applyNumberFormat="1" applyFont="1" applyFill="1"/>
    <xf numFmtId="38" fontId="10" fillId="2" borderId="0" xfId="1" applyNumberFormat="1" applyFont="1" applyFill="1" applyAlignment="1">
      <alignment horizontal="right"/>
    </xf>
    <xf numFmtId="38" fontId="11" fillId="2" borderId="0" xfId="1" applyNumberFormat="1" applyFont="1" applyFill="1" applyBorder="1" applyAlignment="1" applyProtection="1">
      <alignment horizontal="right"/>
    </xf>
    <xf numFmtId="165" fontId="11" fillId="2" borderId="1" xfId="0" applyNumberFormat="1" applyFont="1" applyFill="1" applyBorder="1" applyAlignment="1">
      <alignment horizontal="left"/>
    </xf>
    <xf numFmtId="38" fontId="10" fillId="2" borderId="1" xfId="1" applyNumberFormat="1" applyFont="1" applyFill="1" applyBorder="1" applyAlignment="1" applyProtection="1">
      <alignment horizontal="right"/>
    </xf>
    <xf numFmtId="38" fontId="11" fillId="2" borderId="1" xfId="1" applyNumberFormat="1" applyFont="1" applyFill="1" applyBorder="1" applyAlignment="1" applyProtection="1">
      <alignment horizontal="right"/>
    </xf>
    <xf numFmtId="1" fontId="11" fillId="2" borderId="1" xfId="0" applyNumberFormat="1" applyFont="1" applyFill="1" applyBorder="1" applyAlignment="1"/>
    <xf numFmtId="165" fontId="12" fillId="2" borderId="1" xfId="0" applyNumberFormat="1" applyFont="1" applyFill="1" applyBorder="1" applyAlignment="1">
      <alignment horizontal="right"/>
    </xf>
    <xf numFmtId="165" fontId="15" fillId="2" borderId="0" xfId="0" applyNumberFormat="1" applyFont="1" applyFill="1" applyBorder="1" applyAlignment="1"/>
    <xf numFmtId="165" fontId="5" fillId="2" borderId="0" xfId="0" applyNumberFormat="1" applyFont="1" applyFill="1" applyAlignment="1">
      <alignment horizontal="center" vertical="center"/>
    </xf>
    <xf numFmtId="165" fontId="15" fillId="2" borderId="0" xfId="0" applyNumberFormat="1" applyFont="1" applyFill="1" applyAlignment="1" applyProtection="1">
      <alignment horizontal="left"/>
    </xf>
    <xf numFmtId="38" fontId="13" fillId="2" borderId="0" xfId="1" applyNumberFormat="1" applyFont="1" applyFill="1" applyAlignment="1">
      <alignment horizontal="right"/>
    </xf>
    <xf numFmtId="38" fontId="11" fillId="2" borderId="0" xfId="1" applyNumberFormat="1" applyFont="1" applyFill="1" applyAlignment="1">
      <alignment horizontal="right"/>
    </xf>
    <xf numFmtId="165" fontId="16" fillId="2" borderId="0" xfId="4" applyNumberFormat="1" applyFont="1" applyFill="1" applyAlignment="1" applyProtection="1">
      <alignment vertical="center"/>
    </xf>
    <xf numFmtId="165" fontId="13" fillId="2" borderId="0" xfId="0" applyNumberFormat="1" applyFont="1" applyFill="1" applyAlignment="1">
      <alignment horizontal="left"/>
    </xf>
    <xf numFmtId="165" fontId="0" fillId="2" borderId="0" xfId="0" applyNumberFormat="1" applyFill="1" applyBorder="1"/>
    <xf numFmtId="165" fontId="0" fillId="2" borderId="0" xfId="0" applyNumberFormat="1" applyFill="1" applyAlignment="1"/>
    <xf numFmtId="165" fontId="22" fillId="2" borderId="2" xfId="0" applyNumberFormat="1" applyFont="1" applyFill="1" applyBorder="1" applyAlignment="1">
      <alignment vertical="center"/>
    </xf>
    <xf numFmtId="165" fontId="7" fillId="2" borderId="0" xfId="0" applyNumberFormat="1" applyFont="1" applyFill="1"/>
    <xf numFmtId="165" fontId="24" fillId="2" borderId="0" xfId="0" applyNumberFormat="1" applyFont="1" applyFill="1" applyAlignment="1">
      <alignment horizontal="left" vertical="center"/>
    </xf>
    <xf numFmtId="165" fontId="0" fillId="2" borderId="0" xfId="0" applyNumberFormat="1" applyFill="1"/>
    <xf numFmtId="165" fontId="4" fillId="2" borderId="0" xfId="0" applyNumberFormat="1" applyFont="1" applyFill="1" applyBorder="1"/>
    <xf numFmtId="38" fontId="13" fillId="2" borderId="0" xfId="1" applyNumberFormat="1" applyFont="1" applyFill="1" applyBorder="1" applyAlignment="1">
      <alignment horizontal="right"/>
    </xf>
    <xf numFmtId="0" fontId="28" fillId="2" borderId="0" xfId="0" applyFont="1" applyFill="1" applyBorder="1" applyAlignment="1">
      <alignment horizontal="center" vertical="center"/>
    </xf>
    <xf numFmtId="38" fontId="30" fillId="2" borderId="0" xfId="0" applyNumberFormat="1" applyFont="1" applyFill="1" applyBorder="1" applyAlignment="1">
      <alignment horizontal="center"/>
    </xf>
    <xf numFmtId="167" fontId="28" fillId="2" borderId="0" xfId="0" applyNumberFormat="1" applyFont="1" applyFill="1" applyBorder="1" applyAlignment="1">
      <alignment horizontal="center"/>
    </xf>
    <xf numFmtId="167" fontId="28" fillId="2" borderId="0" xfId="0" applyNumberFormat="1" applyFont="1" applyFill="1" applyBorder="1" applyAlignment="1">
      <alignment horizontal="center" vertical="center"/>
    </xf>
    <xf numFmtId="1" fontId="11" fillId="2" borderId="4" xfId="0" applyNumberFormat="1" applyFont="1" applyFill="1" applyBorder="1" applyAlignment="1" applyProtection="1"/>
    <xf numFmtId="0" fontId="25" fillId="2" borderId="0" xfId="0" applyFont="1" applyFill="1" applyBorder="1" applyAlignment="1">
      <alignment horizontal="center" vertical="center"/>
    </xf>
    <xf numFmtId="165" fontId="3" fillId="2" borderId="0" xfId="0" applyNumberFormat="1" applyFont="1" applyFill="1" applyAlignment="1">
      <alignment horizontal="center" vertical="center"/>
    </xf>
    <xf numFmtId="165" fontId="6" fillId="2" borderId="0" xfId="0" applyNumberFormat="1" applyFont="1" applyFill="1" applyBorder="1" applyAlignment="1" applyProtection="1">
      <alignment horizontal="center" vertical="center"/>
    </xf>
    <xf numFmtId="165" fontId="10" fillId="2" borderId="0" xfId="0" applyNumberFormat="1" applyFont="1" applyFill="1" applyBorder="1" applyAlignment="1">
      <alignment horizontal="left" vertical="center"/>
    </xf>
    <xf numFmtId="165" fontId="10" fillId="2" borderId="1" xfId="0" applyNumberFormat="1" applyFont="1" applyFill="1" applyBorder="1" applyAlignment="1">
      <alignment horizontal="left" vertical="center"/>
    </xf>
  </cellXfs>
  <cellStyles count="163">
    <cellStyle name="1" xfId="140"/>
    <cellStyle name="Comma" xfId="1" builtinId="3"/>
    <cellStyle name="Comma 2" xfId="7"/>
    <cellStyle name="Comma 3" xfId="10"/>
    <cellStyle name="Comma 3 2" xfId="158"/>
    <cellStyle name="Hyperlink" xfId="4" builtinId="8"/>
    <cellStyle name="Normal" xfId="0" builtinId="0"/>
    <cellStyle name="Normal - Style1" xfId="145"/>
    <cellStyle name="Normal 10" xfId="20"/>
    <cellStyle name="Normal 10 2" xfId="34"/>
    <cellStyle name="Normal 105 2" xfId="126"/>
    <cellStyle name="Normal 11" xfId="21"/>
    <cellStyle name="Normal 11 2" xfId="35"/>
    <cellStyle name="Normal 12" xfId="22"/>
    <cellStyle name="Normal 12 2" xfId="36"/>
    <cellStyle name="Normal 13" xfId="24"/>
    <cellStyle name="Normal 13 2" xfId="37"/>
    <cellStyle name="Normal 14" xfId="25"/>
    <cellStyle name="Normal 14 2" xfId="38"/>
    <cellStyle name="Normal 15" xfId="26"/>
    <cellStyle name="Normal 15 2" xfId="39"/>
    <cellStyle name="Normal 16" xfId="27"/>
    <cellStyle name="Normal 16 2" xfId="40"/>
    <cellStyle name="Normal 17" xfId="28"/>
    <cellStyle name="Normal 17 2" xfId="41"/>
    <cellStyle name="Normal 18" xfId="29"/>
    <cellStyle name="Normal 18 2" xfId="42"/>
    <cellStyle name="Normal 19" xfId="30"/>
    <cellStyle name="Normal 19 2" xfId="43"/>
    <cellStyle name="Normal 2" xfId="13"/>
    <cellStyle name="Normal 2 10" xfId="44"/>
    <cellStyle name="Normal 2 11" xfId="45"/>
    <cellStyle name="Normal 2 12" xfId="46"/>
    <cellStyle name="Normal 2 13" xfId="47"/>
    <cellStyle name="Normal 2 14" xfId="48"/>
    <cellStyle name="Normal 2 15" xfId="49"/>
    <cellStyle name="Normal 2 16" xfId="50"/>
    <cellStyle name="Normal 2 17" xfId="51"/>
    <cellStyle name="Normal 2 18" xfId="52"/>
    <cellStyle name="Normal 2 19" xfId="53"/>
    <cellStyle name="Normal 2 2" xfId="12"/>
    <cellStyle name="Normal 2 2 10" xfId="54"/>
    <cellStyle name="Normal 2 2 11" xfId="55"/>
    <cellStyle name="Normal 2 2 12" xfId="56"/>
    <cellStyle name="Normal 2 2 13" xfId="57"/>
    <cellStyle name="Normal 2 2 14" xfId="58"/>
    <cellStyle name="Normal 2 2 15" xfId="59"/>
    <cellStyle name="Normal 2 2 16" xfId="60"/>
    <cellStyle name="Normal 2 2 17" xfId="61"/>
    <cellStyle name="Normal 2 2 18" xfId="62"/>
    <cellStyle name="Normal 2 2 19" xfId="63"/>
    <cellStyle name="Normal 2 2 2" xfId="5"/>
    <cellStyle name="Normal 2 2 20" xfId="64"/>
    <cellStyle name="Normal 2 2 21" xfId="65"/>
    <cellStyle name="Normal 2 2 22" xfId="66"/>
    <cellStyle name="Normal 2 2 23" xfId="67"/>
    <cellStyle name="Normal 2 2 24" xfId="68"/>
    <cellStyle name="Normal 2 2 24 2" xfId="69"/>
    <cellStyle name="Normal 2 2 24 2 2" xfId="70"/>
    <cellStyle name="Normal 2 2 25" xfId="71"/>
    <cellStyle name="Normal 2 2 25 2" xfId="72"/>
    <cellStyle name="Normal 2 2 26" xfId="146"/>
    <cellStyle name="Normal 2 2 3" xfId="73"/>
    <cellStyle name="Normal 2 2 4" xfId="74"/>
    <cellStyle name="Normal 2 2 5" xfId="75"/>
    <cellStyle name="Normal 2 2 5 2" xfId="76"/>
    <cellStyle name="Normal 2 2 5 2 2" xfId="77"/>
    <cellStyle name="Normal 2 2 5 2 2 2" xfId="78"/>
    <cellStyle name="Normal 2 2 5 3" xfId="79"/>
    <cellStyle name="Normal 2 2 5 4" xfId="80"/>
    <cellStyle name="Normal 2 2 6" xfId="81"/>
    <cellStyle name="Normal 2 2 7" xfId="82"/>
    <cellStyle name="Normal 2 2 8" xfId="83"/>
    <cellStyle name="Normal 2 2 9" xfId="84"/>
    <cellStyle name="Normal 2 20" xfId="85"/>
    <cellStyle name="Normal 2 21" xfId="86"/>
    <cellStyle name="Normal 2 22" xfId="87"/>
    <cellStyle name="Normal 2 23" xfId="88"/>
    <cellStyle name="Normal 2 24" xfId="89"/>
    <cellStyle name="Normal 2 24 2" xfId="90"/>
    <cellStyle name="Normal 2 24 2 2" xfId="91"/>
    <cellStyle name="Normal 2 25" xfId="92"/>
    <cellStyle name="Normal 2 25 2" xfId="93"/>
    <cellStyle name="Normal 2 26" xfId="144"/>
    <cellStyle name="Normal 2 3" xfId="14"/>
    <cellStyle name="Normal 2 3 2" xfId="94"/>
    <cellStyle name="Normal 2 3 2 2" xfId="95"/>
    <cellStyle name="Normal 2 3 2 2 2" xfId="96"/>
    <cellStyle name="Normal 2 3 3" xfId="97"/>
    <cellStyle name="Normal 2 3 4" xfId="98"/>
    <cellStyle name="Normal 2 3 5" xfId="147"/>
    <cellStyle name="Normal 2 4" xfId="99"/>
    <cellStyle name="Normal 2 4 2" xfId="148"/>
    <cellStyle name="Normal 2 5" xfId="100"/>
    <cellStyle name="Normal 2 5 2" xfId="159"/>
    <cellStyle name="Normal 2 6" xfId="101"/>
    <cellStyle name="Normal 2 7" xfId="102"/>
    <cellStyle name="Normal 2 8" xfId="103"/>
    <cellStyle name="Normal 2 9" xfId="104"/>
    <cellStyle name="Normal 20" xfId="31"/>
    <cellStyle name="Normal 20 2" xfId="105"/>
    <cellStyle name="Normal 21" xfId="32"/>
    <cellStyle name="Normal 21 2" xfId="106"/>
    <cellStyle name="Normal 22" xfId="33"/>
    <cellStyle name="Normal 22 2" xfId="107"/>
    <cellStyle name="Normal 23" xfId="108"/>
    <cellStyle name="Normal 23 2" xfId="109"/>
    <cellStyle name="Normal 24" xfId="133"/>
    <cellStyle name="Normal 25" xfId="15"/>
    <cellStyle name="Normal 25 2" xfId="127"/>
    <cellStyle name="Normal 26" xfId="120"/>
    <cellStyle name="Normal 26 2" xfId="137"/>
    <cellStyle name="Normal 27" xfId="118"/>
    <cellStyle name="Normal 27 2" xfId="136"/>
    <cellStyle name="Normal 28" xfId="121"/>
    <cellStyle name="Normal 28 2" xfId="130"/>
    <cellStyle name="Normal 29" xfId="128"/>
    <cellStyle name="Normal 3" xfId="9"/>
    <cellStyle name="Normal 3 11" xfId="124"/>
    <cellStyle name="Normal 3 12" xfId="122"/>
    <cellStyle name="Normal 3 13" xfId="123"/>
    <cellStyle name="Normal 3 14" xfId="125"/>
    <cellStyle name="Normal 3 2" xfId="110"/>
    <cellStyle name="Normal 3 2 2" xfId="150"/>
    <cellStyle name="Normal 3 3" xfId="111"/>
    <cellStyle name="Normal 3 3 2" xfId="151"/>
    <cellStyle name="Normal 3 4" xfId="149"/>
    <cellStyle name="Normal 30" xfId="135"/>
    <cellStyle name="Normal 31" xfId="132"/>
    <cellStyle name="Normal 32" xfId="129"/>
    <cellStyle name="Normal 33" xfId="139"/>
    <cellStyle name="Normal 34" xfId="131"/>
    <cellStyle name="Normal 35" xfId="138"/>
    <cellStyle name="Normal 4" xfId="16"/>
    <cellStyle name="Normal 4 2" xfId="112"/>
    <cellStyle name="Normal 4 3" xfId="119"/>
    <cellStyle name="Normal 4 3 2" xfId="152"/>
    <cellStyle name="Normal 5" xfId="23"/>
    <cellStyle name="Normal 5 2" xfId="113"/>
    <cellStyle name="Normal 5 3" xfId="153"/>
    <cellStyle name="Normal 6" xfId="3"/>
    <cellStyle name="Normal 6 2" xfId="134"/>
    <cellStyle name="Normal 6 2 2" xfId="154"/>
    <cellStyle name="Normal 6 3" xfId="117"/>
    <cellStyle name="Normal 6 3 2" xfId="160"/>
    <cellStyle name="Normal 6 4" xfId="142"/>
    <cellStyle name="Normal 7" xfId="2"/>
    <cellStyle name="Normal 7 2" xfId="114"/>
    <cellStyle name="Normal 7 2 2" xfId="155"/>
    <cellStyle name="Normal 7 3" xfId="17"/>
    <cellStyle name="Normal 7 3 2" xfId="161"/>
    <cellStyle name="Normal 7 4" xfId="141"/>
    <cellStyle name="Normal 8" xfId="6"/>
    <cellStyle name="Normal 8 2" xfId="8"/>
    <cellStyle name="Normal 8 2 2" xfId="115"/>
    <cellStyle name="Normal 8 2 3" xfId="156"/>
    <cellStyle name="Normal 8 3" xfId="18"/>
    <cellStyle name="Normal 8 3 2" xfId="162"/>
    <cellStyle name="Normal 8 4" xfId="143"/>
    <cellStyle name="Normal 9" xfId="19"/>
    <cellStyle name="Normal 9 2" xfId="116"/>
    <cellStyle name="Normal 9 3" xfId="157"/>
    <cellStyle name="Percent 2" xfId="11"/>
  </cellStyles>
  <dxfs count="0"/>
  <tableStyles count="0" defaultTableStyle="TableStyleMedium9" defaultPivotStyle="PivotStyleLight16"/>
  <colors>
    <mruColors>
      <color rgb="FF953735"/>
      <color rgb="FFFFB265"/>
      <color rgb="FFF79747"/>
      <color rgb="FFFABF8E"/>
      <color rgb="FFFDEADA"/>
      <color rgb="FFC9F3F1"/>
      <color rgb="FFA3FFFF"/>
      <color rgb="FF33CCCC"/>
      <color rgb="FF1C706E"/>
      <color rgb="FFE1F8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>
              <a:defRPr sz="1050">
                <a:solidFill>
                  <a:schemeClr val="tx1"/>
                </a:solidFill>
                <a:latin typeface="Consolas" pitchFamily="49" charset="0"/>
                <a:cs typeface="Consolas" pitchFamily="49" charset="0"/>
              </a:defRPr>
            </a:pPr>
            <a:r>
              <a:rPr lang="en-US" sz="1050">
                <a:solidFill>
                  <a:schemeClr val="tx1"/>
                </a:solidFill>
                <a:latin typeface="Consolas" pitchFamily="49" charset="0"/>
                <a:cs typeface="Consolas" pitchFamily="49" charset="0"/>
              </a:rPr>
              <a:t>Figure 7.4: Student enrolment by educational level,</a:t>
            </a:r>
            <a:r>
              <a:rPr lang="en-US" sz="1050" baseline="0">
                <a:solidFill>
                  <a:schemeClr val="tx1"/>
                </a:solidFill>
                <a:latin typeface="Consolas" pitchFamily="49" charset="0"/>
                <a:cs typeface="Consolas" pitchFamily="49" charset="0"/>
              </a:rPr>
              <a:t> 2016</a:t>
            </a:r>
            <a:endParaRPr lang="en-US" sz="1050">
              <a:solidFill>
                <a:schemeClr val="tx1"/>
              </a:solidFill>
              <a:latin typeface="Consolas" pitchFamily="49" charset="0"/>
              <a:cs typeface="Consolas" pitchFamily="49" charset="0"/>
            </a:endParaRPr>
          </a:p>
        </c:rich>
      </c:tx>
      <c:layout>
        <c:manualLayout>
          <c:xMode val="edge"/>
          <c:yMode val="edge"/>
          <c:x val="0.18548413736382266"/>
          <c:y val="3.8899447913838349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0561443485159212"/>
          <c:y val="0.15843214720111387"/>
          <c:w val="0.88024413308630534"/>
          <c:h val="0.6704802143634560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'7.2'!$Q$10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rgbClr val="953735"/>
            </a:solidFill>
          </c:spPr>
          <c:invertIfNegative val="0"/>
          <c:cat>
            <c:strRef>
              <c:f>'7.2'!$P$11:$P$15</c:f>
              <c:strCache>
                <c:ptCount val="5"/>
                <c:pt idx="0">
                  <c:v>Pre - Primary</c:v>
                </c:pt>
                <c:pt idx="1">
                  <c:v>Primary</c:v>
                </c:pt>
                <c:pt idx="2">
                  <c:v>Lower Secondary</c:v>
                </c:pt>
                <c:pt idx="3">
                  <c:v>Higher Secondary</c:v>
                </c:pt>
                <c:pt idx="4">
                  <c:v>Special class</c:v>
                </c:pt>
              </c:strCache>
            </c:strRef>
          </c:cat>
          <c:val>
            <c:numRef>
              <c:f>'7.2'!$Q$11:$Q$15</c:f>
              <c:numCache>
                <c:formatCode>_(* #,##0_);_(* \(#,##0\);_(* "-"??_);_(@_)</c:formatCode>
                <c:ptCount val="5"/>
                <c:pt idx="0">
                  <c:v>11586</c:v>
                </c:pt>
                <c:pt idx="1">
                  <c:v>22342</c:v>
                </c:pt>
                <c:pt idx="2">
                  <c:v>8960</c:v>
                </c:pt>
                <c:pt idx="3">
                  <c:v>1776</c:v>
                </c:pt>
                <c:pt idx="4">
                  <c:v>255</c:v>
                </c:pt>
              </c:numCache>
            </c:numRef>
          </c:val>
        </c:ser>
        <c:ser>
          <c:idx val="1"/>
          <c:order val="1"/>
          <c:tx>
            <c:strRef>
              <c:f>'7.2'!$R$10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rgbClr val="FABF8E"/>
            </a:solidFill>
          </c:spPr>
          <c:invertIfNegative val="0"/>
          <c:cat>
            <c:strRef>
              <c:f>'7.2'!$P$11:$P$15</c:f>
              <c:strCache>
                <c:ptCount val="5"/>
                <c:pt idx="0">
                  <c:v>Pre - Primary</c:v>
                </c:pt>
                <c:pt idx="1">
                  <c:v>Primary</c:v>
                </c:pt>
                <c:pt idx="2">
                  <c:v>Lower Secondary</c:v>
                </c:pt>
                <c:pt idx="3">
                  <c:v>Higher Secondary</c:v>
                </c:pt>
                <c:pt idx="4">
                  <c:v>Special class</c:v>
                </c:pt>
              </c:strCache>
            </c:strRef>
          </c:cat>
          <c:val>
            <c:numRef>
              <c:f>'7.2'!$R$11:$R$15</c:f>
              <c:numCache>
                <c:formatCode>_(* #,##0_);_(* \(#,##0\);_(* "-"??_);_(@_)</c:formatCode>
                <c:ptCount val="5"/>
                <c:pt idx="0">
                  <c:v>10677</c:v>
                </c:pt>
                <c:pt idx="1">
                  <c:v>21439</c:v>
                </c:pt>
                <c:pt idx="2">
                  <c:v>8296</c:v>
                </c:pt>
                <c:pt idx="3">
                  <c:v>2344</c:v>
                </c:pt>
                <c:pt idx="4">
                  <c:v>113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7505280"/>
        <c:axId val="187540224"/>
      </c:barChart>
      <c:catAx>
        <c:axId val="187505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187540224"/>
        <c:crosses val="autoZero"/>
        <c:auto val="1"/>
        <c:lblAlgn val="ctr"/>
        <c:lblOffset val="100"/>
        <c:noMultiLvlLbl val="0"/>
      </c:catAx>
      <c:valAx>
        <c:axId val="187540224"/>
        <c:scaling>
          <c:orientation val="minMax"/>
        </c:scaling>
        <c:delete val="0"/>
        <c:axPos val="l"/>
        <c:majorGridlines>
          <c:spPr>
            <a:ln>
              <a:solidFill>
                <a:srgbClr val="FABF8E"/>
              </a:solidFill>
            </a:ln>
          </c:spPr>
        </c:majorGridlines>
        <c:numFmt formatCode="#,##0" sourceLinked="0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187505280"/>
        <c:crosses val="autoZero"/>
        <c:crossBetween val="between"/>
      </c:valAx>
      <c:spPr>
        <a:solidFill>
          <a:srgbClr val="FDEADA"/>
        </a:solidFill>
        <a:ln>
          <a:solidFill>
            <a:sysClr val="window" lastClr="FFFFFF">
              <a:lumMod val="65000"/>
            </a:sysClr>
          </a:solidFill>
        </a:ln>
      </c:spPr>
    </c:plotArea>
    <c:legend>
      <c:legendPos val="b"/>
      <c:layout>
        <c:manualLayout>
          <c:xMode val="edge"/>
          <c:yMode val="edge"/>
          <c:x val="0.60438268943567452"/>
          <c:y val="0.20818426542835988"/>
          <c:w val="0.18544318304390034"/>
          <c:h val="7.4231992552655057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866" l="0.70000000000000062" r="0.70000000000000062" t="0.75000000000000866" header="0.30000000000000032" footer="0.30000000000000032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1343660</xdr:colOff>
      <xdr:row>29</xdr:row>
      <xdr:rowOff>0</xdr:rowOff>
    </xdr:from>
    <xdr:to>
      <xdr:col>9</xdr:col>
      <xdr:colOff>523875</xdr:colOff>
      <xdr:row>45</xdr:row>
      <xdr:rowOff>45720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57150</xdr:colOff>
      <xdr:row>32</xdr:row>
      <xdr:rowOff>66674</xdr:rowOff>
    </xdr:from>
    <xdr:to>
      <xdr:col>15</xdr:col>
      <xdr:colOff>190500</xdr:colOff>
      <xdr:row>32</xdr:row>
      <xdr:rowOff>238125</xdr:rowOff>
    </xdr:to>
    <xdr:sp macro="" textlink="">
      <xdr:nvSpPr>
        <xdr:cNvPr id="4" name="TextBox 3"/>
        <xdr:cNvSpPr txBox="1"/>
      </xdr:nvSpPr>
      <xdr:spPr>
        <a:xfrm>
          <a:off x="8972550" y="4619624"/>
          <a:ext cx="133350" cy="171451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*</a:t>
          </a:r>
        </a:p>
      </xdr:txBody>
    </xdr:sp>
    <xdr:clientData/>
  </xdr:twoCellAnchor>
  <xdr:twoCellAnchor>
    <xdr:from>
      <xdr:col>2</xdr:col>
      <xdr:colOff>133350</xdr:colOff>
      <xdr:row>30</xdr:row>
      <xdr:rowOff>152399</xdr:rowOff>
    </xdr:from>
    <xdr:to>
      <xdr:col>8</xdr:col>
      <xdr:colOff>695325</xdr:colOff>
      <xdr:row>30</xdr:row>
      <xdr:rowOff>152399</xdr:rowOff>
    </xdr:to>
    <xdr:sp macro="" textlink="">
      <xdr:nvSpPr>
        <xdr:cNvPr id="5" name="Line 4"/>
        <xdr:cNvSpPr>
          <a:spLocks noChangeShapeType="1"/>
        </xdr:cNvSpPr>
      </xdr:nvSpPr>
      <xdr:spPr bwMode="auto">
        <a:xfrm>
          <a:off x="2381250" y="6486524"/>
          <a:ext cx="4257675" cy="0"/>
        </a:xfrm>
        <a:prstGeom prst="line">
          <a:avLst/>
        </a:prstGeom>
        <a:ln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.shifaza\AppData\Local\Microsoft\Windows\INetCache\Content.Outlook\JLAH1LI0\7%20%20EDUCATION%20_OLEVEL%20STUDENTS%20(3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7.13"/>
      <sheetName val="7.14"/>
      <sheetName val="7.15"/>
      <sheetName val="7.16 &amp; 7.17"/>
      <sheetName val="7.18"/>
    </sheetNames>
    <sheetDataSet>
      <sheetData sheetId="0"/>
      <sheetData sheetId="1"/>
      <sheetData sheetId="2">
        <row r="51">
          <cell r="AA51">
            <v>2010</v>
          </cell>
          <cell r="AB51">
            <v>2011</v>
          </cell>
          <cell r="AC51">
            <v>2012</v>
          </cell>
          <cell r="AD51">
            <v>2013</v>
          </cell>
          <cell r="AE51">
            <v>2014</v>
          </cell>
          <cell r="AF51">
            <v>2015</v>
          </cell>
        </row>
        <row r="52">
          <cell r="Z52" t="str">
            <v>Republic</v>
          </cell>
          <cell r="AA52">
            <v>34.739884393063583</v>
          </cell>
          <cell r="AB52">
            <v>55.006218905472636</v>
          </cell>
          <cell r="AC52">
            <v>41.821619918058623</v>
          </cell>
          <cell r="AD52">
            <v>42.609532980259992</v>
          </cell>
          <cell r="AE52">
            <v>46.892301998519613</v>
          </cell>
          <cell r="AF52">
            <v>46</v>
          </cell>
        </row>
        <row r="53">
          <cell r="Z53" t="str">
            <v>Male'</v>
          </cell>
          <cell r="AA53">
            <v>53.695881731784581</v>
          </cell>
          <cell r="AB53">
            <v>57.991120976692571</v>
          </cell>
          <cell r="AC53">
            <v>59.810625986322982</v>
          </cell>
          <cell r="AD53">
            <v>55.791505791505791</v>
          </cell>
          <cell r="AE53">
            <v>70</v>
          </cell>
          <cell r="AF53">
            <v>62</v>
          </cell>
        </row>
        <row r="54">
          <cell r="Z54" t="str">
            <v>Atolls</v>
          </cell>
          <cell r="AA54">
            <v>27.596498209311584</v>
          </cell>
          <cell r="AB54">
            <v>29.784017278617707</v>
          </cell>
          <cell r="AC54">
            <v>34.128233970753655</v>
          </cell>
          <cell r="AD54">
            <v>36.042317864871364</v>
          </cell>
          <cell r="AE54">
            <v>38.095554420030659</v>
          </cell>
          <cell r="AF54">
            <v>38</v>
          </cell>
        </row>
      </sheetData>
      <sheetData sheetId="3"/>
      <sheetData sheetId="4">
        <row r="4">
          <cell r="E4">
            <v>2010</v>
          </cell>
          <cell r="F4">
            <v>2011</v>
          </cell>
          <cell r="G4">
            <v>2012</v>
          </cell>
          <cell r="H4">
            <v>2013</v>
          </cell>
          <cell r="I4">
            <v>2014</v>
          </cell>
        </row>
        <row r="5">
          <cell r="B5" t="str">
            <v>No Pass</v>
          </cell>
          <cell r="E5">
            <v>19</v>
          </cell>
          <cell r="F5">
            <v>17</v>
          </cell>
          <cell r="G5">
            <v>13</v>
          </cell>
          <cell r="H5">
            <v>11.8</v>
          </cell>
          <cell r="I5">
            <v>11</v>
          </cell>
        </row>
        <row r="6">
          <cell r="B6" t="str">
            <v>1 or more subject</v>
          </cell>
          <cell r="E6">
            <v>82</v>
          </cell>
          <cell r="F6">
            <v>83</v>
          </cell>
          <cell r="G6">
            <v>87</v>
          </cell>
          <cell r="H6">
            <v>86.2</v>
          </cell>
          <cell r="I6">
            <v>96.5</v>
          </cell>
        </row>
        <row r="7">
          <cell r="B7" t="str">
            <v>3 or mores subject</v>
          </cell>
          <cell r="E7">
            <v>49</v>
          </cell>
          <cell r="F7">
            <v>55</v>
          </cell>
          <cell r="G7">
            <v>59</v>
          </cell>
          <cell r="H7">
            <v>59</v>
          </cell>
          <cell r="I7">
            <v>63.6</v>
          </cell>
        </row>
        <row r="8">
          <cell r="B8" t="str">
            <v>5 or more subject</v>
          </cell>
          <cell r="E8">
            <v>35</v>
          </cell>
          <cell r="F8">
            <v>37</v>
          </cell>
          <cell r="G8">
            <v>41</v>
          </cell>
          <cell r="H8">
            <v>43</v>
          </cell>
          <cell r="I8">
            <v>46.9</v>
          </cell>
        </row>
        <row r="9">
          <cell r="B9" t="str">
            <v>8 or more subject</v>
          </cell>
          <cell r="E9">
            <v>14</v>
          </cell>
          <cell r="F9">
            <v>17</v>
          </cell>
          <cell r="G9">
            <v>19</v>
          </cell>
          <cell r="H9">
            <v>20.399999999999999</v>
          </cell>
          <cell r="I9">
            <v>21.7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G48"/>
  <sheetViews>
    <sheetView tabSelected="1" zoomScaleNormal="100" zoomScaleSheetLayoutView="100" workbookViewId="0">
      <selection activeCell="M1" sqref="M1:M1048576"/>
    </sheetView>
  </sheetViews>
  <sheetFormatPr defaultColWidth="26.42578125" defaultRowHeight="15"/>
  <cols>
    <col min="1" max="1" width="23.42578125" style="5" customWidth="1"/>
    <col min="2" max="2" width="10.28515625" style="5" customWidth="1"/>
    <col min="3" max="3" width="9.5703125" style="5" customWidth="1"/>
    <col min="4" max="4" width="11.28515625" style="5" customWidth="1"/>
    <col min="5" max="5" width="2.28515625" style="5" customWidth="1"/>
    <col min="6" max="6" width="10.42578125" style="5" customWidth="1"/>
    <col min="7" max="7" width="9.7109375" style="5" customWidth="1"/>
    <col min="8" max="9" width="12.140625" style="5" customWidth="1"/>
    <col min="10" max="10" width="24.7109375" style="5" customWidth="1"/>
    <col min="11" max="11" width="3.140625" style="5" customWidth="1"/>
    <col min="12" max="12" width="58.28515625" style="5" customWidth="1"/>
    <col min="13" max="14" width="58.28515625" style="54" customWidth="1"/>
    <col min="15" max="15" width="26.42578125" style="5"/>
    <col min="16" max="18" width="9.140625" style="5" customWidth="1"/>
    <col min="19" max="33" width="8.7109375" style="5" customWidth="1"/>
    <col min="34" max="16384" width="26.42578125" style="5"/>
  </cols>
  <sheetData>
    <row r="1" spans="1:20" s="54" customFormat="1" ht="19.5">
      <c r="A1" s="63" t="s">
        <v>38</v>
      </c>
      <c r="B1" s="63"/>
      <c r="C1" s="63"/>
      <c r="D1" s="63"/>
      <c r="E1" s="63"/>
      <c r="F1" s="63"/>
      <c r="G1" s="63"/>
      <c r="H1" s="63"/>
      <c r="I1" s="63"/>
      <c r="J1" s="63"/>
      <c r="L1" s="53"/>
      <c r="M1" s="53"/>
      <c r="N1" s="53"/>
    </row>
    <row r="2" spans="1:20" s="54" customFormat="1">
      <c r="A2" s="64" t="s">
        <v>39</v>
      </c>
      <c r="B2" s="64"/>
      <c r="C2" s="64"/>
      <c r="D2" s="64"/>
      <c r="E2" s="64"/>
      <c r="F2" s="64"/>
      <c r="G2" s="64"/>
      <c r="H2" s="64"/>
      <c r="I2" s="64"/>
      <c r="J2" s="64"/>
    </row>
    <row r="3" spans="1:20" s="54" customFormat="1">
      <c r="A3" s="6"/>
      <c r="B3" s="6"/>
      <c r="C3" s="6"/>
      <c r="D3" s="6"/>
      <c r="E3" s="6"/>
      <c r="F3" s="6"/>
      <c r="G3" s="6"/>
      <c r="H3" s="6"/>
      <c r="I3" s="6"/>
      <c r="J3" s="6"/>
      <c r="K3" s="7"/>
      <c r="L3" s="7"/>
      <c r="M3" s="7"/>
      <c r="N3" s="7"/>
      <c r="O3" s="7"/>
      <c r="P3" s="7"/>
      <c r="Q3" s="7"/>
      <c r="R3" s="7"/>
      <c r="S3" s="7"/>
      <c r="T3" s="7"/>
    </row>
    <row r="4" spans="1:20" s="54" customFormat="1">
      <c r="A4" s="65" t="s">
        <v>12</v>
      </c>
      <c r="B4" s="8" t="s">
        <v>13</v>
      </c>
      <c r="C4" s="4"/>
      <c r="D4" s="9" t="s">
        <v>14</v>
      </c>
      <c r="E4" s="10"/>
      <c r="F4" s="8" t="s">
        <v>15</v>
      </c>
      <c r="G4" s="11"/>
      <c r="H4" s="9" t="s">
        <v>16</v>
      </c>
      <c r="I4" s="10" t="s">
        <v>1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1:20" s="54" customFormat="1">
      <c r="A5" s="65"/>
      <c r="B5" s="12" t="s">
        <v>17</v>
      </c>
      <c r="C5" s="12" t="s">
        <v>0</v>
      </c>
      <c r="D5" s="12" t="s">
        <v>1</v>
      </c>
      <c r="E5" s="13"/>
      <c r="F5" s="12" t="s">
        <v>17</v>
      </c>
      <c r="G5" s="12" t="s">
        <v>0</v>
      </c>
      <c r="H5" s="14" t="s">
        <v>1</v>
      </c>
      <c r="I5" s="10" t="s">
        <v>18</v>
      </c>
      <c r="J5" s="10" t="s">
        <v>19</v>
      </c>
    </row>
    <row r="6" spans="1:20" s="54" customFormat="1">
      <c r="A6" s="66"/>
      <c r="B6" s="15" t="s">
        <v>2</v>
      </c>
      <c r="C6" s="15" t="s">
        <v>3</v>
      </c>
      <c r="D6" s="15" t="s">
        <v>4</v>
      </c>
      <c r="E6" s="15"/>
      <c r="F6" s="15" t="s">
        <v>2</v>
      </c>
      <c r="G6" s="15" t="s">
        <v>3</v>
      </c>
      <c r="H6" s="16" t="s">
        <v>4</v>
      </c>
      <c r="I6" s="16" t="s">
        <v>20</v>
      </c>
      <c r="J6" s="17"/>
    </row>
    <row r="7" spans="1:20" s="54" customFormat="1" ht="17.25">
      <c r="A7" s="18" t="s">
        <v>5</v>
      </c>
      <c r="B7" s="19">
        <f>SUM(B8:B12)</f>
        <v>87788</v>
      </c>
      <c r="C7" s="35">
        <f>C13+C19</f>
        <v>44919</v>
      </c>
      <c r="D7" s="35">
        <f>D13+D19</f>
        <v>42869</v>
      </c>
      <c r="E7" s="20"/>
      <c r="F7" s="21">
        <f>B7/B7*100</f>
        <v>100</v>
      </c>
      <c r="G7" s="21">
        <f>C7/C7*100</f>
        <v>100</v>
      </c>
      <c r="H7" s="21">
        <f>D7/D7*100</f>
        <v>100</v>
      </c>
      <c r="I7" s="22">
        <f t="shared" ref="I7:I17" si="0">D7/B7*100</f>
        <v>48.832414453000411</v>
      </c>
      <c r="J7" s="23" t="s">
        <v>21</v>
      </c>
    </row>
    <row r="8" spans="1:20" s="54" customFormat="1" ht="17.25">
      <c r="A8" s="24" t="s">
        <v>22</v>
      </c>
      <c r="B8" s="25">
        <f>SUM(C8:D8)</f>
        <v>22263</v>
      </c>
      <c r="C8" s="46">
        <f t="shared" ref="C8:D8" si="1">C14+C20</f>
        <v>11586</v>
      </c>
      <c r="D8" s="46">
        <f t="shared" si="1"/>
        <v>10677</v>
      </c>
      <c r="E8" s="26"/>
      <c r="F8" s="27">
        <f>B8/B7*100</f>
        <v>25.359958080831092</v>
      </c>
      <c r="G8" s="27">
        <f>C8/C7*100</f>
        <v>25.793094236291992</v>
      </c>
      <c r="H8" s="27">
        <f>D8/$D$7*100</f>
        <v>24.906109309757635</v>
      </c>
      <c r="I8" s="28">
        <f t="shared" si="0"/>
        <v>47.958496159547231</v>
      </c>
      <c r="J8" s="29" t="s">
        <v>23</v>
      </c>
    </row>
    <row r="9" spans="1:20" s="54" customFormat="1" ht="17.25">
      <c r="A9" s="24" t="s">
        <v>24</v>
      </c>
      <c r="B9" s="25">
        <f>SUM(C9:D9)</f>
        <v>43781</v>
      </c>
      <c r="C9" s="46">
        <f t="shared" ref="C9:D9" si="2">C15+C21</f>
        <v>22342</v>
      </c>
      <c r="D9" s="46">
        <f t="shared" si="2"/>
        <v>21439</v>
      </c>
      <c r="E9" s="26"/>
      <c r="F9" s="27">
        <f>B9/B7*100</f>
        <v>49.871280812867361</v>
      </c>
      <c r="G9" s="27">
        <f>C9/C7*100</f>
        <v>49.738418041363339</v>
      </c>
      <c r="H9" s="27">
        <f t="shared" ref="H9:H11" si="3">D9/$D$7*100</f>
        <v>50.010497095803494</v>
      </c>
      <c r="I9" s="28">
        <f t="shared" si="0"/>
        <v>48.968730727941349</v>
      </c>
      <c r="J9" s="30" t="s">
        <v>25</v>
      </c>
    </row>
    <row r="10" spans="1:20" s="54" customFormat="1" ht="17.25">
      <c r="A10" s="24" t="s">
        <v>26</v>
      </c>
      <c r="B10" s="25">
        <f>SUM(C10:D10)</f>
        <v>17256</v>
      </c>
      <c r="C10" s="46">
        <f t="shared" ref="C10:D10" si="4">C16+C22</f>
        <v>8960</v>
      </c>
      <c r="D10" s="46">
        <f t="shared" si="4"/>
        <v>8296</v>
      </c>
      <c r="E10" s="26"/>
      <c r="F10" s="27">
        <f>B10/B7*100</f>
        <v>19.656445072219437</v>
      </c>
      <c r="G10" s="27">
        <f>C10/C7*100</f>
        <v>19.947015739442104</v>
      </c>
      <c r="H10" s="27">
        <f t="shared" si="3"/>
        <v>19.351979285730948</v>
      </c>
      <c r="I10" s="28">
        <f t="shared" si="0"/>
        <v>48.076031525266572</v>
      </c>
      <c r="J10" s="30" t="s">
        <v>27</v>
      </c>
      <c r="Q10" s="54" t="s">
        <v>3</v>
      </c>
      <c r="R10" s="54" t="s">
        <v>4</v>
      </c>
    </row>
    <row r="11" spans="1:20" s="54" customFormat="1" ht="17.25">
      <c r="A11" s="24" t="s">
        <v>28</v>
      </c>
      <c r="B11" s="25">
        <f>SUM(C11:D11)</f>
        <v>4120</v>
      </c>
      <c r="C11" s="46">
        <f t="shared" ref="C11:D11" si="5">C17+C23</f>
        <v>1776</v>
      </c>
      <c r="D11" s="46">
        <f t="shared" si="5"/>
        <v>2344</v>
      </c>
      <c r="E11" s="26"/>
      <c r="F11" s="27">
        <f>B11/B7*100</f>
        <v>4.6931243450129863</v>
      </c>
      <c r="G11" s="27">
        <f>C11/C7*100</f>
        <v>3.9537834769251314</v>
      </c>
      <c r="H11" s="27">
        <f t="shared" si="3"/>
        <v>5.4678205696423987</v>
      </c>
      <c r="I11" s="28">
        <f t="shared" si="0"/>
        <v>56.893203883495147</v>
      </c>
      <c r="J11" s="30" t="s">
        <v>29</v>
      </c>
      <c r="P11" s="1" t="s">
        <v>22</v>
      </c>
      <c r="Q11" s="31">
        <f>C8</f>
        <v>11586</v>
      </c>
      <c r="R11" s="31">
        <f>D8</f>
        <v>10677</v>
      </c>
    </row>
    <row r="12" spans="1:20" s="54" customFormat="1" ht="17.25">
      <c r="A12" s="24" t="s">
        <v>30</v>
      </c>
      <c r="B12" s="25">
        <f>SUM(C12:D12)</f>
        <v>368</v>
      </c>
      <c r="C12" s="46">
        <f t="shared" ref="C12:D12" si="6">C18+C24</f>
        <v>255</v>
      </c>
      <c r="D12" s="46">
        <f t="shared" si="6"/>
        <v>113</v>
      </c>
      <c r="E12" s="26"/>
      <c r="F12" s="27">
        <f>B12/B7*100</f>
        <v>0.41919168906912102</v>
      </c>
      <c r="G12" s="27">
        <f>C12/C7*100</f>
        <v>0.56768850597742604</v>
      </c>
      <c r="H12" s="27">
        <f>D12/$D$7*100</f>
        <v>0.26359373906552519</v>
      </c>
      <c r="I12" s="28">
        <f t="shared" si="0"/>
        <v>30.706521739130434</v>
      </c>
      <c r="J12" s="30" t="s">
        <v>31</v>
      </c>
      <c r="P12" s="1" t="s">
        <v>32</v>
      </c>
      <c r="Q12" s="31">
        <f t="shared" ref="Q12:Q15" si="7">C9</f>
        <v>22342</v>
      </c>
      <c r="R12" s="31">
        <f t="shared" ref="R12:R15" si="8">D9</f>
        <v>21439</v>
      </c>
    </row>
    <row r="13" spans="1:20" s="34" customFormat="1" ht="17.25">
      <c r="A13" s="32" t="s">
        <v>6</v>
      </c>
      <c r="B13" s="25">
        <f>SUM(B14:B18)</f>
        <v>31649</v>
      </c>
      <c r="C13" s="35">
        <f>SUM(C14:C18)</f>
        <v>15859</v>
      </c>
      <c r="D13" s="35">
        <f>SUM(D14:D18)</f>
        <v>15790</v>
      </c>
      <c r="E13" s="33"/>
      <c r="F13" s="21">
        <f>B13/B13*100</f>
        <v>100</v>
      </c>
      <c r="G13" s="21">
        <f>C13/C13*100</f>
        <v>100</v>
      </c>
      <c r="H13" s="21">
        <f>D13/D13*100</f>
        <v>100</v>
      </c>
      <c r="I13" s="22">
        <f t="shared" si="0"/>
        <v>49.890991816487087</v>
      </c>
      <c r="J13" s="23" t="s">
        <v>7</v>
      </c>
      <c r="P13" s="1" t="s">
        <v>33</v>
      </c>
      <c r="Q13" s="31">
        <f t="shared" si="7"/>
        <v>8960</v>
      </c>
      <c r="R13" s="31">
        <f t="shared" si="8"/>
        <v>8296</v>
      </c>
    </row>
    <row r="14" spans="1:20" s="54" customFormat="1" ht="17.25">
      <c r="A14" s="24" t="s">
        <v>22</v>
      </c>
      <c r="B14" s="25">
        <f>SUM(C14:D14)</f>
        <v>8776</v>
      </c>
      <c r="C14" s="46">
        <v>4498</v>
      </c>
      <c r="D14" s="46">
        <v>4278</v>
      </c>
      <c r="E14" s="26"/>
      <c r="F14" s="27">
        <f>B14/B13*100</f>
        <v>27.729154159689092</v>
      </c>
      <c r="G14" s="27">
        <f>C14/C13*100</f>
        <v>28.362444038085627</v>
      </c>
      <c r="H14" s="27">
        <f>D14/D13*100</f>
        <v>27.093096896770106</v>
      </c>
      <c r="I14" s="28">
        <f t="shared" si="0"/>
        <v>48.746581586144025</v>
      </c>
      <c r="J14" s="29" t="s">
        <v>23</v>
      </c>
      <c r="P14" s="1" t="s">
        <v>34</v>
      </c>
      <c r="Q14" s="31">
        <f t="shared" si="7"/>
        <v>1776</v>
      </c>
      <c r="R14" s="31">
        <f t="shared" si="8"/>
        <v>2344</v>
      </c>
    </row>
    <row r="15" spans="1:20" s="54" customFormat="1" ht="17.25">
      <c r="A15" s="24" t="s">
        <v>24</v>
      </c>
      <c r="B15" s="35">
        <f>SUM(C15:D15)</f>
        <v>14620</v>
      </c>
      <c r="C15" s="46">
        <v>7312</v>
      </c>
      <c r="D15" s="46">
        <v>7308</v>
      </c>
      <c r="E15" s="26"/>
      <c r="F15" s="27">
        <f>B15/B13*100</f>
        <v>46.194192549527628</v>
      </c>
      <c r="G15" s="27">
        <f>C15/C13*100</f>
        <v>46.1063118733842</v>
      </c>
      <c r="H15" s="27">
        <f>D15/D13*100</f>
        <v>46.282457251424951</v>
      </c>
      <c r="I15" s="28">
        <f t="shared" si="0"/>
        <v>49.986320109439127</v>
      </c>
      <c r="J15" s="30" t="s">
        <v>25</v>
      </c>
      <c r="P15" s="1" t="s">
        <v>35</v>
      </c>
      <c r="Q15" s="31">
        <f t="shared" si="7"/>
        <v>255</v>
      </c>
      <c r="R15" s="31">
        <f t="shared" si="8"/>
        <v>113</v>
      </c>
    </row>
    <row r="16" spans="1:20" s="54" customFormat="1" ht="17.25">
      <c r="A16" s="24" t="s">
        <v>26</v>
      </c>
      <c r="B16" s="25">
        <f>SUM(C16:D16)</f>
        <v>5547</v>
      </c>
      <c r="C16" s="46">
        <v>2820</v>
      </c>
      <c r="D16" s="46">
        <v>2727</v>
      </c>
      <c r="E16" s="26"/>
      <c r="F16" s="27">
        <f>B16/B13*100</f>
        <v>17.5266201143796</v>
      </c>
      <c r="G16" s="27">
        <f>C16/C13*100</f>
        <v>17.78170124219686</v>
      </c>
      <c r="H16" s="27">
        <f>D16/D13*100</f>
        <v>17.27042431918936</v>
      </c>
      <c r="I16" s="28">
        <f t="shared" si="0"/>
        <v>49.16170903190914</v>
      </c>
      <c r="J16" s="30" t="s">
        <v>27</v>
      </c>
    </row>
    <row r="17" spans="1:33" s="54" customFormat="1" ht="17.25">
      <c r="A17" s="24" t="s">
        <v>28</v>
      </c>
      <c r="B17" s="25">
        <f>SUM(C17:D17)</f>
        <v>2499</v>
      </c>
      <c r="C17" s="46">
        <v>1084</v>
      </c>
      <c r="D17" s="46">
        <v>1415</v>
      </c>
      <c r="E17" s="26"/>
      <c r="F17" s="27">
        <f>B17/B13*100</f>
        <v>7.8959840753262345</v>
      </c>
      <c r="G17" s="27">
        <f>C17/C13*100</f>
        <v>6.8352355129579419</v>
      </c>
      <c r="H17" s="27">
        <f>D17/D13*100</f>
        <v>8.9613679544015188</v>
      </c>
      <c r="I17" s="28">
        <f t="shared" si="0"/>
        <v>56.622649059623853</v>
      </c>
      <c r="J17" s="30" t="s">
        <v>29</v>
      </c>
    </row>
    <row r="18" spans="1:33" s="54" customFormat="1" ht="17.25">
      <c r="A18" s="24" t="s">
        <v>30</v>
      </c>
      <c r="B18" s="25">
        <f>SUM(C18:D18)</f>
        <v>207</v>
      </c>
      <c r="C18" s="46">
        <v>145</v>
      </c>
      <c r="D18" s="46">
        <v>62</v>
      </c>
      <c r="E18" s="26"/>
      <c r="F18" s="27">
        <f>B18/B13*100</f>
        <v>0.65404910107744318</v>
      </c>
      <c r="G18" s="27">
        <f>C18/C13*100</f>
        <v>0.91430733337537051</v>
      </c>
      <c r="H18" s="27">
        <f>D18/D13*100</f>
        <v>0.39265357821405955</v>
      </c>
      <c r="I18" s="28">
        <f t="shared" ref="I18" si="9">D18/B18*100</f>
        <v>29.951690821256037</v>
      </c>
      <c r="J18" s="30" t="s">
        <v>31</v>
      </c>
    </row>
    <row r="19" spans="1:33" s="34" customFormat="1" ht="17.25">
      <c r="A19" s="18" t="s">
        <v>8</v>
      </c>
      <c r="B19" s="25">
        <f>SUM(B20:B24)</f>
        <v>56139</v>
      </c>
      <c r="C19" s="35">
        <f>SUM(C20:C24)</f>
        <v>29060</v>
      </c>
      <c r="D19" s="35">
        <f>SUM(D20:D24)</f>
        <v>27079</v>
      </c>
      <c r="E19" s="33"/>
      <c r="F19" s="21">
        <f>B19/B19*100</f>
        <v>100</v>
      </c>
      <c r="G19" s="21">
        <f>C19/C19*100</f>
        <v>100</v>
      </c>
      <c r="H19" s="21">
        <f>D19/D19*100</f>
        <v>100</v>
      </c>
      <c r="I19" s="22">
        <f>D19/B19*100</f>
        <v>48.235629419832918</v>
      </c>
      <c r="J19" s="23" t="s">
        <v>9</v>
      </c>
      <c r="O19" s="54"/>
      <c r="P19" s="52"/>
      <c r="Q19" s="52"/>
      <c r="R19" s="52"/>
      <c r="S19" s="54"/>
      <c r="T19" s="54"/>
      <c r="U19" s="54"/>
      <c r="V19" s="54"/>
      <c r="W19" s="54"/>
      <c r="X19" s="54"/>
      <c r="Y19" s="54"/>
      <c r="Z19" s="54"/>
      <c r="AA19" s="54"/>
      <c r="AB19" s="54"/>
      <c r="AC19" s="54"/>
      <c r="AD19" s="54"/>
      <c r="AE19" s="54"/>
      <c r="AF19" s="54"/>
      <c r="AG19" s="54"/>
    </row>
    <row r="20" spans="1:33" s="54" customFormat="1" ht="17.25">
      <c r="A20" s="24" t="s">
        <v>22</v>
      </c>
      <c r="B20" s="25">
        <f>SUM(C20:D20)</f>
        <v>13487</v>
      </c>
      <c r="C20" s="46">
        <v>7088</v>
      </c>
      <c r="D20" s="46">
        <v>6399</v>
      </c>
      <c r="E20" s="36"/>
      <c r="F20" s="27">
        <f>B20/$B$19*100</f>
        <v>24.024296834642584</v>
      </c>
      <c r="G20" s="28">
        <f>C20/C19*100</f>
        <v>24.390915347556781</v>
      </c>
      <c r="H20" s="28">
        <f>D20/D19*100</f>
        <v>23.630857860334576</v>
      </c>
      <c r="I20" s="28">
        <f t="shared" ref="I20:I24" si="10">D20/B20*100</f>
        <v>47.445688440720694</v>
      </c>
      <c r="J20" s="29" t="s">
        <v>23</v>
      </c>
      <c r="O20" s="18"/>
    </row>
    <row r="21" spans="1:33" s="54" customFormat="1" ht="17.25">
      <c r="A21" s="24" t="s">
        <v>24</v>
      </c>
      <c r="B21" s="25">
        <f>SUM(C21:D21)</f>
        <v>29161</v>
      </c>
      <c r="C21" s="46">
        <v>15030</v>
      </c>
      <c r="D21" s="46">
        <v>14131</v>
      </c>
      <c r="E21" s="36"/>
      <c r="F21" s="27">
        <f t="shared" ref="F21:F23" si="11">B21/$B$19*100</f>
        <v>51.944281159265394</v>
      </c>
      <c r="G21" s="28">
        <f>C21/C19*100</f>
        <v>51.720578114246386</v>
      </c>
      <c r="H21" s="28">
        <f>D21/D19*100</f>
        <v>52.184349495919349</v>
      </c>
      <c r="I21" s="28">
        <f>D21/B21*100</f>
        <v>48.458557662631598</v>
      </c>
      <c r="J21" s="30" t="s">
        <v>25</v>
      </c>
      <c r="O21" s="18"/>
    </row>
    <row r="22" spans="1:33" s="54" customFormat="1" ht="17.25">
      <c r="A22" s="24" t="s">
        <v>26</v>
      </c>
      <c r="B22" s="25">
        <f>SUM(C22:D22)</f>
        <v>11709</v>
      </c>
      <c r="C22" s="46">
        <v>6140</v>
      </c>
      <c r="D22" s="46">
        <v>5569</v>
      </c>
      <c r="E22" s="36"/>
      <c r="F22" s="27">
        <f t="shared" si="11"/>
        <v>20.857158125367391</v>
      </c>
      <c r="G22" s="28">
        <f>C22/C19*100</f>
        <v>21.128699242945633</v>
      </c>
      <c r="H22" s="28">
        <f>D22/D19*100</f>
        <v>20.565752058790945</v>
      </c>
      <c r="I22" s="28">
        <f t="shared" si="10"/>
        <v>47.56170467162012</v>
      </c>
      <c r="J22" s="30" t="s">
        <v>27</v>
      </c>
      <c r="O22" s="18"/>
    </row>
    <row r="23" spans="1:33" s="54" customFormat="1" ht="17.25">
      <c r="A23" s="24" t="s">
        <v>28</v>
      </c>
      <c r="B23" s="25">
        <f>SUM(C23:D23)</f>
        <v>1621</v>
      </c>
      <c r="C23" s="46">
        <v>692</v>
      </c>
      <c r="D23" s="46">
        <v>929</v>
      </c>
      <c r="E23" s="36"/>
      <c r="F23" s="27">
        <f t="shared" si="11"/>
        <v>2.8874757298847502</v>
      </c>
      <c r="G23" s="28">
        <f>C23/C19*100</f>
        <v>2.3812801101169994</v>
      </c>
      <c r="H23" s="28">
        <f>D23/D19*100</f>
        <v>3.4307027585952214</v>
      </c>
      <c r="I23" s="28">
        <f t="shared" si="10"/>
        <v>57.310302282541635</v>
      </c>
      <c r="J23" s="30" t="s">
        <v>29</v>
      </c>
    </row>
    <row r="24" spans="1:33" s="54" customFormat="1" ht="17.25">
      <c r="A24" s="37" t="s">
        <v>30</v>
      </c>
      <c r="B24" s="38">
        <f>SUM(C24:D24)</f>
        <v>161</v>
      </c>
      <c r="C24" s="46">
        <v>110</v>
      </c>
      <c r="D24" s="46">
        <v>51</v>
      </c>
      <c r="E24" s="39"/>
      <c r="F24" s="61">
        <f>B24/$B$19*100</f>
        <v>0.28678815083987957</v>
      </c>
      <c r="G24" s="28">
        <f>C24/C19*100</f>
        <v>0.37852718513420508</v>
      </c>
      <c r="H24" s="40">
        <f>D24/D19*100</f>
        <v>0.18833782635990989</v>
      </c>
      <c r="I24" s="40">
        <f t="shared" si="10"/>
        <v>31.677018633540371</v>
      </c>
      <c r="J24" s="41" t="s">
        <v>31</v>
      </c>
    </row>
    <row r="25" spans="1:33" s="54" customFormat="1" ht="18.600000000000001" customHeight="1">
      <c r="A25" s="42" t="s">
        <v>36</v>
      </c>
      <c r="B25" s="51"/>
      <c r="C25" s="51"/>
      <c r="D25" s="51"/>
      <c r="E25" s="51"/>
      <c r="F25" s="51"/>
      <c r="G25" s="51"/>
      <c r="H25" s="51"/>
      <c r="I25" s="4"/>
      <c r="J25" s="30" t="s">
        <v>37</v>
      </c>
      <c r="R25" s="43"/>
      <c r="S25" s="43"/>
    </row>
    <row r="26" spans="1:33" s="54" customFormat="1" ht="15.75" customHeight="1">
      <c r="A26" s="44" t="s">
        <v>10</v>
      </c>
      <c r="B26" s="3"/>
      <c r="C26" s="3"/>
      <c r="D26" s="3"/>
      <c r="E26" s="50"/>
      <c r="F26" s="3"/>
      <c r="G26" s="3"/>
      <c r="H26" s="3"/>
      <c r="I26" s="3"/>
      <c r="J26" s="30" t="s">
        <v>11</v>
      </c>
      <c r="Q26" s="1"/>
      <c r="R26" s="45"/>
      <c r="S26" s="45"/>
    </row>
    <row r="27" spans="1:33" s="54" customFormat="1">
      <c r="A27" s="3"/>
      <c r="B27" s="3"/>
      <c r="C27" s="3"/>
      <c r="D27" s="3"/>
      <c r="E27" s="50"/>
      <c r="F27" s="3"/>
      <c r="G27" s="3"/>
      <c r="H27" s="3"/>
      <c r="I27" s="3"/>
      <c r="Q27" s="1"/>
      <c r="R27" s="45"/>
      <c r="S27" s="45"/>
    </row>
    <row r="28" spans="1:33">
      <c r="A28" s="3"/>
      <c r="B28" s="3"/>
      <c r="C28" s="3"/>
      <c r="D28" s="3"/>
      <c r="E28" s="3"/>
      <c r="F28" s="3"/>
      <c r="G28" s="3"/>
      <c r="H28" s="3"/>
      <c r="I28" s="3"/>
      <c r="Q28" s="1"/>
      <c r="R28" s="45"/>
      <c r="S28" s="45"/>
    </row>
    <row r="29" spans="1:33">
      <c r="A29" s="3"/>
      <c r="B29" s="3"/>
      <c r="C29" s="47"/>
      <c r="D29" s="3"/>
      <c r="E29" s="3"/>
      <c r="F29" s="3"/>
      <c r="G29" s="3"/>
      <c r="H29" s="3"/>
      <c r="I29" s="3"/>
      <c r="J29" s="3"/>
      <c r="L29" s="49"/>
      <c r="M29" s="49"/>
      <c r="N29" s="49"/>
      <c r="O29" s="49"/>
      <c r="P29" s="49"/>
      <c r="Q29" s="55"/>
      <c r="R29" s="56"/>
      <c r="S29" s="45"/>
    </row>
    <row r="30" spans="1:33">
      <c r="A30" s="48"/>
      <c r="B30" s="3"/>
      <c r="C30" s="3"/>
      <c r="D30" s="3"/>
      <c r="E30" s="3"/>
      <c r="F30" s="3"/>
      <c r="G30" s="3"/>
      <c r="H30" s="3"/>
      <c r="I30" s="3"/>
      <c r="L30" s="49"/>
      <c r="M30" s="49"/>
      <c r="N30" s="49"/>
      <c r="O30" s="49"/>
      <c r="P30" s="49"/>
      <c r="Q30" s="55"/>
      <c r="R30" s="56"/>
      <c r="S30" s="45"/>
    </row>
    <row r="31" spans="1:33">
      <c r="A31" s="48"/>
      <c r="B31" s="3"/>
      <c r="C31" s="3"/>
      <c r="D31" s="3"/>
      <c r="E31" s="3"/>
      <c r="F31" s="3"/>
      <c r="G31" s="3"/>
      <c r="H31" s="3"/>
      <c r="I31" s="3"/>
      <c r="L31" s="62"/>
      <c r="M31" s="62"/>
      <c r="N31" s="62"/>
      <c r="O31" s="62"/>
      <c r="P31" s="62"/>
      <c r="Q31" s="55"/>
      <c r="R31" s="56"/>
      <c r="S31" s="45"/>
    </row>
    <row r="32" spans="1:33">
      <c r="A32" s="48"/>
      <c r="B32" s="3"/>
      <c r="C32" s="3"/>
      <c r="D32" s="3"/>
      <c r="E32" s="3"/>
      <c r="F32" s="3"/>
      <c r="G32" s="3"/>
      <c r="H32" s="3"/>
      <c r="I32" s="3"/>
      <c r="L32" s="57"/>
      <c r="M32" s="57"/>
      <c r="N32" s="57"/>
      <c r="O32" s="57"/>
      <c r="P32" s="57"/>
      <c r="Q32" s="49"/>
      <c r="R32" s="49"/>
    </row>
    <row r="33" spans="1:18">
      <c r="A33" s="48"/>
      <c r="B33" s="3"/>
      <c r="C33" s="3"/>
      <c r="D33" s="3"/>
      <c r="E33" s="3"/>
      <c r="F33" s="3"/>
      <c r="G33" s="3"/>
      <c r="H33" s="3"/>
      <c r="I33" s="3"/>
      <c r="L33" s="58"/>
      <c r="M33" s="58"/>
      <c r="N33" s="58"/>
      <c r="O33" s="58"/>
      <c r="P33" s="59"/>
      <c r="Q33" s="49"/>
      <c r="R33" s="49"/>
    </row>
    <row r="34" spans="1:18">
      <c r="A34" s="48"/>
      <c r="B34" s="3"/>
      <c r="C34" s="3"/>
      <c r="D34" s="3"/>
      <c r="E34" s="3"/>
      <c r="F34" s="3"/>
      <c r="G34" s="3"/>
      <c r="H34" s="3"/>
      <c r="I34" s="3"/>
      <c r="L34" s="58"/>
      <c r="M34" s="58"/>
      <c r="N34" s="58"/>
      <c r="O34" s="58"/>
      <c r="P34" s="59"/>
      <c r="Q34" s="49"/>
      <c r="R34" s="49"/>
    </row>
    <row r="35" spans="1:18">
      <c r="A35" s="3"/>
      <c r="B35" s="3"/>
      <c r="C35" s="3"/>
      <c r="D35" s="3"/>
      <c r="E35" s="3"/>
      <c r="F35" s="3"/>
      <c r="G35" s="3"/>
      <c r="H35" s="3"/>
      <c r="I35" s="3"/>
      <c r="L35" s="58"/>
      <c r="M35" s="58"/>
      <c r="N35" s="58"/>
      <c r="O35" s="58"/>
      <c r="P35" s="59"/>
      <c r="Q35" s="49"/>
      <c r="R35" s="49"/>
    </row>
    <row r="36" spans="1:18">
      <c r="A36" s="3"/>
      <c r="B36" s="3"/>
      <c r="C36" s="3"/>
      <c r="D36" s="3"/>
      <c r="E36" s="3"/>
      <c r="F36" s="3"/>
      <c r="G36" s="3"/>
      <c r="H36" s="3"/>
      <c r="I36" s="3"/>
      <c r="L36" s="58"/>
      <c r="M36" s="58"/>
      <c r="N36" s="58"/>
      <c r="O36" s="58"/>
      <c r="P36" s="59"/>
      <c r="Q36" s="49"/>
      <c r="R36" s="49"/>
    </row>
    <row r="37" spans="1:18">
      <c r="A37" s="3"/>
      <c r="B37" s="3"/>
      <c r="C37" s="3"/>
      <c r="D37" s="3"/>
      <c r="E37" s="3"/>
      <c r="F37" s="3"/>
      <c r="G37" s="3"/>
      <c r="H37" s="3"/>
      <c r="I37" s="3"/>
      <c r="L37" s="58"/>
      <c r="M37" s="58"/>
      <c r="N37" s="58"/>
      <c r="O37" s="58"/>
      <c r="P37" s="59"/>
      <c r="Q37" s="49"/>
      <c r="R37" s="49"/>
    </row>
    <row r="38" spans="1:18">
      <c r="A38" s="3"/>
      <c r="B38" s="3"/>
      <c r="C38" s="3"/>
      <c r="D38" s="3"/>
      <c r="E38" s="3"/>
      <c r="F38" s="3"/>
      <c r="G38" s="3"/>
      <c r="H38" s="3"/>
      <c r="I38" s="3"/>
      <c r="L38" s="60"/>
      <c r="M38" s="60"/>
      <c r="N38" s="60"/>
      <c r="O38" s="60"/>
      <c r="P38" s="60"/>
      <c r="Q38" s="49"/>
      <c r="R38" s="49"/>
    </row>
    <row r="39" spans="1:18">
      <c r="A39" s="3"/>
      <c r="B39" s="3"/>
      <c r="C39" s="3"/>
      <c r="D39" s="3"/>
      <c r="E39" s="3"/>
      <c r="F39" s="3"/>
      <c r="G39" s="3"/>
      <c r="H39" s="3"/>
      <c r="I39" s="3"/>
      <c r="L39" s="49"/>
      <c r="M39" s="49"/>
      <c r="N39" s="49"/>
      <c r="O39" s="49"/>
      <c r="P39" s="49"/>
      <c r="Q39" s="49"/>
      <c r="R39" s="49"/>
    </row>
    <row r="40" spans="1:18">
      <c r="A40" s="3"/>
      <c r="B40" s="3"/>
      <c r="C40" s="3"/>
      <c r="D40" s="3"/>
      <c r="E40" s="3"/>
      <c r="F40" s="3"/>
      <c r="G40" s="3"/>
      <c r="H40" s="3"/>
      <c r="I40" s="3"/>
      <c r="L40" s="49"/>
      <c r="M40" s="49"/>
      <c r="N40" s="49"/>
      <c r="O40" s="49"/>
      <c r="P40" s="49"/>
      <c r="Q40" s="49"/>
      <c r="R40" s="49"/>
    </row>
    <row r="41" spans="1:18">
      <c r="A41" s="3"/>
      <c r="B41" s="3"/>
      <c r="C41" s="3"/>
      <c r="D41" s="3"/>
      <c r="E41" s="3"/>
      <c r="F41" s="3"/>
      <c r="G41" s="3"/>
      <c r="H41" s="3"/>
      <c r="I41" s="3"/>
      <c r="L41" s="49"/>
      <c r="M41" s="49"/>
      <c r="N41" s="49"/>
      <c r="O41" s="49"/>
      <c r="P41" s="49"/>
      <c r="Q41" s="49"/>
      <c r="R41" s="49"/>
    </row>
    <row r="42" spans="1:18">
      <c r="A42" s="3"/>
      <c r="B42" s="3"/>
      <c r="C42" s="3"/>
      <c r="D42" s="3"/>
      <c r="E42" s="3"/>
      <c r="F42" s="3"/>
      <c r="G42" s="3"/>
      <c r="H42" s="3"/>
      <c r="I42" s="3"/>
      <c r="L42" s="49"/>
      <c r="M42" s="49"/>
      <c r="N42" s="49"/>
      <c r="O42" s="49"/>
      <c r="P42" s="49"/>
      <c r="Q42" s="49"/>
      <c r="R42" s="49"/>
    </row>
    <row r="43" spans="1:18">
      <c r="A43" s="3"/>
      <c r="B43" s="3"/>
      <c r="C43" s="3"/>
      <c r="D43" s="3"/>
      <c r="E43" s="3"/>
      <c r="F43" s="3"/>
      <c r="G43" s="3"/>
      <c r="H43" s="3"/>
      <c r="I43" s="3"/>
      <c r="L43" s="49"/>
      <c r="M43" s="49"/>
      <c r="N43" s="49"/>
      <c r="O43" s="49"/>
      <c r="P43" s="49"/>
      <c r="Q43" s="49"/>
      <c r="R43" s="49"/>
    </row>
    <row r="44" spans="1:18">
      <c r="A44" s="3"/>
      <c r="B44" s="3"/>
      <c r="C44" s="3"/>
      <c r="D44" s="3"/>
      <c r="E44" s="3"/>
      <c r="F44" s="3"/>
      <c r="G44" s="3"/>
      <c r="H44" s="3"/>
      <c r="I44" s="3"/>
      <c r="L44" s="49"/>
      <c r="M44" s="49"/>
      <c r="N44" s="49"/>
      <c r="O44" s="49"/>
      <c r="P44" s="49"/>
      <c r="Q44" s="49"/>
      <c r="R44" s="49"/>
    </row>
    <row r="45" spans="1:18">
      <c r="A45" s="3"/>
      <c r="B45" s="3"/>
      <c r="C45" s="3"/>
      <c r="D45" s="3"/>
      <c r="E45" s="3"/>
      <c r="F45" s="3"/>
      <c r="G45" s="3"/>
      <c r="H45" s="3"/>
      <c r="I45" s="3"/>
      <c r="L45" s="49"/>
      <c r="M45" s="49"/>
      <c r="N45" s="49"/>
      <c r="O45" s="49"/>
      <c r="P45" s="49"/>
      <c r="Q45" s="49"/>
      <c r="R45" s="49"/>
    </row>
    <row r="46" spans="1:18">
      <c r="A46" s="3"/>
      <c r="B46" s="3"/>
      <c r="C46" s="3"/>
      <c r="D46" s="3"/>
      <c r="E46" s="3"/>
      <c r="F46" s="3"/>
      <c r="G46" s="3"/>
      <c r="H46" s="3"/>
      <c r="I46" s="3"/>
      <c r="L46" s="49"/>
      <c r="M46" s="49"/>
      <c r="N46" s="49"/>
      <c r="O46" s="49"/>
      <c r="P46" s="49"/>
      <c r="Q46" s="49"/>
      <c r="R46" s="49"/>
    </row>
    <row r="47" spans="1:18">
      <c r="A47" s="3"/>
      <c r="B47" s="3"/>
      <c r="C47" s="3"/>
      <c r="D47" s="3"/>
      <c r="E47" s="3"/>
      <c r="F47" s="3"/>
      <c r="G47" s="3"/>
      <c r="H47" s="3"/>
      <c r="I47" s="3"/>
      <c r="L47" s="49"/>
      <c r="M47" s="49"/>
      <c r="N47" s="49"/>
      <c r="O47" s="49"/>
      <c r="P47" s="49"/>
      <c r="Q47" s="49"/>
      <c r="R47" s="49"/>
    </row>
    <row r="48" spans="1:18">
      <c r="L48" s="49"/>
      <c r="M48" s="49"/>
      <c r="N48" s="49"/>
      <c r="O48" s="49"/>
      <c r="P48" s="49"/>
      <c r="Q48" s="49"/>
      <c r="R48" s="49"/>
    </row>
  </sheetData>
  <mergeCells count="4">
    <mergeCell ref="L31:P31"/>
    <mergeCell ref="A1:J1"/>
    <mergeCell ref="A2:J2"/>
    <mergeCell ref="A4:A6"/>
  </mergeCells>
  <pageMargins left="0.7" right="0.7" top="0.17" bottom="0.17" header="0.3" footer="0.3"/>
  <pageSetup paperSize="9" scale="98" orientation="landscape" horizontalDpi="4294967295" verticalDpi="4294967295" r:id="rId1"/>
  <rowBreaks count="1" manualBreakCount="1">
    <brk id="27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7.2</vt:lpstr>
      <vt:lpstr>'7.2'!Print_Area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2017-06-08T07:47:08Z</cp:lastPrinted>
  <dcterms:created xsi:type="dcterms:W3CDTF">2014-03-05T03:36:41Z</dcterms:created>
  <dcterms:modified xsi:type="dcterms:W3CDTF">2017-06-08T07:47:13Z</dcterms:modified>
</cp:coreProperties>
</file>