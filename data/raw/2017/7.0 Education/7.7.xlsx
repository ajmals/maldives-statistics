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7" sheetId="9" r:id="rId1"/>
  </sheets>
  <externalReferences>
    <externalReference r:id="rId2"/>
  </externalReferences>
  <definedNames>
    <definedName name="_xlnm.Print_Area" localSheetId="0">'7.7'!$A$1:$O$48</definedName>
  </definedNames>
  <calcPr calcId="144525"/>
</workbook>
</file>

<file path=xl/calcChain.xml><?xml version="1.0" encoding="utf-8"?>
<calcChain xmlns="http://schemas.openxmlformats.org/spreadsheetml/2006/main">
  <c r="J22" i="9" l="1"/>
  <c r="N22" i="9" s="1"/>
  <c r="C22" i="9"/>
  <c r="J21" i="9"/>
  <c r="N21" i="9" s="1"/>
  <c r="C21" i="9"/>
  <c r="J20" i="9"/>
  <c r="N20" i="9" s="1"/>
  <c r="C20" i="9"/>
  <c r="J19" i="9"/>
  <c r="N19" i="9" s="1"/>
  <c r="C19" i="9"/>
  <c r="L18" i="9"/>
  <c r="K18" i="9"/>
  <c r="E18" i="9"/>
  <c r="D18" i="9"/>
  <c r="J17" i="9"/>
  <c r="N17" i="9" s="1"/>
  <c r="C17" i="9"/>
  <c r="J16" i="9"/>
  <c r="N16" i="9" s="1"/>
  <c r="C16" i="9"/>
  <c r="J15" i="9"/>
  <c r="N15" i="9" s="1"/>
  <c r="C15" i="9"/>
  <c r="J14" i="9"/>
  <c r="N14" i="9" s="1"/>
  <c r="C14" i="9"/>
  <c r="L13" i="9"/>
  <c r="K13" i="9"/>
  <c r="E13" i="9"/>
  <c r="D13" i="9"/>
  <c r="C13" i="9" s="1"/>
  <c r="L12" i="9"/>
  <c r="K12" i="9"/>
  <c r="E12" i="9"/>
  <c r="D12" i="9"/>
  <c r="C12" i="9" s="1"/>
  <c r="L11" i="9"/>
  <c r="K11" i="9"/>
  <c r="E11" i="9"/>
  <c r="D11" i="9"/>
  <c r="L10" i="9"/>
  <c r="K10" i="9"/>
  <c r="E10" i="9"/>
  <c r="D10" i="9"/>
  <c r="L9" i="9"/>
  <c r="K9" i="9"/>
  <c r="E9" i="9"/>
  <c r="E8" i="9" s="1"/>
  <c r="D9" i="9"/>
  <c r="J18" i="9" l="1"/>
  <c r="J12" i="9"/>
  <c r="C11" i="9"/>
  <c r="C9" i="9"/>
  <c r="C10" i="9"/>
  <c r="H19" i="9"/>
  <c r="H14" i="9"/>
  <c r="C18" i="9"/>
  <c r="D8" i="9"/>
  <c r="C8" i="9" s="1"/>
  <c r="K8" i="9"/>
  <c r="N18" i="9"/>
  <c r="J11" i="9"/>
  <c r="N11" i="9" s="1"/>
  <c r="J10" i="9"/>
  <c r="N10" i="9" s="1"/>
  <c r="N12" i="9"/>
  <c r="J9" i="9"/>
  <c r="N9" i="9" s="1"/>
  <c r="J13" i="9"/>
  <c r="N13" i="9" s="1"/>
  <c r="L8" i="9"/>
  <c r="G19" i="9" l="1"/>
  <c r="B9" i="9"/>
  <c r="H9" i="9" s="1"/>
  <c r="G14" i="9"/>
  <c r="J8" i="9"/>
  <c r="N8" i="9" s="1"/>
  <c r="G9" i="9" l="1"/>
  <c r="H17" i="9" l="1"/>
  <c r="B12" i="9"/>
  <c r="G17" i="9"/>
  <c r="H22" i="9"/>
  <c r="G22" i="9"/>
  <c r="H16" i="9"/>
  <c r="B11" i="9"/>
  <c r="G16" i="9"/>
  <c r="H15" i="9"/>
  <c r="G15" i="9"/>
  <c r="B13" i="9"/>
  <c r="B10" i="9"/>
  <c r="H21" i="9"/>
  <c r="G21" i="9"/>
  <c r="G20" i="9"/>
  <c r="B18" i="9"/>
  <c r="H20" i="9"/>
  <c r="G18" i="9" l="1"/>
  <c r="H18" i="9"/>
  <c r="B8" i="9"/>
  <c r="G13" i="9"/>
  <c r="H13" i="9"/>
  <c r="H12" i="9"/>
  <c r="G12" i="9"/>
  <c r="H10" i="9"/>
  <c r="G10" i="9"/>
  <c r="H11" i="9"/>
  <c r="G11" i="9"/>
  <c r="G8" i="9" l="1"/>
  <c r="H8" i="9"/>
</calcChain>
</file>

<file path=xl/sharedStrings.xml><?xml version="1.0" encoding="utf-8"?>
<sst xmlns="http://schemas.openxmlformats.org/spreadsheetml/2006/main" count="70" uniqueCount="48">
  <si>
    <t>Total</t>
  </si>
  <si>
    <t>wlcmuj</t>
  </si>
  <si>
    <t>Republic</t>
  </si>
  <si>
    <t>ejcaWriLum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</si>
  <si>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</si>
  <si>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</si>
  <si>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</si>
  <si>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</si>
  <si>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</si>
  <si>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</si>
  <si>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</si>
  <si>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cniawtcawscnia</t>
  </si>
  <si>
    <t>Pre - Primary</t>
  </si>
  <si>
    <t>Primary ( 1 - 7)</t>
  </si>
  <si>
    <t>Lower Secondary ( 8 - 10)</t>
  </si>
  <si>
    <t>Higher Secondary ( 11 - 12)</t>
  </si>
  <si>
    <t>clUkcsIrcp</t>
  </si>
  <si>
    <t xml:space="preserve">  cnidukWvwyik cnutwbcsin egcnusircawdum</t>
  </si>
  <si>
    <t>Teachers</t>
  </si>
  <si>
    <t>Student Teacher Ratio</t>
  </si>
  <si>
    <t>iawfivedcnIrcmwt</t>
  </si>
  <si>
    <t>Trained</t>
  </si>
  <si>
    <t xml:space="preserve">No. of teachers </t>
  </si>
  <si>
    <t>udwdwa egcnusircawdum EdWvwyik</t>
  </si>
  <si>
    <t>cnIsEdib</t>
  </si>
  <si>
    <t xml:space="preserve"> cnIrcmwt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</si>
  <si>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</si>
  <si>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</si>
  <si>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</si>
  <si>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</si>
  <si>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</si>
  <si>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</si>
  <si>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</si>
  <si>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t>Untrained</t>
  </si>
  <si>
    <t>Local</t>
  </si>
  <si>
    <t>Expatriate</t>
  </si>
  <si>
    <t>expatriate</t>
  </si>
  <si>
    <t xml:space="preserve">           (7 - 1 ) umIluAwt WSwf                      </t>
  </si>
  <si>
    <t xml:space="preserve">        (10 - 8 g) umIluAwt IvwnWX                  </t>
  </si>
  <si>
    <t xml:space="preserve">    (12 - 11 )  umIluAwt IvwnWXItwm                  </t>
  </si>
  <si>
    <t xml:space="preserve">     (12 - 11 )  umIluAwt IvwnWXItwm                  </t>
  </si>
  <si>
    <t xml:space="preserve">            3. Trained : Have MAB ( Maldives Accreditation Board ) accredited advanced certificate or higher teaching qualification.</t>
  </si>
  <si>
    <t>Note :  1. Teachers does not include supervisors, assistant headmasters, headmasters, assistant principals and principals who may teach in addition to their administrative duties.</t>
  </si>
  <si>
    <t xml:space="preserve">            2. Teacherswho teach different levels have been enumerated in the level the teacher takes most periods.</t>
  </si>
  <si>
    <r>
      <t>No. of students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</si>
  <si>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            4. </t>
    </r>
    <r>
      <rPr>
        <i/>
        <vertAlign val="superscript"/>
        <sz val="9"/>
        <rFont val="Calibri"/>
        <family val="2"/>
        <scheme val="minor"/>
      </rPr>
      <t>1_/:</t>
    </r>
    <r>
      <rPr>
        <i/>
        <sz val="9"/>
        <rFont val="Calibri"/>
        <family val="2"/>
        <scheme val="minor"/>
      </rPr>
      <t xml:space="preserve"> Total number of students in this table does not include children with special needs</t>
    </r>
  </si>
  <si>
    <t>2016 ,udwdwa egcnusircawdum EdWvwyik ,iaWncnidukWvwyik iawgukwtitcnwfikea egukwtuLotwa iaWaelWm :7.7 clwvWt</t>
  </si>
  <si>
    <t>Table 7.7 : STUDENTS AND TEACHERS SERVING AT DIFFERENT LEVELS IN MALE' AND ATOLLS,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</si>
</sst>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9"/>
      <name val="A_Randhoo"/>
    </font>
    <font>
      <b/>
      <sz val="9"/>
      <color theme="1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sz val="10"/>
      <name val="A_Utheem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A_Utheem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vertAlign val="superscript"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9" fontId="1" fillId="0" borderId="0" applyFont="0" applyFill="0" applyBorder="0" applyAlignment="0" applyProtection="0"/>
    <xf numFmtId="0" fontId="2" fillId="0" borderId="0"/>
    <xf numFmtId="166" fontId="2" fillId="0" borderId="0"/>
    <xf numFmtId="40" fontId="26" fillId="0" borderId="0" applyFont="0" applyFill="0" applyBorder="0" applyAlignment="0" applyProtection="0"/>
    <xf numFmtId="164" fontId="2" fillId="0" borderId="0"/>
    <xf numFmtId="0" fontId="28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2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2" fillId="0" borderId="0"/>
    <xf numFmtId="171" fontId="2" fillId="0" borderId="0"/>
    <xf numFmtId="0" fontId="26" fillId="0" borderId="0"/>
    <xf numFmtId="0" fontId="26" fillId="0" borderId="0"/>
    <xf numFmtId="171" fontId="2" fillId="0" borderId="0"/>
    <xf numFmtId="0" fontId="26" fillId="0" borderId="0"/>
    <xf numFmtId="0" fontId="26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6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86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17" fillId="2" borderId="0" xfId="0" applyNumberFormat="1" applyFont="1" applyFill="1" applyAlignment="1" applyProtection="1">
      <alignment horizontal="left" vertical="center"/>
    </xf>
    <xf numFmtId="165" fontId="0" fillId="2" borderId="0" xfId="0" applyNumberFormat="1" applyFill="1"/>
    <xf numFmtId="165" fontId="18" fillId="2" borderId="0" xfId="0" applyNumberFormat="1" applyFont="1" applyFill="1" applyBorder="1" applyAlignment="1">
      <alignment horizontal="right" vertical="center"/>
    </xf>
    <xf numFmtId="165" fontId="14" fillId="2" borderId="0" xfId="0" applyNumberFormat="1" applyFont="1" applyFill="1" applyAlignment="1">
      <alignment horizontal="left"/>
    </xf>
    <xf numFmtId="165" fontId="14" fillId="2" borderId="1" xfId="0" applyNumberFormat="1" applyFont="1" applyFill="1" applyBorder="1" applyAlignment="1">
      <alignment horizontal="left"/>
    </xf>
    <xf numFmtId="165" fontId="0" fillId="2" borderId="0" xfId="0" applyNumberFormat="1" applyFill="1" applyBorder="1"/>
    <xf numFmtId="165" fontId="16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/>
    </xf>
    <xf numFmtId="164" fontId="14" fillId="2" borderId="1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left" vertical="center"/>
    </xf>
    <xf numFmtId="165" fontId="7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165" fontId="16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right" vertical="center"/>
    </xf>
    <xf numFmtId="165" fontId="22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0" fontId="6" fillId="2" borderId="2" xfId="0" applyNumberFormat="1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 wrapText="1"/>
    </xf>
    <xf numFmtId="165" fontId="9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16" fillId="2" borderId="1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 applyAlignment="1">
      <alignment horizontal="right" vertical="center"/>
    </xf>
    <xf numFmtId="165" fontId="24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left" vertical="center" indent="12"/>
    </xf>
    <xf numFmtId="9" fontId="22" fillId="2" borderId="0" xfId="4" applyFont="1" applyFill="1" applyAlignment="1">
      <alignment horizontal="center" vertical="center"/>
    </xf>
    <xf numFmtId="165" fontId="20" fillId="2" borderId="0" xfId="0" applyNumberFormat="1" applyFont="1" applyFill="1" applyBorder="1" applyAlignment="1">
      <alignment horizontal="left" vertical="center"/>
    </xf>
    <xf numFmtId="165" fontId="20" fillId="2" borderId="0" xfId="0" applyNumberFormat="1" applyFont="1" applyFill="1" applyBorder="1" applyAlignment="1">
      <alignment horizontal="left"/>
    </xf>
    <xf numFmtId="164" fontId="8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/>
    </xf>
    <xf numFmtId="165" fontId="20" fillId="2" borderId="1" xfId="0" applyNumberFormat="1" applyFont="1" applyFill="1" applyBorder="1" applyAlignment="1">
      <alignment horizontal="left"/>
    </xf>
    <xf numFmtId="165" fontId="15" fillId="2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Alignment="1">
      <alignment horizontal="right" vertical="center"/>
    </xf>
    <xf numFmtId="165" fontId="17" fillId="2" borderId="0" xfId="0" applyNumberFormat="1" applyFont="1" applyFill="1" applyAlignment="1">
      <alignment horizontal="left" vertical="center"/>
    </xf>
    <xf numFmtId="3" fontId="19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Alignment="1">
      <alignment horizontal="center"/>
    </xf>
    <xf numFmtId="165" fontId="25" fillId="2" borderId="0" xfId="0" applyNumberFormat="1" applyFont="1" applyFill="1" applyAlignment="1">
      <alignment horizontal="right" vertical="center"/>
    </xf>
    <xf numFmtId="165" fontId="15" fillId="2" borderId="0" xfId="0" applyNumberFormat="1" applyFont="1" applyFill="1" applyAlignment="1">
      <alignment horizontal="left" vertical="center"/>
    </xf>
    <xf numFmtId="165" fontId="2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Border="1"/>
    <xf numFmtId="164" fontId="8" fillId="2" borderId="3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165" fontId="5" fillId="2" borderId="0" xfId="0" applyNumberFormat="1" applyFont="1" applyFill="1" applyBorder="1" applyAlignment="1">
      <alignment horizontal="center" vertical="center"/>
    </xf>
    <xf numFmtId="165" fontId="13" fillId="2" borderId="0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23" fillId="2" borderId="0" xfId="1" applyNumberFormat="1" applyFont="1" applyFill="1" applyAlignment="1">
      <alignment horizontal="right" vertical="center"/>
    </xf>
    <xf numFmtId="166" fontId="4" fillId="2" borderId="0" xfId="1" applyNumberFormat="1" applyFont="1" applyFill="1" applyAlignment="1">
      <alignment horizontal="right" vertical="center"/>
    </xf>
    <xf numFmtId="166" fontId="21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6" fontId="21" fillId="2" borderId="0" xfId="1" applyNumberFormat="1" applyFont="1" applyFill="1" applyBorder="1"/>
    <xf numFmtId="166" fontId="8" fillId="2" borderId="0" xfId="1" applyNumberFormat="1" applyFont="1" applyFill="1" applyBorder="1" applyAlignment="1">
      <alignment horizontal="right"/>
    </xf>
    <xf numFmtId="166" fontId="8" fillId="2" borderId="0" xfId="1" applyNumberFormat="1" applyFont="1" applyFill="1" applyBorder="1"/>
    <xf numFmtId="166" fontId="21" fillId="2" borderId="1" xfId="1" applyNumberFormat="1" applyFont="1" applyFill="1" applyBorder="1" applyAlignment="1">
      <alignment horizontal="right" vertical="center"/>
    </xf>
    <xf numFmtId="166" fontId="21" fillId="2" borderId="1" xfId="1" applyNumberFormat="1" applyFont="1" applyFill="1" applyBorder="1"/>
    <xf numFmtId="166" fontId="8" fillId="2" borderId="1" xfId="1" applyNumberFormat="1" applyFont="1" applyFill="1" applyBorder="1"/>
    <xf numFmtId="165" fontId="3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left"/>
    </xf>
    <xf numFmtId="165" fontId="11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</cellXfs>
  <cellStyles count="163">
    <cellStyle name="1" xfId="140"/>
    <cellStyle name="Comma" xfId="1" builtinId="3"/>
    <cellStyle name="Comma 2" xfId="7"/>
    <cellStyle name="Comma 3" xfId="10"/>
    <cellStyle name="Comma 3 2" xfId="158"/>
    <cellStyle name="Normal" xfId="0" builtinId="0"/>
    <cellStyle name="Normal - Style1" xfId="145"/>
    <cellStyle name="Normal 10" xfId="20"/>
    <cellStyle name="Normal 10 2" xfId="34"/>
    <cellStyle name="Normal 105 2" xfId="126"/>
    <cellStyle name="Normal 11" xfId="21"/>
    <cellStyle name="Normal 11 2" xfId="35"/>
    <cellStyle name="Normal 12" xfId="22"/>
    <cellStyle name="Normal 12 2" xfId="36"/>
    <cellStyle name="Normal 13" xfId="24"/>
    <cellStyle name="Normal 13 2" xfId="37"/>
    <cellStyle name="Normal 14" xfId="25"/>
    <cellStyle name="Normal 14 2" xfId="38"/>
    <cellStyle name="Normal 15" xfId="26"/>
    <cellStyle name="Normal 15 2" xfId="39"/>
    <cellStyle name="Normal 16" xfId="27"/>
    <cellStyle name="Normal 16 2" xfId="40"/>
    <cellStyle name="Normal 17" xfId="28"/>
    <cellStyle name="Normal 17 2" xfId="41"/>
    <cellStyle name="Normal 18" xfId="29"/>
    <cellStyle name="Normal 18 2" xfId="42"/>
    <cellStyle name="Normal 19" xfId="30"/>
    <cellStyle name="Normal 19 2" xfId="43"/>
    <cellStyle name="Normal 2" xfId="1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12"/>
    <cellStyle name="Normal 2 2 10" xfId="54"/>
    <cellStyle name="Normal 2 2 11" xfId="55"/>
    <cellStyle name="Normal 2 2 12" xfId="56"/>
    <cellStyle name="Normal 2 2 13" xfId="57"/>
    <cellStyle name="Normal 2 2 14" xfId="58"/>
    <cellStyle name="Normal 2 2 15" xfId="59"/>
    <cellStyle name="Normal 2 2 16" xfId="60"/>
    <cellStyle name="Normal 2 2 17" xfId="61"/>
    <cellStyle name="Normal 2 2 18" xfId="62"/>
    <cellStyle name="Normal 2 2 19" xfId="63"/>
    <cellStyle name="Normal 2 2 2" xfId="5"/>
    <cellStyle name="Normal 2 2 20" xfId="64"/>
    <cellStyle name="Normal 2 2 21" xfId="65"/>
    <cellStyle name="Normal 2 2 22" xfId="66"/>
    <cellStyle name="Normal 2 2 23" xfId="67"/>
    <cellStyle name="Normal 2 2 24" xfId="68"/>
    <cellStyle name="Normal 2 2 24 2" xfId="69"/>
    <cellStyle name="Normal 2 2 24 2 2" xfId="70"/>
    <cellStyle name="Normal 2 2 25" xfId="71"/>
    <cellStyle name="Normal 2 2 25 2" xfId="72"/>
    <cellStyle name="Normal 2 2 26" xfId="146"/>
    <cellStyle name="Normal 2 2 3" xfId="73"/>
    <cellStyle name="Normal 2 2 4" xfId="74"/>
    <cellStyle name="Normal 2 2 5" xfId="75"/>
    <cellStyle name="Normal 2 2 5 2" xfId="76"/>
    <cellStyle name="Normal 2 2 5 2 2" xfId="77"/>
    <cellStyle name="Normal 2 2 5 2 2 2" xfId="78"/>
    <cellStyle name="Normal 2 2 5 3" xfId="79"/>
    <cellStyle name="Normal 2 2 5 4" xfId="80"/>
    <cellStyle name="Normal 2 2 6" xfId="81"/>
    <cellStyle name="Normal 2 2 7" xfId="82"/>
    <cellStyle name="Normal 2 2 8" xfId="83"/>
    <cellStyle name="Normal 2 2 9" xfId="84"/>
    <cellStyle name="Normal 2 20" xfId="85"/>
    <cellStyle name="Normal 2 21" xfId="86"/>
    <cellStyle name="Normal 2 22" xfId="87"/>
    <cellStyle name="Normal 2 23" xfId="88"/>
    <cellStyle name="Normal 2 24" xfId="89"/>
    <cellStyle name="Normal 2 24 2" xfId="90"/>
    <cellStyle name="Normal 2 24 2 2" xfId="91"/>
    <cellStyle name="Normal 2 25" xfId="92"/>
    <cellStyle name="Normal 2 25 2" xfId="93"/>
    <cellStyle name="Normal 2 26" xfId="144"/>
    <cellStyle name="Normal 2 3" xfId="14"/>
    <cellStyle name="Normal 2 3 2" xfId="94"/>
    <cellStyle name="Normal 2 3 2 2" xfId="95"/>
    <cellStyle name="Normal 2 3 2 2 2" xfId="96"/>
    <cellStyle name="Normal 2 3 3" xfId="97"/>
    <cellStyle name="Normal 2 3 4" xfId="98"/>
    <cellStyle name="Normal 2 3 5" xfId="147"/>
    <cellStyle name="Normal 2 4" xfId="99"/>
    <cellStyle name="Normal 2 4 2" xfId="148"/>
    <cellStyle name="Normal 2 5" xfId="100"/>
    <cellStyle name="Normal 2 5 2" xfId="159"/>
    <cellStyle name="Normal 2 6" xfId="101"/>
    <cellStyle name="Normal 2 7" xfId="102"/>
    <cellStyle name="Normal 2 8" xfId="103"/>
    <cellStyle name="Normal 2 9" xfId="104"/>
    <cellStyle name="Normal 20" xfId="31"/>
    <cellStyle name="Normal 20 2" xfId="105"/>
    <cellStyle name="Normal 21" xfId="32"/>
    <cellStyle name="Normal 21 2" xfId="106"/>
    <cellStyle name="Normal 22" xfId="33"/>
    <cellStyle name="Normal 22 2" xfId="107"/>
    <cellStyle name="Normal 23" xfId="108"/>
    <cellStyle name="Normal 23 2" xfId="109"/>
    <cellStyle name="Normal 24" xfId="133"/>
    <cellStyle name="Normal 25" xfId="15"/>
    <cellStyle name="Normal 25 2" xfId="127"/>
    <cellStyle name="Normal 26" xfId="120"/>
    <cellStyle name="Normal 26 2" xfId="137"/>
    <cellStyle name="Normal 27" xfId="118"/>
    <cellStyle name="Normal 27 2" xfId="136"/>
    <cellStyle name="Normal 28" xfId="121"/>
    <cellStyle name="Normal 28 2" xfId="130"/>
    <cellStyle name="Normal 29" xfId="128"/>
    <cellStyle name="Normal 3" xfId="9"/>
    <cellStyle name="Normal 3 11" xfId="124"/>
    <cellStyle name="Normal 3 12" xfId="122"/>
    <cellStyle name="Normal 3 13" xfId="123"/>
    <cellStyle name="Normal 3 14" xfId="125"/>
    <cellStyle name="Normal 3 2" xfId="110"/>
    <cellStyle name="Normal 3 2 2" xfId="150"/>
    <cellStyle name="Normal 3 3" xfId="111"/>
    <cellStyle name="Normal 3 3 2" xfId="151"/>
    <cellStyle name="Normal 3 4" xfId="149"/>
    <cellStyle name="Normal 30" xfId="135"/>
    <cellStyle name="Normal 31" xfId="132"/>
    <cellStyle name="Normal 32" xfId="129"/>
    <cellStyle name="Normal 33" xfId="139"/>
    <cellStyle name="Normal 34" xfId="131"/>
    <cellStyle name="Normal 35" xfId="138"/>
    <cellStyle name="Normal 4" xfId="16"/>
    <cellStyle name="Normal 4 2" xfId="112"/>
    <cellStyle name="Normal 4 3" xfId="119"/>
    <cellStyle name="Normal 4 3 2" xfId="152"/>
    <cellStyle name="Normal 5" xfId="23"/>
    <cellStyle name="Normal 5 2" xfId="113"/>
    <cellStyle name="Normal 5 3" xfId="153"/>
    <cellStyle name="Normal 6" xfId="3"/>
    <cellStyle name="Normal 6 2" xfId="134"/>
    <cellStyle name="Normal 6 2 2" xfId="154"/>
    <cellStyle name="Normal 6 3" xfId="117"/>
    <cellStyle name="Normal 6 3 2" xfId="160"/>
    <cellStyle name="Normal 6 4" xfId="142"/>
    <cellStyle name="Normal 7" xfId="2"/>
    <cellStyle name="Normal 7 2" xfId="114"/>
    <cellStyle name="Normal 7 2 2" xfId="155"/>
    <cellStyle name="Normal 7 3" xfId="17"/>
    <cellStyle name="Normal 7 3 2" xfId="161"/>
    <cellStyle name="Normal 7 4" xfId="141"/>
    <cellStyle name="Normal 8" xfId="6"/>
    <cellStyle name="Normal 8 2" xfId="8"/>
    <cellStyle name="Normal 8 2 2" xfId="115"/>
    <cellStyle name="Normal 8 2 3" xfId="156"/>
    <cellStyle name="Normal 8 3" xfId="18"/>
    <cellStyle name="Normal 8 3 2" xfId="162"/>
    <cellStyle name="Normal 8 4" xfId="143"/>
    <cellStyle name="Normal 9" xfId="19"/>
    <cellStyle name="Normal 9 2" xfId="116"/>
    <cellStyle name="Normal 9 3" xfId="157"/>
    <cellStyle name="Percent" xfId="4" builtinId="5"/>
    <cellStyle name="Percent 2" xfId="11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7785280092613E-2"/>
          <c:y val="0.16464355278535256"/>
          <c:w val="0.87504954621018494"/>
          <c:h val="0.72987492643950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'7.7'!$K$7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'7.7'!$K$9:$K$12</c:f>
              <c:numCache>
                <c:formatCode>_(* #,##0_);_(* \(#,##0\);_(* "-"??_);_(@_)</c:formatCode>
                <c:ptCount val="4"/>
                <c:pt idx="0">
                  <c:v>1345</c:v>
                </c:pt>
                <c:pt idx="1">
                  <c:v>3671</c:v>
                </c:pt>
                <c:pt idx="2">
                  <c:v>1407</c:v>
                </c:pt>
                <c:pt idx="3">
                  <c:v>310</c:v>
                </c:pt>
              </c:numCache>
            </c:numRef>
          </c:val>
        </c:ser>
        <c:ser>
          <c:idx val="1"/>
          <c:order val="1"/>
          <c:tx>
            <c:strRef>
              <c:f>'7.7'!$L$7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'7.7'!$L$9:$L$12</c:f>
              <c:numCache>
                <c:formatCode>_(* #,##0_);_(* \(#,##0\);_(* "-"??_);_(@_)</c:formatCode>
                <c:ptCount val="4"/>
                <c:pt idx="0">
                  <c:v>50</c:v>
                </c:pt>
                <c:pt idx="1">
                  <c:v>581</c:v>
                </c:pt>
                <c:pt idx="2">
                  <c:v>1322</c:v>
                </c:pt>
                <c:pt idx="3">
                  <c:v>271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412032"/>
        <c:axId val="204413568"/>
      </c:barChart>
      <c:catAx>
        <c:axId val="20441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204413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4135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044120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519746557982964"/>
          <c:y val="0.26385929431657124"/>
          <c:w val="0.19165095044206085"/>
          <c:h val="5.964608077978266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01" r="0.750000000000010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346478967445E-2"/>
          <c:y val="0.19470193081803464"/>
          <c:w val="0.89246215172198518"/>
          <c:h val="0.69949896430898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'7.7'!$D$7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'7.7'!$D$9:$D$12</c:f>
              <c:numCache>
                <c:formatCode>#,##0;[Red]#,##0</c:formatCode>
                <c:ptCount val="4"/>
                <c:pt idx="0">
                  <c:v>1204</c:v>
                </c:pt>
                <c:pt idx="1">
                  <c:v>3645</c:v>
                </c:pt>
                <c:pt idx="2">
                  <c:v>2585</c:v>
                </c:pt>
                <c:pt idx="3">
                  <c:v>555</c:v>
                </c:pt>
              </c:numCache>
            </c:numRef>
          </c:val>
        </c:ser>
        <c:ser>
          <c:idx val="1"/>
          <c:order val="1"/>
          <c:tx>
            <c:strRef>
              <c:f>'7.7'!$E$7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rgbClr val="FABF8E"/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'7.7'!$E$9:$E$12</c:f>
              <c:numCache>
                <c:formatCode>#,##0;[Red]#,##0</c:formatCode>
                <c:ptCount val="4"/>
                <c:pt idx="0">
                  <c:v>191</c:v>
                </c:pt>
                <c:pt idx="1">
                  <c:v>607</c:v>
                </c:pt>
                <c:pt idx="2">
                  <c:v>144</c:v>
                </c:pt>
                <c:pt idx="3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77120"/>
        <c:axId val="205332864"/>
      </c:barChart>
      <c:catAx>
        <c:axId val="2050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2053328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3328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205077120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175649594064671"/>
          <c:y val="0.3264968969174018"/>
          <c:w val="0.24790186621553451"/>
          <c:h val="6.827214016096855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88" r="0.750000000000009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211903</xdr:colOff>
      <xdr:row>29</xdr:row>
      <xdr:rowOff>115803</xdr:rowOff>
    </xdr:from>
    <xdr:to>
      <xdr:col>6</xdr:col>
      <xdr:colOff>695325</xdr:colOff>
      <xdr:row>47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771862</xdr:colOff>
      <xdr:row>29</xdr:row>
      <xdr:rowOff>110239</xdr:rowOff>
    </xdr:from>
    <xdr:to>
      <xdr:col>14</xdr:col>
      <xdr:colOff>1754894</xdr:colOff>
      <xdr:row>47</xdr:row>
      <xdr:rowOff>90157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657225</xdr:colOff>
      <xdr:row>31</xdr:row>
      <xdr:rowOff>114300</xdr:rowOff>
    </xdr:from>
    <xdr:to>
      <xdr:col>14</xdr:col>
      <xdr:colOff>1304925</xdr:colOff>
      <xdr:row>31</xdr:row>
      <xdr:rowOff>114300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6753225" y="6086475"/>
          <a:ext cx="46291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1114425</xdr:colOff>
      <xdr:row>31</xdr:row>
      <xdr:rowOff>133350</xdr:rowOff>
    </xdr:from>
    <xdr:to>
      <xdr:col>6</xdr:col>
      <xdr:colOff>428625</xdr:colOff>
      <xdr:row>31</xdr:row>
      <xdr:rowOff>133350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114425" y="6105525"/>
          <a:ext cx="46291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0.00978</cdr:x>
      <cdr:y>0.07194</cdr:y>
    </cdr:from>
    <cdr:to>
      <cdr:x>0.12855</cdr:x>
      <cdr:y>0.14185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6682" y="216978"/>
          <a:ext cx="688630" cy="210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0.15984</cdr:x>
      <cdr:y>0.36946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2571" y="979572"/>
          <a:ext cx="3905250" cy="161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0.15479</cdr:x>
      <cdr:y>0.0464</cdr:y>
    </cdr:from>
    <cdr:to>
      <cdr:x>0.95807</cdr:x>
      <cdr:y>0.12844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97537" y="141372"/>
          <a:ext cx="4657709" cy="24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Number of Local and Expatriate Teachers,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0.00262</cdr:x>
      <cdr:y>0.12642</cdr:y>
    </cdr:from>
    <cdr:to>
      <cdr:x>0.10703</cdr:x>
      <cdr:y>0.17346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044" y="380157"/>
          <a:ext cx="599405" cy="14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700"/>
            <a:t>In numbers</a:t>
          </a:r>
        </a:p>
      </cdr:txBody>
    </cdr:sp>
  </cdr:relSizeAnchor>
  <cdr:relSizeAnchor xmlns:cdr="http://schemas.openxmlformats.org/drawingml/2006/chartDrawing">
    <cdr:from>
      <cdr:x>0.11344</cdr:x>
      <cdr:y>0.03861</cdr:y>
    </cdr:from>
    <cdr:to>
      <cdr:x>0.92758</cdr:x>
      <cdr:y>0.10348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51255" y="116097"/>
          <a:ext cx="4673825" cy="195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7.7: Number of Trained and Untrained Teachers, 2016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6"/>
  <sheetViews>
    <sheetView tabSelected="1" zoomScaleNormal="100" zoomScaleSheetLayoutView="89" workbookViewId="0">
      <selection activeCell="Q16" sqref="Q16"/>
    </sheetView>
  </sheetViews>
  <sheetFormatPr defaultColWidth="9.140625" defaultRowHeight="12.75" x14ac:dyDescent="0.25"/>
  <cols>
    <col min="1" max="1" width="22.28515625" style="15" customWidth="1"/>
    <col min="2" max="2" width="17.140625" style="14" customWidth="1"/>
    <col min="3" max="3" width="11.5703125" style="14" customWidth="1"/>
    <col min="4" max="5" width="13.28515625" style="14" customWidth="1"/>
    <col min="6" max="6" width="2.140625" style="14" customWidth="1"/>
    <col min="7" max="7" width="11.7109375" style="14" customWidth="1"/>
    <col min="8" max="8" width="17.5703125" style="14" customWidth="1"/>
    <col min="9" max="9" width="1.7109375" style="14" customWidth="1"/>
    <col min="10" max="10" width="8.42578125" style="14" customWidth="1"/>
    <col min="11" max="11" width="9.42578125" style="14" customWidth="1"/>
    <col min="12" max="12" width="11" style="14" bestFit="1" customWidth="1"/>
    <col min="13" max="13" width="2" style="14" customWidth="1"/>
    <col min="14" max="14" width="9.5703125" style="14" customWidth="1"/>
    <col min="15" max="15" width="23.28515625" style="14" customWidth="1"/>
    <col min="16" max="16" width="11.140625" style="14" bestFit="1" customWidth="1"/>
    <col min="17" max="21" width="9.85546875" style="14" customWidth="1"/>
    <col min="22" max="23" width="11.140625" style="14" customWidth="1"/>
    <col min="24" max="16384" width="9.140625" style="14"/>
  </cols>
  <sheetData>
    <row r="1" spans="1:23" ht="19.5" x14ac:dyDescent="0.25">
      <c r="A1" s="80" t="s">
        <v>46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63"/>
      <c r="Q1" s="63"/>
      <c r="R1" s="63"/>
      <c r="S1" s="63"/>
      <c r="T1" s="63"/>
      <c r="U1" s="63"/>
      <c r="V1" s="63"/>
      <c r="W1" s="63"/>
    </row>
    <row r="2" spans="1:23" ht="15" x14ac:dyDescent="0.25">
      <c r="A2" s="83" t="s">
        <v>47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</row>
    <row r="3" spans="1:23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23" ht="15.75" x14ac:dyDescent="0.25">
      <c r="C4" s="69" t="s">
        <v>22</v>
      </c>
      <c r="D4" s="84" t="s">
        <v>23</v>
      </c>
      <c r="E4" s="84"/>
      <c r="F4" s="16"/>
      <c r="G4" s="81" t="s">
        <v>17</v>
      </c>
      <c r="H4" s="81"/>
      <c r="I4" s="16"/>
      <c r="K4" s="16"/>
      <c r="L4" s="17"/>
      <c r="M4" s="17"/>
      <c r="N4" s="18" t="s">
        <v>24</v>
      </c>
      <c r="O4" s="6"/>
      <c r="P4" s="19"/>
      <c r="Q4" s="19"/>
      <c r="R4" s="19"/>
      <c r="S4" s="19"/>
      <c r="T4" s="19"/>
      <c r="U4" s="19"/>
      <c r="V4" s="19"/>
      <c r="W4" s="19"/>
    </row>
    <row r="5" spans="1:23" ht="15.75" x14ac:dyDescent="0.25">
      <c r="C5" s="20"/>
      <c r="D5" s="21" t="s">
        <v>25</v>
      </c>
      <c r="E5" s="21" t="s">
        <v>25</v>
      </c>
      <c r="F5" s="16"/>
      <c r="G5" s="85" t="s">
        <v>19</v>
      </c>
      <c r="H5" s="85"/>
      <c r="I5" s="67"/>
      <c r="J5" s="22" t="s">
        <v>18</v>
      </c>
      <c r="K5" s="23"/>
      <c r="L5" s="17" t="s">
        <v>26</v>
      </c>
      <c r="M5" s="24"/>
      <c r="N5" s="25" t="s">
        <v>11</v>
      </c>
      <c r="O5" s="10"/>
      <c r="P5" s="19"/>
      <c r="Q5" s="19"/>
      <c r="R5" s="19"/>
      <c r="S5" s="19"/>
      <c r="T5" s="19"/>
      <c r="U5" s="19"/>
      <c r="V5" s="19"/>
      <c r="W5" s="19"/>
    </row>
    <row r="6" spans="1:23" ht="15.75" x14ac:dyDescent="0.25">
      <c r="A6" s="68" t="s">
        <v>10</v>
      </c>
      <c r="B6" s="18" t="s">
        <v>27</v>
      </c>
      <c r="C6" s="18" t="s">
        <v>1</v>
      </c>
      <c r="D6" s="18" t="s">
        <v>28</v>
      </c>
      <c r="E6" s="18" t="s">
        <v>29</v>
      </c>
      <c r="F6" s="26"/>
      <c r="G6" s="27" t="s">
        <v>1</v>
      </c>
      <c r="H6" s="18" t="s">
        <v>20</v>
      </c>
      <c r="I6" s="16"/>
      <c r="J6" s="27" t="s">
        <v>1</v>
      </c>
      <c r="K6" s="28" t="s">
        <v>30</v>
      </c>
      <c r="L6" s="21" t="s">
        <v>24</v>
      </c>
      <c r="M6" s="1"/>
      <c r="N6" s="29" t="s">
        <v>31</v>
      </c>
      <c r="O6" s="18" t="s">
        <v>32</v>
      </c>
      <c r="P6" s="19"/>
      <c r="Q6" s="19"/>
      <c r="R6" s="19"/>
      <c r="S6" s="19"/>
      <c r="T6" s="19"/>
      <c r="U6" s="19"/>
      <c r="V6" s="19"/>
      <c r="W6" s="19"/>
    </row>
    <row r="7" spans="1:23" ht="15" x14ac:dyDescent="0.25">
      <c r="A7" s="30"/>
      <c r="B7" s="31" t="s">
        <v>44</v>
      </c>
      <c r="C7" s="31" t="s">
        <v>0</v>
      </c>
      <c r="D7" s="31" t="s">
        <v>21</v>
      </c>
      <c r="E7" s="31" t="s">
        <v>33</v>
      </c>
      <c r="F7" s="69"/>
      <c r="G7" s="2" t="s">
        <v>0</v>
      </c>
      <c r="H7" s="2" t="s">
        <v>21</v>
      </c>
      <c r="I7" s="2"/>
      <c r="J7" s="3" t="s">
        <v>0</v>
      </c>
      <c r="K7" s="31" t="s">
        <v>34</v>
      </c>
      <c r="L7" s="31" t="s">
        <v>35</v>
      </c>
      <c r="M7" s="31"/>
      <c r="N7" s="31" t="s">
        <v>36</v>
      </c>
      <c r="O7" s="32"/>
      <c r="P7" s="19"/>
      <c r="Q7" s="19"/>
      <c r="R7" s="19"/>
      <c r="S7" s="19"/>
      <c r="T7" s="19"/>
      <c r="U7" s="19"/>
      <c r="V7" s="19"/>
      <c r="W7" s="19"/>
    </row>
    <row r="8" spans="1:23" s="40" customFormat="1" ht="15" x14ac:dyDescent="0.25">
      <c r="A8" s="33" t="s">
        <v>2</v>
      </c>
      <c r="B8" s="34">
        <f>SUM(B13+B18)</f>
        <v>87420</v>
      </c>
      <c r="C8" s="35">
        <f>SUM(D8+E8)</f>
        <v>8957</v>
      </c>
      <c r="D8" s="34">
        <f>SUM(D9:D12)</f>
        <v>7989</v>
      </c>
      <c r="E8" s="34">
        <f>SUM(E9:E12)</f>
        <v>968</v>
      </c>
      <c r="F8" s="36"/>
      <c r="G8" s="34">
        <f>B8/C8</f>
        <v>9.759964273752372</v>
      </c>
      <c r="H8" s="34">
        <f t="shared" ref="H8:H22" si="0">B8/D8</f>
        <v>10.942546000751033</v>
      </c>
      <c r="I8" s="34"/>
      <c r="J8" s="70">
        <f>SUM(K8:L8)</f>
        <v>8957</v>
      </c>
      <c r="K8" s="71">
        <f>SUM(K9:K12)</f>
        <v>6733</v>
      </c>
      <c r="L8" s="71">
        <f>SUM(L9:L12)</f>
        <v>2224</v>
      </c>
      <c r="M8" s="37"/>
      <c r="N8" s="34">
        <f>L8/J8*100</f>
        <v>24.829742101149936</v>
      </c>
      <c r="O8" s="38" t="s">
        <v>3</v>
      </c>
      <c r="P8" s="39"/>
      <c r="Q8" s="39"/>
      <c r="R8" s="39"/>
      <c r="S8" s="39"/>
      <c r="T8" s="39"/>
      <c r="U8" s="39"/>
      <c r="V8" s="39"/>
      <c r="W8" s="39"/>
    </row>
    <row r="9" spans="1:23" ht="15" x14ac:dyDescent="0.25">
      <c r="A9" s="41" t="s">
        <v>12</v>
      </c>
      <c r="B9" s="42">
        <f>B14+B19</f>
        <v>22263</v>
      </c>
      <c r="C9" s="43">
        <f>SUM(D9+E9)</f>
        <v>1395</v>
      </c>
      <c r="D9" s="42">
        <f t="shared" ref="D9:E9" si="1">SUM(D14+D19)</f>
        <v>1204</v>
      </c>
      <c r="E9" s="42">
        <f t="shared" si="1"/>
        <v>191</v>
      </c>
      <c r="F9" s="42"/>
      <c r="G9" s="42">
        <f>B9/C9</f>
        <v>15.959139784946236</v>
      </c>
      <c r="H9" s="42">
        <f t="shared" si="0"/>
        <v>18.490863787375414</v>
      </c>
      <c r="I9" s="42"/>
      <c r="J9" s="72">
        <f t="shared" ref="J9:J22" si="2">SUM(K9:L9)</f>
        <v>1395</v>
      </c>
      <c r="K9" s="73">
        <f t="shared" ref="K9:L9" si="3">SUM(K14+K19)</f>
        <v>1345</v>
      </c>
      <c r="L9" s="73">
        <f t="shared" si="3"/>
        <v>50</v>
      </c>
      <c r="M9" s="44"/>
      <c r="N9" s="42">
        <f t="shared" ref="N9:N22" si="4">L9/J9*100</f>
        <v>3.5842293906810032</v>
      </c>
      <c r="O9" s="45" t="s">
        <v>16</v>
      </c>
      <c r="P9" s="46"/>
      <c r="Q9" s="46"/>
      <c r="R9" s="46"/>
      <c r="S9" s="46"/>
      <c r="T9" s="46"/>
      <c r="U9" s="46"/>
      <c r="V9" s="46"/>
      <c r="W9" s="46"/>
    </row>
    <row r="10" spans="1:23" ht="15" x14ac:dyDescent="0.2">
      <c r="A10" s="7" t="s">
        <v>13</v>
      </c>
      <c r="B10" s="42">
        <f t="shared" ref="B10:B12" si="5">B15+B20</f>
        <v>43781</v>
      </c>
      <c r="C10" s="43">
        <f>SUM(D10+E10)</f>
        <v>4252</v>
      </c>
      <c r="D10" s="42">
        <f t="shared" ref="D10:E10" si="6">SUM(D15+D20)</f>
        <v>3645</v>
      </c>
      <c r="E10" s="42">
        <f t="shared" si="6"/>
        <v>607</v>
      </c>
      <c r="F10" s="42"/>
      <c r="G10" s="42">
        <f>B10/C10</f>
        <v>10.29656632173095</v>
      </c>
      <c r="H10" s="42">
        <f t="shared" si="0"/>
        <v>12.01124828532236</v>
      </c>
      <c r="I10" s="42"/>
      <c r="J10" s="72">
        <f t="shared" si="2"/>
        <v>4252</v>
      </c>
      <c r="K10" s="73">
        <f t="shared" ref="K10:L10" si="7">SUM(K15+K20)</f>
        <v>3671</v>
      </c>
      <c r="L10" s="73">
        <f t="shared" si="7"/>
        <v>581</v>
      </c>
      <c r="M10" s="44"/>
      <c r="N10" s="42">
        <f t="shared" si="4"/>
        <v>13.664158043273753</v>
      </c>
      <c r="O10" s="47" t="s">
        <v>37</v>
      </c>
      <c r="P10" s="46"/>
      <c r="Q10" s="46"/>
      <c r="R10" s="46"/>
      <c r="S10" s="46"/>
      <c r="T10" s="46"/>
      <c r="U10" s="46"/>
      <c r="V10" s="46"/>
      <c r="W10" s="46"/>
    </row>
    <row r="11" spans="1:23" ht="15" x14ac:dyDescent="0.2">
      <c r="A11" s="7" t="s">
        <v>14</v>
      </c>
      <c r="B11" s="42">
        <f t="shared" si="5"/>
        <v>17256</v>
      </c>
      <c r="C11" s="43">
        <f t="shared" ref="C11:C12" si="8">SUM(D11+E11)</f>
        <v>2729</v>
      </c>
      <c r="D11" s="42">
        <f t="shared" ref="D11:E11" si="9">SUM(D16+D21)</f>
        <v>2585</v>
      </c>
      <c r="E11" s="42">
        <f t="shared" si="9"/>
        <v>144</v>
      </c>
      <c r="F11" s="42"/>
      <c r="G11" s="42">
        <f>B11/C11</f>
        <v>6.3231953096372298</v>
      </c>
      <c r="H11" s="42">
        <f t="shared" si="0"/>
        <v>6.6754352030947777</v>
      </c>
      <c r="I11" s="42"/>
      <c r="J11" s="72">
        <f t="shared" si="2"/>
        <v>2729</v>
      </c>
      <c r="K11" s="73">
        <f t="shared" ref="K11:L11" si="10">SUM(K16+K21)</f>
        <v>1407</v>
      </c>
      <c r="L11" s="73">
        <f t="shared" si="10"/>
        <v>1322</v>
      </c>
      <c r="M11" s="44"/>
      <c r="N11" s="42">
        <f t="shared" si="4"/>
        <v>48.442652986441921</v>
      </c>
      <c r="O11" s="47" t="s">
        <v>38</v>
      </c>
      <c r="P11" s="46"/>
      <c r="Q11" s="46"/>
      <c r="R11" s="46"/>
      <c r="S11" s="46"/>
      <c r="T11" s="46"/>
      <c r="U11" s="46"/>
      <c r="V11" s="46"/>
      <c r="W11" s="46"/>
    </row>
    <row r="12" spans="1:23" ht="15" x14ac:dyDescent="0.2">
      <c r="A12" s="7" t="s">
        <v>15</v>
      </c>
      <c r="B12" s="42">
        <f t="shared" si="5"/>
        <v>4120</v>
      </c>
      <c r="C12" s="43">
        <f t="shared" si="8"/>
        <v>581</v>
      </c>
      <c r="D12" s="42">
        <f t="shared" ref="D12:E12" si="11">SUM(D17+D22)</f>
        <v>555</v>
      </c>
      <c r="E12" s="42">
        <f t="shared" si="11"/>
        <v>26</v>
      </c>
      <c r="F12" s="42"/>
      <c r="G12" s="42">
        <f t="shared" ref="G12:G22" si="12">B12/C12</f>
        <v>7.0912220309810667</v>
      </c>
      <c r="H12" s="42">
        <f t="shared" si="0"/>
        <v>7.4234234234234231</v>
      </c>
      <c r="I12" s="42"/>
      <c r="J12" s="72">
        <f t="shared" si="2"/>
        <v>581</v>
      </c>
      <c r="K12" s="73">
        <f t="shared" ref="K12:L12" si="13">SUM(K17+K22)</f>
        <v>310</v>
      </c>
      <c r="L12" s="73">
        <f t="shared" si="13"/>
        <v>271</v>
      </c>
      <c r="M12" s="44"/>
      <c r="N12" s="42">
        <f t="shared" si="4"/>
        <v>46.64371772805508</v>
      </c>
      <c r="O12" s="47" t="s">
        <v>39</v>
      </c>
      <c r="P12" s="46"/>
      <c r="Q12" s="46"/>
      <c r="R12" s="46"/>
      <c r="S12" s="46"/>
      <c r="T12" s="46"/>
      <c r="U12" s="46"/>
      <c r="V12" s="46"/>
      <c r="W12" s="46"/>
    </row>
    <row r="13" spans="1:23" s="40" customFormat="1" ht="15" x14ac:dyDescent="0.25">
      <c r="A13" s="33" t="s">
        <v>4</v>
      </c>
      <c r="B13" s="34">
        <f>SUM(B14:B17)</f>
        <v>31442</v>
      </c>
      <c r="C13" s="35">
        <f>SUM(D13+E13)</f>
        <v>2371</v>
      </c>
      <c r="D13" s="36">
        <f>SUM(D14:D17)</f>
        <v>2316</v>
      </c>
      <c r="E13" s="36">
        <f>SUM(E14:E17)</f>
        <v>55</v>
      </c>
      <c r="F13" s="34"/>
      <c r="G13" s="34">
        <f t="shared" si="12"/>
        <v>13.261071277941797</v>
      </c>
      <c r="H13" s="34">
        <f t="shared" si="0"/>
        <v>13.575993091537134</v>
      </c>
      <c r="I13" s="34"/>
      <c r="J13" s="70">
        <f t="shared" si="2"/>
        <v>2371</v>
      </c>
      <c r="K13" s="70">
        <f>SUM(K14:K17)</f>
        <v>1979</v>
      </c>
      <c r="L13" s="70">
        <f>SUM(L14:L17)</f>
        <v>392</v>
      </c>
      <c r="M13" s="37"/>
      <c r="N13" s="34">
        <f t="shared" si="4"/>
        <v>16.533108393083086</v>
      </c>
      <c r="O13" s="18" t="s">
        <v>5</v>
      </c>
      <c r="P13" s="19"/>
      <c r="Q13" s="19"/>
      <c r="R13" s="19"/>
      <c r="S13" s="19"/>
      <c r="T13" s="19"/>
      <c r="U13" s="19"/>
      <c r="V13" s="19"/>
      <c r="W13" s="19"/>
    </row>
    <row r="14" spans="1:23" ht="15" x14ac:dyDescent="0.2">
      <c r="A14" s="41" t="s">
        <v>12</v>
      </c>
      <c r="B14" s="42">
        <v>8776</v>
      </c>
      <c r="C14" s="43">
        <f t="shared" ref="C14:C22" si="14">SUM(D14+E14)</f>
        <v>608</v>
      </c>
      <c r="D14" s="49">
        <v>608</v>
      </c>
      <c r="E14" s="64">
        <v>0</v>
      </c>
      <c r="F14" s="42"/>
      <c r="G14" s="42">
        <f t="shared" si="12"/>
        <v>14.434210526315789</v>
      </c>
      <c r="H14" s="42">
        <f t="shared" si="0"/>
        <v>14.434210526315789</v>
      </c>
      <c r="I14" s="42"/>
      <c r="J14" s="72">
        <f t="shared" si="2"/>
        <v>608</v>
      </c>
      <c r="K14" s="72">
        <v>559</v>
      </c>
      <c r="L14" s="72">
        <v>49</v>
      </c>
      <c r="M14" s="44"/>
      <c r="N14" s="42">
        <f t="shared" si="4"/>
        <v>8.0592105263157894</v>
      </c>
      <c r="O14" s="45" t="s">
        <v>16</v>
      </c>
      <c r="P14" s="19"/>
      <c r="Q14" s="19"/>
      <c r="R14" s="19"/>
      <c r="S14" s="19"/>
      <c r="T14" s="19"/>
      <c r="U14" s="19"/>
      <c r="V14" s="19"/>
      <c r="W14" s="19"/>
    </row>
    <row r="15" spans="1:23" ht="15" x14ac:dyDescent="0.35">
      <c r="A15" s="7" t="s">
        <v>13</v>
      </c>
      <c r="B15" s="42">
        <v>14620</v>
      </c>
      <c r="C15" s="43">
        <f t="shared" si="14"/>
        <v>1023</v>
      </c>
      <c r="D15" s="49">
        <v>975</v>
      </c>
      <c r="E15" s="64">
        <v>48</v>
      </c>
      <c r="F15" s="42"/>
      <c r="G15" s="42">
        <f t="shared" si="12"/>
        <v>14.29130009775171</v>
      </c>
      <c r="H15" s="42">
        <f t="shared" si="0"/>
        <v>14.994871794871795</v>
      </c>
      <c r="I15" s="42"/>
      <c r="J15" s="72">
        <f t="shared" si="2"/>
        <v>1023</v>
      </c>
      <c r="K15" s="72">
        <v>906</v>
      </c>
      <c r="L15" s="72">
        <v>117</v>
      </c>
      <c r="M15" s="44"/>
      <c r="N15" s="42">
        <f t="shared" si="4"/>
        <v>11.436950146627565</v>
      </c>
      <c r="O15" s="48" t="s">
        <v>37</v>
      </c>
      <c r="P15" s="19"/>
      <c r="Q15" s="19"/>
      <c r="R15" s="19"/>
      <c r="S15" s="19"/>
      <c r="T15" s="19"/>
      <c r="U15" s="19"/>
      <c r="V15" s="19"/>
      <c r="W15" s="19"/>
    </row>
    <row r="16" spans="1:23" ht="15" x14ac:dyDescent="0.35">
      <c r="A16" s="7" t="s">
        <v>14</v>
      </c>
      <c r="B16" s="42">
        <v>5547</v>
      </c>
      <c r="C16" s="43">
        <f t="shared" si="14"/>
        <v>577</v>
      </c>
      <c r="D16" s="49">
        <v>573</v>
      </c>
      <c r="E16" s="64">
        <v>4</v>
      </c>
      <c r="F16" s="42"/>
      <c r="G16" s="42">
        <f t="shared" si="12"/>
        <v>9.6135181975736561</v>
      </c>
      <c r="H16" s="42">
        <f t="shared" si="0"/>
        <v>9.6806282722513082</v>
      </c>
      <c r="I16" s="42"/>
      <c r="J16" s="72">
        <f t="shared" si="2"/>
        <v>577</v>
      </c>
      <c r="K16" s="72">
        <v>410</v>
      </c>
      <c r="L16" s="72">
        <v>167</v>
      </c>
      <c r="M16" s="44"/>
      <c r="N16" s="42">
        <f t="shared" si="4"/>
        <v>28.942807625649912</v>
      </c>
      <c r="O16" s="48" t="s">
        <v>38</v>
      </c>
      <c r="P16" s="19"/>
      <c r="Q16" s="19"/>
      <c r="R16" s="19"/>
      <c r="S16" s="19"/>
      <c r="T16" s="19"/>
      <c r="U16" s="19"/>
      <c r="V16" s="19"/>
      <c r="W16" s="19"/>
    </row>
    <row r="17" spans="1:31" s="50" customFormat="1" ht="15.2" customHeight="1" x14ac:dyDescent="0.35">
      <c r="A17" s="7" t="s">
        <v>15</v>
      </c>
      <c r="B17" s="42">
        <v>2499</v>
      </c>
      <c r="C17" s="43">
        <f t="shared" si="14"/>
        <v>163</v>
      </c>
      <c r="D17" s="42">
        <v>160</v>
      </c>
      <c r="E17" s="42">
        <v>3</v>
      </c>
      <c r="F17" s="49"/>
      <c r="G17" s="42">
        <f t="shared" si="12"/>
        <v>15.331288343558283</v>
      </c>
      <c r="H17" s="42">
        <f t="shared" si="0"/>
        <v>15.61875</v>
      </c>
      <c r="I17" s="42"/>
      <c r="J17" s="72">
        <f t="shared" si="2"/>
        <v>163</v>
      </c>
      <c r="K17" s="72">
        <v>104</v>
      </c>
      <c r="L17" s="72">
        <v>59</v>
      </c>
      <c r="M17" s="12"/>
      <c r="N17" s="42">
        <f t="shared" si="4"/>
        <v>36.196319018404907</v>
      </c>
      <c r="O17" s="48" t="s">
        <v>39</v>
      </c>
      <c r="P17" s="19"/>
      <c r="Q17" s="19"/>
      <c r="R17" s="19"/>
      <c r="S17" s="19"/>
      <c r="T17" s="19"/>
      <c r="U17" s="19"/>
      <c r="V17" s="19"/>
      <c r="W17" s="19"/>
    </row>
    <row r="18" spans="1:31" s="40" customFormat="1" ht="14.25" customHeight="1" x14ac:dyDescent="0.25">
      <c r="A18" s="33" t="s">
        <v>6</v>
      </c>
      <c r="B18" s="34">
        <f>SUM(B19:B22)</f>
        <v>55978</v>
      </c>
      <c r="C18" s="35">
        <f t="shared" si="14"/>
        <v>6586</v>
      </c>
      <c r="D18" s="34">
        <f>SUM(D19:D22)</f>
        <v>5673</v>
      </c>
      <c r="E18" s="36">
        <f>SUM(E19:E22)</f>
        <v>913</v>
      </c>
      <c r="F18" s="34"/>
      <c r="G18" s="34">
        <f t="shared" si="12"/>
        <v>8.4995444883085334</v>
      </c>
      <c r="H18" s="34">
        <f t="shared" si="0"/>
        <v>9.8674422704036662</v>
      </c>
      <c r="I18" s="34"/>
      <c r="J18" s="70">
        <f t="shared" si="2"/>
        <v>6586</v>
      </c>
      <c r="K18" s="71">
        <f>SUM(K19:K22)</f>
        <v>4754</v>
      </c>
      <c r="L18" s="71">
        <f>SUM(L19:L22)</f>
        <v>1832</v>
      </c>
      <c r="M18" s="37"/>
      <c r="N18" s="34">
        <f t="shared" si="4"/>
        <v>27.816580625569387</v>
      </c>
      <c r="O18" s="10" t="s">
        <v>7</v>
      </c>
      <c r="P18" s="19"/>
      <c r="Q18" s="19"/>
      <c r="R18" s="19"/>
      <c r="S18" s="19"/>
      <c r="T18" s="19"/>
      <c r="U18" s="19"/>
      <c r="V18" s="19"/>
      <c r="W18" s="19"/>
    </row>
    <row r="19" spans="1:31" ht="13.7" customHeight="1" x14ac:dyDescent="0.2">
      <c r="A19" s="41" t="s">
        <v>12</v>
      </c>
      <c r="B19" s="42">
        <v>13487</v>
      </c>
      <c r="C19" s="43">
        <f t="shared" si="14"/>
        <v>787</v>
      </c>
      <c r="D19" s="49">
        <v>596</v>
      </c>
      <c r="E19" s="49">
        <v>191</v>
      </c>
      <c r="F19" s="42"/>
      <c r="G19" s="42">
        <f t="shared" si="12"/>
        <v>17.137229987293519</v>
      </c>
      <c r="H19" s="42">
        <f t="shared" si="0"/>
        <v>22.629194630872483</v>
      </c>
      <c r="I19" s="42"/>
      <c r="J19" s="72">
        <f t="shared" si="2"/>
        <v>787</v>
      </c>
      <c r="K19" s="74">
        <v>786</v>
      </c>
      <c r="L19" s="75">
        <v>1</v>
      </c>
      <c r="M19" s="44"/>
      <c r="N19" s="42">
        <f t="shared" si="4"/>
        <v>0.12706480304955528</v>
      </c>
      <c r="O19" s="45" t="s">
        <v>16</v>
      </c>
      <c r="P19" s="19"/>
      <c r="Q19" s="19"/>
      <c r="R19" s="19"/>
      <c r="S19" s="19"/>
      <c r="T19" s="19"/>
      <c r="U19" s="19"/>
      <c r="V19" s="19"/>
      <c r="W19" s="19"/>
    </row>
    <row r="20" spans="1:31" ht="15" x14ac:dyDescent="0.35">
      <c r="A20" s="51" t="s">
        <v>13</v>
      </c>
      <c r="B20" s="42">
        <v>29161</v>
      </c>
      <c r="C20" s="43">
        <f t="shared" si="14"/>
        <v>3229</v>
      </c>
      <c r="D20" s="49">
        <v>2670</v>
      </c>
      <c r="E20" s="49">
        <v>559</v>
      </c>
      <c r="F20" s="49"/>
      <c r="G20" s="42">
        <f t="shared" si="12"/>
        <v>9.0309693403530513</v>
      </c>
      <c r="H20" s="42">
        <f t="shared" si="0"/>
        <v>10.921722846441947</v>
      </c>
      <c r="I20" s="49"/>
      <c r="J20" s="72">
        <f t="shared" si="2"/>
        <v>3229</v>
      </c>
      <c r="K20" s="74">
        <v>2765</v>
      </c>
      <c r="L20" s="76">
        <v>464</v>
      </c>
      <c r="M20" s="12"/>
      <c r="N20" s="42">
        <f t="shared" si="4"/>
        <v>14.369773923815425</v>
      </c>
      <c r="O20" s="48" t="s">
        <v>37</v>
      </c>
      <c r="P20" s="19"/>
      <c r="Q20" s="19"/>
      <c r="R20" s="19"/>
      <c r="S20" s="19"/>
      <c r="T20" s="19"/>
      <c r="U20" s="19"/>
      <c r="V20" s="19"/>
      <c r="W20" s="19"/>
    </row>
    <row r="21" spans="1:31" ht="16.5" x14ac:dyDescent="0.35">
      <c r="A21" s="51" t="s">
        <v>14</v>
      </c>
      <c r="B21" s="42">
        <v>11709</v>
      </c>
      <c r="C21" s="43">
        <f t="shared" si="14"/>
        <v>2152</v>
      </c>
      <c r="D21" s="49">
        <v>2012</v>
      </c>
      <c r="E21" s="49">
        <v>140</v>
      </c>
      <c r="F21" s="49"/>
      <c r="G21" s="42">
        <f t="shared" si="12"/>
        <v>5.4409851301115237</v>
      </c>
      <c r="H21" s="42">
        <f t="shared" si="0"/>
        <v>5.819582504970179</v>
      </c>
      <c r="I21" s="49"/>
      <c r="J21" s="72">
        <f t="shared" si="2"/>
        <v>2152</v>
      </c>
      <c r="K21" s="74">
        <v>997</v>
      </c>
      <c r="L21" s="76">
        <v>1155</v>
      </c>
      <c r="M21" s="12"/>
      <c r="N21" s="42">
        <f t="shared" si="4"/>
        <v>53.671003717472118</v>
      </c>
      <c r="O21" s="48" t="s">
        <v>38</v>
      </c>
      <c r="P21" s="19"/>
      <c r="Q21" s="19"/>
      <c r="R21" s="19"/>
      <c r="S21" s="19"/>
      <c r="T21" s="19"/>
      <c r="U21" s="19"/>
      <c r="V21" s="19"/>
      <c r="W21" s="19"/>
      <c r="X21" s="66"/>
      <c r="Y21" s="52"/>
      <c r="Z21" s="52"/>
      <c r="AA21" s="66"/>
      <c r="AB21" s="66"/>
      <c r="AC21" s="67"/>
      <c r="AD21" s="67"/>
      <c r="AE21" s="66"/>
    </row>
    <row r="22" spans="1:31" s="50" customFormat="1" ht="16.5" x14ac:dyDescent="0.35">
      <c r="A22" s="8" t="s">
        <v>15</v>
      </c>
      <c r="B22" s="53">
        <v>1621</v>
      </c>
      <c r="C22" s="54">
        <f t="shared" si="14"/>
        <v>418</v>
      </c>
      <c r="D22" s="65">
        <v>395</v>
      </c>
      <c r="E22" s="53">
        <v>23</v>
      </c>
      <c r="F22" s="53"/>
      <c r="G22" s="53">
        <f t="shared" si="12"/>
        <v>3.8779904306220097</v>
      </c>
      <c r="H22" s="53">
        <f t="shared" si="0"/>
        <v>4.10379746835443</v>
      </c>
      <c r="I22" s="53"/>
      <c r="J22" s="77">
        <f t="shared" si="2"/>
        <v>418</v>
      </c>
      <c r="K22" s="78">
        <v>206</v>
      </c>
      <c r="L22" s="79">
        <v>212</v>
      </c>
      <c r="M22" s="13"/>
      <c r="N22" s="53">
        <f t="shared" si="4"/>
        <v>50.717703349282296</v>
      </c>
      <c r="O22" s="55" t="s">
        <v>40</v>
      </c>
      <c r="P22" s="19"/>
      <c r="Q22" s="19"/>
      <c r="R22" s="19"/>
      <c r="S22" s="19"/>
      <c r="T22" s="19"/>
      <c r="U22" s="19"/>
      <c r="V22" s="19"/>
      <c r="W22" s="19"/>
      <c r="X22" s="56"/>
      <c r="Y22" s="57"/>
      <c r="Z22" s="57"/>
      <c r="AA22" s="9"/>
      <c r="AB22" s="56"/>
      <c r="AC22" s="57"/>
      <c r="AD22" s="57"/>
      <c r="AE22" s="9"/>
    </row>
    <row r="23" spans="1:31" ht="15" x14ac:dyDescent="0.25">
      <c r="A23" s="4" t="s">
        <v>8</v>
      </c>
      <c r="D23" s="60"/>
      <c r="E23" s="59"/>
      <c r="G23" s="11"/>
      <c r="O23" s="61" t="s">
        <v>9</v>
      </c>
      <c r="P23" s="19"/>
      <c r="Q23" s="19"/>
      <c r="R23" s="19"/>
      <c r="S23" s="19"/>
      <c r="T23" s="19"/>
      <c r="U23" s="19"/>
      <c r="V23" s="19"/>
      <c r="W23" s="19"/>
      <c r="X23" s="62"/>
      <c r="Y23" s="57"/>
      <c r="Z23" s="42"/>
      <c r="AA23" s="42"/>
      <c r="AB23" s="62"/>
      <c r="AC23" s="57"/>
      <c r="AD23" s="57"/>
      <c r="AE23" s="66"/>
    </row>
    <row r="24" spans="1:31" ht="15" x14ac:dyDescent="0.25">
      <c r="A24" s="58" t="s">
        <v>42</v>
      </c>
      <c r="E24" s="59"/>
      <c r="G24" s="11"/>
      <c r="Z24" s="42"/>
      <c r="AA24" s="42"/>
      <c r="AE24" s="66"/>
    </row>
    <row r="25" spans="1:31" ht="15" x14ac:dyDescent="0.25">
      <c r="A25" s="58" t="s">
        <v>43</v>
      </c>
      <c r="E25" s="59"/>
      <c r="G25" s="11"/>
      <c r="Z25" s="42"/>
      <c r="AA25" s="42"/>
      <c r="AE25" s="66"/>
    </row>
    <row r="26" spans="1:31" ht="15" x14ac:dyDescent="0.25">
      <c r="A26" s="58" t="s">
        <v>41</v>
      </c>
      <c r="F26" s="60"/>
      <c r="G26" s="60"/>
      <c r="H26" s="60"/>
      <c r="I26" s="60"/>
      <c r="J26" s="60"/>
      <c r="K26" s="60"/>
      <c r="L26" s="60"/>
      <c r="M26" s="60"/>
      <c r="N26" s="60"/>
      <c r="X26" s="66"/>
      <c r="Y26" s="66"/>
      <c r="Z26" s="42"/>
      <c r="AA26" s="42"/>
      <c r="AB26" s="66"/>
      <c r="AC26" s="66"/>
      <c r="AD26" s="66"/>
      <c r="AE26" s="66"/>
    </row>
    <row r="27" spans="1:31" ht="15" x14ac:dyDescent="0.25">
      <c r="A27" s="58" t="s">
        <v>45</v>
      </c>
      <c r="X27" s="66"/>
      <c r="Y27" s="66"/>
      <c r="Z27" s="42"/>
      <c r="AA27" s="42"/>
      <c r="AB27" s="66"/>
      <c r="AC27" s="66"/>
      <c r="AD27" s="66"/>
      <c r="AE27" s="66"/>
    </row>
    <row r="28" spans="1:31" ht="15" x14ac:dyDescent="0.25">
      <c r="A28" s="58"/>
      <c r="D28" s="82"/>
      <c r="E28" s="82"/>
      <c r="F28" s="82"/>
      <c r="G28" s="82"/>
      <c r="H28" s="82"/>
      <c r="X28" s="66"/>
      <c r="Y28" s="66"/>
      <c r="Z28" s="66"/>
      <c r="AA28" s="66"/>
      <c r="AB28" s="66"/>
      <c r="AC28" s="66"/>
      <c r="AD28" s="66"/>
      <c r="AE28" s="66"/>
    </row>
    <row r="29" spans="1:31" ht="15" hidden="1" x14ac:dyDescent="0.25">
      <c r="A29" s="58"/>
      <c r="D29" s="82"/>
      <c r="E29" s="82"/>
      <c r="F29" s="82"/>
      <c r="G29" s="82"/>
      <c r="H29" s="82"/>
      <c r="X29" s="5"/>
      <c r="Y29" s="5"/>
      <c r="Z29" s="5"/>
      <c r="AA29" s="5"/>
      <c r="AB29" s="5"/>
      <c r="AC29" s="5"/>
      <c r="AD29" s="5"/>
      <c r="AE29" s="5"/>
    </row>
    <row r="30" spans="1:31" ht="15" x14ac:dyDescent="0.25">
      <c r="X30" s="5"/>
      <c r="Y30" s="5"/>
      <c r="Z30" s="5"/>
      <c r="AA30" s="5"/>
      <c r="AB30" s="5"/>
      <c r="AC30" s="5"/>
      <c r="AD30" s="5"/>
      <c r="AE30" s="5"/>
    </row>
    <row r="31" spans="1:31" ht="15" x14ac:dyDescent="0.25">
      <c r="X31" s="5"/>
      <c r="Y31" s="5"/>
      <c r="Z31" s="5"/>
      <c r="AA31" s="5"/>
      <c r="AB31" s="5"/>
      <c r="AC31" s="5"/>
      <c r="AD31" s="5"/>
      <c r="AE31" s="5"/>
    </row>
    <row r="32" spans="1:31" ht="15" x14ac:dyDescent="0.25">
      <c r="X32" s="66"/>
      <c r="Y32" s="66"/>
      <c r="Z32" s="66"/>
      <c r="AA32" s="66"/>
      <c r="AB32" s="66"/>
      <c r="AC32" s="66"/>
      <c r="AD32" s="66"/>
      <c r="AE32" s="66"/>
    </row>
    <row r="33" spans="24:31" ht="15" x14ac:dyDescent="0.25">
      <c r="X33" s="66"/>
      <c r="Y33" s="66"/>
      <c r="Z33" s="66"/>
      <c r="AA33" s="66"/>
      <c r="AB33" s="66"/>
      <c r="AC33" s="66"/>
      <c r="AD33" s="66"/>
      <c r="AE33" s="66"/>
    </row>
    <row r="34" spans="24:31" ht="15" x14ac:dyDescent="0.25">
      <c r="X34" s="66"/>
      <c r="Y34" s="66"/>
      <c r="Z34" s="66"/>
      <c r="AA34" s="66"/>
      <c r="AB34" s="66"/>
      <c r="AC34" s="66"/>
      <c r="AD34" s="66"/>
      <c r="AE34" s="66"/>
    </row>
    <row r="35" spans="24:31" ht="15" x14ac:dyDescent="0.25">
      <c r="X35" s="66"/>
      <c r="Y35" s="66"/>
      <c r="Z35" s="66"/>
      <c r="AA35" s="66"/>
      <c r="AB35" s="66"/>
      <c r="AC35" s="66"/>
      <c r="AD35" s="66"/>
      <c r="AE35" s="66"/>
    </row>
    <row r="36" spans="24:31" ht="15" x14ac:dyDescent="0.25">
      <c r="X36" s="66"/>
      <c r="Y36" s="66"/>
      <c r="Z36" s="66"/>
      <c r="AA36" s="66"/>
      <c r="AB36" s="66"/>
      <c r="AC36" s="66"/>
      <c r="AD36" s="66"/>
      <c r="AE36" s="66"/>
    </row>
    <row r="37" spans="24:31" ht="15" x14ac:dyDescent="0.25">
      <c r="X37" s="66"/>
      <c r="Y37" s="66"/>
      <c r="Z37" s="66"/>
      <c r="AA37" s="66"/>
      <c r="AB37" s="66"/>
      <c r="AC37" s="66"/>
      <c r="AD37" s="66"/>
      <c r="AE37" s="66"/>
    </row>
    <row r="38" spans="24:31" ht="15" x14ac:dyDescent="0.25">
      <c r="X38" s="66"/>
      <c r="Y38" s="66"/>
      <c r="Z38" s="66"/>
      <c r="AA38" s="66"/>
      <c r="AB38" s="66"/>
      <c r="AC38" s="66"/>
      <c r="AD38" s="66"/>
      <c r="AE38" s="66"/>
    </row>
    <row r="39" spans="24:31" ht="15" x14ac:dyDescent="0.25">
      <c r="X39" s="66"/>
      <c r="Y39" s="66"/>
      <c r="Z39" s="66"/>
      <c r="AA39" s="66"/>
      <c r="AB39" s="66"/>
      <c r="AC39" s="66"/>
      <c r="AD39" s="66"/>
      <c r="AE39" s="66"/>
    </row>
    <row r="40" spans="24:31" ht="15" x14ac:dyDescent="0.25">
      <c r="X40" s="66"/>
      <c r="Y40" s="66"/>
      <c r="Z40" s="66"/>
      <c r="AA40" s="66"/>
      <c r="AB40" s="66"/>
      <c r="AC40" s="66"/>
      <c r="AD40" s="66"/>
      <c r="AE40" s="66"/>
    </row>
    <row r="41" spans="24:31" ht="15" x14ac:dyDescent="0.25">
      <c r="X41" s="66"/>
      <c r="Y41" s="66"/>
      <c r="Z41" s="66"/>
      <c r="AA41" s="66"/>
      <c r="AB41" s="66"/>
      <c r="AC41" s="66"/>
      <c r="AD41" s="66"/>
      <c r="AE41" s="66"/>
    </row>
    <row r="42" spans="24:31" ht="15" x14ac:dyDescent="0.25">
      <c r="X42" s="66"/>
      <c r="Y42" s="66"/>
      <c r="Z42" s="66"/>
      <c r="AA42" s="66"/>
      <c r="AB42" s="66"/>
      <c r="AC42" s="66"/>
      <c r="AD42" s="66"/>
      <c r="AE42" s="66"/>
    </row>
    <row r="43" spans="24:31" ht="15" x14ac:dyDescent="0.25">
      <c r="X43" s="66"/>
      <c r="Y43" s="66"/>
      <c r="Z43" s="66"/>
      <c r="AA43" s="66"/>
      <c r="AB43" s="66"/>
      <c r="AC43" s="66"/>
      <c r="AD43" s="66"/>
      <c r="AE43" s="66"/>
    </row>
    <row r="44" spans="24:31" ht="15" x14ac:dyDescent="0.25">
      <c r="X44" s="66"/>
      <c r="Y44" s="66"/>
      <c r="Z44" s="66"/>
      <c r="AA44" s="66"/>
      <c r="AB44" s="66"/>
      <c r="AC44" s="66"/>
      <c r="AD44" s="66"/>
      <c r="AE44" s="66"/>
    </row>
    <row r="45" spans="24:31" ht="15" x14ac:dyDescent="0.25">
      <c r="X45" s="66"/>
      <c r="Y45" s="66"/>
      <c r="Z45" s="66"/>
      <c r="AA45" s="66"/>
      <c r="AB45" s="66"/>
      <c r="AC45" s="66"/>
      <c r="AD45" s="66"/>
      <c r="AE45" s="66"/>
    </row>
    <row r="46" spans="24:31" ht="15" x14ac:dyDescent="0.25">
      <c r="X46" s="66"/>
      <c r="Y46" s="66"/>
      <c r="Z46" s="66"/>
      <c r="AA46" s="66"/>
      <c r="AB46" s="66"/>
      <c r="AC46" s="66"/>
      <c r="AD46" s="66"/>
      <c r="AE46" s="66"/>
    </row>
  </sheetData>
  <mergeCells count="7">
    <mergeCell ref="D29:H29"/>
    <mergeCell ref="D28:H28"/>
    <mergeCell ref="A1:O1"/>
    <mergeCell ref="A2:O2"/>
    <mergeCell ref="D4:E4"/>
    <mergeCell ref="G4:H4"/>
    <mergeCell ref="G5:H5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2017-06-08T07:49:43Z</cp:lastPrinted>
  <dcterms:created xsi:type="dcterms:W3CDTF">2014-03-05T03:36:41Z</dcterms:created>
  <dcterms:modified xsi:type="dcterms:W3CDTF">2017-06-08T07:49:45Z</dcterms:modified>
</cp:coreProperties>
</file>