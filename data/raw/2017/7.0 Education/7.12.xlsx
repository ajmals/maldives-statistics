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12" sheetId="17" r:id="rId1"/>
  </sheets>
  <externalReferences>
    <externalReference r:id="rId2"/>
  </externalReferences>
  <definedNames>
    <definedName name="_xlnm.Print_Area" localSheetId="0">'7.12'!$A$1:$V$94</definedName>
  </definedNames>
  <calcPr calcId="144525"/>
</workbook>
</file>

<file path=xl/calcChain.xml><?xml version="1.0" encoding="utf-8"?>
<calcChain xmlns="http://schemas.openxmlformats.org/spreadsheetml/2006/main">
  <c r="B7" i="17" l="1"/>
  <c r="V9" i="17" l="1"/>
  <c r="C9" i="17"/>
  <c r="U20" i="17" l="1"/>
  <c r="U21" i="17"/>
  <c r="U22" i="17"/>
  <c r="Q9" i="17"/>
  <c r="O9" i="17"/>
  <c r="P9" i="17"/>
  <c r="V7" i="17" l="1"/>
  <c r="P7" i="17" l="1"/>
  <c r="U26" i="17"/>
  <c r="H9" i="17"/>
  <c r="H7" i="17" s="1"/>
  <c r="Q7" i="17"/>
  <c r="I9" i="17"/>
  <c r="I7" i="17" s="1"/>
  <c r="S9" i="17"/>
  <c r="S7" i="17" s="1"/>
  <c r="N8" i="17"/>
  <c r="N10" i="17"/>
  <c r="G9" i="17"/>
  <c r="G7" i="17" s="1"/>
  <c r="J9" i="17"/>
  <c r="J7" i="17" s="1"/>
  <c r="T9" i="17"/>
  <c r="T7" i="17" s="1"/>
  <c r="N29" i="17"/>
  <c r="N28" i="17"/>
  <c r="L9" i="17"/>
  <c r="L7" i="17" s="1"/>
  <c r="M9" i="17"/>
  <c r="M7" i="17" s="1"/>
  <c r="O7" i="17"/>
  <c r="R28" i="17"/>
  <c r="U8" i="17"/>
  <c r="F14" i="17"/>
  <c r="R26" i="17"/>
  <c r="U12" i="17"/>
  <c r="U13" i="17"/>
  <c r="U16" i="17"/>
  <c r="U18" i="17"/>
  <c r="U19" i="17"/>
  <c r="U23" i="17"/>
  <c r="U27" i="17"/>
  <c r="F25" i="17"/>
  <c r="R15" i="17"/>
  <c r="R12" i="17"/>
  <c r="K9" i="17"/>
  <c r="U29" i="17"/>
  <c r="F16" i="17"/>
  <c r="F22" i="17"/>
  <c r="F26" i="17"/>
  <c r="R27" i="17"/>
  <c r="F29" i="17"/>
  <c r="E9" i="17"/>
  <c r="E7" i="17" s="1"/>
  <c r="R11" i="17"/>
  <c r="F19" i="17"/>
  <c r="U25" i="17"/>
  <c r="R29" i="17"/>
  <c r="R8" i="17"/>
  <c r="F17" i="17"/>
  <c r="F18" i="17"/>
  <c r="R16" i="17"/>
  <c r="R18" i="17"/>
  <c r="F21" i="17"/>
  <c r="F23" i="17"/>
  <c r="F24" i="17"/>
  <c r="R20" i="17"/>
  <c r="U28" i="17"/>
  <c r="U11" i="17"/>
  <c r="R21" i="17"/>
  <c r="N21" i="17"/>
  <c r="N24" i="17"/>
  <c r="R25" i="17"/>
  <c r="C7" i="17"/>
  <c r="F11" i="17"/>
  <c r="D9" i="17"/>
  <c r="D7" i="17" s="1"/>
  <c r="F12" i="17"/>
  <c r="U14" i="17"/>
  <c r="U15" i="17"/>
  <c r="R17" i="17"/>
  <c r="R19" i="17"/>
  <c r="R22" i="17"/>
  <c r="R23" i="17"/>
  <c r="F8" i="17"/>
  <c r="U17" i="17"/>
  <c r="N19" i="17"/>
  <c r="N22" i="17"/>
  <c r="N23" i="17"/>
  <c r="R24" i="17"/>
  <c r="N11" i="17"/>
  <c r="N13" i="17"/>
  <c r="N12" i="17"/>
  <c r="R13" i="17"/>
  <c r="F15" i="17"/>
  <c r="N25" i="17"/>
  <c r="F27" i="17"/>
  <c r="N20" i="17"/>
  <c r="F13" i="17"/>
  <c r="U24" i="17"/>
  <c r="N26" i="17"/>
  <c r="F28" i="17"/>
  <c r="R14" i="17"/>
  <c r="N27" i="17"/>
  <c r="N14" i="17"/>
  <c r="N15" i="17"/>
  <c r="N16" i="17"/>
  <c r="N17" i="17"/>
  <c r="N18" i="17"/>
  <c r="F20" i="17"/>
  <c r="U10" i="17"/>
  <c r="F10" i="17"/>
  <c r="R10" i="17"/>
  <c r="B10" i="17" l="1"/>
  <c r="B13" i="17"/>
  <c r="B24" i="17"/>
  <c r="B21" i="17"/>
  <c r="B19" i="17"/>
  <c r="B8" i="17"/>
  <c r="B11" i="17"/>
  <c r="B26" i="17"/>
  <c r="B25" i="17"/>
  <c r="R9" i="17"/>
  <c r="R7" i="17" s="1"/>
  <c r="B23" i="17"/>
  <c r="B16" i="17"/>
  <c r="B14" i="17"/>
  <c r="B27" i="17"/>
  <c r="B20" i="17"/>
  <c r="B28" i="17"/>
  <c r="B15" i="17"/>
  <c r="B22" i="17"/>
  <c r="B12" i="17"/>
  <c r="B18" i="17"/>
  <c r="B29" i="17"/>
  <c r="B17" i="17"/>
  <c r="U9" i="17"/>
  <c r="N9" i="17"/>
  <c r="N7" i="17" s="1"/>
  <c r="K7" i="17"/>
  <c r="F9" i="17"/>
  <c r="F7" i="17" s="1"/>
  <c r="B9" i="17" l="1"/>
  <c r="U7" i="17"/>
</calcChain>
</file>

<file path=xl/sharedStrings.xml><?xml version="1.0" encoding="utf-8"?>
<sst xmlns="http://schemas.openxmlformats.org/spreadsheetml/2006/main" count="75" uniqueCount="51">
  <si>
    <t>Total</t>
  </si>
  <si>
    <t>Male'</t>
  </si>
  <si>
    <t>Atolls</t>
  </si>
  <si>
    <t>Source: Ministry of Education</t>
  </si>
  <si>
    <t>cnwxEkuaiDea cfoa IrcTcsinim :ctWrwf ivcaed utWmUluAwm</t>
  </si>
  <si>
    <t>Primary</t>
  </si>
  <si>
    <t>Higher Secondary</t>
  </si>
  <si>
    <t>LKG</t>
  </si>
  <si>
    <t>UKG</t>
  </si>
  <si>
    <t>TOTAL</t>
  </si>
  <si>
    <t>Name of Atoll</t>
  </si>
  <si>
    <t>Nurs.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</si>
  <si>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</si>
  <si>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</si>
  <si>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</si>
  <si>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</si>
  <si>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</si>
  <si>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</si>
  <si>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</si>
  <si>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</si>
  <si>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</si>
  <si>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</si>
  <si>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</si>
  <si>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</si>
  <si>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</si>
  <si>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</si>
  <si>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</si>
  <si>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</si>
  <si>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</si>
  <si>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</si>
  <si>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</si>
  <si>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</si>
  <si>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</si>
  <si>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</si>
  <si>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</si>
  <si>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</si>
  <si>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</si>
  <si>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</si>
  <si>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</si>
  <si>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</si>
  <si>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</si>
  <si>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</si>
  <si>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</si>
  <si>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</si>
  <si>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 xml:space="preserve">Atolls </t>
  </si>
  <si>
    <t>Special Classes</t>
  </si>
  <si>
    <t>Secondary</t>
  </si>
  <si>
    <t>Pre-Primary</t>
  </si>
  <si>
    <t>Table  7.12 : STUDENTS ENROLMENT IN MALE' AND ATOLLS BY GRADE, 2016</t>
  </si>
  <si>
    <t xml:space="preserve"> 2016 ,cnikwv cDErcg udwdwA egcnidukWvwyik ibit iawgukwtuLotwa iaWaelWm :7.12 ulwvWt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</si>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</sst>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_(* ###0_);_(* \(###0\);_(* &quot;&quot;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  <numFmt numFmtId="174" formatCode="0_);\(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sz val="10"/>
      <name val="MS Sans Serif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6.5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Arial"/>
      <family val="2"/>
    </font>
    <font>
      <b/>
      <sz val="12"/>
      <name val="Calibri"/>
      <family val="2"/>
      <scheme val="minor"/>
    </font>
    <font>
      <b/>
      <i/>
      <sz val="16"/>
      <name val="Helv"/>
    </font>
    <font>
      <b/>
      <sz val="12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13" fillId="0" borderId="0" applyFont="0" applyFill="0" applyBorder="0" applyAlignment="0" applyProtection="0"/>
    <xf numFmtId="164" fontId="2" fillId="0" borderId="0"/>
    <xf numFmtId="0" fontId="16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22" fillId="0" borderId="0"/>
    <xf numFmtId="171" fontId="2" fillId="0" borderId="0"/>
    <xf numFmtId="0" fontId="13" fillId="0" borderId="0"/>
    <xf numFmtId="0" fontId="13" fillId="0" borderId="0"/>
    <xf numFmtId="171" fontId="2" fillId="0" borderId="0"/>
    <xf numFmtId="0" fontId="13" fillId="0" borderId="0"/>
    <xf numFmtId="0" fontId="13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3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72">
    <xf numFmtId="0" fontId="0" fillId="0" borderId="0" xfId="0"/>
    <xf numFmtId="165" fontId="7" fillId="2" borderId="0" xfId="0" applyNumberFormat="1" applyFont="1" applyFill="1"/>
    <xf numFmtId="165" fontId="9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Alignment="1" applyProtection="1">
      <alignment horizontal="left" vertical="center"/>
    </xf>
    <xf numFmtId="165" fontId="7" fillId="2" borderId="0" xfId="0" applyNumberFormat="1" applyFont="1" applyFill="1" applyBorder="1" applyAlignment="1">
      <alignment vertical="center"/>
    </xf>
    <xf numFmtId="165" fontId="10" fillId="2" borderId="0" xfId="0" applyNumberFormat="1" applyFont="1" applyFill="1" applyAlignment="1" applyProtection="1">
      <alignment horizontal="right" vertical="center"/>
    </xf>
    <xf numFmtId="165" fontId="11" fillId="2" borderId="0" xfId="0" applyNumberFormat="1" applyFont="1" applyFill="1" applyBorder="1" applyAlignment="1">
      <alignment horizontal="right" vertical="center"/>
    </xf>
    <xf numFmtId="165" fontId="6" fillId="2" borderId="0" xfId="0" applyNumberFormat="1" applyFont="1" applyFill="1"/>
    <xf numFmtId="165" fontId="12" fillId="2" borderId="0" xfId="4" applyNumberFormat="1" applyFont="1" applyFill="1" applyAlignment="1" applyProtection="1"/>
    <xf numFmtId="0" fontId="18" fillId="2" borderId="0" xfId="0" applyFont="1" applyFill="1" applyBorder="1"/>
    <xf numFmtId="0" fontId="18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center"/>
    </xf>
    <xf numFmtId="0" fontId="18" fillId="2" borderId="0" xfId="0" applyFont="1" applyFill="1" applyBorder="1" applyAlignment="1"/>
    <xf numFmtId="0" fontId="14" fillId="2" borderId="0" xfId="0" applyFont="1" applyFill="1" applyBorder="1"/>
    <xf numFmtId="167" fontId="14" fillId="2" borderId="0" xfId="0" applyNumberFormat="1" applyFont="1" applyFill="1" applyBorder="1"/>
    <xf numFmtId="0" fontId="1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indent="1"/>
    </xf>
    <xf numFmtId="0" fontId="5" fillId="2" borderId="8" xfId="0" applyFont="1" applyFill="1" applyBorder="1" applyAlignment="1">
      <alignment horizontal="left" indent="1"/>
    </xf>
    <xf numFmtId="165" fontId="20" fillId="2" borderId="0" xfId="0" applyNumberFormat="1" applyFont="1" applyFill="1"/>
    <xf numFmtId="0" fontId="15" fillId="2" borderId="0" xfId="0" applyFont="1" applyFill="1" applyBorder="1"/>
    <xf numFmtId="166" fontId="4" fillId="2" borderId="0" xfId="1" applyNumberFormat="1" applyFont="1" applyFill="1" applyBorder="1" applyAlignment="1">
      <alignment horizontal="right" vertical="center"/>
    </xf>
    <xf numFmtId="166" fontId="4" fillId="2" borderId="4" xfId="1" applyNumberFormat="1" applyFont="1" applyFill="1" applyBorder="1" applyAlignment="1">
      <alignment horizontal="right" vertical="center"/>
    </xf>
    <xf numFmtId="166" fontId="4" fillId="2" borderId="10" xfId="1" applyNumberFormat="1" applyFont="1" applyFill="1" applyBorder="1" applyAlignment="1">
      <alignment horizontal="right" vertical="center"/>
    </xf>
    <xf numFmtId="166" fontId="4" fillId="2" borderId="5" xfId="1" applyNumberFormat="1" applyFont="1" applyFill="1" applyBorder="1" applyAlignment="1">
      <alignment horizontal="right" vertical="center"/>
    </xf>
    <xf numFmtId="166" fontId="4" fillId="2" borderId="6" xfId="1" applyNumberFormat="1" applyFont="1" applyFill="1" applyBorder="1" applyAlignment="1">
      <alignment horizontal="right" vertical="center"/>
    </xf>
    <xf numFmtId="166" fontId="4" fillId="2" borderId="7" xfId="1" applyNumberFormat="1" applyFont="1" applyFill="1" applyBorder="1" applyAlignment="1">
      <alignment horizontal="right" vertical="center"/>
    </xf>
    <xf numFmtId="167" fontId="5" fillId="2" borderId="0" xfId="0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 applyAlignment="1">
      <alignment horizontal="right" vertical="center"/>
    </xf>
    <xf numFmtId="167" fontId="5" fillId="2" borderId="6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166" fontId="5" fillId="2" borderId="7" xfId="1" applyNumberFormat="1" applyFont="1" applyFill="1" applyBorder="1" applyAlignment="1">
      <alignment horizontal="right" vertical="center"/>
    </xf>
    <xf numFmtId="166" fontId="4" fillId="2" borderId="8" xfId="1" applyNumberFormat="1" applyFont="1" applyFill="1" applyBorder="1" applyAlignment="1">
      <alignment horizontal="right" vertical="center"/>
    </xf>
    <xf numFmtId="167" fontId="5" fillId="2" borderId="8" xfId="0" applyNumberFormat="1" applyFont="1" applyFill="1" applyBorder="1" applyAlignment="1">
      <alignment horizontal="right" vertical="center"/>
    </xf>
    <xf numFmtId="166" fontId="5" fillId="2" borderId="8" xfId="1" applyNumberFormat="1" applyFont="1" applyFill="1" applyBorder="1" applyAlignment="1">
      <alignment horizontal="right" vertical="center"/>
    </xf>
    <xf numFmtId="167" fontId="5" fillId="2" borderId="11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166" fontId="5" fillId="2" borderId="9" xfId="1" applyNumberFormat="1" applyFont="1" applyFill="1" applyBorder="1" applyAlignment="1">
      <alignment horizontal="right" vertical="center"/>
    </xf>
    <xf numFmtId="1" fontId="5" fillId="2" borderId="6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horizontal="right" vertical="center"/>
    </xf>
    <xf numFmtId="1" fontId="5" fillId="2" borderId="7" xfId="1" applyNumberFormat="1" applyFont="1" applyFill="1" applyBorder="1" applyAlignment="1">
      <alignment horizontal="right" vertical="center"/>
    </xf>
    <xf numFmtId="174" fontId="5" fillId="2" borderId="0" xfId="0" applyNumberFormat="1" applyFont="1" applyFill="1" applyBorder="1" applyAlignment="1">
      <alignment horizontal="right" vertical="center"/>
    </xf>
    <xf numFmtId="174" fontId="5" fillId="2" borderId="8" xfId="0" applyNumberFormat="1" applyFont="1" applyFill="1" applyBorder="1" applyAlignment="1">
      <alignment horizontal="right" vertical="center"/>
    </xf>
    <xf numFmtId="0" fontId="18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5" fillId="3" borderId="0" xfId="0" applyFont="1" applyFill="1" applyBorder="1"/>
    <xf numFmtId="0" fontId="14" fillId="3" borderId="0" xfId="0" applyFont="1" applyFill="1" applyBorder="1"/>
    <xf numFmtId="166" fontId="18" fillId="2" borderId="0" xfId="0" applyNumberFormat="1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1" fontId="4" fillId="2" borderId="10" xfId="0" applyNumberFormat="1" applyFont="1" applyFill="1" applyBorder="1" applyAlignment="1">
      <alignment horizontal="left" vertical="center"/>
    </xf>
    <xf numFmtId="1" fontId="4" fillId="2" borderId="0" xfId="0" applyNumberFormat="1" applyFont="1" applyFill="1" applyBorder="1" applyAlignment="1">
      <alignment horizontal="left" vertical="center"/>
    </xf>
    <xf numFmtId="1" fontId="4" fillId="2" borderId="8" xfId="0" applyNumberFormat="1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 wrapText="1"/>
    </xf>
    <xf numFmtId="1" fontId="4" fillId="2" borderId="0" xfId="0" applyNumberFormat="1" applyFont="1" applyFill="1" applyBorder="1" applyAlignment="1">
      <alignment horizontal="center" vertical="center" wrapText="1"/>
    </xf>
    <xf numFmtId="1" fontId="4" fillId="2" borderId="8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/>
    </xf>
  </cellXfs>
  <cellStyles count="163">
    <cellStyle name="1" xfId="140"/>
    <cellStyle name="Comma" xfId="1" builtinId="3"/>
    <cellStyle name="Comma 2" xfId="7"/>
    <cellStyle name="Comma 3" xfId="10"/>
    <cellStyle name="Comma 3 2" xfId="158"/>
    <cellStyle name="Hyperlink" xfId="4" builtinId="8"/>
    <cellStyle name="Normal" xfId="0" builtinId="0"/>
    <cellStyle name="Normal - Style1" xfId="145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46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44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47"/>
    <cellStyle name="Normal 2 4" xfId="99"/>
    <cellStyle name="Normal 2 4 2" xfId="148"/>
    <cellStyle name="Normal 2 5" xfId="100"/>
    <cellStyle name="Normal 2 5 2" xfId="159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2 2" xfId="150"/>
    <cellStyle name="Normal 3 3" xfId="111"/>
    <cellStyle name="Normal 3 3 2" xfId="151"/>
    <cellStyle name="Normal 3 4" xfId="149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4 3 2" xfId="152"/>
    <cellStyle name="Normal 5" xfId="23"/>
    <cellStyle name="Normal 5 2" xfId="113"/>
    <cellStyle name="Normal 5 3" xfId="153"/>
    <cellStyle name="Normal 6" xfId="3"/>
    <cellStyle name="Normal 6 2" xfId="134"/>
    <cellStyle name="Normal 6 2 2" xfId="154"/>
    <cellStyle name="Normal 6 3" xfId="117"/>
    <cellStyle name="Normal 6 3 2" xfId="160"/>
    <cellStyle name="Normal 6 4" xfId="142"/>
    <cellStyle name="Normal 7" xfId="2"/>
    <cellStyle name="Normal 7 2" xfId="114"/>
    <cellStyle name="Normal 7 2 2" xfId="155"/>
    <cellStyle name="Normal 7 3" xfId="17"/>
    <cellStyle name="Normal 7 3 2" xfId="161"/>
    <cellStyle name="Normal 7 4" xfId="141"/>
    <cellStyle name="Normal 8" xfId="6"/>
    <cellStyle name="Normal 8 2" xfId="8"/>
    <cellStyle name="Normal 8 2 2" xfId="115"/>
    <cellStyle name="Normal 8 2 3" xfId="156"/>
    <cellStyle name="Normal 8 3" xfId="18"/>
    <cellStyle name="Normal 8 3 2" xfId="162"/>
    <cellStyle name="Normal 8 4" xfId="143"/>
    <cellStyle name="Normal 9" xfId="19"/>
    <cellStyle name="Normal 9 2" xfId="116"/>
    <cellStyle name="Normal 9 3" xfId="157"/>
    <cellStyle name="Percent 2" xfId="11"/>
  </cellStyles>
  <dxfs count="0"/>
  <tableStyles count="0" defaultTableStyle="TableStyleMedium9" defaultPivotStyle="PivotStyleLight16"/>
  <colors>
    <mruColors>
      <color rgb="FFFDEADA"/>
      <color rgb="FF953735"/>
      <color rgb="FFF79747"/>
      <color rgb="FFFFB265"/>
      <color rgb="FFFABF8E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79747"/>
            </a:solidFill>
            <a:ln>
              <a:noFill/>
            </a:ln>
            <a:effectLst/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'7.12'!$AK$7:$AK$21</c:f>
              <c:numCache>
                <c:formatCode>General</c:formatCode>
                <c:ptCount val="15"/>
                <c:pt idx="0">
                  <c:v>6456</c:v>
                </c:pt>
                <c:pt idx="1">
                  <c:v>8002</c:v>
                </c:pt>
                <c:pt idx="2">
                  <c:v>7805</c:v>
                </c:pt>
                <c:pt idx="3">
                  <c:v>7514</c:v>
                </c:pt>
                <c:pt idx="4">
                  <c:v>7193</c:v>
                </c:pt>
                <c:pt idx="5">
                  <c:v>6626</c:v>
                </c:pt>
                <c:pt idx="6">
                  <c:v>6031</c:v>
                </c:pt>
                <c:pt idx="7">
                  <c:v>5542</c:v>
                </c:pt>
                <c:pt idx="8">
                  <c:v>5377</c:v>
                </c:pt>
                <c:pt idx="9">
                  <c:v>5498</c:v>
                </c:pt>
                <c:pt idx="10">
                  <c:v>5652</c:v>
                </c:pt>
                <c:pt idx="11">
                  <c:v>5861</c:v>
                </c:pt>
                <c:pt idx="12">
                  <c:v>5743</c:v>
                </c:pt>
                <c:pt idx="13">
                  <c:v>2124</c:v>
                </c:pt>
                <c:pt idx="14">
                  <c:v>1996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118256000"/>
        <c:axId val="118257536"/>
      </c:barChart>
      <c:catAx>
        <c:axId val="1182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7536"/>
        <c:crosses val="autoZero"/>
        <c:auto val="1"/>
        <c:lblAlgn val="ctr"/>
        <c:lblOffset val="100"/>
        <c:noMultiLvlLbl val="0"/>
      </c:catAx>
      <c:valAx>
        <c:axId val="11825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BD1AF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6000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592720239043599E-2"/>
          <c:y val="0.13523127883226979"/>
          <c:w val="0.93420777674356204"/>
          <c:h val="0.782657050842869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'7.12'!$AK$6</c:f>
              <c:strCache>
                <c:ptCount val="1"/>
                <c:pt idx="0">
                  <c:v>Rep</c:v>
                </c:pt>
              </c:strCache>
            </c:strRef>
          </c:tx>
          <c:spPr>
            <a:solidFill>
              <a:srgbClr val="953735"/>
            </a:solidFill>
            <a:ln>
              <a:noFill/>
            </a:ln>
            <a:effectLst/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'7.12'!$AK$7:$AK$21</c:f>
              <c:numCache>
                <c:formatCode>General</c:formatCode>
                <c:ptCount val="15"/>
                <c:pt idx="0">
                  <c:v>6456</c:v>
                </c:pt>
                <c:pt idx="1">
                  <c:v>8002</c:v>
                </c:pt>
                <c:pt idx="2">
                  <c:v>7805</c:v>
                </c:pt>
                <c:pt idx="3">
                  <c:v>7514</c:v>
                </c:pt>
                <c:pt idx="4">
                  <c:v>7193</c:v>
                </c:pt>
                <c:pt idx="5">
                  <c:v>6626</c:v>
                </c:pt>
                <c:pt idx="6">
                  <c:v>6031</c:v>
                </c:pt>
                <c:pt idx="7">
                  <c:v>5542</c:v>
                </c:pt>
                <c:pt idx="8">
                  <c:v>5377</c:v>
                </c:pt>
                <c:pt idx="9">
                  <c:v>5498</c:v>
                </c:pt>
                <c:pt idx="10">
                  <c:v>5652</c:v>
                </c:pt>
                <c:pt idx="11">
                  <c:v>5861</c:v>
                </c:pt>
                <c:pt idx="12">
                  <c:v>5743</c:v>
                </c:pt>
                <c:pt idx="13">
                  <c:v>2124</c:v>
                </c:pt>
                <c:pt idx="14">
                  <c:v>1996</c:v>
                </c:pt>
              </c:numCache>
            </c:numRef>
          </c:val>
        </c:ser>
        <c:ser>
          <c:idx val="1"/>
          <c:order val="1"/>
          <c:tx>
            <c:strRef>
              <c:f>'7.12'!$AL$6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79747"/>
            </a:solidFill>
            <a:ln>
              <a:noFill/>
            </a:ln>
            <a:effectLst/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'7.12'!$AL$7:$AL$21</c:f>
              <c:numCache>
                <c:formatCode>General</c:formatCode>
                <c:ptCount val="15"/>
                <c:pt idx="0">
                  <c:v>2897</c:v>
                </c:pt>
                <c:pt idx="1">
                  <c:v>2871</c:v>
                </c:pt>
                <c:pt idx="2">
                  <c:v>3008</c:v>
                </c:pt>
                <c:pt idx="3">
                  <c:v>2585</c:v>
                </c:pt>
                <c:pt idx="4">
                  <c:v>2532</c:v>
                </c:pt>
                <c:pt idx="5">
                  <c:v>2181</c:v>
                </c:pt>
                <c:pt idx="6">
                  <c:v>2027</c:v>
                </c:pt>
                <c:pt idx="7">
                  <c:v>1812</c:v>
                </c:pt>
                <c:pt idx="8">
                  <c:v>1756</c:v>
                </c:pt>
                <c:pt idx="9">
                  <c:v>1727</c:v>
                </c:pt>
                <c:pt idx="10">
                  <c:v>1807</c:v>
                </c:pt>
                <c:pt idx="11">
                  <c:v>1825</c:v>
                </c:pt>
                <c:pt idx="12">
                  <c:v>1915</c:v>
                </c:pt>
                <c:pt idx="13">
                  <c:v>1262</c:v>
                </c:pt>
                <c:pt idx="14">
                  <c:v>1237</c:v>
                </c:pt>
              </c:numCache>
            </c:numRef>
          </c:val>
        </c:ser>
        <c:ser>
          <c:idx val="2"/>
          <c:order val="2"/>
          <c:tx>
            <c:strRef>
              <c:f>'7.12'!$AM$6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B265"/>
            </a:solidFill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'7.12'!$AM$7:$AM$21</c:f>
              <c:numCache>
                <c:formatCode>General</c:formatCode>
                <c:ptCount val="15"/>
                <c:pt idx="0">
                  <c:v>3559</c:v>
                </c:pt>
                <c:pt idx="1">
                  <c:v>5131</c:v>
                </c:pt>
                <c:pt idx="2">
                  <c:v>4797</c:v>
                </c:pt>
                <c:pt idx="3">
                  <c:v>4929</c:v>
                </c:pt>
                <c:pt idx="4">
                  <c:v>4661</c:v>
                </c:pt>
                <c:pt idx="5">
                  <c:v>4445</c:v>
                </c:pt>
                <c:pt idx="6">
                  <c:v>4004</c:v>
                </c:pt>
                <c:pt idx="7">
                  <c:v>3730</c:v>
                </c:pt>
                <c:pt idx="8">
                  <c:v>3621</c:v>
                </c:pt>
                <c:pt idx="9">
                  <c:v>3771</c:v>
                </c:pt>
                <c:pt idx="10">
                  <c:v>3845</c:v>
                </c:pt>
                <c:pt idx="11">
                  <c:v>4036</c:v>
                </c:pt>
                <c:pt idx="12">
                  <c:v>3828</c:v>
                </c:pt>
                <c:pt idx="13">
                  <c:v>862</c:v>
                </c:pt>
                <c:pt idx="14">
                  <c:v>759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120896512"/>
        <c:axId val="120906496"/>
      </c:barChart>
      <c:catAx>
        <c:axId val="1208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6496"/>
        <c:crosses val="autoZero"/>
        <c:auto val="1"/>
        <c:lblAlgn val="ctr"/>
        <c:lblOffset val="100"/>
        <c:noMultiLvlLbl val="0"/>
      </c:catAx>
      <c:valAx>
        <c:axId val="1209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ABF8E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6512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0945340509779657"/>
          <c:y val="0.23078954870720864"/>
          <c:w val="0.18191553531846855"/>
          <c:h val="6.3555464386408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518583</xdr:colOff>
      <xdr:row>61</xdr:row>
      <xdr:rowOff>25398</xdr:rowOff>
    </xdr:from>
    <xdr:to>
      <xdr:col>18</xdr:col>
      <xdr:colOff>333375</xdr:colOff>
      <xdr:row>87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523874</xdr:colOff>
      <xdr:row>30</xdr:row>
      <xdr:rowOff>136524</xdr:rowOff>
    </xdr:from>
    <xdr:to>
      <xdr:col>18</xdr:col>
      <xdr:colOff>333374</xdr:colOff>
      <xdr:row>59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247649</xdr:colOff>
      <xdr:row>31</xdr:row>
      <xdr:rowOff>152400</xdr:rowOff>
    </xdr:from>
    <xdr:to>
      <xdr:col>15</xdr:col>
      <xdr:colOff>295274</xdr:colOff>
      <xdr:row>31</xdr:row>
      <xdr:rowOff>152400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3905249" y="6438900"/>
          <a:ext cx="54006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466725</xdr:colOff>
      <xdr:row>61</xdr:row>
      <xdr:rowOff>76201</xdr:rowOff>
    </xdr:from>
    <xdr:to>
      <xdr:col>14</xdr:col>
      <xdr:colOff>127369</xdr:colOff>
      <xdr:row>64</xdr:row>
      <xdr:rowOff>49841</xdr:rowOff>
    </xdr:to>
    <xdr:sp macro="" textlink="">
      <xdr:nvSpPr>
        <xdr:cNvPr id="5" name="TextBox 4"/>
        <xdr:cNvSpPr txBox="1"/>
      </xdr:nvSpPr>
      <xdr:spPr>
        <a:xfrm>
          <a:off x="4132742" y="9983309"/>
          <a:ext cx="4506211" cy="32252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7.11: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Number of </a:t>
          </a: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Students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enrolled by grade,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415335</xdr:colOff>
      <xdr:row>63</xdr:row>
      <xdr:rowOff>83067</xdr:rowOff>
    </xdr:from>
    <xdr:to>
      <xdr:col>13</xdr:col>
      <xdr:colOff>564855</xdr:colOff>
      <xdr:row>63</xdr:row>
      <xdr:rowOff>83067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4081352" y="10222762"/>
          <a:ext cx="4413619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0.21272</cdr:x>
      <cdr:y>0.01569</cdr:y>
    </cdr:from>
    <cdr:to>
      <cdr:x>0.84026</cdr:x>
      <cdr:y>0.1032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2600" y="56003"/>
          <a:ext cx="5612626" cy="3122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7.10: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Number of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Students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enrolled by grade and locality, 2016</a:t>
          </a:r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33"/>
  <sheetViews>
    <sheetView tabSelected="1" zoomScaleNormal="100" workbookViewId="0">
      <selection activeCell="AB58" sqref="AB58"/>
    </sheetView>
  </sheetViews>
  <sheetFormatPr defaultColWidth="7.140625" defaultRowHeight="9" x14ac:dyDescent="0.15"/>
  <cols>
    <col min="1" max="1" width="22.5703125" style="10" customWidth="1"/>
    <col min="2" max="2" width="8.7109375" style="10" bestFit="1" customWidth="1"/>
    <col min="3" max="5" width="7.85546875" style="11" bestFit="1" customWidth="1"/>
    <col min="6" max="6" width="8.7109375" style="11" bestFit="1" customWidth="1"/>
    <col min="7" max="13" width="7.85546875" style="11" bestFit="1" customWidth="1"/>
    <col min="14" max="14" width="8.7109375" style="11" bestFit="1" customWidth="1"/>
    <col min="15" max="17" width="7.85546875" style="11" bestFit="1" customWidth="1"/>
    <col min="18" max="18" width="8.7109375" style="11" bestFit="1" customWidth="1"/>
    <col min="19" max="21" width="7.85546875" style="11" bestFit="1" customWidth="1"/>
    <col min="22" max="22" width="10.42578125" style="12" customWidth="1"/>
    <col min="23" max="16384" width="7.140625" style="9"/>
  </cols>
  <sheetData>
    <row r="1" spans="1:39" ht="18.75" x14ac:dyDescent="0.45">
      <c r="A1" s="71" t="s">
        <v>49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39" ht="18.75" x14ac:dyDescent="0.3">
      <c r="A2" s="49" t="s">
        <v>48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</row>
    <row r="3" spans="1:39" ht="12.75" customHeight="1" x14ac:dyDescent="0.15">
      <c r="C3" s="12"/>
      <c r="D3" s="12"/>
      <c r="E3" s="12"/>
      <c r="F3" s="12"/>
    </row>
    <row r="4" spans="1:39" ht="30" customHeight="1" x14ac:dyDescent="0.15">
      <c r="A4" s="59" t="s">
        <v>10</v>
      </c>
      <c r="B4" s="62" t="s">
        <v>0</v>
      </c>
      <c r="C4" s="68" t="s">
        <v>47</v>
      </c>
      <c r="D4" s="68"/>
      <c r="E4" s="68"/>
      <c r="F4" s="69"/>
      <c r="G4" s="70" t="s">
        <v>5</v>
      </c>
      <c r="H4" s="68"/>
      <c r="I4" s="68"/>
      <c r="J4" s="68"/>
      <c r="K4" s="68"/>
      <c r="L4" s="68"/>
      <c r="M4" s="68"/>
      <c r="N4" s="69"/>
      <c r="O4" s="68" t="s">
        <v>46</v>
      </c>
      <c r="P4" s="68"/>
      <c r="Q4" s="68"/>
      <c r="R4" s="68"/>
      <c r="S4" s="70" t="s">
        <v>6</v>
      </c>
      <c r="T4" s="68"/>
      <c r="U4" s="69"/>
      <c r="V4" s="65" t="s">
        <v>45</v>
      </c>
    </row>
    <row r="5" spans="1:39" x14ac:dyDescent="0.15">
      <c r="A5" s="60"/>
      <c r="B5" s="63"/>
      <c r="C5" s="51" t="s">
        <v>11</v>
      </c>
      <c r="D5" s="53" t="s">
        <v>7</v>
      </c>
      <c r="E5" s="53" t="s">
        <v>8</v>
      </c>
      <c r="F5" s="55" t="s">
        <v>0</v>
      </c>
      <c r="G5" s="53" t="s">
        <v>12</v>
      </c>
      <c r="H5" s="53" t="s">
        <v>13</v>
      </c>
      <c r="I5" s="53" t="s">
        <v>14</v>
      </c>
      <c r="J5" s="53" t="s">
        <v>15</v>
      </c>
      <c r="K5" s="53" t="s">
        <v>16</v>
      </c>
      <c r="L5" s="53" t="s">
        <v>17</v>
      </c>
      <c r="M5" s="53" t="s">
        <v>18</v>
      </c>
      <c r="N5" s="55" t="s">
        <v>0</v>
      </c>
      <c r="O5" s="53" t="s">
        <v>19</v>
      </c>
      <c r="P5" s="53" t="s">
        <v>20</v>
      </c>
      <c r="Q5" s="53" t="s">
        <v>21</v>
      </c>
      <c r="R5" s="53" t="s">
        <v>0</v>
      </c>
      <c r="S5" s="57" t="s">
        <v>22</v>
      </c>
      <c r="T5" s="53" t="s">
        <v>23</v>
      </c>
      <c r="U5" s="55" t="s">
        <v>0</v>
      </c>
      <c r="V5" s="66"/>
    </row>
    <row r="6" spans="1:39" ht="15" customHeight="1" x14ac:dyDescent="0.15">
      <c r="A6" s="61"/>
      <c r="B6" s="64"/>
      <c r="C6" s="52"/>
      <c r="D6" s="54"/>
      <c r="E6" s="54"/>
      <c r="F6" s="56"/>
      <c r="G6" s="54"/>
      <c r="H6" s="54"/>
      <c r="I6" s="54"/>
      <c r="J6" s="54"/>
      <c r="K6" s="54"/>
      <c r="L6" s="54"/>
      <c r="M6" s="54"/>
      <c r="N6" s="56"/>
      <c r="O6" s="54"/>
      <c r="P6" s="54"/>
      <c r="Q6" s="54"/>
      <c r="R6" s="54"/>
      <c r="S6" s="58"/>
      <c r="T6" s="54"/>
      <c r="U6" s="56"/>
      <c r="V6" s="67"/>
      <c r="AJ6" s="44"/>
      <c r="AK6" s="44" t="s">
        <v>50</v>
      </c>
      <c r="AL6" s="44" t="s">
        <v>1</v>
      </c>
      <c r="AM6" s="44" t="s">
        <v>2</v>
      </c>
    </row>
    <row r="7" spans="1:39" s="15" customFormat="1" ht="17.25" customHeight="1" x14ac:dyDescent="0.25">
      <c r="A7" s="17" t="s">
        <v>9</v>
      </c>
      <c r="B7" s="22">
        <f>F7+N7+R7+U7+V7</f>
        <v>87788</v>
      </c>
      <c r="C7" s="22">
        <f t="shared" ref="C7:R7" si="0">SUM(C8:C9)</f>
        <v>6456</v>
      </c>
      <c r="D7" s="22">
        <f t="shared" si="0"/>
        <v>8002</v>
      </c>
      <c r="E7" s="22">
        <f t="shared" si="0"/>
        <v>7805</v>
      </c>
      <c r="F7" s="22">
        <f t="shared" si="0"/>
        <v>22263</v>
      </c>
      <c r="G7" s="23">
        <f t="shared" si="0"/>
        <v>7514</v>
      </c>
      <c r="H7" s="24">
        <f t="shared" si="0"/>
        <v>7193</v>
      </c>
      <c r="I7" s="24">
        <f t="shared" si="0"/>
        <v>6626</v>
      </c>
      <c r="J7" s="24">
        <f t="shared" si="0"/>
        <v>6031</v>
      </c>
      <c r="K7" s="24">
        <f t="shared" si="0"/>
        <v>5542</v>
      </c>
      <c r="L7" s="24">
        <f t="shared" si="0"/>
        <v>5377</v>
      </c>
      <c r="M7" s="24">
        <f t="shared" si="0"/>
        <v>5498</v>
      </c>
      <c r="N7" s="25">
        <f t="shared" si="0"/>
        <v>43781</v>
      </c>
      <c r="O7" s="22">
        <f t="shared" si="0"/>
        <v>5652</v>
      </c>
      <c r="P7" s="22">
        <f t="shared" si="0"/>
        <v>5861</v>
      </c>
      <c r="Q7" s="22">
        <f t="shared" si="0"/>
        <v>5743</v>
      </c>
      <c r="R7" s="22">
        <f t="shared" si="0"/>
        <v>17256</v>
      </c>
      <c r="S7" s="26">
        <f t="shared" ref="S7:U7" si="1">SUM(S8:S9)</f>
        <v>2124</v>
      </c>
      <c r="T7" s="22">
        <f t="shared" si="1"/>
        <v>1996</v>
      </c>
      <c r="U7" s="27">
        <f t="shared" si="1"/>
        <v>4120</v>
      </c>
      <c r="V7" s="22">
        <f>SUM(V8:V9)</f>
        <v>368</v>
      </c>
      <c r="AJ7" s="45" t="s">
        <v>11</v>
      </c>
      <c r="AK7" s="45">
        <v>6456</v>
      </c>
      <c r="AL7" s="45">
        <v>2897</v>
      </c>
      <c r="AM7" s="45">
        <v>3559</v>
      </c>
    </row>
    <row r="8" spans="1:39" s="21" customFormat="1" ht="18.95" customHeight="1" x14ac:dyDescent="0.25">
      <c r="A8" s="16" t="s">
        <v>1</v>
      </c>
      <c r="B8" s="22">
        <f>V8+U8+R8+N8+F8</f>
        <v>31649</v>
      </c>
      <c r="C8" s="22">
        <v>2897</v>
      </c>
      <c r="D8" s="22">
        <v>2871</v>
      </c>
      <c r="E8" s="22">
        <v>3008</v>
      </c>
      <c r="F8" s="22">
        <f>SUM(C8:E8)</f>
        <v>8776</v>
      </c>
      <c r="G8" s="26">
        <v>2585</v>
      </c>
      <c r="H8" s="22">
        <v>2532</v>
      </c>
      <c r="I8" s="22">
        <v>2181</v>
      </c>
      <c r="J8" s="22">
        <v>2027</v>
      </c>
      <c r="K8" s="22">
        <v>1812</v>
      </c>
      <c r="L8" s="22">
        <v>1756</v>
      </c>
      <c r="M8" s="22">
        <v>1727</v>
      </c>
      <c r="N8" s="27">
        <f>SUM(G8:M8)</f>
        <v>14620</v>
      </c>
      <c r="O8" s="22">
        <v>1807</v>
      </c>
      <c r="P8" s="22">
        <v>1825</v>
      </c>
      <c r="Q8" s="22">
        <v>1915</v>
      </c>
      <c r="R8" s="22">
        <f>SUM(O8:Q8)</f>
        <v>5547</v>
      </c>
      <c r="S8" s="26">
        <v>1262</v>
      </c>
      <c r="T8" s="22">
        <v>1237</v>
      </c>
      <c r="U8" s="27">
        <f>SUM(S8:T8)</f>
        <v>2499</v>
      </c>
      <c r="V8" s="22">
        <v>207</v>
      </c>
      <c r="AJ8" s="46" t="s">
        <v>7</v>
      </c>
      <c r="AK8" s="46">
        <v>8002</v>
      </c>
      <c r="AL8" s="46">
        <v>2871</v>
      </c>
      <c r="AM8" s="46">
        <v>5131</v>
      </c>
    </row>
    <row r="9" spans="1:39" s="21" customFormat="1" ht="18.95" customHeight="1" x14ac:dyDescent="0.25">
      <c r="A9" s="16" t="s">
        <v>44</v>
      </c>
      <c r="B9" s="22">
        <f>V9+U9+R9+N9+F9</f>
        <v>56139</v>
      </c>
      <c r="C9" s="22">
        <f>SUM(C10:C29)</f>
        <v>3559</v>
      </c>
      <c r="D9" s="22">
        <f t="shared" ref="D9:K9" si="2">SUM(D10:D29)</f>
        <v>5131</v>
      </c>
      <c r="E9" s="22">
        <f t="shared" si="2"/>
        <v>4797</v>
      </c>
      <c r="F9" s="22">
        <f t="shared" si="2"/>
        <v>13487</v>
      </c>
      <c r="G9" s="26">
        <f>SUM(G10:G29)</f>
        <v>4929</v>
      </c>
      <c r="H9" s="22">
        <f>SUM(H10:H29)</f>
        <v>4661</v>
      </c>
      <c r="I9" s="22">
        <f>SUM(I10:I29)</f>
        <v>4445</v>
      </c>
      <c r="J9" s="22">
        <f>SUM(J10:J29)</f>
        <v>4004</v>
      </c>
      <c r="K9" s="22">
        <f t="shared" si="2"/>
        <v>3730</v>
      </c>
      <c r="L9" s="22">
        <f>SUM(L10:L29)</f>
        <v>3621</v>
      </c>
      <c r="M9" s="22">
        <f>SUM(M10:M29)</f>
        <v>3771</v>
      </c>
      <c r="N9" s="27">
        <f>SUM(G9:M9)</f>
        <v>29161</v>
      </c>
      <c r="O9" s="22">
        <f t="shared" ref="O9:U9" si="3">SUM(O10:O29)</f>
        <v>3845</v>
      </c>
      <c r="P9" s="22">
        <f t="shared" si="3"/>
        <v>4036</v>
      </c>
      <c r="Q9" s="22">
        <f t="shared" si="3"/>
        <v>3828</v>
      </c>
      <c r="R9" s="22">
        <f t="shared" si="3"/>
        <v>11709</v>
      </c>
      <c r="S9" s="26">
        <f t="shared" si="3"/>
        <v>862</v>
      </c>
      <c r="T9" s="22">
        <f t="shared" si="3"/>
        <v>759</v>
      </c>
      <c r="U9" s="27">
        <f t="shared" si="3"/>
        <v>1621</v>
      </c>
      <c r="V9" s="22">
        <f>SUM(V10:V29)</f>
        <v>161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J9" s="46" t="s">
        <v>8</v>
      </c>
      <c r="AK9" s="46">
        <v>7805</v>
      </c>
      <c r="AL9" s="46">
        <v>3008</v>
      </c>
      <c r="AM9" s="46">
        <v>4797</v>
      </c>
    </row>
    <row r="10" spans="1:39" s="13" customFormat="1" ht="15" x14ac:dyDescent="0.25">
      <c r="A10" s="18" t="s">
        <v>24</v>
      </c>
      <c r="B10" s="22">
        <f>F10+N10+R10+U10+V10</f>
        <v>3584</v>
      </c>
      <c r="C10" s="28">
        <v>201</v>
      </c>
      <c r="D10" s="28">
        <v>333</v>
      </c>
      <c r="E10" s="28">
        <v>300</v>
      </c>
      <c r="F10" s="29">
        <f>SUM(C10:E10)</f>
        <v>834</v>
      </c>
      <c r="G10" s="30">
        <v>314</v>
      </c>
      <c r="H10" s="28">
        <v>328</v>
      </c>
      <c r="I10" s="28">
        <v>269</v>
      </c>
      <c r="J10" s="28">
        <v>232</v>
      </c>
      <c r="K10" s="31">
        <v>222</v>
      </c>
      <c r="L10" s="28">
        <v>234</v>
      </c>
      <c r="M10" s="28">
        <v>260</v>
      </c>
      <c r="N10" s="32">
        <f>SUM(G10:M10)</f>
        <v>1859</v>
      </c>
      <c r="O10" s="28">
        <v>276</v>
      </c>
      <c r="P10" s="28">
        <v>269</v>
      </c>
      <c r="Q10" s="28">
        <v>248</v>
      </c>
      <c r="R10" s="29">
        <f>SUM(O10:Q10)</f>
        <v>793</v>
      </c>
      <c r="S10" s="30">
        <v>48</v>
      </c>
      <c r="T10" s="28">
        <v>50</v>
      </c>
      <c r="U10" s="32">
        <f>SUM(S10:T10)</f>
        <v>98</v>
      </c>
      <c r="V10" s="42">
        <v>0</v>
      </c>
      <c r="AJ10" s="47" t="s">
        <v>12</v>
      </c>
      <c r="AK10" s="47">
        <v>7514</v>
      </c>
      <c r="AL10" s="47">
        <v>2585</v>
      </c>
      <c r="AM10" s="47">
        <v>4929</v>
      </c>
    </row>
    <row r="11" spans="1:39" s="13" customFormat="1" ht="15" x14ac:dyDescent="0.25">
      <c r="A11" s="18" t="s">
        <v>25</v>
      </c>
      <c r="B11" s="22">
        <f t="shared" ref="B11:B29" si="4">F11+N11+R11+U11+V11</f>
        <v>5625</v>
      </c>
      <c r="C11" s="28">
        <v>464</v>
      </c>
      <c r="D11" s="28">
        <v>545</v>
      </c>
      <c r="E11" s="28">
        <v>521</v>
      </c>
      <c r="F11" s="29">
        <f t="shared" ref="F11:F29" si="5">SUM(C11:E11)</f>
        <v>1530</v>
      </c>
      <c r="G11" s="30">
        <v>500</v>
      </c>
      <c r="H11" s="28">
        <v>438</v>
      </c>
      <c r="I11" s="28">
        <v>428</v>
      </c>
      <c r="J11" s="28">
        <v>405</v>
      </c>
      <c r="K11" s="31">
        <v>329</v>
      </c>
      <c r="L11" s="28">
        <v>324</v>
      </c>
      <c r="M11" s="28">
        <v>361</v>
      </c>
      <c r="N11" s="32">
        <f t="shared" ref="N11:N27" si="6">SUM(G11:M11)</f>
        <v>2785</v>
      </c>
      <c r="O11" s="28">
        <v>372</v>
      </c>
      <c r="P11" s="28">
        <v>361</v>
      </c>
      <c r="Q11" s="28">
        <v>390</v>
      </c>
      <c r="R11" s="29">
        <f t="shared" ref="R11:R29" si="7">SUM(O11:Q11)</f>
        <v>1123</v>
      </c>
      <c r="S11" s="30">
        <v>84</v>
      </c>
      <c r="T11" s="28">
        <v>103</v>
      </c>
      <c r="U11" s="32">
        <f t="shared" ref="U11:U29" si="8">SUM(S11:T11)</f>
        <v>187</v>
      </c>
      <c r="V11" s="42">
        <v>0</v>
      </c>
      <c r="AJ11" s="47" t="s">
        <v>13</v>
      </c>
      <c r="AK11" s="47">
        <v>7193</v>
      </c>
      <c r="AL11" s="47">
        <v>2532</v>
      </c>
      <c r="AM11" s="47">
        <v>4661</v>
      </c>
    </row>
    <row r="12" spans="1:39" s="13" customFormat="1" ht="15" x14ac:dyDescent="0.25">
      <c r="A12" s="18" t="s">
        <v>26</v>
      </c>
      <c r="B12" s="22">
        <f t="shared" si="4"/>
        <v>3680</v>
      </c>
      <c r="C12" s="28">
        <v>94</v>
      </c>
      <c r="D12" s="28">
        <v>347</v>
      </c>
      <c r="E12" s="28">
        <v>343</v>
      </c>
      <c r="F12" s="29">
        <f t="shared" si="5"/>
        <v>784</v>
      </c>
      <c r="G12" s="30">
        <v>357</v>
      </c>
      <c r="H12" s="28">
        <v>292</v>
      </c>
      <c r="I12" s="28">
        <v>292</v>
      </c>
      <c r="J12" s="28">
        <v>263</v>
      </c>
      <c r="K12" s="31">
        <v>257</v>
      </c>
      <c r="L12" s="28">
        <v>260</v>
      </c>
      <c r="M12" s="28">
        <v>249</v>
      </c>
      <c r="N12" s="32">
        <f t="shared" si="6"/>
        <v>1970</v>
      </c>
      <c r="O12" s="28">
        <v>297</v>
      </c>
      <c r="P12" s="28">
        <v>314</v>
      </c>
      <c r="Q12" s="28">
        <v>250</v>
      </c>
      <c r="R12" s="29">
        <f t="shared" si="7"/>
        <v>861</v>
      </c>
      <c r="S12" s="30">
        <v>32</v>
      </c>
      <c r="T12" s="28">
        <v>26</v>
      </c>
      <c r="U12" s="32">
        <f t="shared" si="8"/>
        <v>58</v>
      </c>
      <c r="V12" s="42">
        <v>7</v>
      </c>
      <c r="AJ12" s="47" t="s">
        <v>14</v>
      </c>
      <c r="AK12" s="47">
        <v>6626</v>
      </c>
      <c r="AL12" s="47">
        <v>2181</v>
      </c>
      <c r="AM12" s="47">
        <v>4445</v>
      </c>
    </row>
    <row r="13" spans="1:39" s="13" customFormat="1" ht="15" x14ac:dyDescent="0.25">
      <c r="A13" s="18" t="s">
        <v>27</v>
      </c>
      <c r="B13" s="22">
        <f t="shared" si="4"/>
        <v>2967</v>
      </c>
      <c r="C13" s="28">
        <v>206</v>
      </c>
      <c r="D13" s="28">
        <v>287</v>
      </c>
      <c r="E13" s="28">
        <v>272</v>
      </c>
      <c r="F13" s="29">
        <f t="shared" si="5"/>
        <v>765</v>
      </c>
      <c r="G13" s="30">
        <v>294</v>
      </c>
      <c r="H13" s="28">
        <v>229</v>
      </c>
      <c r="I13" s="28">
        <v>224</v>
      </c>
      <c r="J13" s="28">
        <v>206</v>
      </c>
      <c r="K13" s="31">
        <v>197</v>
      </c>
      <c r="L13" s="28">
        <v>205</v>
      </c>
      <c r="M13" s="28">
        <v>193</v>
      </c>
      <c r="N13" s="32">
        <f t="shared" si="6"/>
        <v>1548</v>
      </c>
      <c r="O13" s="28">
        <v>198</v>
      </c>
      <c r="P13" s="28">
        <v>188</v>
      </c>
      <c r="Q13" s="28">
        <v>193</v>
      </c>
      <c r="R13" s="29">
        <f t="shared" si="7"/>
        <v>579</v>
      </c>
      <c r="S13" s="30">
        <v>35</v>
      </c>
      <c r="T13" s="28">
        <v>40</v>
      </c>
      <c r="U13" s="32">
        <f t="shared" si="8"/>
        <v>75</v>
      </c>
      <c r="V13" s="42">
        <v>0</v>
      </c>
      <c r="AJ13" s="47" t="s">
        <v>15</v>
      </c>
      <c r="AK13" s="47">
        <v>6031</v>
      </c>
      <c r="AL13" s="47">
        <v>2027</v>
      </c>
      <c r="AM13" s="47">
        <v>4004</v>
      </c>
    </row>
    <row r="14" spans="1:39" s="13" customFormat="1" ht="15" x14ac:dyDescent="0.25">
      <c r="A14" s="18" t="s">
        <v>28</v>
      </c>
      <c r="B14" s="22">
        <f t="shared" si="4"/>
        <v>4704</v>
      </c>
      <c r="C14" s="28">
        <v>355</v>
      </c>
      <c r="D14" s="28">
        <v>423</v>
      </c>
      <c r="E14" s="28">
        <v>375</v>
      </c>
      <c r="F14" s="29">
        <f t="shared" si="5"/>
        <v>1153</v>
      </c>
      <c r="G14" s="30">
        <v>404</v>
      </c>
      <c r="H14" s="28">
        <v>363</v>
      </c>
      <c r="I14" s="28">
        <v>343</v>
      </c>
      <c r="J14" s="28">
        <v>313</v>
      </c>
      <c r="K14" s="31">
        <v>311</v>
      </c>
      <c r="L14" s="28">
        <v>272</v>
      </c>
      <c r="M14" s="28">
        <v>343</v>
      </c>
      <c r="N14" s="32">
        <f t="shared" si="6"/>
        <v>2349</v>
      </c>
      <c r="O14" s="28">
        <v>332</v>
      </c>
      <c r="P14" s="28">
        <v>365</v>
      </c>
      <c r="Q14" s="28">
        <v>354</v>
      </c>
      <c r="R14" s="29">
        <f t="shared" si="7"/>
        <v>1051</v>
      </c>
      <c r="S14" s="30">
        <v>96</v>
      </c>
      <c r="T14" s="28">
        <v>55</v>
      </c>
      <c r="U14" s="32">
        <f t="shared" si="8"/>
        <v>151</v>
      </c>
      <c r="V14" s="42">
        <v>0</v>
      </c>
      <c r="AJ14" s="47" t="s">
        <v>16</v>
      </c>
      <c r="AK14" s="47">
        <v>5542</v>
      </c>
      <c r="AL14" s="47">
        <v>1812</v>
      </c>
      <c r="AM14" s="47">
        <v>3730</v>
      </c>
    </row>
    <row r="15" spans="1:39" s="13" customFormat="1" ht="15" x14ac:dyDescent="0.25">
      <c r="A15" s="18" t="s">
        <v>29</v>
      </c>
      <c r="B15" s="22">
        <f t="shared" si="4"/>
        <v>2614</v>
      </c>
      <c r="C15" s="28">
        <v>171</v>
      </c>
      <c r="D15" s="28">
        <v>227</v>
      </c>
      <c r="E15" s="28">
        <v>216</v>
      </c>
      <c r="F15" s="29">
        <f t="shared" si="5"/>
        <v>614</v>
      </c>
      <c r="G15" s="30">
        <v>250</v>
      </c>
      <c r="H15" s="28">
        <v>169</v>
      </c>
      <c r="I15" s="28">
        <v>192</v>
      </c>
      <c r="J15" s="28">
        <v>169</v>
      </c>
      <c r="K15" s="31">
        <v>166</v>
      </c>
      <c r="L15" s="28">
        <v>196</v>
      </c>
      <c r="M15" s="28">
        <v>168</v>
      </c>
      <c r="N15" s="32">
        <f t="shared" si="6"/>
        <v>1310</v>
      </c>
      <c r="O15" s="28">
        <v>194</v>
      </c>
      <c r="P15" s="28">
        <v>171</v>
      </c>
      <c r="Q15" s="28">
        <v>197</v>
      </c>
      <c r="R15" s="29">
        <f t="shared" si="7"/>
        <v>562</v>
      </c>
      <c r="S15" s="30">
        <v>51</v>
      </c>
      <c r="T15" s="28">
        <v>77</v>
      </c>
      <c r="U15" s="32">
        <f t="shared" si="8"/>
        <v>128</v>
      </c>
      <c r="V15" s="42">
        <v>0</v>
      </c>
      <c r="AJ15" s="47" t="s">
        <v>17</v>
      </c>
      <c r="AK15" s="47">
        <v>5377</v>
      </c>
      <c r="AL15" s="47">
        <v>1756</v>
      </c>
      <c r="AM15" s="47">
        <v>3621</v>
      </c>
    </row>
    <row r="16" spans="1:39" s="13" customFormat="1" ht="15" x14ac:dyDescent="0.25">
      <c r="A16" s="18" t="s">
        <v>30</v>
      </c>
      <c r="B16" s="22">
        <f t="shared" si="4"/>
        <v>2092</v>
      </c>
      <c r="C16" s="28">
        <v>95</v>
      </c>
      <c r="D16" s="28">
        <v>189</v>
      </c>
      <c r="E16" s="28">
        <v>156</v>
      </c>
      <c r="F16" s="29">
        <f t="shared" si="5"/>
        <v>440</v>
      </c>
      <c r="G16" s="30">
        <v>195</v>
      </c>
      <c r="H16" s="28">
        <v>170</v>
      </c>
      <c r="I16" s="28">
        <v>163</v>
      </c>
      <c r="J16" s="28">
        <v>143</v>
      </c>
      <c r="K16" s="31">
        <v>163</v>
      </c>
      <c r="L16" s="28">
        <v>151</v>
      </c>
      <c r="M16" s="28">
        <v>150</v>
      </c>
      <c r="N16" s="32">
        <f t="shared" si="6"/>
        <v>1135</v>
      </c>
      <c r="O16" s="28">
        <v>132</v>
      </c>
      <c r="P16" s="28">
        <v>132</v>
      </c>
      <c r="Q16" s="28">
        <v>170</v>
      </c>
      <c r="R16" s="29">
        <f t="shared" si="7"/>
        <v>434</v>
      </c>
      <c r="S16" s="30">
        <v>40</v>
      </c>
      <c r="T16" s="28">
        <v>39</v>
      </c>
      <c r="U16" s="32">
        <f t="shared" si="8"/>
        <v>79</v>
      </c>
      <c r="V16" s="42">
        <v>4</v>
      </c>
      <c r="AJ16" s="47" t="s">
        <v>18</v>
      </c>
      <c r="AK16" s="47">
        <v>5498</v>
      </c>
      <c r="AL16" s="47">
        <v>1727</v>
      </c>
      <c r="AM16" s="47">
        <v>3771</v>
      </c>
    </row>
    <row r="17" spans="1:39" s="13" customFormat="1" ht="15" x14ac:dyDescent="0.25">
      <c r="A17" s="18" t="s">
        <v>31</v>
      </c>
      <c r="B17" s="22">
        <f t="shared" si="4"/>
        <v>2791</v>
      </c>
      <c r="C17" s="28">
        <v>208</v>
      </c>
      <c r="D17" s="28">
        <v>320</v>
      </c>
      <c r="E17" s="28">
        <v>251</v>
      </c>
      <c r="F17" s="29">
        <f t="shared" si="5"/>
        <v>779</v>
      </c>
      <c r="G17" s="30">
        <v>234</v>
      </c>
      <c r="H17" s="28">
        <v>262</v>
      </c>
      <c r="I17" s="28">
        <v>209</v>
      </c>
      <c r="J17" s="28">
        <v>231</v>
      </c>
      <c r="K17" s="31">
        <v>179</v>
      </c>
      <c r="L17" s="28">
        <v>188</v>
      </c>
      <c r="M17" s="28">
        <v>175</v>
      </c>
      <c r="N17" s="32">
        <f t="shared" si="6"/>
        <v>1478</v>
      </c>
      <c r="O17" s="28">
        <v>157</v>
      </c>
      <c r="P17" s="28">
        <v>204</v>
      </c>
      <c r="Q17" s="28">
        <v>161</v>
      </c>
      <c r="R17" s="29">
        <f t="shared" si="7"/>
        <v>522</v>
      </c>
      <c r="S17" s="39">
        <v>6</v>
      </c>
      <c r="T17" s="40">
        <v>6</v>
      </c>
      <c r="U17" s="41">
        <f t="shared" si="8"/>
        <v>12</v>
      </c>
      <c r="V17" s="42">
        <v>0</v>
      </c>
      <c r="AJ17" s="47" t="s">
        <v>19</v>
      </c>
      <c r="AK17" s="47">
        <v>5652</v>
      </c>
      <c r="AL17" s="47">
        <v>1807</v>
      </c>
      <c r="AM17" s="47">
        <v>3845</v>
      </c>
    </row>
    <row r="18" spans="1:39" s="13" customFormat="1" ht="15" customHeight="1" x14ac:dyDescent="0.25">
      <c r="A18" s="18" t="s">
        <v>32</v>
      </c>
      <c r="B18" s="22">
        <f t="shared" si="4"/>
        <v>1681</v>
      </c>
      <c r="C18" s="28">
        <v>100</v>
      </c>
      <c r="D18" s="28">
        <v>169</v>
      </c>
      <c r="E18" s="28">
        <v>154</v>
      </c>
      <c r="F18" s="29">
        <f t="shared" si="5"/>
        <v>423</v>
      </c>
      <c r="G18" s="30">
        <v>164</v>
      </c>
      <c r="H18" s="28">
        <v>156</v>
      </c>
      <c r="I18" s="28">
        <v>156</v>
      </c>
      <c r="J18" s="28">
        <v>120</v>
      </c>
      <c r="K18" s="31">
        <v>127</v>
      </c>
      <c r="L18" s="28">
        <v>107</v>
      </c>
      <c r="M18" s="28">
        <v>100</v>
      </c>
      <c r="N18" s="32">
        <f t="shared" si="6"/>
        <v>930</v>
      </c>
      <c r="O18" s="28">
        <v>106</v>
      </c>
      <c r="P18" s="28">
        <v>103</v>
      </c>
      <c r="Q18" s="28">
        <v>94</v>
      </c>
      <c r="R18" s="29">
        <f t="shared" si="7"/>
        <v>303</v>
      </c>
      <c r="S18" s="39">
        <v>12</v>
      </c>
      <c r="T18" s="40">
        <v>13</v>
      </c>
      <c r="U18" s="41">
        <f t="shared" si="8"/>
        <v>25</v>
      </c>
      <c r="V18" s="42">
        <v>0</v>
      </c>
      <c r="AJ18" s="47" t="s">
        <v>20</v>
      </c>
      <c r="AK18" s="47">
        <v>5861</v>
      </c>
      <c r="AL18" s="47">
        <v>1825</v>
      </c>
      <c r="AM18" s="47">
        <v>4036</v>
      </c>
    </row>
    <row r="19" spans="1:39" s="13" customFormat="1" ht="15" customHeight="1" x14ac:dyDescent="0.25">
      <c r="A19" s="18" t="s">
        <v>33</v>
      </c>
      <c r="B19" s="22">
        <f t="shared" si="4"/>
        <v>2130</v>
      </c>
      <c r="C19" s="28">
        <v>203</v>
      </c>
      <c r="D19" s="28">
        <v>224</v>
      </c>
      <c r="E19" s="28">
        <v>221</v>
      </c>
      <c r="F19" s="29">
        <f t="shared" si="5"/>
        <v>648</v>
      </c>
      <c r="G19" s="30">
        <v>205</v>
      </c>
      <c r="H19" s="28">
        <v>196</v>
      </c>
      <c r="I19" s="28">
        <v>180</v>
      </c>
      <c r="J19" s="28">
        <v>140</v>
      </c>
      <c r="K19" s="31">
        <v>148</v>
      </c>
      <c r="L19" s="28">
        <v>145</v>
      </c>
      <c r="M19" s="28">
        <v>90</v>
      </c>
      <c r="N19" s="32">
        <f t="shared" si="6"/>
        <v>1104</v>
      </c>
      <c r="O19" s="28">
        <v>107</v>
      </c>
      <c r="P19" s="28">
        <v>138</v>
      </c>
      <c r="Q19" s="28">
        <v>114</v>
      </c>
      <c r="R19" s="29">
        <f t="shared" si="7"/>
        <v>359</v>
      </c>
      <c r="S19" s="39">
        <v>11</v>
      </c>
      <c r="T19" s="40">
        <v>0</v>
      </c>
      <c r="U19" s="41">
        <f t="shared" si="8"/>
        <v>11</v>
      </c>
      <c r="V19" s="42">
        <v>8</v>
      </c>
      <c r="AJ19" s="47" t="s">
        <v>21</v>
      </c>
      <c r="AK19" s="47">
        <v>5743</v>
      </c>
      <c r="AL19" s="47">
        <v>1915</v>
      </c>
      <c r="AM19" s="47">
        <v>3828</v>
      </c>
    </row>
    <row r="20" spans="1:39" s="13" customFormat="1" ht="15" customHeight="1" x14ac:dyDescent="0.25">
      <c r="A20" s="18" t="s">
        <v>34</v>
      </c>
      <c r="B20" s="22">
        <f t="shared" si="4"/>
        <v>347</v>
      </c>
      <c r="C20" s="28">
        <v>18</v>
      </c>
      <c r="D20" s="28">
        <v>45</v>
      </c>
      <c r="E20" s="28">
        <v>28</v>
      </c>
      <c r="F20" s="29">
        <f t="shared" si="5"/>
        <v>91</v>
      </c>
      <c r="G20" s="30">
        <v>26</v>
      </c>
      <c r="H20" s="28">
        <v>41</v>
      </c>
      <c r="I20" s="28">
        <v>28</v>
      </c>
      <c r="J20" s="28">
        <v>25</v>
      </c>
      <c r="K20" s="31">
        <v>24</v>
      </c>
      <c r="L20" s="28">
        <v>23</v>
      </c>
      <c r="M20" s="28">
        <v>23</v>
      </c>
      <c r="N20" s="32">
        <f t="shared" si="6"/>
        <v>190</v>
      </c>
      <c r="O20" s="28">
        <v>19</v>
      </c>
      <c r="P20" s="28">
        <v>21</v>
      </c>
      <c r="Q20" s="28">
        <v>26</v>
      </c>
      <c r="R20" s="29">
        <f t="shared" si="7"/>
        <v>66</v>
      </c>
      <c r="S20" s="39">
        <v>0</v>
      </c>
      <c r="T20" s="40">
        <v>0</v>
      </c>
      <c r="U20" s="41">
        <f t="shared" si="8"/>
        <v>0</v>
      </c>
      <c r="V20" s="42">
        <v>0</v>
      </c>
      <c r="AJ20" s="47" t="s">
        <v>22</v>
      </c>
      <c r="AK20" s="47">
        <v>2124</v>
      </c>
      <c r="AL20" s="47">
        <v>1262</v>
      </c>
      <c r="AM20" s="47">
        <v>862</v>
      </c>
    </row>
    <row r="21" spans="1:39" s="13" customFormat="1" ht="15" customHeight="1" x14ac:dyDescent="0.25">
      <c r="A21" s="18" t="s">
        <v>35</v>
      </c>
      <c r="B21" s="22">
        <f t="shared" si="4"/>
        <v>1217</v>
      </c>
      <c r="C21" s="28">
        <v>73</v>
      </c>
      <c r="D21" s="28">
        <v>110</v>
      </c>
      <c r="E21" s="28">
        <v>120</v>
      </c>
      <c r="F21" s="29">
        <f t="shared" si="5"/>
        <v>303</v>
      </c>
      <c r="G21" s="30">
        <v>110</v>
      </c>
      <c r="H21" s="28">
        <v>121</v>
      </c>
      <c r="I21" s="28">
        <v>105</v>
      </c>
      <c r="J21" s="28">
        <v>96</v>
      </c>
      <c r="K21" s="31">
        <v>84</v>
      </c>
      <c r="L21" s="28">
        <v>67</v>
      </c>
      <c r="M21" s="28">
        <v>62</v>
      </c>
      <c r="N21" s="32">
        <f t="shared" si="6"/>
        <v>645</v>
      </c>
      <c r="O21" s="28">
        <v>66</v>
      </c>
      <c r="P21" s="28">
        <v>74</v>
      </c>
      <c r="Q21" s="28">
        <v>88</v>
      </c>
      <c r="R21" s="29">
        <f t="shared" si="7"/>
        <v>228</v>
      </c>
      <c r="S21" s="39">
        <v>16</v>
      </c>
      <c r="T21" s="40">
        <v>25</v>
      </c>
      <c r="U21" s="41">
        <f t="shared" si="8"/>
        <v>41</v>
      </c>
      <c r="V21" s="42">
        <v>0</v>
      </c>
      <c r="AJ21" s="47" t="s">
        <v>23</v>
      </c>
      <c r="AK21" s="47">
        <v>1996</v>
      </c>
      <c r="AL21" s="47">
        <v>1237</v>
      </c>
      <c r="AM21" s="47">
        <v>759</v>
      </c>
    </row>
    <row r="22" spans="1:39" s="13" customFormat="1" ht="15" customHeight="1" x14ac:dyDescent="0.25">
      <c r="A22" s="18" t="s">
        <v>36</v>
      </c>
      <c r="B22" s="22">
        <f t="shared" si="4"/>
        <v>1421</v>
      </c>
      <c r="C22" s="28">
        <v>71</v>
      </c>
      <c r="D22" s="28">
        <v>118</v>
      </c>
      <c r="E22" s="28">
        <v>115</v>
      </c>
      <c r="F22" s="29">
        <f t="shared" si="5"/>
        <v>304</v>
      </c>
      <c r="G22" s="30">
        <v>116</v>
      </c>
      <c r="H22" s="28">
        <v>111</v>
      </c>
      <c r="I22" s="28">
        <v>108</v>
      </c>
      <c r="J22" s="28">
        <v>108</v>
      </c>
      <c r="K22" s="31">
        <v>100</v>
      </c>
      <c r="L22" s="28">
        <v>74</v>
      </c>
      <c r="M22" s="28">
        <v>109</v>
      </c>
      <c r="N22" s="32">
        <f t="shared" si="6"/>
        <v>726</v>
      </c>
      <c r="O22" s="28">
        <v>113</v>
      </c>
      <c r="P22" s="28">
        <v>110</v>
      </c>
      <c r="Q22" s="28">
        <v>102</v>
      </c>
      <c r="R22" s="29">
        <f t="shared" si="7"/>
        <v>325</v>
      </c>
      <c r="S22" s="39">
        <v>28</v>
      </c>
      <c r="T22" s="40">
        <v>38</v>
      </c>
      <c r="U22" s="41">
        <f t="shared" si="8"/>
        <v>66</v>
      </c>
      <c r="V22" s="42">
        <v>0</v>
      </c>
    </row>
    <row r="23" spans="1:39" s="13" customFormat="1" ht="15" customHeight="1" x14ac:dyDescent="0.25">
      <c r="A23" s="18" t="s">
        <v>37</v>
      </c>
      <c r="B23" s="22">
        <f t="shared" si="4"/>
        <v>1697</v>
      </c>
      <c r="C23" s="28">
        <v>134</v>
      </c>
      <c r="D23" s="28">
        <v>159</v>
      </c>
      <c r="E23" s="28">
        <v>128</v>
      </c>
      <c r="F23" s="29">
        <f t="shared" si="5"/>
        <v>421</v>
      </c>
      <c r="G23" s="30">
        <v>173</v>
      </c>
      <c r="H23" s="28">
        <v>140</v>
      </c>
      <c r="I23" s="28">
        <v>126</v>
      </c>
      <c r="J23" s="28">
        <v>135</v>
      </c>
      <c r="K23" s="31">
        <v>119</v>
      </c>
      <c r="L23" s="28">
        <v>84</v>
      </c>
      <c r="M23" s="28">
        <v>102</v>
      </c>
      <c r="N23" s="32">
        <f t="shared" si="6"/>
        <v>879</v>
      </c>
      <c r="O23" s="28">
        <v>135</v>
      </c>
      <c r="P23" s="28">
        <v>136</v>
      </c>
      <c r="Q23" s="28">
        <v>85</v>
      </c>
      <c r="R23" s="29">
        <f t="shared" si="7"/>
        <v>356</v>
      </c>
      <c r="S23" s="39">
        <v>19</v>
      </c>
      <c r="T23" s="40">
        <v>22</v>
      </c>
      <c r="U23" s="41">
        <f t="shared" si="8"/>
        <v>41</v>
      </c>
      <c r="V23" s="42">
        <v>0</v>
      </c>
    </row>
    <row r="24" spans="1:39" s="13" customFormat="1" ht="15" customHeight="1" x14ac:dyDescent="0.25">
      <c r="A24" s="18" t="s">
        <v>38</v>
      </c>
      <c r="B24" s="22">
        <f t="shared" si="4"/>
        <v>2547</v>
      </c>
      <c r="C24" s="28">
        <v>127</v>
      </c>
      <c r="D24" s="28">
        <v>255</v>
      </c>
      <c r="E24" s="28">
        <v>274</v>
      </c>
      <c r="F24" s="29">
        <f t="shared" si="5"/>
        <v>656</v>
      </c>
      <c r="G24" s="30">
        <v>231</v>
      </c>
      <c r="H24" s="28">
        <v>207</v>
      </c>
      <c r="I24" s="28">
        <v>229</v>
      </c>
      <c r="J24" s="28">
        <v>188</v>
      </c>
      <c r="K24" s="31">
        <v>159</v>
      </c>
      <c r="L24" s="28">
        <v>142</v>
      </c>
      <c r="M24" s="28">
        <v>166</v>
      </c>
      <c r="N24" s="32">
        <f t="shared" si="6"/>
        <v>1322</v>
      </c>
      <c r="O24" s="28">
        <v>147</v>
      </c>
      <c r="P24" s="28">
        <v>217</v>
      </c>
      <c r="Q24" s="28">
        <v>167</v>
      </c>
      <c r="R24" s="29">
        <f t="shared" si="7"/>
        <v>531</v>
      </c>
      <c r="S24" s="39">
        <v>16</v>
      </c>
      <c r="T24" s="40">
        <v>22</v>
      </c>
      <c r="U24" s="41">
        <f t="shared" si="8"/>
        <v>38</v>
      </c>
      <c r="V24" s="42">
        <v>0</v>
      </c>
    </row>
    <row r="25" spans="1:39" s="13" customFormat="1" ht="15" customHeight="1" x14ac:dyDescent="0.25">
      <c r="A25" s="18" t="s">
        <v>39</v>
      </c>
      <c r="B25" s="22">
        <f t="shared" si="4"/>
        <v>3527</v>
      </c>
      <c r="C25" s="28">
        <v>152</v>
      </c>
      <c r="D25" s="28">
        <v>296</v>
      </c>
      <c r="E25" s="28">
        <v>273</v>
      </c>
      <c r="F25" s="29">
        <f t="shared" si="5"/>
        <v>721</v>
      </c>
      <c r="G25" s="30">
        <v>277</v>
      </c>
      <c r="H25" s="28">
        <v>299</v>
      </c>
      <c r="I25" s="28">
        <v>337</v>
      </c>
      <c r="J25" s="28">
        <v>267</v>
      </c>
      <c r="K25" s="31">
        <v>255</v>
      </c>
      <c r="L25" s="28">
        <v>190</v>
      </c>
      <c r="M25" s="28">
        <v>279</v>
      </c>
      <c r="N25" s="32">
        <f t="shared" si="6"/>
        <v>1904</v>
      </c>
      <c r="O25" s="28">
        <v>276</v>
      </c>
      <c r="P25" s="28">
        <v>292</v>
      </c>
      <c r="Q25" s="28">
        <v>264</v>
      </c>
      <c r="R25" s="29">
        <f t="shared" si="7"/>
        <v>832</v>
      </c>
      <c r="S25" s="39">
        <v>41</v>
      </c>
      <c r="T25" s="40">
        <v>29</v>
      </c>
      <c r="U25" s="41">
        <f t="shared" si="8"/>
        <v>70</v>
      </c>
      <c r="V25" s="42">
        <v>0</v>
      </c>
    </row>
    <row r="26" spans="1:39" s="13" customFormat="1" ht="15" customHeight="1" x14ac:dyDescent="0.25">
      <c r="A26" s="18" t="s">
        <v>40</v>
      </c>
      <c r="B26" s="22">
        <f t="shared" si="4"/>
        <v>2242</v>
      </c>
      <c r="C26" s="28">
        <v>113</v>
      </c>
      <c r="D26" s="28">
        <v>204</v>
      </c>
      <c r="E26" s="28">
        <v>164</v>
      </c>
      <c r="F26" s="29">
        <f t="shared" si="5"/>
        <v>481</v>
      </c>
      <c r="G26" s="30">
        <v>186</v>
      </c>
      <c r="H26" s="28">
        <v>174</v>
      </c>
      <c r="I26" s="28">
        <v>171</v>
      </c>
      <c r="J26" s="28">
        <v>173</v>
      </c>
      <c r="K26" s="31">
        <v>155</v>
      </c>
      <c r="L26" s="28">
        <v>167</v>
      </c>
      <c r="M26" s="28">
        <v>183</v>
      </c>
      <c r="N26" s="32">
        <f t="shared" si="6"/>
        <v>1209</v>
      </c>
      <c r="O26" s="28">
        <v>162</v>
      </c>
      <c r="P26" s="28">
        <v>165</v>
      </c>
      <c r="Q26" s="28">
        <v>181</v>
      </c>
      <c r="R26" s="29">
        <f t="shared" si="7"/>
        <v>508</v>
      </c>
      <c r="S26" s="30">
        <v>17</v>
      </c>
      <c r="T26" s="28">
        <v>17</v>
      </c>
      <c r="U26" s="32">
        <f t="shared" si="8"/>
        <v>34</v>
      </c>
      <c r="V26" s="42">
        <v>10</v>
      </c>
    </row>
    <row r="27" spans="1:39" s="13" customFormat="1" ht="15" customHeight="1" x14ac:dyDescent="0.25">
      <c r="A27" s="18" t="s">
        <v>41</v>
      </c>
      <c r="B27" s="22">
        <f t="shared" si="4"/>
        <v>3197</v>
      </c>
      <c r="C27" s="28">
        <v>162</v>
      </c>
      <c r="D27" s="28">
        <v>299</v>
      </c>
      <c r="E27" s="28">
        <v>258</v>
      </c>
      <c r="F27" s="29">
        <f t="shared" si="5"/>
        <v>719</v>
      </c>
      <c r="G27" s="30">
        <v>236</v>
      </c>
      <c r="H27" s="28">
        <v>293</v>
      </c>
      <c r="I27" s="28">
        <v>255</v>
      </c>
      <c r="J27" s="28">
        <v>238</v>
      </c>
      <c r="K27" s="31">
        <v>236</v>
      </c>
      <c r="L27" s="28">
        <v>231</v>
      </c>
      <c r="M27" s="28">
        <v>231</v>
      </c>
      <c r="N27" s="32">
        <f t="shared" si="6"/>
        <v>1720</v>
      </c>
      <c r="O27" s="28">
        <v>236</v>
      </c>
      <c r="P27" s="28">
        <v>226</v>
      </c>
      <c r="Q27" s="28">
        <v>219</v>
      </c>
      <c r="R27" s="29">
        <f t="shared" si="7"/>
        <v>681</v>
      </c>
      <c r="S27" s="30">
        <v>37</v>
      </c>
      <c r="T27" s="28">
        <v>21</v>
      </c>
      <c r="U27" s="32">
        <f t="shared" si="8"/>
        <v>58</v>
      </c>
      <c r="V27" s="42">
        <v>19</v>
      </c>
    </row>
    <row r="28" spans="1:39" s="13" customFormat="1" ht="15" customHeight="1" x14ac:dyDescent="0.25">
      <c r="A28" s="18" t="s">
        <v>42</v>
      </c>
      <c r="B28" s="22">
        <f t="shared" si="4"/>
        <v>2465</v>
      </c>
      <c r="C28" s="28">
        <v>182</v>
      </c>
      <c r="D28" s="28">
        <v>174</v>
      </c>
      <c r="E28" s="28">
        <v>157</v>
      </c>
      <c r="F28" s="29">
        <f t="shared" si="5"/>
        <v>513</v>
      </c>
      <c r="G28" s="30">
        <v>240</v>
      </c>
      <c r="H28" s="28">
        <v>220</v>
      </c>
      <c r="I28" s="28">
        <v>194</v>
      </c>
      <c r="J28" s="28">
        <v>171</v>
      </c>
      <c r="K28" s="31">
        <v>146</v>
      </c>
      <c r="L28" s="28">
        <v>156</v>
      </c>
      <c r="M28" s="28">
        <v>165</v>
      </c>
      <c r="N28" s="32">
        <f>SUM(G28:M28)</f>
        <v>1292</v>
      </c>
      <c r="O28" s="28">
        <v>193</v>
      </c>
      <c r="P28" s="28">
        <v>176</v>
      </c>
      <c r="Q28" s="28">
        <v>159</v>
      </c>
      <c r="R28" s="29">
        <f t="shared" si="7"/>
        <v>528</v>
      </c>
      <c r="S28" s="30">
        <v>28</v>
      </c>
      <c r="T28" s="28">
        <v>36</v>
      </c>
      <c r="U28" s="32">
        <f t="shared" si="8"/>
        <v>64</v>
      </c>
      <c r="V28" s="42">
        <v>68</v>
      </c>
    </row>
    <row r="29" spans="1:39" s="13" customFormat="1" ht="15" customHeight="1" x14ac:dyDescent="0.25">
      <c r="A29" s="19" t="s">
        <v>43</v>
      </c>
      <c r="B29" s="33">
        <f t="shared" si="4"/>
        <v>5611</v>
      </c>
      <c r="C29" s="34">
        <v>430</v>
      </c>
      <c r="D29" s="34">
        <v>407</v>
      </c>
      <c r="E29" s="34">
        <v>471</v>
      </c>
      <c r="F29" s="35">
        <f t="shared" si="5"/>
        <v>1308</v>
      </c>
      <c r="G29" s="36">
        <v>417</v>
      </c>
      <c r="H29" s="34">
        <v>452</v>
      </c>
      <c r="I29" s="34">
        <v>436</v>
      </c>
      <c r="J29" s="34">
        <v>381</v>
      </c>
      <c r="K29" s="37">
        <v>353</v>
      </c>
      <c r="L29" s="34">
        <v>405</v>
      </c>
      <c r="M29" s="34">
        <v>362</v>
      </c>
      <c r="N29" s="38">
        <f>SUM(G29:M29)</f>
        <v>2806</v>
      </c>
      <c r="O29" s="34">
        <v>327</v>
      </c>
      <c r="P29" s="34">
        <v>374</v>
      </c>
      <c r="Q29" s="34">
        <v>366</v>
      </c>
      <c r="R29" s="35">
        <f t="shared" si="7"/>
        <v>1067</v>
      </c>
      <c r="S29" s="36">
        <v>245</v>
      </c>
      <c r="T29" s="34">
        <v>140</v>
      </c>
      <c r="U29" s="38">
        <f t="shared" si="8"/>
        <v>385</v>
      </c>
      <c r="V29" s="43">
        <v>45</v>
      </c>
      <c r="AH29" s="14"/>
      <c r="AI29" s="13" t="s">
        <v>0</v>
      </c>
      <c r="AK29" s="13">
        <v>22263</v>
      </c>
      <c r="AL29" s="13">
        <v>8776</v>
      </c>
      <c r="AM29" s="13">
        <v>13487</v>
      </c>
    </row>
    <row r="30" spans="1:39" ht="13.5" x14ac:dyDescent="0.2">
      <c r="A30" s="2" t="s">
        <v>3</v>
      </c>
      <c r="B30" s="3"/>
      <c r="C30" s="4"/>
      <c r="D30" s="3"/>
      <c r="E30" s="3"/>
      <c r="F30" s="3"/>
      <c r="G30" s="3"/>
      <c r="H30" s="3"/>
      <c r="I30" s="3"/>
      <c r="J30" s="5"/>
      <c r="K30" s="9"/>
      <c r="V30" s="6" t="s">
        <v>4</v>
      </c>
      <c r="AI30" s="13" t="s">
        <v>0</v>
      </c>
      <c r="AJ30" s="13"/>
      <c r="AK30" s="13">
        <v>43781</v>
      </c>
      <c r="AL30" s="13">
        <v>14620</v>
      </c>
      <c r="AM30" s="13">
        <v>29161</v>
      </c>
    </row>
    <row r="31" spans="1:39" ht="22.5" customHeight="1" x14ac:dyDescent="0.25">
      <c r="A31" s="7"/>
      <c r="B31" s="1"/>
      <c r="C31" s="1"/>
      <c r="D31" s="1"/>
      <c r="E31" s="1"/>
      <c r="F31" s="1"/>
      <c r="G31" s="20"/>
      <c r="H31" s="1"/>
      <c r="I31" s="8"/>
      <c r="J31" s="1"/>
      <c r="K31" s="1"/>
      <c r="AI31" s="13" t="s">
        <v>0</v>
      </c>
      <c r="AJ31" s="13"/>
      <c r="AK31" s="13">
        <v>17256</v>
      </c>
      <c r="AL31" s="13">
        <v>5547</v>
      </c>
      <c r="AM31" s="13">
        <v>11709</v>
      </c>
    </row>
    <row r="32" spans="1:39" ht="22.5" customHeight="1" x14ac:dyDescent="0.2">
      <c r="AI32" s="13" t="s">
        <v>0</v>
      </c>
      <c r="AJ32" s="13"/>
      <c r="AK32" s="13">
        <v>4120</v>
      </c>
      <c r="AL32" s="13">
        <v>2499</v>
      </c>
      <c r="AM32" s="13">
        <v>1621</v>
      </c>
    </row>
    <row r="33" spans="11:11" x14ac:dyDescent="0.15">
      <c r="K33" s="48"/>
    </row>
  </sheetData>
  <mergeCells count="28">
    <mergeCell ref="A4:A6"/>
    <mergeCell ref="B4:B6"/>
    <mergeCell ref="V4:V6"/>
    <mergeCell ref="C4:F4"/>
    <mergeCell ref="G4:N4"/>
    <mergeCell ref="O4:R4"/>
    <mergeCell ref="S4:U4"/>
    <mergeCell ref="J5:J6"/>
    <mergeCell ref="K5:K6"/>
    <mergeCell ref="L5:L6"/>
    <mergeCell ref="M5:M6"/>
    <mergeCell ref="N5:N6"/>
    <mergeCell ref="A1:V1"/>
    <mergeCell ref="A2:V2"/>
    <mergeCell ref="C5:C6"/>
    <mergeCell ref="D5:D6"/>
    <mergeCell ref="E5:E6"/>
    <mergeCell ref="F5:F6"/>
    <mergeCell ref="G5:G6"/>
    <mergeCell ref="H5:H6"/>
    <mergeCell ref="U5:U6"/>
    <mergeCell ref="O5:O6"/>
    <mergeCell ref="P5:P6"/>
    <mergeCell ref="Q5:Q6"/>
    <mergeCell ref="R5:R6"/>
    <mergeCell ref="S5:S6"/>
    <mergeCell ref="T5:T6"/>
    <mergeCell ref="I5:I6"/>
  </mergeCells>
  <pageMargins left="0.7" right="0.7" top="0.75" bottom="0.75" header="0.3" footer="0.3"/>
  <pageSetup paperSize="9" scale="67" orientation="landscape" horizontalDpi="4294967295" verticalDpi="4294967295" r:id="rId1"/>
  <rowBreaks count="1" manualBreakCount="1">
    <brk id="30" max="2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7.12</vt:lpstr>
      <vt:lpstr>'7.12'!Print_Area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2017-06-11T06:53:26Z</cp:lastPrinted>
  <dcterms:created xsi:type="dcterms:W3CDTF">2014-03-05T03:36:41Z</dcterms:created>
  <dcterms:modified xsi:type="dcterms:W3CDTF">2017-06-11T06:53:30Z</dcterms:modified>
</cp:coreProperties>
</file>