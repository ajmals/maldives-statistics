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7. EDUCATION\"/>
    </mc:Choice>
  </mc:AlternateContent>
  <bookViews>
    <workbookView xWindow="930" yWindow="0" windowWidth="20730" windowHeight="11760" tabRatio="880"/>
  </bookViews>
  <sheets>
    <sheet name="7.22" sheetId="34" r:id="rId1"/>
  </sheets>
  <definedNames>
    <definedName name="_xlnm.Print_Area" localSheetId="0">'7.22'!$A$1:$S$92</definedName>
  </definedNames>
  <calcPr calcId="162913"/>
</workbook>
</file>

<file path=xl/calcChain.xml><?xml version="1.0" encoding="utf-8"?>
<calcChain xmlns="http://schemas.openxmlformats.org/spreadsheetml/2006/main">
  <c r="Q36" i="34" l="1"/>
  <c r="R88" i="34"/>
  <c r="Q88" i="34" s="1"/>
  <c r="Q87" i="34"/>
  <c r="N87" i="34"/>
  <c r="R86" i="34"/>
  <c r="Q86" i="34" s="1"/>
  <c r="N86" i="34"/>
  <c r="R85" i="34"/>
  <c r="R81" i="34" s="1"/>
  <c r="Q85" i="34"/>
  <c r="N85" i="34"/>
  <c r="R84" i="34"/>
  <c r="Q84" i="34" s="1"/>
  <c r="O84" i="34"/>
  <c r="N84" i="34" s="1"/>
  <c r="Q83" i="34"/>
  <c r="N83" i="34"/>
  <c r="Q82" i="34"/>
  <c r="N82" i="34"/>
  <c r="S81" i="34"/>
  <c r="P81" i="34"/>
  <c r="O81" i="34"/>
  <c r="H81" i="34"/>
  <c r="E81" i="34"/>
  <c r="B81" i="34"/>
  <c r="H80" i="34"/>
  <c r="E80" i="34"/>
  <c r="B80" i="34"/>
  <c r="Q67" i="34"/>
  <c r="R66" i="34"/>
  <c r="Q66" i="34" s="1"/>
  <c r="Q51" i="34"/>
  <c r="N51" i="34"/>
  <c r="N50" i="34" s="1"/>
  <c r="S50" i="34"/>
  <c r="R50" i="34"/>
  <c r="Q50" i="34"/>
  <c r="P50" i="34"/>
  <c r="P35" i="34" s="1"/>
  <c r="O50" i="34"/>
  <c r="Q49" i="34"/>
  <c r="N49" i="34"/>
  <c r="B49" i="34"/>
  <c r="O48" i="34"/>
  <c r="N48" i="34" s="1"/>
  <c r="B48" i="34"/>
  <c r="Q47" i="34"/>
  <c r="Q46" i="34"/>
  <c r="O46" i="34"/>
  <c r="N46" i="34"/>
  <c r="R45" i="34"/>
  <c r="Q44" i="34"/>
  <c r="Q38" i="34" s="1"/>
  <c r="S38" i="34"/>
  <c r="S35" i="34" s="1"/>
  <c r="R38" i="34"/>
  <c r="R36" i="34"/>
  <c r="Q34" i="34"/>
  <c r="N34" i="34"/>
  <c r="H34" i="34"/>
  <c r="Q33" i="34"/>
  <c r="Q32" i="34"/>
  <c r="Q31" i="34"/>
  <c r="N31" i="34"/>
  <c r="Q30" i="34"/>
  <c r="N30" i="34"/>
  <c r="Q29" i="34"/>
  <c r="N29" i="34"/>
  <c r="S27" i="34"/>
  <c r="R27" i="34"/>
  <c r="P27" i="34"/>
  <c r="O27" i="34"/>
  <c r="Q26" i="34"/>
  <c r="N26" i="34"/>
  <c r="H26" i="34"/>
  <c r="E26" i="34"/>
  <c r="B26" i="34"/>
  <c r="Q19" i="34"/>
  <c r="N19" i="34"/>
  <c r="Q18" i="34"/>
  <c r="N18" i="34"/>
  <c r="S17" i="34"/>
  <c r="R17" i="34"/>
  <c r="P17" i="34"/>
  <c r="O17" i="34"/>
  <c r="Q16" i="34"/>
  <c r="Q15" i="34"/>
  <c r="N15" i="34"/>
  <c r="H15" i="34"/>
  <c r="E15" i="34"/>
  <c r="B15" i="34"/>
  <c r="Q14" i="34"/>
  <c r="N14" i="34"/>
  <c r="N13" i="34" s="1"/>
  <c r="S13" i="34"/>
  <c r="R13" i="34"/>
  <c r="P13" i="34"/>
  <c r="O13" i="34"/>
  <c r="S9" i="34"/>
  <c r="R9" i="34"/>
  <c r="Q9" i="34"/>
  <c r="O45" i="34" l="1"/>
  <c r="N81" i="34"/>
  <c r="R35" i="34"/>
  <c r="Q45" i="34"/>
  <c r="Q35" i="34" s="1"/>
  <c r="Q13" i="34"/>
  <c r="N27" i="34"/>
  <c r="N45" i="34"/>
  <c r="P8" i="34"/>
  <c r="P7" i="34" s="1"/>
  <c r="N17" i="34"/>
  <c r="Q17" i="34"/>
  <c r="O8" i="34"/>
  <c r="Q27" i="34"/>
  <c r="R8" i="34"/>
  <c r="R7" i="34" s="1"/>
  <c r="S8" i="34"/>
  <c r="S7" i="34" s="1"/>
  <c r="N35" i="34"/>
  <c r="O35" i="34"/>
  <c r="O7" i="34" s="1"/>
  <c r="Q81" i="34"/>
  <c r="N8" i="34" l="1"/>
  <c r="N7" i="34" s="1"/>
  <c r="Q8" i="34"/>
  <c r="Q7" i="34" s="1"/>
</calcChain>
</file>

<file path=xl/sharedStrings.xml><?xml version="1.0" encoding="utf-8"?>
<sst xmlns="http://schemas.openxmlformats.org/spreadsheetml/2006/main" count="108" uniqueCount="82">
  <si>
    <t>Male</t>
  </si>
  <si>
    <t>Female</t>
  </si>
  <si>
    <t xml:space="preserve"> </t>
  </si>
  <si>
    <t>Type of Training</t>
  </si>
  <si>
    <t>Maldives Polytechnic</t>
  </si>
  <si>
    <t xml:space="preserve">Regional Youth Vocational Training Centres ( RYVTC )  </t>
  </si>
  <si>
    <t>Short Courses</t>
  </si>
  <si>
    <t>Mobile Courses</t>
  </si>
  <si>
    <t>IHDP Project Courses</t>
  </si>
  <si>
    <t>Hunaru Project Courses</t>
  </si>
  <si>
    <t>School Polytechnic Program Courses</t>
  </si>
  <si>
    <r>
      <t xml:space="preserve">IHDP: </t>
    </r>
    <r>
      <rPr>
        <i/>
        <sz val="10"/>
        <rFont val="Calibri"/>
        <family val="2"/>
        <scheme val="minor"/>
      </rPr>
      <t>Intergrated Human development Project</t>
    </r>
  </si>
  <si>
    <t>Source: Maldives Polytechnic</t>
  </si>
  <si>
    <t xml:space="preserve"> Both Sexes</t>
  </si>
  <si>
    <t>Grand Total</t>
  </si>
  <si>
    <t>Diploma (2 Years)</t>
  </si>
  <si>
    <t>Building Construction</t>
  </si>
  <si>
    <t>Civil Engineering</t>
  </si>
  <si>
    <t>Automotive Engineering</t>
  </si>
  <si>
    <t>Diploma (1 1/2 Years)</t>
  </si>
  <si>
    <t>Architecture</t>
  </si>
  <si>
    <t>Small Business</t>
  </si>
  <si>
    <t>Advance Certificate  (1 1/2 Years)</t>
  </si>
  <si>
    <t xml:space="preserve">      Engine Repair &amp; Maintenance</t>
  </si>
  <si>
    <t xml:space="preserve">      Electrical &amp; Electronics Engineering</t>
  </si>
  <si>
    <t>Refrigeration &amp; Air-Conditioning</t>
  </si>
  <si>
    <t>Power Systems Operation &amp; Maintenance</t>
  </si>
  <si>
    <t xml:space="preserve">     Electrical &amp; Electronics Specialized in Security Systems</t>
  </si>
  <si>
    <t>Welding &amp; Sheet Metal</t>
  </si>
  <si>
    <t>Machining &amp; Mechanical Fitting</t>
  </si>
  <si>
    <t xml:space="preserve">     Building Construction</t>
  </si>
  <si>
    <t>Small Business Mnagement</t>
  </si>
  <si>
    <t xml:space="preserve"> Certificate III  (15 Weeks)</t>
  </si>
  <si>
    <t xml:space="preserve"> Welding and Sheet Metal</t>
  </si>
  <si>
    <t xml:space="preserve"> Refrigeration &amp; Air-Conditioning</t>
  </si>
  <si>
    <t xml:space="preserve"> Engine Repair &amp; Maintenance</t>
  </si>
  <si>
    <t xml:space="preserve"> Electrician</t>
  </si>
  <si>
    <t xml:space="preserve"> Office Management</t>
  </si>
  <si>
    <t xml:space="preserve"> Beauty Therapy</t>
  </si>
  <si>
    <t xml:space="preserve"> Immigration Enforcement Studies</t>
  </si>
  <si>
    <t>Small Business Management</t>
  </si>
  <si>
    <t>Advance Certificate Course (1 1/2 years)</t>
  </si>
  <si>
    <t>Electrical &amp; Electronics Engineering</t>
  </si>
  <si>
    <t>Engine Repair &amp; Maintenance</t>
  </si>
  <si>
    <t>Desalination System Operation &amp; Maintenance</t>
  </si>
  <si>
    <t>Wooden &amp; Fiberglass BoatBuilding</t>
  </si>
  <si>
    <t>Advanced National Certificate in Welding</t>
  </si>
  <si>
    <t>Certificate III  (15 Weeks)</t>
  </si>
  <si>
    <t xml:space="preserve">  Electrician</t>
  </si>
  <si>
    <t xml:space="preserve"> Refrigeration &amp; Air-Conditioning  </t>
  </si>
  <si>
    <t xml:space="preserve"> Certificate I  (1 Month)</t>
  </si>
  <si>
    <t>National Certificate Level III in Refrigeration &amp; Airconditioning Mechanics</t>
  </si>
  <si>
    <t>Basic Certificate in Refrigeration &amp; Airconditioning Mechanics</t>
  </si>
  <si>
    <t>Advanced Certificate in Arc Welding</t>
  </si>
  <si>
    <t>National Certificate Level III in Tig Welding</t>
  </si>
  <si>
    <t>National Certificaet III in IT Technician</t>
  </si>
  <si>
    <t>Certificate III in Electrician</t>
  </si>
  <si>
    <t>National Certificate II in Marine Mechanics</t>
  </si>
  <si>
    <t>National Certificate III in Electrician</t>
  </si>
  <si>
    <t>Basic Arc Welding</t>
  </si>
  <si>
    <t>Outboard  Engine Operation &amp; Maintenance</t>
  </si>
  <si>
    <t>Wood Carving</t>
  </si>
  <si>
    <t>Wood Carving and Lacqurer Work</t>
  </si>
  <si>
    <t xml:space="preserve">Certificate 3 in Furniture Carpentry </t>
  </si>
  <si>
    <t>Certificate III in ElectricIan</t>
  </si>
  <si>
    <t>Coastal Navigation</t>
  </si>
  <si>
    <t>Road Worthiness Inspection Training Programme</t>
  </si>
  <si>
    <t>Renewable Energy Systems Installation and Maintenance</t>
  </si>
  <si>
    <t>Engine Operation and Maintenace</t>
  </si>
  <si>
    <t xml:space="preserve">Certificate III in Marine Technician </t>
  </si>
  <si>
    <t>Certificate III in Furniture Carpentry</t>
  </si>
  <si>
    <t>Certificate III in Renewable Energy</t>
  </si>
  <si>
    <t>Certificate III in Wooden &amp; Fiber Glass Boat Building</t>
  </si>
  <si>
    <t>Certificate III in Furniture Carpentry &amp; Wood Carving</t>
  </si>
  <si>
    <t>Certificate III in Engine Repair &amp; Maintenance</t>
  </si>
  <si>
    <t xml:space="preserve">Certificate III in Refrigeration &amp; Air-Conditioning  </t>
  </si>
  <si>
    <t>Certificate III in Welding and Sheet Metal</t>
  </si>
  <si>
    <t>Out Reach Centre</t>
  </si>
  <si>
    <t xml:space="preserve">Certificate III in Jewelery </t>
  </si>
  <si>
    <t>* Advanced Certificate Course alinged to M.Q.A format effective from 2011 September.</t>
  </si>
  <si>
    <t xml:space="preserve"> ތާވަލް 7.22: ތަމްރީނުގެ ބާވަތާއި ޖިންސުގެ ގޮތުން ފަންނީ ތަޢުލީމްގެ ދާއިރާއިން ކިޔަވާ ކުދިންގެ އަދަދު، 2014 - 2016</t>
  </si>
  <si>
    <t xml:space="preserve"> Table  7.22:   STUDENT ENROLMENT IN TECHNICAL EDUCATION, BY TYPE OF TRAINING AND SEX, 2014 - 2016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</si>
</sst>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Faruma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i/>
      <sz val="16"/>
      <name val="Helv"/>
    </font>
    <font>
      <b/>
      <i/>
      <sz val="10"/>
      <name val="Calibri"/>
      <family val="2"/>
      <scheme val="minor"/>
    </font>
    <font>
      <sz val="11"/>
      <name val="Courier"/>
      <family val="3"/>
    </font>
    <font>
      <b/>
      <sz val="11"/>
      <name val="Courier"/>
      <family val="3"/>
    </font>
    <font>
      <i/>
      <sz val="11"/>
      <name val="Calibri"/>
      <family val="2"/>
      <scheme val="minor"/>
    </font>
    <font>
      <b/>
      <i/>
      <sz val="11"/>
      <name val="Courier"/>
      <family val="3"/>
    </font>
    <font>
      <b/>
      <i/>
      <sz val="10"/>
      <name val="Courier"/>
      <family val="3"/>
    </font>
    <font>
      <b/>
      <sz val="11"/>
      <color theme="1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10" fillId="0" borderId="0" applyFont="0" applyFill="0" applyBorder="0" applyAlignment="0" applyProtection="0"/>
    <xf numFmtId="164" fontId="2" fillId="0" borderId="0"/>
    <xf numFmtId="0" fontId="11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2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14" fillId="0" borderId="0"/>
    <xf numFmtId="171" fontId="2" fillId="0" borderId="0"/>
    <xf numFmtId="0" fontId="10" fillId="0" borderId="0"/>
    <xf numFmtId="0" fontId="10" fillId="0" borderId="0"/>
    <xf numFmtId="171" fontId="2" fillId="0" borderId="0"/>
    <xf numFmtId="0" fontId="10" fillId="0" borderId="0"/>
    <xf numFmtId="0" fontId="10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0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70">
    <xf numFmtId="0" fontId="0" fillId="0" borderId="0" xfId="0"/>
    <xf numFmtId="0" fontId="0" fillId="2" borderId="0" xfId="0" applyFill="1"/>
    <xf numFmtId="165" fontId="15" fillId="2" borderId="0" xfId="139" applyNumberFormat="1" applyFont="1" applyFill="1" applyBorder="1" applyAlignment="1">
      <alignment horizontal="left" vertical="center"/>
    </xf>
    <xf numFmtId="165" fontId="2" fillId="2" borderId="0" xfId="2" applyNumberFormat="1" applyFill="1"/>
    <xf numFmtId="165" fontId="3" fillId="2" borderId="0" xfId="140" applyNumberFormat="1" applyFont="1" applyFill="1" applyBorder="1" applyAlignment="1">
      <alignment horizontal="center"/>
    </xf>
    <xf numFmtId="165" fontId="2" fillId="2" borderId="0" xfId="140" applyNumberFormat="1" applyFill="1" applyBorder="1"/>
    <xf numFmtId="165" fontId="2" fillId="2" borderId="0" xfId="2" applyNumberFormat="1" applyFill="1" applyBorder="1"/>
    <xf numFmtId="165" fontId="16" fillId="2" borderId="0" xfId="140" applyNumberFormat="1" applyFont="1" applyFill="1" applyAlignment="1">
      <alignment vertical="center"/>
    </xf>
    <xf numFmtId="165" fontId="16" fillId="2" borderId="0" xfId="2" applyNumberFormat="1" applyFont="1" applyFill="1" applyAlignment="1">
      <alignment vertical="center"/>
    </xf>
    <xf numFmtId="165" fontId="6" fillId="2" borderId="8" xfId="140" applyNumberFormat="1" applyFont="1" applyFill="1" applyBorder="1" applyAlignment="1">
      <alignment horizontal="right" vertical="center"/>
    </xf>
    <xf numFmtId="165" fontId="6" fillId="2" borderId="9" xfId="140" applyNumberFormat="1" applyFont="1" applyFill="1" applyBorder="1" applyAlignment="1">
      <alignment horizontal="right" vertical="center"/>
    </xf>
    <xf numFmtId="165" fontId="6" fillId="2" borderId="11" xfId="140" applyNumberFormat="1" applyFont="1" applyFill="1" applyBorder="1" applyAlignment="1">
      <alignment horizontal="right" vertical="center"/>
    </xf>
    <xf numFmtId="165" fontId="16" fillId="2" borderId="0" xfId="140" applyNumberFormat="1" applyFont="1" applyFill="1"/>
    <xf numFmtId="165" fontId="16" fillId="2" borderId="0" xfId="2" applyNumberFormat="1" applyFont="1" applyFill="1"/>
    <xf numFmtId="165" fontId="6" fillId="2" borderId="10" xfId="140" applyNumberFormat="1" applyFont="1" applyFill="1" applyBorder="1" applyAlignment="1">
      <alignment vertical="center"/>
    </xf>
    <xf numFmtId="165" fontId="6" fillId="2" borderId="10" xfId="140" applyNumberFormat="1" applyFont="1" applyFill="1" applyBorder="1" applyAlignment="1">
      <alignment horizontal="right" vertical="center"/>
    </xf>
    <xf numFmtId="165" fontId="6" fillId="2" borderId="5" xfId="140" applyNumberFormat="1" applyFont="1" applyFill="1" applyBorder="1" applyAlignment="1">
      <alignment horizontal="right" vertical="center"/>
    </xf>
    <xf numFmtId="165" fontId="6" fillId="2" borderId="4" xfId="140" applyNumberFormat="1" applyFont="1" applyFill="1" applyBorder="1" applyAlignment="1">
      <alignment horizontal="right" vertical="center"/>
    </xf>
    <xf numFmtId="165" fontId="6" fillId="2" borderId="0" xfId="140" applyNumberFormat="1" applyFont="1" applyFill="1" applyBorder="1" applyAlignment="1">
      <alignment vertical="center"/>
    </xf>
    <xf numFmtId="165" fontId="6" fillId="2" borderId="0" xfId="140" applyNumberFormat="1" applyFont="1" applyFill="1" applyBorder="1" applyAlignment="1">
      <alignment horizontal="right" vertical="center"/>
    </xf>
    <xf numFmtId="165" fontId="6" fillId="2" borderId="7" xfId="140" applyNumberFormat="1" applyFont="1" applyFill="1" applyBorder="1" applyAlignment="1">
      <alignment horizontal="right" vertical="center"/>
    </xf>
    <xf numFmtId="165" fontId="6" fillId="2" borderId="6" xfId="140" applyNumberFormat="1" applyFont="1" applyFill="1" applyBorder="1" applyAlignment="1">
      <alignment horizontal="right" vertical="center"/>
    </xf>
    <xf numFmtId="165" fontId="17" fillId="2" borderId="0" xfId="140" applyNumberFormat="1" applyFont="1" applyFill="1" applyAlignment="1">
      <alignment vertical="center"/>
    </xf>
    <xf numFmtId="165" fontId="17" fillId="2" borderId="0" xfId="2" applyNumberFormat="1" applyFont="1" applyFill="1" applyAlignment="1">
      <alignment vertical="center"/>
    </xf>
    <xf numFmtId="165" fontId="6" fillId="2" borderId="0" xfId="140" applyNumberFormat="1" applyFont="1" applyFill="1" applyBorder="1" applyAlignment="1">
      <alignment horizontal="left" vertical="center"/>
    </xf>
    <xf numFmtId="165" fontId="18" fillId="2" borderId="0" xfId="140" applyNumberFormat="1" applyFont="1" applyFill="1" applyBorder="1" applyAlignment="1">
      <alignment horizontal="left" vertical="center" indent="2"/>
    </xf>
    <xf numFmtId="165" fontId="7" fillId="2" borderId="0" xfId="140" applyNumberFormat="1" applyFont="1" applyFill="1" applyBorder="1" applyAlignment="1">
      <alignment horizontal="right" vertical="center"/>
    </xf>
    <xf numFmtId="165" fontId="7" fillId="2" borderId="7" xfId="140" applyNumberFormat="1" applyFont="1" applyFill="1" applyBorder="1" applyAlignment="1">
      <alignment horizontal="right" vertical="center"/>
    </xf>
    <xf numFmtId="165" fontId="7" fillId="2" borderId="6" xfId="140" applyNumberFormat="1" applyFont="1" applyFill="1" applyBorder="1" applyAlignment="1">
      <alignment horizontal="right" vertical="center"/>
    </xf>
    <xf numFmtId="165" fontId="18" fillId="2" borderId="0" xfId="140" applyNumberFormat="1" applyFont="1" applyFill="1" applyBorder="1" applyAlignment="1">
      <alignment vertical="center"/>
    </xf>
    <xf numFmtId="165" fontId="18" fillId="2" borderId="0" xfId="140" applyNumberFormat="1" applyFont="1" applyFill="1" applyBorder="1" applyAlignment="1">
      <alignment horizontal="left" vertical="center"/>
    </xf>
    <xf numFmtId="165" fontId="16" fillId="2" borderId="0" xfId="140" applyNumberFormat="1" applyFont="1" applyFill="1" applyBorder="1" applyAlignment="1">
      <alignment vertical="center"/>
    </xf>
    <xf numFmtId="165" fontId="16" fillId="2" borderId="0" xfId="2" applyNumberFormat="1" applyFont="1" applyFill="1" applyBorder="1" applyAlignment="1">
      <alignment vertical="center"/>
    </xf>
    <xf numFmtId="165" fontId="17" fillId="2" borderId="0" xfId="140" applyNumberFormat="1" applyFont="1" applyFill="1" applyBorder="1" applyAlignment="1">
      <alignment vertical="center"/>
    </xf>
    <xf numFmtId="165" fontId="16" fillId="2" borderId="0" xfId="2" applyNumberFormat="1" applyFont="1" applyFill="1" applyBorder="1" applyAlignment="1"/>
    <xf numFmtId="165" fontId="2" fillId="2" borderId="0" xfId="2" applyNumberFormat="1" applyFont="1" applyFill="1"/>
    <xf numFmtId="165" fontId="19" fillId="2" borderId="0" xfId="140" applyNumberFormat="1" applyFont="1" applyFill="1" applyAlignment="1">
      <alignment vertical="center"/>
    </xf>
    <xf numFmtId="165" fontId="20" fillId="2" borderId="0" xfId="2" applyNumberFormat="1" applyFont="1" applyFill="1" applyAlignment="1"/>
    <xf numFmtId="165" fontId="2" fillId="2" borderId="0" xfId="140" applyNumberFormat="1" applyFont="1" applyFill="1"/>
    <xf numFmtId="165" fontId="16" fillId="2" borderId="0" xfId="2" applyNumberFormat="1" applyFont="1" applyFill="1" applyAlignment="1"/>
    <xf numFmtId="165" fontId="5" fillId="2" borderId="0" xfId="140" applyNumberFormat="1" applyFont="1" applyFill="1" applyAlignment="1"/>
    <xf numFmtId="165" fontId="2" fillId="2" borderId="0" xfId="140" applyNumberFormat="1" applyFont="1" applyFill="1" applyAlignment="1"/>
    <xf numFmtId="165" fontId="5" fillId="2" borderId="0" xfId="139" applyNumberFormat="1" applyFont="1" applyFill="1" applyAlignment="1">
      <alignment vertical="top"/>
    </xf>
    <xf numFmtId="165" fontId="16" fillId="2" borderId="0" xfId="140" applyNumberFormat="1" applyFont="1" applyFill="1" applyAlignment="1"/>
    <xf numFmtId="165" fontId="6" fillId="2" borderId="0" xfId="140" applyNumberFormat="1" applyFont="1" applyFill="1" applyBorder="1" applyAlignment="1">
      <alignment horizontal="center" vertical="center"/>
    </xf>
    <xf numFmtId="165" fontId="2" fillId="2" borderId="0" xfId="2" applyNumberFormat="1" applyFill="1" applyAlignment="1"/>
    <xf numFmtId="165" fontId="2" fillId="2" borderId="0" xfId="140" applyNumberFormat="1" applyFill="1" applyAlignment="1"/>
    <xf numFmtId="165" fontId="6" fillId="2" borderId="6" xfId="140" applyNumberFormat="1" applyFont="1" applyFill="1" applyBorder="1" applyAlignment="1">
      <alignment vertical="center"/>
    </xf>
    <xf numFmtId="49" fontId="6" fillId="2" borderId="6" xfId="140" applyNumberFormat="1" applyFont="1" applyFill="1" applyBorder="1" applyAlignment="1">
      <alignment horizontal="right"/>
    </xf>
    <xf numFmtId="165" fontId="7" fillId="2" borderId="8" xfId="140" applyNumberFormat="1" applyFont="1" applyFill="1" applyBorder="1" applyAlignment="1">
      <alignment horizontal="right" vertical="center"/>
    </xf>
    <xf numFmtId="165" fontId="7" fillId="2" borderId="11" xfId="140" applyNumberFormat="1" applyFont="1" applyFill="1" applyBorder="1" applyAlignment="1">
      <alignment horizontal="right" vertical="center"/>
    </xf>
    <xf numFmtId="165" fontId="6" fillId="2" borderId="7" xfId="140" applyNumberFormat="1" applyFont="1" applyFill="1" applyBorder="1" applyAlignment="1">
      <alignment vertical="center"/>
    </xf>
    <xf numFmtId="165" fontId="18" fillId="2" borderId="8" xfId="140" applyNumberFormat="1" applyFont="1" applyFill="1" applyBorder="1" applyAlignment="1">
      <alignment horizontal="left" vertical="center" indent="2"/>
    </xf>
    <xf numFmtId="165" fontId="7" fillId="2" borderId="9" xfId="140" applyNumberFormat="1" applyFont="1" applyFill="1" applyBorder="1" applyAlignment="1">
      <alignment horizontal="right" vertical="center"/>
    </xf>
    <xf numFmtId="165" fontId="7" fillId="2" borderId="0" xfId="140" applyNumberFormat="1" applyFont="1" applyFill="1" applyBorder="1" applyAlignment="1">
      <alignment vertical="center"/>
    </xf>
    <xf numFmtId="165" fontId="7" fillId="2" borderId="7" xfId="140" applyNumberFormat="1" applyFont="1" applyFill="1" applyBorder="1" applyAlignment="1">
      <alignment vertical="center"/>
    </xf>
    <xf numFmtId="165" fontId="7" fillId="2" borderId="6" xfId="140" applyNumberFormat="1" applyFont="1" applyFill="1" applyBorder="1" applyAlignment="1">
      <alignment vertical="center"/>
    </xf>
    <xf numFmtId="165" fontId="17" fillId="2" borderId="0" xfId="2" applyNumberFormat="1" applyFont="1" applyFill="1" applyBorder="1" applyAlignment="1">
      <alignment vertical="center"/>
    </xf>
    <xf numFmtId="165" fontId="8" fillId="2" borderId="6" xfId="140" applyNumberFormat="1" applyFont="1" applyFill="1" applyBorder="1" applyAlignment="1">
      <alignment horizontal="right" vertical="center"/>
    </xf>
    <xf numFmtId="165" fontId="8" fillId="2" borderId="0" xfId="140" applyNumberFormat="1" applyFont="1" applyFill="1" applyBorder="1" applyAlignment="1">
      <alignment horizontal="right" vertical="center"/>
    </xf>
    <xf numFmtId="165" fontId="21" fillId="2" borderId="0" xfId="140" applyNumberFormat="1" applyFont="1" applyFill="1" applyAlignment="1">
      <alignment vertical="center"/>
    </xf>
    <xf numFmtId="165" fontId="1" fillId="2" borderId="6" xfId="140" applyNumberFormat="1" applyFont="1" applyFill="1" applyBorder="1" applyAlignment="1">
      <alignment horizontal="right" vertical="center"/>
    </xf>
    <xf numFmtId="165" fontId="1" fillId="2" borderId="0" xfId="140" applyNumberFormat="1" applyFont="1" applyFill="1" applyBorder="1" applyAlignment="1">
      <alignment horizontal="right" vertical="center"/>
    </xf>
    <xf numFmtId="165" fontId="6" fillId="2" borderId="2" xfId="140" applyNumberFormat="1" applyFont="1" applyFill="1" applyBorder="1" applyAlignment="1">
      <alignment horizontal="center" vertical="center"/>
    </xf>
    <xf numFmtId="165" fontId="6" fillId="2" borderId="1" xfId="140" applyNumberFormat="1" applyFont="1" applyFill="1" applyBorder="1" applyAlignment="1">
      <alignment horizontal="center" vertical="center"/>
    </xf>
    <xf numFmtId="165" fontId="9" fillId="2" borderId="0" xfId="140" applyNumberFormat="1" applyFont="1" applyFill="1" applyAlignment="1">
      <alignment horizontal="center" vertical="center"/>
    </xf>
    <xf numFmtId="165" fontId="13" fillId="2" borderId="0" xfId="140" applyNumberFormat="1" applyFont="1" applyFill="1" applyBorder="1" applyAlignment="1">
      <alignment horizontal="center" vertical="center"/>
    </xf>
    <xf numFmtId="165" fontId="6" fillId="2" borderId="10" xfId="140" applyNumberFormat="1" applyFont="1" applyFill="1" applyBorder="1" applyAlignment="1">
      <alignment horizontal="left" vertical="center"/>
    </xf>
    <xf numFmtId="165" fontId="6" fillId="2" borderId="8" xfId="140" applyNumberFormat="1" applyFont="1" applyFill="1" applyBorder="1" applyAlignment="1">
      <alignment horizontal="left" vertical="center"/>
    </xf>
    <xf numFmtId="165" fontId="6" fillId="2" borderId="3" xfId="140" applyNumberFormat="1" applyFont="1" applyFill="1" applyBorder="1" applyAlignment="1">
      <alignment horizontal="center" vertical="center"/>
    </xf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13</xdr:row>
      <xdr:rowOff>0</xdr:rowOff>
    </xdr:from>
    <xdr:to>
      <xdr:col>20</xdr:col>
      <xdr:colOff>0</xdr:colOff>
      <xdr:row>13</xdr:row>
      <xdr:rowOff>142875</xdr:rowOff>
    </xdr:to>
    <xdr:sp macro="" textlink="">
      <xdr:nvSpPr>
        <xdr:cNvPr id="2" name="Text 8"/>
        <xdr:cNvSpPr txBox="1">
          <a:spLocks noChangeArrowheads="1"/>
        </xdr:cNvSpPr>
      </xdr:nvSpPr>
      <xdr:spPr bwMode="auto">
        <a:xfrm>
          <a:off x="13896975" y="2505075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20</xdr:col>
      <xdr:colOff>0</xdr:colOff>
      <xdr:row>13</xdr:row>
      <xdr:rowOff>142875</xdr:rowOff>
    </xdr:to>
    <xdr:sp macro="" textlink="">
      <xdr:nvSpPr>
        <xdr:cNvPr id="3" name="Text 8"/>
        <xdr:cNvSpPr txBox="1">
          <a:spLocks noChangeArrowheads="1"/>
        </xdr:cNvSpPr>
      </xdr:nvSpPr>
      <xdr:spPr bwMode="auto">
        <a:xfrm>
          <a:off x="13896975" y="2505075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W99"/>
  <sheetViews>
    <sheetView tabSelected="1" zoomScaleNormal="100" workbookViewId="0">
      <selection activeCell="W87" sqref="W87"/>
    </sheetView>
  </sheetViews>
  <sheetFormatPr defaultRowHeight="12" x14ac:dyDescent="0.15"/>
  <cols>
    <col min="1" max="1" width="50.5703125" style="3" customWidth="1"/>
    <col min="2" max="10" width="7.7109375" style="3" hidden="1" customWidth="1"/>
    <col min="11" max="11" width="11.42578125" style="3" customWidth="1"/>
    <col min="12" max="13" width="7.7109375" style="3" customWidth="1"/>
    <col min="14" max="14" width="10.28515625" style="3" customWidth="1"/>
    <col min="15" max="15" width="6.7109375" style="3" customWidth="1"/>
    <col min="16" max="16" width="7.7109375" style="3" customWidth="1"/>
    <col min="17" max="17" width="11" style="3" customWidth="1"/>
    <col min="18" max="18" width="8.85546875" style="3" customWidth="1"/>
    <col min="19" max="19" width="8.140625" style="3" customWidth="1"/>
    <col min="20" max="20" width="12.5703125" style="3" customWidth="1"/>
    <col min="21" max="22" width="12.140625" style="3" customWidth="1"/>
    <col min="23" max="16384" width="9.140625" style="3"/>
  </cols>
  <sheetData>
    <row r="2" spans="1:22" ht="21.75" x14ac:dyDescent="0.25">
      <c r="A2" s="65" t="s">
        <v>80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1"/>
      <c r="U2" s="1"/>
      <c r="V2" s="1"/>
    </row>
    <row r="3" spans="1:22" ht="15.75" x14ac:dyDescent="0.25">
      <c r="A3" s="66" t="s">
        <v>81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1"/>
      <c r="U3" s="1"/>
      <c r="V3" s="1"/>
    </row>
    <row r="4" spans="1:22" s="6" customFormat="1" ht="12.75" x14ac:dyDescent="0.2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s="8" customFormat="1" ht="15" x14ac:dyDescent="0.25">
      <c r="A5" s="67" t="s">
        <v>3</v>
      </c>
      <c r="B5" s="64">
        <v>2011</v>
      </c>
      <c r="C5" s="64"/>
      <c r="D5" s="69"/>
      <c r="E5" s="64">
        <v>2012</v>
      </c>
      <c r="F5" s="64"/>
      <c r="G5" s="64"/>
      <c r="H5" s="64">
        <v>2013</v>
      </c>
      <c r="I5" s="64"/>
      <c r="J5" s="64"/>
      <c r="K5" s="64">
        <v>2014</v>
      </c>
      <c r="L5" s="64"/>
      <c r="M5" s="64"/>
      <c r="N5" s="63">
        <v>2015</v>
      </c>
      <c r="O5" s="64"/>
      <c r="P5" s="64"/>
      <c r="Q5" s="63">
        <v>2016</v>
      </c>
      <c r="R5" s="64"/>
      <c r="S5" s="64"/>
      <c r="T5" s="7"/>
      <c r="U5" s="7"/>
      <c r="V5" s="7"/>
    </row>
    <row r="6" spans="1:22" s="13" customFormat="1" ht="15" x14ac:dyDescent="0.15">
      <c r="A6" s="68"/>
      <c r="B6" s="9" t="s">
        <v>13</v>
      </c>
      <c r="C6" s="9" t="s">
        <v>0</v>
      </c>
      <c r="D6" s="10" t="s">
        <v>1</v>
      </c>
      <c r="E6" s="9" t="s">
        <v>13</v>
      </c>
      <c r="F6" s="9" t="s">
        <v>0</v>
      </c>
      <c r="G6" s="9" t="s">
        <v>1</v>
      </c>
      <c r="H6" s="9" t="s">
        <v>13</v>
      </c>
      <c r="I6" s="9" t="s">
        <v>0</v>
      </c>
      <c r="J6" s="9" t="s">
        <v>1</v>
      </c>
      <c r="K6" s="9" t="s">
        <v>13</v>
      </c>
      <c r="L6" s="9" t="s">
        <v>0</v>
      </c>
      <c r="M6" s="9" t="s">
        <v>1</v>
      </c>
      <c r="N6" s="11" t="s">
        <v>13</v>
      </c>
      <c r="O6" s="9" t="s">
        <v>0</v>
      </c>
      <c r="P6" s="9" t="s">
        <v>1</v>
      </c>
      <c r="Q6" s="11" t="s">
        <v>13</v>
      </c>
      <c r="R6" s="9" t="s">
        <v>0</v>
      </c>
      <c r="S6" s="9" t="s">
        <v>1</v>
      </c>
      <c r="T6" s="12"/>
      <c r="U6" s="12"/>
      <c r="V6" s="12"/>
    </row>
    <row r="7" spans="1:22" s="8" customFormat="1" ht="15" x14ac:dyDescent="0.25">
      <c r="A7" s="14" t="s">
        <v>14</v>
      </c>
      <c r="B7" s="15">
        <v>785</v>
      </c>
      <c r="C7" s="15">
        <v>783</v>
      </c>
      <c r="D7" s="16">
        <v>2</v>
      </c>
      <c r="E7" s="15">
        <v>561</v>
      </c>
      <c r="F7" s="15">
        <v>561</v>
      </c>
      <c r="G7" s="15">
        <v>0</v>
      </c>
      <c r="H7" s="15">
        <v>402</v>
      </c>
      <c r="I7" s="15">
        <v>397</v>
      </c>
      <c r="J7" s="15">
        <v>5</v>
      </c>
      <c r="K7" s="15">
        <v>260</v>
      </c>
      <c r="L7" s="15">
        <v>252</v>
      </c>
      <c r="M7" s="15">
        <v>8</v>
      </c>
      <c r="N7" s="17">
        <f>N8+N35</f>
        <v>498</v>
      </c>
      <c r="O7" s="15">
        <f>O8+O35</f>
        <v>430</v>
      </c>
      <c r="P7" s="15">
        <f>P8+P35</f>
        <v>68</v>
      </c>
      <c r="Q7" s="17">
        <f>Q8+Q36+Q38+Q45+Q66+Q81+Q88</f>
        <v>821</v>
      </c>
      <c r="R7" s="15">
        <f>R8+R36+R38+R45+R66+R81+R88</f>
        <v>761</v>
      </c>
      <c r="S7" s="15">
        <f>S8+S36</f>
        <v>60</v>
      </c>
      <c r="T7" s="7"/>
      <c r="U7" s="7"/>
      <c r="V7" s="7"/>
    </row>
    <row r="8" spans="1:22" s="23" customFormat="1" ht="15" x14ac:dyDescent="0.25">
      <c r="A8" s="18" t="s">
        <v>4</v>
      </c>
      <c r="B8" s="19">
        <v>329</v>
      </c>
      <c r="C8" s="19">
        <v>327</v>
      </c>
      <c r="D8" s="20">
        <v>2</v>
      </c>
      <c r="E8" s="19">
        <v>271</v>
      </c>
      <c r="F8" s="19">
        <v>271</v>
      </c>
      <c r="G8" s="19">
        <v>0</v>
      </c>
      <c r="H8" s="19">
        <v>274</v>
      </c>
      <c r="I8" s="19">
        <v>269</v>
      </c>
      <c r="J8" s="19">
        <v>5</v>
      </c>
      <c r="K8" s="19">
        <v>182</v>
      </c>
      <c r="L8" s="19">
        <v>174</v>
      </c>
      <c r="M8" s="19">
        <v>8</v>
      </c>
      <c r="N8" s="21">
        <f>N13+N17+N27+N81</f>
        <v>412</v>
      </c>
      <c r="O8" s="19">
        <f>O13+O17+O27+O81</f>
        <v>356</v>
      </c>
      <c r="P8" s="19">
        <f>P13+P17+P27+P85</f>
        <v>56</v>
      </c>
      <c r="Q8" s="21">
        <f>Q9+Q13+Q17+Q27</f>
        <v>495</v>
      </c>
      <c r="R8" s="19">
        <f>R9+R13+R17+R27</f>
        <v>435</v>
      </c>
      <c r="S8" s="19">
        <f>S9+S13+S17+S27</f>
        <v>60</v>
      </c>
      <c r="T8" s="22"/>
      <c r="U8" s="22"/>
      <c r="V8" s="22"/>
    </row>
    <row r="9" spans="1:22" s="23" customFormat="1" ht="15" x14ac:dyDescent="0.25">
      <c r="A9" s="24" t="s">
        <v>15</v>
      </c>
      <c r="B9" s="19">
        <v>7</v>
      </c>
      <c r="C9" s="19">
        <v>7</v>
      </c>
      <c r="D9" s="20">
        <v>0</v>
      </c>
      <c r="E9" s="19">
        <v>1</v>
      </c>
      <c r="F9" s="19">
        <v>1</v>
      </c>
      <c r="G9" s="19">
        <v>0</v>
      </c>
      <c r="H9" s="19">
        <v>0</v>
      </c>
      <c r="I9" s="19">
        <v>0</v>
      </c>
      <c r="J9" s="19">
        <v>0</v>
      </c>
      <c r="K9" s="19">
        <v>25</v>
      </c>
      <c r="L9" s="19">
        <v>22</v>
      </c>
      <c r="M9" s="19">
        <v>3</v>
      </c>
      <c r="N9" s="21">
        <v>0</v>
      </c>
      <c r="O9" s="19">
        <v>0</v>
      </c>
      <c r="P9" s="19">
        <v>0</v>
      </c>
      <c r="Q9" s="21">
        <f>Q10+Q11+Q12</f>
        <v>40</v>
      </c>
      <c r="R9" s="19">
        <f>R11+R12</f>
        <v>38</v>
      </c>
      <c r="S9" s="19">
        <f>S10+S11+S12</f>
        <v>2</v>
      </c>
      <c r="T9" s="22"/>
      <c r="U9" s="22"/>
      <c r="V9" s="22"/>
    </row>
    <row r="10" spans="1:22" s="23" customFormat="1" ht="15" hidden="1" x14ac:dyDescent="0.25">
      <c r="A10" s="25" t="s">
        <v>16</v>
      </c>
      <c r="B10" s="26">
        <v>0</v>
      </c>
      <c r="C10" s="26">
        <v>0</v>
      </c>
      <c r="D10" s="27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8">
        <v>0</v>
      </c>
      <c r="O10" s="26">
        <v>0</v>
      </c>
      <c r="P10" s="26">
        <v>0</v>
      </c>
      <c r="Q10" s="28">
        <v>0</v>
      </c>
      <c r="R10" s="26">
        <v>0</v>
      </c>
      <c r="S10" s="26">
        <v>0</v>
      </c>
      <c r="T10" s="22"/>
      <c r="U10" s="22"/>
      <c r="V10" s="22"/>
    </row>
    <row r="11" spans="1:22" s="8" customFormat="1" ht="15" x14ac:dyDescent="0.25">
      <c r="A11" s="25" t="s">
        <v>17</v>
      </c>
      <c r="B11" s="26">
        <v>7</v>
      </c>
      <c r="C11" s="26">
        <v>7</v>
      </c>
      <c r="D11" s="27">
        <v>0</v>
      </c>
      <c r="E11" s="26">
        <v>1</v>
      </c>
      <c r="F11" s="26">
        <v>1</v>
      </c>
      <c r="G11" s="26">
        <v>0</v>
      </c>
      <c r="H11" s="26">
        <v>0</v>
      </c>
      <c r="I11" s="26">
        <v>0</v>
      </c>
      <c r="J11" s="26">
        <v>0</v>
      </c>
      <c r="K11" s="26">
        <v>25</v>
      </c>
      <c r="L11" s="26">
        <v>22</v>
      </c>
      <c r="M11" s="26">
        <v>3</v>
      </c>
      <c r="N11" s="28">
        <v>0</v>
      </c>
      <c r="O11" s="26">
        <v>0</v>
      </c>
      <c r="P11" s="26">
        <v>0</v>
      </c>
      <c r="Q11" s="28">
        <v>21</v>
      </c>
      <c r="R11" s="26">
        <v>19</v>
      </c>
      <c r="S11" s="26">
        <v>2</v>
      </c>
      <c r="T11" s="22"/>
      <c r="U11" s="22"/>
      <c r="V11" s="22"/>
    </row>
    <row r="12" spans="1:22" s="8" customFormat="1" ht="15" x14ac:dyDescent="0.25">
      <c r="A12" s="25" t="s">
        <v>18</v>
      </c>
      <c r="B12" s="26">
        <v>0</v>
      </c>
      <c r="C12" s="26">
        <v>0</v>
      </c>
      <c r="D12" s="27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8">
        <v>0</v>
      </c>
      <c r="O12" s="26">
        <v>0</v>
      </c>
      <c r="P12" s="26">
        <v>0</v>
      </c>
      <c r="Q12" s="28">
        <v>19</v>
      </c>
      <c r="R12" s="26">
        <v>19</v>
      </c>
      <c r="S12" s="26">
        <v>0</v>
      </c>
      <c r="T12" s="22"/>
      <c r="U12" s="22"/>
      <c r="V12" s="22"/>
    </row>
    <row r="13" spans="1:22" s="23" customFormat="1" ht="15" x14ac:dyDescent="0.25">
      <c r="A13" s="24" t="s">
        <v>19</v>
      </c>
      <c r="B13" s="19">
        <v>6</v>
      </c>
      <c r="C13" s="19">
        <v>4</v>
      </c>
      <c r="D13" s="20">
        <v>2</v>
      </c>
      <c r="E13" s="19">
        <v>0</v>
      </c>
      <c r="F13" s="19">
        <v>0</v>
      </c>
      <c r="G13" s="19">
        <v>0</v>
      </c>
      <c r="H13" s="19">
        <v>13</v>
      </c>
      <c r="I13" s="19">
        <v>8</v>
      </c>
      <c r="J13" s="19">
        <v>5</v>
      </c>
      <c r="K13" s="19">
        <v>24</v>
      </c>
      <c r="L13" s="19">
        <v>19</v>
      </c>
      <c r="M13" s="19">
        <v>5</v>
      </c>
      <c r="N13" s="21">
        <f>N14+N15</f>
        <v>28</v>
      </c>
      <c r="O13" s="19">
        <f>O14+O15</f>
        <v>26</v>
      </c>
      <c r="P13" s="19">
        <f t="shared" ref="P13" si="0">P14+P15</f>
        <v>2</v>
      </c>
      <c r="Q13" s="21">
        <f>Q14+Q15+Q16</f>
        <v>96</v>
      </c>
      <c r="R13" s="19">
        <f>R14+R15+R16</f>
        <v>84</v>
      </c>
      <c r="S13" s="19">
        <f>S14+S15+S16</f>
        <v>12</v>
      </c>
      <c r="T13" s="22"/>
      <c r="U13" s="22"/>
      <c r="V13" s="22"/>
    </row>
    <row r="14" spans="1:22" s="8" customFormat="1" ht="15" x14ac:dyDescent="0.25">
      <c r="A14" s="25" t="s">
        <v>20</v>
      </c>
      <c r="B14" s="26">
        <v>6</v>
      </c>
      <c r="C14" s="26">
        <v>4</v>
      </c>
      <c r="D14" s="27">
        <v>2</v>
      </c>
      <c r="E14" s="26">
        <v>0</v>
      </c>
      <c r="F14" s="26">
        <v>0</v>
      </c>
      <c r="G14" s="26">
        <v>0</v>
      </c>
      <c r="H14" s="26">
        <v>13</v>
      </c>
      <c r="I14" s="26">
        <v>8</v>
      </c>
      <c r="J14" s="26">
        <v>5</v>
      </c>
      <c r="K14" s="26">
        <v>24</v>
      </c>
      <c r="L14" s="26">
        <v>19</v>
      </c>
      <c r="M14" s="26">
        <v>5</v>
      </c>
      <c r="N14" s="28">
        <f>O14+P14</f>
        <v>15</v>
      </c>
      <c r="O14" s="26">
        <v>14</v>
      </c>
      <c r="P14" s="26">
        <v>1</v>
      </c>
      <c r="Q14" s="28">
        <f>R14+S14</f>
        <v>75</v>
      </c>
      <c r="R14" s="26">
        <v>67</v>
      </c>
      <c r="S14" s="26">
        <v>8</v>
      </c>
      <c r="T14" s="22"/>
      <c r="U14" s="22"/>
      <c r="V14" s="22"/>
    </row>
    <row r="15" spans="1:22" s="8" customFormat="1" ht="15" x14ac:dyDescent="0.25">
      <c r="A15" s="25" t="s">
        <v>16</v>
      </c>
      <c r="B15" s="26">
        <f>C15+D15</f>
        <v>0</v>
      </c>
      <c r="C15" s="26">
        <v>0</v>
      </c>
      <c r="D15" s="27">
        <v>0</v>
      </c>
      <c r="E15" s="26">
        <f>F15+G15</f>
        <v>0</v>
      </c>
      <c r="F15" s="26">
        <v>0</v>
      </c>
      <c r="G15" s="26">
        <v>0</v>
      </c>
      <c r="H15" s="26">
        <f>I15+J15</f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8">
        <f>O15+P15</f>
        <v>13</v>
      </c>
      <c r="O15" s="26">
        <v>12</v>
      </c>
      <c r="P15" s="26">
        <v>1</v>
      </c>
      <c r="Q15" s="28">
        <f>R15+S15</f>
        <v>8</v>
      </c>
      <c r="R15" s="26">
        <v>7</v>
      </c>
      <c r="S15" s="26">
        <v>1</v>
      </c>
      <c r="T15" s="22"/>
      <c r="U15" s="22"/>
      <c r="V15" s="22"/>
    </row>
    <row r="16" spans="1:22" s="8" customFormat="1" ht="15" x14ac:dyDescent="0.25">
      <c r="A16" s="25" t="s">
        <v>21</v>
      </c>
      <c r="B16" s="26">
        <v>0</v>
      </c>
      <c r="C16" s="26">
        <v>0</v>
      </c>
      <c r="D16" s="27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8">
        <v>0</v>
      </c>
      <c r="O16" s="26">
        <v>0</v>
      </c>
      <c r="P16" s="26">
        <v>0</v>
      </c>
      <c r="Q16" s="28">
        <f>R16+S16</f>
        <v>13</v>
      </c>
      <c r="R16" s="26">
        <v>10</v>
      </c>
      <c r="S16" s="26">
        <v>3</v>
      </c>
      <c r="T16" s="22"/>
      <c r="U16" s="22"/>
      <c r="V16" s="22"/>
    </row>
    <row r="17" spans="1:23" s="23" customFormat="1" ht="15" x14ac:dyDescent="0.25">
      <c r="A17" s="24" t="s">
        <v>22</v>
      </c>
      <c r="B17" s="19">
        <v>316</v>
      </c>
      <c r="C17" s="19">
        <v>316</v>
      </c>
      <c r="D17" s="20">
        <v>0</v>
      </c>
      <c r="E17" s="19">
        <v>270</v>
      </c>
      <c r="F17" s="19">
        <v>270</v>
      </c>
      <c r="G17" s="19">
        <v>0</v>
      </c>
      <c r="H17" s="19">
        <v>261</v>
      </c>
      <c r="I17" s="19">
        <v>261</v>
      </c>
      <c r="J17" s="19">
        <v>0</v>
      </c>
      <c r="K17" s="19">
        <v>133</v>
      </c>
      <c r="L17" s="19">
        <v>133</v>
      </c>
      <c r="M17" s="19">
        <v>0</v>
      </c>
      <c r="N17" s="21">
        <f t="shared" ref="N17:S17" si="1">N18+N19+N20+N21+N22+N23+N24+N25+N26</f>
        <v>155</v>
      </c>
      <c r="O17" s="19">
        <f t="shared" si="1"/>
        <v>117</v>
      </c>
      <c r="P17" s="19">
        <f t="shared" si="1"/>
        <v>38</v>
      </c>
      <c r="Q17" s="21">
        <f>Q18+Q19+Q20+Q21+Q22+Q23+Q24+Q25+Q26</f>
        <v>167</v>
      </c>
      <c r="R17" s="19">
        <f>R18+R19+R20+R21+R22+R23+R24+R25+R26</f>
        <v>167</v>
      </c>
      <c r="S17" s="19">
        <f t="shared" si="1"/>
        <v>0</v>
      </c>
      <c r="T17" s="22"/>
      <c r="U17" s="22"/>
      <c r="V17" s="22"/>
    </row>
    <row r="18" spans="1:23" s="8" customFormat="1" ht="15" x14ac:dyDescent="0.25">
      <c r="A18" s="29" t="s">
        <v>23</v>
      </c>
      <c r="B18" s="26">
        <v>100</v>
      </c>
      <c r="C18" s="26">
        <v>100</v>
      </c>
      <c r="D18" s="27">
        <v>0</v>
      </c>
      <c r="E18" s="26">
        <v>79</v>
      </c>
      <c r="F18" s="26">
        <v>79</v>
      </c>
      <c r="G18" s="26">
        <v>0</v>
      </c>
      <c r="H18" s="26">
        <v>101</v>
      </c>
      <c r="I18" s="26">
        <v>101</v>
      </c>
      <c r="J18" s="26">
        <v>0</v>
      </c>
      <c r="K18" s="26">
        <v>59</v>
      </c>
      <c r="L18" s="26">
        <v>59</v>
      </c>
      <c r="M18" s="26">
        <v>0</v>
      </c>
      <c r="N18" s="28">
        <f>O18+P18</f>
        <v>38</v>
      </c>
      <c r="O18" s="26">
        <v>38</v>
      </c>
      <c r="P18" s="26">
        <v>0</v>
      </c>
      <c r="Q18" s="28">
        <f>R18</f>
        <v>70</v>
      </c>
      <c r="R18" s="26">
        <v>70</v>
      </c>
      <c r="S18" s="26">
        <v>0</v>
      </c>
      <c r="T18" s="22"/>
      <c r="U18" s="22"/>
      <c r="V18" s="22"/>
    </row>
    <row r="19" spans="1:23" s="8" customFormat="1" ht="15" x14ac:dyDescent="0.25">
      <c r="A19" s="30" t="s">
        <v>24</v>
      </c>
      <c r="B19" s="26">
        <v>128</v>
      </c>
      <c r="C19" s="26">
        <v>128</v>
      </c>
      <c r="D19" s="27">
        <v>0</v>
      </c>
      <c r="E19" s="26">
        <v>129</v>
      </c>
      <c r="F19" s="26">
        <v>129</v>
      </c>
      <c r="G19" s="26">
        <v>0</v>
      </c>
      <c r="H19" s="26">
        <v>112</v>
      </c>
      <c r="I19" s="26">
        <v>112</v>
      </c>
      <c r="J19" s="26">
        <v>0</v>
      </c>
      <c r="K19" s="26">
        <v>66</v>
      </c>
      <c r="L19" s="26">
        <v>66</v>
      </c>
      <c r="M19" s="26">
        <v>0</v>
      </c>
      <c r="N19" s="28">
        <f>O19+P19</f>
        <v>42</v>
      </c>
      <c r="O19" s="26">
        <v>42</v>
      </c>
      <c r="P19" s="26">
        <v>0</v>
      </c>
      <c r="Q19" s="28">
        <f>R19+S19</f>
        <v>75</v>
      </c>
      <c r="R19" s="26">
        <v>75</v>
      </c>
      <c r="S19" s="26">
        <v>0</v>
      </c>
      <c r="T19" s="22"/>
      <c r="U19" s="22"/>
      <c r="V19" s="22"/>
    </row>
    <row r="20" spans="1:23" s="8" customFormat="1" ht="15" x14ac:dyDescent="0.25">
      <c r="A20" s="25" t="s">
        <v>25</v>
      </c>
      <c r="B20" s="26">
        <v>54</v>
      </c>
      <c r="C20" s="26">
        <v>54</v>
      </c>
      <c r="D20" s="27">
        <v>0</v>
      </c>
      <c r="E20" s="26">
        <v>41</v>
      </c>
      <c r="F20" s="26">
        <v>41</v>
      </c>
      <c r="G20" s="26">
        <v>0</v>
      </c>
      <c r="H20" s="26">
        <v>30</v>
      </c>
      <c r="I20" s="26">
        <v>30</v>
      </c>
      <c r="J20" s="26">
        <v>0</v>
      </c>
      <c r="K20" s="26">
        <v>8</v>
      </c>
      <c r="L20" s="26">
        <v>8</v>
      </c>
      <c r="M20" s="26">
        <v>0</v>
      </c>
      <c r="N20" s="28">
        <v>0</v>
      </c>
      <c r="O20" s="26">
        <v>0</v>
      </c>
      <c r="P20" s="26">
        <v>0</v>
      </c>
      <c r="Q20" s="28">
        <v>0</v>
      </c>
      <c r="R20" s="26">
        <v>0</v>
      </c>
      <c r="S20" s="26">
        <v>0</v>
      </c>
      <c r="T20" s="22"/>
      <c r="U20" s="22"/>
      <c r="V20" s="22"/>
      <c r="W20" s="7"/>
    </row>
    <row r="21" spans="1:23" s="8" customFormat="1" ht="15" hidden="1" x14ac:dyDescent="0.25">
      <c r="A21" s="25" t="s">
        <v>26</v>
      </c>
      <c r="B21" s="26">
        <v>0</v>
      </c>
      <c r="C21" s="26">
        <v>0</v>
      </c>
      <c r="D21" s="27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8">
        <v>0</v>
      </c>
      <c r="O21" s="26">
        <v>0</v>
      </c>
      <c r="P21" s="26">
        <v>0</v>
      </c>
      <c r="Q21" s="28">
        <v>0</v>
      </c>
      <c r="R21" s="26">
        <v>0</v>
      </c>
      <c r="S21" s="26">
        <v>0</v>
      </c>
      <c r="T21" s="22"/>
      <c r="U21" s="22"/>
      <c r="V21" s="22"/>
      <c r="W21" s="7"/>
    </row>
    <row r="22" spans="1:23" s="8" customFormat="1" ht="15" hidden="1" x14ac:dyDescent="0.25">
      <c r="A22" s="30" t="s">
        <v>27</v>
      </c>
      <c r="B22" s="26">
        <v>0</v>
      </c>
      <c r="C22" s="26">
        <v>0</v>
      </c>
      <c r="D22" s="27">
        <v>0</v>
      </c>
      <c r="E22" s="26">
        <v>8</v>
      </c>
      <c r="F22" s="26">
        <v>8</v>
      </c>
      <c r="G22" s="26">
        <v>0</v>
      </c>
      <c r="H22" s="26">
        <v>16</v>
      </c>
      <c r="I22" s="26">
        <v>16</v>
      </c>
      <c r="J22" s="26">
        <v>0</v>
      </c>
      <c r="K22" s="26">
        <v>0</v>
      </c>
      <c r="L22" s="26">
        <v>0</v>
      </c>
      <c r="M22" s="26">
        <v>0</v>
      </c>
      <c r="N22" s="28">
        <v>0</v>
      </c>
      <c r="O22" s="26">
        <v>0</v>
      </c>
      <c r="P22" s="26">
        <v>0</v>
      </c>
      <c r="Q22" s="28">
        <v>0</v>
      </c>
      <c r="R22" s="26">
        <v>0</v>
      </c>
      <c r="S22" s="26">
        <v>0</v>
      </c>
      <c r="T22" s="22"/>
      <c r="U22" s="22" t="s">
        <v>2</v>
      </c>
      <c r="V22" s="22"/>
      <c r="W22" s="7"/>
    </row>
    <row r="23" spans="1:23" s="8" customFormat="1" ht="15" hidden="1" x14ac:dyDescent="0.25">
      <c r="A23" s="25" t="s">
        <v>28</v>
      </c>
      <c r="B23" s="26">
        <v>9</v>
      </c>
      <c r="C23" s="26">
        <v>9</v>
      </c>
      <c r="D23" s="27">
        <v>0</v>
      </c>
      <c r="E23" s="26">
        <v>5</v>
      </c>
      <c r="F23" s="26">
        <v>5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8">
        <v>0</v>
      </c>
      <c r="O23" s="26">
        <v>0</v>
      </c>
      <c r="P23" s="26">
        <v>0</v>
      </c>
      <c r="Q23" s="28">
        <v>0</v>
      </c>
      <c r="R23" s="26">
        <v>0</v>
      </c>
      <c r="S23" s="26">
        <v>0</v>
      </c>
      <c r="T23" s="22"/>
      <c r="U23" s="22"/>
      <c r="V23" s="22"/>
      <c r="W23" s="7"/>
    </row>
    <row r="24" spans="1:23" s="8" customFormat="1" ht="15" hidden="1" x14ac:dyDescent="0.25">
      <c r="A24" s="25" t="s">
        <v>29</v>
      </c>
      <c r="B24" s="26">
        <v>12</v>
      </c>
      <c r="C24" s="26">
        <v>12</v>
      </c>
      <c r="D24" s="27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8">
        <v>0</v>
      </c>
      <c r="O24" s="26">
        <v>0</v>
      </c>
      <c r="P24" s="26">
        <v>0</v>
      </c>
      <c r="Q24" s="28">
        <v>0</v>
      </c>
      <c r="R24" s="26">
        <v>0</v>
      </c>
      <c r="S24" s="26">
        <v>0</v>
      </c>
      <c r="T24" s="7"/>
      <c r="U24" s="7"/>
      <c r="V24" s="7"/>
      <c r="W24" s="7"/>
    </row>
    <row r="25" spans="1:23" s="8" customFormat="1" ht="15" hidden="1" x14ac:dyDescent="0.25">
      <c r="A25" s="30" t="s">
        <v>30</v>
      </c>
      <c r="B25" s="26">
        <v>13</v>
      </c>
      <c r="C25" s="26">
        <v>13</v>
      </c>
      <c r="D25" s="27">
        <v>0</v>
      </c>
      <c r="E25" s="26">
        <v>8</v>
      </c>
      <c r="F25" s="26">
        <v>8</v>
      </c>
      <c r="G25" s="26">
        <v>0</v>
      </c>
      <c r="H25" s="26">
        <v>2</v>
      </c>
      <c r="I25" s="26">
        <v>2</v>
      </c>
      <c r="J25" s="26">
        <v>0</v>
      </c>
      <c r="K25" s="26">
        <v>0</v>
      </c>
      <c r="L25" s="26">
        <v>0</v>
      </c>
      <c r="M25" s="26">
        <v>0</v>
      </c>
      <c r="N25" s="28">
        <v>0</v>
      </c>
      <c r="O25" s="26">
        <v>0</v>
      </c>
      <c r="P25" s="26">
        <v>0</v>
      </c>
      <c r="Q25" s="28">
        <v>0</v>
      </c>
      <c r="R25" s="26">
        <v>0</v>
      </c>
      <c r="S25" s="26">
        <v>0</v>
      </c>
      <c r="T25" s="22"/>
      <c r="U25" s="22"/>
      <c r="V25" s="22"/>
      <c r="W25" s="7"/>
    </row>
    <row r="26" spans="1:23" s="8" customFormat="1" ht="15" x14ac:dyDescent="0.25">
      <c r="A26" s="25" t="s">
        <v>31</v>
      </c>
      <c r="B26" s="26">
        <f>C26+D26</f>
        <v>0</v>
      </c>
      <c r="C26" s="26">
        <v>0</v>
      </c>
      <c r="D26" s="27">
        <v>0</v>
      </c>
      <c r="E26" s="26">
        <f>F26+G26</f>
        <v>0</v>
      </c>
      <c r="F26" s="26">
        <v>0</v>
      </c>
      <c r="G26" s="26">
        <v>0</v>
      </c>
      <c r="H26" s="26">
        <f>I26+J26</f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8">
        <f>O26+P26</f>
        <v>75</v>
      </c>
      <c r="O26" s="26">
        <v>37</v>
      </c>
      <c r="P26" s="26">
        <v>38</v>
      </c>
      <c r="Q26" s="28">
        <f>R26+S26</f>
        <v>22</v>
      </c>
      <c r="R26" s="26">
        <v>22</v>
      </c>
      <c r="S26" s="26">
        <v>0</v>
      </c>
      <c r="T26" s="22"/>
      <c r="U26" s="22"/>
      <c r="V26" s="22"/>
      <c r="W26" s="7"/>
    </row>
    <row r="27" spans="1:23" s="8" customFormat="1" ht="15" x14ac:dyDescent="0.25">
      <c r="A27" s="24" t="s">
        <v>32</v>
      </c>
      <c r="B27" s="19">
        <v>0</v>
      </c>
      <c r="C27" s="19">
        <v>0</v>
      </c>
      <c r="D27" s="20">
        <v>0</v>
      </c>
      <c r="E27" s="19">
        <v>5</v>
      </c>
      <c r="F27" s="19">
        <v>5</v>
      </c>
      <c r="G27" s="20">
        <v>0</v>
      </c>
      <c r="H27" s="19">
        <v>33</v>
      </c>
      <c r="I27" s="19">
        <v>33</v>
      </c>
      <c r="J27" s="19">
        <v>0</v>
      </c>
      <c r="K27" s="19">
        <v>53</v>
      </c>
      <c r="L27" s="19">
        <v>53</v>
      </c>
      <c r="M27" s="19">
        <v>0</v>
      </c>
      <c r="N27" s="21">
        <f t="shared" ref="N27:S27" si="2">N28+N29+N30+N31+N32+N33+N34</f>
        <v>109</v>
      </c>
      <c r="O27" s="19">
        <f t="shared" si="2"/>
        <v>98</v>
      </c>
      <c r="P27" s="19">
        <f t="shared" si="2"/>
        <v>11</v>
      </c>
      <c r="Q27" s="21">
        <f t="shared" si="2"/>
        <v>192</v>
      </c>
      <c r="R27" s="19">
        <f t="shared" si="2"/>
        <v>146</v>
      </c>
      <c r="S27" s="19">
        <f t="shared" si="2"/>
        <v>46</v>
      </c>
      <c r="T27" s="22"/>
      <c r="U27" s="22"/>
      <c r="V27" s="22"/>
      <c r="W27" s="7"/>
    </row>
    <row r="28" spans="1:23" s="32" customFormat="1" ht="15" hidden="1" x14ac:dyDescent="0.25">
      <c r="A28" s="25" t="s">
        <v>33</v>
      </c>
      <c r="B28" s="26">
        <v>0</v>
      </c>
      <c r="C28" s="26">
        <v>0</v>
      </c>
      <c r="D28" s="27">
        <v>0</v>
      </c>
      <c r="E28" s="26">
        <v>5</v>
      </c>
      <c r="F28" s="26">
        <v>5</v>
      </c>
      <c r="G28" s="27">
        <v>0</v>
      </c>
      <c r="H28" s="26">
        <v>10</v>
      </c>
      <c r="I28" s="26">
        <v>10</v>
      </c>
      <c r="J28" s="26">
        <v>0</v>
      </c>
      <c r="K28" s="26">
        <v>0</v>
      </c>
      <c r="L28" s="26">
        <v>0</v>
      </c>
      <c r="M28" s="26">
        <v>0</v>
      </c>
      <c r="N28" s="28">
        <v>0</v>
      </c>
      <c r="O28" s="26">
        <v>0</v>
      </c>
      <c r="P28" s="26">
        <v>0</v>
      </c>
      <c r="Q28" s="28">
        <v>0</v>
      </c>
      <c r="R28" s="26">
        <v>0</v>
      </c>
      <c r="S28" s="26">
        <v>0</v>
      </c>
      <c r="T28" s="31"/>
      <c r="U28" s="31"/>
      <c r="V28" s="31"/>
      <c r="W28" s="31"/>
    </row>
    <row r="29" spans="1:23" s="32" customFormat="1" ht="15" x14ac:dyDescent="0.25">
      <c r="A29" s="25" t="s">
        <v>34</v>
      </c>
      <c r="B29" s="26">
        <v>0</v>
      </c>
      <c r="C29" s="26">
        <v>0</v>
      </c>
      <c r="D29" s="27">
        <v>0</v>
      </c>
      <c r="E29" s="26">
        <v>0</v>
      </c>
      <c r="F29" s="26">
        <v>0</v>
      </c>
      <c r="G29" s="27">
        <v>0</v>
      </c>
      <c r="H29" s="26">
        <v>8</v>
      </c>
      <c r="I29" s="26">
        <v>8</v>
      </c>
      <c r="J29" s="26">
        <v>0</v>
      </c>
      <c r="K29" s="26">
        <v>14</v>
      </c>
      <c r="L29" s="26">
        <v>14</v>
      </c>
      <c r="M29" s="26">
        <v>0</v>
      </c>
      <c r="N29" s="28">
        <f>O29</f>
        <v>33</v>
      </c>
      <c r="O29" s="26">
        <v>33</v>
      </c>
      <c r="P29" s="26">
        <v>0</v>
      </c>
      <c r="Q29" s="28">
        <f>R29</f>
        <v>35</v>
      </c>
      <c r="R29" s="26">
        <v>35</v>
      </c>
      <c r="S29" s="26">
        <v>0</v>
      </c>
      <c r="T29" s="31"/>
      <c r="U29" s="31"/>
      <c r="V29" s="31"/>
      <c r="W29" s="31"/>
    </row>
    <row r="30" spans="1:23" s="32" customFormat="1" ht="15" x14ac:dyDescent="0.25">
      <c r="A30" s="25" t="s">
        <v>35</v>
      </c>
      <c r="B30" s="26">
        <v>0</v>
      </c>
      <c r="C30" s="26">
        <v>0</v>
      </c>
      <c r="D30" s="27">
        <v>0</v>
      </c>
      <c r="E30" s="26">
        <v>0</v>
      </c>
      <c r="F30" s="26">
        <v>0</v>
      </c>
      <c r="G30" s="27">
        <v>0</v>
      </c>
      <c r="H30" s="26">
        <v>0</v>
      </c>
      <c r="I30" s="26">
        <v>0</v>
      </c>
      <c r="J30" s="26">
        <v>0</v>
      </c>
      <c r="K30" s="26">
        <v>13</v>
      </c>
      <c r="L30" s="26">
        <v>13</v>
      </c>
      <c r="M30" s="26">
        <v>0</v>
      </c>
      <c r="N30" s="28">
        <f>O30</f>
        <v>13</v>
      </c>
      <c r="O30" s="26">
        <v>13</v>
      </c>
      <c r="P30" s="26">
        <v>0</v>
      </c>
      <c r="Q30" s="28">
        <f>R30</f>
        <v>36</v>
      </c>
      <c r="R30" s="26">
        <v>36</v>
      </c>
      <c r="S30" s="26">
        <v>0</v>
      </c>
      <c r="T30" s="31"/>
      <c r="U30" s="31"/>
      <c r="V30" s="31"/>
      <c r="W30" s="31"/>
    </row>
    <row r="31" spans="1:23" s="23" customFormat="1" ht="15" customHeight="1" x14ac:dyDescent="0.25">
      <c r="A31" s="25" t="s">
        <v>36</v>
      </c>
      <c r="B31" s="26">
        <v>0</v>
      </c>
      <c r="C31" s="26">
        <v>0</v>
      </c>
      <c r="D31" s="27">
        <v>0</v>
      </c>
      <c r="E31" s="26">
        <v>0</v>
      </c>
      <c r="F31" s="26">
        <v>0</v>
      </c>
      <c r="G31" s="27">
        <v>0</v>
      </c>
      <c r="H31" s="26">
        <v>15</v>
      </c>
      <c r="I31" s="26">
        <v>15</v>
      </c>
      <c r="J31" s="26">
        <v>0</v>
      </c>
      <c r="K31" s="26">
        <v>26</v>
      </c>
      <c r="L31" s="26">
        <v>26</v>
      </c>
      <c r="M31" s="26">
        <v>0</v>
      </c>
      <c r="N31" s="28">
        <f>O31</f>
        <v>36</v>
      </c>
      <c r="O31" s="26">
        <v>36</v>
      </c>
      <c r="P31" s="26">
        <v>0</v>
      </c>
      <c r="Q31" s="28">
        <f>R31</f>
        <v>35</v>
      </c>
      <c r="R31" s="26">
        <v>35</v>
      </c>
      <c r="S31" s="26">
        <v>0</v>
      </c>
      <c r="T31" s="31"/>
      <c r="U31" s="31"/>
      <c r="V31" s="31"/>
      <c r="W31" s="31"/>
    </row>
    <row r="32" spans="1:23" s="23" customFormat="1" ht="15" customHeight="1" x14ac:dyDescent="0.25">
      <c r="A32" s="25" t="s">
        <v>37</v>
      </c>
      <c r="B32" s="26">
        <v>0</v>
      </c>
      <c r="C32" s="26">
        <v>0</v>
      </c>
      <c r="D32" s="27">
        <v>0</v>
      </c>
      <c r="E32" s="26">
        <v>0</v>
      </c>
      <c r="F32" s="26">
        <v>0</v>
      </c>
      <c r="G32" s="27">
        <v>0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8">
        <v>0</v>
      </c>
      <c r="O32" s="26">
        <v>0</v>
      </c>
      <c r="P32" s="26">
        <v>0</v>
      </c>
      <c r="Q32" s="28">
        <f>R32</f>
        <v>28</v>
      </c>
      <c r="R32" s="26">
        <v>28</v>
      </c>
      <c r="S32" s="26">
        <v>0</v>
      </c>
      <c r="T32" s="31"/>
      <c r="U32" s="31"/>
      <c r="V32" s="31"/>
      <c r="W32" s="31"/>
    </row>
    <row r="33" spans="1:23" s="23" customFormat="1" ht="15" customHeight="1" x14ac:dyDescent="0.25">
      <c r="A33" s="25" t="s">
        <v>38</v>
      </c>
      <c r="B33" s="26">
        <v>0</v>
      </c>
      <c r="C33" s="26">
        <v>0</v>
      </c>
      <c r="D33" s="27">
        <v>0</v>
      </c>
      <c r="E33" s="26">
        <v>0</v>
      </c>
      <c r="F33" s="26">
        <v>0</v>
      </c>
      <c r="G33" s="27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8">
        <v>0</v>
      </c>
      <c r="O33" s="26">
        <v>0</v>
      </c>
      <c r="P33" s="26">
        <v>0</v>
      </c>
      <c r="Q33" s="28">
        <f>46</f>
        <v>46</v>
      </c>
      <c r="R33" s="26">
        <v>0</v>
      </c>
      <c r="S33" s="26">
        <v>46</v>
      </c>
      <c r="T33" s="31"/>
      <c r="U33" s="31"/>
      <c r="V33" s="31"/>
      <c r="W33" s="31"/>
    </row>
    <row r="34" spans="1:23" s="23" customFormat="1" ht="15" customHeight="1" x14ac:dyDescent="0.25">
      <c r="A34" s="25" t="s">
        <v>39</v>
      </c>
      <c r="B34" s="26">
        <v>0</v>
      </c>
      <c r="C34" s="26">
        <v>0</v>
      </c>
      <c r="D34" s="27">
        <v>0</v>
      </c>
      <c r="E34" s="26">
        <v>0</v>
      </c>
      <c r="F34" s="26">
        <v>0</v>
      </c>
      <c r="G34" s="27">
        <v>0</v>
      </c>
      <c r="H34" s="26">
        <f>I34+J34</f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8">
        <f>O34+P34</f>
        <v>27</v>
      </c>
      <c r="O34" s="26">
        <v>16</v>
      </c>
      <c r="P34" s="26">
        <v>11</v>
      </c>
      <c r="Q34" s="28">
        <f>R34+S34</f>
        <v>12</v>
      </c>
      <c r="R34" s="26">
        <v>12</v>
      </c>
      <c r="S34" s="26">
        <v>0</v>
      </c>
      <c r="T34" s="31"/>
      <c r="U34" s="31"/>
      <c r="V34" s="31"/>
      <c r="W34" s="31"/>
    </row>
    <row r="35" spans="1:23" s="23" customFormat="1" ht="15" x14ac:dyDescent="0.25">
      <c r="A35" s="18" t="s">
        <v>5</v>
      </c>
      <c r="B35" s="19">
        <v>51</v>
      </c>
      <c r="C35" s="19">
        <v>51</v>
      </c>
      <c r="D35" s="20">
        <v>0</v>
      </c>
      <c r="E35" s="19">
        <v>4</v>
      </c>
      <c r="F35" s="19">
        <v>4</v>
      </c>
      <c r="G35" s="20">
        <v>0</v>
      </c>
      <c r="H35" s="19">
        <v>6</v>
      </c>
      <c r="I35" s="19">
        <v>6</v>
      </c>
      <c r="J35" s="19">
        <v>0</v>
      </c>
      <c r="K35" s="19">
        <v>3</v>
      </c>
      <c r="L35" s="19">
        <v>3</v>
      </c>
      <c r="M35" s="19">
        <v>0</v>
      </c>
      <c r="N35" s="21">
        <f>N45+N50</f>
        <v>86</v>
      </c>
      <c r="O35" s="19">
        <f>O45+O50</f>
        <v>74</v>
      </c>
      <c r="P35" s="19">
        <f>P45+P50</f>
        <v>12</v>
      </c>
      <c r="Q35" s="21">
        <f>Q36+Q38+Q45</f>
        <v>173</v>
      </c>
      <c r="R35" s="19">
        <f t="shared" ref="R35:S35" si="3">R36+R38+R45</f>
        <v>173</v>
      </c>
      <c r="S35" s="19">
        <f t="shared" si="3"/>
        <v>0</v>
      </c>
      <c r="T35" s="22"/>
      <c r="U35" s="22"/>
      <c r="V35" s="22"/>
      <c r="W35" s="33"/>
    </row>
    <row r="36" spans="1:23" s="23" customFormat="1" ht="15" x14ac:dyDescent="0.25">
      <c r="A36" s="24" t="s">
        <v>19</v>
      </c>
      <c r="B36" s="54">
        <v>0</v>
      </c>
      <c r="C36" s="54">
        <v>0</v>
      </c>
      <c r="D36" s="55">
        <v>0</v>
      </c>
      <c r="E36" s="54">
        <v>0</v>
      </c>
      <c r="F36" s="54">
        <v>0</v>
      </c>
      <c r="G36" s="55">
        <v>0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6">
        <v>0</v>
      </c>
      <c r="O36" s="54">
        <v>0</v>
      </c>
      <c r="P36" s="54">
        <v>0</v>
      </c>
      <c r="Q36" s="58">
        <f>Q37</f>
        <v>13</v>
      </c>
      <c r="R36" s="59">
        <f>R37</f>
        <v>13</v>
      </c>
      <c r="S36" s="59">
        <v>0</v>
      </c>
      <c r="T36" s="60"/>
      <c r="U36" s="22"/>
      <c r="V36" s="22"/>
      <c r="W36" s="33"/>
    </row>
    <row r="37" spans="1:23" s="23" customFormat="1" ht="15" x14ac:dyDescent="0.25">
      <c r="A37" s="25" t="s">
        <v>40</v>
      </c>
      <c r="B37" s="54">
        <v>0</v>
      </c>
      <c r="C37" s="54">
        <v>0</v>
      </c>
      <c r="D37" s="55">
        <v>0</v>
      </c>
      <c r="E37" s="54">
        <v>0</v>
      </c>
      <c r="F37" s="54">
        <v>0</v>
      </c>
      <c r="G37" s="55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6">
        <v>0</v>
      </c>
      <c r="O37" s="54">
        <v>0</v>
      </c>
      <c r="P37" s="54">
        <v>0</v>
      </c>
      <c r="Q37" s="61">
        <v>13</v>
      </c>
      <c r="R37" s="62">
        <v>13</v>
      </c>
      <c r="S37" s="62">
        <v>0</v>
      </c>
      <c r="T37" s="60"/>
      <c r="U37" s="22"/>
      <c r="V37" s="22"/>
      <c r="W37" s="33"/>
    </row>
    <row r="38" spans="1:23" s="8" customFormat="1" ht="14.25" customHeight="1" x14ac:dyDescent="0.25">
      <c r="A38" s="18" t="s">
        <v>41</v>
      </c>
      <c r="B38" s="19">
        <v>51</v>
      </c>
      <c r="C38" s="19">
        <v>51</v>
      </c>
      <c r="D38" s="20">
        <v>0</v>
      </c>
      <c r="E38" s="19">
        <v>4</v>
      </c>
      <c r="F38" s="19">
        <v>4</v>
      </c>
      <c r="G38" s="20">
        <v>0</v>
      </c>
      <c r="H38" s="19">
        <v>6</v>
      </c>
      <c r="I38" s="19">
        <v>6</v>
      </c>
      <c r="J38" s="19">
        <v>0</v>
      </c>
      <c r="K38" s="19">
        <v>3</v>
      </c>
      <c r="L38" s="19">
        <v>3</v>
      </c>
      <c r="M38" s="19">
        <v>0</v>
      </c>
      <c r="N38" s="21">
        <v>0</v>
      </c>
      <c r="O38" s="19">
        <v>0</v>
      </c>
      <c r="P38" s="19">
        <v>0</v>
      </c>
      <c r="Q38" s="21">
        <f>Q39+Q40+Q41+Q42+Q43+Q44</f>
        <v>19</v>
      </c>
      <c r="R38" s="19">
        <f>R39+R40+R41+R42+R43+R44</f>
        <v>19</v>
      </c>
      <c r="S38" s="19">
        <f>S39+S40+S41+S42+S43+S44</f>
        <v>0</v>
      </c>
      <c r="T38" s="22"/>
      <c r="U38" s="22"/>
      <c r="V38" s="22"/>
      <c r="W38" s="33"/>
    </row>
    <row r="39" spans="1:23" s="8" customFormat="1" ht="15" hidden="1" x14ac:dyDescent="0.25">
      <c r="A39" s="25" t="s">
        <v>42</v>
      </c>
      <c r="B39" s="26">
        <v>4</v>
      </c>
      <c r="C39" s="26">
        <v>4</v>
      </c>
      <c r="D39" s="27">
        <v>0</v>
      </c>
      <c r="E39" s="26">
        <v>0</v>
      </c>
      <c r="F39" s="26">
        <v>0</v>
      </c>
      <c r="G39" s="27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8">
        <v>0</v>
      </c>
      <c r="O39" s="26">
        <v>0</v>
      </c>
      <c r="P39" s="26">
        <v>0</v>
      </c>
      <c r="Q39" s="28">
        <v>0</v>
      </c>
      <c r="R39" s="26">
        <v>0</v>
      </c>
      <c r="S39" s="26">
        <v>0</v>
      </c>
      <c r="T39" s="22"/>
      <c r="U39" s="22"/>
      <c r="V39" s="22"/>
      <c r="W39" s="31"/>
    </row>
    <row r="40" spans="1:23" s="8" customFormat="1" ht="15" hidden="1" x14ac:dyDescent="0.25">
      <c r="A40" s="25" t="s">
        <v>43</v>
      </c>
      <c r="B40" s="26">
        <v>18</v>
      </c>
      <c r="C40" s="26">
        <v>18</v>
      </c>
      <c r="D40" s="27">
        <v>0</v>
      </c>
      <c r="E40" s="26">
        <v>0</v>
      </c>
      <c r="F40" s="26">
        <v>0</v>
      </c>
      <c r="G40" s="27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8">
        <v>0</v>
      </c>
      <c r="O40" s="26">
        <v>0</v>
      </c>
      <c r="P40" s="26">
        <v>0</v>
      </c>
      <c r="Q40" s="28">
        <v>0</v>
      </c>
      <c r="R40" s="26">
        <v>0</v>
      </c>
      <c r="S40" s="26">
        <v>0</v>
      </c>
      <c r="T40" s="22"/>
      <c r="U40" s="22"/>
      <c r="V40" s="22"/>
      <c r="W40" s="31"/>
    </row>
    <row r="41" spans="1:23" s="32" customFormat="1" ht="15" hidden="1" x14ac:dyDescent="0.25">
      <c r="A41" s="25" t="s">
        <v>44</v>
      </c>
      <c r="B41" s="26">
        <v>6</v>
      </c>
      <c r="C41" s="26">
        <v>6</v>
      </c>
      <c r="D41" s="27">
        <v>0</v>
      </c>
      <c r="E41" s="26">
        <v>0</v>
      </c>
      <c r="F41" s="26">
        <v>0</v>
      </c>
      <c r="G41" s="27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8">
        <v>0</v>
      </c>
      <c r="O41" s="26">
        <v>0</v>
      </c>
      <c r="P41" s="26">
        <v>0</v>
      </c>
      <c r="Q41" s="28">
        <v>0</v>
      </c>
      <c r="R41" s="26">
        <v>0</v>
      </c>
      <c r="S41" s="26">
        <v>0</v>
      </c>
      <c r="T41" s="22"/>
      <c r="U41" s="22"/>
      <c r="V41" s="22"/>
      <c r="W41" s="31"/>
    </row>
    <row r="42" spans="1:23" s="32" customFormat="1" ht="15" hidden="1" x14ac:dyDescent="0.25">
      <c r="A42" s="25" t="s">
        <v>45</v>
      </c>
      <c r="B42" s="26">
        <v>14</v>
      </c>
      <c r="C42" s="26">
        <v>14</v>
      </c>
      <c r="D42" s="27">
        <v>0</v>
      </c>
      <c r="E42" s="26">
        <v>4</v>
      </c>
      <c r="F42" s="26">
        <v>4</v>
      </c>
      <c r="G42" s="27">
        <v>0</v>
      </c>
      <c r="H42" s="26">
        <v>6</v>
      </c>
      <c r="I42" s="26">
        <v>6</v>
      </c>
      <c r="J42" s="26">
        <v>0</v>
      </c>
      <c r="K42" s="26">
        <v>3</v>
      </c>
      <c r="L42" s="26">
        <v>3</v>
      </c>
      <c r="M42" s="26">
        <v>0</v>
      </c>
      <c r="N42" s="28">
        <v>0</v>
      </c>
      <c r="O42" s="26">
        <v>0</v>
      </c>
      <c r="P42" s="26">
        <v>0</v>
      </c>
      <c r="Q42" s="28">
        <v>0</v>
      </c>
      <c r="R42" s="26">
        <v>0</v>
      </c>
      <c r="S42" s="26">
        <v>0</v>
      </c>
      <c r="T42" s="7"/>
      <c r="U42" s="7"/>
      <c r="V42" s="7"/>
    </row>
    <row r="43" spans="1:23" s="32" customFormat="1" ht="15" hidden="1" x14ac:dyDescent="0.25">
      <c r="A43" s="25" t="s">
        <v>46</v>
      </c>
      <c r="B43" s="26">
        <v>9</v>
      </c>
      <c r="C43" s="26">
        <v>9</v>
      </c>
      <c r="D43" s="27">
        <v>0</v>
      </c>
      <c r="E43" s="26">
        <v>0</v>
      </c>
      <c r="F43" s="26">
        <v>0</v>
      </c>
      <c r="G43" s="27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8">
        <v>0</v>
      </c>
      <c r="O43" s="26">
        <v>0</v>
      </c>
      <c r="P43" s="26">
        <v>0</v>
      </c>
      <c r="Q43" s="28">
        <v>0</v>
      </c>
      <c r="R43" s="26">
        <v>0</v>
      </c>
      <c r="S43" s="26">
        <v>0</v>
      </c>
      <c r="T43" s="7"/>
      <c r="U43" s="7"/>
      <c r="V43" s="7"/>
    </row>
    <row r="44" spans="1:23" s="57" customFormat="1" ht="15" x14ac:dyDescent="0.25">
      <c r="A44" s="25" t="s">
        <v>40</v>
      </c>
      <c r="B44" s="26">
        <v>9</v>
      </c>
      <c r="C44" s="26">
        <v>9</v>
      </c>
      <c r="D44" s="27">
        <v>0</v>
      </c>
      <c r="E44" s="26">
        <v>0</v>
      </c>
      <c r="F44" s="26">
        <v>0</v>
      </c>
      <c r="G44" s="27">
        <v>0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8">
        <v>0</v>
      </c>
      <c r="O44" s="26">
        <v>0</v>
      </c>
      <c r="P44" s="26">
        <v>0</v>
      </c>
      <c r="Q44" s="28">
        <f>R44</f>
        <v>19</v>
      </c>
      <c r="R44" s="26">
        <v>19</v>
      </c>
      <c r="S44" s="26">
        <v>0</v>
      </c>
      <c r="T44" s="22"/>
      <c r="U44" s="22"/>
      <c r="V44" s="22"/>
    </row>
    <row r="45" spans="1:23" s="32" customFormat="1" ht="15" x14ac:dyDescent="0.25">
      <c r="A45" s="24" t="s">
        <v>47</v>
      </c>
      <c r="B45" s="19">
        <v>0</v>
      </c>
      <c r="C45" s="19">
        <v>0</v>
      </c>
      <c r="D45" s="20">
        <v>0</v>
      </c>
      <c r="E45" s="19">
        <v>0</v>
      </c>
      <c r="F45" s="19">
        <v>0</v>
      </c>
      <c r="G45" s="20">
        <v>0</v>
      </c>
      <c r="H45" s="19">
        <v>0</v>
      </c>
      <c r="I45" s="19">
        <v>0</v>
      </c>
      <c r="J45" s="19">
        <v>0</v>
      </c>
      <c r="K45" s="19">
        <v>22</v>
      </c>
      <c r="L45" s="19">
        <v>22</v>
      </c>
      <c r="M45" s="19">
        <v>0</v>
      </c>
      <c r="N45" s="21">
        <f>N46+N48+N49</f>
        <v>74</v>
      </c>
      <c r="O45" s="19">
        <f>O46+O48+O49</f>
        <v>74</v>
      </c>
      <c r="P45" s="19">
        <v>0</v>
      </c>
      <c r="Q45" s="21">
        <f>Q46+Q47+Q48+Q49</f>
        <v>141</v>
      </c>
      <c r="R45" s="19">
        <f>R46+R47+R48+R49</f>
        <v>141</v>
      </c>
      <c r="S45" s="19">
        <v>0</v>
      </c>
      <c r="T45" s="22"/>
      <c r="U45" s="22"/>
      <c r="V45" s="22"/>
    </row>
    <row r="46" spans="1:23" s="32" customFormat="1" ht="15" x14ac:dyDescent="0.25">
      <c r="A46" s="25" t="s">
        <v>48</v>
      </c>
      <c r="B46" s="26">
        <v>0</v>
      </c>
      <c r="C46" s="26">
        <v>0</v>
      </c>
      <c r="D46" s="27">
        <v>0</v>
      </c>
      <c r="E46" s="26">
        <v>0</v>
      </c>
      <c r="F46" s="26">
        <v>0</v>
      </c>
      <c r="G46" s="27">
        <v>0</v>
      </c>
      <c r="H46" s="26">
        <v>0</v>
      </c>
      <c r="I46" s="26">
        <v>0</v>
      </c>
      <c r="J46" s="26">
        <v>0</v>
      </c>
      <c r="K46" s="26">
        <v>22</v>
      </c>
      <c r="L46" s="26">
        <v>22</v>
      </c>
      <c r="M46" s="26">
        <v>0</v>
      </c>
      <c r="N46" s="28">
        <f>O46</f>
        <v>22</v>
      </c>
      <c r="O46" s="26">
        <f>10+12</f>
        <v>22</v>
      </c>
      <c r="P46" s="26">
        <v>0</v>
      </c>
      <c r="Q46" s="28">
        <f t="shared" ref="Q46:Q49" si="4">R46</f>
        <v>109</v>
      </c>
      <c r="R46" s="26">
        <v>109</v>
      </c>
      <c r="S46" s="26">
        <v>0</v>
      </c>
      <c r="T46" s="22"/>
      <c r="U46" s="22"/>
      <c r="V46" s="22"/>
    </row>
    <row r="47" spans="1:23" s="32" customFormat="1" ht="15" x14ac:dyDescent="0.25">
      <c r="A47" s="25" t="s">
        <v>35</v>
      </c>
      <c r="B47" s="26">
        <v>0</v>
      </c>
      <c r="C47" s="26">
        <v>0</v>
      </c>
      <c r="D47" s="27">
        <v>0</v>
      </c>
      <c r="E47" s="26">
        <v>0</v>
      </c>
      <c r="F47" s="26">
        <v>0</v>
      </c>
      <c r="G47" s="27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8">
        <v>0</v>
      </c>
      <c r="O47" s="26">
        <v>0</v>
      </c>
      <c r="P47" s="26">
        <v>0</v>
      </c>
      <c r="Q47" s="28">
        <f t="shared" si="4"/>
        <v>20</v>
      </c>
      <c r="R47" s="26">
        <v>20</v>
      </c>
      <c r="S47" s="26">
        <v>0</v>
      </c>
      <c r="T47" s="22"/>
      <c r="U47" s="22"/>
      <c r="V47" s="22"/>
    </row>
    <row r="48" spans="1:23" s="32" customFormat="1" ht="15" x14ac:dyDescent="0.25">
      <c r="A48" s="25" t="s">
        <v>33</v>
      </c>
      <c r="B48" s="26">
        <f>C48+D48</f>
        <v>0</v>
      </c>
      <c r="C48" s="26">
        <v>0</v>
      </c>
      <c r="D48" s="27">
        <v>0</v>
      </c>
      <c r="E48" s="26">
        <v>0</v>
      </c>
      <c r="F48" s="26">
        <v>0</v>
      </c>
      <c r="G48" s="27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8">
        <f>O48</f>
        <v>30</v>
      </c>
      <c r="O48" s="26">
        <f>10+20</f>
        <v>30</v>
      </c>
      <c r="P48" s="26">
        <v>0</v>
      </c>
      <c r="Q48" s="28">
        <v>0</v>
      </c>
      <c r="R48" s="26">
        <v>0</v>
      </c>
      <c r="S48" s="26">
        <v>0</v>
      </c>
      <c r="T48" s="22"/>
      <c r="U48" s="22"/>
      <c r="V48" s="22"/>
    </row>
    <row r="49" spans="1:22" s="32" customFormat="1" ht="15" x14ac:dyDescent="0.25">
      <c r="A49" s="25" t="s">
        <v>49</v>
      </c>
      <c r="B49" s="26">
        <f>C49+D49</f>
        <v>0</v>
      </c>
      <c r="C49" s="26">
        <v>0</v>
      </c>
      <c r="D49" s="27">
        <v>0</v>
      </c>
      <c r="E49" s="26">
        <v>0</v>
      </c>
      <c r="F49" s="26">
        <v>0</v>
      </c>
      <c r="G49" s="27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8">
        <f>O49</f>
        <v>22</v>
      </c>
      <c r="O49" s="26">
        <v>22</v>
      </c>
      <c r="P49" s="26">
        <v>0</v>
      </c>
      <c r="Q49" s="28">
        <f t="shared" si="4"/>
        <v>12</v>
      </c>
      <c r="R49" s="26">
        <v>12</v>
      </c>
      <c r="S49" s="26">
        <v>0</v>
      </c>
      <c r="T49" s="22"/>
      <c r="U49" s="22"/>
      <c r="V49" s="22"/>
    </row>
    <row r="50" spans="1:22" s="32" customFormat="1" ht="15" x14ac:dyDescent="0.25">
      <c r="A50" s="24" t="s">
        <v>50</v>
      </c>
      <c r="B50" s="19">
        <v>0</v>
      </c>
      <c r="C50" s="19">
        <v>0</v>
      </c>
      <c r="D50" s="20">
        <v>0</v>
      </c>
      <c r="E50" s="19">
        <v>0</v>
      </c>
      <c r="F50" s="19">
        <v>0</v>
      </c>
      <c r="G50" s="20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21">
        <f>N51+N52+N53</f>
        <v>12</v>
      </c>
      <c r="O50" s="19">
        <f>O51+O52+O53</f>
        <v>0</v>
      </c>
      <c r="P50" s="19">
        <f>P51</f>
        <v>12</v>
      </c>
      <c r="Q50" s="21">
        <f>Q51+Q52+Q53</f>
        <v>0</v>
      </c>
      <c r="R50" s="19">
        <f>R51+R52+R53</f>
        <v>0</v>
      </c>
      <c r="S50" s="19">
        <f>S51</f>
        <v>0</v>
      </c>
      <c r="T50" s="22"/>
      <c r="U50" s="22"/>
      <c r="V50" s="22"/>
    </row>
    <row r="51" spans="1:22" s="32" customFormat="1" ht="15" x14ac:dyDescent="0.25">
      <c r="A51" s="25" t="s">
        <v>36</v>
      </c>
      <c r="B51" s="26">
        <v>0</v>
      </c>
      <c r="C51" s="26">
        <v>0</v>
      </c>
      <c r="D51" s="27">
        <v>0</v>
      </c>
      <c r="E51" s="26">
        <v>0</v>
      </c>
      <c r="F51" s="26">
        <v>0</v>
      </c>
      <c r="G51" s="27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8">
        <f>P51</f>
        <v>12</v>
      </c>
      <c r="O51" s="26">
        <v>0</v>
      </c>
      <c r="P51" s="26">
        <v>12</v>
      </c>
      <c r="Q51" s="28">
        <f>S51</f>
        <v>0</v>
      </c>
      <c r="R51" s="26">
        <v>0</v>
      </c>
      <c r="S51" s="26">
        <v>0</v>
      </c>
      <c r="T51" s="22"/>
      <c r="U51" s="22"/>
      <c r="V51" s="22"/>
    </row>
    <row r="52" spans="1:22" s="32" customFormat="1" ht="15" hidden="1" x14ac:dyDescent="0.25">
      <c r="A52" s="18" t="s">
        <v>6</v>
      </c>
      <c r="B52" s="19">
        <v>256</v>
      </c>
      <c r="C52" s="19">
        <v>256</v>
      </c>
      <c r="D52" s="20">
        <v>0</v>
      </c>
      <c r="E52" s="19">
        <v>37</v>
      </c>
      <c r="F52" s="19">
        <v>37</v>
      </c>
      <c r="G52" s="20">
        <v>0</v>
      </c>
      <c r="H52" s="19">
        <v>75</v>
      </c>
      <c r="I52" s="19">
        <v>75</v>
      </c>
      <c r="J52" s="19">
        <v>0</v>
      </c>
      <c r="K52" s="19">
        <v>0</v>
      </c>
      <c r="L52" s="19">
        <v>0</v>
      </c>
      <c r="M52" s="19">
        <v>0</v>
      </c>
      <c r="N52" s="21">
        <v>0</v>
      </c>
      <c r="O52" s="19">
        <v>0</v>
      </c>
      <c r="P52" s="19">
        <v>0</v>
      </c>
      <c r="Q52" s="21">
        <v>0</v>
      </c>
      <c r="R52" s="19">
        <v>0</v>
      </c>
      <c r="S52" s="19">
        <v>0</v>
      </c>
      <c r="T52" s="33"/>
      <c r="U52" s="22"/>
      <c r="V52" s="22"/>
    </row>
    <row r="53" spans="1:22" s="32" customFormat="1" ht="15" hidden="1" x14ac:dyDescent="0.25">
      <c r="A53" s="25" t="s">
        <v>51</v>
      </c>
      <c r="B53" s="26">
        <v>15</v>
      </c>
      <c r="C53" s="26">
        <v>15</v>
      </c>
      <c r="D53" s="27">
        <v>0</v>
      </c>
      <c r="E53" s="26">
        <v>21</v>
      </c>
      <c r="F53" s="26">
        <v>21</v>
      </c>
      <c r="G53" s="27">
        <v>0</v>
      </c>
      <c r="H53" s="26">
        <v>34</v>
      </c>
      <c r="I53" s="26">
        <v>34</v>
      </c>
      <c r="J53" s="26">
        <v>0</v>
      </c>
      <c r="K53" s="26">
        <v>0</v>
      </c>
      <c r="L53" s="26">
        <v>0</v>
      </c>
      <c r="M53" s="26">
        <v>0</v>
      </c>
      <c r="N53" s="28">
        <v>0</v>
      </c>
      <c r="O53" s="26">
        <v>0</v>
      </c>
      <c r="P53" s="26">
        <v>0</v>
      </c>
      <c r="Q53" s="28">
        <v>0</v>
      </c>
      <c r="R53" s="26">
        <v>0</v>
      </c>
      <c r="S53" s="26">
        <v>0</v>
      </c>
      <c r="T53" s="22"/>
      <c r="U53" s="22"/>
      <c r="V53" s="22"/>
    </row>
    <row r="54" spans="1:22" s="32" customFormat="1" ht="15" hidden="1" x14ac:dyDescent="0.25">
      <c r="A54" s="25" t="s">
        <v>52</v>
      </c>
      <c r="B54" s="26">
        <v>0</v>
      </c>
      <c r="C54" s="26">
        <v>0</v>
      </c>
      <c r="D54" s="27">
        <v>0</v>
      </c>
      <c r="E54" s="26">
        <v>0</v>
      </c>
      <c r="F54" s="26">
        <v>0</v>
      </c>
      <c r="G54" s="26">
        <v>0</v>
      </c>
      <c r="H54" s="26">
        <v>0</v>
      </c>
      <c r="I54" s="26">
        <v>0</v>
      </c>
      <c r="J54" s="26">
        <v>0</v>
      </c>
      <c r="K54" s="26">
        <v>0</v>
      </c>
      <c r="L54" s="26">
        <v>0</v>
      </c>
      <c r="M54" s="26">
        <v>0</v>
      </c>
      <c r="N54" s="28">
        <v>0</v>
      </c>
      <c r="O54" s="26">
        <v>0</v>
      </c>
      <c r="P54" s="26">
        <v>0</v>
      </c>
      <c r="Q54" s="28">
        <v>0</v>
      </c>
      <c r="R54" s="26">
        <v>0</v>
      </c>
      <c r="S54" s="26">
        <v>0</v>
      </c>
      <c r="T54" s="22"/>
      <c r="U54" s="22"/>
      <c r="V54" s="22"/>
    </row>
    <row r="55" spans="1:22" s="32" customFormat="1" ht="15" hidden="1" x14ac:dyDescent="0.25">
      <c r="A55" s="25" t="s">
        <v>53</v>
      </c>
      <c r="B55" s="26">
        <v>0</v>
      </c>
      <c r="C55" s="26">
        <v>0</v>
      </c>
      <c r="D55" s="27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8">
        <v>0</v>
      </c>
      <c r="O55" s="26">
        <v>0</v>
      </c>
      <c r="P55" s="26">
        <v>0</v>
      </c>
      <c r="Q55" s="28">
        <v>0</v>
      </c>
      <c r="R55" s="26">
        <v>0</v>
      </c>
      <c r="S55" s="26">
        <v>0</v>
      </c>
      <c r="T55" s="22"/>
      <c r="U55" s="22"/>
      <c r="V55" s="22"/>
    </row>
    <row r="56" spans="1:22" s="32" customFormat="1" ht="15" hidden="1" x14ac:dyDescent="0.25">
      <c r="A56" s="25" t="s">
        <v>54</v>
      </c>
      <c r="B56" s="26">
        <v>0</v>
      </c>
      <c r="C56" s="26">
        <v>0</v>
      </c>
      <c r="D56" s="27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8">
        <v>0</v>
      </c>
      <c r="O56" s="26">
        <v>0</v>
      </c>
      <c r="P56" s="26">
        <v>0</v>
      </c>
      <c r="Q56" s="28">
        <v>0</v>
      </c>
      <c r="R56" s="26">
        <v>0</v>
      </c>
      <c r="S56" s="26">
        <v>0</v>
      </c>
      <c r="T56" s="22"/>
      <c r="U56" s="22"/>
      <c r="V56" s="22"/>
    </row>
    <row r="57" spans="1:22" s="32" customFormat="1" ht="15" hidden="1" x14ac:dyDescent="0.25">
      <c r="A57" s="25" t="s">
        <v>55</v>
      </c>
      <c r="B57" s="26">
        <v>0</v>
      </c>
      <c r="C57" s="26">
        <v>0</v>
      </c>
      <c r="D57" s="27"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8">
        <v>0</v>
      </c>
      <c r="O57" s="26">
        <v>0</v>
      </c>
      <c r="P57" s="26">
        <v>0</v>
      </c>
      <c r="Q57" s="28">
        <v>0</v>
      </c>
      <c r="R57" s="26">
        <v>0</v>
      </c>
      <c r="S57" s="26">
        <v>0</v>
      </c>
      <c r="T57" s="31"/>
      <c r="U57" s="31"/>
      <c r="V57" s="31"/>
    </row>
    <row r="58" spans="1:22" s="32" customFormat="1" ht="15" hidden="1" x14ac:dyDescent="0.25">
      <c r="A58" s="25" t="s">
        <v>56</v>
      </c>
      <c r="B58" s="26">
        <v>20</v>
      </c>
      <c r="C58" s="26">
        <v>20</v>
      </c>
      <c r="D58" s="27">
        <v>0</v>
      </c>
      <c r="E58" s="26">
        <v>10</v>
      </c>
      <c r="F58" s="26">
        <v>10</v>
      </c>
      <c r="G58" s="26">
        <v>0</v>
      </c>
      <c r="H58" s="26">
        <v>0</v>
      </c>
      <c r="I58" s="26">
        <v>0</v>
      </c>
      <c r="J58" s="26">
        <v>0</v>
      </c>
      <c r="K58" s="26">
        <v>0</v>
      </c>
      <c r="L58" s="26">
        <v>0</v>
      </c>
      <c r="M58" s="26">
        <v>0</v>
      </c>
      <c r="N58" s="28">
        <v>0</v>
      </c>
      <c r="O58" s="26">
        <v>0</v>
      </c>
      <c r="P58" s="26">
        <v>0</v>
      </c>
      <c r="Q58" s="28">
        <v>0</v>
      </c>
      <c r="R58" s="26">
        <v>0</v>
      </c>
      <c r="S58" s="26">
        <v>0</v>
      </c>
      <c r="T58" s="7"/>
      <c r="U58" s="7"/>
      <c r="V58" s="7"/>
    </row>
    <row r="59" spans="1:22" s="32" customFormat="1" ht="15" hidden="1" x14ac:dyDescent="0.25">
      <c r="A59" s="25" t="s">
        <v>57</v>
      </c>
      <c r="B59" s="26">
        <v>13</v>
      </c>
      <c r="C59" s="26">
        <v>13</v>
      </c>
      <c r="D59" s="27">
        <v>0</v>
      </c>
      <c r="E59" s="26">
        <v>6</v>
      </c>
      <c r="F59" s="26">
        <v>6</v>
      </c>
      <c r="G59" s="26">
        <v>0</v>
      </c>
      <c r="H59" s="26">
        <v>8</v>
      </c>
      <c r="I59" s="26">
        <v>8</v>
      </c>
      <c r="J59" s="26">
        <v>0</v>
      </c>
      <c r="K59" s="26">
        <v>0</v>
      </c>
      <c r="L59" s="26">
        <v>0</v>
      </c>
      <c r="M59" s="26">
        <v>0</v>
      </c>
      <c r="N59" s="28">
        <v>0</v>
      </c>
      <c r="O59" s="26">
        <v>0</v>
      </c>
      <c r="P59" s="26">
        <v>0</v>
      </c>
      <c r="Q59" s="28">
        <v>0</v>
      </c>
      <c r="R59" s="26">
        <v>0</v>
      </c>
      <c r="S59" s="26">
        <v>0</v>
      </c>
      <c r="T59" s="7"/>
      <c r="U59" s="7"/>
      <c r="V59" s="7"/>
    </row>
    <row r="60" spans="1:22" s="32" customFormat="1" ht="15" hidden="1" x14ac:dyDescent="0.25">
      <c r="A60" s="25" t="s">
        <v>58</v>
      </c>
      <c r="B60" s="26">
        <v>76</v>
      </c>
      <c r="C60" s="26">
        <v>76</v>
      </c>
      <c r="D60" s="27">
        <v>0</v>
      </c>
      <c r="E60" s="26">
        <v>0</v>
      </c>
      <c r="F60" s="26">
        <v>0</v>
      </c>
      <c r="G60" s="26">
        <v>0</v>
      </c>
      <c r="H60" s="26">
        <v>33</v>
      </c>
      <c r="I60" s="26">
        <v>33</v>
      </c>
      <c r="J60" s="26">
        <v>0</v>
      </c>
      <c r="K60" s="26">
        <v>0</v>
      </c>
      <c r="L60" s="26">
        <v>0</v>
      </c>
      <c r="M60" s="26">
        <v>0</v>
      </c>
      <c r="N60" s="28">
        <v>0</v>
      </c>
      <c r="O60" s="26">
        <v>0</v>
      </c>
      <c r="P60" s="26">
        <v>0</v>
      </c>
      <c r="Q60" s="28">
        <v>0</v>
      </c>
      <c r="R60" s="26">
        <v>0</v>
      </c>
      <c r="S60" s="26">
        <v>0</v>
      </c>
      <c r="T60" s="7"/>
      <c r="U60" s="7"/>
      <c r="V60" s="7"/>
    </row>
    <row r="61" spans="1:22" s="32" customFormat="1" ht="15" hidden="1" x14ac:dyDescent="0.25">
      <c r="A61" s="25" t="s">
        <v>59</v>
      </c>
      <c r="B61" s="26">
        <v>36</v>
      </c>
      <c r="C61" s="26">
        <v>36</v>
      </c>
      <c r="D61" s="27">
        <v>0</v>
      </c>
      <c r="E61" s="26">
        <v>0</v>
      </c>
      <c r="F61" s="26">
        <v>0</v>
      </c>
      <c r="G61" s="26">
        <v>0</v>
      </c>
      <c r="H61" s="26">
        <v>0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8">
        <v>0</v>
      </c>
      <c r="O61" s="26">
        <v>0</v>
      </c>
      <c r="P61" s="26">
        <v>0</v>
      </c>
      <c r="Q61" s="28">
        <v>0</v>
      </c>
      <c r="R61" s="26">
        <v>0</v>
      </c>
      <c r="S61" s="26">
        <v>0</v>
      </c>
      <c r="T61" s="22"/>
      <c r="U61" s="22"/>
      <c r="V61" s="22"/>
    </row>
    <row r="62" spans="1:22" s="32" customFormat="1" ht="15" hidden="1" x14ac:dyDescent="0.25">
      <c r="A62" s="25" t="s">
        <v>60</v>
      </c>
      <c r="B62" s="26">
        <v>15</v>
      </c>
      <c r="C62" s="26">
        <v>15</v>
      </c>
      <c r="D62" s="27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8">
        <v>0</v>
      </c>
      <c r="O62" s="26">
        <v>0</v>
      </c>
      <c r="P62" s="26">
        <v>0</v>
      </c>
      <c r="Q62" s="28">
        <v>0</v>
      </c>
      <c r="R62" s="26">
        <v>0</v>
      </c>
      <c r="S62" s="26">
        <v>0</v>
      </c>
      <c r="T62" s="22"/>
      <c r="U62" s="22"/>
      <c r="V62" s="22"/>
    </row>
    <row r="63" spans="1:22" s="32" customFormat="1" ht="15" hidden="1" x14ac:dyDescent="0.25">
      <c r="A63" s="25" t="s">
        <v>61</v>
      </c>
      <c r="B63" s="26">
        <v>51</v>
      </c>
      <c r="C63" s="26">
        <v>51</v>
      </c>
      <c r="D63" s="27">
        <v>0</v>
      </c>
      <c r="E63" s="26">
        <v>0</v>
      </c>
      <c r="F63" s="26">
        <v>0</v>
      </c>
      <c r="G63" s="26">
        <v>0</v>
      </c>
      <c r="H63" s="26">
        <v>0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8">
        <v>0</v>
      </c>
      <c r="O63" s="26">
        <v>0</v>
      </c>
      <c r="P63" s="26">
        <v>0</v>
      </c>
      <c r="Q63" s="28">
        <v>0</v>
      </c>
      <c r="R63" s="26">
        <v>0</v>
      </c>
      <c r="S63" s="26">
        <v>0</v>
      </c>
      <c r="T63" s="22"/>
      <c r="U63" s="22"/>
      <c r="V63" s="22"/>
    </row>
    <row r="64" spans="1:22" s="34" customFormat="1" ht="15" hidden="1" x14ac:dyDescent="0.15">
      <c r="A64" s="25" t="s">
        <v>62</v>
      </c>
      <c r="B64" s="26">
        <v>15</v>
      </c>
      <c r="C64" s="26">
        <v>15</v>
      </c>
      <c r="D64" s="27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8">
        <v>0</v>
      </c>
      <c r="O64" s="26">
        <v>0</v>
      </c>
      <c r="P64" s="26">
        <v>0</v>
      </c>
      <c r="Q64" s="28">
        <v>0</v>
      </c>
      <c r="R64" s="26">
        <v>0</v>
      </c>
      <c r="S64" s="26">
        <v>0</v>
      </c>
      <c r="T64" s="22"/>
      <c r="U64" s="22"/>
      <c r="V64" s="22"/>
    </row>
    <row r="65" spans="1:22" s="34" customFormat="1" ht="15" hidden="1" x14ac:dyDescent="0.15">
      <c r="A65" s="25" t="s">
        <v>63</v>
      </c>
      <c r="B65" s="26">
        <v>15</v>
      </c>
      <c r="C65" s="26">
        <v>15</v>
      </c>
      <c r="D65" s="27">
        <v>0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8">
        <v>0</v>
      </c>
      <c r="O65" s="26">
        <v>0</v>
      </c>
      <c r="P65" s="26">
        <v>0</v>
      </c>
      <c r="Q65" s="28">
        <v>0</v>
      </c>
      <c r="R65" s="26">
        <v>0</v>
      </c>
      <c r="S65" s="26">
        <v>0</v>
      </c>
      <c r="T65" s="33"/>
      <c r="U65" s="22"/>
      <c r="V65" s="22"/>
    </row>
    <row r="66" spans="1:22" s="34" customFormat="1" ht="15" x14ac:dyDescent="0.15">
      <c r="A66" s="18" t="s">
        <v>7</v>
      </c>
      <c r="B66" s="19">
        <v>149</v>
      </c>
      <c r="C66" s="19">
        <v>149</v>
      </c>
      <c r="D66" s="20">
        <v>0</v>
      </c>
      <c r="E66" s="19">
        <v>21</v>
      </c>
      <c r="F66" s="19">
        <v>21</v>
      </c>
      <c r="G66" s="19">
        <v>0</v>
      </c>
      <c r="H66" s="19">
        <v>14</v>
      </c>
      <c r="I66" s="19">
        <v>14</v>
      </c>
      <c r="J66" s="19">
        <v>0</v>
      </c>
      <c r="K66" s="19">
        <v>0</v>
      </c>
      <c r="L66" s="19">
        <v>0</v>
      </c>
      <c r="M66" s="19">
        <v>0</v>
      </c>
      <c r="N66" s="21">
        <v>0</v>
      </c>
      <c r="O66" s="19">
        <v>0</v>
      </c>
      <c r="P66" s="19">
        <v>0</v>
      </c>
      <c r="Q66" s="21">
        <f>R66</f>
        <v>23</v>
      </c>
      <c r="R66" s="19">
        <f>R67</f>
        <v>23</v>
      </c>
      <c r="S66" s="19">
        <v>0</v>
      </c>
      <c r="T66" s="31"/>
      <c r="U66" s="7"/>
      <c r="V66" s="7"/>
    </row>
    <row r="67" spans="1:22" s="34" customFormat="1" ht="15" x14ac:dyDescent="0.15">
      <c r="A67" s="25" t="s">
        <v>64</v>
      </c>
      <c r="B67" s="26">
        <v>119</v>
      </c>
      <c r="C67" s="26">
        <v>119</v>
      </c>
      <c r="D67" s="27">
        <v>0</v>
      </c>
      <c r="E67" s="26">
        <v>0</v>
      </c>
      <c r="F67" s="26">
        <v>0</v>
      </c>
      <c r="G67" s="26">
        <v>0</v>
      </c>
      <c r="H67" s="26">
        <v>0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28">
        <v>0</v>
      </c>
      <c r="O67" s="26">
        <v>0</v>
      </c>
      <c r="P67" s="26">
        <v>0</v>
      </c>
      <c r="Q67" s="28">
        <f>R67</f>
        <v>23</v>
      </c>
      <c r="R67" s="26">
        <v>23</v>
      </c>
      <c r="S67" s="26">
        <v>0</v>
      </c>
      <c r="T67" s="7"/>
      <c r="U67" s="7"/>
      <c r="V67" s="7"/>
    </row>
    <row r="68" spans="1:22" s="34" customFormat="1" ht="15" hidden="1" x14ac:dyDescent="0.15">
      <c r="A68" s="25" t="s">
        <v>57</v>
      </c>
      <c r="B68" s="26">
        <v>0</v>
      </c>
      <c r="C68" s="26">
        <v>0</v>
      </c>
      <c r="D68" s="27">
        <v>0</v>
      </c>
      <c r="E68" s="26">
        <v>5</v>
      </c>
      <c r="F68" s="26">
        <v>5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8">
        <v>0</v>
      </c>
      <c r="O68" s="26">
        <v>0</v>
      </c>
      <c r="P68" s="26">
        <v>0</v>
      </c>
      <c r="Q68" s="28">
        <v>0</v>
      </c>
      <c r="R68" s="26">
        <v>0</v>
      </c>
      <c r="S68" s="26">
        <v>0</v>
      </c>
      <c r="T68" s="7"/>
      <c r="U68" s="7"/>
      <c r="V68" s="7"/>
    </row>
    <row r="69" spans="1:22" s="34" customFormat="1" ht="15" hidden="1" x14ac:dyDescent="0.15">
      <c r="A69" s="25" t="s">
        <v>65</v>
      </c>
      <c r="B69" s="26">
        <v>0</v>
      </c>
      <c r="C69" s="26">
        <v>0</v>
      </c>
      <c r="D69" s="27"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8">
        <v>0</v>
      </c>
      <c r="O69" s="26">
        <v>0</v>
      </c>
      <c r="P69" s="26">
        <v>0</v>
      </c>
      <c r="Q69" s="28">
        <v>0</v>
      </c>
      <c r="R69" s="26">
        <v>0</v>
      </c>
      <c r="S69" s="26">
        <v>0</v>
      </c>
      <c r="T69" s="7"/>
      <c r="U69" s="7"/>
      <c r="V69" s="7"/>
    </row>
    <row r="70" spans="1:22" s="34" customFormat="1" ht="15" hidden="1" x14ac:dyDescent="0.15">
      <c r="A70" s="25" t="s">
        <v>66</v>
      </c>
      <c r="B70" s="26">
        <v>0</v>
      </c>
      <c r="C70" s="26">
        <v>0</v>
      </c>
      <c r="D70" s="27"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8">
        <v>0</v>
      </c>
      <c r="O70" s="26">
        <v>0</v>
      </c>
      <c r="P70" s="26">
        <v>0</v>
      </c>
      <c r="Q70" s="28">
        <v>0</v>
      </c>
      <c r="R70" s="26">
        <v>0</v>
      </c>
      <c r="S70" s="26">
        <v>0</v>
      </c>
      <c r="T70" s="22"/>
      <c r="U70" s="22"/>
      <c r="V70" s="22"/>
    </row>
    <row r="71" spans="1:22" s="34" customFormat="1" ht="15" hidden="1" x14ac:dyDescent="0.15">
      <c r="A71" s="25" t="s">
        <v>67</v>
      </c>
      <c r="B71" s="26">
        <v>18</v>
      </c>
      <c r="C71" s="26">
        <v>18</v>
      </c>
      <c r="D71" s="27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8">
        <v>0</v>
      </c>
      <c r="O71" s="26">
        <v>0</v>
      </c>
      <c r="P71" s="26">
        <v>0</v>
      </c>
      <c r="Q71" s="28">
        <v>0</v>
      </c>
      <c r="R71" s="26">
        <v>0</v>
      </c>
      <c r="S71" s="26">
        <v>0</v>
      </c>
      <c r="T71" s="22"/>
      <c r="U71" s="22"/>
      <c r="V71" s="22"/>
    </row>
    <row r="72" spans="1:22" s="34" customFormat="1" ht="15" hidden="1" x14ac:dyDescent="0.15">
      <c r="A72" s="25" t="s">
        <v>68</v>
      </c>
      <c r="B72" s="26">
        <v>12</v>
      </c>
      <c r="C72" s="26">
        <v>12</v>
      </c>
      <c r="D72" s="27">
        <v>0</v>
      </c>
      <c r="E72" s="26">
        <v>16</v>
      </c>
      <c r="F72" s="26">
        <v>16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8">
        <v>0</v>
      </c>
      <c r="O72" s="26">
        <v>0</v>
      </c>
      <c r="P72" s="26">
        <v>0</v>
      </c>
      <c r="Q72" s="28">
        <v>0</v>
      </c>
      <c r="R72" s="26">
        <v>0</v>
      </c>
      <c r="S72" s="26">
        <v>0</v>
      </c>
      <c r="T72" s="22"/>
      <c r="U72" s="22"/>
      <c r="V72" s="22"/>
    </row>
    <row r="73" spans="1:22" s="34" customFormat="1" ht="15" hidden="1" x14ac:dyDescent="0.15">
      <c r="A73" s="25" t="s">
        <v>69</v>
      </c>
      <c r="B73" s="26">
        <v>0</v>
      </c>
      <c r="C73" s="26">
        <v>0</v>
      </c>
      <c r="D73" s="27">
        <v>0</v>
      </c>
      <c r="E73" s="26">
        <v>0</v>
      </c>
      <c r="F73" s="26">
        <v>0</v>
      </c>
      <c r="G73" s="26">
        <v>0</v>
      </c>
      <c r="H73" s="26">
        <v>14</v>
      </c>
      <c r="I73" s="26">
        <v>14</v>
      </c>
      <c r="J73" s="26">
        <v>0</v>
      </c>
      <c r="K73" s="26">
        <v>0</v>
      </c>
      <c r="L73" s="26">
        <v>0</v>
      </c>
      <c r="M73" s="26">
        <v>0</v>
      </c>
      <c r="N73" s="28">
        <v>0</v>
      </c>
      <c r="O73" s="26">
        <v>0</v>
      </c>
      <c r="P73" s="26">
        <v>0</v>
      </c>
      <c r="Q73" s="28">
        <v>0</v>
      </c>
      <c r="R73" s="26">
        <v>0</v>
      </c>
      <c r="S73" s="26">
        <v>0</v>
      </c>
      <c r="T73" s="22"/>
      <c r="U73" s="22"/>
      <c r="V73" s="22"/>
    </row>
    <row r="74" spans="1:22" s="34" customFormat="1" ht="15" hidden="1" x14ac:dyDescent="0.15">
      <c r="A74" s="18" t="s">
        <v>8</v>
      </c>
      <c r="B74" s="19">
        <v>0</v>
      </c>
      <c r="C74" s="19">
        <v>0</v>
      </c>
      <c r="D74" s="20">
        <v>0</v>
      </c>
      <c r="E74" s="19">
        <v>25</v>
      </c>
      <c r="F74" s="19">
        <v>25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21">
        <v>0</v>
      </c>
      <c r="O74" s="19">
        <v>0</v>
      </c>
      <c r="P74" s="19">
        <v>0</v>
      </c>
      <c r="Q74" s="21">
        <v>0</v>
      </c>
      <c r="R74" s="19">
        <v>0</v>
      </c>
      <c r="S74" s="19">
        <v>0</v>
      </c>
      <c r="T74" s="22"/>
      <c r="U74" s="22"/>
      <c r="V74" s="22"/>
    </row>
    <row r="75" spans="1:22" s="34" customFormat="1" ht="15" hidden="1" x14ac:dyDescent="0.15">
      <c r="A75" s="25" t="s">
        <v>70</v>
      </c>
      <c r="B75" s="26">
        <v>0</v>
      </c>
      <c r="C75" s="26">
        <v>0</v>
      </c>
      <c r="D75" s="27">
        <v>0</v>
      </c>
      <c r="E75" s="26">
        <v>10</v>
      </c>
      <c r="F75" s="26">
        <v>10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8">
        <v>0</v>
      </c>
      <c r="O75" s="26">
        <v>0</v>
      </c>
      <c r="P75" s="26">
        <v>0</v>
      </c>
      <c r="Q75" s="28">
        <v>0</v>
      </c>
      <c r="R75" s="26">
        <v>0</v>
      </c>
      <c r="S75" s="26">
        <v>0</v>
      </c>
      <c r="T75" s="22"/>
      <c r="U75" s="22"/>
      <c r="V75" s="22"/>
    </row>
    <row r="76" spans="1:22" s="34" customFormat="1" ht="15" hidden="1" x14ac:dyDescent="0.15">
      <c r="A76" s="25" t="s">
        <v>56</v>
      </c>
      <c r="B76" s="26">
        <v>0</v>
      </c>
      <c r="C76" s="26">
        <v>0</v>
      </c>
      <c r="D76" s="27">
        <v>0</v>
      </c>
      <c r="E76" s="26">
        <v>15</v>
      </c>
      <c r="F76" s="26">
        <v>15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8">
        <v>0</v>
      </c>
      <c r="O76" s="26">
        <v>0</v>
      </c>
      <c r="P76" s="26">
        <v>0</v>
      </c>
      <c r="Q76" s="28">
        <v>0</v>
      </c>
      <c r="R76" s="26">
        <v>0</v>
      </c>
      <c r="S76" s="26">
        <v>0</v>
      </c>
      <c r="T76" s="22"/>
      <c r="U76" s="22"/>
      <c r="V76" s="22"/>
    </row>
    <row r="77" spans="1:22" s="34" customFormat="1" ht="15" hidden="1" x14ac:dyDescent="0.15">
      <c r="A77" s="18" t="s">
        <v>9</v>
      </c>
      <c r="B77" s="19">
        <v>119</v>
      </c>
      <c r="C77" s="19">
        <v>119</v>
      </c>
      <c r="D77" s="20">
        <v>0</v>
      </c>
      <c r="E77" s="19">
        <v>198</v>
      </c>
      <c r="F77" s="19">
        <v>198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21">
        <v>0</v>
      </c>
      <c r="O77" s="19">
        <v>0</v>
      </c>
      <c r="P77" s="19">
        <v>0</v>
      </c>
      <c r="Q77" s="21">
        <v>0</v>
      </c>
      <c r="R77" s="19">
        <v>0</v>
      </c>
      <c r="S77" s="19">
        <v>0</v>
      </c>
      <c r="T77" s="22"/>
      <c r="U77" s="22"/>
      <c r="V77" s="22"/>
    </row>
    <row r="78" spans="1:22" s="35" customFormat="1" ht="15" hidden="1" x14ac:dyDescent="0.15">
      <c r="A78" s="25" t="s">
        <v>64</v>
      </c>
      <c r="B78" s="26">
        <v>119</v>
      </c>
      <c r="C78" s="26">
        <v>119</v>
      </c>
      <c r="D78" s="27">
        <v>0</v>
      </c>
      <c r="E78" s="26">
        <v>147</v>
      </c>
      <c r="F78" s="26">
        <v>147</v>
      </c>
      <c r="G78" s="26">
        <v>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8">
        <v>0</v>
      </c>
      <c r="O78" s="26">
        <v>0</v>
      </c>
      <c r="P78" s="26">
        <v>0</v>
      </c>
      <c r="Q78" s="28">
        <v>0</v>
      </c>
      <c r="R78" s="26">
        <v>0</v>
      </c>
      <c r="S78" s="26">
        <v>0</v>
      </c>
      <c r="T78" s="22"/>
      <c r="U78" s="22"/>
      <c r="V78" s="22"/>
    </row>
    <row r="79" spans="1:22" s="35" customFormat="1" ht="15" hidden="1" x14ac:dyDescent="0.15">
      <c r="A79" s="25" t="s">
        <v>71</v>
      </c>
      <c r="B79" s="26">
        <v>0</v>
      </c>
      <c r="C79" s="26">
        <v>0</v>
      </c>
      <c r="D79" s="27">
        <v>0</v>
      </c>
      <c r="E79" s="26">
        <v>21</v>
      </c>
      <c r="F79" s="26">
        <v>21</v>
      </c>
      <c r="G79" s="26">
        <v>0</v>
      </c>
      <c r="H79" s="26">
        <v>0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28">
        <v>0</v>
      </c>
      <c r="O79" s="26">
        <v>0</v>
      </c>
      <c r="P79" s="26">
        <v>0</v>
      </c>
      <c r="Q79" s="28">
        <v>0</v>
      </c>
      <c r="R79" s="26">
        <v>0</v>
      </c>
      <c r="S79" s="26">
        <v>0</v>
      </c>
      <c r="T79" s="22"/>
      <c r="U79" s="22"/>
      <c r="V79" s="22"/>
    </row>
    <row r="80" spans="1:22" s="35" customFormat="1" ht="15" hidden="1" x14ac:dyDescent="0.15">
      <c r="A80" s="25" t="s">
        <v>70</v>
      </c>
      <c r="B80" s="26">
        <f>C80+D80</f>
        <v>0</v>
      </c>
      <c r="C80" s="26">
        <v>0</v>
      </c>
      <c r="D80" s="27">
        <v>0</v>
      </c>
      <c r="E80" s="26">
        <f>F80+G80</f>
        <v>30</v>
      </c>
      <c r="F80" s="26">
        <v>30</v>
      </c>
      <c r="G80" s="26">
        <v>0</v>
      </c>
      <c r="H80" s="26">
        <f>I80+J80</f>
        <v>0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8">
        <v>0</v>
      </c>
      <c r="O80" s="26">
        <v>0</v>
      </c>
      <c r="P80" s="26">
        <v>0</v>
      </c>
      <c r="Q80" s="28">
        <v>0</v>
      </c>
      <c r="R80" s="26">
        <v>0</v>
      </c>
      <c r="S80" s="26">
        <v>0</v>
      </c>
      <c r="T80" s="22"/>
      <c r="U80" s="22"/>
      <c r="V80" s="22"/>
    </row>
    <row r="81" spans="1:22" s="35" customFormat="1" ht="15" x14ac:dyDescent="0.15">
      <c r="A81" s="18" t="s">
        <v>10</v>
      </c>
      <c r="B81" s="19">
        <f>C81+D81</f>
        <v>0</v>
      </c>
      <c r="C81" s="19">
        <v>0</v>
      </c>
      <c r="D81" s="20">
        <v>0</v>
      </c>
      <c r="E81" s="19">
        <f>F749</f>
        <v>0</v>
      </c>
      <c r="F81" s="19">
        <v>0</v>
      </c>
      <c r="G81" s="19">
        <v>0</v>
      </c>
      <c r="H81" s="19">
        <f>I81+J81</f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21">
        <f>N82+N83+N84+N85+N86+N87</f>
        <v>120</v>
      </c>
      <c r="O81" s="19">
        <f t="shared" ref="O81:S81" si="5">O82+O83+O84+O85+O86+O87</f>
        <v>115</v>
      </c>
      <c r="P81" s="19">
        <f t="shared" si="5"/>
        <v>5</v>
      </c>
      <c r="Q81" s="21">
        <f t="shared" si="5"/>
        <v>107</v>
      </c>
      <c r="R81" s="19">
        <f t="shared" si="5"/>
        <v>107</v>
      </c>
      <c r="S81" s="19">
        <f t="shared" si="5"/>
        <v>0</v>
      </c>
      <c r="T81" s="22"/>
      <c r="U81" s="22"/>
      <c r="V81" s="22"/>
    </row>
    <row r="82" spans="1:22" s="35" customFormat="1" ht="15" x14ac:dyDescent="0.15">
      <c r="A82" s="25" t="s">
        <v>72</v>
      </c>
      <c r="B82" s="26">
        <v>0</v>
      </c>
      <c r="C82" s="26">
        <v>0</v>
      </c>
      <c r="D82" s="27">
        <v>0</v>
      </c>
      <c r="E82" s="26">
        <v>0</v>
      </c>
      <c r="F82" s="26">
        <v>0</v>
      </c>
      <c r="G82" s="26">
        <v>0</v>
      </c>
      <c r="H82" s="26">
        <v>0</v>
      </c>
      <c r="I82" s="26">
        <v>0</v>
      </c>
      <c r="J82" s="26">
        <v>0</v>
      </c>
      <c r="K82" s="26">
        <v>0</v>
      </c>
      <c r="L82" s="26">
        <v>0</v>
      </c>
      <c r="M82" s="26">
        <v>0</v>
      </c>
      <c r="N82" s="28">
        <f>O82</f>
        <v>13</v>
      </c>
      <c r="O82" s="26">
        <v>13</v>
      </c>
      <c r="P82" s="26">
        <v>0</v>
      </c>
      <c r="Q82" s="28">
        <f>R82</f>
        <v>20</v>
      </c>
      <c r="R82" s="26">
        <v>20</v>
      </c>
      <c r="S82" s="26">
        <v>0</v>
      </c>
      <c r="T82" s="22"/>
      <c r="U82" s="22"/>
      <c r="V82" s="22"/>
    </row>
    <row r="83" spans="1:22" s="35" customFormat="1" ht="15" x14ac:dyDescent="0.15">
      <c r="A83" s="25" t="s">
        <v>73</v>
      </c>
      <c r="B83" s="26">
        <v>0</v>
      </c>
      <c r="C83" s="26">
        <v>0</v>
      </c>
      <c r="D83" s="27">
        <v>0</v>
      </c>
      <c r="E83" s="26">
        <v>0</v>
      </c>
      <c r="F83" s="26">
        <v>0</v>
      </c>
      <c r="G83" s="26">
        <v>0</v>
      </c>
      <c r="H83" s="26">
        <v>0</v>
      </c>
      <c r="I83" s="26">
        <v>0</v>
      </c>
      <c r="J83" s="26">
        <v>0</v>
      </c>
      <c r="K83" s="26">
        <v>0</v>
      </c>
      <c r="L83" s="26">
        <v>0</v>
      </c>
      <c r="M83" s="26">
        <v>0</v>
      </c>
      <c r="N83" s="28">
        <f>O83</f>
        <v>12</v>
      </c>
      <c r="O83" s="26">
        <v>12</v>
      </c>
      <c r="P83" s="26">
        <v>0</v>
      </c>
      <c r="Q83" s="28">
        <f>R83</f>
        <v>0</v>
      </c>
      <c r="R83" s="26">
        <v>0</v>
      </c>
      <c r="S83" s="26">
        <v>0</v>
      </c>
      <c r="T83" s="22"/>
      <c r="U83" s="22"/>
      <c r="V83" s="22"/>
    </row>
    <row r="84" spans="1:22" s="35" customFormat="1" ht="15" x14ac:dyDescent="0.15">
      <c r="A84" s="25" t="s">
        <v>74</v>
      </c>
      <c r="B84" s="26">
        <v>0</v>
      </c>
      <c r="C84" s="26">
        <v>0</v>
      </c>
      <c r="D84" s="27">
        <v>0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8">
        <f>O84</f>
        <v>22</v>
      </c>
      <c r="O84" s="26">
        <f>14+8</f>
        <v>22</v>
      </c>
      <c r="P84" s="26">
        <v>0</v>
      </c>
      <c r="Q84" s="28">
        <f>R84</f>
        <v>25</v>
      </c>
      <c r="R84" s="26">
        <f>18+7</f>
        <v>25</v>
      </c>
      <c r="S84" s="26">
        <v>0</v>
      </c>
      <c r="T84" s="22"/>
      <c r="U84" s="22"/>
      <c r="V84" s="22"/>
    </row>
    <row r="85" spans="1:22" s="35" customFormat="1" ht="15" x14ac:dyDescent="0.15">
      <c r="A85" s="25" t="s">
        <v>75</v>
      </c>
      <c r="B85" s="26">
        <v>0</v>
      </c>
      <c r="C85" s="26">
        <v>0</v>
      </c>
      <c r="D85" s="27">
        <v>0</v>
      </c>
      <c r="E85" s="26">
        <v>0</v>
      </c>
      <c r="F85" s="26">
        <v>0</v>
      </c>
      <c r="G85" s="26">
        <v>0</v>
      </c>
      <c r="H85" s="26">
        <v>0</v>
      </c>
      <c r="I85" s="26">
        <v>0</v>
      </c>
      <c r="J85" s="26">
        <v>0</v>
      </c>
      <c r="K85" s="26">
        <v>0</v>
      </c>
      <c r="L85" s="26">
        <v>0</v>
      </c>
      <c r="M85" s="26">
        <v>0</v>
      </c>
      <c r="N85" s="28">
        <f>O85+P85</f>
        <v>46</v>
      </c>
      <c r="O85" s="26">
        <v>41</v>
      </c>
      <c r="P85" s="26">
        <v>5</v>
      </c>
      <c r="Q85" s="28">
        <f>R85+S85</f>
        <v>44</v>
      </c>
      <c r="R85" s="26">
        <f>43+1</f>
        <v>44</v>
      </c>
      <c r="S85" s="26">
        <v>0</v>
      </c>
      <c r="T85" s="22"/>
      <c r="U85" s="22"/>
      <c r="V85" s="22"/>
    </row>
    <row r="86" spans="1:22" s="35" customFormat="1" ht="15" x14ac:dyDescent="0.15">
      <c r="A86" s="25" t="s">
        <v>56</v>
      </c>
      <c r="B86" s="26">
        <v>0</v>
      </c>
      <c r="C86" s="26">
        <v>0</v>
      </c>
      <c r="D86" s="27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8">
        <f>O86+P86</f>
        <v>15</v>
      </c>
      <c r="O86" s="26">
        <v>15</v>
      </c>
      <c r="P86" s="26">
        <v>0</v>
      </c>
      <c r="Q86" s="28">
        <f>R86+S86</f>
        <v>18</v>
      </c>
      <c r="R86" s="26">
        <f>13+5</f>
        <v>18</v>
      </c>
      <c r="S86" s="26">
        <v>0</v>
      </c>
      <c r="T86" s="22"/>
      <c r="U86" s="22"/>
      <c r="V86" s="22"/>
    </row>
    <row r="87" spans="1:22" s="35" customFormat="1" ht="15" x14ac:dyDescent="0.15">
      <c r="A87" s="25" t="s">
        <v>76</v>
      </c>
      <c r="B87" s="26">
        <v>0</v>
      </c>
      <c r="C87" s="26">
        <v>0</v>
      </c>
      <c r="D87" s="27">
        <v>0</v>
      </c>
      <c r="E87" s="26">
        <v>0</v>
      </c>
      <c r="F87" s="26">
        <v>0</v>
      </c>
      <c r="G87" s="26">
        <v>0</v>
      </c>
      <c r="H87" s="26">
        <v>0</v>
      </c>
      <c r="I87" s="26">
        <v>0</v>
      </c>
      <c r="J87" s="26">
        <v>0</v>
      </c>
      <c r="K87" s="26">
        <v>0</v>
      </c>
      <c r="L87" s="26">
        <v>0</v>
      </c>
      <c r="M87" s="26">
        <v>0</v>
      </c>
      <c r="N87" s="28">
        <f>O87</f>
        <v>12</v>
      </c>
      <c r="O87" s="26">
        <v>12</v>
      </c>
      <c r="P87" s="26">
        <v>0</v>
      </c>
      <c r="Q87" s="28">
        <f>R87</f>
        <v>0</v>
      </c>
      <c r="R87" s="26">
        <v>0</v>
      </c>
      <c r="S87" s="26">
        <v>0</v>
      </c>
      <c r="T87" s="22"/>
      <c r="U87" s="22"/>
      <c r="V87" s="22"/>
    </row>
    <row r="88" spans="1:22" s="37" customFormat="1" ht="15" x14ac:dyDescent="0.25">
      <c r="A88" s="18" t="s">
        <v>77</v>
      </c>
      <c r="B88" s="18">
        <v>0</v>
      </c>
      <c r="C88" s="18">
        <v>0</v>
      </c>
      <c r="D88" s="51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47">
        <v>0</v>
      </c>
      <c r="O88" s="18">
        <v>0</v>
      </c>
      <c r="P88" s="18">
        <v>0</v>
      </c>
      <c r="Q88" s="48">
        <f>R88</f>
        <v>23</v>
      </c>
      <c r="R88" s="18">
        <f>R89</f>
        <v>23</v>
      </c>
      <c r="S88" s="18">
        <v>0</v>
      </c>
      <c r="T88" s="36"/>
      <c r="U88" s="36"/>
      <c r="V88" s="36"/>
    </row>
    <row r="89" spans="1:22" s="35" customFormat="1" ht="15" x14ac:dyDescent="0.15">
      <c r="A89" s="52" t="s">
        <v>78</v>
      </c>
      <c r="B89" s="49">
        <v>0</v>
      </c>
      <c r="C89" s="49">
        <v>0</v>
      </c>
      <c r="D89" s="53">
        <v>0</v>
      </c>
      <c r="E89" s="49">
        <v>0</v>
      </c>
      <c r="F89" s="49">
        <v>0</v>
      </c>
      <c r="G89" s="49">
        <v>0</v>
      </c>
      <c r="H89" s="49">
        <v>0</v>
      </c>
      <c r="I89" s="49">
        <v>0</v>
      </c>
      <c r="J89" s="49">
        <v>0</v>
      </c>
      <c r="K89" s="49">
        <v>0</v>
      </c>
      <c r="L89" s="49">
        <v>0</v>
      </c>
      <c r="M89" s="49">
        <v>0</v>
      </c>
      <c r="N89" s="50">
        <v>0</v>
      </c>
      <c r="O89" s="49">
        <v>0</v>
      </c>
      <c r="P89" s="49">
        <v>0</v>
      </c>
      <c r="Q89" s="50">
        <v>23</v>
      </c>
      <c r="R89" s="49">
        <v>23</v>
      </c>
      <c r="S89" s="49">
        <v>0</v>
      </c>
      <c r="T89" s="22"/>
      <c r="U89" s="22"/>
      <c r="V89" s="22"/>
    </row>
    <row r="90" spans="1:22" s="39" customFormat="1" ht="15" x14ac:dyDescent="0.15">
      <c r="A90" s="2" t="s">
        <v>11</v>
      </c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26"/>
      <c r="O90" s="26"/>
      <c r="P90" s="26"/>
      <c r="Q90" s="26"/>
      <c r="R90" s="26"/>
      <c r="S90" s="26"/>
      <c r="T90" s="38"/>
      <c r="U90" s="38"/>
      <c r="V90" s="38"/>
    </row>
    <row r="91" spans="1:22" s="39" customFormat="1" ht="15" x14ac:dyDescent="0.2">
      <c r="A91" s="40" t="s">
        <v>79</v>
      </c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26"/>
      <c r="O91" s="26"/>
      <c r="P91" s="26"/>
      <c r="Q91" s="26"/>
      <c r="R91" s="26"/>
      <c r="S91" s="26"/>
      <c r="T91" s="41"/>
      <c r="U91" s="41"/>
      <c r="V91" s="41"/>
    </row>
    <row r="92" spans="1:22" s="39" customFormat="1" ht="12.75" x14ac:dyDescent="0.15">
      <c r="A92" s="42" t="s">
        <v>12</v>
      </c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</row>
    <row r="93" spans="1:22" s="39" customFormat="1" x14ac:dyDescent="0.1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</row>
    <row r="94" spans="1:22" s="45" customFormat="1" ht="15" x14ac:dyDescent="0.15">
      <c r="A94" s="43"/>
      <c r="B94" s="43"/>
      <c r="C94" s="43"/>
      <c r="D94" s="44"/>
      <c r="E94" s="43"/>
      <c r="F94" s="43"/>
      <c r="G94" s="44"/>
      <c r="H94" s="43"/>
      <c r="I94" s="43"/>
      <c r="J94" s="44"/>
      <c r="K94" s="43"/>
      <c r="L94" s="43"/>
      <c r="M94" s="44"/>
      <c r="N94" s="43"/>
      <c r="O94" s="43"/>
      <c r="P94" s="44"/>
      <c r="Q94" s="43"/>
      <c r="R94" s="43"/>
      <c r="S94" s="44"/>
      <c r="T94" s="43"/>
      <c r="U94" s="43"/>
      <c r="V94" s="43"/>
    </row>
    <row r="95" spans="1:22" s="45" customFormat="1" x14ac:dyDescent="0.1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</row>
    <row r="96" spans="1:22" s="45" customFormat="1" x14ac:dyDescent="0.1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</row>
    <row r="97" spans="1:22" x14ac:dyDescent="0.1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</row>
    <row r="98" spans="1:22" x14ac:dyDescent="0.1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</row>
    <row r="99" spans="1:22" x14ac:dyDescent="0.1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</row>
  </sheetData>
  <mergeCells count="9">
    <mergeCell ref="Q5:S5"/>
    <mergeCell ref="A2:S2"/>
    <mergeCell ref="A3:S3"/>
    <mergeCell ref="A5:A6"/>
    <mergeCell ref="B5:D5"/>
    <mergeCell ref="E5:G5"/>
    <mergeCell ref="H5:J5"/>
    <mergeCell ref="K5:M5"/>
    <mergeCell ref="N5:P5"/>
  </mergeCells>
  <pageMargins left="0.7" right="0.7" top="0.75" bottom="0.75" header="0.3" footer="0.3"/>
  <pageSetup scale="6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7.22</vt:lpstr>
      <vt:lpstr>'7.22'!Print_Area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2017-11-09T06:51:59Z</cp:lastPrinted>
  <dcterms:created xsi:type="dcterms:W3CDTF">2014-03-05T03:36:41Z</dcterms:created>
  <dcterms:modified xsi:type="dcterms:W3CDTF">2017-11-09T06:52:05Z</dcterms:modified>
</cp:coreProperties>
</file>