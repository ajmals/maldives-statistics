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10" sheetId="12" r:id="rId1"/>
  </sheets>
  <externalReferences>
    <externalReference r:id="rId2"/>
  </externalReferences>
  <definedNames>
    <definedName name="_xlnm.Print_Area" localSheetId="0">'7.10'!$A$1:$J$147</definedName>
  </definedNames>
  <calcPr calcId="144525"/>
</workbook>
</file>

<file path=xl/calcChain.xml><?xml version="1.0" encoding="utf-8"?>
<calcChain xmlns="http://schemas.openxmlformats.org/spreadsheetml/2006/main">
  <c r="D7" i="12" l="1"/>
  <c r="C7" i="12"/>
  <c r="I108" i="12" l="1"/>
  <c r="I106" i="12" s="1"/>
  <c r="E84" i="12"/>
  <c r="G58" i="12"/>
  <c r="G56" i="12" s="1"/>
  <c r="H109" i="12"/>
  <c r="D83" i="12"/>
  <c r="D81" i="12" s="1"/>
  <c r="B32" i="12"/>
  <c r="H32" i="12"/>
  <c r="E34" i="12"/>
  <c r="B57" i="12"/>
  <c r="H57" i="12"/>
  <c r="E59" i="12"/>
  <c r="B82" i="12"/>
  <c r="H82" i="12"/>
  <c r="H107" i="12"/>
  <c r="H7" i="12"/>
  <c r="H9" i="12"/>
  <c r="E32" i="12"/>
  <c r="B34" i="12"/>
  <c r="H34" i="12"/>
  <c r="E57" i="12"/>
  <c r="B59" i="12"/>
  <c r="H59" i="12"/>
  <c r="E82" i="12"/>
  <c r="H84" i="12"/>
  <c r="E107" i="12"/>
  <c r="B109" i="12"/>
  <c r="E53" i="12"/>
  <c r="H52" i="12"/>
  <c r="E51" i="12"/>
  <c r="H50" i="12"/>
  <c r="E49" i="12"/>
  <c r="H48" i="12"/>
  <c r="E47" i="12"/>
  <c r="H46" i="12"/>
  <c r="E45" i="12"/>
  <c r="H44" i="12"/>
  <c r="E43" i="12"/>
  <c r="E41" i="12"/>
  <c r="E39" i="12"/>
  <c r="E37" i="12"/>
  <c r="E35" i="12"/>
  <c r="H78" i="12"/>
  <c r="E77" i="12"/>
  <c r="H76" i="12"/>
  <c r="E75" i="12"/>
  <c r="H74" i="12"/>
  <c r="E73" i="12"/>
  <c r="H72" i="12"/>
  <c r="E71" i="12"/>
  <c r="H70" i="12"/>
  <c r="E69" i="12"/>
  <c r="H68" i="12"/>
  <c r="E67" i="12"/>
  <c r="H66" i="12"/>
  <c r="E65" i="12"/>
  <c r="H64" i="12"/>
  <c r="E63" i="12"/>
  <c r="H62" i="12"/>
  <c r="E61" i="12"/>
  <c r="E103" i="12"/>
  <c r="H102" i="12"/>
  <c r="E101" i="12"/>
  <c r="H100" i="12"/>
  <c r="E99" i="12"/>
  <c r="H98" i="12"/>
  <c r="E97" i="12"/>
  <c r="H96" i="12"/>
  <c r="E95" i="12"/>
  <c r="H94" i="12"/>
  <c r="E93" i="12"/>
  <c r="H92" i="12"/>
  <c r="E91" i="12"/>
  <c r="H90" i="12"/>
  <c r="E89" i="12"/>
  <c r="H88" i="12"/>
  <c r="E87" i="12"/>
  <c r="E85" i="12"/>
  <c r="H128" i="12"/>
  <c r="E127" i="12"/>
  <c r="H126" i="12"/>
  <c r="E125" i="12"/>
  <c r="H124" i="12"/>
  <c r="E123" i="12"/>
  <c r="H122" i="12"/>
  <c r="E121" i="12"/>
  <c r="H120" i="12"/>
  <c r="E119" i="12"/>
  <c r="H118" i="12"/>
  <c r="E117" i="12"/>
  <c r="H116" i="12"/>
  <c r="E115" i="12"/>
  <c r="E113" i="12"/>
  <c r="H112" i="12"/>
  <c r="E111" i="12"/>
  <c r="B107" i="12"/>
  <c r="E109" i="12"/>
  <c r="H41" i="12"/>
  <c r="H39" i="12"/>
  <c r="H37" i="12"/>
  <c r="H35" i="12"/>
  <c r="H61" i="12"/>
  <c r="H87" i="12"/>
  <c r="H85" i="12"/>
  <c r="D108" i="12"/>
  <c r="B84" i="12"/>
  <c r="D58" i="12"/>
  <c r="D56" i="12" s="1"/>
  <c r="E66" i="12"/>
  <c r="H65" i="12"/>
  <c r="E128" i="12"/>
  <c r="H121" i="12"/>
  <c r="E120" i="12"/>
  <c r="H119" i="12"/>
  <c r="E118" i="12"/>
  <c r="E116" i="12"/>
  <c r="H115" i="12"/>
  <c r="E114" i="12"/>
  <c r="E112" i="12"/>
  <c r="E110" i="12"/>
  <c r="J8" i="12"/>
  <c r="G83" i="12"/>
  <c r="G81" i="12" s="1"/>
  <c r="G108" i="12"/>
  <c r="G106" i="12" s="1"/>
  <c r="H117" i="12"/>
  <c r="H113" i="12"/>
  <c r="H111" i="12"/>
  <c r="D33" i="12"/>
  <c r="D31" i="12" s="1"/>
  <c r="H53" i="12"/>
  <c r="E52" i="12"/>
  <c r="H51" i="12"/>
  <c r="E50" i="12"/>
  <c r="H49" i="12"/>
  <c r="E48" i="12"/>
  <c r="H47" i="12"/>
  <c r="E46" i="12"/>
  <c r="H45" i="12"/>
  <c r="E44" i="12"/>
  <c r="H43" i="12"/>
  <c r="E42" i="12"/>
  <c r="E40" i="12"/>
  <c r="E38" i="12"/>
  <c r="E36" i="12"/>
  <c r="E78" i="12"/>
  <c r="H77" i="12"/>
  <c r="E76" i="12"/>
  <c r="H75" i="12"/>
  <c r="E74" i="12"/>
  <c r="H73" i="12"/>
  <c r="E72" i="12"/>
  <c r="H71" i="12"/>
  <c r="E70" i="12"/>
  <c r="H69" i="12"/>
  <c r="E68" i="12"/>
  <c r="H67" i="12"/>
  <c r="E64" i="12"/>
  <c r="H63" i="12"/>
  <c r="E62" i="12"/>
  <c r="E60" i="12"/>
  <c r="H103" i="12"/>
  <c r="E102" i="12"/>
  <c r="H101" i="12"/>
  <c r="E100" i="12"/>
  <c r="H99" i="12"/>
  <c r="E98" i="12"/>
  <c r="H97" i="12"/>
  <c r="E96" i="12"/>
  <c r="H95" i="12"/>
  <c r="E94" i="12"/>
  <c r="H93" i="12"/>
  <c r="E92" i="12"/>
  <c r="H91" i="12"/>
  <c r="E90" i="12"/>
  <c r="H89" i="12"/>
  <c r="E88" i="12"/>
  <c r="E86" i="12"/>
  <c r="H127" i="12"/>
  <c r="E126" i="12"/>
  <c r="H125" i="12"/>
  <c r="E124" i="12"/>
  <c r="H123" i="12"/>
  <c r="E122" i="12"/>
  <c r="G8" i="12"/>
  <c r="G6" i="12" s="1"/>
  <c r="G33" i="12"/>
  <c r="G31" i="12" s="1"/>
  <c r="H42" i="12"/>
  <c r="H40" i="12"/>
  <c r="H38" i="12"/>
  <c r="H36" i="12"/>
  <c r="H60" i="12"/>
  <c r="H86" i="12"/>
  <c r="H114" i="12"/>
  <c r="H110" i="12"/>
  <c r="J108" i="12"/>
  <c r="I83" i="12"/>
  <c r="I81" i="12" s="1"/>
  <c r="I58" i="12"/>
  <c r="I56" i="12" s="1"/>
  <c r="I33" i="12"/>
  <c r="I31" i="12" s="1"/>
  <c r="F8" i="12"/>
  <c r="F6" i="12" s="1"/>
  <c r="J33" i="12"/>
  <c r="J58" i="12"/>
  <c r="J83" i="12"/>
  <c r="F108" i="12"/>
  <c r="C108" i="12"/>
  <c r="F83" i="12"/>
  <c r="C83" i="12"/>
  <c r="F58" i="12"/>
  <c r="C58" i="12"/>
  <c r="C56" i="12" s="1"/>
  <c r="F33" i="12"/>
  <c r="C33" i="12"/>
  <c r="C31" i="12" s="1"/>
  <c r="I8" i="12"/>
  <c r="D106" i="12" l="1"/>
  <c r="C106" i="12"/>
  <c r="C81" i="12"/>
  <c r="B81" i="12" s="1"/>
  <c r="J6" i="12"/>
  <c r="H8" i="12"/>
  <c r="E108" i="12"/>
  <c r="B56" i="12"/>
  <c r="B31" i="12"/>
  <c r="H108" i="12"/>
  <c r="J106" i="12"/>
  <c r="H106" i="12" s="1"/>
  <c r="I6" i="12"/>
  <c r="J81" i="12"/>
  <c r="H81" i="12" s="1"/>
  <c r="H83" i="12"/>
  <c r="J31" i="12"/>
  <c r="H31" i="12" s="1"/>
  <c r="H33" i="12"/>
  <c r="J56" i="12"/>
  <c r="H56" i="12" s="1"/>
  <c r="H58" i="12"/>
  <c r="F106" i="12"/>
  <c r="E106" i="12" s="1"/>
  <c r="E83" i="12"/>
  <c r="F81" i="12"/>
  <c r="E81" i="12" s="1"/>
  <c r="F56" i="12"/>
  <c r="E56" i="12" s="1"/>
  <c r="E58" i="12"/>
  <c r="E33" i="12"/>
  <c r="F31" i="12"/>
  <c r="E31" i="12" s="1"/>
  <c r="H6" i="12" l="1"/>
  <c r="B106" i="12"/>
  <c r="H28" i="12" l="1"/>
  <c r="E28" i="12"/>
  <c r="H27" i="12"/>
  <c r="E27" i="12"/>
  <c r="H26" i="12"/>
  <c r="E26" i="12"/>
  <c r="H25" i="12"/>
  <c r="E25" i="12"/>
  <c r="H24" i="12"/>
  <c r="E24" i="12"/>
  <c r="H23" i="12"/>
  <c r="E23" i="12"/>
  <c r="H22" i="12"/>
  <c r="E22" i="12"/>
  <c r="H21" i="12"/>
  <c r="E21" i="12"/>
  <c r="H20" i="12"/>
  <c r="E20" i="12"/>
  <c r="H19" i="12"/>
  <c r="E19" i="12"/>
  <c r="H18" i="12"/>
  <c r="E18" i="12"/>
  <c r="H17" i="12"/>
  <c r="E17" i="12"/>
  <c r="H16" i="12"/>
  <c r="E16" i="12"/>
  <c r="H15" i="12"/>
  <c r="E15" i="12"/>
  <c r="H14" i="12"/>
  <c r="E14" i="12"/>
  <c r="H13" i="12"/>
  <c r="E13" i="12"/>
  <c r="H12" i="12"/>
  <c r="E12" i="12"/>
  <c r="H11" i="12"/>
  <c r="E11" i="12"/>
  <c r="H10" i="12"/>
  <c r="E10" i="12"/>
  <c r="E9" i="12"/>
  <c r="E8" i="12"/>
  <c r="E7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3" i="12" l="1"/>
  <c r="B58" i="12"/>
  <c r="B33" i="12"/>
  <c r="E6" i="12"/>
  <c r="B128" i="12" l="1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B108" i="12" l="1"/>
  <c r="C8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7" i="12"/>
  <c r="D8" i="12"/>
  <c r="B9" i="12"/>
  <c r="C6" i="12" l="1"/>
  <c r="B8" i="12"/>
  <c r="D6" i="12"/>
  <c r="B6" i="12" l="1"/>
</calcChain>
</file>

<file path=xl/sharedStrings.xml><?xml version="1.0" encoding="utf-8"?>
<sst xmlns="http://schemas.openxmlformats.org/spreadsheetml/2006/main" count="232" uniqueCount="63">
  <si>
    <t>Male</t>
  </si>
  <si>
    <t>Female</t>
  </si>
  <si>
    <t>Total</t>
  </si>
  <si>
    <t xml:space="preserve">  Locality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</si>
  <si>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</si>
  <si>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</si>
  <si>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</si>
  <si>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</si>
  <si>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</si>
  <si>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</si>
  <si>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</si>
  <si>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</si>
  <si>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</si>
  <si>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</si>
  <si>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</si>
  <si>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</si>
  <si>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</si>
  <si>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</si>
  <si>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</si>
  <si>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</si>
  <si>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</si>
  <si>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</si>
  <si>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</si>
  <si>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</si>
  <si>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</si>
  <si>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Special Classes  1_/</t>
  </si>
  <si>
    <t>Pre-primary</t>
  </si>
  <si>
    <t xml:space="preserve">Both Sexes </t>
  </si>
  <si>
    <t>Adh</t>
  </si>
  <si>
    <t>HA</t>
  </si>
  <si>
    <t>HDh</t>
  </si>
  <si>
    <t>Sh</t>
  </si>
  <si>
    <t>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</si>
  <si>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</si>
  <si>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</si>
  <si>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</si>
  <si>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</si>
  <si>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</si>
  <si>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</si>
  <si>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</si>
  <si>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</si>
  <si>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</si>
  <si>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</si>
  <si>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</si>
  <si>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</si>
  <si>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LKG</t>
  </si>
  <si>
    <t>UKG</t>
  </si>
  <si>
    <t>Special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</si>
  <si>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</si>
  <si>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</si>
  <si>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</si>
  <si>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</si>
  <si>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</si>
  <si>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</si>
  <si>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</si>
  <si>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</si>
  <si>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</si>
  <si>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</si>
  <si>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</si>
  <si>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</si>
  <si>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</si>
  <si>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Table 7.10 : STUDENT ENROLMENT IN MALE' AND ATOLLS, BY GRADE AND SEX, 2016</t>
  </si>
  <si>
    <t>ތާވަލް 7.10: މާލޭއާއި އަތޮޅުތަކުގެ މަދަރުސާތަކުގެ އެކި ފަންތީގައި ކިޔަވާކުދިންގެ އަދަދު، ގްރޭޑް އަދި ޖިންސް ވަކިން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</si>
</sst>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6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50">
    <xf numFmtId="0" fontId="0" fillId="0" borderId="0" xfId="0"/>
    <xf numFmtId="165" fontId="8" fillId="2" borderId="0" xfId="0" applyNumberFormat="1" applyFont="1" applyFill="1" applyAlignment="1" applyProtection="1">
      <alignment horizontal="left" vertical="center"/>
    </xf>
    <xf numFmtId="165" fontId="8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 applyAlignment="1" applyProtection="1">
      <alignment horizontal="left"/>
    </xf>
    <xf numFmtId="165" fontId="6" fillId="2" borderId="0" xfId="0" applyNumberFormat="1" applyFont="1" applyFill="1"/>
    <xf numFmtId="165" fontId="10" fillId="2" borderId="0" xfId="0" applyNumberFormat="1" applyFont="1" applyFill="1" applyAlignment="1" applyProtection="1">
      <alignment horizontal="left"/>
    </xf>
    <xf numFmtId="165" fontId="0" fillId="2" borderId="0" xfId="0" applyNumberFormat="1" applyFill="1" applyBorder="1"/>
    <xf numFmtId="165" fontId="0" fillId="2" borderId="0" xfId="0" applyNumberFormat="1" applyFill="1" applyAlignment="1">
      <alignment horizontal="center"/>
    </xf>
    <xf numFmtId="165" fontId="7" fillId="2" borderId="1" xfId="0" applyNumberFormat="1" applyFont="1" applyFill="1" applyBorder="1" applyAlignment="1" applyProtection="1">
      <alignment horizontal="right" vertical="top" wrapText="1"/>
    </xf>
    <xf numFmtId="165" fontId="7" fillId="2" borderId="6" xfId="0" applyNumberFormat="1" applyFont="1" applyFill="1" applyBorder="1" applyAlignment="1" applyProtection="1">
      <alignment horizontal="right" vertical="top" wrapText="1"/>
    </xf>
    <xf numFmtId="165" fontId="7" fillId="2" borderId="3" xfId="0" applyNumberFormat="1" applyFont="1" applyFill="1" applyBorder="1" applyAlignment="1" applyProtection="1">
      <alignment horizontal="right" wrapText="1"/>
    </xf>
    <xf numFmtId="165" fontId="7" fillId="2" borderId="6" xfId="0" applyNumberFormat="1" applyFont="1" applyFill="1" applyBorder="1" applyAlignment="1" applyProtection="1">
      <alignment horizontal="right" wrapText="1"/>
    </xf>
    <xf numFmtId="165" fontId="7" fillId="2" borderId="1" xfId="0" applyNumberFormat="1" applyFont="1" applyFill="1" applyBorder="1" applyAlignment="1" applyProtection="1">
      <alignment horizontal="right" wrapText="1"/>
    </xf>
    <xf numFmtId="165" fontId="7" fillId="2" borderId="3" xfId="0" applyNumberFormat="1" applyFont="1" applyFill="1" applyBorder="1" applyAlignment="1" applyProtection="1">
      <alignment horizontal="right" vertical="top" wrapText="1"/>
    </xf>
    <xf numFmtId="165" fontId="3" fillId="2" borderId="0" xfId="0" applyNumberFormat="1" applyFont="1" applyFill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8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 applyProtection="1">
      <alignment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8" xfId="1" applyNumberFormat="1" applyFont="1" applyFill="1" applyBorder="1" applyAlignment="1">
      <alignment horizontal="right" vertical="center"/>
    </xf>
    <xf numFmtId="37" fontId="7" fillId="2" borderId="9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165" fontId="13" fillId="2" borderId="0" xfId="0" applyNumberFormat="1" applyFont="1" applyFill="1"/>
    <xf numFmtId="165" fontId="9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37" fontId="7" fillId="2" borderId="9" xfId="1" applyNumberFormat="1" applyFont="1" applyFill="1" applyBorder="1" applyAlignment="1">
      <alignment horizontal="right"/>
    </xf>
    <xf numFmtId="37" fontId="7" fillId="2" borderId="13" xfId="1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37" fontId="8" fillId="2" borderId="0" xfId="1" applyNumberFormat="1" applyFont="1" applyFill="1" applyBorder="1" applyAlignment="1" applyProtection="1">
      <alignment vertical="center"/>
    </xf>
    <xf numFmtId="37" fontId="8" fillId="2" borderId="9" xfId="1" applyNumberFormat="1" applyFont="1" applyFill="1" applyBorder="1" applyAlignment="1" applyProtection="1">
      <alignment vertical="center"/>
    </xf>
    <xf numFmtId="37" fontId="8" fillId="2" borderId="12" xfId="1" applyNumberFormat="1" applyFont="1" applyFill="1" applyBorder="1" applyAlignment="1" applyProtection="1">
      <alignment vertical="center"/>
    </xf>
    <xf numFmtId="37" fontId="7" fillId="2" borderId="14" xfId="1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165" fontId="11" fillId="2" borderId="10" xfId="5" applyNumberFormat="1" applyFont="1" applyFill="1" applyBorder="1" applyAlignment="1">
      <alignment horizontal="center" vertical="center"/>
    </xf>
    <xf numFmtId="165" fontId="5" fillId="2" borderId="11" xfId="0" applyNumberFormat="1" applyFont="1" applyFill="1" applyBorder="1" applyAlignment="1" applyProtection="1">
      <alignment horizontal="center" vertical="center"/>
    </xf>
    <xf numFmtId="165" fontId="7" fillId="2" borderId="3" xfId="0" applyNumberFormat="1" applyFont="1" applyFill="1" applyBorder="1" applyAlignment="1" applyProtection="1">
      <alignment horizontal="center" vertical="center"/>
    </xf>
    <xf numFmtId="165" fontId="7" fillId="2" borderId="4" xfId="0" applyNumberFormat="1" applyFont="1" applyFill="1" applyBorder="1" applyAlignment="1" applyProtection="1">
      <alignment horizontal="center" vertical="center"/>
    </xf>
    <xf numFmtId="165" fontId="7" fillId="2" borderId="5" xfId="0" applyNumberFormat="1" applyFont="1" applyFill="1" applyBorder="1" applyAlignment="1" applyProtection="1">
      <alignment horizontal="center" vertical="center"/>
    </xf>
    <xf numFmtId="3" fontId="7" fillId="2" borderId="3" xfId="0" applyNumberFormat="1" applyFont="1" applyFill="1" applyBorder="1" applyAlignment="1" applyProtection="1">
      <alignment horizontal="center" vertical="center"/>
    </xf>
    <xf numFmtId="3" fontId="7" fillId="2" borderId="4" xfId="0" applyNumberFormat="1" applyFont="1" applyFill="1" applyBorder="1" applyAlignment="1" applyProtection="1">
      <alignment horizontal="center" vertical="center"/>
    </xf>
    <xf numFmtId="165" fontId="0" fillId="2" borderId="0" xfId="0" applyNumberFormat="1" applyFill="1" applyBorder="1" applyAlignment="1">
      <alignment horizontal="center"/>
    </xf>
    <xf numFmtId="165" fontId="7" fillId="2" borderId="0" xfId="0" applyNumberFormat="1" applyFont="1" applyFill="1" applyBorder="1" applyAlignment="1" applyProtection="1">
      <alignment horizontal="right" vertical="top" wrapText="1"/>
    </xf>
    <xf numFmtId="166" fontId="0" fillId="2" borderId="0" xfId="1" applyNumberFormat="1" applyFont="1" applyFill="1" applyBorder="1"/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57163533728745E-2"/>
          <c:y val="0.1457128264250292"/>
          <c:w val="0.91141138925881693"/>
          <c:h val="0.625118554072097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dPt>
            <c:idx val="31"/>
            <c:invertIfNegative val="0"/>
            <c:bubble3D val="0"/>
            <c:spPr>
              <a:solidFill>
                <a:srgbClr val="F79747"/>
              </a:solidFill>
              <a:ln>
                <a:noFill/>
              </a:ln>
              <a:effectLst/>
            </c:spPr>
          </c:dPt>
          <c:cat>
            <c:multiLvlStrRef>
              <c:f>'7.10'!$AE$119:$AF$150</c:f>
              <c:multiLvlStrCache>
                <c:ptCount val="3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  <c:pt idx="12">
                    <c:v>M</c:v>
                  </c:pt>
                  <c:pt idx="13">
                    <c:v>F</c:v>
                  </c:pt>
                  <c:pt idx="14">
                    <c:v>M</c:v>
                  </c:pt>
                  <c:pt idx="15">
                    <c:v>F</c:v>
                  </c:pt>
                  <c:pt idx="16">
                    <c:v>M</c:v>
                  </c:pt>
                  <c:pt idx="17">
                    <c:v>F</c:v>
                  </c:pt>
                  <c:pt idx="18">
                    <c:v>M</c:v>
                  </c:pt>
                  <c:pt idx="19">
                    <c:v>F</c:v>
                  </c:pt>
                  <c:pt idx="20">
                    <c:v>M</c:v>
                  </c:pt>
                  <c:pt idx="21">
                    <c:v>F</c:v>
                  </c:pt>
                  <c:pt idx="22">
                    <c:v>M</c:v>
                  </c:pt>
                  <c:pt idx="23">
                    <c:v>F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F</c:v>
                  </c:pt>
                  <c:pt idx="28">
                    <c:v>M</c:v>
                  </c:pt>
                  <c:pt idx="29">
                    <c:v>F</c:v>
                  </c:pt>
                  <c:pt idx="30">
                    <c:v>M</c:v>
                  </c:pt>
                  <c:pt idx="31">
                    <c:v>F</c:v>
                  </c:pt>
                </c:lvl>
                <c:lvl>
                  <c:pt idx="0">
                    <c:v>Nurs.</c:v>
                  </c:pt>
                  <c:pt idx="2">
                    <c:v>LKG</c:v>
                  </c:pt>
                  <c:pt idx="4">
                    <c:v>UKG</c:v>
                  </c:pt>
                  <c:pt idx="6">
                    <c:v>Gr. 1</c:v>
                  </c:pt>
                  <c:pt idx="8">
                    <c:v>Gr. 2</c:v>
                  </c:pt>
                  <c:pt idx="10">
                    <c:v>Gr. 3</c:v>
                  </c:pt>
                  <c:pt idx="12">
                    <c:v>Gr. 4</c:v>
                  </c:pt>
                  <c:pt idx="14">
                    <c:v>Gr. 5</c:v>
                  </c:pt>
                  <c:pt idx="16">
                    <c:v>Gr. 6</c:v>
                  </c:pt>
                  <c:pt idx="18">
                    <c:v>Gr. 7</c:v>
                  </c:pt>
                  <c:pt idx="20">
                    <c:v>Gr. 8</c:v>
                  </c:pt>
                  <c:pt idx="22">
                    <c:v>Gr. 9</c:v>
                  </c:pt>
                  <c:pt idx="24">
                    <c:v>Gr. 10</c:v>
                  </c:pt>
                  <c:pt idx="26">
                    <c:v>Gr. 11</c:v>
                  </c:pt>
                  <c:pt idx="28">
                    <c:v>Gr. 12</c:v>
                  </c:pt>
                  <c:pt idx="30">
                    <c:v>Special</c:v>
                  </c:pt>
                </c:lvl>
              </c:multiLvlStrCache>
            </c:multiLvlStrRef>
          </c:cat>
          <c:val>
            <c:numRef>
              <c:f>'7.10'!$AG$119:$AG$150</c:f>
              <c:numCache>
                <c:formatCode>General_)</c:formatCode>
                <c:ptCount val="32"/>
                <c:pt idx="0">
                  <c:v>3346</c:v>
                </c:pt>
                <c:pt idx="1">
                  <c:v>3110</c:v>
                </c:pt>
                <c:pt idx="2">
                  <c:v>4203</c:v>
                </c:pt>
                <c:pt idx="3">
                  <c:v>3799</c:v>
                </c:pt>
                <c:pt idx="4">
                  <c:v>4037</c:v>
                </c:pt>
                <c:pt idx="5">
                  <c:v>3768</c:v>
                </c:pt>
                <c:pt idx="6">
                  <c:v>3761</c:v>
                </c:pt>
                <c:pt idx="7">
                  <c:v>3753</c:v>
                </c:pt>
                <c:pt idx="8">
                  <c:v>3654</c:v>
                </c:pt>
                <c:pt idx="9">
                  <c:v>3539</c:v>
                </c:pt>
                <c:pt idx="10">
                  <c:v>3397</c:v>
                </c:pt>
                <c:pt idx="11">
                  <c:v>3229</c:v>
                </c:pt>
                <c:pt idx="12">
                  <c:v>3049</c:v>
                </c:pt>
                <c:pt idx="13">
                  <c:v>2982</c:v>
                </c:pt>
                <c:pt idx="14">
                  <c:v>2779</c:v>
                </c:pt>
                <c:pt idx="15">
                  <c:v>2763</c:v>
                </c:pt>
                <c:pt idx="16">
                  <c:v>2796</c:v>
                </c:pt>
                <c:pt idx="17">
                  <c:v>2581</c:v>
                </c:pt>
                <c:pt idx="18">
                  <c:v>2906</c:v>
                </c:pt>
                <c:pt idx="19">
                  <c:v>2592</c:v>
                </c:pt>
                <c:pt idx="20">
                  <c:v>2977</c:v>
                </c:pt>
                <c:pt idx="21">
                  <c:v>2675</c:v>
                </c:pt>
                <c:pt idx="22">
                  <c:v>3039</c:v>
                </c:pt>
                <c:pt idx="23">
                  <c:v>2822</c:v>
                </c:pt>
                <c:pt idx="24">
                  <c:v>2944</c:v>
                </c:pt>
                <c:pt idx="25">
                  <c:v>2799</c:v>
                </c:pt>
                <c:pt idx="26">
                  <c:v>880</c:v>
                </c:pt>
                <c:pt idx="27">
                  <c:v>1244</c:v>
                </c:pt>
                <c:pt idx="28">
                  <c:v>896</c:v>
                </c:pt>
                <c:pt idx="29">
                  <c:v>1100</c:v>
                </c:pt>
                <c:pt idx="30">
                  <c:v>255</c:v>
                </c:pt>
                <c:pt idx="31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8"/>
        <c:axId val="206599296"/>
        <c:axId val="206601216"/>
      </c:barChart>
      <c:catAx>
        <c:axId val="2065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1216"/>
        <c:crosses val="autoZero"/>
        <c:auto val="1"/>
        <c:lblAlgn val="ctr"/>
        <c:lblOffset val="100"/>
        <c:noMultiLvlLbl val="0"/>
      </c:catAx>
      <c:valAx>
        <c:axId val="2066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296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135356</xdr:colOff>
      <xdr:row>129</xdr:row>
      <xdr:rowOff>160419</xdr:rowOff>
    </xdr:from>
    <xdr:to>
      <xdr:col>9</xdr:col>
      <xdr:colOff>361950</xdr:colOff>
      <xdr:row>145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175459</xdr:colOff>
      <xdr:row>130</xdr:row>
      <xdr:rowOff>5014</xdr:rowOff>
    </xdr:from>
    <xdr:to>
      <xdr:col>8</xdr:col>
      <xdr:colOff>175460</xdr:colOff>
      <xdr:row>131</xdr:row>
      <xdr:rowOff>75197</xdr:rowOff>
    </xdr:to>
    <xdr:sp macro="" textlink="">
      <xdr:nvSpPr>
        <xdr:cNvPr id="4" name="TextBox 3"/>
        <xdr:cNvSpPr txBox="1"/>
      </xdr:nvSpPr>
      <xdr:spPr>
        <a:xfrm>
          <a:off x="1012656" y="24855238"/>
          <a:ext cx="5073317" cy="2606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7.9: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Students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enrolement by grade and sex,2016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205540</xdr:colOff>
      <xdr:row>131</xdr:row>
      <xdr:rowOff>40105</xdr:rowOff>
    </xdr:from>
    <xdr:to>
      <xdr:col>8</xdr:col>
      <xdr:colOff>95250</xdr:colOff>
      <xdr:row>131</xdr:row>
      <xdr:rowOff>40105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042737" y="25080829"/>
          <a:ext cx="496302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0.44453</cdr:x>
      <cdr:y>0.91309</cdr:y>
    </cdr:from>
    <cdr:to>
      <cdr:x>0.53042</cdr:x>
      <cdr:y>0.99163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56150" y="2801856"/>
          <a:ext cx="590489" cy="241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Grade</a:t>
          </a:r>
          <a:endParaRPr lang="en-US" sz="7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150"/>
  <sheetViews>
    <sheetView tabSelected="1" zoomScaleNormal="100" zoomScaleSheetLayoutView="115" workbookViewId="0">
      <selection activeCell="K1" sqref="K1"/>
    </sheetView>
  </sheetViews>
  <sheetFormatPr defaultColWidth="9.140625" defaultRowHeight="15" x14ac:dyDescent="0.25"/>
  <cols>
    <col min="1" max="1" width="12.5703125" style="29" customWidth="1"/>
    <col min="2" max="4" width="10.85546875" style="29" customWidth="1"/>
    <col min="5" max="5" width="11.140625" style="29" customWidth="1"/>
    <col min="6" max="10" width="10.85546875" style="29" customWidth="1"/>
    <col min="11" max="14" width="10.5703125" style="29" bestFit="1" customWidth="1"/>
    <col min="15" max="19" width="9.5703125" style="29" bestFit="1" customWidth="1"/>
    <col min="20" max="23" width="9.140625" style="29"/>
    <col min="24" max="31" width="5.5703125" style="29" customWidth="1"/>
    <col min="32" max="32" width="4.42578125" style="29" customWidth="1"/>
    <col min="33" max="33" width="7.42578125" style="29" customWidth="1"/>
    <col min="34" max="34" width="8.28515625" style="29" customWidth="1"/>
    <col min="35" max="59" width="5.5703125" style="29" customWidth="1"/>
    <col min="60" max="16384" width="9.140625" style="29"/>
  </cols>
  <sheetData>
    <row r="1" spans="1:19" x14ac:dyDescent="0.25">
      <c r="K1" s="27"/>
    </row>
    <row r="2" spans="1:19" ht="21.75" x14ac:dyDescent="0.25">
      <c r="A2" s="40" t="s">
        <v>62</v>
      </c>
      <c r="B2" s="40"/>
      <c r="C2" s="40"/>
      <c r="D2" s="40"/>
      <c r="E2" s="40"/>
      <c r="F2" s="40"/>
      <c r="G2" s="40"/>
      <c r="H2" s="40"/>
      <c r="I2" s="40"/>
      <c r="J2" s="40"/>
    </row>
    <row r="3" spans="1:19" x14ac:dyDescent="0.25">
      <c r="A3" s="41" t="s">
        <v>61</v>
      </c>
      <c r="B3" s="41"/>
      <c r="C3" s="41"/>
      <c r="D3" s="41"/>
      <c r="E3" s="41"/>
      <c r="F3" s="41"/>
      <c r="G3" s="41"/>
      <c r="H3" s="41"/>
      <c r="I3" s="41"/>
      <c r="J3" s="41"/>
    </row>
    <row r="4" spans="1:19" s="7" customFormat="1" x14ac:dyDescent="0.25">
      <c r="A4" s="38" t="s">
        <v>3</v>
      </c>
      <c r="B4" s="42" t="s">
        <v>2</v>
      </c>
      <c r="C4" s="42"/>
      <c r="D4" s="42"/>
      <c r="E4" s="43" t="s">
        <v>26</v>
      </c>
      <c r="F4" s="42"/>
      <c r="G4" s="42"/>
      <c r="H4" s="43" t="s">
        <v>33</v>
      </c>
      <c r="I4" s="42"/>
      <c r="J4" s="42"/>
      <c r="K4" s="6"/>
      <c r="L4" s="47"/>
      <c r="M4" s="47"/>
      <c r="N4" s="6"/>
      <c r="O4" s="47"/>
      <c r="P4" s="47"/>
      <c r="Q4" s="6"/>
      <c r="R4" s="47"/>
      <c r="S4" s="47"/>
    </row>
    <row r="5" spans="1:19" x14ac:dyDescent="0.25">
      <c r="A5" s="39"/>
      <c r="B5" s="8" t="s">
        <v>27</v>
      </c>
      <c r="C5" s="8" t="s">
        <v>0</v>
      </c>
      <c r="D5" s="8" t="s">
        <v>1</v>
      </c>
      <c r="E5" s="9" t="s">
        <v>27</v>
      </c>
      <c r="F5" s="8" t="s">
        <v>0</v>
      </c>
      <c r="G5" s="8" t="s">
        <v>1</v>
      </c>
      <c r="H5" s="9" t="s">
        <v>27</v>
      </c>
      <c r="I5" s="8" t="s">
        <v>0</v>
      </c>
      <c r="J5" s="8" t="s">
        <v>1</v>
      </c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25">
      <c r="A6" s="3" t="s">
        <v>4</v>
      </c>
      <c r="B6" s="15">
        <f>SUM(C6:D6)</f>
        <v>87788</v>
      </c>
      <c r="C6" s="16">
        <f>F6+I6+C31+F31+I31+C56+F56+I56+C81+F81+I81+C106+F106+I106</f>
        <v>44919</v>
      </c>
      <c r="D6" s="16">
        <f t="shared" ref="D6:D28" si="0">G6+J6+D31+G31+J31+D56+G56+J56+D81+G81+J81+D106+G106+J106</f>
        <v>42869</v>
      </c>
      <c r="E6" s="20">
        <f>F6+G6</f>
        <v>22263</v>
      </c>
      <c r="F6" s="16">
        <f>F7+F8</f>
        <v>11586</v>
      </c>
      <c r="G6" s="30">
        <f>G7+G8</f>
        <v>10677</v>
      </c>
      <c r="H6" s="15">
        <f>I6+J6</f>
        <v>7514</v>
      </c>
      <c r="I6" s="16">
        <f>I7+I8</f>
        <v>3761</v>
      </c>
      <c r="J6" s="16">
        <f>J7+J8</f>
        <v>3753</v>
      </c>
      <c r="K6" s="49"/>
      <c r="L6" s="49"/>
      <c r="M6" s="49"/>
      <c r="N6" s="49"/>
      <c r="O6" s="49"/>
      <c r="P6" s="49"/>
      <c r="Q6" s="49"/>
      <c r="R6" s="49"/>
      <c r="S6" s="49"/>
    </row>
    <row r="7" spans="1:19" x14ac:dyDescent="0.25">
      <c r="A7" s="3" t="s">
        <v>5</v>
      </c>
      <c r="B7" s="18">
        <f>SUM(C7:D7)</f>
        <v>31649</v>
      </c>
      <c r="C7" s="18">
        <f>F7+I7+C32+F32+I32+C57+F57+I57+C82+F82+I82+C107+F107+I107</f>
        <v>15859</v>
      </c>
      <c r="D7" s="18">
        <f t="shared" si="0"/>
        <v>15790</v>
      </c>
      <c r="E7" s="20">
        <f>F7+G7</f>
        <v>8776</v>
      </c>
      <c r="F7" s="34">
        <v>4498</v>
      </c>
      <c r="G7" s="35">
        <v>4278</v>
      </c>
      <c r="H7" s="15">
        <f t="shared" ref="H7" si="1">I7+J7</f>
        <v>2585</v>
      </c>
      <c r="I7" s="34">
        <v>1254</v>
      </c>
      <c r="J7" s="34">
        <v>1331</v>
      </c>
      <c r="K7" s="49"/>
      <c r="L7" s="49"/>
      <c r="M7" s="49"/>
      <c r="N7" s="49"/>
      <c r="O7" s="49"/>
      <c r="P7" s="49"/>
      <c r="Q7" s="49"/>
      <c r="R7" s="49"/>
      <c r="S7" s="49"/>
    </row>
    <row r="8" spans="1:19" x14ac:dyDescent="0.25">
      <c r="A8" s="3" t="s">
        <v>6</v>
      </c>
      <c r="B8" s="18">
        <f>SUM(C8:D8)</f>
        <v>56139</v>
      </c>
      <c r="C8" s="16">
        <f>F8+I8+C33+F33+I33+C58+F58+I58+C83+F83+I83+C108+F108+I108</f>
        <v>29060</v>
      </c>
      <c r="D8" s="16">
        <f t="shared" si="0"/>
        <v>27079</v>
      </c>
      <c r="E8" s="20">
        <f>F8+G8</f>
        <v>13487</v>
      </c>
      <c r="F8" s="16">
        <f>SUM(F9:F28)</f>
        <v>7088</v>
      </c>
      <c r="G8" s="30">
        <f>SUM(G9:G28)</f>
        <v>6399</v>
      </c>
      <c r="H8" s="15">
        <f>I8+J8</f>
        <v>4929</v>
      </c>
      <c r="I8" s="16">
        <f>SUM(I9:I28)</f>
        <v>2507</v>
      </c>
      <c r="J8" s="16">
        <f>SUM(J9:J28)</f>
        <v>2422</v>
      </c>
      <c r="K8" s="49"/>
      <c r="L8" s="49"/>
      <c r="M8" s="49"/>
      <c r="N8" s="49"/>
      <c r="O8" s="49"/>
      <c r="P8" s="49"/>
      <c r="Q8" s="49"/>
      <c r="R8" s="49"/>
      <c r="S8" s="49"/>
    </row>
    <row r="9" spans="1:19" x14ac:dyDescent="0.25">
      <c r="A9" s="1" t="s">
        <v>29</v>
      </c>
      <c r="B9" s="23">
        <f t="shared" ref="B9:B28" si="2">SUM(C9:D9)</f>
        <v>3584</v>
      </c>
      <c r="C9" s="19">
        <f t="shared" ref="C9:C28" si="3">F9+I9+C34+F34+I34+C59+F59+I59+C84+F84+I84+C109+F109+I109</f>
        <v>1838</v>
      </c>
      <c r="D9" s="21">
        <f t="shared" si="0"/>
        <v>1746</v>
      </c>
      <c r="E9" s="20">
        <f t="shared" ref="E9:E28" si="4">F9+G9</f>
        <v>834</v>
      </c>
      <c r="F9" s="34">
        <v>436</v>
      </c>
      <c r="G9" s="34">
        <v>398</v>
      </c>
      <c r="H9" s="20">
        <f t="shared" ref="H9" si="5">I9+J9</f>
        <v>314</v>
      </c>
      <c r="I9" s="34">
        <v>161</v>
      </c>
      <c r="J9" s="34">
        <v>153</v>
      </c>
      <c r="K9" s="49"/>
      <c r="L9" s="49"/>
      <c r="M9" s="49"/>
      <c r="N9" s="49"/>
      <c r="O9" s="49"/>
      <c r="P9" s="49"/>
      <c r="Q9" s="49"/>
      <c r="R9" s="49"/>
      <c r="S9" s="49"/>
    </row>
    <row r="10" spans="1:19" x14ac:dyDescent="0.25">
      <c r="A10" s="1" t="s">
        <v>30</v>
      </c>
      <c r="B10" s="23">
        <f t="shared" si="2"/>
        <v>5625</v>
      </c>
      <c r="C10" s="19">
        <f t="shared" si="3"/>
        <v>2927</v>
      </c>
      <c r="D10" s="21">
        <f t="shared" si="0"/>
        <v>2698</v>
      </c>
      <c r="E10" s="20">
        <f t="shared" si="4"/>
        <v>1530</v>
      </c>
      <c r="F10" s="34">
        <v>810</v>
      </c>
      <c r="G10" s="34">
        <v>720</v>
      </c>
      <c r="H10" s="20">
        <f t="shared" ref="H10:H28" si="6">I10+J10</f>
        <v>500</v>
      </c>
      <c r="I10" s="34">
        <v>252</v>
      </c>
      <c r="J10" s="34">
        <v>248</v>
      </c>
      <c r="K10" s="49"/>
      <c r="L10" s="49"/>
      <c r="M10" s="49"/>
      <c r="N10" s="49"/>
      <c r="O10" s="49"/>
      <c r="P10" s="49"/>
      <c r="Q10" s="49"/>
      <c r="R10" s="49"/>
      <c r="S10" s="49"/>
    </row>
    <row r="11" spans="1:19" x14ac:dyDescent="0.25">
      <c r="A11" s="1" t="s">
        <v>31</v>
      </c>
      <c r="B11" s="23">
        <f t="shared" si="2"/>
        <v>3680</v>
      </c>
      <c r="C11" s="19">
        <f t="shared" si="3"/>
        <v>1920</v>
      </c>
      <c r="D11" s="21">
        <f t="shared" si="0"/>
        <v>1760</v>
      </c>
      <c r="E11" s="20">
        <f t="shared" si="4"/>
        <v>784</v>
      </c>
      <c r="F11" s="34">
        <v>424</v>
      </c>
      <c r="G11" s="34">
        <v>360</v>
      </c>
      <c r="H11" s="20">
        <f t="shared" si="6"/>
        <v>357</v>
      </c>
      <c r="I11" s="34">
        <v>180</v>
      </c>
      <c r="J11" s="34">
        <v>177</v>
      </c>
      <c r="K11" s="49"/>
      <c r="L11" s="49"/>
      <c r="M11" s="49"/>
      <c r="N11" s="49"/>
      <c r="O11" s="49"/>
      <c r="P11" s="49"/>
      <c r="Q11" s="49"/>
      <c r="R11" s="49"/>
      <c r="S11" s="49"/>
    </row>
    <row r="12" spans="1:19" x14ac:dyDescent="0.25">
      <c r="A12" s="1" t="s">
        <v>22</v>
      </c>
      <c r="B12" s="23">
        <f t="shared" si="2"/>
        <v>2967</v>
      </c>
      <c r="C12" s="19">
        <f t="shared" si="3"/>
        <v>1528</v>
      </c>
      <c r="D12" s="21">
        <f t="shared" si="0"/>
        <v>1439</v>
      </c>
      <c r="E12" s="20">
        <f t="shared" si="4"/>
        <v>765</v>
      </c>
      <c r="F12" s="34">
        <v>390</v>
      </c>
      <c r="G12" s="34">
        <v>375</v>
      </c>
      <c r="H12" s="20">
        <f t="shared" si="6"/>
        <v>294</v>
      </c>
      <c r="I12" s="34">
        <v>153</v>
      </c>
      <c r="J12" s="34">
        <v>141</v>
      </c>
      <c r="K12" s="49"/>
      <c r="L12" s="49"/>
      <c r="M12" s="49"/>
      <c r="N12" s="49"/>
      <c r="O12" s="49"/>
      <c r="P12" s="49"/>
      <c r="Q12" s="49"/>
      <c r="R12" s="49"/>
      <c r="S12" s="49"/>
    </row>
    <row r="13" spans="1:19" x14ac:dyDescent="0.25">
      <c r="A13" s="1" t="s">
        <v>32</v>
      </c>
      <c r="B13" s="23">
        <f t="shared" si="2"/>
        <v>4704</v>
      </c>
      <c r="C13" s="19">
        <f t="shared" si="3"/>
        <v>2450</v>
      </c>
      <c r="D13" s="21">
        <f t="shared" si="0"/>
        <v>2254</v>
      </c>
      <c r="E13" s="20">
        <f t="shared" si="4"/>
        <v>1153</v>
      </c>
      <c r="F13" s="34">
        <v>602</v>
      </c>
      <c r="G13" s="34">
        <v>551</v>
      </c>
      <c r="H13" s="20">
        <f t="shared" si="6"/>
        <v>404</v>
      </c>
      <c r="I13" s="34">
        <v>201</v>
      </c>
      <c r="J13" s="34">
        <v>203</v>
      </c>
      <c r="K13" s="49"/>
      <c r="L13" s="49"/>
      <c r="M13" s="49"/>
      <c r="N13" s="49"/>
      <c r="O13" s="49"/>
      <c r="P13" s="49"/>
      <c r="Q13" s="49"/>
      <c r="R13" s="49"/>
      <c r="S13" s="49"/>
    </row>
    <row r="14" spans="1:19" x14ac:dyDescent="0.25">
      <c r="A14" s="1" t="s">
        <v>8</v>
      </c>
      <c r="B14" s="23">
        <f t="shared" si="2"/>
        <v>2614</v>
      </c>
      <c r="C14" s="19">
        <f t="shared" si="3"/>
        <v>1385</v>
      </c>
      <c r="D14" s="21">
        <f t="shared" si="0"/>
        <v>1229</v>
      </c>
      <c r="E14" s="20">
        <f t="shared" si="4"/>
        <v>614</v>
      </c>
      <c r="F14" s="34">
        <v>314</v>
      </c>
      <c r="G14" s="34">
        <v>300</v>
      </c>
      <c r="H14" s="20">
        <f t="shared" si="6"/>
        <v>250</v>
      </c>
      <c r="I14" s="34">
        <v>120</v>
      </c>
      <c r="J14" s="34">
        <v>130</v>
      </c>
      <c r="K14" s="49"/>
      <c r="L14" s="49"/>
      <c r="M14" s="49"/>
      <c r="N14" s="49"/>
      <c r="O14" s="49"/>
      <c r="P14" s="49"/>
      <c r="Q14" s="49"/>
      <c r="R14" s="49"/>
      <c r="S14" s="49"/>
    </row>
    <row r="15" spans="1:19" x14ac:dyDescent="0.25">
      <c r="A15" s="1" t="s">
        <v>9</v>
      </c>
      <c r="B15" s="23">
        <f t="shared" si="2"/>
        <v>2092</v>
      </c>
      <c r="C15" s="19">
        <f t="shared" si="3"/>
        <v>1043</v>
      </c>
      <c r="D15" s="21">
        <f t="shared" si="0"/>
        <v>1049</v>
      </c>
      <c r="E15" s="20">
        <f t="shared" si="4"/>
        <v>440</v>
      </c>
      <c r="F15" s="34">
        <v>221</v>
      </c>
      <c r="G15" s="34">
        <v>219</v>
      </c>
      <c r="H15" s="20">
        <f t="shared" si="6"/>
        <v>195</v>
      </c>
      <c r="I15" s="34">
        <v>102</v>
      </c>
      <c r="J15" s="34">
        <v>93</v>
      </c>
      <c r="K15" s="49"/>
      <c r="L15" s="49"/>
      <c r="M15" s="49"/>
      <c r="N15" s="49"/>
      <c r="O15" s="49"/>
      <c r="P15" s="49"/>
      <c r="Q15" s="49"/>
      <c r="R15" s="49"/>
      <c r="S15" s="49"/>
    </row>
    <row r="16" spans="1:19" x14ac:dyDescent="0.25">
      <c r="A16" s="1" t="s">
        <v>11</v>
      </c>
      <c r="B16" s="23">
        <f t="shared" si="2"/>
        <v>2791</v>
      </c>
      <c r="C16" s="19">
        <f t="shared" si="3"/>
        <v>1470</v>
      </c>
      <c r="D16" s="21">
        <f t="shared" si="0"/>
        <v>1321</v>
      </c>
      <c r="E16" s="20">
        <f t="shared" si="4"/>
        <v>779</v>
      </c>
      <c r="F16" s="34">
        <v>412</v>
      </c>
      <c r="G16" s="34">
        <v>367</v>
      </c>
      <c r="H16" s="20">
        <f t="shared" si="6"/>
        <v>234</v>
      </c>
      <c r="I16" s="34">
        <v>132</v>
      </c>
      <c r="J16" s="34">
        <v>102</v>
      </c>
      <c r="K16" s="49"/>
      <c r="L16" s="49"/>
      <c r="M16" s="49"/>
      <c r="N16" s="49"/>
      <c r="O16" s="49"/>
      <c r="P16" s="49"/>
      <c r="Q16" s="49"/>
      <c r="R16" s="49"/>
      <c r="S16" s="49"/>
    </row>
    <row r="17" spans="1:19" x14ac:dyDescent="0.25">
      <c r="A17" s="1" t="s">
        <v>12</v>
      </c>
      <c r="B17" s="23">
        <f t="shared" si="2"/>
        <v>1681</v>
      </c>
      <c r="C17" s="19">
        <f t="shared" si="3"/>
        <v>872</v>
      </c>
      <c r="D17" s="21">
        <f t="shared" si="0"/>
        <v>809</v>
      </c>
      <c r="E17" s="20">
        <f t="shared" si="4"/>
        <v>423</v>
      </c>
      <c r="F17" s="34">
        <v>223</v>
      </c>
      <c r="G17" s="34">
        <v>200</v>
      </c>
      <c r="H17" s="20">
        <f t="shared" si="6"/>
        <v>164</v>
      </c>
      <c r="I17" s="34">
        <v>89</v>
      </c>
      <c r="J17" s="34">
        <v>75</v>
      </c>
      <c r="K17" s="49"/>
      <c r="L17" s="49"/>
      <c r="M17" s="49"/>
      <c r="N17" s="49"/>
      <c r="O17" s="49"/>
      <c r="P17" s="49"/>
      <c r="Q17" s="49"/>
      <c r="R17" s="49"/>
      <c r="S17" s="49"/>
    </row>
    <row r="18" spans="1:19" x14ac:dyDescent="0.25">
      <c r="A18" s="1" t="s">
        <v>28</v>
      </c>
      <c r="B18" s="23">
        <f t="shared" si="2"/>
        <v>2130</v>
      </c>
      <c r="C18" s="19">
        <f t="shared" si="3"/>
        <v>1112</v>
      </c>
      <c r="D18" s="21">
        <f t="shared" si="0"/>
        <v>1018</v>
      </c>
      <c r="E18" s="20">
        <f t="shared" si="4"/>
        <v>648</v>
      </c>
      <c r="F18" s="34">
        <v>352</v>
      </c>
      <c r="G18" s="34">
        <v>296</v>
      </c>
      <c r="H18" s="20">
        <f t="shared" si="6"/>
        <v>205</v>
      </c>
      <c r="I18" s="34">
        <v>101</v>
      </c>
      <c r="J18" s="34">
        <v>104</v>
      </c>
      <c r="K18" s="49"/>
      <c r="L18" s="49"/>
      <c r="M18" s="49"/>
      <c r="N18" s="49"/>
      <c r="O18" s="49"/>
      <c r="P18" s="49"/>
      <c r="Q18" s="49"/>
      <c r="R18" s="49"/>
      <c r="S18" s="49"/>
    </row>
    <row r="19" spans="1:19" x14ac:dyDescent="0.25">
      <c r="A19" s="1" t="s">
        <v>14</v>
      </c>
      <c r="B19" s="23">
        <f t="shared" si="2"/>
        <v>347</v>
      </c>
      <c r="C19" s="19">
        <f t="shared" si="3"/>
        <v>177</v>
      </c>
      <c r="D19" s="21">
        <f t="shared" si="0"/>
        <v>170</v>
      </c>
      <c r="E19" s="20">
        <f t="shared" si="4"/>
        <v>91</v>
      </c>
      <c r="F19" s="34">
        <v>33</v>
      </c>
      <c r="G19" s="34">
        <v>58</v>
      </c>
      <c r="H19" s="20">
        <f t="shared" si="6"/>
        <v>26</v>
      </c>
      <c r="I19" s="34">
        <v>18</v>
      </c>
      <c r="J19" s="34">
        <v>8</v>
      </c>
      <c r="K19" s="49"/>
      <c r="L19" s="49"/>
      <c r="M19" s="49"/>
      <c r="N19" s="49"/>
      <c r="O19" s="49"/>
      <c r="P19" s="49"/>
      <c r="Q19" s="49"/>
      <c r="R19" s="49"/>
      <c r="S19" s="49"/>
    </row>
    <row r="20" spans="1:19" x14ac:dyDescent="0.25">
      <c r="A20" s="1" t="s">
        <v>15</v>
      </c>
      <c r="B20" s="23">
        <f t="shared" si="2"/>
        <v>1217</v>
      </c>
      <c r="C20" s="19">
        <f t="shared" si="3"/>
        <v>627</v>
      </c>
      <c r="D20" s="21">
        <f t="shared" si="0"/>
        <v>590</v>
      </c>
      <c r="E20" s="20">
        <f t="shared" si="4"/>
        <v>303</v>
      </c>
      <c r="F20" s="34">
        <v>161</v>
      </c>
      <c r="G20" s="34">
        <v>142</v>
      </c>
      <c r="H20" s="20">
        <f t="shared" si="6"/>
        <v>110</v>
      </c>
      <c r="I20" s="34">
        <v>52</v>
      </c>
      <c r="J20" s="34">
        <v>58</v>
      </c>
      <c r="K20" s="49"/>
      <c r="L20" s="49"/>
      <c r="M20" s="49"/>
      <c r="N20" s="49"/>
      <c r="O20" s="49"/>
      <c r="P20" s="49"/>
      <c r="Q20" s="49"/>
      <c r="R20" s="49"/>
      <c r="S20" s="49"/>
    </row>
    <row r="21" spans="1:19" x14ac:dyDescent="0.25">
      <c r="A21" s="1" t="s">
        <v>16</v>
      </c>
      <c r="B21" s="23">
        <f t="shared" si="2"/>
        <v>1421</v>
      </c>
      <c r="C21" s="19">
        <f t="shared" si="3"/>
        <v>732</v>
      </c>
      <c r="D21" s="21">
        <f t="shared" si="0"/>
        <v>689</v>
      </c>
      <c r="E21" s="20">
        <f t="shared" si="4"/>
        <v>304</v>
      </c>
      <c r="F21" s="34">
        <v>151</v>
      </c>
      <c r="G21" s="34">
        <v>153</v>
      </c>
      <c r="H21" s="20">
        <f t="shared" si="6"/>
        <v>116</v>
      </c>
      <c r="I21" s="34">
        <v>61</v>
      </c>
      <c r="J21" s="34">
        <v>55</v>
      </c>
      <c r="K21" s="49"/>
      <c r="L21" s="49"/>
      <c r="M21" s="49"/>
      <c r="N21" s="49"/>
      <c r="O21" s="49"/>
      <c r="P21" s="49"/>
      <c r="Q21" s="49"/>
      <c r="R21" s="49"/>
      <c r="S21" s="49"/>
    </row>
    <row r="22" spans="1:19" x14ac:dyDescent="0.25">
      <c r="A22" s="1" t="s">
        <v>17</v>
      </c>
      <c r="B22" s="23">
        <f t="shared" si="2"/>
        <v>1697</v>
      </c>
      <c r="C22" s="19">
        <f t="shared" si="3"/>
        <v>863</v>
      </c>
      <c r="D22" s="21">
        <f t="shared" si="0"/>
        <v>834</v>
      </c>
      <c r="E22" s="20">
        <f t="shared" si="4"/>
        <v>421</v>
      </c>
      <c r="F22" s="34">
        <v>210</v>
      </c>
      <c r="G22" s="34">
        <v>211</v>
      </c>
      <c r="H22" s="20">
        <f t="shared" si="6"/>
        <v>173</v>
      </c>
      <c r="I22" s="34">
        <v>84</v>
      </c>
      <c r="J22" s="34">
        <v>89</v>
      </c>
      <c r="K22" s="49"/>
      <c r="L22" s="49"/>
      <c r="M22" s="49"/>
      <c r="N22" s="49"/>
      <c r="O22" s="49"/>
      <c r="P22" s="49"/>
      <c r="Q22" s="49"/>
      <c r="R22" s="49"/>
      <c r="S22" s="49"/>
    </row>
    <row r="23" spans="1:19" x14ac:dyDescent="0.25">
      <c r="A23" s="1" t="s">
        <v>18</v>
      </c>
      <c r="B23" s="23">
        <f t="shared" si="2"/>
        <v>2547</v>
      </c>
      <c r="C23" s="19">
        <f t="shared" si="3"/>
        <v>1321</v>
      </c>
      <c r="D23" s="21">
        <f t="shared" si="0"/>
        <v>1226</v>
      </c>
      <c r="E23" s="20">
        <f t="shared" si="4"/>
        <v>656</v>
      </c>
      <c r="F23" s="34">
        <v>347</v>
      </c>
      <c r="G23" s="34">
        <v>309</v>
      </c>
      <c r="H23" s="20">
        <f t="shared" si="6"/>
        <v>231</v>
      </c>
      <c r="I23" s="34">
        <v>114</v>
      </c>
      <c r="J23" s="34">
        <v>117</v>
      </c>
      <c r="K23" s="49"/>
      <c r="L23" s="49"/>
      <c r="M23" s="49"/>
      <c r="N23" s="49"/>
      <c r="O23" s="49"/>
      <c r="P23" s="49"/>
      <c r="Q23" s="49"/>
      <c r="R23" s="49"/>
      <c r="S23" s="49"/>
    </row>
    <row r="24" spans="1:19" x14ac:dyDescent="0.25">
      <c r="A24" s="1" t="s">
        <v>10</v>
      </c>
      <c r="B24" s="23">
        <f t="shared" si="2"/>
        <v>3527</v>
      </c>
      <c r="C24" s="19">
        <f t="shared" si="3"/>
        <v>1821</v>
      </c>
      <c r="D24" s="21">
        <f t="shared" si="0"/>
        <v>1706</v>
      </c>
      <c r="E24" s="20">
        <f t="shared" si="4"/>
        <v>721</v>
      </c>
      <c r="F24" s="34">
        <v>389</v>
      </c>
      <c r="G24" s="34">
        <v>332</v>
      </c>
      <c r="H24" s="20">
        <f t="shared" si="6"/>
        <v>277</v>
      </c>
      <c r="I24" s="34">
        <v>151</v>
      </c>
      <c r="J24" s="34">
        <v>126</v>
      </c>
      <c r="K24" s="49"/>
      <c r="L24" s="49"/>
      <c r="M24" s="49"/>
      <c r="N24" s="49"/>
      <c r="O24" s="49"/>
      <c r="P24" s="49"/>
      <c r="Q24" s="49"/>
      <c r="R24" s="49"/>
      <c r="S24" s="49"/>
    </row>
    <row r="25" spans="1:19" x14ac:dyDescent="0.25">
      <c r="A25" s="1" t="s">
        <v>19</v>
      </c>
      <c r="B25" s="23">
        <f t="shared" si="2"/>
        <v>2242</v>
      </c>
      <c r="C25" s="19">
        <f t="shared" si="3"/>
        <v>1139</v>
      </c>
      <c r="D25" s="21">
        <f t="shared" si="0"/>
        <v>1103</v>
      </c>
      <c r="E25" s="20">
        <f t="shared" si="4"/>
        <v>481</v>
      </c>
      <c r="F25" s="34">
        <v>253</v>
      </c>
      <c r="G25" s="34">
        <v>228</v>
      </c>
      <c r="H25" s="20">
        <f t="shared" si="6"/>
        <v>186</v>
      </c>
      <c r="I25" s="34">
        <v>92</v>
      </c>
      <c r="J25" s="34">
        <v>94</v>
      </c>
      <c r="K25" s="49"/>
      <c r="L25" s="49"/>
      <c r="M25" s="49"/>
      <c r="N25" s="49"/>
      <c r="O25" s="49"/>
      <c r="P25" s="49"/>
      <c r="Q25" s="49"/>
      <c r="R25" s="49"/>
      <c r="S25" s="49"/>
    </row>
    <row r="26" spans="1:19" x14ac:dyDescent="0.25">
      <c r="A26" s="1" t="s">
        <v>20</v>
      </c>
      <c r="B26" s="23">
        <f t="shared" si="2"/>
        <v>3197</v>
      </c>
      <c r="C26" s="19">
        <f t="shared" si="3"/>
        <v>1678</v>
      </c>
      <c r="D26" s="21">
        <f t="shared" si="0"/>
        <v>1519</v>
      </c>
      <c r="E26" s="20">
        <f t="shared" si="4"/>
        <v>719</v>
      </c>
      <c r="F26" s="34">
        <v>376</v>
      </c>
      <c r="G26" s="34">
        <v>343</v>
      </c>
      <c r="H26" s="20">
        <f t="shared" si="6"/>
        <v>236</v>
      </c>
      <c r="I26" s="34">
        <v>119</v>
      </c>
      <c r="J26" s="34">
        <v>117</v>
      </c>
      <c r="K26" s="49"/>
      <c r="L26" s="49"/>
      <c r="M26" s="49"/>
      <c r="N26" s="49"/>
      <c r="O26" s="49"/>
      <c r="P26" s="49"/>
      <c r="Q26" s="49"/>
      <c r="R26" s="49"/>
      <c r="S26" s="49"/>
    </row>
    <row r="27" spans="1:19" x14ac:dyDescent="0.25">
      <c r="A27" s="1" t="s">
        <v>21</v>
      </c>
      <c r="B27" s="23">
        <f t="shared" si="2"/>
        <v>2465</v>
      </c>
      <c r="C27" s="19">
        <f t="shared" si="3"/>
        <v>1280</v>
      </c>
      <c r="D27" s="21">
        <f t="shared" si="0"/>
        <v>1185</v>
      </c>
      <c r="E27" s="20">
        <f t="shared" si="4"/>
        <v>513</v>
      </c>
      <c r="F27" s="34">
        <v>274</v>
      </c>
      <c r="G27" s="34">
        <v>239</v>
      </c>
      <c r="H27" s="20">
        <f t="shared" si="6"/>
        <v>240</v>
      </c>
      <c r="I27" s="34">
        <v>134</v>
      </c>
      <c r="J27" s="34">
        <v>106</v>
      </c>
      <c r="K27" s="49"/>
      <c r="L27" s="49"/>
      <c r="M27" s="49"/>
      <c r="N27" s="49"/>
      <c r="O27" s="49"/>
      <c r="P27" s="49"/>
      <c r="Q27" s="49"/>
      <c r="R27" s="49"/>
      <c r="S27" s="49"/>
    </row>
    <row r="28" spans="1:19" x14ac:dyDescent="0.25">
      <c r="A28" s="2" t="s">
        <v>7</v>
      </c>
      <c r="B28" s="24">
        <f t="shared" si="2"/>
        <v>5611</v>
      </c>
      <c r="C28" s="25">
        <f t="shared" si="3"/>
        <v>2877</v>
      </c>
      <c r="D28" s="26">
        <f t="shared" si="0"/>
        <v>2734</v>
      </c>
      <c r="E28" s="22">
        <f t="shared" si="4"/>
        <v>1308</v>
      </c>
      <c r="F28" s="34">
        <v>710</v>
      </c>
      <c r="G28" s="34">
        <v>598</v>
      </c>
      <c r="H28" s="22">
        <f t="shared" si="6"/>
        <v>417</v>
      </c>
      <c r="I28" s="34">
        <v>191</v>
      </c>
      <c r="J28" s="34">
        <v>226</v>
      </c>
      <c r="K28" s="49"/>
      <c r="L28" s="49"/>
      <c r="M28" s="49"/>
      <c r="N28" s="49"/>
      <c r="O28" s="49"/>
      <c r="P28" s="49"/>
      <c r="Q28" s="49"/>
      <c r="R28" s="49"/>
      <c r="S28" s="49"/>
    </row>
    <row r="29" spans="1:19" x14ac:dyDescent="0.25">
      <c r="A29" s="32" t="s">
        <v>3</v>
      </c>
      <c r="B29" s="42" t="s">
        <v>34</v>
      </c>
      <c r="C29" s="42"/>
      <c r="D29" s="44"/>
      <c r="E29" s="43" t="s">
        <v>35</v>
      </c>
      <c r="F29" s="42"/>
      <c r="G29" s="42"/>
      <c r="H29" s="43" t="s">
        <v>36</v>
      </c>
      <c r="I29" s="42"/>
      <c r="J29" s="42"/>
    </row>
    <row r="30" spans="1:19" x14ac:dyDescent="0.25">
      <c r="A30" s="33"/>
      <c r="B30" s="10" t="s">
        <v>27</v>
      </c>
      <c r="C30" s="10" t="s">
        <v>0</v>
      </c>
      <c r="D30" s="10" t="s">
        <v>1</v>
      </c>
      <c r="E30" s="11" t="s">
        <v>27</v>
      </c>
      <c r="F30" s="12" t="s">
        <v>0</v>
      </c>
      <c r="G30" s="12" t="s">
        <v>1</v>
      </c>
      <c r="H30" s="11" t="s">
        <v>27</v>
      </c>
      <c r="I30" s="12" t="s">
        <v>0</v>
      </c>
      <c r="J30" s="12" t="s">
        <v>1</v>
      </c>
    </row>
    <row r="31" spans="1:19" x14ac:dyDescent="0.25">
      <c r="A31" s="3" t="s">
        <v>4</v>
      </c>
      <c r="B31" s="15">
        <f>C31+D31</f>
        <v>7193</v>
      </c>
      <c r="C31" s="16">
        <f>C32+C33</f>
        <v>3654</v>
      </c>
      <c r="D31" s="16">
        <f>D32+D33</f>
        <v>3539</v>
      </c>
      <c r="E31" s="17">
        <f>F31+G31</f>
        <v>6626</v>
      </c>
      <c r="F31" s="16">
        <f>F32+F33</f>
        <v>3397</v>
      </c>
      <c r="G31" s="30">
        <f>G32+G33</f>
        <v>3229</v>
      </c>
      <c r="H31" s="15">
        <f>I31+J31</f>
        <v>6031</v>
      </c>
      <c r="I31" s="16">
        <f>I32+I33</f>
        <v>3049</v>
      </c>
      <c r="J31" s="16">
        <f>J32+J33</f>
        <v>2982</v>
      </c>
    </row>
    <row r="32" spans="1:19" x14ac:dyDescent="0.25">
      <c r="A32" s="3" t="s">
        <v>5</v>
      </c>
      <c r="B32" s="18">
        <f>SUM(C32:D32)</f>
        <v>2532</v>
      </c>
      <c r="C32" s="34">
        <v>1296</v>
      </c>
      <c r="D32" s="34">
        <v>1236</v>
      </c>
      <c r="E32" s="17">
        <f t="shared" ref="E32:E34" si="7">F32+G32</f>
        <v>2181</v>
      </c>
      <c r="F32" s="34">
        <v>1078</v>
      </c>
      <c r="G32" s="35">
        <v>1103</v>
      </c>
      <c r="H32" s="15">
        <f t="shared" ref="H32:H34" si="8">I32+J32</f>
        <v>2027</v>
      </c>
      <c r="I32" s="34">
        <v>981</v>
      </c>
      <c r="J32" s="34">
        <v>1046</v>
      </c>
    </row>
    <row r="33" spans="1:10" x14ac:dyDescent="0.25">
      <c r="A33" s="3" t="s">
        <v>6</v>
      </c>
      <c r="B33" s="18">
        <f>SUM(B34:B53)</f>
        <v>4661</v>
      </c>
      <c r="C33" s="16">
        <f>SUM(C34:C53)</f>
        <v>2358</v>
      </c>
      <c r="D33" s="16">
        <f>SUM(D34:D53)</f>
        <v>2303</v>
      </c>
      <c r="E33" s="17">
        <f t="shared" si="7"/>
        <v>4445</v>
      </c>
      <c r="F33" s="16">
        <f>SUM(F34:F53)</f>
        <v>2319</v>
      </c>
      <c r="G33" s="30">
        <f>SUM(G34:G53)</f>
        <v>2126</v>
      </c>
      <c r="H33" s="15">
        <f t="shared" si="8"/>
        <v>4004</v>
      </c>
      <c r="I33" s="16">
        <f>SUM(I34:I53)</f>
        <v>2068</v>
      </c>
      <c r="J33" s="16">
        <f>SUM(J34:J53)</f>
        <v>1936</v>
      </c>
    </row>
    <row r="34" spans="1:10" x14ac:dyDescent="0.25">
      <c r="A34" s="1" t="s">
        <v>29</v>
      </c>
      <c r="B34" s="23">
        <f t="shared" ref="B34" si="9">SUM(C34:D34)</f>
        <v>328</v>
      </c>
      <c r="C34" s="34">
        <v>172</v>
      </c>
      <c r="D34" s="34">
        <v>156</v>
      </c>
      <c r="E34" s="20">
        <f t="shared" si="7"/>
        <v>269</v>
      </c>
      <c r="F34" s="34">
        <v>144</v>
      </c>
      <c r="G34" s="34">
        <v>125</v>
      </c>
      <c r="H34" s="20">
        <f t="shared" si="8"/>
        <v>232</v>
      </c>
      <c r="I34" s="34">
        <v>121</v>
      </c>
      <c r="J34" s="34">
        <v>111</v>
      </c>
    </row>
    <row r="35" spans="1:10" x14ac:dyDescent="0.25">
      <c r="A35" s="1" t="s">
        <v>30</v>
      </c>
      <c r="B35" s="23">
        <f t="shared" ref="B35:B53" si="10">SUM(C35:D35)</f>
        <v>438</v>
      </c>
      <c r="C35" s="34">
        <v>212</v>
      </c>
      <c r="D35" s="34">
        <v>226</v>
      </c>
      <c r="E35" s="20">
        <f t="shared" ref="E35:E53" si="11">F35+G35</f>
        <v>428</v>
      </c>
      <c r="F35" s="34">
        <v>220</v>
      </c>
      <c r="G35" s="34">
        <v>208</v>
      </c>
      <c r="H35" s="20">
        <f t="shared" ref="H35:H53" si="12">I35+J35</f>
        <v>405</v>
      </c>
      <c r="I35" s="34">
        <v>219</v>
      </c>
      <c r="J35" s="34">
        <v>186</v>
      </c>
    </row>
    <row r="36" spans="1:10" x14ac:dyDescent="0.25">
      <c r="A36" s="1" t="s">
        <v>31</v>
      </c>
      <c r="B36" s="23">
        <f t="shared" si="10"/>
        <v>292</v>
      </c>
      <c r="C36" s="34">
        <v>147</v>
      </c>
      <c r="D36" s="34">
        <v>145</v>
      </c>
      <c r="E36" s="20">
        <f t="shared" si="11"/>
        <v>292</v>
      </c>
      <c r="F36" s="34">
        <v>151</v>
      </c>
      <c r="G36" s="34">
        <v>141</v>
      </c>
      <c r="H36" s="20">
        <f t="shared" si="12"/>
        <v>263</v>
      </c>
      <c r="I36" s="34">
        <v>124</v>
      </c>
      <c r="J36" s="34">
        <v>139</v>
      </c>
    </row>
    <row r="37" spans="1:10" x14ac:dyDescent="0.25">
      <c r="A37" s="1" t="s">
        <v>22</v>
      </c>
      <c r="B37" s="23">
        <f t="shared" si="10"/>
        <v>229</v>
      </c>
      <c r="C37" s="34">
        <v>110</v>
      </c>
      <c r="D37" s="34">
        <v>119</v>
      </c>
      <c r="E37" s="20">
        <f t="shared" si="11"/>
        <v>224</v>
      </c>
      <c r="F37" s="34">
        <v>129</v>
      </c>
      <c r="G37" s="34">
        <v>95</v>
      </c>
      <c r="H37" s="20">
        <f t="shared" si="12"/>
        <v>206</v>
      </c>
      <c r="I37" s="34">
        <v>107</v>
      </c>
      <c r="J37" s="34">
        <v>99</v>
      </c>
    </row>
    <row r="38" spans="1:10" x14ac:dyDescent="0.25">
      <c r="A38" s="1" t="s">
        <v>32</v>
      </c>
      <c r="B38" s="23">
        <f t="shared" si="10"/>
        <v>363</v>
      </c>
      <c r="C38" s="34">
        <v>176</v>
      </c>
      <c r="D38" s="34">
        <v>187</v>
      </c>
      <c r="E38" s="20">
        <f t="shared" si="11"/>
        <v>343</v>
      </c>
      <c r="F38" s="34">
        <v>191</v>
      </c>
      <c r="G38" s="34">
        <v>152</v>
      </c>
      <c r="H38" s="20">
        <f t="shared" si="12"/>
        <v>313</v>
      </c>
      <c r="I38" s="34">
        <v>162</v>
      </c>
      <c r="J38" s="34">
        <v>151</v>
      </c>
    </row>
    <row r="39" spans="1:10" x14ac:dyDescent="0.25">
      <c r="A39" s="1" t="s">
        <v>8</v>
      </c>
      <c r="B39" s="23">
        <f t="shared" si="10"/>
        <v>169</v>
      </c>
      <c r="C39" s="34">
        <v>96</v>
      </c>
      <c r="D39" s="34">
        <v>73</v>
      </c>
      <c r="E39" s="20">
        <f t="shared" si="11"/>
        <v>192</v>
      </c>
      <c r="F39" s="34">
        <v>97</v>
      </c>
      <c r="G39" s="34">
        <v>95</v>
      </c>
      <c r="H39" s="20">
        <f t="shared" si="12"/>
        <v>169</v>
      </c>
      <c r="I39" s="34">
        <v>102</v>
      </c>
      <c r="J39" s="34">
        <v>67</v>
      </c>
    </row>
    <row r="40" spans="1:10" x14ac:dyDescent="0.25">
      <c r="A40" s="1" t="s">
        <v>9</v>
      </c>
      <c r="B40" s="23">
        <f t="shared" si="10"/>
        <v>170</v>
      </c>
      <c r="C40" s="34">
        <v>81</v>
      </c>
      <c r="D40" s="34">
        <v>89</v>
      </c>
      <c r="E40" s="20">
        <f t="shared" si="11"/>
        <v>163</v>
      </c>
      <c r="F40" s="34">
        <v>75</v>
      </c>
      <c r="G40" s="34">
        <v>88</v>
      </c>
      <c r="H40" s="20">
        <f t="shared" si="12"/>
        <v>143</v>
      </c>
      <c r="I40" s="34">
        <v>77</v>
      </c>
      <c r="J40" s="34">
        <v>66</v>
      </c>
    </row>
    <row r="41" spans="1:10" x14ac:dyDescent="0.25">
      <c r="A41" s="1" t="s">
        <v>11</v>
      </c>
      <c r="B41" s="23">
        <f t="shared" si="10"/>
        <v>262</v>
      </c>
      <c r="C41" s="34">
        <v>137</v>
      </c>
      <c r="D41" s="34">
        <v>125</v>
      </c>
      <c r="E41" s="20">
        <f t="shared" si="11"/>
        <v>209</v>
      </c>
      <c r="F41" s="34">
        <v>114</v>
      </c>
      <c r="G41" s="34">
        <v>95</v>
      </c>
      <c r="H41" s="20">
        <f t="shared" si="12"/>
        <v>231</v>
      </c>
      <c r="I41" s="34">
        <v>120</v>
      </c>
      <c r="J41" s="34">
        <v>111</v>
      </c>
    </row>
    <row r="42" spans="1:10" x14ac:dyDescent="0.25">
      <c r="A42" s="1" t="s">
        <v>12</v>
      </c>
      <c r="B42" s="23">
        <f t="shared" si="10"/>
        <v>156</v>
      </c>
      <c r="C42" s="34">
        <v>79</v>
      </c>
      <c r="D42" s="34">
        <v>77</v>
      </c>
      <c r="E42" s="20">
        <f t="shared" si="11"/>
        <v>156</v>
      </c>
      <c r="F42" s="34">
        <v>88</v>
      </c>
      <c r="G42" s="34">
        <v>68</v>
      </c>
      <c r="H42" s="20">
        <f t="shared" si="12"/>
        <v>120</v>
      </c>
      <c r="I42" s="34">
        <v>53</v>
      </c>
      <c r="J42" s="34">
        <v>67</v>
      </c>
    </row>
    <row r="43" spans="1:10" x14ac:dyDescent="0.25">
      <c r="A43" s="1" t="s">
        <v>28</v>
      </c>
      <c r="B43" s="23">
        <f t="shared" si="10"/>
        <v>196</v>
      </c>
      <c r="C43" s="34">
        <v>108</v>
      </c>
      <c r="D43" s="34">
        <v>88</v>
      </c>
      <c r="E43" s="20">
        <f t="shared" si="11"/>
        <v>180</v>
      </c>
      <c r="F43" s="34">
        <v>89</v>
      </c>
      <c r="G43" s="34">
        <v>91</v>
      </c>
      <c r="H43" s="20">
        <f t="shared" si="12"/>
        <v>140</v>
      </c>
      <c r="I43" s="34">
        <v>71</v>
      </c>
      <c r="J43" s="34">
        <v>69</v>
      </c>
    </row>
    <row r="44" spans="1:10" x14ac:dyDescent="0.25">
      <c r="A44" s="1" t="s">
        <v>14</v>
      </c>
      <c r="B44" s="23">
        <f t="shared" si="10"/>
        <v>41</v>
      </c>
      <c r="C44" s="34">
        <v>22</v>
      </c>
      <c r="D44" s="34">
        <v>19</v>
      </c>
      <c r="E44" s="20">
        <f t="shared" si="11"/>
        <v>28</v>
      </c>
      <c r="F44" s="34">
        <v>15</v>
      </c>
      <c r="G44" s="34">
        <v>13</v>
      </c>
      <c r="H44" s="20">
        <f t="shared" si="12"/>
        <v>25</v>
      </c>
      <c r="I44" s="34">
        <v>14</v>
      </c>
      <c r="J44" s="34">
        <v>11</v>
      </c>
    </row>
    <row r="45" spans="1:10" x14ac:dyDescent="0.25">
      <c r="A45" s="1" t="s">
        <v>15</v>
      </c>
      <c r="B45" s="23">
        <f t="shared" si="10"/>
        <v>121</v>
      </c>
      <c r="C45" s="34">
        <v>73</v>
      </c>
      <c r="D45" s="34">
        <v>48</v>
      </c>
      <c r="E45" s="20">
        <f t="shared" si="11"/>
        <v>105</v>
      </c>
      <c r="F45" s="34">
        <v>47</v>
      </c>
      <c r="G45" s="34">
        <v>58</v>
      </c>
      <c r="H45" s="20">
        <f t="shared" si="12"/>
        <v>96</v>
      </c>
      <c r="I45" s="34">
        <v>46</v>
      </c>
      <c r="J45" s="34">
        <v>50</v>
      </c>
    </row>
    <row r="46" spans="1:10" x14ac:dyDescent="0.25">
      <c r="A46" s="1" t="s">
        <v>16</v>
      </c>
      <c r="B46" s="23">
        <f t="shared" si="10"/>
        <v>111</v>
      </c>
      <c r="C46" s="34">
        <v>56</v>
      </c>
      <c r="D46" s="34">
        <v>55</v>
      </c>
      <c r="E46" s="20">
        <f t="shared" si="11"/>
        <v>108</v>
      </c>
      <c r="F46" s="34">
        <v>59</v>
      </c>
      <c r="G46" s="34">
        <v>49</v>
      </c>
      <c r="H46" s="20">
        <f t="shared" si="12"/>
        <v>108</v>
      </c>
      <c r="I46" s="34">
        <v>63</v>
      </c>
      <c r="J46" s="34">
        <v>45</v>
      </c>
    </row>
    <row r="47" spans="1:10" x14ac:dyDescent="0.25">
      <c r="A47" s="1" t="s">
        <v>17</v>
      </c>
      <c r="B47" s="23">
        <f t="shared" si="10"/>
        <v>140</v>
      </c>
      <c r="C47" s="34">
        <v>74</v>
      </c>
      <c r="D47" s="34">
        <v>66</v>
      </c>
      <c r="E47" s="20">
        <f t="shared" si="11"/>
        <v>126</v>
      </c>
      <c r="F47" s="34">
        <v>63</v>
      </c>
      <c r="G47" s="34">
        <v>63</v>
      </c>
      <c r="H47" s="20">
        <f t="shared" si="12"/>
        <v>135</v>
      </c>
      <c r="I47" s="34">
        <v>60</v>
      </c>
      <c r="J47" s="34">
        <v>75</v>
      </c>
    </row>
    <row r="48" spans="1:10" x14ac:dyDescent="0.25">
      <c r="A48" s="1" t="s">
        <v>18</v>
      </c>
      <c r="B48" s="23">
        <f t="shared" si="10"/>
        <v>207</v>
      </c>
      <c r="C48" s="34">
        <v>102</v>
      </c>
      <c r="D48" s="34">
        <v>105</v>
      </c>
      <c r="E48" s="20">
        <f t="shared" si="11"/>
        <v>229</v>
      </c>
      <c r="F48" s="34">
        <v>116</v>
      </c>
      <c r="G48" s="34">
        <v>113</v>
      </c>
      <c r="H48" s="20">
        <f t="shared" si="12"/>
        <v>188</v>
      </c>
      <c r="I48" s="34">
        <v>91</v>
      </c>
      <c r="J48" s="34">
        <v>97</v>
      </c>
    </row>
    <row r="49" spans="1:16" x14ac:dyDescent="0.25">
      <c r="A49" s="1" t="s">
        <v>10</v>
      </c>
      <c r="B49" s="23">
        <f t="shared" si="10"/>
        <v>299</v>
      </c>
      <c r="C49" s="34">
        <v>153</v>
      </c>
      <c r="D49" s="34">
        <v>146</v>
      </c>
      <c r="E49" s="20">
        <f t="shared" si="11"/>
        <v>337</v>
      </c>
      <c r="F49" s="34">
        <v>173</v>
      </c>
      <c r="G49" s="34">
        <v>164</v>
      </c>
      <c r="H49" s="20">
        <f t="shared" si="12"/>
        <v>267</v>
      </c>
      <c r="I49" s="34">
        <v>134</v>
      </c>
      <c r="J49" s="34">
        <v>133</v>
      </c>
    </row>
    <row r="50" spans="1:16" x14ac:dyDescent="0.25">
      <c r="A50" s="1" t="s">
        <v>19</v>
      </c>
      <c r="B50" s="23">
        <f t="shared" si="10"/>
        <v>174</v>
      </c>
      <c r="C50" s="34">
        <v>85</v>
      </c>
      <c r="D50" s="34">
        <v>89</v>
      </c>
      <c r="E50" s="20">
        <f t="shared" si="11"/>
        <v>171</v>
      </c>
      <c r="F50" s="34">
        <v>92</v>
      </c>
      <c r="G50" s="34">
        <v>79</v>
      </c>
      <c r="H50" s="20">
        <f t="shared" si="12"/>
        <v>173</v>
      </c>
      <c r="I50" s="34">
        <v>91</v>
      </c>
      <c r="J50" s="34">
        <v>82</v>
      </c>
    </row>
    <row r="51" spans="1:16" x14ac:dyDescent="0.25">
      <c r="A51" s="1" t="s">
        <v>20</v>
      </c>
      <c r="B51" s="23">
        <f t="shared" si="10"/>
        <v>293</v>
      </c>
      <c r="C51" s="34">
        <v>150</v>
      </c>
      <c r="D51" s="34">
        <v>143</v>
      </c>
      <c r="E51" s="20">
        <f t="shared" si="11"/>
        <v>255</v>
      </c>
      <c r="F51" s="34">
        <v>135</v>
      </c>
      <c r="G51" s="34">
        <v>120</v>
      </c>
      <c r="H51" s="20">
        <f t="shared" si="12"/>
        <v>238</v>
      </c>
      <c r="I51" s="34">
        <v>131</v>
      </c>
      <c r="J51" s="34">
        <v>107</v>
      </c>
    </row>
    <row r="52" spans="1:16" x14ac:dyDescent="0.25">
      <c r="A52" s="1" t="s">
        <v>21</v>
      </c>
      <c r="B52" s="23">
        <f t="shared" si="10"/>
        <v>220</v>
      </c>
      <c r="C52" s="34">
        <v>109</v>
      </c>
      <c r="D52" s="34">
        <v>111</v>
      </c>
      <c r="E52" s="20">
        <f t="shared" si="11"/>
        <v>194</v>
      </c>
      <c r="F52" s="34">
        <v>93</v>
      </c>
      <c r="G52" s="34">
        <v>101</v>
      </c>
      <c r="H52" s="20">
        <f t="shared" si="12"/>
        <v>171</v>
      </c>
      <c r="I52" s="34">
        <v>75</v>
      </c>
      <c r="J52" s="34">
        <v>96</v>
      </c>
    </row>
    <row r="53" spans="1:16" x14ac:dyDescent="0.25">
      <c r="A53" s="2" t="s">
        <v>7</v>
      </c>
      <c r="B53" s="24">
        <f t="shared" si="10"/>
        <v>452</v>
      </c>
      <c r="C53" s="34">
        <v>216</v>
      </c>
      <c r="D53" s="34">
        <v>236</v>
      </c>
      <c r="E53" s="20">
        <f t="shared" si="11"/>
        <v>436</v>
      </c>
      <c r="F53" s="34">
        <v>228</v>
      </c>
      <c r="G53" s="34">
        <v>208</v>
      </c>
      <c r="H53" s="20">
        <f t="shared" si="12"/>
        <v>381</v>
      </c>
      <c r="I53" s="34">
        <v>207</v>
      </c>
      <c r="J53" s="34">
        <v>174</v>
      </c>
    </row>
    <row r="54" spans="1:16" x14ac:dyDescent="0.25">
      <c r="A54" s="32" t="s">
        <v>3</v>
      </c>
      <c r="B54" s="42" t="s">
        <v>37</v>
      </c>
      <c r="C54" s="42"/>
      <c r="D54" s="42"/>
      <c r="E54" s="43" t="s">
        <v>38</v>
      </c>
      <c r="F54" s="42"/>
      <c r="G54" s="42"/>
      <c r="H54" s="43" t="s">
        <v>39</v>
      </c>
      <c r="I54" s="42"/>
      <c r="J54" s="42"/>
    </row>
    <row r="55" spans="1:16" x14ac:dyDescent="0.25">
      <c r="A55" s="33"/>
      <c r="B55" s="13" t="s">
        <v>27</v>
      </c>
      <c r="C55" s="13" t="s">
        <v>0</v>
      </c>
      <c r="D55" s="13" t="s">
        <v>1</v>
      </c>
      <c r="E55" s="9" t="s">
        <v>27</v>
      </c>
      <c r="F55" s="8" t="s">
        <v>0</v>
      </c>
      <c r="G55" s="8" t="s">
        <v>1</v>
      </c>
      <c r="H55" s="9" t="s">
        <v>27</v>
      </c>
      <c r="I55" s="8" t="s">
        <v>0</v>
      </c>
      <c r="J55" s="8" t="s">
        <v>1</v>
      </c>
    </row>
    <row r="56" spans="1:16" s="4" customFormat="1" x14ac:dyDescent="0.25">
      <c r="A56" s="3" t="s">
        <v>4</v>
      </c>
      <c r="B56" s="15">
        <f>C56+D56</f>
        <v>5542</v>
      </c>
      <c r="C56" s="16">
        <f>C57+C58</f>
        <v>2779</v>
      </c>
      <c r="D56" s="16">
        <f>D57+D58</f>
        <v>2763</v>
      </c>
      <c r="E56" s="17">
        <f>F56+G56</f>
        <v>5377</v>
      </c>
      <c r="F56" s="16">
        <f>F57+F58</f>
        <v>2796</v>
      </c>
      <c r="G56" s="30">
        <f>G57+G58</f>
        <v>2581</v>
      </c>
      <c r="H56" s="15">
        <f>I56+J56</f>
        <v>5498</v>
      </c>
      <c r="I56" s="16">
        <f>I57+I58</f>
        <v>2906</v>
      </c>
      <c r="J56" s="16">
        <f>J57+J58</f>
        <v>2592</v>
      </c>
      <c r="K56" s="29"/>
      <c r="L56" s="29"/>
      <c r="M56" s="29"/>
      <c r="N56" s="29"/>
      <c r="O56" s="29"/>
      <c r="P56" s="29"/>
    </row>
    <row r="57" spans="1:16" x14ac:dyDescent="0.25">
      <c r="A57" s="3" t="s">
        <v>5</v>
      </c>
      <c r="B57" s="18">
        <f>SUM(C57:D57)</f>
        <v>1812</v>
      </c>
      <c r="C57" s="34">
        <v>930</v>
      </c>
      <c r="D57" s="34">
        <v>882</v>
      </c>
      <c r="E57" s="17">
        <f t="shared" ref="E57:E59" si="13">F57+G57</f>
        <v>1756</v>
      </c>
      <c r="F57" s="34">
        <v>893</v>
      </c>
      <c r="G57" s="35">
        <v>863</v>
      </c>
      <c r="H57" s="15">
        <f t="shared" ref="H57:H59" si="14">I57+J57</f>
        <v>1727</v>
      </c>
      <c r="I57" s="34">
        <v>880</v>
      </c>
      <c r="J57" s="34">
        <v>847</v>
      </c>
    </row>
    <row r="58" spans="1:16" s="4" customFormat="1" x14ac:dyDescent="0.25">
      <c r="A58" s="3" t="s">
        <v>6</v>
      </c>
      <c r="B58" s="18">
        <f>SUM(B59:B78)</f>
        <v>3730</v>
      </c>
      <c r="C58" s="16">
        <f>SUM(C59:C78)</f>
        <v>1849</v>
      </c>
      <c r="D58" s="16">
        <f>SUM(D59:D78)</f>
        <v>1881</v>
      </c>
      <c r="E58" s="17">
        <f t="shared" si="13"/>
        <v>3621</v>
      </c>
      <c r="F58" s="16">
        <f>SUM(F59:F78)</f>
        <v>1903</v>
      </c>
      <c r="G58" s="30">
        <f>SUM(G59:G78)</f>
        <v>1718</v>
      </c>
      <c r="H58" s="15">
        <f t="shared" si="14"/>
        <v>3771</v>
      </c>
      <c r="I58" s="16">
        <f>SUM(I59:I78)</f>
        <v>2026</v>
      </c>
      <c r="J58" s="16">
        <f>SUM(J59:J78)</f>
        <v>1745</v>
      </c>
      <c r="K58" s="29"/>
      <c r="L58" s="29"/>
      <c r="M58" s="29"/>
      <c r="N58" s="29"/>
      <c r="O58" s="29"/>
      <c r="P58" s="29"/>
    </row>
    <row r="59" spans="1:16" x14ac:dyDescent="0.25">
      <c r="A59" s="1" t="s">
        <v>29</v>
      </c>
      <c r="B59" s="23">
        <f t="shared" ref="B59" si="15">SUM(C59:D59)</f>
        <v>222</v>
      </c>
      <c r="C59" s="34">
        <v>107</v>
      </c>
      <c r="D59" s="34">
        <v>115</v>
      </c>
      <c r="E59" s="20">
        <f t="shared" si="13"/>
        <v>234</v>
      </c>
      <c r="F59" s="34">
        <v>129</v>
      </c>
      <c r="G59" s="34">
        <v>105</v>
      </c>
      <c r="H59" s="20">
        <f t="shared" si="14"/>
        <v>260</v>
      </c>
      <c r="I59" s="34">
        <v>139</v>
      </c>
      <c r="J59" s="34">
        <v>121</v>
      </c>
    </row>
    <row r="60" spans="1:16" x14ac:dyDescent="0.25">
      <c r="A60" s="1" t="s">
        <v>30</v>
      </c>
      <c r="B60" s="23">
        <f t="shared" ref="B60:B78" si="16">SUM(C60:D60)</f>
        <v>329</v>
      </c>
      <c r="C60" s="34">
        <v>171</v>
      </c>
      <c r="D60" s="34">
        <v>158</v>
      </c>
      <c r="E60" s="20">
        <f t="shared" ref="E60:E78" si="17">F60+G60</f>
        <v>324</v>
      </c>
      <c r="F60" s="34">
        <v>174</v>
      </c>
      <c r="G60" s="34">
        <v>150</v>
      </c>
      <c r="H60" s="20">
        <f t="shared" ref="H60:H78" si="18">I60+J60</f>
        <v>361</v>
      </c>
      <c r="I60" s="34">
        <v>198</v>
      </c>
      <c r="J60" s="34">
        <v>163</v>
      </c>
    </row>
    <row r="61" spans="1:16" x14ac:dyDescent="0.25">
      <c r="A61" s="1" t="s">
        <v>31</v>
      </c>
      <c r="B61" s="23">
        <f t="shared" si="16"/>
        <v>257</v>
      </c>
      <c r="C61" s="34">
        <v>122</v>
      </c>
      <c r="D61" s="34">
        <v>135</v>
      </c>
      <c r="E61" s="20">
        <f t="shared" si="17"/>
        <v>260</v>
      </c>
      <c r="F61" s="34">
        <v>130</v>
      </c>
      <c r="G61" s="34">
        <v>130</v>
      </c>
      <c r="H61" s="20">
        <f t="shared" si="18"/>
        <v>249</v>
      </c>
      <c r="I61" s="34">
        <v>139</v>
      </c>
      <c r="J61" s="34">
        <v>110</v>
      </c>
    </row>
    <row r="62" spans="1:16" x14ac:dyDescent="0.25">
      <c r="A62" s="1" t="s">
        <v>22</v>
      </c>
      <c r="B62" s="23">
        <f t="shared" si="16"/>
        <v>197</v>
      </c>
      <c r="C62" s="34">
        <v>108</v>
      </c>
      <c r="D62" s="34">
        <v>89</v>
      </c>
      <c r="E62" s="20">
        <f t="shared" si="17"/>
        <v>205</v>
      </c>
      <c r="F62" s="34">
        <v>96</v>
      </c>
      <c r="G62" s="34">
        <v>109</v>
      </c>
      <c r="H62" s="20">
        <f t="shared" si="18"/>
        <v>193</v>
      </c>
      <c r="I62" s="34">
        <v>107</v>
      </c>
      <c r="J62" s="34">
        <v>86</v>
      </c>
    </row>
    <row r="63" spans="1:16" x14ac:dyDescent="0.25">
      <c r="A63" s="1" t="s">
        <v>32</v>
      </c>
      <c r="B63" s="23">
        <f t="shared" si="16"/>
        <v>311</v>
      </c>
      <c r="C63" s="34">
        <v>149</v>
      </c>
      <c r="D63" s="34">
        <v>162</v>
      </c>
      <c r="E63" s="20">
        <f t="shared" si="17"/>
        <v>272</v>
      </c>
      <c r="F63" s="34">
        <v>161</v>
      </c>
      <c r="G63" s="34">
        <v>111</v>
      </c>
      <c r="H63" s="20">
        <f t="shared" si="18"/>
        <v>343</v>
      </c>
      <c r="I63" s="34">
        <v>183</v>
      </c>
      <c r="J63" s="34">
        <v>160</v>
      </c>
    </row>
    <row r="64" spans="1:16" x14ac:dyDescent="0.25">
      <c r="A64" s="1" t="s">
        <v>8</v>
      </c>
      <c r="B64" s="23">
        <f t="shared" si="16"/>
        <v>166</v>
      </c>
      <c r="C64" s="34">
        <v>91</v>
      </c>
      <c r="D64" s="34">
        <v>75</v>
      </c>
      <c r="E64" s="20">
        <f t="shared" si="17"/>
        <v>196</v>
      </c>
      <c r="F64" s="34">
        <v>104</v>
      </c>
      <c r="G64" s="34">
        <v>92</v>
      </c>
      <c r="H64" s="20">
        <f t="shared" si="18"/>
        <v>168</v>
      </c>
      <c r="I64" s="34">
        <v>90</v>
      </c>
      <c r="J64" s="34">
        <v>78</v>
      </c>
    </row>
    <row r="65" spans="1:10" x14ac:dyDescent="0.25">
      <c r="A65" s="1" t="s">
        <v>9</v>
      </c>
      <c r="B65" s="23">
        <f t="shared" si="16"/>
        <v>163</v>
      </c>
      <c r="C65" s="34">
        <v>72</v>
      </c>
      <c r="D65" s="34">
        <v>91</v>
      </c>
      <c r="E65" s="20">
        <f t="shared" si="17"/>
        <v>151</v>
      </c>
      <c r="F65" s="34">
        <v>69</v>
      </c>
      <c r="G65" s="34">
        <v>82</v>
      </c>
      <c r="H65" s="20">
        <f t="shared" si="18"/>
        <v>150</v>
      </c>
      <c r="I65" s="34">
        <v>89</v>
      </c>
      <c r="J65" s="34">
        <v>61</v>
      </c>
    </row>
    <row r="66" spans="1:10" x14ac:dyDescent="0.25">
      <c r="A66" s="1" t="s">
        <v>11</v>
      </c>
      <c r="B66" s="23">
        <f t="shared" si="16"/>
        <v>179</v>
      </c>
      <c r="C66" s="34">
        <v>89</v>
      </c>
      <c r="D66" s="34">
        <v>90</v>
      </c>
      <c r="E66" s="20">
        <f t="shared" si="17"/>
        <v>188</v>
      </c>
      <c r="F66" s="34">
        <v>100</v>
      </c>
      <c r="G66" s="34">
        <v>88</v>
      </c>
      <c r="H66" s="20">
        <f t="shared" si="18"/>
        <v>175</v>
      </c>
      <c r="I66" s="34">
        <v>96</v>
      </c>
      <c r="J66" s="34">
        <v>79</v>
      </c>
    </row>
    <row r="67" spans="1:10" x14ac:dyDescent="0.25">
      <c r="A67" s="1" t="s">
        <v>12</v>
      </c>
      <c r="B67" s="23">
        <f t="shared" si="16"/>
        <v>127</v>
      </c>
      <c r="C67" s="34">
        <v>73</v>
      </c>
      <c r="D67" s="34">
        <v>54</v>
      </c>
      <c r="E67" s="20">
        <f t="shared" si="17"/>
        <v>107</v>
      </c>
      <c r="F67" s="34">
        <v>55</v>
      </c>
      <c r="G67" s="34">
        <v>52</v>
      </c>
      <c r="H67" s="20">
        <f t="shared" si="18"/>
        <v>100</v>
      </c>
      <c r="I67" s="34">
        <v>51</v>
      </c>
      <c r="J67" s="34">
        <v>49</v>
      </c>
    </row>
    <row r="68" spans="1:10" x14ac:dyDescent="0.25">
      <c r="A68" s="1" t="s">
        <v>28</v>
      </c>
      <c r="B68" s="23">
        <f t="shared" si="16"/>
        <v>148</v>
      </c>
      <c r="C68" s="34">
        <v>66</v>
      </c>
      <c r="D68" s="34">
        <v>82</v>
      </c>
      <c r="E68" s="20">
        <f t="shared" si="17"/>
        <v>145</v>
      </c>
      <c r="F68" s="34">
        <v>82</v>
      </c>
      <c r="G68" s="34">
        <v>63</v>
      </c>
      <c r="H68" s="20">
        <f t="shared" si="18"/>
        <v>90</v>
      </c>
      <c r="I68" s="34">
        <v>47</v>
      </c>
      <c r="J68" s="34">
        <v>43</v>
      </c>
    </row>
    <row r="69" spans="1:10" x14ac:dyDescent="0.25">
      <c r="A69" s="1" t="s">
        <v>14</v>
      </c>
      <c r="B69" s="23">
        <f t="shared" si="16"/>
        <v>24</v>
      </c>
      <c r="C69" s="34">
        <v>13</v>
      </c>
      <c r="D69" s="34">
        <v>11</v>
      </c>
      <c r="E69" s="20">
        <f t="shared" si="17"/>
        <v>23</v>
      </c>
      <c r="F69" s="34">
        <v>17</v>
      </c>
      <c r="G69" s="34">
        <v>6</v>
      </c>
      <c r="H69" s="20">
        <f t="shared" si="18"/>
        <v>23</v>
      </c>
      <c r="I69" s="34">
        <v>13</v>
      </c>
      <c r="J69" s="34">
        <v>10</v>
      </c>
    </row>
    <row r="70" spans="1:10" x14ac:dyDescent="0.25">
      <c r="A70" s="1" t="s">
        <v>15</v>
      </c>
      <c r="B70" s="23">
        <f t="shared" si="16"/>
        <v>84</v>
      </c>
      <c r="C70" s="34">
        <v>40</v>
      </c>
      <c r="D70" s="34">
        <v>44</v>
      </c>
      <c r="E70" s="20">
        <f t="shared" si="17"/>
        <v>67</v>
      </c>
      <c r="F70" s="34">
        <v>32</v>
      </c>
      <c r="G70" s="34">
        <v>35</v>
      </c>
      <c r="H70" s="20">
        <f t="shared" si="18"/>
        <v>62</v>
      </c>
      <c r="I70" s="34">
        <v>37</v>
      </c>
      <c r="J70" s="34">
        <v>25</v>
      </c>
    </row>
    <row r="71" spans="1:10" x14ac:dyDescent="0.25">
      <c r="A71" s="1" t="s">
        <v>16</v>
      </c>
      <c r="B71" s="23">
        <f t="shared" si="16"/>
        <v>100</v>
      </c>
      <c r="C71" s="34">
        <v>47</v>
      </c>
      <c r="D71" s="34">
        <v>53</v>
      </c>
      <c r="E71" s="20">
        <f t="shared" si="17"/>
        <v>74</v>
      </c>
      <c r="F71" s="34">
        <v>37</v>
      </c>
      <c r="G71" s="34">
        <v>37</v>
      </c>
      <c r="H71" s="20">
        <f t="shared" si="18"/>
        <v>109</v>
      </c>
      <c r="I71" s="34">
        <v>59</v>
      </c>
      <c r="J71" s="34">
        <v>50</v>
      </c>
    </row>
    <row r="72" spans="1:10" x14ac:dyDescent="0.25">
      <c r="A72" s="1" t="s">
        <v>17</v>
      </c>
      <c r="B72" s="23">
        <f t="shared" si="16"/>
        <v>119</v>
      </c>
      <c r="C72" s="34">
        <v>56</v>
      </c>
      <c r="D72" s="34">
        <v>63</v>
      </c>
      <c r="E72" s="20">
        <f t="shared" si="17"/>
        <v>84</v>
      </c>
      <c r="F72" s="34">
        <v>44</v>
      </c>
      <c r="G72" s="34">
        <v>40</v>
      </c>
      <c r="H72" s="20">
        <f t="shared" si="18"/>
        <v>102</v>
      </c>
      <c r="I72" s="34">
        <v>60</v>
      </c>
      <c r="J72" s="34">
        <v>42</v>
      </c>
    </row>
    <row r="73" spans="1:10" x14ac:dyDescent="0.25">
      <c r="A73" s="1" t="s">
        <v>18</v>
      </c>
      <c r="B73" s="23">
        <f t="shared" si="16"/>
        <v>159</v>
      </c>
      <c r="C73" s="34">
        <v>74</v>
      </c>
      <c r="D73" s="34">
        <v>85</v>
      </c>
      <c r="E73" s="20">
        <f t="shared" si="17"/>
        <v>142</v>
      </c>
      <c r="F73" s="34">
        <v>77</v>
      </c>
      <c r="G73" s="34">
        <v>65</v>
      </c>
      <c r="H73" s="20">
        <f t="shared" si="18"/>
        <v>166</v>
      </c>
      <c r="I73" s="34">
        <v>101</v>
      </c>
      <c r="J73" s="34">
        <v>65</v>
      </c>
    </row>
    <row r="74" spans="1:10" x14ac:dyDescent="0.25">
      <c r="A74" s="1" t="s">
        <v>10</v>
      </c>
      <c r="B74" s="23">
        <f t="shared" si="16"/>
        <v>255</v>
      </c>
      <c r="C74" s="34">
        <v>125</v>
      </c>
      <c r="D74" s="34">
        <v>130</v>
      </c>
      <c r="E74" s="20">
        <f t="shared" si="17"/>
        <v>190</v>
      </c>
      <c r="F74" s="34">
        <v>106</v>
      </c>
      <c r="G74" s="34">
        <v>84</v>
      </c>
      <c r="H74" s="20">
        <f t="shared" si="18"/>
        <v>279</v>
      </c>
      <c r="I74" s="34">
        <v>141</v>
      </c>
      <c r="J74" s="34">
        <v>138</v>
      </c>
    </row>
    <row r="75" spans="1:10" x14ac:dyDescent="0.25">
      <c r="A75" s="1" t="s">
        <v>19</v>
      </c>
      <c r="B75" s="23">
        <f t="shared" si="16"/>
        <v>155</v>
      </c>
      <c r="C75" s="34">
        <v>77</v>
      </c>
      <c r="D75" s="34">
        <v>78</v>
      </c>
      <c r="E75" s="20">
        <f t="shared" si="17"/>
        <v>167</v>
      </c>
      <c r="F75" s="34">
        <v>88</v>
      </c>
      <c r="G75" s="34">
        <v>79</v>
      </c>
      <c r="H75" s="20">
        <f t="shared" si="18"/>
        <v>183</v>
      </c>
      <c r="I75" s="34">
        <v>89</v>
      </c>
      <c r="J75" s="34">
        <v>94</v>
      </c>
    </row>
    <row r="76" spans="1:10" x14ac:dyDescent="0.25">
      <c r="A76" s="1" t="s">
        <v>20</v>
      </c>
      <c r="B76" s="23">
        <f t="shared" si="16"/>
        <v>236</v>
      </c>
      <c r="C76" s="34">
        <v>123</v>
      </c>
      <c r="D76" s="34">
        <v>113</v>
      </c>
      <c r="E76" s="20">
        <f t="shared" si="17"/>
        <v>231</v>
      </c>
      <c r="F76" s="34">
        <v>128</v>
      </c>
      <c r="G76" s="34">
        <v>103</v>
      </c>
      <c r="H76" s="20">
        <f t="shared" si="18"/>
        <v>231</v>
      </c>
      <c r="I76" s="34">
        <v>117</v>
      </c>
      <c r="J76" s="34">
        <v>114</v>
      </c>
    </row>
    <row r="77" spans="1:10" x14ac:dyDescent="0.25">
      <c r="A77" s="1" t="s">
        <v>21</v>
      </c>
      <c r="B77" s="23">
        <f t="shared" si="16"/>
        <v>146</v>
      </c>
      <c r="C77" s="34">
        <v>75</v>
      </c>
      <c r="D77" s="34">
        <v>71</v>
      </c>
      <c r="E77" s="20">
        <f t="shared" si="17"/>
        <v>156</v>
      </c>
      <c r="F77" s="34">
        <v>79</v>
      </c>
      <c r="G77" s="34">
        <v>77</v>
      </c>
      <c r="H77" s="20">
        <f t="shared" si="18"/>
        <v>165</v>
      </c>
      <c r="I77" s="34">
        <v>90</v>
      </c>
      <c r="J77" s="34">
        <v>75</v>
      </c>
    </row>
    <row r="78" spans="1:10" x14ac:dyDescent="0.25">
      <c r="A78" s="2" t="s">
        <v>7</v>
      </c>
      <c r="B78" s="24">
        <f t="shared" si="16"/>
        <v>353</v>
      </c>
      <c r="C78" s="34">
        <v>171</v>
      </c>
      <c r="D78" s="34">
        <v>182</v>
      </c>
      <c r="E78" s="20">
        <f t="shared" si="17"/>
        <v>405</v>
      </c>
      <c r="F78" s="34">
        <v>195</v>
      </c>
      <c r="G78" s="34">
        <v>210</v>
      </c>
      <c r="H78" s="20">
        <f t="shared" si="18"/>
        <v>362</v>
      </c>
      <c r="I78" s="34">
        <v>180</v>
      </c>
      <c r="J78" s="34">
        <v>182</v>
      </c>
    </row>
    <row r="79" spans="1:10" x14ac:dyDescent="0.25">
      <c r="A79" s="32" t="s">
        <v>3</v>
      </c>
      <c r="B79" s="45" t="s">
        <v>40</v>
      </c>
      <c r="C79" s="45"/>
      <c r="D79" s="45"/>
      <c r="E79" s="46" t="s">
        <v>41</v>
      </c>
      <c r="F79" s="45"/>
      <c r="G79" s="45"/>
      <c r="H79" s="46" t="s">
        <v>42</v>
      </c>
      <c r="I79" s="45"/>
      <c r="J79" s="45"/>
    </row>
    <row r="80" spans="1:10" x14ac:dyDescent="0.25">
      <c r="A80" s="33"/>
      <c r="B80" s="8" t="s">
        <v>27</v>
      </c>
      <c r="C80" s="8" t="s">
        <v>0</v>
      </c>
      <c r="D80" s="8" t="s">
        <v>1</v>
      </c>
      <c r="E80" s="9" t="s">
        <v>27</v>
      </c>
      <c r="F80" s="8" t="s">
        <v>0</v>
      </c>
      <c r="G80" s="8" t="s">
        <v>1</v>
      </c>
      <c r="H80" s="9" t="s">
        <v>27</v>
      </c>
      <c r="I80" s="8" t="s">
        <v>0</v>
      </c>
      <c r="J80" s="8" t="s">
        <v>1</v>
      </c>
    </row>
    <row r="81" spans="1:16" s="4" customFormat="1" x14ac:dyDescent="0.25">
      <c r="A81" s="3" t="s">
        <v>4</v>
      </c>
      <c r="B81" s="15">
        <f>C81+D81</f>
        <v>5652</v>
      </c>
      <c r="C81" s="16">
        <f>C82+C83</f>
        <v>2977</v>
      </c>
      <c r="D81" s="16">
        <f>D82+D83</f>
        <v>2675</v>
      </c>
      <c r="E81" s="17">
        <f>F81+G81</f>
        <v>5861</v>
      </c>
      <c r="F81" s="16">
        <f>F82+F83</f>
        <v>3039</v>
      </c>
      <c r="G81" s="30">
        <f>G82+G83</f>
        <v>2822</v>
      </c>
      <c r="H81" s="15">
        <f>I81+J81</f>
        <v>5743</v>
      </c>
      <c r="I81" s="16">
        <f>I82+I83</f>
        <v>2944</v>
      </c>
      <c r="J81" s="16">
        <f>J82+J83</f>
        <v>2799</v>
      </c>
      <c r="K81" s="29"/>
      <c r="L81" s="29"/>
      <c r="M81" s="29"/>
      <c r="N81" s="29"/>
      <c r="O81" s="29"/>
      <c r="P81" s="29"/>
    </row>
    <row r="82" spans="1:16" s="4" customFormat="1" x14ac:dyDescent="0.25">
      <c r="A82" s="3" t="s">
        <v>5</v>
      </c>
      <c r="B82" s="18">
        <f>SUM(C82:D82)</f>
        <v>1807</v>
      </c>
      <c r="C82" s="34">
        <v>916</v>
      </c>
      <c r="D82" s="34">
        <v>891</v>
      </c>
      <c r="E82" s="17">
        <f t="shared" ref="E82:E84" si="19">F82+G82</f>
        <v>1825</v>
      </c>
      <c r="F82" s="34">
        <v>915</v>
      </c>
      <c r="G82" s="35">
        <v>910</v>
      </c>
      <c r="H82" s="15">
        <f>I82+J82</f>
        <v>1915</v>
      </c>
      <c r="I82" s="34">
        <v>989</v>
      </c>
      <c r="J82" s="34">
        <v>926</v>
      </c>
      <c r="K82" s="29"/>
      <c r="L82" s="29"/>
      <c r="M82" s="29"/>
      <c r="N82" s="29"/>
      <c r="O82" s="29"/>
      <c r="P82" s="29"/>
    </row>
    <row r="83" spans="1:16" s="4" customFormat="1" x14ac:dyDescent="0.25">
      <c r="A83" s="3" t="s">
        <v>6</v>
      </c>
      <c r="B83" s="18">
        <f>SUM(B84:B103)</f>
        <v>3845</v>
      </c>
      <c r="C83" s="16">
        <f>SUM(C84:C103)</f>
        <v>2061</v>
      </c>
      <c r="D83" s="16">
        <f>SUM(D84:D103)</f>
        <v>1784</v>
      </c>
      <c r="E83" s="17">
        <f t="shared" si="19"/>
        <v>4036</v>
      </c>
      <c r="F83" s="16">
        <f>SUM(F84:F103)</f>
        <v>2124</v>
      </c>
      <c r="G83" s="30">
        <f>SUM(G84:G103)</f>
        <v>1912</v>
      </c>
      <c r="H83" s="15">
        <f>I83+J83</f>
        <v>3828</v>
      </c>
      <c r="I83" s="16">
        <f>SUM(I84:I103)</f>
        <v>1955</v>
      </c>
      <c r="J83" s="16">
        <f>SUM(J84:J103)</f>
        <v>1873</v>
      </c>
      <c r="K83" s="29"/>
      <c r="L83" s="29"/>
      <c r="M83" s="29"/>
      <c r="N83" s="29"/>
      <c r="O83" s="29"/>
      <c r="P83" s="29"/>
    </row>
    <row r="84" spans="1:16" x14ac:dyDescent="0.25">
      <c r="A84" s="1" t="s">
        <v>29</v>
      </c>
      <c r="B84" s="23">
        <f t="shared" ref="B84" si="20">SUM(C84:D84)</f>
        <v>276</v>
      </c>
      <c r="C84" s="34">
        <v>143</v>
      </c>
      <c r="D84" s="34">
        <v>133</v>
      </c>
      <c r="E84" s="20">
        <f t="shared" si="19"/>
        <v>269</v>
      </c>
      <c r="F84" s="34">
        <v>148</v>
      </c>
      <c r="G84" s="34">
        <v>121</v>
      </c>
      <c r="H84" s="20">
        <f>I84+J84</f>
        <v>248</v>
      </c>
      <c r="I84" s="34">
        <v>99</v>
      </c>
      <c r="J84" s="34">
        <v>149</v>
      </c>
    </row>
    <row r="85" spans="1:16" x14ac:dyDescent="0.25">
      <c r="A85" s="1" t="s">
        <v>30</v>
      </c>
      <c r="B85" s="23">
        <f t="shared" ref="B85:B103" si="21">SUM(C85:D85)</f>
        <v>372</v>
      </c>
      <c r="C85" s="34">
        <v>196</v>
      </c>
      <c r="D85" s="34">
        <v>176</v>
      </c>
      <c r="E85" s="20">
        <f t="shared" ref="E85:E103" si="22">F85+G85</f>
        <v>361</v>
      </c>
      <c r="F85" s="34">
        <v>180</v>
      </c>
      <c r="G85" s="34">
        <v>181</v>
      </c>
      <c r="H85" s="20">
        <f t="shared" ref="H85:H103" si="23">I85+J85</f>
        <v>390</v>
      </c>
      <c r="I85" s="34">
        <v>222</v>
      </c>
      <c r="J85" s="34">
        <v>168</v>
      </c>
    </row>
    <row r="86" spans="1:16" x14ac:dyDescent="0.25">
      <c r="A86" s="1" t="s">
        <v>31</v>
      </c>
      <c r="B86" s="23">
        <f t="shared" si="21"/>
        <v>297</v>
      </c>
      <c r="C86" s="34">
        <v>178</v>
      </c>
      <c r="D86" s="34">
        <v>119</v>
      </c>
      <c r="E86" s="20">
        <f t="shared" si="22"/>
        <v>314</v>
      </c>
      <c r="F86" s="34">
        <v>160</v>
      </c>
      <c r="G86" s="34">
        <v>154</v>
      </c>
      <c r="H86" s="20">
        <f t="shared" si="23"/>
        <v>250</v>
      </c>
      <c r="I86" s="34">
        <v>133</v>
      </c>
      <c r="J86" s="34">
        <v>117</v>
      </c>
    </row>
    <row r="87" spans="1:16" x14ac:dyDescent="0.25">
      <c r="A87" s="1" t="s">
        <v>22</v>
      </c>
      <c r="B87" s="23">
        <f t="shared" si="21"/>
        <v>198</v>
      </c>
      <c r="C87" s="34">
        <v>104</v>
      </c>
      <c r="D87" s="34">
        <v>94</v>
      </c>
      <c r="E87" s="20">
        <f t="shared" si="22"/>
        <v>188</v>
      </c>
      <c r="F87" s="34">
        <v>95</v>
      </c>
      <c r="G87" s="34">
        <v>93</v>
      </c>
      <c r="H87" s="20">
        <f t="shared" si="23"/>
        <v>193</v>
      </c>
      <c r="I87" s="34">
        <v>94</v>
      </c>
      <c r="J87" s="34">
        <v>99</v>
      </c>
    </row>
    <row r="88" spans="1:16" x14ac:dyDescent="0.25">
      <c r="A88" s="1" t="s">
        <v>32</v>
      </c>
      <c r="B88" s="23">
        <f t="shared" si="21"/>
        <v>332</v>
      </c>
      <c r="C88" s="34">
        <v>181</v>
      </c>
      <c r="D88" s="34">
        <v>151</v>
      </c>
      <c r="E88" s="20">
        <f t="shared" si="22"/>
        <v>365</v>
      </c>
      <c r="F88" s="34">
        <v>212</v>
      </c>
      <c r="G88" s="34">
        <v>153</v>
      </c>
      <c r="H88" s="20">
        <f t="shared" si="23"/>
        <v>354</v>
      </c>
      <c r="I88" s="34">
        <v>169</v>
      </c>
      <c r="J88" s="34">
        <v>185</v>
      </c>
    </row>
    <row r="89" spans="1:16" x14ac:dyDescent="0.25">
      <c r="A89" s="1" t="s">
        <v>8</v>
      </c>
      <c r="B89" s="23">
        <f t="shared" si="21"/>
        <v>194</v>
      </c>
      <c r="C89" s="34">
        <v>107</v>
      </c>
      <c r="D89" s="34">
        <v>87</v>
      </c>
      <c r="E89" s="20">
        <f t="shared" si="22"/>
        <v>171</v>
      </c>
      <c r="F89" s="34">
        <v>92</v>
      </c>
      <c r="G89" s="34">
        <v>79</v>
      </c>
      <c r="H89" s="20">
        <f t="shared" si="23"/>
        <v>197</v>
      </c>
      <c r="I89" s="34">
        <v>120</v>
      </c>
      <c r="J89" s="34">
        <v>77</v>
      </c>
    </row>
    <row r="90" spans="1:16" x14ac:dyDescent="0.25">
      <c r="A90" s="1" t="s">
        <v>9</v>
      </c>
      <c r="B90" s="23">
        <f t="shared" si="21"/>
        <v>132</v>
      </c>
      <c r="C90" s="34">
        <v>63</v>
      </c>
      <c r="D90" s="34">
        <v>69</v>
      </c>
      <c r="E90" s="20">
        <f t="shared" si="22"/>
        <v>132</v>
      </c>
      <c r="F90" s="34">
        <v>74</v>
      </c>
      <c r="G90" s="34">
        <v>58</v>
      </c>
      <c r="H90" s="20">
        <f t="shared" si="23"/>
        <v>170</v>
      </c>
      <c r="I90" s="34">
        <v>89</v>
      </c>
      <c r="J90" s="34">
        <v>81</v>
      </c>
    </row>
    <row r="91" spans="1:16" x14ac:dyDescent="0.25">
      <c r="A91" s="1" t="s">
        <v>11</v>
      </c>
      <c r="B91" s="23">
        <f t="shared" si="21"/>
        <v>157</v>
      </c>
      <c r="C91" s="34">
        <v>75</v>
      </c>
      <c r="D91" s="34">
        <v>82</v>
      </c>
      <c r="E91" s="20">
        <f t="shared" si="22"/>
        <v>204</v>
      </c>
      <c r="F91" s="34">
        <v>120</v>
      </c>
      <c r="G91" s="34">
        <v>84</v>
      </c>
      <c r="H91" s="20">
        <f t="shared" si="23"/>
        <v>161</v>
      </c>
      <c r="I91" s="34">
        <v>72</v>
      </c>
      <c r="J91" s="34">
        <v>89</v>
      </c>
    </row>
    <row r="92" spans="1:16" x14ac:dyDescent="0.25">
      <c r="A92" s="1" t="s">
        <v>12</v>
      </c>
      <c r="B92" s="23">
        <f t="shared" si="21"/>
        <v>106</v>
      </c>
      <c r="C92" s="34">
        <v>55</v>
      </c>
      <c r="D92" s="34">
        <v>51</v>
      </c>
      <c r="E92" s="20">
        <f t="shared" si="22"/>
        <v>103</v>
      </c>
      <c r="F92" s="34">
        <v>46</v>
      </c>
      <c r="G92" s="34">
        <v>57</v>
      </c>
      <c r="H92" s="20">
        <f t="shared" si="23"/>
        <v>94</v>
      </c>
      <c r="I92" s="34">
        <v>46</v>
      </c>
      <c r="J92" s="34">
        <v>48</v>
      </c>
    </row>
    <row r="93" spans="1:16" x14ac:dyDescent="0.25">
      <c r="A93" s="1" t="s">
        <v>28</v>
      </c>
      <c r="B93" s="23">
        <f t="shared" si="21"/>
        <v>107</v>
      </c>
      <c r="C93" s="34">
        <v>55</v>
      </c>
      <c r="D93" s="34">
        <v>52</v>
      </c>
      <c r="E93" s="20">
        <f t="shared" si="22"/>
        <v>138</v>
      </c>
      <c r="F93" s="34">
        <v>75</v>
      </c>
      <c r="G93" s="34">
        <v>63</v>
      </c>
      <c r="H93" s="20">
        <f t="shared" si="23"/>
        <v>114</v>
      </c>
      <c r="I93" s="34">
        <v>61</v>
      </c>
      <c r="J93" s="34">
        <v>53</v>
      </c>
    </row>
    <row r="94" spans="1:16" x14ac:dyDescent="0.25">
      <c r="A94" s="1" t="s">
        <v>14</v>
      </c>
      <c r="B94" s="23">
        <f t="shared" si="21"/>
        <v>19</v>
      </c>
      <c r="C94" s="34">
        <v>9</v>
      </c>
      <c r="D94" s="34">
        <v>10</v>
      </c>
      <c r="E94" s="20">
        <f t="shared" si="22"/>
        <v>21</v>
      </c>
      <c r="F94" s="34">
        <v>14</v>
      </c>
      <c r="G94" s="34">
        <v>7</v>
      </c>
      <c r="H94" s="20">
        <f t="shared" si="23"/>
        <v>26</v>
      </c>
      <c r="I94" s="34">
        <v>9</v>
      </c>
      <c r="J94" s="34">
        <v>17</v>
      </c>
    </row>
    <row r="95" spans="1:16" x14ac:dyDescent="0.25">
      <c r="A95" s="1" t="s">
        <v>15</v>
      </c>
      <c r="B95" s="23">
        <f t="shared" si="21"/>
        <v>66</v>
      </c>
      <c r="C95" s="34">
        <v>39</v>
      </c>
      <c r="D95" s="34">
        <v>27</v>
      </c>
      <c r="E95" s="20">
        <f t="shared" si="22"/>
        <v>74</v>
      </c>
      <c r="F95" s="34">
        <v>38</v>
      </c>
      <c r="G95" s="34">
        <v>36</v>
      </c>
      <c r="H95" s="20">
        <f t="shared" si="23"/>
        <v>88</v>
      </c>
      <c r="I95" s="34">
        <v>49</v>
      </c>
      <c r="J95" s="34">
        <v>39</v>
      </c>
    </row>
    <row r="96" spans="1:16" x14ac:dyDescent="0.25">
      <c r="A96" s="1" t="s">
        <v>16</v>
      </c>
      <c r="B96" s="23">
        <f t="shared" si="21"/>
        <v>113</v>
      </c>
      <c r="C96" s="34">
        <v>58</v>
      </c>
      <c r="D96" s="34">
        <v>55</v>
      </c>
      <c r="E96" s="20">
        <f t="shared" si="22"/>
        <v>110</v>
      </c>
      <c r="F96" s="34">
        <v>52</v>
      </c>
      <c r="G96" s="34">
        <v>58</v>
      </c>
      <c r="H96" s="20">
        <f t="shared" si="23"/>
        <v>102</v>
      </c>
      <c r="I96" s="34">
        <v>51</v>
      </c>
      <c r="J96" s="34">
        <v>51</v>
      </c>
    </row>
    <row r="97" spans="1:16" x14ac:dyDescent="0.25">
      <c r="A97" s="1" t="s">
        <v>17</v>
      </c>
      <c r="B97" s="23">
        <f t="shared" si="21"/>
        <v>135</v>
      </c>
      <c r="C97" s="34">
        <v>70</v>
      </c>
      <c r="D97" s="34">
        <v>65</v>
      </c>
      <c r="E97" s="20">
        <f t="shared" si="22"/>
        <v>136</v>
      </c>
      <c r="F97" s="34">
        <v>81</v>
      </c>
      <c r="G97" s="34">
        <v>55</v>
      </c>
      <c r="H97" s="20">
        <f t="shared" si="23"/>
        <v>85</v>
      </c>
      <c r="I97" s="34">
        <v>43</v>
      </c>
      <c r="J97" s="34">
        <v>42</v>
      </c>
    </row>
    <row r="98" spans="1:16" x14ac:dyDescent="0.25">
      <c r="A98" s="1" t="s">
        <v>18</v>
      </c>
      <c r="B98" s="23">
        <f t="shared" si="21"/>
        <v>147</v>
      </c>
      <c r="C98" s="34">
        <v>80</v>
      </c>
      <c r="D98" s="34">
        <v>67</v>
      </c>
      <c r="E98" s="20">
        <f t="shared" si="22"/>
        <v>217</v>
      </c>
      <c r="F98" s="34">
        <v>121</v>
      </c>
      <c r="G98" s="34">
        <v>96</v>
      </c>
      <c r="H98" s="20">
        <f t="shared" si="23"/>
        <v>167</v>
      </c>
      <c r="I98" s="34">
        <v>79</v>
      </c>
      <c r="J98" s="34">
        <v>88</v>
      </c>
    </row>
    <row r="99" spans="1:16" x14ac:dyDescent="0.25">
      <c r="A99" s="1" t="s">
        <v>10</v>
      </c>
      <c r="B99" s="23">
        <f t="shared" si="21"/>
        <v>276</v>
      </c>
      <c r="C99" s="34">
        <v>150</v>
      </c>
      <c r="D99" s="34">
        <v>126</v>
      </c>
      <c r="E99" s="20">
        <f t="shared" si="22"/>
        <v>292</v>
      </c>
      <c r="F99" s="34">
        <v>143</v>
      </c>
      <c r="G99" s="34">
        <v>149</v>
      </c>
      <c r="H99" s="20">
        <f t="shared" si="23"/>
        <v>264</v>
      </c>
      <c r="I99" s="34">
        <v>132</v>
      </c>
      <c r="J99" s="34">
        <v>132</v>
      </c>
    </row>
    <row r="100" spans="1:16" x14ac:dyDescent="0.25">
      <c r="A100" s="1" t="s">
        <v>19</v>
      </c>
      <c r="B100" s="23">
        <f t="shared" si="21"/>
        <v>162</v>
      </c>
      <c r="C100" s="34">
        <v>88</v>
      </c>
      <c r="D100" s="34">
        <v>74</v>
      </c>
      <c r="E100" s="20">
        <f t="shared" si="22"/>
        <v>165</v>
      </c>
      <c r="F100" s="34">
        <v>70</v>
      </c>
      <c r="G100" s="34">
        <v>95</v>
      </c>
      <c r="H100" s="20">
        <f t="shared" si="23"/>
        <v>181</v>
      </c>
      <c r="I100" s="34">
        <v>90</v>
      </c>
      <c r="J100" s="34">
        <v>91</v>
      </c>
    </row>
    <row r="101" spans="1:16" x14ac:dyDescent="0.25">
      <c r="A101" s="1" t="s">
        <v>20</v>
      </c>
      <c r="B101" s="23">
        <f t="shared" si="21"/>
        <v>236</v>
      </c>
      <c r="C101" s="34">
        <v>132</v>
      </c>
      <c r="D101" s="34">
        <v>104</v>
      </c>
      <c r="E101" s="20">
        <f t="shared" si="22"/>
        <v>226</v>
      </c>
      <c r="F101" s="34">
        <v>129</v>
      </c>
      <c r="G101" s="34">
        <v>97</v>
      </c>
      <c r="H101" s="20">
        <f t="shared" si="23"/>
        <v>219</v>
      </c>
      <c r="I101" s="34">
        <v>110</v>
      </c>
      <c r="J101" s="34">
        <v>109</v>
      </c>
    </row>
    <row r="102" spans="1:16" x14ac:dyDescent="0.25">
      <c r="A102" s="1" t="s">
        <v>21</v>
      </c>
      <c r="B102" s="23">
        <f t="shared" si="21"/>
        <v>193</v>
      </c>
      <c r="C102" s="34">
        <v>86</v>
      </c>
      <c r="D102" s="34">
        <v>107</v>
      </c>
      <c r="E102" s="20">
        <f t="shared" si="22"/>
        <v>176</v>
      </c>
      <c r="F102" s="34">
        <v>83</v>
      </c>
      <c r="G102" s="34">
        <v>93</v>
      </c>
      <c r="H102" s="20">
        <f t="shared" si="23"/>
        <v>159</v>
      </c>
      <c r="I102" s="34">
        <v>105</v>
      </c>
      <c r="J102" s="34">
        <v>54</v>
      </c>
    </row>
    <row r="103" spans="1:16" x14ac:dyDescent="0.25">
      <c r="A103" s="2" t="s">
        <v>7</v>
      </c>
      <c r="B103" s="24">
        <f t="shared" si="21"/>
        <v>327</v>
      </c>
      <c r="C103" s="34">
        <v>192</v>
      </c>
      <c r="D103" s="34">
        <v>135</v>
      </c>
      <c r="E103" s="20">
        <f t="shared" si="22"/>
        <v>374</v>
      </c>
      <c r="F103" s="34">
        <v>191</v>
      </c>
      <c r="G103" s="34">
        <v>183</v>
      </c>
      <c r="H103" s="20">
        <f t="shared" si="23"/>
        <v>366</v>
      </c>
      <c r="I103" s="34">
        <v>182</v>
      </c>
      <c r="J103" s="34">
        <v>184</v>
      </c>
    </row>
    <row r="104" spans="1:16" x14ac:dyDescent="0.25">
      <c r="A104" s="32" t="s">
        <v>3</v>
      </c>
      <c r="B104" s="42" t="s">
        <v>43</v>
      </c>
      <c r="C104" s="42"/>
      <c r="D104" s="42"/>
      <c r="E104" s="43" t="s">
        <v>44</v>
      </c>
      <c r="F104" s="42"/>
      <c r="G104" s="42"/>
      <c r="H104" s="43" t="s">
        <v>25</v>
      </c>
      <c r="I104" s="42"/>
      <c r="J104" s="42"/>
    </row>
    <row r="105" spans="1:16" x14ac:dyDescent="0.25">
      <c r="A105" s="33"/>
      <c r="B105" s="12" t="s">
        <v>27</v>
      </c>
      <c r="C105" s="12" t="s">
        <v>0</v>
      </c>
      <c r="D105" s="12" t="s">
        <v>1</v>
      </c>
      <c r="E105" s="11" t="s">
        <v>27</v>
      </c>
      <c r="F105" s="12" t="s">
        <v>0</v>
      </c>
      <c r="G105" s="12" t="s">
        <v>1</v>
      </c>
      <c r="H105" s="11" t="s">
        <v>27</v>
      </c>
      <c r="I105" s="12" t="s">
        <v>0</v>
      </c>
      <c r="J105" s="12" t="s">
        <v>1</v>
      </c>
    </row>
    <row r="106" spans="1:16" s="4" customFormat="1" x14ac:dyDescent="0.25">
      <c r="A106" s="3" t="s">
        <v>4</v>
      </c>
      <c r="B106" s="31">
        <f>C106+D106</f>
        <v>2124</v>
      </c>
      <c r="C106" s="16">
        <f>C107+C108</f>
        <v>880</v>
      </c>
      <c r="D106" s="16">
        <f>D107+D108</f>
        <v>1244</v>
      </c>
      <c r="E106" s="20">
        <f>F106+G106</f>
        <v>1996</v>
      </c>
      <c r="F106" s="16">
        <f>F107+F108</f>
        <v>896</v>
      </c>
      <c r="G106" s="30">
        <f>G107+G108</f>
        <v>1100</v>
      </c>
      <c r="H106" s="15">
        <f>I106+J106</f>
        <v>368</v>
      </c>
      <c r="I106" s="16">
        <f>I107+I108</f>
        <v>255</v>
      </c>
      <c r="J106" s="16">
        <f>J107+J108</f>
        <v>113</v>
      </c>
      <c r="K106" s="29"/>
      <c r="L106" s="29"/>
      <c r="M106" s="29"/>
      <c r="N106" s="29"/>
      <c r="O106" s="29"/>
      <c r="P106" s="29"/>
    </row>
    <row r="107" spans="1:16" s="4" customFormat="1" x14ac:dyDescent="0.25">
      <c r="A107" s="3" t="s">
        <v>5</v>
      </c>
      <c r="B107" s="18">
        <f>SUM(C107:D107)</f>
        <v>1262</v>
      </c>
      <c r="C107" s="34">
        <v>539</v>
      </c>
      <c r="D107" s="34">
        <v>723</v>
      </c>
      <c r="E107" s="20">
        <f>F107+G107</f>
        <v>1237</v>
      </c>
      <c r="F107" s="34">
        <v>545</v>
      </c>
      <c r="G107" s="35">
        <v>692</v>
      </c>
      <c r="H107" s="15">
        <f t="shared" ref="H107:H109" si="24">I107+J107</f>
        <v>207</v>
      </c>
      <c r="I107" s="34">
        <v>145</v>
      </c>
      <c r="J107" s="34">
        <v>62</v>
      </c>
      <c r="K107" s="29"/>
      <c r="L107" s="29"/>
      <c r="M107" s="29"/>
      <c r="N107" s="29"/>
      <c r="O107" s="29"/>
      <c r="P107" s="29"/>
    </row>
    <row r="108" spans="1:16" s="4" customFormat="1" x14ac:dyDescent="0.25">
      <c r="A108" s="3" t="s">
        <v>6</v>
      </c>
      <c r="B108" s="18">
        <f>SUM(B109:B128)</f>
        <v>862</v>
      </c>
      <c r="C108" s="16">
        <f>SUM(C109:C128)</f>
        <v>341</v>
      </c>
      <c r="D108" s="16">
        <f>SUM(D109:D128)</f>
        <v>521</v>
      </c>
      <c r="E108" s="20">
        <f>F108+G108</f>
        <v>759</v>
      </c>
      <c r="F108" s="16">
        <f>SUM(F109:F128)</f>
        <v>351</v>
      </c>
      <c r="G108" s="30">
        <f>SUM(G109:G128)</f>
        <v>408</v>
      </c>
      <c r="H108" s="15">
        <f t="shared" si="24"/>
        <v>161</v>
      </c>
      <c r="I108" s="16">
        <f>SUM(I109:I128)</f>
        <v>110</v>
      </c>
      <c r="J108" s="16">
        <f>SUM(J109:J128)</f>
        <v>51</v>
      </c>
      <c r="K108" s="29"/>
      <c r="L108" s="29"/>
      <c r="M108" s="29"/>
      <c r="N108" s="29"/>
      <c r="O108" s="29"/>
      <c r="P108" s="29"/>
    </row>
    <row r="109" spans="1:16" x14ac:dyDescent="0.25">
      <c r="A109" s="1" t="s">
        <v>29</v>
      </c>
      <c r="B109" s="23">
        <f t="shared" ref="B109" si="25">SUM(C109:D109)</f>
        <v>48</v>
      </c>
      <c r="C109" s="34">
        <v>14</v>
      </c>
      <c r="D109" s="34">
        <v>34</v>
      </c>
      <c r="E109" s="20">
        <f t="shared" ref="E109" si="26">F109+G109</f>
        <v>50</v>
      </c>
      <c r="F109" s="34">
        <v>25</v>
      </c>
      <c r="G109" s="34">
        <v>25</v>
      </c>
      <c r="H109" s="20">
        <f t="shared" si="24"/>
        <v>0</v>
      </c>
      <c r="I109" s="34">
        <v>0</v>
      </c>
      <c r="J109" s="34">
        <v>0</v>
      </c>
    </row>
    <row r="110" spans="1:16" x14ac:dyDescent="0.25">
      <c r="A110" s="1" t="s">
        <v>30</v>
      </c>
      <c r="B110" s="23">
        <f t="shared" ref="B110:B128" si="27">SUM(C110:D110)</f>
        <v>84</v>
      </c>
      <c r="C110" s="34">
        <v>37</v>
      </c>
      <c r="D110" s="34">
        <v>47</v>
      </c>
      <c r="E110" s="20">
        <f t="shared" ref="E110:E128" si="28">F110+G110</f>
        <v>103</v>
      </c>
      <c r="F110" s="34">
        <v>36</v>
      </c>
      <c r="G110" s="34">
        <v>67</v>
      </c>
      <c r="H110" s="20">
        <f t="shared" ref="H110:H128" si="29">I110+J110</f>
        <v>0</v>
      </c>
      <c r="I110" s="34">
        <v>0</v>
      </c>
      <c r="J110" s="34">
        <v>0</v>
      </c>
    </row>
    <row r="111" spans="1:16" x14ac:dyDescent="0.25">
      <c r="A111" s="1" t="s">
        <v>31</v>
      </c>
      <c r="B111" s="23">
        <f t="shared" si="27"/>
        <v>32</v>
      </c>
      <c r="C111" s="34">
        <v>14</v>
      </c>
      <c r="D111" s="34">
        <v>18</v>
      </c>
      <c r="E111" s="20">
        <f t="shared" si="28"/>
        <v>26</v>
      </c>
      <c r="F111" s="34">
        <v>13</v>
      </c>
      <c r="G111" s="34">
        <v>13</v>
      </c>
      <c r="H111" s="20">
        <f t="shared" si="29"/>
        <v>7</v>
      </c>
      <c r="I111" s="34">
        <v>5</v>
      </c>
      <c r="J111" s="34">
        <v>2</v>
      </c>
    </row>
    <row r="112" spans="1:16" x14ac:dyDescent="0.25">
      <c r="A112" s="1" t="s">
        <v>22</v>
      </c>
      <c r="B112" s="23">
        <f t="shared" si="27"/>
        <v>35</v>
      </c>
      <c r="C112" s="34">
        <v>14</v>
      </c>
      <c r="D112" s="34">
        <v>21</v>
      </c>
      <c r="E112" s="20">
        <f t="shared" si="28"/>
        <v>40</v>
      </c>
      <c r="F112" s="34">
        <v>21</v>
      </c>
      <c r="G112" s="34">
        <v>19</v>
      </c>
      <c r="H112" s="20">
        <f t="shared" si="29"/>
        <v>0</v>
      </c>
      <c r="I112" s="34">
        <v>0</v>
      </c>
      <c r="J112" s="34">
        <v>0</v>
      </c>
    </row>
    <row r="113" spans="1:33" x14ac:dyDescent="0.25">
      <c r="A113" s="1" t="s">
        <v>32</v>
      </c>
      <c r="B113" s="23">
        <f t="shared" si="27"/>
        <v>96</v>
      </c>
      <c r="C113" s="34">
        <v>35</v>
      </c>
      <c r="D113" s="34">
        <v>61</v>
      </c>
      <c r="E113" s="20">
        <f t="shared" si="28"/>
        <v>55</v>
      </c>
      <c r="F113" s="34">
        <v>28</v>
      </c>
      <c r="G113" s="34">
        <v>27</v>
      </c>
      <c r="H113" s="20">
        <f t="shared" si="29"/>
        <v>0</v>
      </c>
      <c r="I113" s="34">
        <v>0</v>
      </c>
      <c r="J113" s="34">
        <v>0</v>
      </c>
    </row>
    <row r="114" spans="1:33" x14ac:dyDescent="0.25">
      <c r="A114" s="1" t="s">
        <v>8</v>
      </c>
      <c r="B114" s="23">
        <f t="shared" si="27"/>
        <v>51</v>
      </c>
      <c r="C114" s="34">
        <v>19</v>
      </c>
      <c r="D114" s="34">
        <v>32</v>
      </c>
      <c r="E114" s="20">
        <f t="shared" si="28"/>
        <v>77</v>
      </c>
      <c r="F114" s="34">
        <v>33</v>
      </c>
      <c r="G114" s="34">
        <v>44</v>
      </c>
      <c r="H114" s="20">
        <f t="shared" si="29"/>
        <v>0</v>
      </c>
      <c r="I114" s="34">
        <v>0</v>
      </c>
      <c r="J114" s="34">
        <v>0</v>
      </c>
    </row>
    <row r="115" spans="1:33" x14ac:dyDescent="0.25">
      <c r="A115" s="1" t="s">
        <v>9</v>
      </c>
      <c r="B115" s="23">
        <f t="shared" si="27"/>
        <v>40</v>
      </c>
      <c r="C115" s="34">
        <v>18</v>
      </c>
      <c r="D115" s="34">
        <v>22</v>
      </c>
      <c r="E115" s="20">
        <f t="shared" si="28"/>
        <v>39</v>
      </c>
      <c r="F115" s="34">
        <v>12</v>
      </c>
      <c r="G115" s="34">
        <v>27</v>
      </c>
      <c r="H115" s="20">
        <f t="shared" si="29"/>
        <v>4</v>
      </c>
      <c r="I115" s="34">
        <v>1</v>
      </c>
      <c r="J115" s="34">
        <v>3</v>
      </c>
    </row>
    <row r="116" spans="1:33" x14ac:dyDescent="0.25">
      <c r="A116" s="1" t="s">
        <v>11</v>
      </c>
      <c r="B116" s="23">
        <f t="shared" si="27"/>
        <v>6</v>
      </c>
      <c r="C116" s="34">
        <v>1</v>
      </c>
      <c r="D116" s="34">
        <v>5</v>
      </c>
      <c r="E116" s="20">
        <f t="shared" si="28"/>
        <v>6</v>
      </c>
      <c r="F116" s="34">
        <v>2</v>
      </c>
      <c r="G116" s="34">
        <v>4</v>
      </c>
      <c r="H116" s="20">
        <f t="shared" si="29"/>
        <v>0</v>
      </c>
      <c r="I116" s="34">
        <v>0</v>
      </c>
      <c r="J116" s="34">
        <v>0</v>
      </c>
    </row>
    <row r="117" spans="1:33" x14ac:dyDescent="0.25">
      <c r="A117" s="1" t="s">
        <v>12</v>
      </c>
      <c r="B117" s="23">
        <f t="shared" si="27"/>
        <v>12</v>
      </c>
      <c r="C117" s="34">
        <v>7</v>
      </c>
      <c r="D117" s="34">
        <v>5</v>
      </c>
      <c r="E117" s="20">
        <f t="shared" si="28"/>
        <v>13</v>
      </c>
      <c r="F117" s="34">
        <v>7</v>
      </c>
      <c r="G117" s="34">
        <v>6</v>
      </c>
      <c r="H117" s="20">
        <f t="shared" si="29"/>
        <v>0</v>
      </c>
      <c r="I117" s="34">
        <v>0</v>
      </c>
      <c r="J117" s="34">
        <v>0</v>
      </c>
    </row>
    <row r="118" spans="1:33" x14ac:dyDescent="0.25">
      <c r="A118" s="1" t="s">
        <v>13</v>
      </c>
      <c r="B118" s="23">
        <f t="shared" si="27"/>
        <v>11</v>
      </c>
      <c r="C118" s="34">
        <v>3</v>
      </c>
      <c r="D118" s="34">
        <v>8</v>
      </c>
      <c r="E118" s="20">
        <f t="shared" si="28"/>
        <v>0</v>
      </c>
      <c r="F118" s="34">
        <v>0</v>
      </c>
      <c r="G118" s="34">
        <v>0</v>
      </c>
      <c r="H118" s="20">
        <f t="shared" si="29"/>
        <v>8</v>
      </c>
      <c r="I118" s="34">
        <v>2</v>
      </c>
      <c r="J118" s="34">
        <v>6</v>
      </c>
    </row>
    <row r="119" spans="1:33" x14ac:dyDescent="0.25">
      <c r="A119" s="1" t="s">
        <v>14</v>
      </c>
      <c r="B119" s="23">
        <f t="shared" si="27"/>
        <v>0</v>
      </c>
      <c r="C119" s="34">
        <v>0</v>
      </c>
      <c r="D119" s="34">
        <v>0</v>
      </c>
      <c r="E119" s="20">
        <f t="shared" si="28"/>
        <v>0</v>
      </c>
      <c r="F119" s="34">
        <v>0</v>
      </c>
      <c r="G119" s="34">
        <v>0</v>
      </c>
      <c r="H119" s="20">
        <f t="shared" si="29"/>
        <v>0</v>
      </c>
      <c r="I119" s="34">
        <v>0</v>
      </c>
      <c r="J119" s="34">
        <v>0</v>
      </c>
      <c r="AE119" s="29" t="s">
        <v>48</v>
      </c>
      <c r="AF119" s="29" t="s">
        <v>15</v>
      </c>
      <c r="AG119" s="29">
        <v>3346</v>
      </c>
    </row>
    <row r="120" spans="1:33" x14ac:dyDescent="0.25">
      <c r="A120" s="1" t="s">
        <v>15</v>
      </c>
      <c r="B120" s="23">
        <f t="shared" si="27"/>
        <v>16</v>
      </c>
      <c r="C120" s="34">
        <v>5</v>
      </c>
      <c r="D120" s="34">
        <v>11</v>
      </c>
      <c r="E120" s="20">
        <f t="shared" si="28"/>
        <v>25</v>
      </c>
      <c r="F120" s="34">
        <v>8</v>
      </c>
      <c r="G120" s="34">
        <v>17</v>
      </c>
      <c r="H120" s="20">
        <f t="shared" si="29"/>
        <v>0</v>
      </c>
      <c r="I120" s="34">
        <v>0</v>
      </c>
      <c r="J120" s="34">
        <v>0</v>
      </c>
      <c r="AF120" s="29" t="s">
        <v>16</v>
      </c>
      <c r="AG120" s="29">
        <v>3110</v>
      </c>
    </row>
    <row r="121" spans="1:33" x14ac:dyDescent="0.25">
      <c r="A121" s="1" t="s">
        <v>16</v>
      </c>
      <c r="B121" s="23">
        <f t="shared" si="27"/>
        <v>28</v>
      </c>
      <c r="C121" s="34">
        <v>15</v>
      </c>
      <c r="D121" s="34">
        <v>13</v>
      </c>
      <c r="E121" s="20">
        <f t="shared" si="28"/>
        <v>38</v>
      </c>
      <c r="F121" s="34">
        <v>23</v>
      </c>
      <c r="G121" s="34">
        <v>15</v>
      </c>
      <c r="H121" s="20">
        <f t="shared" si="29"/>
        <v>0</v>
      </c>
      <c r="I121" s="34">
        <v>0</v>
      </c>
      <c r="J121" s="34">
        <v>0</v>
      </c>
      <c r="AE121" s="29" t="s">
        <v>45</v>
      </c>
      <c r="AF121" s="29" t="s">
        <v>15</v>
      </c>
      <c r="AG121" s="29">
        <v>4203</v>
      </c>
    </row>
    <row r="122" spans="1:33" x14ac:dyDescent="0.25">
      <c r="A122" s="1" t="s">
        <v>17</v>
      </c>
      <c r="B122" s="23">
        <f t="shared" si="27"/>
        <v>19</v>
      </c>
      <c r="C122" s="34">
        <v>8</v>
      </c>
      <c r="D122" s="34">
        <v>11</v>
      </c>
      <c r="E122" s="20">
        <f t="shared" si="28"/>
        <v>22</v>
      </c>
      <c r="F122" s="34">
        <v>10</v>
      </c>
      <c r="G122" s="34">
        <v>12</v>
      </c>
      <c r="H122" s="20">
        <f t="shared" si="29"/>
        <v>0</v>
      </c>
      <c r="I122" s="34">
        <v>0</v>
      </c>
      <c r="J122" s="34">
        <v>0</v>
      </c>
      <c r="AF122" s="29" t="s">
        <v>16</v>
      </c>
      <c r="AG122" s="29">
        <v>3799</v>
      </c>
    </row>
    <row r="123" spans="1:33" x14ac:dyDescent="0.25">
      <c r="A123" s="1" t="s">
        <v>18</v>
      </c>
      <c r="B123" s="23">
        <f t="shared" si="27"/>
        <v>16</v>
      </c>
      <c r="C123" s="34">
        <v>7</v>
      </c>
      <c r="D123" s="34">
        <v>9</v>
      </c>
      <c r="E123" s="20">
        <f t="shared" si="28"/>
        <v>22</v>
      </c>
      <c r="F123" s="34">
        <v>12</v>
      </c>
      <c r="G123" s="34">
        <v>10</v>
      </c>
      <c r="H123" s="20">
        <f t="shared" si="29"/>
        <v>0</v>
      </c>
      <c r="I123" s="34">
        <v>0</v>
      </c>
      <c r="J123" s="34">
        <v>0</v>
      </c>
      <c r="AE123" s="29" t="s">
        <v>46</v>
      </c>
      <c r="AF123" s="29" t="s">
        <v>15</v>
      </c>
      <c r="AG123" s="29">
        <v>4037</v>
      </c>
    </row>
    <row r="124" spans="1:33" x14ac:dyDescent="0.25">
      <c r="A124" s="1" t="s">
        <v>10</v>
      </c>
      <c r="B124" s="23">
        <f t="shared" si="27"/>
        <v>41</v>
      </c>
      <c r="C124" s="34">
        <v>13</v>
      </c>
      <c r="D124" s="34">
        <v>28</v>
      </c>
      <c r="E124" s="20">
        <f t="shared" si="28"/>
        <v>29</v>
      </c>
      <c r="F124" s="34">
        <v>11</v>
      </c>
      <c r="G124" s="34">
        <v>18</v>
      </c>
      <c r="H124" s="20">
        <f t="shared" si="29"/>
        <v>0</v>
      </c>
      <c r="I124" s="34">
        <v>0</v>
      </c>
      <c r="J124" s="34">
        <v>0</v>
      </c>
      <c r="AF124" s="29" t="s">
        <v>16</v>
      </c>
      <c r="AG124" s="29">
        <v>3768</v>
      </c>
    </row>
    <row r="125" spans="1:33" x14ac:dyDescent="0.25">
      <c r="A125" s="1" t="s">
        <v>19</v>
      </c>
      <c r="B125" s="23">
        <f t="shared" si="27"/>
        <v>17</v>
      </c>
      <c r="C125" s="34">
        <v>10</v>
      </c>
      <c r="D125" s="34">
        <v>7</v>
      </c>
      <c r="E125" s="20">
        <f t="shared" si="28"/>
        <v>17</v>
      </c>
      <c r="F125" s="34">
        <v>8</v>
      </c>
      <c r="G125" s="34">
        <v>9</v>
      </c>
      <c r="H125" s="20">
        <f t="shared" si="29"/>
        <v>10</v>
      </c>
      <c r="I125" s="34">
        <v>6</v>
      </c>
      <c r="J125" s="34">
        <v>4</v>
      </c>
      <c r="AE125" s="29" t="s">
        <v>49</v>
      </c>
      <c r="AF125" s="29" t="s">
        <v>15</v>
      </c>
      <c r="AG125" s="29">
        <v>3761</v>
      </c>
    </row>
    <row r="126" spans="1:33" x14ac:dyDescent="0.25">
      <c r="A126" s="1" t="s">
        <v>20</v>
      </c>
      <c r="B126" s="23">
        <f t="shared" si="27"/>
        <v>37</v>
      </c>
      <c r="C126" s="34">
        <v>7</v>
      </c>
      <c r="D126" s="34">
        <v>30</v>
      </c>
      <c r="E126" s="20">
        <f t="shared" si="28"/>
        <v>21</v>
      </c>
      <c r="F126" s="34">
        <v>6</v>
      </c>
      <c r="G126" s="34">
        <v>15</v>
      </c>
      <c r="H126" s="20">
        <f t="shared" si="29"/>
        <v>19</v>
      </c>
      <c r="I126" s="34">
        <v>15</v>
      </c>
      <c r="J126" s="34">
        <v>4</v>
      </c>
      <c r="AF126" s="29" t="s">
        <v>16</v>
      </c>
      <c r="AG126" s="29">
        <v>3753</v>
      </c>
    </row>
    <row r="127" spans="1:33" x14ac:dyDescent="0.25">
      <c r="A127" s="1" t="s">
        <v>21</v>
      </c>
      <c r="B127" s="23">
        <f t="shared" si="27"/>
        <v>28</v>
      </c>
      <c r="C127" s="34">
        <v>9</v>
      </c>
      <c r="D127" s="34">
        <v>19</v>
      </c>
      <c r="E127" s="20">
        <f t="shared" si="28"/>
        <v>36</v>
      </c>
      <c r="F127" s="34">
        <v>18</v>
      </c>
      <c r="G127" s="34">
        <v>18</v>
      </c>
      <c r="H127" s="20">
        <f t="shared" si="29"/>
        <v>68</v>
      </c>
      <c r="I127" s="34">
        <v>50</v>
      </c>
      <c r="J127" s="34">
        <v>18</v>
      </c>
      <c r="AE127" s="29" t="s">
        <v>50</v>
      </c>
      <c r="AF127" s="29" t="s">
        <v>15</v>
      </c>
      <c r="AG127" s="29">
        <v>3654</v>
      </c>
    </row>
    <row r="128" spans="1:33" x14ac:dyDescent="0.25">
      <c r="A128" s="2" t="s">
        <v>7</v>
      </c>
      <c r="B128" s="24">
        <f t="shared" si="27"/>
        <v>245</v>
      </c>
      <c r="C128" s="36">
        <v>105</v>
      </c>
      <c r="D128" s="36">
        <v>140</v>
      </c>
      <c r="E128" s="37">
        <f t="shared" si="28"/>
        <v>140</v>
      </c>
      <c r="F128" s="36">
        <v>78</v>
      </c>
      <c r="G128" s="36">
        <v>62</v>
      </c>
      <c r="H128" s="37">
        <f t="shared" si="29"/>
        <v>45</v>
      </c>
      <c r="I128" s="36">
        <v>31</v>
      </c>
      <c r="J128" s="36">
        <v>14</v>
      </c>
      <c r="AF128" s="29" t="s">
        <v>16</v>
      </c>
      <c r="AG128" s="29">
        <v>3539</v>
      </c>
    </row>
    <row r="129" spans="1:33" x14ac:dyDescent="0.25">
      <c r="A129" s="5" t="s">
        <v>23</v>
      </c>
      <c r="B129" s="14"/>
      <c r="C129" s="14"/>
      <c r="D129" s="14"/>
      <c r="E129" s="14"/>
      <c r="F129" s="14"/>
      <c r="G129" s="14"/>
      <c r="H129" s="14"/>
      <c r="I129" s="14"/>
      <c r="J129" s="28" t="s">
        <v>24</v>
      </c>
      <c r="AE129" s="29" t="s">
        <v>51</v>
      </c>
      <c r="AF129" s="29" t="s">
        <v>15</v>
      </c>
      <c r="AG129" s="29">
        <v>3397</v>
      </c>
    </row>
    <row r="130" spans="1:33" x14ac:dyDescent="0.25">
      <c r="AF130" s="29" t="s">
        <v>16</v>
      </c>
      <c r="AG130" s="29">
        <v>3229</v>
      </c>
    </row>
    <row r="131" spans="1:33" x14ac:dyDescent="0.25">
      <c r="AE131" s="29" t="s">
        <v>52</v>
      </c>
      <c r="AF131" s="29" t="s">
        <v>15</v>
      </c>
      <c r="AG131" s="29">
        <v>3049</v>
      </c>
    </row>
    <row r="132" spans="1:33" x14ac:dyDescent="0.25">
      <c r="AF132" s="29" t="s">
        <v>16</v>
      </c>
      <c r="AG132" s="29">
        <v>2982</v>
      </c>
    </row>
    <row r="133" spans="1:33" x14ac:dyDescent="0.25">
      <c r="AE133" s="29" t="s">
        <v>53</v>
      </c>
      <c r="AF133" s="29" t="s">
        <v>15</v>
      </c>
      <c r="AG133" s="29">
        <v>2779</v>
      </c>
    </row>
    <row r="134" spans="1:33" x14ac:dyDescent="0.25">
      <c r="AF134" s="29" t="s">
        <v>16</v>
      </c>
      <c r="AG134" s="29">
        <v>2763</v>
      </c>
    </row>
    <row r="135" spans="1:33" x14ac:dyDescent="0.25">
      <c r="AE135" s="29" t="s">
        <v>54</v>
      </c>
      <c r="AF135" s="29" t="s">
        <v>15</v>
      </c>
      <c r="AG135" s="29">
        <v>2796</v>
      </c>
    </row>
    <row r="136" spans="1:33" x14ac:dyDescent="0.25">
      <c r="AF136" s="29" t="s">
        <v>16</v>
      </c>
      <c r="AG136" s="29">
        <v>2581</v>
      </c>
    </row>
    <row r="137" spans="1:33" x14ac:dyDescent="0.25">
      <c r="AE137" s="29" t="s">
        <v>55</v>
      </c>
      <c r="AF137" s="29" t="s">
        <v>15</v>
      </c>
      <c r="AG137" s="29">
        <v>2906</v>
      </c>
    </row>
    <row r="138" spans="1:33" x14ac:dyDescent="0.25">
      <c r="AF138" s="29" t="s">
        <v>16</v>
      </c>
      <c r="AG138" s="29">
        <v>2592</v>
      </c>
    </row>
    <row r="139" spans="1:33" x14ac:dyDescent="0.25">
      <c r="AE139" s="29" t="s">
        <v>56</v>
      </c>
      <c r="AF139" s="29" t="s">
        <v>15</v>
      </c>
      <c r="AG139" s="29">
        <v>2977</v>
      </c>
    </row>
    <row r="140" spans="1:33" x14ac:dyDescent="0.25">
      <c r="AF140" s="29" t="s">
        <v>16</v>
      </c>
      <c r="AG140" s="29">
        <v>2675</v>
      </c>
    </row>
    <row r="141" spans="1:33" x14ac:dyDescent="0.25">
      <c r="AE141" s="29" t="s">
        <v>57</v>
      </c>
      <c r="AF141" s="29" t="s">
        <v>15</v>
      </c>
      <c r="AG141" s="29">
        <v>3039</v>
      </c>
    </row>
    <row r="142" spans="1:33" x14ac:dyDescent="0.25">
      <c r="AF142" s="29" t="s">
        <v>16</v>
      </c>
      <c r="AG142" s="29">
        <v>2822</v>
      </c>
    </row>
    <row r="143" spans="1:33" x14ac:dyDescent="0.25">
      <c r="AE143" s="29" t="s">
        <v>58</v>
      </c>
      <c r="AF143" s="29" t="s">
        <v>15</v>
      </c>
      <c r="AG143" s="29">
        <v>2944</v>
      </c>
    </row>
    <row r="144" spans="1:33" x14ac:dyDescent="0.25">
      <c r="AF144" s="29" t="s">
        <v>16</v>
      </c>
      <c r="AG144" s="29">
        <v>2799</v>
      </c>
    </row>
    <row r="145" spans="31:33" x14ac:dyDescent="0.25">
      <c r="AE145" s="29" t="s">
        <v>59</v>
      </c>
      <c r="AF145" s="29" t="s">
        <v>15</v>
      </c>
      <c r="AG145" s="29">
        <v>880</v>
      </c>
    </row>
    <row r="146" spans="31:33" x14ac:dyDescent="0.25">
      <c r="AF146" s="29" t="s">
        <v>16</v>
      </c>
      <c r="AG146" s="29">
        <v>1244</v>
      </c>
    </row>
    <row r="147" spans="31:33" x14ac:dyDescent="0.25">
      <c r="AE147" s="29" t="s">
        <v>60</v>
      </c>
      <c r="AF147" s="29" t="s">
        <v>15</v>
      </c>
      <c r="AG147" s="29">
        <v>896</v>
      </c>
    </row>
    <row r="148" spans="31:33" x14ac:dyDescent="0.25">
      <c r="AF148" s="29" t="s">
        <v>16</v>
      </c>
      <c r="AG148" s="29">
        <v>1100</v>
      </c>
    </row>
    <row r="149" spans="31:33" x14ac:dyDescent="0.25">
      <c r="AE149" s="29" t="s">
        <v>47</v>
      </c>
      <c r="AF149" s="29" t="s">
        <v>15</v>
      </c>
      <c r="AG149" s="29">
        <v>255</v>
      </c>
    </row>
    <row r="150" spans="31:33" x14ac:dyDescent="0.25">
      <c r="AF150" s="29" t="s">
        <v>16</v>
      </c>
      <c r="AG150" s="29">
        <v>113</v>
      </c>
    </row>
  </sheetData>
  <mergeCells count="18">
    <mergeCell ref="B79:D79"/>
    <mergeCell ref="E79:G79"/>
    <mergeCell ref="H79:J79"/>
    <mergeCell ref="B104:D104"/>
    <mergeCell ref="E104:G104"/>
    <mergeCell ref="H104:J104"/>
    <mergeCell ref="B29:D29"/>
    <mergeCell ref="E29:G29"/>
    <mergeCell ref="H29:J29"/>
    <mergeCell ref="B54:D54"/>
    <mergeCell ref="E54:G54"/>
    <mergeCell ref="H54:J54"/>
    <mergeCell ref="A2:J2"/>
    <mergeCell ref="A3:J3"/>
    <mergeCell ref="A4:A5"/>
    <mergeCell ref="B4:D4"/>
    <mergeCell ref="E4:G4"/>
    <mergeCell ref="H4:J4"/>
  </mergeCells>
  <pageMargins left="0.17" right="0.27" top="0.35" bottom="0.26" header="0.17" footer="0.17"/>
  <pageSetup scale="92" orientation="portrait" horizontalDpi="4294967295" verticalDpi="4294967295" r:id="rId1"/>
  <rowBreaks count="2" manualBreakCount="2">
    <brk id="53" max="9" man="1"/>
    <brk id="10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2017-06-08T08:00:05Z</cp:lastPrinted>
  <dcterms:created xsi:type="dcterms:W3CDTF">2014-03-05T03:36:41Z</dcterms:created>
  <dcterms:modified xsi:type="dcterms:W3CDTF">2017-06-08T08:00:09Z</dcterms:modified>
</cp:coreProperties>
</file>