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9" sheetId="55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'8.29'!$A$1:$Q$36</definedName>
  </definedNames>
  <calcPr calcId="144525"/>
</workbook>
</file>

<file path=xl/calcChain.xml><?xml version="1.0" encoding="utf-8"?>
<calcChain xmlns="http://schemas.openxmlformats.org/spreadsheetml/2006/main">
  <c r="N16" i="55" l="1"/>
  <c r="K16" i="55"/>
  <c r="E16" i="55"/>
  <c r="B16" i="55"/>
  <c r="N15" i="55"/>
  <c r="K15" i="55"/>
  <c r="E15" i="55"/>
  <c r="B15" i="55"/>
  <c r="N14" i="55"/>
  <c r="K14" i="55"/>
  <c r="E14" i="55"/>
  <c r="B14" i="55"/>
  <c r="N13" i="55"/>
  <c r="K13" i="55"/>
  <c r="E13" i="55"/>
  <c r="B13" i="55"/>
  <c r="N12" i="55"/>
  <c r="K12" i="55"/>
  <c r="E12" i="55"/>
  <c r="B12" i="55"/>
  <c r="N11" i="55"/>
  <c r="K11" i="55"/>
  <c r="E11" i="55"/>
  <c r="B11" i="55"/>
  <c r="N10" i="55"/>
  <c r="K10" i="55"/>
  <c r="E10" i="55"/>
  <c r="B10" i="55"/>
  <c r="N9" i="55"/>
  <c r="K9" i="55"/>
  <c r="E9" i="55"/>
  <c r="B9" i="55"/>
  <c r="N8" i="55"/>
  <c r="K8" i="55"/>
  <c r="E8" i="55"/>
  <c r="B8" i="55"/>
  <c r="P7" i="55"/>
  <c r="O7" i="55"/>
  <c r="N7" i="55" s="1"/>
  <c r="M7" i="55"/>
  <c r="L7" i="55"/>
  <c r="K7" i="55"/>
  <c r="G7" i="55"/>
  <c r="F7" i="55"/>
  <c r="E7" i="55"/>
  <c r="D7" i="55"/>
  <c r="B7" i="55" s="1"/>
  <c r="C7" i="5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<sst xmlns="http://schemas.openxmlformats.org/spreadsheetml/2006/main" count="214" uniqueCount="93">
  <si>
    <t>Total</t>
  </si>
  <si>
    <t>Source: Department of Judicial Administration</t>
  </si>
  <si>
    <t>އެހެނިހެން</t>
  </si>
  <si>
    <t>Both Sexes</t>
  </si>
  <si>
    <t>Female</t>
  </si>
  <si>
    <t>ދެޖިންސް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</si>
  <si>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</si>
  <si>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</si>
  <si>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</si>
  <si>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</si>
  <si>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</si>
  <si>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</si>
  <si>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</si>
  <si>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</si>
  <si>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</si>
  <si>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</si>
  <si>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</si>
  <si>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</si>
  <si>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</si>
  <si>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</si>
  <si>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</si>
  <si>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</si>
  <si>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</si>
  <si>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</si>
  <si>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</si>
  <si>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</si>
  <si>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</si>
  <si>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</si>
  <si>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</si>
  <si>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</si>
  <si>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</si>
  <si>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</si>
  <si>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</si>
  <si>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</si>
  <si>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</si>
  <si>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</si>
  <si>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</si>
  <si>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</si>
  <si>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</si>
  <si>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</si>
  <si>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</si>
  <si>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</si>
  <si>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</si>
  <si>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</si>
  <si>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</si>
  <si>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</si>
  <si>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</si>
  <si>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</si>
  <si>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</si>
  <si>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</si>
  <si>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</si>
  <si>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</si>
  <si>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</si>
  <si>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</si>
  <si>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</si>
  <si>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</si>
  <si>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</si>
  <si>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</si>
  <si>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</si>
  <si>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</si>
  <si>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</si>
  <si>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</si>
  <si>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</si>
  <si>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</si>
  <si>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</si>
  <si>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</si>
  <si>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</si>
  <si>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</si>
  <si>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</si>
  <si>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</si>
  <si>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ތާވަލު 8.29: ރަޖިސްޓްރީކުރެވިފައިވާ ޤާނޫނީ ވަކީލުންގެ އަދަދު އަދި ތަޢުލީމީ ފެންވަރު، 2014 - 2016</t>
  </si>
  <si>
    <t>TABLE 8.29: REGISTERED LAWYERS IN SERVICE, BY QUALIFICATION AND SEX, 2014 - 2016</t>
  </si>
  <si>
    <t>Qualification</t>
  </si>
  <si>
    <t xml:space="preserve">Male </t>
  </si>
  <si>
    <t xml:space="preserve">ތަޢުލީމީ ފެންވަރު 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</si>
  <si>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</si>
  <si>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</si>
  <si>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</si>
  <si>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</si>
  <si>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</si>
  <si>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</si>
  <si>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</si>
  <si>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</si>
  <si>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</si>
  <si>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</si>
  <si>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</si>
  <si>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</si>
  <si>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</si>
  <si>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</si>
  <si>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</si>
  <si>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</si>
  <si>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</si>
  <si>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t xml:space="preserve">ނޯޓް: މި މިޢުލޫމާތަކީ 2014 ވަނަ އަހަރުގެ ނިޔަލަށް ޤާނޫނީ ވަކީލުންގެ ދަފްތަރުގައި ރަޖިސްޓްރީ ކޮށްފައިވާ ޤާނޫނީ ވަކީލުންގެ މަޢުލޫމާތެވެ. އަދި 2015 އަދި 2016 ގައި އެވަނީ އެއަހަރަކު އަލަށް ރަޖިސްޓްރީކުރެވުނު ޤާނޫނީ ވަކީލުންގެ އަދަދެވެ.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</si>
</sst>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sz val="10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23" applyNumberFormat="0" applyFill="0" applyAlignment="0" applyProtection="0"/>
    <xf numFmtId="0" fontId="11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23" applyNumberFormat="0" applyFill="0" applyAlignment="0" applyProtection="0"/>
    <xf numFmtId="0" fontId="22" fillId="0" borderId="25" applyNumberFormat="0" applyFill="0" applyAlignment="0" applyProtection="0"/>
    <xf numFmtId="0" fontId="23" fillId="0" borderId="2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27" applyNumberFormat="0" applyAlignment="0" applyProtection="0"/>
    <xf numFmtId="0" fontId="28" fillId="8" borderId="28" applyNumberFormat="0" applyAlignment="0" applyProtection="0"/>
    <xf numFmtId="0" fontId="29" fillId="8" borderId="27" applyNumberFormat="0" applyAlignment="0" applyProtection="0"/>
    <xf numFmtId="0" fontId="30" fillId="0" borderId="29" applyNumberFormat="0" applyFill="0" applyAlignment="0" applyProtection="0"/>
    <xf numFmtId="0" fontId="31" fillId="9" borderId="30" applyNumberFormat="0" applyAlignment="0" applyProtection="0"/>
    <xf numFmtId="0" fontId="18" fillId="0" borderId="0" applyNumberFormat="0" applyFill="0" applyBorder="0" applyAlignment="0" applyProtection="0"/>
    <xf numFmtId="0" fontId="1" fillId="10" borderId="31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32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11" fillId="0" borderId="0"/>
  </cellStyleXfs>
  <cellXfs count="13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9" fillId="2" borderId="6" xfId="0" applyNumberFormat="1" applyFont="1" applyFill="1" applyBorder="1"/>
    <xf numFmtId="169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4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left" vertical="center" wrapText="1"/>
    </xf>
    <xf numFmtId="3" fontId="4" fillId="2" borderId="24" xfId="1" applyNumberFormat="1" applyFont="1" applyFill="1" applyBorder="1" applyAlignment="1"/>
    <xf numFmtId="3" fontId="3" fillId="2" borderId="24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1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5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vertical="center"/>
    </xf>
    <xf numFmtId="164" fontId="34" fillId="2" borderId="5" xfId="0" applyNumberFormat="1" applyFont="1" applyFill="1" applyBorder="1" applyAlignment="1" applyProtection="1">
      <alignment horizontal="fill" vertical="center"/>
    </xf>
    <xf numFmtId="164" fontId="9" fillId="2" borderId="15" xfId="0" applyNumberFormat="1" applyFont="1" applyFill="1" applyBorder="1"/>
    <xf numFmtId="164" fontId="9" fillId="2" borderId="15" xfId="0" applyNumberFormat="1" applyFont="1" applyFill="1" applyBorder="1" applyAlignment="1">
      <alignment vertical="center"/>
    </xf>
    <xf numFmtId="164" fontId="9" fillId="2" borderId="6" xfId="0" applyNumberFormat="1" applyFont="1" applyFill="1" applyBorder="1" applyAlignment="1">
      <alignment vertical="center"/>
    </xf>
    <xf numFmtId="164" fontId="2" fillId="2" borderId="35" xfId="0" applyNumberFormat="1" applyFont="1" applyFill="1" applyBorder="1" applyAlignment="1" applyProtection="1">
      <alignment horizontal="right" vertical="center"/>
    </xf>
    <xf numFmtId="164" fontId="2" fillId="2" borderId="36" xfId="0" applyNumberFormat="1" applyFont="1" applyFill="1" applyBorder="1" applyAlignment="1" applyProtection="1">
      <alignment horizontal="right" vertical="center"/>
    </xf>
    <xf numFmtId="164" fontId="2" fillId="2" borderId="16" xfId="0" applyNumberFormat="1" applyFont="1" applyFill="1" applyBorder="1" applyAlignment="1" applyProtection="1">
      <alignment horizontal="right" vertical="center"/>
    </xf>
    <xf numFmtId="164" fontId="2" fillId="2" borderId="37" xfId="0" applyNumberFormat="1" applyFont="1" applyFill="1" applyBorder="1" applyAlignment="1" applyProtection="1">
      <alignment horizontal="right" vertical="center"/>
    </xf>
    <xf numFmtId="164" fontId="2" fillId="2" borderId="38" xfId="0" applyNumberFormat="1" applyFont="1" applyFill="1" applyBorder="1" applyAlignment="1" applyProtection="1">
      <alignment horizontal="right" vertical="center"/>
    </xf>
    <xf numFmtId="164" fontId="19" fillId="2" borderId="6" xfId="0" applyNumberFormat="1" applyFont="1" applyFill="1" applyBorder="1" applyAlignment="1">
      <alignment vertical="center"/>
    </xf>
    <xf numFmtId="164" fontId="37" fillId="2" borderId="39" xfId="0" applyNumberFormat="1" applyFont="1" applyFill="1" applyBorder="1" applyAlignment="1" applyProtection="1">
      <alignment horizontal="right" vertical="center"/>
    </xf>
    <xf numFmtId="164" fontId="37" fillId="2" borderId="40" xfId="0" applyNumberFormat="1" applyFont="1" applyFill="1" applyBorder="1" applyAlignment="1" applyProtection="1">
      <alignment horizontal="right" vertical="center"/>
    </xf>
    <xf numFmtId="164" fontId="37" fillId="2" borderId="41" xfId="0" applyNumberFormat="1" applyFont="1" applyFill="1" applyBorder="1" applyAlignment="1" applyProtection="1">
      <alignment horizontal="right" vertical="center"/>
    </xf>
    <xf numFmtId="164" fontId="37" fillId="2" borderId="42" xfId="0" applyNumberFormat="1" applyFont="1" applyFill="1" applyBorder="1" applyAlignment="1" applyProtection="1">
      <alignment horizontal="right" vertical="center"/>
    </xf>
    <xf numFmtId="164" fontId="37" fillId="2" borderId="43" xfId="0" applyNumberFormat="1" applyFont="1" applyFill="1" applyBorder="1" applyAlignment="1" applyProtection="1">
      <alignment horizontal="right" vertical="center"/>
    </xf>
    <xf numFmtId="0" fontId="2" fillId="2" borderId="5" xfId="0" applyNumberFormat="1" applyFont="1" applyFill="1" applyBorder="1" applyAlignment="1" applyProtection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0" fontId="2" fillId="2" borderId="45" xfId="0" applyNumberFormat="1" applyFont="1" applyFill="1" applyBorder="1" applyAlignment="1">
      <alignment horizontal="right" vertical="center"/>
    </xf>
    <xf numFmtId="0" fontId="2" fillId="2" borderId="9" xfId="0" applyNumberFormat="1" applyFont="1" applyFill="1" applyBorder="1" applyAlignment="1" applyProtection="1">
      <alignment horizontal="right" vertical="center"/>
    </xf>
    <xf numFmtId="0" fontId="2" fillId="2" borderId="14" xfId="0" applyNumberFormat="1" applyFont="1" applyFill="1" applyBorder="1" applyAlignment="1">
      <alignment horizontal="right" vertical="center"/>
    </xf>
    <xf numFmtId="0" fontId="2" fillId="2" borderId="46" xfId="0" applyNumberFormat="1" applyFont="1" applyFill="1" applyBorder="1" applyAlignment="1" applyProtection="1">
      <alignment horizontal="right" vertical="center"/>
    </xf>
    <xf numFmtId="164" fontId="36" fillId="2" borderId="5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horizontal="right" vertical="center"/>
    </xf>
    <xf numFmtId="0" fontId="0" fillId="2" borderId="5" xfId="0" applyNumberFormat="1" applyFont="1" applyFill="1" applyBorder="1" applyAlignment="1" applyProtection="1">
      <alignment horizontal="right" vertical="center"/>
      <protection locked="0"/>
    </xf>
    <xf numFmtId="0" fontId="0" fillId="2" borderId="45" xfId="0" applyNumberFormat="1" applyFont="1" applyFill="1" applyBorder="1" applyAlignment="1" applyProtection="1">
      <alignment horizontal="right" vertical="center"/>
      <protection locked="0"/>
    </xf>
    <xf numFmtId="0" fontId="0" fillId="2" borderId="15" xfId="0" applyNumberFormat="1" applyFont="1" applyFill="1" applyBorder="1" applyAlignment="1" applyProtection="1">
      <alignment horizontal="right" vertical="center"/>
    </xf>
    <xf numFmtId="0" fontId="0" fillId="2" borderId="14" xfId="0" applyNumberFormat="1" applyFont="1" applyFill="1" applyBorder="1" applyAlignment="1" applyProtection="1">
      <alignment horizontal="right" vertical="center"/>
      <protection locked="0"/>
    </xf>
    <xf numFmtId="0" fontId="0" fillId="2" borderId="47" xfId="0" applyNumberFormat="1" applyFont="1" applyFill="1" applyBorder="1" applyAlignment="1" applyProtection="1">
      <alignment horizontal="right" vertical="center"/>
    </xf>
    <xf numFmtId="0" fontId="0" fillId="2" borderId="48" xfId="0" applyNumberFormat="1" applyFont="1" applyFill="1" applyBorder="1" applyAlignment="1" applyProtection="1">
      <alignment horizontal="right" vertical="center"/>
    </xf>
    <xf numFmtId="164" fontId="35" fillId="2" borderId="6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vertical="center"/>
    </xf>
    <xf numFmtId="164" fontId="0" fillId="2" borderId="5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horizontal="right" vertical="center"/>
      <protection locked="0"/>
    </xf>
    <xf numFmtId="0" fontId="0" fillId="2" borderId="50" xfId="0" applyNumberFormat="1" applyFont="1" applyFill="1" applyBorder="1" applyAlignment="1" applyProtection="1">
      <alignment horizontal="right" vertical="center"/>
      <protection locked="0"/>
    </xf>
    <xf numFmtId="0" fontId="0" fillId="2" borderId="10" xfId="0" applyNumberFormat="1" applyFont="1" applyFill="1" applyBorder="1" applyAlignment="1" applyProtection="1">
      <alignment horizontal="right" vertical="center"/>
      <protection locked="0"/>
    </xf>
    <xf numFmtId="164" fontId="0" fillId="2" borderId="8" xfId="0" applyNumberFormat="1" applyFont="1" applyFill="1" applyBorder="1" applyAlignment="1" applyProtection="1">
      <alignment vertical="center"/>
    </xf>
    <xf numFmtId="0" fontId="0" fillId="2" borderId="8" xfId="0" applyNumberFormat="1" applyFont="1" applyFill="1" applyBorder="1" applyAlignment="1" applyProtection="1">
      <alignment horizontal="right" vertical="center"/>
    </xf>
    <xf numFmtId="0" fontId="0" fillId="2" borderId="8" xfId="0" applyNumberFormat="1" applyFont="1" applyFill="1" applyBorder="1" applyAlignment="1" applyProtection="1">
      <alignment horizontal="right" vertical="center"/>
      <protection locked="0"/>
    </xf>
    <xf numFmtId="0" fontId="0" fillId="2" borderId="51" xfId="0" applyNumberFormat="1" applyFont="1" applyFill="1" applyBorder="1" applyAlignment="1" applyProtection="1">
      <alignment horizontal="right" vertical="center"/>
      <protection locked="0"/>
    </xf>
    <xf numFmtId="0" fontId="0" fillId="2" borderId="33" xfId="0" applyNumberFormat="1" applyFont="1" applyFill="1" applyBorder="1" applyAlignment="1" applyProtection="1">
      <alignment horizontal="right" vertical="center"/>
    </xf>
    <xf numFmtId="0" fontId="0" fillId="2" borderId="17" xfId="0" applyNumberFormat="1" applyFont="1" applyFill="1" applyBorder="1" applyAlignment="1" applyProtection="1">
      <alignment horizontal="right" vertical="center"/>
      <protection locked="0"/>
    </xf>
    <xf numFmtId="0" fontId="0" fillId="2" borderId="52" xfId="0" applyNumberFormat="1" applyFont="1" applyFill="1" applyBorder="1" applyAlignment="1" applyProtection="1">
      <alignment horizontal="right" vertical="center"/>
    </xf>
    <xf numFmtId="0" fontId="0" fillId="2" borderId="53" xfId="0" applyNumberFormat="1" applyFont="1" applyFill="1" applyBorder="1" applyAlignment="1" applyProtection="1">
      <alignment horizontal="right" vertical="center"/>
    </xf>
    <xf numFmtId="0" fontId="2" fillId="2" borderId="52" xfId="0" applyNumberFormat="1" applyFont="1" applyFill="1" applyBorder="1" applyAlignment="1" applyProtection="1">
      <alignment horizontal="right" vertical="center"/>
    </xf>
    <xf numFmtId="164" fontId="35" fillId="2" borderId="8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>
      <alignment vertical="center"/>
    </xf>
    <xf numFmtId="0" fontId="12" fillId="2" borderId="5" xfId="0" applyNumberFormat="1" applyFont="1" applyFill="1" applyBorder="1" applyAlignment="1" applyProtection="1">
      <alignment horizontal="center" vertical="center"/>
    </xf>
    <xf numFmtId="164" fontId="9" fillId="2" borderId="6" xfId="0" applyNumberFormat="1" applyFont="1" applyFill="1" applyBorder="1" applyAlignment="1">
      <alignment horizontal="center"/>
    </xf>
    <xf numFmtId="164" fontId="38" fillId="2" borderId="6" xfId="0" applyNumberFormat="1" applyFont="1" applyFill="1" applyBorder="1" applyAlignment="1">
      <alignment horizontal="right" readingOrder="2"/>
    </xf>
    <xf numFmtId="164" fontId="2" fillId="2" borderId="0" xfId="0" applyNumberFormat="1" applyFont="1" applyFill="1" applyBorder="1" applyAlignment="1" applyProtection="1">
      <alignment horizontal="right" vertical="center"/>
    </xf>
    <xf numFmtId="164" fontId="9" fillId="2" borderId="15" xfId="0" applyNumberFormat="1" applyFont="1" applyFill="1" applyBorder="1" applyAlignment="1">
      <alignment horizontal="left"/>
    </xf>
    <xf numFmtId="164" fontId="2" fillId="2" borderId="12" xfId="0" applyNumberFormat="1" applyFont="1" applyFill="1" applyBorder="1" applyAlignment="1" applyProtection="1">
      <alignment horizontal="left" vertical="center"/>
    </xf>
    <xf numFmtId="0" fontId="0" fillId="2" borderId="49" xfId="0" applyNumberFormat="1" applyFont="1" applyFill="1" applyBorder="1" applyAlignment="1" applyProtection="1">
      <alignment horizontal="right" vertical="center"/>
    </xf>
    <xf numFmtId="0" fontId="0" fillId="2" borderId="54" xfId="0" applyNumberFormat="1" applyFont="1" applyFill="1" applyBorder="1" applyAlignment="1" applyProtection="1">
      <alignment horizontal="right" vertical="center"/>
    </xf>
    <xf numFmtId="164" fontId="12" fillId="2" borderId="14" xfId="0" applyNumberFormat="1" applyFont="1" applyFill="1" applyBorder="1" applyAlignment="1" applyProtection="1">
      <alignment vertical="center"/>
    </xf>
    <xf numFmtId="3" fontId="12" fillId="2" borderId="14" xfId="0" applyNumberFormat="1" applyFont="1" applyFill="1" applyBorder="1" applyAlignment="1" applyProtection="1">
      <alignment vertical="center"/>
    </xf>
    <xf numFmtId="164" fontId="12" fillId="2" borderId="10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1" xfId="1" applyNumberFormat="1" applyFont="1" applyFill="1" applyBorder="1" applyAlignment="1">
      <alignment horizontal="center" vertical="center" wrapText="1"/>
    </xf>
    <xf numFmtId="166" fontId="3" fillId="2" borderId="1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left"/>
    </xf>
    <xf numFmtId="164" fontId="9" fillId="2" borderId="18" xfId="0" applyNumberFormat="1" applyFont="1" applyFill="1" applyBorder="1" applyAlignment="1">
      <alignment horizontal="left"/>
    </xf>
    <xf numFmtId="164" fontId="9" fillId="2" borderId="15" xfId="0" applyNumberFormat="1" applyFont="1" applyFill="1" applyBorder="1" applyAlignment="1">
      <alignment horizontal="left"/>
    </xf>
    <xf numFmtId="164" fontId="36" fillId="2" borderId="0" xfId="0" applyNumberFormat="1" applyFont="1" applyFill="1" applyBorder="1" applyAlignment="1">
      <alignment horizontal="center"/>
    </xf>
    <xf numFmtId="164" fontId="36" fillId="2" borderId="19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 applyProtection="1">
      <alignment horizontal="center" vertical="center" wrapText="1"/>
    </xf>
    <xf numFmtId="164" fontId="2" fillId="2" borderId="34" xfId="0" applyNumberFormat="1" applyFont="1" applyFill="1" applyBorder="1" applyAlignment="1" applyProtection="1">
      <alignment horizontal="center" vertical="center" wrapText="1"/>
    </xf>
    <xf numFmtId="164" fontId="2" fillId="2" borderId="4" xfId="0" applyNumberFormat="1" applyFont="1" applyFill="1" applyBorder="1" applyAlignment="1" applyProtection="1">
      <alignment horizontal="center" vertical="center" wrapText="1"/>
    </xf>
    <xf numFmtId="164" fontId="2" fillId="2" borderId="20" xfId="0" applyNumberFormat="1" applyFont="1" applyFill="1" applyBorder="1" applyAlignment="1" applyProtection="1">
      <alignment horizontal="center" vertical="center" wrapText="1"/>
    </xf>
    <xf numFmtId="164" fontId="2" fillId="2" borderId="22" xfId="0" applyNumberFormat="1" applyFont="1" applyFill="1" applyBorder="1" applyAlignment="1" applyProtection="1">
      <alignment horizontal="left" vertical="center"/>
    </xf>
    <xf numFmtId="164" fontId="2" fillId="2" borderId="12" xfId="0" applyNumberFormat="1" applyFont="1" applyFill="1" applyBorder="1" applyAlignment="1" applyProtection="1">
      <alignment horizontal="left" vertical="center"/>
    </xf>
    <xf numFmtId="164" fontId="2" fillId="2" borderId="21" xfId="0" applyNumberFormat="1" applyFont="1" applyFill="1" applyBorder="1" applyAlignment="1" applyProtection="1">
      <alignment horizontal="left" vertical="center"/>
    </xf>
    <xf numFmtId="164" fontId="36" fillId="2" borderId="22" xfId="0" applyNumberFormat="1" applyFont="1" applyFill="1" applyBorder="1" applyAlignment="1">
      <alignment horizontal="right" vertical="center"/>
    </xf>
    <xf numFmtId="164" fontId="36" fillId="2" borderId="12" xfId="0" applyNumberFormat="1" applyFont="1" applyFill="1" applyBorder="1" applyAlignment="1">
      <alignment horizontal="right" vertical="center"/>
    </xf>
    <xf numFmtId="164" fontId="36" fillId="2" borderId="21" xfId="0" applyNumberFormat="1" applyFont="1" applyFill="1" applyBorder="1" applyAlignment="1">
      <alignment horizontal="right" vertical="center"/>
    </xf>
    <xf numFmtId="164" fontId="10" fillId="2" borderId="34" xfId="0" applyNumberFormat="1" applyFont="1" applyFill="1" applyBorder="1" applyAlignment="1" applyProtection="1">
      <alignment horizontal="center" vertical="center"/>
    </xf>
    <xf numFmtId="164" fontId="10" fillId="2" borderId="4" xfId="0" applyNumberFormat="1" applyFont="1" applyFill="1" applyBorder="1" applyAlignment="1" applyProtection="1">
      <alignment horizontal="center" vertical="center"/>
    </xf>
    <xf numFmtId="164" fontId="10" fillId="2" borderId="44" xfId="0" applyNumberFormat="1" applyFont="1" applyFill="1" applyBorder="1" applyAlignment="1" applyProtection="1">
      <alignment horizontal="center" vertical="center"/>
    </xf>
    <xf numFmtId="164" fontId="10" fillId="2" borderId="13" xfId="0" applyNumberFormat="1" applyFont="1" applyFill="1" applyBorder="1" applyAlignment="1" applyProtection="1">
      <alignment horizontal="center" vertical="center"/>
    </xf>
    <xf numFmtId="164" fontId="10" fillId="2" borderId="20" xfId="0" applyNumberFormat="1" applyFont="1" applyFill="1" applyBorder="1" applyAlignment="1" applyProtection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50080"/>
        <c:axId val="76321920"/>
      </c:barChart>
      <c:catAx>
        <c:axId val="6075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321920"/>
        <c:crosses val="autoZero"/>
        <c:auto val="1"/>
        <c:lblAlgn val="ctr"/>
        <c:lblOffset val="100"/>
        <c:noMultiLvlLbl val="0"/>
      </c:catAx>
      <c:valAx>
        <c:axId val="7632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6075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53184"/>
        <c:axId val="41054976"/>
      </c:barChart>
      <c:catAx>
        <c:axId val="410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054976"/>
        <c:crosses val="autoZero"/>
        <c:auto val="1"/>
        <c:lblAlgn val="ctr"/>
        <c:lblOffset val="100"/>
        <c:noMultiLvlLbl val="0"/>
      </c:catAx>
      <c:valAx>
        <c:axId val="41054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053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7376"/>
        <c:axId val="41288064"/>
      </c:barChart>
      <c:catAx>
        <c:axId val="4107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288064"/>
        <c:crosses val="autoZero"/>
        <c:auto val="1"/>
        <c:lblAlgn val="ctr"/>
        <c:lblOffset val="100"/>
        <c:noMultiLvlLbl val="0"/>
      </c:catAx>
      <c:valAx>
        <c:axId val="41288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077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14560"/>
        <c:axId val="41320448"/>
      </c:barChart>
      <c:catAx>
        <c:axId val="413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320448"/>
        <c:crosses val="autoZero"/>
        <c:auto val="1"/>
        <c:lblAlgn val="ctr"/>
        <c:lblOffset val="100"/>
        <c:noMultiLvlLbl val="0"/>
      </c:catAx>
      <c:valAx>
        <c:axId val="41320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31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45632"/>
        <c:axId val="41451520"/>
      </c:barChart>
      <c:catAx>
        <c:axId val="4144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1451520"/>
        <c:crosses val="autoZero"/>
        <c:auto val="1"/>
        <c:lblAlgn val="ctr"/>
        <c:lblOffset val="100"/>
        <c:noMultiLvlLbl val="0"/>
      </c:catAx>
      <c:valAx>
        <c:axId val="41451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4144563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78912"/>
        <c:axId val="60680448"/>
      </c:barChart>
      <c:catAx>
        <c:axId val="6067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0680448"/>
        <c:crosses val="autoZero"/>
        <c:auto val="1"/>
        <c:lblAlgn val="ctr"/>
        <c:lblOffset val="100"/>
        <c:noMultiLvlLbl val="0"/>
      </c:catAx>
      <c:valAx>
        <c:axId val="60680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60678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743232"/>
        <c:axId val="81757312"/>
      </c:barChart>
      <c:catAx>
        <c:axId val="8174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1757312"/>
        <c:crosses val="autoZero"/>
        <c:auto val="1"/>
        <c:lblAlgn val="ctr"/>
        <c:lblOffset val="100"/>
        <c:noMultiLvlLbl val="0"/>
      </c:catAx>
      <c:valAx>
        <c:axId val="8175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174323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737189582071473"/>
          <c:y val="0.22766510605093282"/>
          <c:w val="0.71388895618816883"/>
          <c:h val="0.67855359296304174"/>
        </c:manualLayout>
      </c:layout>
      <c:pie3D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  <c:spPr>
              <a:solidFill>
                <a:srgbClr val="F8A45E"/>
              </a:solidFill>
            </c:spPr>
          </c:dPt>
          <c:dLbls>
            <c:dLbl>
              <c:idx val="0"/>
              <c:layout>
                <c:manualLayout>
                  <c:x val="-0.17211428453100175"/>
                  <c:y val="7.34163711992141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1399428128683126"/>
                  <c:y val="-0.141862365888474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'8.29'!$O$4:$P$4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'8.29'!$O$7:$P$7</c:f>
              <c:numCache>
                <c:formatCode>General</c:formatCode>
                <c:ptCount val="2"/>
                <c:pt idx="0">
                  <c:v>54</c:v>
                </c:pt>
                <c:pt idx="1">
                  <c:v>78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19</xdr:row>
      <xdr:rowOff>97155</xdr:rowOff>
    </xdr:from>
    <xdr:to>
      <xdr:col>15</xdr:col>
      <xdr:colOff>504825</xdr:colOff>
      <xdr:row>35</xdr:row>
      <xdr:rowOff>112395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21</xdr:row>
      <xdr:rowOff>123825</xdr:rowOff>
    </xdr:from>
    <xdr:to>
      <xdr:col>15</xdr:col>
      <xdr:colOff>57150</xdr:colOff>
      <xdr:row>21</xdr:row>
      <xdr:rowOff>123825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2914650" y="4943475"/>
          <a:ext cx="47815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0.96923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99060" y="121920"/>
          <a:ext cx="4701540" cy="24489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8.38: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2016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103" t="s">
        <v>55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</row>
    <row r="2" spans="1:36">
      <c r="A2" s="104" t="s">
        <v>48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</row>
    <row r="3" spans="1:36" ht="15" customHeight="1">
      <c r="A3" s="105"/>
      <c r="B3" s="105"/>
      <c r="C3" s="107" t="s">
        <v>42</v>
      </c>
      <c r="D3" s="107"/>
      <c r="E3" s="107"/>
      <c r="F3" s="107"/>
      <c r="G3" s="107"/>
      <c r="H3" s="30"/>
      <c r="I3" s="30"/>
      <c r="J3" s="108" t="s">
        <v>8</v>
      </c>
      <c r="K3" s="108"/>
      <c r="L3" s="108"/>
      <c r="M3" s="108"/>
      <c r="N3" s="108"/>
      <c r="O3" s="25"/>
      <c r="P3" s="108" t="s">
        <v>9</v>
      </c>
      <c r="Q3" s="108"/>
      <c r="R3" s="108"/>
      <c r="S3" s="108"/>
      <c r="T3" s="108"/>
      <c r="U3" s="7"/>
      <c r="V3" s="7"/>
      <c r="W3" s="7"/>
      <c r="X3" s="109" t="s">
        <v>10</v>
      </c>
      <c r="Y3" s="109"/>
      <c r="Z3" s="109"/>
      <c r="AA3" s="109"/>
      <c r="AB3" s="109"/>
      <c r="AC3" s="26"/>
      <c r="AD3" s="26"/>
      <c r="AE3" s="109" t="s">
        <v>11</v>
      </c>
      <c r="AF3" s="109"/>
      <c r="AG3" s="109"/>
      <c r="AH3" s="109"/>
      <c r="AI3" s="109"/>
    </row>
    <row r="4" spans="1:36" ht="25.5">
      <c r="A4" s="106"/>
      <c r="B4" s="106"/>
      <c r="C4" s="31" t="s">
        <v>12</v>
      </c>
      <c r="D4" s="31" t="s">
        <v>13</v>
      </c>
      <c r="E4" s="31" t="s">
        <v>7</v>
      </c>
      <c r="F4" s="32" t="s">
        <v>14</v>
      </c>
      <c r="G4" s="31" t="s">
        <v>15</v>
      </c>
      <c r="H4" s="31" t="s">
        <v>50</v>
      </c>
      <c r="I4" s="31" t="s">
        <v>56</v>
      </c>
      <c r="J4" s="14" t="s">
        <v>12</v>
      </c>
      <c r="K4" s="14" t="s">
        <v>13</v>
      </c>
      <c r="L4" s="14" t="s">
        <v>7</v>
      </c>
      <c r="M4" s="15" t="s">
        <v>14</v>
      </c>
      <c r="N4" s="14" t="s">
        <v>15</v>
      </c>
      <c r="O4" s="31" t="s">
        <v>50</v>
      </c>
      <c r="P4" s="14" t="s">
        <v>12</v>
      </c>
      <c r="Q4" s="14" t="s">
        <v>13</v>
      </c>
      <c r="R4" s="14" t="s">
        <v>7</v>
      </c>
      <c r="S4" s="15" t="s">
        <v>14</v>
      </c>
      <c r="T4" s="14" t="s">
        <v>15</v>
      </c>
      <c r="U4" s="31" t="s">
        <v>50</v>
      </c>
      <c r="V4" s="31"/>
      <c r="W4" s="31"/>
      <c r="X4" s="14" t="s">
        <v>12</v>
      </c>
      <c r="Y4" s="14" t="s">
        <v>13</v>
      </c>
      <c r="Z4" s="14" t="s">
        <v>7</v>
      </c>
      <c r="AA4" s="15" t="s">
        <v>14</v>
      </c>
      <c r="AB4" s="14" t="s">
        <v>15</v>
      </c>
      <c r="AC4" s="31" t="s">
        <v>50</v>
      </c>
      <c r="AD4" s="31"/>
      <c r="AE4" s="14" t="s">
        <v>12</v>
      </c>
      <c r="AF4" s="14" t="s">
        <v>13</v>
      </c>
      <c r="AG4" s="14" t="s">
        <v>7</v>
      </c>
      <c r="AH4" s="15" t="s">
        <v>14</v>
      </c>
      <c r="AI4" s="14" t="s">
        <v>15</v>
      </c>
      <c r="AJ4" s="31" t="s">
        <v>50</v>
      </c>
    </row>
    <row r="5" spans="1:36" ht="14.25" customHeight="1">
      <c r="A5" s="24"/>
      <c r="B5" s="28" t="s">
        <v>52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52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52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53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53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53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54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54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54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22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23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24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25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26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27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28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29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30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31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32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33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34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35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36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37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38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39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40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41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16</v>
      </c>
      <c r="B28" s="10" t="s">
        <v>17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16</v>
      </c>
      <c r="B29" s="10" t="s">
        <v>18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16</v>
      </c>
      <c r="B30" s="10" t="s">
        <v>19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16</v>
      </c>
      <c r="B31" s="10" t="s">
        <v>20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16</v>
      </c>
      <c r="B32" s="17" t="s">
        <v>21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49</v>
      </c>
    </row>
    <row r="36" spans="1:35">
      <c r="A36" s="1"/>
      <c r="B36" s="27" t="s">
        <v>50</v>
      </c>
    </row>
    <row r="37" spans="1:35">
      <c r="B37" s="28" t="s">
        <v>42</v>
      </c>
      <c r="C37" s="28" t="s">
        <v>51</v>
      </c>
      <c r="D37" s="28" t="s">
        <v>43</v>
      </c>
      <c r="E37" s="28"/>
      <c r="F37" s="28"/>
    </row>
    <row r="38" spans="1:35">
      <c r="A38" s="28" t="s">
        <v>52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53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54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57</v>
      </c>
      <c r="C42" s="35"/>
      <c r="D42" s="35"/>
    </row>
    <row r="43" spans="1:35">
      <c r="B43" s="28" t="s">
        <v>42</v>
      </c>
      <c r="C43" s="28" t="s">
        <v>51</v>
      </c>
      <c r="D43" s="28" t="s">
        <v>43</v>
      </c>
    </row>
    <row r="44" spans="1:35">
      <c r="A44" s="28" t="s">
        <v>52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53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54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58</v>
      </c>
      <c r="C49" s="35"/>
      <c r="D49" s="35"/>
    </row>
    <row r="50" spans="1:5">
      <c r="B50" s="28" t="s">
        <v>42</v>
      </c>
      <c r="C50" s="28" t="s">
        <v>51</v>
      </c>
      <c r="D50" s="28" t="s">
        <v>43</v>
      </c>
    </row>
    <row r="51" spans="1:5">
      <c r="A51" s="28" t="s">
        <v>52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53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54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45</v>
      </c>
      <c r="C56" s="35" t="s">
        <v>16</v>
      </c>
      <c r="D56" s="35" t="s">
        <v>44</v>
      </c>
    </row>
    <row r="57" spans="1:5">
      <c r="A57" s="35" t="s">
        <v>59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60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58</v>
      </c>
      <c r="B59" s="36">
        <v>14232</v>
      </c>
      <c r="C59" s="36">
        <v>6099</v>
      </c>
      <c r="D59" s="36">
        <v>8133</v>
      </c>
    </row>
    <row r="60" spans="1:5">
      <c r="A60" s="35" t="s">
        <v>57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61</v>
      </c>
    </row>
    <row r="67" spans="1:11">
      <c r="B67" s="35"/>
      <c r="H67" s="35" t="s">
        <v>62</v>
      </c>
    </row>
    <row r="68" spans="1:11">
      <c r="A68" s="1"/>
      <c r="B68" s="35"/>
      <c r="C68" s="35" t="s">
        <v>63</v>
      </c>
      <c r="D68" s="35" t="s">
        <v>64</v>
      </c>
      <c r="E68" s="35" t="s">
        <v>65</v>
      </c>
      <c r="F68" s="35" t="s">
        <v>66</v>
      </c>
      <c r="G68" s="35"/>
      <c r="H68" s="37" t="s">
        <v>67</v>
      </c>
      <c r="I68" s="35" t="s">
        <v>68</v>
      </c>
      <c r="J68" s="35" t="s">
        <v>69</v>
      </c>
      <c r="K68" s="35"/>
    </row>
    <row r="69" spans="1:11">
      <c r="A69" s="1"/>
      <c r="B69" s="35" t="s">
        <v>22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23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24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25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26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27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28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29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30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31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32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33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34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35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36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37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38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39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40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41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19"/>
  <sheetViews>
    <sheetView tabSelected="1" zoomScaleNormal="100" workbookViewId="0">
      <selection activeCell="S18" sqref="S18"/>
    </sheetView>
  </sheetViews>
  <sheetFormatPr defaultColWidth="22.28515625" defaultRowHeight="12.75"/>
  <cols>
    <col min="1" max="1" width="30.85546875" style="90" customWidth="1"/>
    <col min="2" max="7" width="9.85546875" style="4" hidden="1" customWidth="1"/>
    <col min="8" max="10" width="9.85546875" style="4" customWidth="1"/>
    <col min="11" max="11" width="12" style="4" customWidth="1"/>
    <col min="12" max="13" width="9.85546875" style="4" customWidth="1"/>
    <col min="14" max="14" width="13" style="4" customWidth="1"/>
    <col min="15" max="16" width="9.85546875" style="4" customWidth="1"/>
    <col min="17" max="17" width="28.5703125" style="4" customWidth="1"/>
    <col min="18" max="19" width="22.28515625" style="4"/>
    <col min="20" max="21" width="4.28515625" style="4" customWidth="1"/>
    <col min="22" max="22" width="22.28515625" style="4"/>
    <col min="23" max="23" width="6.7109375" style="4" customWidth="1"/>
    <col min="24" max="16384" width="22.28515625" style="4"/>
  </cols>
  <sheetData>
    <row r="1" spans="1:23" ht="21">
      <c r="A1" s="113" t="s">
        <v>70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4"/>
      <c r="R1" s="43"/>
    </row>
    <row r="2" spans="1:23" s="45" customFormat="1" ht="15">
      <c r="A2" s="115" t="s">
        <v>71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44"/>
    </row>
    <row r="3" spans="1:23" s="45" customFormat="1" ht="1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W3" s="4"/>
    </row>
    <row r="4" spans="1:23" s="51" customFormat="1" ht="15" customHeight="1">
      <c r="A4" s="119" t="s">
        <v>72</v>
      </c>
      <c r="B4" s="46" t="s">
        <v>3</v>
      </c>
      <c r="C4" s="46" t="s">
        <v>73</v>
      </c>
      <c r="D4" s="47" t="s">
        <v>4</v>
      </c>
      <c r="E4" s="48" t="s">
        <v>3</v>
      </c>
      <c r="F4" s="46" t="s">
        <v>73</v>
      </c>
      <c r="G4" s="49" t="s">
        <v>4</v>
      </c>
      <c r="H4" s="50" t="s">
        <v>3</v>
      </c>
      <c r="I4" s="46" t="s">
        <v>73</v>
      </c>
      <c r="J4" s="49" t="s">
        <v>4</v>
      </c>
      <c r="K4" s="50" t="s">
        <v>3</v>
      </c>
      <c r="L4" s="46" t="s">
        <v>73</v>
      </c>
      <c r="M4" s="47" t="s">
        <v>4</v>
      </c>
      <c r="N4" s="48" t="s">
        <v>3</v>
      </c>
      <c r="O4" s="46" t="s">
        <v>73</v>
      </c>
      <c r="P4" s="46" t="s">
        <v>4</v>
      </c>
      <c r="Q4" s="122" t="s">
        <v>74</v>
      </c>
      <c r="W4" s="4"/>
    </row>
    <row r="5" spans="1:23" s="51" customFormat="1" ht="18.75">
      <c r="A5" s="120"/>
      <c r="B5" s="52" t="s">
        <v>5</v>
      </c>
      <c r="C5" s="52" t="s">
        <v>46</v>
      </c>
      <c r="D5" s="53" t="s">
        <v>47</v>
      </c>
      <c r="E5" s="54" t="s">
        <v>5</v>
      </c>
      <c r="F5" s="52" t="s">
        <v>46</v>
      </c>
      <c r="G5" s="55" t="s">
        <v>47</v>
      </c>
      <c r="H5" s="56" t="s">
        <v>5</v>
      </c>
      <c r="I5" s="52" t="s">
        <v>46</v>
      </c>
      <c r="J5" s="55" t="s">
        <v>47</v>
      </c>
      <c r="K5" s="56" t="s">
        <v>5</v>
      </c>
      <c r="L5" s="52" t="s">
        <v>46</v>
      </c>
      <c r="M5" s="53" t="s">
        <v>47</v>
      </c>
      <c r="N5" s="54" t="s">
        <v>5</v>
      </c>
      <c r="O5" s="52" t="s">
        <v>46</v>
      </c>
      <c r="P5" s="52" t="s">
        <v>47</v>
      </c>
      <c r="Q5" s="123"/>
      <c r="W5" s="4"/>
    </row>
    <row r="6" spans="1:23" s="51" customFormat="1">
      <c r="A6" s="121"/>
      <c r="B6" s="125">
        <v>2012</v>
      </c>
      <c r="C6" s="126"/>
      <c r="D6" s="127"/>
      <c r="E6" s="126">
        <v>2013</v>
      </c>
      <c r="F6" s="126"/>
      <c r="G6" s="126"/>
      <c r="H6" s="128">
        <v>2014</v>
      </c>
      <c r="I6" s="126"/>
      <c r="J6" s="126"/>
      <c r="K6" s="128">
        <v>2015</v>
      </c>
      <c r="L6" s="126"/>
      <c r="M6" s="127"/>
      <c r="N6" s="126">
        <v>2016</v>
      </c>
      <c r="O6" s="126"/>
      <c r="P6" s="129"/>
      <c r="Q6" s="124"/>
      <c r="W6" s="4"/>
    </row>
    <row r="7" spans="1:23" s="51" customFormat="1" ht="21">
      <c r="A7" s="94" t="s">
        <v>7</v>
      </c>
      <c r="B7" s="57">
        <f>C7+D7</f>
        <v>641</v>
      </c>
      <c r="C7" s="58">
        <f>SUM(C8:C16)</f>
        <v>435</v>
      </c>
      <c r="D7" s="59">
        <f>SUM(D8:D16)</f>
        <v>206</v>
      </c>
      <c r="E7" s="60">
        <f>F7+G7</f>
        <v>699</v>
      </c>
      <c r="F7" s="58">
        <f>SUM(F8:F16)</f>
        <v>466</v>
      </c>
      <c r="G7" s="61">
        <f>SUM(G8:G16)</f>
        <v>233</v>
      </c>
      <c r="H7" s="62">
        <v>798</v>
      </c>
      <c r="I7" s="58">
        <v>521</v>
      </c>
      <c r="J7" s="61">
        <v>277</v>
      </c>
      <c r="K7" s="62">
        <f>SUM(L7:M7)</f>
        <v>145</v>
      </c>
      <c r="L7" s="58">
        <f>SUM(L8:L16)</f>
        <v>72</v>
      </c>
      <c r="M7" s="59">
        <f>SUM(M8:M16)</f>
        <v>73</v>
      </c>
      <c r="N7" s="62">
        <f>SUM(O7:P7)</f>
        <v>132</v>
      </c>
      <c r="O7" s="58">
        <f>SUM(O8:O16)</f>
        <v>54</v>
      </c>
      <c r="P7" s="58">
        <f>SUM(P8:P16)</f>
        <v>78</v>
      </c>
      <c r="Q7" s="63" t="s">
        <v>6</v>
      </c>
      <c r="S7" s="100"/>
      <c r="T7" s="100"/>
      <c r="U7" s="100"/>
      <c r="V7" s="100"/>
      <c r="W7" s="4"/>
    </row>
    <row r="8" spans="1:23" s="73" customFormat="1" ht="21">
      <c r="A8" s="64" t="s">
        <v>75</v>
      </c>
      <c r="B8" s="65">
        <f>SUM(C8:D8)</f>
        <v>91</v>
      </c>
      <c r="C8" s="66">
        <v>91</v>
      </c>
      <c r="D8" s="67">
        <v>0</v>
      </c>
      <c r="E8" s="68">
        <f>SUM(F8:G8)</f>
        <v>89</v>
      </c>
      <c r="F8" s="66">
        <v>89</v>
      </c>
      <c r="G8" s="69">
        <v>0</v>
      </c>
      <c r="H8" s="70">
        <v>90</v>
      </c>
      <c r="I8" s="70">
        <v>90</v>
      </c>
      <c r="J8" s="71">
        <v>0</v>
      </c>
      <c r="K8" s="62">
        <f t="shared" ref="K8:K16" si="0">SUM(L8:M8)</f>
        <v>0</v>
      </c>
      <c r="L8" s="70">
        <v>0</v>
      </c>
      <c r="M8" s="95">
        <v>0</v>
      </c>
      <c r="N8" s="62">
        <f t="shared" ref="N8:N16" si="1">SUM(O8:P8)</f>
        <v>0</v>
      </c>
      <c r="O8" s="70">
        <v>0</v>
      </c>
      <c r="P8" s="70">
        <v>0</v>
      </c>
      <c r="Q8" s="72" t="s">
        <v>76</v>
      </c>
      <c r="R8" s="97"/>
      <c r="S8" s="101"/>
      <c r="T8" s="101"/>
      <c r="U8" s="101"/>
      <c r="V8" s="101"/>
      <c r="W8" s="43"/>
    </row>
    <row r="9" spans="1:23" s="73" customFormat="1" ht="21">
      <c r="A9" s="74" t="s">
        <v>77</v>
      </c>
      <c r="B9" s="65">
        <f t="shared" ref="B9:B16" si="2">SUM(C9:D9)</f>
        <v>74</v>
      </c>
      <c r="C9" s="66">
        <v>73</v>
      </c>
      <c r="D9" s="67">
        <v>1</v>
      </c>
      <c r="E9" s="68">
        <f t="shared" ref="E9:E16" si="3">SUM(F9:G9)</f>
        <v>74</v>
      </c>
      <c r="F9" s="66">
        <v>73</v>
      </c>
      <c r="G9" s="69">
        <v>1</v>
      </c>
      <c r="H9" s="70">
        <v>72</v>
      </c>
      <c r="I9" s="70">
        <v>71</v>
      </c>
      <c r="J9" s="71">
        <v>1</v>
      </c>
      <c r="K9" s="62">
        <f t="shared" si="0"/>
        <v>0</v>
      </c>
      <c r="L9" s="70">
        <v>0</v>
      </c>
      <c r="M9" s="95">
        <v>0</v>
      </c>
      <c r="N9" s="62">
        <f t="shared" si="1"/>
        <v>0</v>
      </c>
      <c r="O9" s="70">
        <v>0</v>
      </c>
      <c r="P9" s="70">
        <v>0</v>
      </c>
      <c r="Q9" s="72" t="s">
        <v>78</v>
      </c>
      <c r="R9" s="98"/>
      <c r="S9" s="102"/>
      <c r="T9" s="102"/>
      <c r="U9" s="102"/>
      <c r="V9" s="101"/>
      <c r="W9" s="43"/>
    </row>
    <row r="10" spans="1:23" s="73" customFormat="1" ht="21">
      <c r="A10" s="74" t="s">
        <v>79</v>
      </c>
      <c r="B10" s="65">
        <f t="shared" si="2"/>
        <v>7</v>
      </c>
      <c r="C10" s="75">
        <v>7</v>
      </c>
      <c r="D10" s="76">
        <v>0</v>
      </c>
      <c r="E10" s="68">
        <f t="shared" si="3"/>
        <v>7</v>
      </c>
      <c r="F10" s="75">
        <v>7</v>
      </c>
      <c r="G10" s="77">
        <v>0</v>
      </c>
      <c r="H10" s="70">
        <v>7</v>
      </c>
      <c r="I10" s="70">
        <v>7</v>
      </c>
      <c r="J10" s="71">
        <v>0</v>
      </c>
      <c r="K10" s="62">
        <f t="shared" si="0"/>
        <v>0</v>
      </c>
      <c r="L10" s="70">
        <v>0</v>
      </c>
      <c r="M10" s="95">
        <v>0</v>
      </c>
      <c r="N10" s="62">
        <f t="shared" si="1"/>
        <v>0</v>
      </c>
      <c r="O10" s="70">
        <v>0</v>
      </c>
      <c r="P10" s="70">
        <v>0</v>
      </c>
      <c r="Q10" s="72" t="s">
        <v>80</v>
      </c>
      <c r="R10" s="99"/>
      <c r="S10" s="101"/>
      <c r="T10" s="101"/>
      <c r="U10" s="101"/>
      <c r="V10" s="101"/>
      <c r="W10" s="43"/>
    </row>
    <row r="11" spans="1:23" s="73" customFormat="1" ht="21">
      <c r="A11" s="64" t="s">
        <v>81</v>
      </c>
      <c r="B11" s="65">
        <f t="shared" si="2"/>
        <v>43</v>
      </c>
      <c r="C11" s="75">
        <v>25</v>
      </c>
      <c r="D11" s="76">
        <v>18</v>
      </c>
      <c r="E11" s="68">
        <f t="shared" si="3"/>
        <v>43</v>
      </c>
      <c r="F11" s="75">
        <v>25</v>
      </c>
      <c r="G11" s="77">
        <v>18</v>
      </c>
      <c r="H11" s="70">
        <v>43</v>
      </c>
      <c r="I11" s="70">
        <v>25</v>
      </c>
      <c r="J11" s="71">
        <v>18</v>
      </c>
      <c r="K11" s="62">
        <f t="shared" si="0"/>
        <v>0</v>
      </c>
      <c r="L11" s="70">
        <v>0</v>
      </c>
      <c r="M11" s="95">
        <v>0</v>
      </c>
      <c r="N11" s="62">
        <f t="shared" si="1"/>
        <v>0</v>
      </c>
      <c r="O11" s="70">
        <v>0</v>
      </c>
      <c r="P11" s="70">
        <v>0</v>
      </c>
      <c r="Q11" s="72" t="s">
        <v>82</v>
      </c>
      <c r="R11" s="99"/>
      <c r="S11" s="101"/>
      <c r="T11" s="101"/>
      <c r="U11" s="101"/>
      <c r="V11" s="101"/>
      <c r="W11" s="43"/>
    </row>
    <row r="12" spans="1:23" s="73" customFormat="1" ht="21">
      <c r="A12" s="64" t="s">
        <v>83</v>
      </c>
      <c r="B12" s="65">
        <f t="shared" si="2"/>
        <v>68</v>
      </c>
      <c r="C12" s="75">
        <v>31</v>
      </c>
      <c r="D12" s="76">
        <v>37</v>
      </c>
      <c r="E12" s="68">
        <f t="shared" si="3"/>
        <v>68</v>
      </c>
      <c r="F12" s="75">
        <v>31</v>
      </c>
      <c r="G12" s="77">
        <v>37</v>
      </c>
      <c r="H12" s="70">
        <v>68</v>
      </c>
      <c r="I12" s="70">
        <v>31</v>
      </c>
      <c r="J12" s="71">
        <v>37</v>
      </c>
      <c r="K12" s="62">
        <f t="shared" si="0"/>
        <v>0</v>
      </c>
      <c r="L12" s="70">
        <v>0</v>
      </c>
      <c r="M12" s="95">
        <v>0</v>
      </c>
      <c r="N12" s="62">
        <f t="shared" si="1"/>
        <v>0</v>
      </c>
      <c r="O12" s="70">
        <v>0</v>
      </c>
      <c r="P12" s="70">
        <v>0</v>
      </c>
      <c r="Q12" s="72" t="s">
        <v>84</v>
      </c>
      <c r="R12" s="99"/>
      <c r="S12" s="101"/>
      <c r="T12" s="101"/>
      <c r="U12" s="101"/>
      <c r="V12" s="101"/>
      <c r="W12" s="43"/>
    </row>
    <row r="13" spans="1:23" s="73" customFormat="1" ht="21">
      <c r="A13" s="74" t="s">
        <v>85</v>
      </c>
      <c r="B13" s="65">
        <f t="shared" si="2"/>
        <v>331</v>
      </c>
      <c r="C13" s="75">
        <v>183</v>
      </c>
      <c r="D13" s="76">
        <v>148</v>
      </c>
      <c r="E13" s="68">
        <f t="shared" si="3"/>
        <v>391</v>
      </c>
      <c r="F13" s="75">
        <v>216</v>
      </c>
      <c r="G13" s="77">
        <v>175</v>
      </c>
      <c r="H13" s="70">
        <v>492</v>
      </c>
      <c r="I13" s="75">
        <v>273</v>
      </c>
      <c r="J13" s="77">
        <v>219</v>
      </c>
      <c r="K13" s="62">
        <f t="shared" si="0"/>
        <v>145</v>
      </c>
      <c r="L13" s="75">
        <v>72</v>
      </c>
      <c r="M13" s="76">
        <v>73</v>
      </c>
      <c r="N13" s="62">
        <f t="shared" si="1"/>
        <v>132</v>
      </c>
      <c r="O13" s="75">
        <v>54</v>
      </c>
      <c r="P13" s="75">
        <v>78</v>
      </c>
      <c r="Q13" s="72" t="s">
        <v>86</v>
      </c>
      <c r="R13" s="99"/>
      <c r="S13" s="101"/>
      <c r="T13" s="101"/>
      <c r="U13" s="101"/>
      <c r="V13" s="101"/>
      <c r="W13" s="43"/>
    </row>
    <row r="14" spans="1:23" s="73" customFormat="1" ht="21">
      <c r="A14" s="64" t="s">
        <v>87</v>
      </c>
      <c r="B14" s="65">
        <f t="shared" si="2"/>
        <v>10</v>
      </c>
      <c r="C14" s="75">
        <v>8</v>
      </c>
      <c r="D14" s="76">
        <v>2</v>
      </c>
      <c r="E14" s="68">
        <f t="shared" si="3"/>
        <v>11</v>
      </c>
      <c r="F14" s="75">
        <v>9</v>
      </c>
      <c r="G14" s="77">
        <v>2</v>
      </c>
      <c r="H14" s="70">
        <v>11</v>
      </c>
      <c r="I14" s="70">
        <v>9</v>
      </c>
      <c r="J14" s="71">
        <v>2</v>
      </c>
      <c r="K14" s="62">
        <f t="shared" si="0"/>
        <v>0</v>
      </c>
      <c r="L14" s="70">
        <v>0</v>
      </c>
      <c r="M14" s="95">
        <v>0</v>
      </c>
      <c r="N14" s="62">
        <f t="shared" si="1"/>
        <v>0</v>
      </c>
      <c r="O14" s="70">
        <v>0</v>
      </c>
      <c r="P14" s="70">
        <v>0</v>
      </c>
      <c r="Q14" s="72" t="s">
        <v>88</v>
      </c>
      <c r="R14" s="99"/>
      <c r="S14" s="101"/>
      <c r="T14" s="101"/>
      <c r="U14" s="101"/>
      <c r="V14" s="101"/>
      <c r="W14" s="43"/>
    </row>
    <row r="15" spans="1:23" s="73" customFormat="1" ht="21">
      <c r="A15" s="74" t="s">
        <v>89</v>
      </c>
      <c r="B15" s="65">
        <f t="shared" si="2"/>
        <v>2</v>
      </c>
      <c r="C15" s="75">
        <v>2</v>
      </c>
      <c r="D15" s="76">
        <v>0</v>
      </c>
      <c r="E15" s="68">
        <f t="shared" si="3"/>
        <v>1</v>
      </c>
      <c r="F15" s="75">
        <v>1</v>
      </c>
      <c r="G15" s="77">
        <v>0</v>
      </c>
      <c r="H15" s="70">
        <v>1</v>
      </c>
      <c r="I15" s="70">
        <v>1</v>
      </c>
      <c r="J15" s="71">
        <v>0</v>
      </c>
      <c r="K15" s="62">
        <f t="shared" si="0"/>
        <v>0</v>
      </c>
      <c r="L15" s="70">
        <v>0</v>
      </c>
      <c r="M15" s="95">
        <v>0</v>
      </c>
      <c r="N15" s="62">
        <f t="shared" si="1"/>
        <v>0</v>
      </c>
      <c r="O15" s="70">
        <v>0</v>
      </c>
      <c r="P15" s="70">
        <v>0</v>
      </c>
      <c r="Q15" s="72" t="s">
        <v>90</v>
      </c>
      <c r="R15" s="99"/>
      <c r="S15" s="101"/>
      <c r="T15" s="92"/>
      <c r="U15" s="92"/>
      <c r="V15" s="101"/>
      <c r="W15" s="43"/>
    </row>
    <row r="16" spans="1:23" s="73" customFormat="1" ht="21">
      <c r="A16" s="78" t="s">
        <v>91</v>
      </c>
      <c r="B16" s="79">
        <f t="shared" si="2"/>
        <v>15</v>
      </c>
      <c r="C16" s="80">
        <v>15</v>
      </c>
      <c r="D16" s="81">
        <v>0</v>
      </c>
      <c r="E16" s="82">
        <f t="shared" si="3"/>
        <v>15</v>
      </c>
      <c r="F16" s="80">
        <v>15</v>
      </c>
      <c r="G16" s="83">
        <v>0</v>
      </c>
      <c r="H16" s="84">
        <v>14</v>
      </c>
      <c r="I16" s="84">
        <v>14</v>
      </c>
      <c r="J16" s="85">
        <v>0</v>
      </c>
      <c r="K16" s="86">
        <f t="shared" si="0"/>
        <v>0</v>
      </c>
      <c r="L16" s="84">
        <v>0</v>
      </c>
      <c r="M16" s="96">
        <v>0</v>
      </c>
      <c r="N16" s="86">
        <f t="shared" si="1"/>
        <v>0</v>
      </c>
      <c r="O16" s="84">
        <v>0</v>
      </c>
      <c r="P16" s="84">
        <v>0</v>
      </c>
      <c r="Q16" s="87" t="s">
        <v>2</v>
      </c>
      <c r="S16" s="88"/>
      <c r="T16" s="88"/>
      <c r="U16" s="88"/>
      <c r="V16" s="88"/>
    </row>
    <row r="17" spans="1:17" s="73" customFormat="1" ht="15">
      <c r="A17" s="39" t="s">
        <v>1</v>
      </c>
      <c r="B17" s="42"/>
      <c r="C17" s="42"/>
      <c r="D17" s="42"/>
      <c r="E17" s="42"/>
      <c r="F17" s="42"/>
      <c r="G17" s="41"/>
      <c r="H17" s="41"/>
      <c r="I17" s="41"/>
      <c r="J17" s="41"/>
      <c r="K17" s="41"/>
      <c r="M17" s="88"/>
      <c r="N17" s="89"/>
      <c r="O17" s="88"/>
      <c r="P17" s="88"/>
      <c r="Q17" s="40" t="s">
        <v>49</v>
      </c>
    </row>
    <row r="18" spans="1:17" ht="18.75">
      <c r="Q18" s="91" t="s">
        <v>92</v>
      </c>
    </row>
    <row r="19" spans="1:17">
      <c r="A19" s="110"/>
      <c r="B19" s="111"/>
      <c r="C19" s="111"/>
      <c r="D19" s="112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</row>
  </sheetData>
  <mergeCells count="11">
    <mergeCell ref="A19:D19"/>
    <mergeCell ref="A1:Q1"/>
    <mergeCell ref="A2:Q2"/>
    <mergeCell ref="A3:Q3"/>
    <mergeCell ref="A4:A6"/>
    <mergeCell ref="Q4:Q6"/>
    <mergeCell ref="B6:D6"/>
    <mergeCell ref="E6:G6"/>
    <mergeCell ref="H6:J6"/>
    <mergeCell ref="K6:M6"/>
    <mergeCell ref="N6:P6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8.29</vt:lpstr>
      <vt:lpstr>'8.29'!Print_Area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2017-07-04T06:20:37Z</cp:lastPrinted>
  <dcterms:created xsi:type="dcterms:W3CDTF">2013-04-04T04:05:16Z</dcterms:created>
  <dcterms:modified xsi:type="dcterms:W3CDTF">2017-07-04T06:20:59Z</dcterms:modified>
</cp:coreProperties>
</file>