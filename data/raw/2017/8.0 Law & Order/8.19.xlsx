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19" sheetId="47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1">'8.19'!$A$1:$AZ$16</definedName>
  </definedNames>
  <calcPr calcId="144525"/>
</workbook>
</file>

<file path=xl/calcChain.xml><?xml version="1.0" encoding="utf-8"?>
<calcChain xmlns="http://schemas.openxmlformats.org/spreadsheetml/2006/main">
  <c r="AG7" i="47" l="1"/>
  <c r="AF7" i="47"/>
  <c r="AE14" i="47" l="1"/>
  <c r="F14" i="47"/>
  <c r="AE13" i="47"/>
  <c r="AE12" i="47"/>
  <c r="AE11" i="47"/>
  <c r="F11" i="47"/>
  <c r="AE10" i="47"/>
  <c r="F10" i="47"/>
  <c r="AE9" i="47"/>
  <c r="F9" i="47"/>
  <c r="AE8" i="47"/>
  <c r="F8" i="47"/>
  <c r="Y7" i="47"/>
  <c r="X7" i="47"/>
  <c r="V7" i="47"/>
  <c r="U7" i="47"/>
  <c r="T7" i="47"/>
  <c r="S7" i="47"/>
  <c r="R7" i="47"/>
  <c r="P7" i="47"/>
  <c r="O7" i="47"/>
  <c r="N7" i="47"/>
  <c r="M7" i="47"/>
  <c r="L7" i="47"/>
  <c r="J7" i="47"/>
  <c r="I7" i="47"/>
  <c r="E7" i="47"/>
  <c r="C7" i="47"/>
  <c r="F7" i="47" s="1"/>
  <c r="B7" i="47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<sst xmlns="http://schemas.openxmlformats.org/spreadsheetml/2006/main" count="233" uniqueCount="133">
  <si>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</si>
  <si>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</si>
  <si>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</si>
  <si>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</si>
  <si>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</si>
  <si>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</si>
  <si>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</si>
  <si>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</si>
  <si>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</si>
  <si>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</si>
  <si>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</si>
  <si>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</si>
  <si>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</si>
  <si>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</si>
  <si>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</si>
  <si>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</si>
  <si>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</si>
  <si>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</si>
  <si>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</si>
  <si>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</si>
  <si>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</si>
  <si>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</si>
  <si>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</si>
  <si>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</si>
  <si>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</si>
  <si>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</si>
  <si>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</si>
  <si>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</si>
  <si>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</si>
  <si>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</si>
  <si>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</si>
  <si>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</si>
  <si>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</si>
  <si>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</si>
  <si>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</si>
  <si>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</si>
  <si>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</si>
  <si>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</si>
  <si>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</si>
  <si>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</si>
  <si>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</si>
  <si>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</si>
  <si>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</si>
  <si>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</si>
  <si>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</si>
  <si>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</si>
  <si>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</si>
  <si>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</si>
  <si>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</si>
  <si>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</si>
  <si>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</si>
  <si>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</si>
  <si>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</si>
  <si>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</si>
  <si>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</si>
  <si>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</si>
  <si>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</si>
  <si>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</si>
  <si>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</si>
  <si>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</si>
  <si>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</si>
  <si>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</si>
  <si>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</si>
  <si>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</si>
  <si>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Cases</t>
  </si>
  <si>
    <t>ހުށައެޅުނު މައްސަލަތައް</t>
  </si>
  <si>
    <r>
      <t xml:space="preserve"> Cases logged</t>
    </r>
    <r>
      <rPr>
        <sz val="11"/>
        <rFont val="A_Randhoo"/>
      </rPr>
      <t xml:space="preserve">  wlwscawm unuLehwSuh</t>
    </r>
  </si>
  <si>
    <t xml:space="preserve"> wlwscawmunuLehwSuh ukeaWaIkWb eg 2007</t>
  </si>
  <si>
    <t>Cases logged trial including 2007</t>
  </si>
  <si>
    <r>
      <t xml:space="preserve"> Cases dealt </t>
    </r>
    <r>
      <rPr>
        <sz val="11"/>
        <rFont val="A_Randhoo"/>
      </rPr>
      <t>wlwscawm unumin</t>
    </r>
  </si>
  <si>
    <t xml:space="preserve"> wlwscawmiruhiminun ukeaWaIkWb eg 2007</t>
  </si>
  <si>
    <t>Cases awaiting trial including 2007</t>
  </si>
  <si>
    <t>2008 ނިމުނު އިރު ހުރި ބާކީ Cases awaiting trial 2008</t>
  </si>
  <si>
    <t xml:space="preserve">2009 ގައި ހުށަހެޅުނު  Cases logged </t>
  </si>
  <si>
    <t>Cases logged trial including 2008</t>
  </si>
  <si>
    <t xml:space="preserve">2008 ވަނަ އަހަރުގެ ބާކީއާއެކު ޖުމުލަ ހުށަހެޅުނު </t>
  </si>
  <si>
    <t>2009 ގައި ނިމުނު  Cases dealt</t>
  </si>
  <si>
    <t>2008 ވަނަ އަހަރުގެ ބާކީ އާއެކު 2009 ގައި ނުނިމިހުރި ޖުމުލަ Cases awaiting trial including 2008</t>
  </si>
  <si>
    <t>2009 ނިމުނު އިރު ހުރި ބާކީ Cases awaiting trial 2009</t>
  </si>
  <si>
    <t xml:space="preserve">2010 ގައި ހުށަހެޅުނު  Cases logged </t>
  </si>
  <si>
    <t>Cases logged trial including 2009</t>
  </si>
  <si>
    <t xml:space="preserve">2009 ވަނަ އަހަރުގެ ބާކީއާއެކު ޖުމުލަ ހުށަހެޅުނު </t>
  </si>
  <si>
    <t>2010 ގައި ނިމުނު  Cases dealt</t>
  </si>
  <si>
    <t>2009 ވަނަ އަހަރުގެ ބާކީ އާއެކު 2010 ގައި ނުނިމިހުރި ޖުމުލަ Cases awaiting trial including 2009</t>
  </si>
  <si>
    <t>2010 ނިމުނު އިރު ހުރި ބާކީ Cases awaiting trial 2010</t>
  </si>
  <si>
    <t xml:space="preserve">2011 ގައި ހުށަހެޅުނު  Cases logged </t>
  </si>
  <si>
    <t>Cases logged trial including 2010</t>
  </si>
  <si>
    <t xml:space="preserve">2010 ވަނަ އަހަރުގެ ބާކީއާއެކު ޖުމުލަ ހުށަހެޅުނު </t>
  </si>
  <si>
    <t>2011 ގައި ނިމުނު  Cases dealt</t>
  </si>
  <si>
    <t>2010 ވަނަ އަހަރުގެ ބާކީ އާއެކު 2011 ގައި ނުނިމިހުރި ޖުމުލަ Cases awaiting trial including 2010</t>
  </si>
  <si>
    <t>2012 ނިމުނު އިރު ހުރި ބާކީ Cases awaiting trial 2012</t>
  </si>
  <si>
    <t xml:space="preserve">2013 ގައި ހުށަހެޅުނު  Cases logged </t>
  </si>
  <si>
    <t>Cases logged trial including 2012</t>
  </si>
  <si>
    <t xml:space="preserve">2012 ވަނަ އަހަރުގެ ބާކީއާއެކު ޖުމުލަ ހުށަހެޅުނު </t>
  </si>
  <si>
    <t>2013 ގައި ނިމުނު  Cases dealt</t>
  </si>
  <si>
    <t>2012 ވަނަ އަހަރުގެ ބާކީ އާއެކު 2013 ގައި ނުނިމިހުރި ޖުމުލަ Cases awaiting trial including 2012</t>
  </si>
  <si>
    <t>2013 ނިމުނު އިރު ހުރި ބާކީ، Cases awaiting trial 2013</t>
  </si>
  <si>
    <t xml:space="preserve">2014 ގައި ހުށަހެޅުނު  Cases logged </t>
  </si>
  <si>
    <t>Cases logged trial including 2013</t>
  </si>
  <si>
    <t xml:space="preserve">2013 ވަނަ އަހަރުގެ ބާކީއާއެކު ޖުމުލަ ހުށަހެޅުނު </t>
  </si>
  <si>
    <t>2014 ގައި ނިމުނު  Cases dealt</t>
  </si>
  <si>
    <t>2013 ވަނަ އަހަރުގެ ބާކީ އާއެކު 2014 ގައި ނުނިމިހުރި ޖުމުލަ Cases awaiting trial including 2013</t>
  </si>
  <si>
    <t>2014 ނިމުނު އިރު ހުރި ބާކީ، Cases awaiting trial 2014</t>
  </si>
  <si>
    <t xml:space="preserve">2015 ގައި ހުށަހެޅުނު  Cases logged </t>
  </si>
  <si>
    <t>2015 ގައި ނިމުނު  Cases dealt</t>
  </si>
  <si>
    <t>2015 ނިމުނު އިރު ހުރި ބާކީ، Cases awaiting trial 2015</t>
  </si>
  <si>
    <t xml:space="preserve">2016 ގައި ހުށަހެޅުނު  Cases logged </t>
  </si>
  <si>
    <t>No of cases appealed  by private individuals</t>
  </si>
  <si>
    <t>އިސްތިއުނާފްކުރުމަށް އަމިއްލަ ފަރާތްތަކުން ހުށަހެޅި މައްސަލަތަކުގެ އަދަދު  (ވަކިވަކި ފަރުދުން/ކުންފުނި/ކޮމިޝަން/ކައުންސިލްތައް)</t>
  </si>
  <si>
    <t>No of cases appealed by the state</t>
  </si>
  <si>
    <t xml:space="preserve"> udwdwa egukwtwlwscawmi LehwSuh cnutwluawd cSwmurukufWnuaitcsia</t>
  </si>
  <si>
    <t>No of cases re heare or reviewed by the high court</t>
  </si>
  <si>
    <t>udwdwa egukwtwlwscawm unuLehwSuh cSwrwhwfwnwved cSwTOkiawh</t>
  </si>
  <si>
    <t>No of cases filed on election offences</t>
  </si>
  <si>
    <t>udwdwa egukwtwlwscawm unuLehwSuh WvuawdeguSuk EhebWbWhitcnia</t>
  </si>
  <si>
    <t>No. of cases on Complains on elections</t>
  </si>
  <si>
    <t>އިންތިޚާބާއިބެހޭ ޝަކުވާގެ ދަޢުވާ ހުށަހެޅުނު މައްސަލަތަކުގެ އަދަދު</t>
  </si>
  <si>
    <t>No. of cases on Political parties</t>
  </si>
  <si>
    <t>ސިޔާސީ ޕާޓީތަކާބެހޭ ގޮތުން ހުށަހެޅުނު މައްސަލަތަކުގެ އަދަދު</t>
  </si>
  <si>
    <t>No of cases filed on constitutional issues</t>
  </si>
  <si>
    <r>
      <t>udwd</t>
    </r>
    <r>
      <rPr>
        <sz val="11"/>
        <rFont val="A_Reethi"/>
      </rPr>
      <t xml:space="preserve">އަ </t>
    </r>
    <r>
      <rPr>
        <sz val="11"/>
        <rFont val="A_Randhoo"/>
      </rPr>
      <t>egukwtwlwscawm IrUtcsud</t>
    </r>
  </si>
  <si>
    <t>Source: The High Court of the Republic of Maldives</t>
  </si>
  <si>
    <t>cTOkiawh egEjcaWrihevid :Ivcaed utWmUluAwm</t>
  </si>
  <si>
    <t xml:space="preserve">  </t>
  </si>
  <si>
    <t xml:space="preserve">2015 ވަނަ އަހަރުގެ ބާކީ އާއެކު 2016 ގައި ނުނިމިހުރި ޖުމުލަ, 2015  Cases awaiting trial including  </t>
  </si>
  <si>
    <t>2016 ގައި ނިމުނު  Cases dealt</t>
  </si>
  <si>
    <t xml:space="preserve">2015 ވަނަ އަހަރުގެ ބާކީއާއެކު ޖުމުލަ ހުށަހެޅުނު </t>
  </si>
  <si>
    <t>Cases logged trial including 2015</t>
  </si>
  <si>
    <t>Cases logged trial including 2014</t>
  </si>
  <si>
    <t xml:space="preserve">2014 ވަނަ އަހަރުގެ ބާކީއާއެކު ޖުމުލަ ހުށަހެޅުނު </t>
  </si>
  <si>
    <t>2014 ވަނަ އަހަރުގެ ބާކީ އާއެކު 2015 ގައި ނުނިމިހުރި ޖުމުލަ Cases awaiting trial including 2014</t>
  </si>
  <si>
    <t>2016 - 2015 ,wlwscawm unuLehwSuh cSwTOkiawh : 8.19 ulwvWt</t>
  </si>
  <si>
    <t>Table  8.19:  CASES HANDLED BY THE HIGH COURT, 2015 -2016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</si>
</sst>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_Randhoo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name val="Courier"/>
      <family val="3"/>
    </font>
    <font>
      <b/>
      <sz val="11"/>
      <color theme="1"/>
      <name val="Courier"/>
      <family val="3"/>
    </font>
    <font>
      <b/>
      <sz val="11"/>
      <name val="Faruma"/>
    </font>
    <font>
      <sz val="11"/>
      <name val="Courier"/>
      <family val="3"/>
    </font>
    <font>
      <sz val="11"/>
      <name val="Arial"/>
      <family val="2"/>
    </font>
    <font>
      <sz val="11"/>
      <name val="A_Randhoo"/>
    </font>
    <font>
      <sz val="11"/>
      <color theme="1"/>
      <name val="Faruma"/>
    </font>
    <font>
      <sz val="11"/>
      <name val="Faruma"/>
    </font>
    <font>
      <sz val="11"/>
      <name val="A_Reethi"/>
    </font>
    <font>
      <sz val="11"/>
      <color theme="1"/>
      <name val="Courier"/>
      <family val="3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4" fillId="0" borderId="14" applyNumberFormat="0" applyFill="0" applyAlignment="0" applyProtection="0"/>
    <xf numFmtId="0" fontId="7" fillId="0" borderId="0"/>
    <xf numFmtId="166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4" applyNumberFormat="0" applyFill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18" applyNumberFormat="0" applyAlignment="0" applyProtection="0"/>
    <xf numFmtId="0" fontId="25" fillId="8" borderId="19" applyNumberFormat="0" applyAlignment="0" applyProtection="0"/>
    <xf numFmtId="0" fontId="26" fillId="8" borderId="18" applyNumberFormat="0" applyAlignment="0" applyProtection="0"/>
    <xf numFmtId="0" fontId="27" fillId="0" borderId="20" applyNumberFormat="0" applyFill="0" applyAlignment="0" applyProtection="0"/>
    <xf numFmtId="0" fontId="28" fillId="9" borderId="21" applyNumberFormat="0" applyAlignment="0" applyProtection="0"/>
    <xf numFmtId="0" fontId="16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3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0" fillId="34" borderId="0" applyNumberFormat="0" applyBorder="0" applyAlignment="0" applyProtection="0"/>
    <xf numFmtId="0" fontId="1" fillId="0" borderId="0"/>
    <xf numFmtId="0" fontId="7" fillId="0" borderId="0"/>
  </cellStyleXfs>
  <cellXfs count="17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9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5" xfId="0" applyNumberFormat="1" applyFont="1" applyFill="1" applyBorder="1" applyAlignment="1">
      <alignment horizontal="center" vertical="center"/>
    </xf>
    <xf numFmtId="0" fontId="4" fillId="2" borderId="15" xfId="0" applyNumberFormat="1" applyFont="1" applyFill="1" applyBorder="1" applyAlignment="1">
      <alignment horizontal="left" vertical="center" wrapText="1"/>
    </xf>
    <xf numFmtId="3" fontId="4" fillId="2" borderId="15" xfId="1" applyNumberFormat="1" applyFont="1" applyFill="1" applyBorder="1" applyAlignment="1"/>
    <xf numFmtId="3" fontId="3" fillId="2" borderId="15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8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0" fillId="2" borderId="0" xfId="1" applyNumberFormat="1" applyFont="1" applyFill="1" applyBorder="1" applyAlignment="1">
      <alignment horizontal="right" vertical="center"/>
    </xf>
    <xf numFmtId="164" fontId="0" fillId="2" borderId="0" xfId="0" applyNumberFormat="1" applyFont="1" applyFill="1" applyBorder="1"/>
    <xf numFmtId="164" fontId="0" fillId="2" borderId="0" xfId="0" applyNumberFormat="1" applyFont="1" applyFill="1"/>
    <xf numFmtId="164" fontId="32" fillId="2" borderId="0" xfId="0" applyNumberFormat="1" applyFont="1" applyFill="1" applyBorder="1" applyAlignment="1" applyProtection="1">
      <alignment horizontal="center" vertical="center"/>
    </xf>
    <xf numFmtId="164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/>
    <xf numFmtId="164" fontId="33" fillId="2" borderId="0" xfId="0" applyNumberFormat="1" applyFont="1" applyFill="1" applyBorder="1" applyAlignment="1" applyProtection="1">
      <alignment horizontal="center" vertical="center"/>
    </xf>
    <xf numFmtId="164" fontId="34" fillId="2" borderId="0" xfId="0" applyNumberFormat="1" applyFont="1" applyFill="1" applyBorder="1" applyAlignment="1">
      <alignment vertical="center"/>
    </xf>
    <xf numFmtId="164" fontId="37" fillId="2" borderId="0" xfId="0" applyNumberFormat="1" applyFont="1" applyFill="1" applyAlignment="1">
      <alignment horizontal="center" vertical="center"/>
    </xf>
    <xf numFmtId="164" fontId="38" fillId="2" borderId="10" xfId="0" applyNumberFormat="1" applyFont="1" applyFill="1" applyBorder="1" applyAlignment="1" applyProtection="1">
      <alignment horizontal="center" textRotation="90" wrapText="1"/>
    </xf>
    <xf numFmtId="164" fontId="39" fillId="2" borderId="4" xfId="0" applyNumberFormat="1" applyFont="1" applyFill="1" applyBorder="1" applyAlignment="1" applyProtection="1">
      <alignment horizontal="right" textRotation="90"/>
    </xf>
    <xf numFmtId="164" fontId="38" fillId="2" borderId="4" xfId="0" applyNumberFormat="1" applyFont="1" applyFill="1" applyBorder="1" applyAlignment="1" applyProtection="1">
      <alignment horizontal="left" textRotation="90" wrapText="1"/>
    </xf>
    <xf numFmtId="164" fontId="38" fillId="2" borderId="4" xfId="0" applyNumberFormat="1" applyFont="1" applyFill="1" applyBorder="1" applyAlignment="1" applyProtection="1">
      <alignment horizontal="center" textRotation="90" wrapText="1"/>
    </xf>
    <xf numFmtId="164" fontId="39" fillId="2" borderId="4" xfId="0" applyNumberFormat="1" applyFont="1" applyFill="1" applyBorder="1" applyAlignment="1" applyProtection="1">
      <alignment horizontal="center" textRotation="90"/>
    </xf>
    <xf numFmtId="164" fontId="38" fillId="2" borderId="9" xfId="0" applyNumberFormat="1" applyFont="1" applyFill="1" applyBorder="1" applyAlignment="1" applyProtection="1">
      <alignment horizontal="center" textRotation="90" wrapText="1"/>
    </xf>
    <xf numFmtId="0" fontId="40" fillId="2" borderId="28" xfId="0" applyNumberFormat="1" applyFont="1" applyFill="1" applyBorder="1" applyAlignment="1">
      <alignment horizontal="center" textRotation="90" readingOrder="2"/>
    </xf>
    <xf numFmtId="0" fontId="40" fillId="2" borderId="29" xfId="0" applyNumberFormat="1" applyFont="1" applyFill="1" applyBorder="1" applyAlignment="1">
      <alignment horizontal="left" textRotation="90" readingOrder="2"/>
    </xf>
    <xf numFmtId="0" fontId="9" fillId="2" borderId="29" xfId="0" applyNumberFormat="1" applyFont="1" applyFill="1" applyBorder="1" applyAlignment="1">
      <alignment horizontal="left" textRotation="90" readingOrder="2"/>
    </xf>
    <xf numFmtId="0" fontId="40" fillId="2" borderId="29" xfId="0" applyNumberFormat="1" applyFont="1" applyFill="1" applyBorder="1" applyAlignment="1">
      <alignment textRotation="90" readingOrder="2"/>
    </xf>
    <xf numFmtId="0" fontId="40" fillId="2" borderId="29" xfId="0" applyNumberFormat="1" applyFont="1" applyFill="1" applyBorder="1" applyAlignment="1">
      <alignment horizontal="center" textRotation="90" readingOrder="2"/>
    </xf>
    <xf numFmtId="0" fontId="40" fillId="2" borderId="30" xfId="0" applyNumberFormat="1" applyFont="1" applyFill="1" applyBorder="1" applyAlignment="1">
      <alignment horizontal="center" textRotation="90" wrapText="1" readingOrder="2"/>
    </xf>
    <xf numFmtId="0" fontId="41" fillId="2" borderId="28" xfId="0" applyNumberFormat="1" applyFont="1" applyFill="1" applyBorder="1" applyAlignment="1">
      <alignment horizontal="right" textRotation="90" readingOrder="2"/>
    </xf>
    <xf numFmtId="0" fontId="41" fillId="2" borderId="29" xfId="0" applyNumberFormat="1" applyFont="1" applyFill="1" applyBorder="1" applyAlignment="1">
      <alignment horizontal="right" textRotation="90" readingOrder="2"/>
    </xf>
    <xf numFmtId="0" fontId="38" fillId="2" borderId="29" xfId="0" applyNumberFormat="1" applyFont="1" applyFill="1" applyBorder="1" applyAlignment="1">
      <alignment horizontal="right" textRotation="90" readingOrder="2"/>
    </xf>
    <xf numFmtId="0" fontId="41" fillId="2" borderId="31" xfId="0" applyNumberFormat="1" applyFont="1" applyFill="1" applyBorder="1" applyAlignment="1">
      <alignment horizontal="right" textRotation="90" wrapText="1" readingOrder="2"/>
    </xf>
    <xf numFmtId="0" fontId="41" fillId="2" borderId="28" xfId="0" applyNumberFormat="1" applyFont="1" applyFill="1" applyBorder="1" applyAlignment="1">
      <alignment horizontal="center" textRotation="90" readingOrder="2"/>
    </xf>
    <xf numFmtId="0" fontId="41" fillId="2" borderId="29" xfId="0" applyNumberFormat="1" applyFont="1" applyFill="1" applyBorder="1" applyAlignment="1">
      <alignment horizontal="center" textRotation="90" readingOrder="2"/>
    </xf>
    <xf numFmtId="0" fontId="41" fillId="2" borderId="29" xfId="0" applyNumberFormat="1" applyFont="1" applyFill="1" applyBorder="1" applyAlignment="1">
      <alignment textRotation="90" readingOrder="2"/>
    </xf>
    <xf numFmtId="0" fontId="40" fillId="2" borderId="28" xfId="0" applyNumberFormat="1" applyFont="1" applyFill="1" applyBorder="1" applyAlignment="1">
      <alignment horizontal="right" textRotation="90" readingOrder="2"/>
    </xf>
    <xf numFmtId="0" fontId="40" fillId="2" borderId="29" xfId="0" applyNumberFormat="1" applyFont="1" applyFill="1" applyBorder="1" applyAlignment="1">
      <alignment horizontal="right" textRotation="90" readingOrder="2"/>
    </xf>
    <xf numFmtId="0" fontId="9" fillId="2" borderId="29" xfId="0" applyNumberFormat="1" applyFont="1" applyFill="1" applyBorder="1" applyAlignment="1">
      <alignment horizontal="right" textRotation="90" readingOrder="2"/>
    </xf>
    <xf numFmtId="0" fontId="40" fillId="2" borderId="31" xfId="0" applyNumberFormat="1" applyFont="1" applyFill="1" applyBorder="1" applyAlignment="1">
      <alignment horizontal="right" textRotation="90" wrapText="1" readingOrder="2"/>
    </xf>
    <xf numFmtId="164" fontId="13" fillId="2" borderId="0" xfId="0" applyNumberFormat="1" applyFont="1" applyFill="1" applyBorder="1" applyAlignment="1" applyProtection="1">
      <alignment horizontal="left" vertical="center"/>
    </xf>
    <xf numFmtId="3" fontId="13" fillId="2" borderId="11" xfId="1" applyNumberFormat="1" applyFont="1" applyFill="1" applyBorder="1" applyAlignment="1" applyProtection="1">
      <alignment horizontal="left" vertical="center" wrapText="1"/>
    </xf>
    <xf numFmtId="3" fontId="13" fillId="2" borderId="0" xfId="1" applyNumberFormat="1" applyFont="1" applyFill="1" applyBorder="1" applyAlignment="1" applyProtection="1">
      <alignment horizontal="left" vertical="center" wrapText="1"/>
    </xf>
    <xf numFmtId="3" fontId="13" fillId="2" borderId="12" xfId="1" applyNumberFormat="1" applyFont="1" applyFill="1" applyBorder="1" applyAlignment="1" applyProtection="1">
      <alignment horizontal="left" vertical="center" wrapText="1"/>
    </xf>
    <xf numFmtId="3" fontId="13" fillId="2" borderId="3" xfId="1" applyNumberFormat="1" applyFont="1" applyFill="1" applyBorder="1" applyAlignment="1" applyProtection="1">
      <alignment horizontal="left" vertical="center" wrapText="1"/>
    </xf>
    <xf numFmtId="3" fontId="13" fillId="2" borderId="27" xfId="1" applyNumberFormat="1" applyFont="1" applyFill="1" applyBorder="1" applyAlignment="1" applyProtection="1">
      <alignment horizontal="right" vertical="center" wrapText="1"/>
    </xf>
    <xf numFmtId="3" fontId="13" fillId="2" borderId="3" xfId="1" applyNumberFormat="1" applyFont="1" applyFill="1" applyBorder="1" applyAlignment="1" applyProtection="1">
      <alignment horizontal="right" vertical="center" wrapText="1"/>
    </xf>
    <xf numFmtId="3" fontId="13" fillId="2" borderId="27" xfId="1" applyNumberFormat="1" applyFont="1" applyFill="1" applyBorder="1" applyAlignment="1" applyProtection="1">
      <alignment horizontal="center" vertical="center" wrapText="1"/>
    </xf>
    <xf numFmtId="3" fontId="13" fillId="2" borderId="3" xfId="1" applyNumberFormat="1" applyFont="1" applyFill="1" applyBorder="1" applyAlignment="1" applyProtection="1">
      <alignment horizontal="center" vertical="center" wrapText="1"/>
    </xf>
    <xf numFmtId="3" fontId="2" fillId="2" borderId="27" xfId="1" applyNumberFormat="1" applyFont="1" applyFill="1" applyBorder="1" applyAlignment="1" applyProtection="1">
      <alignment horizontal="center" vertical="center" wrapText="1"/>
    </xf>
    <xf numFmtId="3" fontId="2" fillId="2" borderId="3" xfId="1" applyNumberFormat="1" applyFont="1" applyFill="1" applyBorder="1" applyAlignment="1" applyProtection="1">
      <alignment horizontal="center" vertical="center" wrapText="1"/>
    </xf>
    <xf numFmtId="164" fontId="34" fillId="2" borderId="0" xfId="0" applyNumberFormat="1" applyFont="1" applyFill="1"/>
    <xf numFmtId="164" fontId="10" fillId="2" borderId="0" xfId="0" applyNumberFormat="1" applyFont="1" applyFill="1" applyBorder="1" applyAlignment="1" applyProtection="1">
      <alignment horizontal="left" vertical="center"/>
    </xf>
    <xf numFmtId="3" fontId="10" fillId="2" borderId="11" xfId="1" applyNumberFormat="1" applyFont="1" applyFill="1" applyBorder="1" applyAlignment="1">
      <alignment horizontal="left" vertical="center"/>
    </xf>
    <xf numFmtId="3" fontId="10" fillId="2" borderId="0" xfId="1" applyNumberFormat="1" applyFont="1" applyFill="1" applyBorder="1" applyAlignment="1">
      <alignment horizontal="left" vertical="center"/>
    </xf>
    <xf numFmtId="3" fontId="10" fillId="2" borderId="33" xfId="1" applyNumberFormat="1" applyFont="1" applyFill="1" applyBorder="1" applyAlignment="1">
      <alignment horizontal="left" vertical="center"/>
    </xf>
    <xf numFmtId="3" fontId="10" fillId="2" borderId="34" xfId="1" applyNumberFormat="1" applyFont="1" applyFill="1" applyBorder="1" applyAlignment="1">
      <alignment horizontal="right" vertical="center"/>
    </xf>
    <xf numFmtId="3" fontId="10" fillId="2" borderId="0" xfId="1" applyNumberFormat="1" applyFont="1" applyFill="1" applyBorder="1" applyAlignment="1" applyProtection="1">
      <alignment horizontal="right" vertical="center" wrapText="1"/>
    </xf>
    <xf numFmtId="3" fontId="10" fillId="2" borderId="33" xfId="1" applyNumberFormat="1" applyFont="1" applyFill="1" applyBorder="1" applyAlignment="1" applyProtection="1">
      <alignment horizontal="right" vertical="center" wrapText="1"/>
    </xf>
    <xf numFmtId="3" fontId="10" fillId="2" borderId="34" xfId="1" applyNumberFormat="1" applyFont="1" applyFill="1" applyBorder="1" applyAlignment="1">
      <alignment horizontal="center" vertical="center"/>
    </xf>
    <xf numFmtId="3" fontId="10" fillId="2" borderId="0" xfId="1" applyNumberFormat="1" applyFont="1" applyFill="1" applyBorder="1" applyAlignment="1" applyProtection="1">
      <alignment horizontal="center" vertical="center" wrapText="1"/>
    </xf>
    <xf numFmtId="3" fontId="10" fillId="2" borderId="33" xfId="1" applyNumberFormat="1" applyFont="1" applyFill="1" applyBorder="1" applyAlignment="1" applyProtection="1">
      <alignment horizontal="center" vertical="center" wrapText="1"/>
    </xf>
    <xf numFmtId="3" fontId="0" fillId="2" borderId="34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33" xfId="1" applyNumberFormat="1" applyFont="1" applyFill="1" applyBorder="1" applyAlignment="1" applyProtection="1">
      <alignment horizontal="center" vertical="center" wrapText="1"/>
    </xf>
    <xf numFmtId="164" fontId="37" fillId="2" borderId="0" xfId="0" applyNumberFormat="1" applyFont="1" applyFill="1"/>
    <xf numFmtId="164" fontId="39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horizontal="left" vertical="center" wrapText="1"/>
    </xf>
    <xf numFmtId="164" fontId="41" fillId="2" borderId="0" xfId="0" applyNumberFormat="1" applyFont="1" applyFill="1" applyBorder="1" applyAlignment="1">
      <alignment horizontal="right" vertical="center"/>
    </xf>
    <xf numFmtId="164" fontId="10" fillId="2" borderId="4" xfId="0" applyNumberFormat="1" applyFont="1" applyFill="1" applyBorder="1" applyAlignment="1" applyProtection="1">
      <alignment horizontal="left" vertical="center"/>
    </xf>
    <xf numFmtId="3" fontId="10" fillId="2" borderId="10" xfId="1" applyNumberFormat="1" applyFont="1" applyFill="1" applyBorder="1" applyAlignment="1">
      <alignment horizontal="left" vertical="center"/>
    </xf>
    <xf numFmtId="3" fontId="10" fillId="2" borderId="35" xfId="1" applyNumberFormat="1" applyFont="1" applyFill="1" applyBorder="1" applyAlignment="1">
      <alignment horizontal="left" vertical="center"/>
    </xf>
    <xf numFmtId="3" fontId="10" fillId="2" borderId="32" xfId="1" applyNumberFormat="1" applyFont="1" applyFill="1" applyBorder="1" applyAlignment="1">
      <alignment horizontal="right" vertical="center"/>
    </xf>
    <xf numFmtId="3" fontId="10" fillId="2" borderId="35" xfId="1" applyNumberFormat="1" applyFont="1" applyFill="1" applyBorder="1" applyAlignment="1" applyProtection="1">
      <alignment horizontal="right" vertical="center" wrapText="1"/>
    </xf>
    <xf numFmtId="3" fontId="10" fillId="2" borderId="32" xfId="1" applyNumberFormat="1" applyFont="1" applyFill="1" applyBorder="1" applyAlignment="1">
      <alignment horizontal="center" vertical="center"/>
    </xf>
    <xf numFmtId="3" fontId="10" fillId="2" borderId="35" xfId="1" applyNumberFormat="1" applyFont="1" applyFill="1" applyBorder="1" applyAlignment="1" applyProtection="1">
      <alignment horizontal="center" vertical="center" wrapText="1"/>
    </xf>
    <xf numFmtId="3" fontId="0" fillId="2" borderId="32" xfId="1" applyNumberFormat="1" applyFont="1" applyFill="1" applyBorder="1" applyAlignment="1">
      <alignment horizontal="center" vertical="center"/>
    </xf>
    <xf numFmtId="3" fontId="0" fillId="2" borderId="35" xfId="1" applyNumberFormat="1" applyFont="1" applyFill="1" applyBorder="1" applyAlignment="1" applyProtection="1">
      <alignment horizontal="center" vertical="center" wrapText="1"/>
    </xf>
    <xf numFmtId="164" fontId="39" fillId="2" borderId="4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 applyProtection="1">
      <alignment vertical="center"/>
    </xf>
    <xf numFmtId="164" fontId="38" fillId="2" borderId="0" xfId="0" applyNumberFormat="1" applyFont="1" applyFill="1" applyAlignment="1">
      <alignment vertical="center"/>
    </xf>
    <xf numFmtId="164" fontId="37" fillId="2" borderId="0" xfId="0" applyNumberFormat="1" applyFont="1" applyFill="1" applyAlignment="1">
      <alignment horizontal="center"/>
    </xf>
    <xf numFmtId="164" fontId="37" fillId="2" borderId="0" xfId="0" applyNumberFormat="1" applyFont="1" applyFill="1" applyAlignment="1"/>
    <xf numFmtId="164" fontId="43" fillId="2" borderId="0" xfId="0" applyNumberFormat="1" applyFont="1" applyFill="1"/>
    <xf numFmtId="164" fontId="43" fillId="2" borderId="0" xfId="0" applyNumberFormat="1" applyFont="1" applyFill="1" applyAlignment="1">
      <alignment horizontal="center"/>
    </xf>
    <xf numFmtId="164" fontId="39" fillId="2" borderId="1" xfId="0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 applyProtection="1">
      <alignment horizontal="right" vertical="center" wrapText="1"/>
    </xf>
    <xf numFmtId="164" fontId="43" fillId="2" borderId="0" xfId="0" applyNumberFormat="1" applyFont="1" applyFill="1" applyBorder="1"/>
    <xf numFmtId="164" fontId="43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3" fontId="2" fillId="2" borderId="0" xfId="1" applyNumberFormat="1" applyFont="1" applyFill="1" applyBorder="1" applyAlignment="1" applyProtection="1">
      <alignment horizontal="right" vertical="center" wrapText="1"/>
    </xf>
    <xf numFmtId="3" fontId="10" fillId="2" borderId="0" xfId="1" applyNumberFormat="1" applyFont="1" applyFill="1" applyBorder="1" applyAlignment="1">
      <alignment horizontal="left" vertical="center"/>
    </xf>
    <xf numFmtId="3" fontId="10" fillId="2" borderId="0" xfId="1" applyNumberFormat="1" applyFont="1" applyFill="1" applyBorder="1" applyAlignment="1" applyProtection="1">
      <alignment horizontal="right" vertical="center" wrapText="1"/>
    </xf>
    <xf numFmtId="3" fontId="10" fillId="2" borderId="0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4" xfId="1" applyNumberFormat="1" applyFont="1" applyFill="1" applyBorder="1" applyAlignment="1" applyProtection="1">
      <alignment horizontal="center" vertical="center" wrapText="1"/>
    </xf>
    <xf numFmtId="3" fontId="10" fillId="2" borderId="4" xfId="1" applyNumberFormat="1" applyFont="1" applyFill="1" applyBorder="1" applyAlignment="1">
      <alignment horizontal="left" vertical="center"/>
    </xf>
    <xf numFmtId="3" fontId="10" fillId="2" borderId="4" xfId="1" applyNumberFormat="1" applyFont="1" applyFill="1" applyBorder="1" applyAlignment="1" applyProtection="1">
      <alignment horizontal="right" vertical="center" wrapText="1"/>
    </xf>
    <xf numFmtId="3" fontId="10" fillId="2" borderId="4" xfId="1" applyNumberFormat="1" applyFont="1" applyFill="1" applyBorder="1" applyAlignment="1" applyProtection="1">
      <alignment horizontal="center" vertical="center" wrapText="1"/>
    </xf>
    <xf numFmtId="164" fontId="12" fillId="2" borderId="0" xfId="0" applyNumberFormat="1" applyFont="1" applyFill="1" applyAlignment="1">
      <alignment horizontal="center"/>
    </xf>
    <xf numFmtId="164" fontId="13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3" fontId="0" fillId="2" borderId="0" xfId="1" applyNumberFormat="1" applyFont="1" applyFill="1" applyBorder="1" applyAlignment="1" applyProtection="1">
      <alignment horizontal="right" vertical="center" wrapText="1"/>
    </xf>
    <xf numFmtId="3" fontId="2" fillId="2" borderId="0" xfId="1" applyNumberFormat="1" applyFont="1" applyFill="1" applyBorder="1" applyAlignment="1" applyProtection="1">
      <alignment horizontal="right" vertical="center" wrapText="1"/>
    </xf>
    <xf numFmtId="3" fontId="10" fillId="2" borderId="4" xfId="1" applyNumberFormat="1" applyFont="1" applyFill="1" applyBorder="1" applyAlignment="1">
      <alignment horizontal="left" vertical="center"/>
    </xf>
    <xf numFmtId="3" fontId="10" fillId="2" borderId="9" xfId="1" applyNumberFormat="1" applyFont="1" applyFill="1" applyBorder="1" applyAlignment="1">
      <alignment horizontal="left" vertical="center"/>
    </xf>
    <xf numFmtId="3" fontId="10" fillId="2" borderId="4" xfId="1" applyNumberFormat="1" applyFont="1" applyFill="1" applyBorder="1" applyAlignment="1" applyProtection="1">
      <alignment horizontal="right" vertical="center" wrapText="1"/>
    </xf>
    <xf numFmtId="3" fontId="10" fillId="2" borderId="4" xfId="1" applyNumberFormat="1" applyFont="1" applyFill="1" applyBorder="1" applyAlignment="1" applyProtection="1">
      <alignment horizontal="center" vertical="center" wrapText="1"/>
    </xf>
    <xf numFmtId="3" fontId="10" fillId="2" borderId="0" xfId="1" applyNumberFormat="1" applyFont="1" applyFill="1" applyBorder="1" applyAlignment="1">
      <alignment horizontal="left" vertical="center"/>
    </xf>
    <xf numFmtId="3" fontId="10" fillId="2" borderId="13" xfId="1" applyNumberFormat="1" applyFont="1" applyFill="1" applyBorder="1" applyAlignment="1">
      <alignment horizontal="left" vertical="center"/>
    </xf>
    <xf numFmtId="3" fontId="10" fillId="2" borderId="0" xfId="1" applyNumberFormat="1" applyFont="1" applyFill="1" applyBorder="1" applyAlignment="1" applyProtection="1">
      <alignment horizontal="right" vertical="center" wrapText="1"/>
    </xf>
    <xf numFmtId="3" fontId="10" fillId="2" borderId="0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4" xfId="1" applyNumberFormat="1" applyFont="1" applyFill="1" applyBorder="1" applyAlignment="1" applyProtection="1">
      <alignment horizontal="center" vertical="center" wrapText="1"/>
    </xf>
    <xf numFmtId="3" fontId="13" fillId="2" borderId="3" xfId="1" applyNumberFormat="1" applyFont="1" applyFill="1" applyBorder="1" applyAlignment="1" applyProtection="1">
      <alignment horizontal="left" vertical="center" wrapText="1"/>
    </xf>
    <xf numFmtId="3" fontId="13" fillId="2" borderId="8" xfId="1" applyNumberFormat="1" applyFont="1" applyFill="1" applyBorder="1" applyAlignment="1" applyProtection="1">
      <alignment horizontal="left" vertical="center" wrapText="1"/>
    </xf>
    <xf numFmtId="3" fontId="13" fillId="2" borderId="3" xfId="1" applyNumberFormat="1" applyFont="1" applyFill="1" applyBorder="1" applyAlignment="1" applyProtection="1">
      <alignment horizontal="right" vertical="center" wrapText="1"/>
    </xf>
    <xf numFmtId="3" fontId="13" fillId="2" borderId="3" xfId="1" applyNumberFormat="1" applyFont="1" applyFill="1" applyBorder="1" applyAlignment="1" applyProtection="1">
      <alignment horizontal="center" vertical="center" wrapText="1"/>
    </xf>
    <xf numFmtId="3" fontId="2" fillId="2" borderId="3" xfId="1" applyNumberFormat="1" applyFont="1" applyFill="1" applyBorder="1" applyAlignment="1" applyProtection="1">
      <alignment horizontal="center" vertical="center" wrapText="1"/>
    </xf>
    <xf numFmtId="164" fontId="31" fillId="2" borderId="0" xfId="0" applyNumberFormat="1" applyFont="1" applyFill="1" applyAlignment="1">
      <alignment horizontal="center" vertical="center"/>
    </xf>
    <xf numFmtId="164" fontId="32" fillId="2" borderId="0" xfId="0" applyNumberFormat="1" applyFont="1" applyFill="1" applyBorder="1" applyAlignment="1" applyProtection="1">
      <alignment horizontal="center" vertical="center"/>
    </xf>
    <xf numFmtId="164" fontId="32" fillId="2" borderId="8" xfId="0" applyNumberFormat="1" applyFont="1" applyFill="1" applyBorder="1" applyAlignment="1" applyProtection="1">
      <alignment horizontal="left" vertical="center"/>
    </xf>
    <xf numFmtId="164" fontId="32" fillId="2" borderId="9" xfId="0" applyNumberFormat="1" applyFont="1" applyFill="1" applyBorder="1" applyAlignment="1" applyProtection="1">
      <alignment horizontal="left" vertical="center"/>
    </xf>
    <xf numFmtId="164" fontId="34" fillId="2" borderId="24" xfId="0" applyNumberFormat="1" applyFont="1" applyFill="1" applyBorder="1" applyAlignment="1">
      <alignment horizontal="center" vertical="center"/>
    </xf>
    <xf numFmtId="164" fontId="34" fillId="2" borderId="7" xfId="0" applyNumberFormat="1" applyFont="1" applyFill="1" applyBorder="1" applyAlignment="1">
      <alignment horizontal="center" vertical="center"/>
    </xf>
    <xf numFmtId="164" fontId="34" fillId="2" borderId="25" xfId="0" applyNumberFormat="1" applyFont="1" applyFill="1" applyBorder="1" applyAlignment="1">
      <alignment horizontal="center" vertical="center"/>
    </xf>
    <xf numFmtId="164" fontId="34" fillId="2" borderId="26" xfId="0" applyNumberFormat="1" applyFont="1" applyFill="1" applyBorder="1" applyAlignment="1">
      <alignment horizontal="center" vertical="center"/>
    </xf>
    <xf numFmtId="164" fontId="35" fillId="2" borderId="24" xfId="0" applyNumberFormat="1" applyFont="1" applyFill="1" applyBorder="1" applyAlignment="1">
      <alignment horizontal="center" vertical="center"/>
    </xf>
    <xf numFmtId="164" fontId="35" fillId="2" borderId="7" xfId="0" applyNumberFormat="1" applyFont="1" applyFill="1" applyBorder="1" applyAlignment="1">
      <alignment horizontal="center" vertical="center"/>
    </xf>
    <xf numFmtId="164" fontId="35" fillId="2" borderId="26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164" fontId="2" fillId="2" borderId="36" xfId="0" applyNumberFormat="1" applyFont="1" applyFill="1" applyBorder="1" applyAlignment="1">
      <alignment horizontal="center" vertical="center"/>
    </xf>
    <xf numFmtId="0" fontId="40" fillId="2" borderId="37" xfId="0" applyNumberFormat="1" applyFont="1" applyFill="1" applyBorder="1" applyAlignment="1">
      <alignment horizontal="right" textRotation="90" readingOrder="2"/>
    </xf>
    <xf numFmtId="164" fontId="36" fillId="2" borderId="27" xfId="0" applyNumberFormat="1" applyFont="1" applyFill="1" applyBorder="1" applyAlignment="1">
      <alignment horizontal="right" vertical="center" indent="2"/>
    </xf>
    <xf numFmtId="164" fontId="36" fillId="2" borderId="32" xfId="0" applyNumberFormat="1" applyFont="1" applyFill="1" applyBorder="1" applyAlignment="1">
      <alignment horizontal="right" vertical="center" indent="2"/>
    </xf>
    <xf numFmtId="164" fontId="36" fillId="2" borderId="27" xfId="0" applyNumberFormat="1" applyFont="1" applyFill="1" applyBorder="1" applyAlignment="1">
      <alignment horizontal="right" vertical="center" indent="1"/>
    </xf>
    <xf numFmtId="164" fontId="41" fillId="2" borderId="0" xfId="0" applyNumberFormat="1" applyFont="1" applyFill="1" applyBorder="1" applyAlignment="1">
      <alignment horizontal="right" vertical="center" wrapText="1" indent="1"/>
    </xf>
    <xf numFmtId="164" fontId="37" fillId="2" borderId="0" xfId="0" applyNumberFormat="1" applyFont="1" applyFill="1" applyAlignment="1">
      <alignment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78528"/>
        <c:axId val="53487104"/>
      </c:barChart>
      <c:catAx>
        <c:axId val="5347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487104"/>
        <c:crosses val="autoZero"/>
        <c:auto val="1"/>
        <c:lblAlgn val="ctr"/>
        <c:lblOffset val="100"/>
        <c:noMultiLvlLbl val="0"/>
      </c:catAx>
      <c:valAx>
        <c:axId val="53487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3478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12448"/>
        <c:axId val="53518336"/>
      </c:barChart>
      <c:catAx>
        <c:axId val="5351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518336"/>
        <c:crosses val="autoZero"/>
        <c:auto val="1"/>
        <c:lblAlgn val="ctr"/>
        <c:lblOffset val="100"/>
        <c:noMultiLvlLbl val="0"/>
      </c:catAx>
      <c:valAx>
        <c:axId val="53518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512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46880"/>
        <c:axId val="99948800"/>
      </c:barChart>
      <c:catAx>
        <c:axId val="9994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948800"/>
        <c:crosses val="autoZero"/>
        <c:auto val="1"/>
        <c:lblAlgn val="ctr"/>
        <c:lblOffset val="100"/>
        <c:noMultiLvlLbl val="0"/>
      </c:catAx>
      <c:valAx>
        <c:axId val="9994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94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228032"/>
        <c:axId val="133229952"/>
      </c:barChart>
      <c:catAx>
        <c:axId val="13322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229952"/>
        <c:crosses val="autoZero"/>
        <c:auto val="1"/>
        <c:lblAlgn val="ctr"/>
        <c:lblOffset val="100"/>
        <c:noMultiLvlLbl val="0"/>
      </c:catAx>
      <c:valAx>
        <c:axId val="133229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228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53152"/>
        <c:axId val="54754688"/>
      </c:barChart>
      <c:catAx>
        <c:axId val="5475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4754688"/>
        <c:crosses val="autoZero"/>
        <c:auto val="1"/>
        <c:lblAlgn val="ctr"/>
        <c:lblOffset val="100"/>
        <c:noMultiLvlLbl val="0"/>
      </c:catAx>
      <c:valAx>
        <c:axId val="54754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5475315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68384"/>
        <c:axId val="54769920"/>
      </c:barChart>
      <c:catAx>
        <c:axId val="5476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4769920"/>
        <c:crosses val="autoZero"/>
        <c:auto val="1"/>
        <c:lblAlgn val="ctr"/>
        <c:lblOffset val="100"/>
        <c:noMultiLvlLbl val="0"/>
      </c:catAx>
      <c:valAx>
        <c:axId val="54769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4768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83360"/>
        <c:axId val="54858880"/>
      </c:barChart>
      <c:catAx>
        <c:axId val="547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4858880"/>
        <c:crosses val="autoZero"/>
        <c:auto val="1"/>
        <c:lblAlgn val="ctr"/>
        <c:lblOffset val="100"/>
        <c:noMultiLvlLbl val="0"/>
      </c:catAx>
      <c:valAx>
        <c:axId val="54858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478336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129" t="s">
        <v>49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</row>
    <row r="2" spans="1:36">
      <c r="A2" s="130" t="s">
        <v>42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</row>
    <row r="3" spans="1:36" ht="15" customHeight="1">
      <c r="A3" s="131"/>
      <c r="B3" s="131"/>
      <c r="C3" s="133" t="s">
        <v>38</v>
      </c>
      <c r="D3" s="133"/>
      <c r="E3" s="133"/>
      <c r="F3" s="133"/>
      <c r="G3" s="133"/>
      <c r="H3" s="29"/>
      <c r="I3" s="29"/>
      <c r="J3" s="134" t="s">
        <v>4</v>
      </c>
      <c r="K3" s="134"/>
      <c r="L3" s="134"/>
      <c r="M3" s="134"/>
      <c r="N3" s="134"/>
      <c r="O3" s="24"/>
      <c r="P3" s="134" t="s">
        <v>5</v>
      </c>
      <c r="Q3" s="134"/>
      <c r="R3" s="134"/>
      <c r="S3" s="134"/>
      <c r="T3" s="134"/>
      <c r="U3" s="6"/>
      <c r="V3" s="6"/>
      <c r="W3" s="6"/>
      <c r="X3" s="135" t="s">
        <v>6</v>
      </c>
      <c r="Y3" s="135"/>
      <c r="Z3" s="135"/>
      <c r="AA3" s="135"/>
      <c r="AB3" s="135"/>
      <c r="AC3" s="25"/>
      <c r="AD3" s="25"/>
      <c r="AE3" s="135" t="s">
        <v>7</v>
      </c>
      <c r="AF3" s="135"/>
      <c r="AG3" s="135"/>
      <c r="AH3" s="135"/>
      <c r="AI3" s="135"/>
    </row>
    <row r="4" spans="1:36" ht="25.5">
      <c r="A4" s="132"/>
      <c r="B4" s="132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44</v>
      </c>
      <c r="I4" s="30" t="s">
        <v>50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44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44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44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44</v>
      </c>
    </row>
    <row r="5" spans="1:36" ht="14.25" customHeight="1">
      <c r="A5" s="23"/>
      <c r="B5" s="27" t="s">
        <v>46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46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46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47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47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47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48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48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48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43</v>
      </c>
    </row>
    <row r="36" spans="1:35">
      <c r="A36" s="1"/>
      <c r="B36" s="26" t="s">
        <v>44</v>
      </c>
    </row>
    <row r="37" spans="1:35">
      <c r="B37" s="27" t="s">
        <v>38</v>
      </c>
      <c r="C37" s="27" t="s">
        <v>45</v>
      </c>
      <c r="D37" s="27" t="s">
        <v>39</v>
      </c>
      <c r="E37" s="27"/>
      <c r="F37" s="27"/>
    </row>
    <row r="38" spans="1:35">
      <c r="A38" s="27" t="s">
        <v>46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47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48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51</v>
      </c>
      <c r="C42" s="34"/>
      <c r="D42" s="34"/>
    </row>
    <row r="43" spans="1:35">
      <c r="B43" s="27" t="s">
        <v>38</v>
      </c>
      <c r="C43" s="27" t="s">
        <v>45</v>
      </c>
      <c r="D43" s="27" t="s">
        <v>39</v>
      </c>
    </row>
    <row r="44" spans="1:35">
      <c r="A44" s="27" t="s">
        <v>46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47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48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52</v>
      </c>
      <c r="C49" s="34"/>
      <c r="D49" s="34"/>
    </row>
    <row r="50" spans="1:5">
      <c r="B50" s="27" t="s">
        <v>38</v>
      </c>
      <c r="C50" s="27" t="s">
        <v>45</v>
      </c>
      <c r="D50" s="27" t="s">
        <v>39</v>
      </c>
    </row>
    <row r="51" spans="1:5">
      <c r="A51" s="27" t="s">
        <v>46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47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48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41</v>
      </c>
      <c r="C56" s="34" t="s">
        <v>12</v>
      </c>
      <c r="D56" s="34" t="s">
        <v>40</v>
      </c>
    </row>
    <row r="57" spans="1:5">
      <c r="A57" s="34" t="s">
        <v>53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54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52</v>
      </c>
      <c r="B59" s="35">
        <v>14232</v>
      </c>
      <c r="C59" s="35">
        <v>6099</v>
      </c>
      <c r="D59" s="35">
        <v>8133</v>
      </c>
    </row>
    <row r="60" spans="1:5">
      <c r="A60" s="34" t="s">
        <v>51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55</v>
      </c>
    </row>
    <row r="67" spans="1:11">
      <c r="B67" s="34"/>
      <c r="H67" s="34" t="s">
        <v>56</v>
      </c>
    </row>
    <row r="68" spans="1:11">
      <c r="A68" s="1"/>
      <c r="B68" s="34"/>
      <c r="C68" s="34" t="s">
        <v>57</v>
      </c>
      <c r="D68" s="34" t="s">
        <v>58</v>
      </c>
      <c r="E68" s="34" t="s">
        <v>59</v>
      </c>
      <c r="F68" s="34" t="s">
        <v>60</v>
      </c>
      <c r="G68" s="34"/>
      <c r="H68" s="36" t="s">
        <v>61</v>
      </c>
      <c r="I68" s="34" t="s">
        <v>62</v>
      </c>
      <c r="J68" s="34" t="s">
        <v>63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BC37"/>
  <sheetViews>
    <sheetView tabSelected="1" zoomScaleNormal="100" zoomScaleSheetLayoutView="80" workbookViewId="0">
      <selection activeCell="BJ1" sqref="BJ1"/>
    </sheetView>
  </sheetViews>
  <sheetFormatPr defaultColWidth="9.140625" defaultRowHeight="15"/>
  <cols>
    <col min="1" max="1" width="41.85546875" style="40" customWidth="1"/>
    <col min="2" max="2" width="5.140625" style="40" hidden="1" customWidth="1"/>
    <col min="3" max="3" width="3.5703125" style="40" hidden="1" customWidth="1"/>
    <col min="4" max="4" width="3.140625" style="40" hidden="1" customWidth="1"/>
    <col min="5" max="5" width="5.140625" style="40" hidden="1" customWidth="1"/>
    <col min="6" max="6" width="2.85546875" style="40" hidden="1" customWidth="1"/>
    <col min="7" max="7" width="3.42578125" style="40" hidden="1" customWidth="1"/>
    <col min="8" max="9" width="5.140625" style="40" hidden="1" customWidth="1"/>
    <col min="10" max="10" width="3.42578125" style="40" hidden="1" customWidth="1"/>
    <col min="11" max="11" width="4.140625" style="40" hidden="1" customWidth="1"/>
    <col min="12" max="12" width="5.140625" style="40" hidden="1" customWidth="1"/>
    <col min="13" max="13" width="6.7109375" style="42" hidden="1" customWidth="1"/>
    <col min="14" max="14" width="5.140625" style="40" hidden="1" customWidth="1"/>
    <col min="15" max="15" width="4.5703125" style="40" hidden="1" customWidth="1"/>
    <col min="16" max="17" width="3.5703125" style="40" hidden="1" customWidth="1"/>
    <col min="18" max="18" width="5.140625" style="40" hidden="1" customWidth="1"/>
    <col min="19" max="19" width="6.42578125" style="42" hidden="1" customWidth="1"/>
    <col min="20" max="20" width="6" style="42" hidden="1" customWidth="1"/>
    <col min="21" max="21" width="6.140625" style="42" hidden="1" customWidth="1"/>
    <col min="22" max="22" width="3.28515625" style="40" hidden="1" customWidth="1"/>
    <col min="23" max="23" width="7.85546875" style="43" hidden="1" customWidth="1"/>
    <col min="24" max="24" width="5.28515625" style="42" hidden="1" customWidth="1"/>
    <col min="25" max="25" width="11.7109375" style="42" hidden="1" customWidth="1"/>
    <col min="26" max="26" width="5.140625" style="40" hidden="1" customWidth="1"/>
    <col min="27" max="27" width="4.42578125" style="40" hidden="1" customWidth="1"/>
    <col min="28" max="28" width="3.7109375" style="40" hidden="1" customWidth="1"/>
    <col min="29" max="29" width="6" style="40" hidden="1" customWidth="1"/>
    <col min="30" max="30" width="4" style="40" hidden="1" customWidth="1"/>
    <col min="31" max="31" width="6.7109375" style="42" hidden="1" customWidth="1"/>
    <col min="32" max="36" width="5.42578125" style="40" hidden="1" customWidth="1"/>
    <col min="37" max="37" width="8.5703125" style="42" hidden="1" customWidth="1"/>
    <col min="38" max="42" width="5.42578125" style="40" customWidth="1"/>
    <col min="43" max="43" width="8.5703125" style="42" customWidth="1"/>
    <col min="44" max="48" width="5.42578125" style="40" customWidth="1"/>
    <col min="49" max="49" width="8" style="42" customWidth="1"/>
    <col min="50" max="50" width="57.28515625" style="40" customWidth="1"/>
    <col min="51" max="51" width="1.42578125" style="40" customWidth="1"/>
    <col min="52" max="52" width="2.28515625" style="40" customWidth="1"/>
    <col min="53" max="16384" width="9.140625" style="40"/>
  </cols>
  <sheetData>
    <row r="2" spans="1:55" ht="18">
      <c r="A2" s="153" t="s">
        <v>131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</row>
    <row r="3" spans="1:55">
      <c r="A3" s="154" t="s">
        <v>132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40">
        <v>6</v>
      </c>
    </row>
    <row r="4" spans="1:55" hidden="1">
      <c r="A4" s="41"/>
      <c r="B4" s="41"/>
      <c r="C4" s="41"/>
      <c r="D4" s="41"/>
      <c r="E4" s="41"/>
      <c r="F4" s="41"/>
      <c r="G4" s="41"/>
      <c r="H4" s="41"/>
      <c r="N4" s="41"/>
      <c r="T4" s="41"/>
      <c r="Z4" s="44"/>
      <c r="AF4" s="44"/>
      <c r="AL4" s="44"/>
      <c r="AR4" s="44"/>
    </row>
    <row r="5" spans="1:55" s="46" customFormat="1" ht="26.25" customHeight="1">
      <c r="A5" s="155" t="s">
        <v>64</v>
      </c>
      <c r="B5" s="157">
        <v>2008</v>
      </c>
      <c r="C5" s="158"/>
      <c r="D5" s="158"/>
      <c r="E5" s="158"/>
      <c r="F5" s="158"/>
      <c r="G5" s="159"/>
      <c r="H5" s="157">
        <v>2009</v>
      </c>
      <c r="I5" s="158"/>
      <c r="J5" s="158"/>
      <c r="K5" s="158"/>
      <c r="L5" s="158"/>
      <c r="M5" s="159"/>
      <c r="N5" s="157">
        <v>2010</v>
      </c>
      <c r="O5" s="158"/>
      <c r="P5" s="158"/>
      <c r="Q5" s="158"/>
      <c r="R5" s="158"/>
      <c r="S5" s="160"/>
      <c r="T5" s="157">
        <v>2011</v>
      </c>
      <c r="U5" s="158"/>
      <c r="V5" s="158"/>
      <c r="W5" s="158"/>
      <c r="X5" s="158"/>
      <c r="Y5" s="160"/>
      <c r="Z5" s="161">
        <v>2013</v>
      </c>
      <c r="AA5" s="162"/>
      <c r="AB5" s="162"/>
      <c r="AC5" s="162"/>
      <c r="AD5" s="162"/>
      <c r="AE5" s="163"/>
      <c r="AF5" s="161">
        <v>2014</v>
      </c>
      <c r="AG5" s="162"/>
      <c r="AH5" s="162"/>
      <c r="AI5" s="162"/>
      <c r="AJ5" s="162"/>
      <c r="AK5" s="163"/>
      <c r="AL5" s="167">
        <v>2015</v>
      </c>
      <c r="AM5" s="165"/>
      <c r="AN5" s="165"/>
      <c r="AO5" s="165"/>
      <c r="AP5" s="165"/>
      <c r="AQ5" s="166"/>
      <c r="AR5" s="164">
        <v>2016</v>
      </c>
      <c r="AS5" s="165"/>
      <c r="AT5" s="165"/>
      <c r="AU5" s="165"/>
      <c r="AV5" s="165"/>
      <c r="AW5" s="166"/>
      <c r="AX5" s="169" t="s">
        <v>65</v>
      </c>
      <c r="AY5" s="45"/>
      <c r="AZ5" s="45"/>
      <c r="BA5" s="45"/>
      <c r="BB5" s="45"/>
      <c r="BC5" s="45"/>
    </row>
    <row r="6" spans="1:55" ht="242.25" customHeight="1">
      <c r="A6" s="156"/>
      <c r="B6" s="47" t="s">
        <v>66</v>
      </c>
      <c r="C6" s="48" t="s">
        <v>67</v>
      </c>
      <c r="D6" s="49" t="s">
        <v>68</v>
      </c>
      <c r="E6" s="50" t="s">
        <v>69</v>
      </c>
      <c r="F6" s="51" t="s">
        <v>70</v>
      </c>
      <c r="G6" s="52" t="s">
        <v>71</v>
      </c>
      <c r="H6" s="53" t="s">
        <v>72</v>
      </c>
      <c r="I6" s="54" t="s">
        <v>73</v>
      </c>
      <c r="J6" s="55" t="s">
        <v>74</v>
      </c>
      <c r="K6" s="56" t="s">
        <v>75</v>
      </c>
      <c r="L6" s="57" t="s">
        <v>76</v>
      </c>
      <c r="M6" s="58" t="s">
        <v>77</v>
      </c>
      <c r="N6" s="59" t="s">
        <v>78</v>
      </c>
      <c r="O6" s="60" t="s">
        <v>79</v>
      </c>
      <c r="P6" s="61" t="s">
        <v>80</v>
      </c>
      <c r="Q6" s="60" t="s">
        <v>81</v>
      </c>
      <c r="R6" s="60" t="s">
        <v>82</v>
      </c>
      <c r="S6" s="62" t="s">
        <v>83</v>
      </c>
      <c r="T6" s="63" t="s">
        <v>84</v>
      </c>
      <c r="U6" s="64" t="s">
        <v>85</v>
      </c>
      <c r="V6" s="61" t="s">
        <v>86</v>
      </c>
      <c r="W6" s="65" t="s">
        <v>87</v>
      </c>
      <c r="X6" s="64" t="s">
        <v>88</v>
      </c>
      <c r="Y6" s="62" t="s">
        <v>89</v>
      </c>
      <c r="Z6" s="66" t="s">
        <v>90</v>
      </c>
      <c r="AA6" s="67" t="s">
        <v>91</v>
      </c>
      <c r="AB6" s="68" t="s">
        <v>92</v>
      </c>
      <c r="AC6" s="67" t="s">
        <v>93</v>
      </c>
      <c r="AD6" s="67" t="s">
        <v>94</v>
      </c>
      <c r="AE6" s="69" t="s">
        <v>95</v>
      </c>
      <c r="AF6" s="66" t="s">
        <v>96</v>
      </c>
      <c r="AG6" s="67" t="s">
        <v>97</v>
      </c>
      <c r="AH6" s="68" t="s">
        <v>98</v>
      </c>
      <c r="AI6" s="54" t="s">
        <v>99</v>
      </c>
      <c r="AJ6" s="54" t="s">
        <v>100</v>
      </c>
      <c r="AK6" s="69" t="s">
        <v>101</v>
      </c>
      <c r="AL6" s="168" t="s">
        <v>102</v>
      </c>
      <c r="AM6" s="67" t="s">
        <v>103</v>
      </c>
      <c r="AN6" s="68" t="s">
        <v>128</v>
      </c>
      <c r="AO6" s="67" t="s">
        <v>129</v>
      </c>
      <c r="AP6" s="67" t="s">
        <v>104</v>
      </c>
      <c r="AQ6" s="69" t="s">
        <v>130</v>
      </c>
      <c r="AR6" s="66" t="s">
        <v>105</v>
      </c>
      <c r="AS6" s="67" t="s">
        <v>106</v>
      </c>
      <c r="AT6" s="68" t="s">
        <v>127</v>
      </c>
      <c r="AU6" s="67" t="s">
        <v>126</v>
      </c>
      <c r="AV6" s="67" t="s">
        <v>125</v>
      </c>
      <c r="AW6" s="69" t="s">
        <v>124</v>
      </c>
      <c r="AX6" s="170"/>
    </row>
    <row r="7" spans="1:55" s="81" customFormat="1" ht="21">
      <c r="A7" s="70" t="s">
        <v>0</v>
      </c>
      <c r="B7" s="71">
        <f>SUM(B8:B14)</f>
        <v>340</v>
      </c>
      <c r="C7" s="148">
        <f>SUM(C8:D14)</f>
        <v>565</v>
      </c>
      <c r="D7" s="148"/>
      <c r="E7" s="72">
        <f>SUM(E8:E14)</f>
        <v>227</v>
      </c>
      <c r="F7" s="148">
        <f>C7-E7</f>
        <v>338</v>
      </c>
      <c r="G7" s="149"/>
      <c r="H7" s="73">
        <v>338</v>
      </c>
      <c r="I7" s="74">
        <f>SUM(I8:I14)</f>
        <v>415</v>
      </c>
      <c r="J7" s="148">
        <f>SUM(J8:K14)</f>
        <v>753</v>
      </c>
      <c r="K7" s="148"/>
      <c r="L7" s="74">
        <f>SUM(L8:L14)</f>
        <v>401</v>
      </c>
      <c r="M7" s="74">
        <f>SUM(M8:M14)</f>
        <v>352</v>
      </c>
      <c r="N7" s="75">
        <f>SUM(N8:N14)</f>
        <v>352</v>
      </c>
      <c r="O7" s="76">
        <f>SUM(O8:O14)</f>
        <v>280</v>
      </c>
      <c r="P7" s="150">
        <f>SUM(P8:Q14)</f>
        <v>632</v>
      </c>
      <c r="Q7" s="150"/>
      <c r="R7" s="76">
        <f>SUM(R8:R14)</f>
        <v>180</v>
      </c>
      <c r="S7" s="76">
        <f>SUM(S8:S14)</f>
        <v>452</v>
      </c>
      <c r="T7" s="77">
        <f>SUM(T8:T14)</f>
        <v>452</v>
      </c>
      <c r="U7" s="78">
        <f>SUM(U8:U14)</f>
        <v>342</v>
      </c>
      <c r="V7" s="151">
        <f>SUM(V8:W14)</f>
        <v>794</v>
      </c>
      <c r="W7" s="151"/>
      <c r="X7" s="78">
        <f>SUM(X8:X14)</f>
        <v>328</v>
      </c>
      <c r="Y7" s="78">
        <f>SUM(Y8:Y14)</f>
        <v>466</v>
      </c>
      <c r="Z7" s="79">
        <v>277</v>
      </c>
      <c r="AA7" s="80">
        <v>401</v>
      </c>
      <c r="AB7" s="152">
        <v>678</v>
      </c>
      <c r="AC7" s="152"/>
      <c r="AD7" s="80">
        <v>389</v>
      </c>
      <c r="AE7" s="80">
        <v>289</v>
      </c>
      <c r="AF7" s="79">
        <f>SUM(AF8:AF14)</f>
        <v>289</v>
      </c>
      <c r="AG7" s="80">
        <f>SUM(AG8:AG14)</f>
        <v>365</v>
      </c>
      <c r="AH7" s="152">
        <v>654</v>
      </c>
      <c r="AI7" s="152"/>
      <c r="AJ7" s="80">
        <v>414</v>
      </c>
      <c r="AK7" s="80">
        <v>238</v>
      </c>
      <c r="AL7" s="79">
        <v>238</v>
      </c>
      <c r="AM7" s="80">
        <v>413</v>
      </c>
      <c r="AN7" s="152">
        <v>651</v>
      </c>
      <c r="AO7" s="152"/>
      <c r="AP7" s="80">
        <v>329</v>
      </c>
      <c r="AQ7" s="80">
        <v>323</v>
      </c>
      <c r="AR7" s="79">
        <v>323</v>
      </c>
      <c r="AS7" s="80">
        <v>615</v>
      </c>
      <c r="AT7" s="152">
        <v>938</v>
      </c>
      <c r="AU7" s="152"/>
      <c r="AV7" s="80">
        <v>373</v>
      </c>
      <c r="AW7" s="80">
        <v>563</v>
      </c>
      <c r="AX7" s="171" t="s">
        <v>2</v>
      </c>
    </row>
    <row r="8" spans="1:55" s="95" customFormat="1" ht="35.25" customHeight="1">
      <c r="A8" s="82" t="s">
        <v>107</v>
      </c>
      <c r="B8" s="83">
        <v>311</v>
      </c>
      <c r="C8" s="142">
        <v>520</v>
      </c>
      <c r="D8" s="142"/>
      <c r="E8" s="84">
        <v>196</v>
      </c>
      <c r="F8" s="142">
        <f t="shared" ref="F8:F14" si="0">C8-E8</f>
        <v>324</v>
      </c>
      <c r="G8" s="143"/>
      <c r="H8" s="83">
        <v>324</v>
      </c>
      <c r="I8" s="84">
        <v>289</v>
      </c>
      <c r="J8" s="142">
        <v>613</v>
      </c>
      <c r="K8" s="142"/>
      <c r="L8" s="84">
        <v>345</v>
      </c>
      <c r="M8" s="85">
        <v>268</v>
      </c>
      <c r="N8" s="86">
        <v>268</v>
      </c>
      <c r="O8" s="87">
        <v>245</v>
      </c>
      <c r="P8" s="144">
        <v>513</v>
      </c>
      <c r="Q8" s="144"/>
      <c r="R8" s="87">
        <v>150</v>
      </c>
      <c r="S8" s="88">
        <v>363</v>
      </c>
      <c r="T8" s="89">
        <v>363</v>
      </c>
      <c r="U8" s="90">
        <v>247</v>
      </c>
      <c r="V8" s="145">
        <v>610</v>
      </c>
      <c r="W8" s="145"/>
      <c r="X8" s="90">
        <v>238</v>
      </c>
      <c r="Y8" s="91">
        <v>372</v>
      </c>
      <c r="Z8" s="92">
        <v>232</v>
      </c>
      <c r="AA8" s="93">
        <v>306</v>
      </c>
      <c r="AB8" s="146">
        <v>538</v>
      </c>
      <c r="AC8" s="146"/>
      <c r="AD8" s="93">
        <v>325</v>
      </c>
      <c r="AE8" s="94">
        <f>AB8-AD8</f>
        <v>213</v>
      </c>
      <c r="AF8" s="92">
        <v>213</v>
      </c>
      <c r="AG8" s="93">
        <v>280</v>
      </c>
      <c r="AH8" s="146">
        <v>493</v>
      </c>
      <c r="AI8" s="146"/>
      <c r="AJ8" s="93">
        <v>302</v>
      </c>
      <c r="AK8" s="94">
        <v>198</v>
      </c>
      <c r="AL8" s="92">
        <v>198</v>
      </c>
      <c r="AM8" s="93">
        <v>355</v>
      </c>
      <c r="AN8" s="146">
        <v>553</v>
      </c>
      <c r="AO8" s="146"/>
      <c r="AP8" s="93">
        <v>277</v>
      </c>
      <c r="AQ8" s="94">
        <v>276</v>
      </c>
      <c r="AR8" s="92">
        <v>276</v>
      </c>
      <c r="AS8" s="93">
        <v>455</v>
      </c>
      <c r="AT8" s="146">
        <v>731</v>
      </c>
      <c r="AU8" s="146"/>
      <c r="AV8" s="93">
        <v>251</v>
      </c>
      <c r="AW8" s="94">
        <v>480</v>
      </c>
      <c r="AX8" s="172" t="s">
        <v>108</v>
      </c>
    </row>
    <row r="9" spans="1:55" s="173" customFormat="1" ht="30" customHeight="1">
      <c r="A9" s="82" t="s">
        <v>109</v>
      </c>
      <c r="B9" s="83">
        <v>7</v>
      </c>
      <c r="C9" s="142">
        <v>23</v>
      </c>
      <c r="D9" s="142"/>
      <c r="E9" s="121">
        <v>11</v>
      </c>
      <c r="F9" s="142">
        <f t="shared" si="0"/>
        <v>12</v>
      </c>
      <c r="G9" s="143"/>
      <c r="H9" s="83">
        <v>12</v>
      </c>
      <c r="I9" s="121">
        <v>81</v>
      </c>
      <c r="J9" s="142">
        <v>93</v>
      </c>
      <c r="K9" s="142"/>
      <c r="L9" s="121">
        <v>12</v>
      </c>
      <c r="M9" s="85">
        <v>81</v>
      </c>
      <c r="N9" s="86">
        <v>81</v>
      </c>
      <c r="O9" s="122">
        <v>33</v>
      </c>
      <c r="P9" s="144">
        <v>114</v>
      </c>
      <c r="Q9" s="144"/>
      <c r="R9" s="122">
        <v>27</v>
      </c>
      <c r="S9" s="88">
        <v>87</v>
      </c>
      <c r="T9" s="89">
        <v>87</v>
      </c>
      <c r="U9" s="123">
        <v>49</v>
      </c>
      <c r="V9" s="145">
        <v>136</v>
      </c>
      <c r="W9" s="145"/>
      <c r="X9" s="123">
        <v>53</v>
      </c>
      <c r="Y9" s="91">
        <v>83</v>
      </c>
      <c r="Z9" s="92">
        <v>37</v>
      </c>
      <c r="AA9" s="124">
        <v>84</v>
      </c>
      <c r="AB9" s="146">
        <v>121</v>
      </c>
      <c r="AC9" s="146"/>
      <c r="AD9" s="124">
        <v>55</v>
      </c>
      <c r="AE9" s="94">
        <f t="shared" ref="AE9:AE14" si="1">AB9-AD9</f>
        <v>66</v>
      </c>
      <c r="AF9" s="92">
        <v>66</v>
      </c>
      <c r="AG9" s="124">
        <v>64</v>
      </c>
      <c r="AH9" s="146">
        <v>130</v>
      </c>
      <c r="AI9" s="146"/>
      <c r="AJ9" s="124">
        <v>89</v>
      </c>
      <c r="AK9" s="94">
        <v>33</v>
      </c>
      <c r="AL9" s="92">
        <v>33</v>
      </c>
      <c r="AM9" s="124">
        <v>51</v>
      </c>
      <c r="AN9" s="146">
        <v>84</v>
      </c>
      <c r="AO9" s="146"/>
      <c r="AP9" s="124">
        <v>46</v>
      </c>
      <c r="AQ9" s="94">
        <v>38</v>
      </c>
      <c r="AR9" s="92">
        <v>38</v>
      </c>
      <c r="AS9" s="124">
        <v>133</v>
      </c>
      <c r="AT9" s="146">
        <v>171</v>
      </c>
      <c r="AU9" s="146"/>
      <c r="AV9" s="124">
        <v>95</v>
      </c>
      <c r="AW9" s="94">
        <v>75</v>
      </c>
      <c r="AX9" s="96" t="s">
        <v>110</v>
      </c>
    </row>
    <row r="10" spans="1:55" s="173" customFormat="1" ht="30" customHeight="1">
      <c r="A10" s="97" t="s">
        <v>111</v>
      </c>
      <c r="B10" s="83">
        <v>7</v>
      </c>
      <c r="C10" s="142">
        <v>7</v>
      </c>
      <c r="D10" s="142"/>
      <c r="E10" s="121">
        <v>7</v>
      </c>
      <c r="F10" s="142">
        <f t="shared" si="0"/>
        <v>0</v>
      </c>
      <c r="G10" s="143"/>
      <c r="H10" s="83">
        <v>0</v>
      </c>
      <c r="I10" s="121">
        <v>0</v>
      </c>
      <c r="J10" s="142">
        <v>0</v>
      </c>
      <c r="K10" s="142"/>
      <c r="L10" s="121">
        <v>0</v>
      </c>
      <c r="M10" s="85">
        <v>0</v>
      </c>
      <c r="N10" s="86">
        <v>0</v>
      </c>
      <c r="O10" s="122">
        <v>0</v>
      </c>
      <c r="P10" s="144">
        <v>0</v>
      </c>
      <c r="Q10" s="144"/>
      <c r="R10" s="122">
        <v>0</v>
      </c>
      <c r="S10" s="88">
        <v>0</v>
      </c>
      <c r="T10" s="89">
        <v>0</v>
      </c>
      <c r="U10" s="123">
        <v>2</v>
      </c>
      <c r="V10" s="145">
        <v>2</v>
      </c>
      <c r="W10" s="145"/>
      <c r="X10" s="123">
        <v>0</v>
      </c>
      <c r="Y10" s="91">
        <v>2</v>
      </c>
      <c r="Z10" s="92">
        <v>1</v>
      </c>
      <c r="AA10" s="124">
        <v>1</v>
      </c>
      <c r="AB10" s="146">
        <v>2</v>
      </c>
      <c r="AC10" s="146"/>
      <c r="AD10" s="124">
        <v>1</v>
      </c>
      <c r="AE10" s="94">
        <f t="shared" si="1"/>
        <v>1</v>
      </c>
      <c r="AF10" s="92">
        <v>1</v>
      </c>
      <c r="AG10" s="124">
        <v>0</v>
      </c>
      <c r="AH10" s="146">
        <v>1</v>
      </c>
      <c r="AI10" s="146"/>
      <c r="AJ10" s="124">
        <v>1</v>
      </c>
      <c r="AK10" s="94">
        <v>0</v>
      </c>
      <c r="AL10" s="92">
        <v>0</v>
      </c>
      <c r="AM10" s="124">
        <v>5</v>
      </c>
      <c r="AN10" s="146">
        <v>5</v>
      </c>
      <c r="AO10" s="146"/>
      <c r="AP10" s="124">
        <v>0</v>
      </c>
      <c r="AQ10" s="94">
        <v>5</v>
      </c>
      <c r="AR10" s="92">
        <v>5</v>
      </c>
      <c r="AS10" s="124">
        <v>1</v>
      </c>
      <c r="AT10" s="146">
        <v>6</v>
      </c>
      <c r="AU10" s="146"/>
      <c r="AV10" s="124">
        <v>1</v>
      </c>
      <c r="AW10" s="94">
        <v>5</v>
      </c>
      <c r="AX10" s="96" t="s">
        <v>112</v>
      </c>
      <c r="AY10" s="96"/>
    </row>
    <row r="11" spans="1:55" s="173" customFormat="1" ht="30" customHeight="1">
      <c r="A11" s="82" t="s">
        <v>113</v>
      </c>
      <c r="B11" s="83">
        <v>1</v>
      </c>
      <c r="C11" s="142">
        <v>1</v>
      </c>
      <c r="D11" s="142"/>
      <c r="E11" s="121">
        <v>1</v>
      </c>
      <c r="F11" s="142">
        <f t="shared" si="0"/>
        <v>0</v>
      </c>
      <c r="G11" s="143"/>
      <c r="H11" s="83">
        <v>0</v>
      </c>
      <c r="I11" s="121">
        <v>19</v>
      </c>
      <c r="J11" s="142">
        <v>19</v>
      </c>
      <c r="K11" s="142"/>
      <c r="L11" s="121">
        <v>19</v>
      </c>
      <c r="M11" s="85">
        <v>0</v>
      </c>
      <c r="N11" s="86">
        <v>0</v>
      </c>
      <c r="O11" s="122">
        <v>0</v>
      </c>
      <c r="P11" s="144">
        <v>0</v>
      </c>
      <c r="Q11" s="144"/>
      <c r="R11" s="122">
        <v>0</v>
      </c>
      <c r="S11" s="88">
        <v>0</v>
      </c>
      <c r="T11" s="89">
        <v>0</v>
      </c>
      <c r="U11" s="123">
        <v>15</v>
      </c>
      <c r="V11" s="145">
        <v>15</v>
      </c>
      <c r="W11" s="145"/>
      <c r="X11" s="123">
        <v>15</v>
      </c>
      <c r="Y11" s="91">
        <v>0</v>
      </c>
      <c r="Z11" s="92">
        <v>0</v>
      </c>
      <c r="AA11" s="124">
        <v>2</v>
      </c>
      <c r="AB11" s="146">
        <v>2</v>
      </c>
      <c r="AC11" s="146"/>
      <c r="AD11" s="124">
        <v>2</v>
      </c>
      <c r="AE11" s="94">
        <f>AB11-AD11</f>
        <v>0</v>
      </c>
      <c r="AF11" s="92">
        <v>0</v>
      </c>
      <c r="AG11" s="124">
        <v>0</v>
      </c>
      <c r="AH11" s="146">
        <v>0</v>
      </c>
      <c r="AI11" s="146"/>
      <c r="AJ11" s="124">
        <v>0</v>
      </c>
      <c r="AK11" s="94">
        <v>0</v>
      </c>
      <c r="AL11" s="92">
        <v>0</v>
      </c>
      <c r="AM11" s="124">
        <v>0</v>
      </c>
      <c r="AN11" s="146">
        <v>0</v>
      </c>
      <c r="AO11" s="146"/>
      <c r="AP11" s="124">
        <v>0</v>
      </c>
      <c r="AQ11" s="94">
        <v>0</v>
      </c>
      <c r="AR11" s="92">
        <v>0</v>
      </c>
      <c r="AS11" s="124">
        <v>0</v>
      </c>
      <c r="AT11" s="146">
        <v>0</v>
      </c>
      <c r="AU11" s="146"/>
      <c r="AV11" s="124">
        <v>0</v>
      </c>
      <c r="AW11" s="94">
        <v>0</v>
      </c>
      <c r="AX11" s="96" t="s">
        <v>114</v>
      </c>
    </row>
    <row r="12" spans="1:55" s="173" customFormat="1" ht="30" customHeight="1">
      <c r="A12" s="82" t="s">
        <v>115</v>
      </c>
      <c r="B12" s="83">
        <v>0</v>
      </c>
      <c r="C12" s="142">
        <v>0</v>
      </c>
      <c r="D12" s="142"/>
      <c r="E12" s="121">
        <v>0</v>
      </c>
      <c r="F12" s="142">
        <v>0</v>
      </c>
      <c r="G12" s="143"/>
      <c r="H12" s="83">
        <v>0</v>
      </c>
      <c r="I12" s="121">
        <v>22</v>
      </c>
      <c r="J12" s="142">
        <v>22</v>
      </c>
      <c r="K12" s="142"/>
      <c r="L12" s="121">
        <v>22</v>
      </c>
      <c r="M12" s="85">
        <v>0</v>
      </c>
      <c r="N12" s="86">
        <v>0</v>
      </c>
      <c r="O12" s="122">
        <v>1</v>
      </c>
      <c r="P12" s="144">
        <v>1</v>
      </c>
      <c r="Q12" s="144"/>
      <c r="R12" s="122">
        <v>1</v>
      </c>
      <c r="S12" s="88">
        <v>0</v>
      </c>
      <c r="T12" s="89">
        <v>0</v>
      </c>
      <c r="U12" s="123">
        <v>20</v>
      </c>
      <c r="V12" s="145">
        <v>20</v>
      </c>
      <c r="W12" s="145"/>
      <c r="X12" s="123">
        <v>20</v>
      </c>
      <c r="Y12" s="91">
        <v>0</v>
      </c>
      <c r="Z12" s="92">
        <v>0</v>
      </c>
      <c r="AA12" s="124">
        <v>2</v>
      </c>
      <c r="AB12" s="146">
        <v>2</v>
      </c>
      <c r="AC12" s="146"/>
      <c r="AD12" s="124">
        <v>2</v>
      </c>
      <c r="AE12" s="94">
        <f t="shared" si="1"/>
        <v>0</v>
      </c>
      <c r="AF12" s="92">
        <v>0</v>
      </c>
      <c r="AG12" s="124">
        <v>15</v>
      </c>
      <c r="AH12" s="146">
        <v>0</v>
      </c>
      <c r="AI12" s="146"/>
      <c r="AJ12" s="124">
        <v>15</v>
      </c>
      <c r="AK12" s="94">
        <v>0</v>
      </c>
      <c r="AL12" s="92">
        <v>0</v>
      </c>
      <c r="AM12" s="124">
        <v>0</v>
      </c>
      <c r="AN12" s="146">
        <v>0</v>
      </c>
      <c r="AO12" s="146"/>
      <c r="AP12" s="124">
        <v>0</v>
      </c>
      <c r="AQ12" s="94">
        <v>0</v>
      </c>
      <c r="AR12" s="92">
        <v>0</v>
      </c>
      <c r="AS12" s="124">
        <v>0</v>
      </c>
      <c r="AT12" s="146">
        <v>0</v>
      </c>
      <c r="AU12" s="146"/>
      <c r="AV12" s="124">
        <v>0</v>
      </c>
      <c r="AW12" s="94">
        <v>0</v>
      </c>
      <c r="AX12" s="98" t="s">
        <v>116</v>
      </c>
    </row>
    <row r="13" spans="1:55" s="173" customFormat="1" ht="30" customHeight="1">
      <c r="A13" s="82" t="s">
        <v>117</v>
      </c>
      <c r="B13" s="83">
        <v>0</v>
      </c>
      <c r="C13" s="142">
        <v>0</v>
      </c>
      <c r="D13" s="142"/>
      <c r="E13" s="121">
        <v>0</v>
      </c>
      <c r="F13" s="142">
        <v>0</v>
      </c>
      <c r="G13" s="143"/>
      <c r="H13" s="83">
        <v>0</v>
      </c>
      <c r="I13" s="121">
        <v>0</v>
      </c>
      <c r="J13" s="142">
        <v>0</v>
      </c>
      <c r="K13" s="142"/>
      <c r="L13" s="121">
        <v>0</v>
      </c>
      <c r="M13" s="85">
        <v>0</v>
      </c>
      <c r="N13" s="86">
        <v>0</v>
      </c>
      <c r="O13" s="122">
        <v>0</v>
      </c>
      <c r="P13" s="144">
        <v>0</v>
      </c>
      <c r="Q13" s="144"/>
      <c r="R13" s="122">
        <v>0</v>
      </c>
      <c r="S13" s="88">
        <v>0</v>
      </c>
      <c r="T13" s="89">
        <v>0</v>
      </c>
      <c r="U13" s="123">
        <v>1</v>
      </c>
      <c r="V13" s="145">
        <v>1</v>
      </c>
      <c r="W13" s="145"/>
      <c r="X13" s="123">
        <v>0</v>
      </c>
      <c r="Y13" s="91">
        <v>1</v>
      </c>
      <c r="Z13" s="92">
        <v>0</v>
      </c>
      <c r="AA13" s="124">
        <v>0</v>
      </c>
      <c r="AB13" s="146">
        <v>0</v>
      </c>
      <c r="AC13" s="146"/>
      <c r="AD13" s="124">
        <v>0</v>
      </c>
      <c r="AE13" s="94">
        <f t="shared" si="1"/>
        <v>0</v>
      </c>
      <c r="AF13" s="92">
        <v>0</v>
      </c>
      <c r="AG13" s="124">
        <v>0</v>
      </c>
      <c r="AH13" s="146">
        <v>0</v>
      </c>
      <c r="AI13" s="146"/>
      <c r="AJ13" s="124">
        <v>0</v>
      </c>
      <c r="AK13" s="94">
        <v>0</v>
      </c>
      <c r="AL13" s="92">
        <v>0</v>
      </c>
      <c r="AM13" s="124">
        <v>0</v>
      </c>
      <c r="AN13" s="146">
        <v>0</v>
      </c>
      <c r="AO13" s="146"/>
      <c r="AP13" s="124">
        <v>0</v>
      </c>
      <c r="AQ13" s="94">
        <v>0</v>
      </c>
      <c r="AR13" s="92">
        <v>0</v>
      </c>
      <c r="AS13" s="124">
        <v>0</v>
      </c>
      <c r="AT13" s="146">
        <v>0</v>
      </c>
      <c r="AU13" s="146"/>
      <c r="AV13" s="124">
        <v>0</v>
      </c>
      <c r="AW13" s="94">
        <v>0</v>
      </c>
      <c r="AX13" s="98" t="s">
        <v>118</v>
      </c>
    </row>
    <row r="14" spans="1:55" s="173" customFormat="1" ht="30" customHeight="1">
      <c r="A14" s="99" t="s">
        <v>119</v>
      </c>
      <c r="B14" s="100">
        <v>14</v>
      </c>
      <c r="C14" s="138">
        <v>14</v>
      </c>
      <c r="D14" s="138"/>
      <c r="E14" s="126">
        <v>12</v>
      </c>
      <c r="F14" s="138">
        <f t="shared" si="0"/>
        <v>2</v>
      </c>
      <c r="G14" s="139"/>
      <c r="H14" s="100">
        <v>2</v>
      </c>
      <c r="I14" s="126">
        <v>4</v>
      </c>
      <c r="J14" s="138">
        <v>6</v>
      </c>
      <c r="K14" s="138"/>
      <c r="L14" s="126">
        <v>3</v>
      </c>
      <c r="M14" s="101">
        <v>3</v>
      </c>
      <c r="N14" s="102">
        <v>3</v>
      </c>
      <c r="O14" s="127">
        <v>1</v>
      </c>
      <c r="P14" s="140">
        <v>4</v>
      </c>
      <c r="Q14" s="140"/>
      <c r="R14" s="127">
        <v>2</v>
      </c>
      <c r="S14" s="103">
        <v>2</v>
      </c>
      <c r="T14" s="104">
        <v>2</v>
      </c>
      <c r="U14" s="128">
        <v>8</v>
      </c>
      <c r="V14" s="141">
        <v>10</v>
      </c>
      <c r="W14" s="141"/>
      <c r="X14" s="128">
        <v>2</v>
      </c>
      <c r="Y14" s="105">
        <v>8</v>
      </c>
      <c r="Z14" s="106">
        <v>7</v>
      </c>
      <c r="AA14" s="125">
        <v>6</v>
      </c>
      <c r="AB14" s="147">
        <v>13</v>
      </c>
      <c r="AC14" s="147"/>
      <c r="AD14" s="125">
        <v>4</v>
      </c>
      <c r="AE14" s="107">
        <f t="shared" si="1"/>
        <v>9</v>
      </c>
      <c r="AF14" s="106">
        <v>9</v>
      </c>
      <c r="AG14" s="125">
        <v>6</v>
      </c>
      <c r="AH14" s="147">
        <v>15</v>
      </c>
      <c r="AI14" s="147"/>
      <c r="AJ14" s="125">
        <v>7</v>
      </c>
      <c r="AK14" s="107">
        <v>7</v>
      </c>
      <c r="AL14" s="106">
        <v>7</v>
      </c>
      <c r="AM14" s="125">
        <v>2</v>
      </c>
      <c r="AN14" s="147">
        <v>9</v>
      </c>
      <c r="AO14" s="147"/>
      <c r="AP14" s="125">
        <v>6</v>
      </c>
      <c r="AQ14" s="107">
        <v>4</v>
      </c>
      <c r="AR14" s="106">
        <v>4</v>
      </c>
      <c r="AS14" s="125">
        <v>2</v>
      </c>
      <c r="AT14" s="147">
        <v>6</v>
      </c>
      <c r="AU14" s="147"/>
      <c r="AV14" s="125">
        <v>2</v>
      </c>
      <c r="AW14" s="107">
        <v>2</v>
      </c>
      <c r="AX14" s="108" t="s">
        <v>120</v>
      </c>
    </row>
    <row r="15" spans="1:55" s="95" customFormat="1" ht="18">
      <c r="A15" s="109" t="s">
        <v>121</v>
      </c>
      <c r="B15" s="110"/>
      <c r="C15" s="110"/>
      <c r="D15" s="110"/>
      <c r="E15" s="110"/>
      <c r="F15" s="110"/>
      <c r="G15" s="110"/>
      <c r="M15" s="111"/>
      <c r="S15" s="111"/>
      <c r="T15" s="111"/>
      <c r="U15" s="111"/>
      <c r="W15" s="112"/>
      <c r="X15" s="111"/>
      <c r="Y15" s="111"/>
      <c r="Z15" s="113"/>
      <c r="AA15" s="113"/>
      <c r="AC15" s="113"/>
      <c r="AD15" s="113"/>
      <c r="AE15" s="114"/>
      <c r="AF15" s="113"/>
      <c r="AG15" s="113"/>
      <c r="AI15" s="113"/>
      <c r="AJ15" s="113"/>
      <c r="AK15" s="114"/>
      <c r="AL15" s="113"/>
      <c r="AM15" s="113"/>
      <c r="AO15" s="113"/>
      <c r="AP15" s="113"/>
      <c r="AQ15" s="114"/>
      <c r="AR15" s="113"/>
      <c r="AS15" s="113"/>
      <c r="AU15" s="113"/>
      <c r="AV15" s="113"/>
      <c r="AW15" s="114"/>
      <c r="AX15" s="115" t="s">
        <v>122</v>
      </c>
    </row>
    <row r="16" spans="1:55" s="95" customFormat="1" ht="12">
      <c r="M16" s="111"/>
      <c r="Q16" s="95" t="s">
        <v>123</v>
      </c>
      <c r="S16" s="111"/>
      <c r="T16" s="111"/>
      <c r="U16" s="111"/>
      <c r="W16" s="112" t="s">
        <v>123</v>
      </c>
      <c r="X16" s="111"/>
      <c r="Y16" s="111"/>
      <c r="Z16" s="113"/>
      <c r="AA16" s="113"/>
      <c r="AB16" s="113"/>
      <c r="AC16" s="113" t="s">
        <v>123</v>
      </c>
      <c r="AD16" s="113"/>
      <c r="AE16" s="114"/>
      <c r="AF16" s="117"/>
      <c r="AG16" s="117"/>
      <c r="AH16" s="117"/>
      <c r="AI16" s="117"/>
      <c r="AJ16" s="117"/>
      <c r="AK16" s="118"/>
      <c r="AL16" s="117"/>
      <c r="AM16" s="117"/>
      <c r="AN16" s="117"/>
      <c r="AO16" s="117"/>
      <c r="AP16" s="117"/>
      <c r="AQ16" s="118"/>
      <c r="AR16" s="117"/>
      <c r="AS16" s="117"/>
      <c r="AT16" s="117"/>
      <c r="AU16" s="117"/>
      <c r="AV16" s="117"/>
      <c r="AW16" s="118"/>
      <c r="AX16" s="113"/>
    </row>
    <row r="17" spans="13:49" s="95" customFormat="1" ht="12">
      <c r="M17" s="111"/>
      <c r="S17" s="111"/>
      <c r="T17" s="111"/>
      <c r="U17" s="111"/>
      <c r="W17" s="112"/>
      <c r="X17" s="111"/>
      <c r="Y17" s="111"/>
      <c r="Z17" s="113"/>
      <c r="AA17" s="113"/>
      <c r="AB17" s="113"/>
      <c r="AC17" s="113"/>
      <c r="AD17" s="113"/>
      <c r="AE17" s="114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8"/>
    </row>
    <row r="18" spans="13:49">
      <c r="Q18" s="40" t="s">
        <v>123</v>
      </c>
      <c r="W18" s="43" t="s">
        <v>123</v>
      </c>
      <c r="AC18" s="40" t="s">
        <v>123</v>
      </c>
      <c r="AF18" s="120"/>
      <c r="AG18" s="120"/>
      <c r="AH18" s="137"/>
      <c r="AI18" s="137"/>
      <c r="AJ18" s="120"/>
      <c r="AK18" s="120"/>
      <c r="AL18" s="120"/>
      <c r="AM18" s="120"/>
      <c r="AN18" s="137"/>
      <c r="AO18" s="137"/>
      <c r="AP18" s="120"/>
      <c r="AQ18" s="120"/>
      <c r="AR18" s="39"/>
      <c r="AS18" s="39"/>
      <c r="AT18" s="39"/>
      <c r="AU18" s="39"/>
      <c r="AV18" s="39"/>
      <c r="AW18" s="119"/>
    </row>
    <row r="19" spans="13:49">
      <c r="AF19" s="38"/>
      <c r="AG19" s="116"/>
      <c r="AH19" s="136"/>
      <c r="AI19" s="136"/>
      <c r="AJ19" s="116"/>
      <c r="AK19" s="116"/>
      <c r="AL19" s="38"/>
      <c r="AM19" s="116"/>
      <c r="AN19" s="136"/>
      <c r="AO19" s="136"/>
      <c r="AP19" s="116"/>
      <c r="AQ19" s="116"/>
      <c r="AR19" s="39"/>
      <c r="AS19" s="39"/>
      <c r="AT19" s="39"/>
      <c r="AU19" s="39"/>
      <c r="AV19" s="39"/>
      <c r="AW19" s="39"/>
    </row>
    <row r="20" spans="13:49">
      <c r="AF20" s="38"/>
      <c r="AG20" s="116"/>
      <c r="AH20" s="136"/>
      <c r="AI20" s="136"/>
      <c r="AJ20" s="116"/>
      <c r="AK20" s="116"/>
      <c r="AL20" s="38"/>
      <c r="AM20" s="116"/>
      <c r="AN20" s="136"/>
      <c r="AO20" s="136"/>
      <c r="AP20" s="116"/>
      <c r="AQ20" s="116"/>
      <c r="AR20" s="39"/>
      <c r="AS20" s="39"/>
      <c r="AT20" s="39"/>
      <c r="AU20" s="39"/>
      <c r="AV20" s="39"/>
      <c r="AW20" s="119"/>
    </row>
    <row r="21" spans="13:49">
      <c r="AF21" s="38"/>
      <c r="AG21" s="116"/>
      <c r="AH21" s="136"/>
      <c r="AI21" s="136"/>
      <c r="AJ21" s="116"/>
      <c r="AK21" s="116"/>
      <c r="AL21" s="38"/>
      <c r="AM21" s="116"/>
      <c r="AN21" s="136"/>
      <c r="AO21" s="136"/>
      <c r="AP21" s="116"/>
      <c r="AQ21" s="116"/>
      <c r="AR21" s="39"/>
      <c r="AS21" s="39"/>
      <c r="AT21" s="39"/>
      <c r="AU21" s="39"/>
      <c r="AV21" s="39"/>
      <c r="AW21" s="39"/>
    </row>
    <row r="22" spans="13:49">
      <c r="AF22" s="38"/>
      <c r="AG22" s="116"/>
      <c r="AH22" s="136"/>
      <c r="AI22" s="136"/>
      <c r="AJ22" s="116"/>
      <c r="AK22" s="116"/>
      <c r="AL22" s="38"/>
      <c r="AM22" s="116"/>
      <c r="AN22" s="136"/>
      <c r="AO22" s="136"/>
      <c r="AP22" s="116"/>
      <c r="AQ22" s="116"/>
      <c r="AR22" s="39"/>
      <c r="AS22" s="39"/>
      <c r="AT22" s="39"/>
      <c r="AU22" s="39"/>
      <c r="AV22" s="39"/>
      <c r="AW22" s="119"/>
    </row>
    <row r="23" spans="13:49">
      <c r="AF23" s="38"/>
      <c r="AG23" s="116"/>
      <c r="AH23" s="136"/>
      <c r="AI23" s="136"/>
      <c r="AJ23" s="116"/>
      <c r="AK23" s="116"/>
      <c r="AL23" s="38"/>
      <c r="AM23" s="116"/>
      <c r="AN23" s="136"/>
      <c r="AO23" s="136"/>
      <c r="AP23" s="116"/>
      <c r="AQ23" s="116"/>
      <c r="AR23" s="39"/>
      <c r="AS23" s="39"/>
      <c r="AT23" s="39"/>
      <c r="AU23" s="39"/>
      <c r="AV23" s="39"/>
      <c r="AW23" s="119"/>
    </row>
    <row r="24" spans="13:49">
      <c r="AF24" s="38"/>
      <c r="AG24" s="116"/>
      <c r="AH24" s="136"/>
      <c r="AI24" s="136"/>
      <c r="AJ24" s="116"/>
      <c r="AK24" s="116"/>
      <c r="AL24" s="38"/>
      <c r="AM24" s="116"/>
      <c r="AN24" s="136"/>
      <c r="AO24" s="136"/>
      <c r="AP24" s="116"/>
      <c r="AQ24" s="116"/>
      <c r="AR24" s="39"/>
      <c r="AS24" s="39"/>
      <c r="AT24" s="39"/>
      <c r="AU24" s="39"/>
      <c r="AV24" s="39"/>
      <c r="AW24" s="119"/>
    </row>
    <row r="25" spans="13:49">
      <c r="AF25" s="38"/>
      <c r="AG25" s="116"/>
      <c r="AH25" s="136"/>
      <c r="AI25" s="136"/>
      <c r="AJ25" s="116"/>
      <c r="AK25" s="116"/>
      <c r="AL25" s="38"/>
      <c r="AM25" s="116"/>
      <c r="AN25" s="136"/>
      <c r="AO25" s="136"/>
      <c r="AP25" s="116"/>
      <c r="AQ25" s="116"/>
      <c r="AR25" s="39"/>
      <c r="AS25" s="39"/>
      <c r="AT25" s="39"/>
      <c r="AU25" s="39"/>
      <c r="AV25" s="39"/>
      <c r="AW25" s="119"/>
    </row>
    <row r="26" spans="13:49">
      <c r="AF26" s="39"/>
      <c r="AG26" s="39"/>
      <c r="AH26" s="39"/>
      <c r="AI26" s="39"/>
      <c r="AJ26" s="39"/>
      <c r="AK26" s="119"/>
      <c r="AL26" s="39"/>
      <c r="AM26" s="39"/>
      <c r="AN26" s="39"/>
      <c r="AO26" s="39"/>
      <c r="AP26" s="39"/>
      <c r="AQ26" s="119"/>
      <c r="AR26" s="39"/>
      <c r="AS26" s="39"/>
      <c r="AT26" s="39"/>
      <c r="AU26" s="39"/>
      <c r="AV26" s="39"/>
      <c r="AW26" s="119"/>
    </row>
    <row r="27" spans="13:49">
      <c r="AF27" s="39"/>
      <c r="AG27" s="39"/>
      <c r="AH27" s="39"/>
      <c r="AI27" s="39"/>
      <c r="AJ27" s="39"/>
      <c r="AK27" s="119"/>
      <c r="AL27" s="39"/>
      <c r="AM27" s="39"/>
      <c r="AN27" s="39"/>
      <c r="AO27" s="39"/>
      <c r="AP27" s="39"/>
      <c r="AQ27" s="119"/>
      <c r="AR27" s="39"/>
      <c r="AS27" s="39"/>
      <c r="AT27" s="39"/>
      <c r="AU27" s="39"/>
      <c r="AV27" s="39"/>
      <c r="AW27" s="119"/>
    </row>
    <row r="28" spans="13:49">
      <c r="AF28" s="39"/>
      <c r="AG28" s="39"/>
      <c r="AH28" s="39"/>
      <c r="AI28" s="39"/>
      <c r="AJ28" s="39"/>
      <c r="AK28" s="119"/>
      <c r="AL28" s="39"/>
      <c r="AM28" s="39"/>
      <c r="AN28" s="39"/>
      <c r="AO28" s="39"/>
      <c r="AP28" s="39"/>
      <c r="AQ28" s="119"/>
      <c r="AR28" s="39"/>
      <c r="AS28" s="39"/>
      <c r="AT28" s="39"/>
      <c r="AU28" s="39"/>
      <c r="AV28" s="39"/>
      <c r="AW28" s="119"/>
    </row>
    <row r="29" spans="13:49">
      <c r="AF29" s="39"/>
      <c r="AG29" s="39"/>
      <c r="AH29" s="39"/>
      <c r="AI29" s="39"/>
      <c r="AJ29" s="39"/>
      <c r="AK29" s="119"/>
      <c r="AL29" s="39"/>
      <c r="AM29" s="39"/>
      <c r="AN29" s="39"/>
      <c r="AO29" s="39"/>
      <c r="AP29" s="39"/>
      <c r="AQ29" s="119"/>
      <c r="AR29" s="39"/>
      <c r="AS29" s="39"/>
      <c r="AT29" s="39"/>
      <c r="AU29" s="39"/>
      <c r="AV29" s="39"/>
      <c r="AW29" s="119"/>
    </row>
    <row r="30" spans="13:49">
      <c r="AF30" s="39"/>
      <c r="AG30" s="39"/>
      <c r="AH30" s="39"/>
      <c r="AI30" s="39"/>
      <c r="AJ30" s="39"/>
      <c r="AK30" s="119"/>
      <c r="AL30" s="39"/>
      <c r="AM30" s="39"/>
      <c r="AN30" s="39"/>
      <c r="AO30" s="39"/>
      <c r="AP30" s="39"/>
      <c r="AQ30" s="119"/>
      <c r="AR30" s="39"/>
      <c r="AS30" s="39"/>
      <c r="AT30" s="39"/>
      <c r="AU30" s="39"/>
      <c r="AV30" s="39"/>
      <c r="AW30" s="119"/>
    </row>
    <row r="31" spans="13:49">
      <c r="AF31" s="39"/>
      <c r="AG31" s="39"/>
      <c r="AH31" s="39"/>
      <c r="AI31" s="39"/>
      <c r="AJ31" s="39"/>
      <c r="AK31" s="119"/>
      <c r="AL31" s="39"/>
      <c r="AM31" s="39"/>
      <c r="AN31" s="39"/>
      <c r="AO31" s="39"/>
      <c r="AP31" s="39"/>
      <c r="AQ31" s="119"/>
      <c r="AR31" s="39"/>
      <c r="AS31" s="39"/>
      <c r="AT31" s="39"/>
      <c r="AU31" s="39"/>
      <c r="AV31" s="39"/>
      <c r="AW31" s="119"/>
    </row>
    <row r="32" spans="13:49">
      <c r="AF32" s="39"/>
      <c r="AG32" s="39"/>
      <c r="AH32" s="39"/>
      <c r="AI32" s="39"/>
      <c r="AJ32" s="39"/>
      <c r="AK32" s="119"/>
      <c r="AL32" s="39"/>
      <c r="AM32" s="39"/>
      <c r="AN32" s="39"/>
      <c r="AO32" s="39"/>
      <c r="AP32" s="39"/>
      <c r="AQ32" s="119"/>
      <c r="AR32" s="39"/>
      <c r="AS32" s="39"/>
      <c r="AT32" s="39"/>
      <c r="AU32" s="39"/>
      <c r="AV32" s="39"/>
      <c r="AW32" s="119"/>
    </row>
    <row r="33" spans="32:49">
      <c r="AF33" s="39"/>
      <c r="AG33" s="39"/>
      <c r="AH33" s="39"/>
      <c r="AI33" s="39"/>
      <c r="AJ33" s="39"/>
      <c r="AK33" s="119"/>
      <c r="AL33" s="39"/>
      <c r="AM33" s="39"/>
      <c r="AN33" s="39"/>
      <c r="AO33" s="39"/>
      <c r="AP33" s="39"/>
      <c r="AQ33" s="119"/>
      <c r="AR33" s="39"/>
      <c r="AS33" s="39"/>
      <c r="AT33" s="39"/>
      <c r="AU33" s="39"/>
      <c r="AV33" s="39"/>
      <c r="AW33" s="119"/>
    </row>
    <row r="34" spans="32:49">
      <c r="AF34" s="39"/>
      <c r="AG34" s="39"/>
      <c r="AH34" s="39"/>
      <c r="AI34" s="39"/>
      <c r="AJ34" s="39"/>
      <c r="AK34" s="119"/>
      <c r="AL34" s="39"/>
      <c r="AM34" s="39"/>
      <c r="AN34" s="39"/>
      <c r="AO34" s="39"/>
      <c r="AP34" s="39"/>
      <c r="AQ34" s="119"/>
      <c r="AR34" s="39"/>
      <c r="AS34" s="39"/>
      <c r="AT34" s="39"/>
      <c r="AU34" s="39"/>
      <c r="AV34" s="39"/>
      <c r="AW34" s="119"/>
    </row>
    <row r="35" spans="32:49">
      <c r="AF35" s="39"/>
      <c r="AG35" s="39"/>
      <c r="AH35" s="39"/>
      <c r="AI35" s="39"/>
      <c r="AJ35" s="39"/>
      <c r="AK35" s="119"/>
      <c r="AL35" s="39"/>
      <c r="AM35" s="39"/>
      <c r="AN35" s="39"/>
      <c r="AO35" s="39"/>
      <c r="AP35" s="39"/>
      <c r="AQ35" s="119"/>
      <c r="AR35" s="39"/>
      <c r="AS35" s="39"/>
      <c r="AT35" s="39"/>
      <c r="AU35" s="39"/>
      <c r="AV35" s="39"/>
      <c r="AW35" s="119"/>
    </row>
    <row r="36" spans="32:49">
      <c r="AF36" s="39"/>
      <c r="AG36" s="39"/>
      <c r="AH36" s="39"/>
      <c r="AI36" s="39"/>
      <c r="AJ36" s="39"/>
      <c r="AK36" s="119"/>
      <c r="AL36" s="39"/>
      <c r="AM36" s="39"/>
      <c r="AN36" s="39"/>
      <c r="AO36" s="39"/>
      <c r="AP36" s="39"/>
      <c r="AQ36" s="119"/>
      <c r="AR36" s="39"/>
      <c r="AS36" s="39"/>
      <c r="AT36" s="39"/>
      <c r="AU36" s="39"/>
      <c r="AV36" s="39"/>
      <c r="AW36" s="119"/>
    </row>
    <row r="37" spans="32:49">
      <c r="AF37" s="39"/>
      <c r="AG37" s="39"/>
      <c r="AH37" s="39"/>
      <c r="AI37" s="39"/>
      <c r="AJ37" s="39"/>
      <c r="AK37" s="119"/>
      <c r="AL37" s="39"/>
      <c r="AM37" s="39"/>
      <c r="AN37" s="39"/>
      <c r="AO37" s="39"/>
      <c r="AP37" s="39"/>
      <c r="AQ37" s="119"/>
      <c r="AR37" s="39"/>
      <c r="AS37" s="39"/>
      <c r="AT37" s="39"/>
      <c r="AU37" s="39"/>
      <c r="AV37" s="39"/>
      <c r="AW37" s="119"/>
    </row>
  </sheetData>
  <mergeCells count="100">
    <mergeCell ref="AN7:AO7"/>
    <mergeCell ref="AT7:AU7"/>
    <mergeCell ref="A2:AX2"/>
    <mergeCell ref="A3:AX3"/>
    <mergeCell ref="A5:A6"/>
    <mergeCell ref="B5:G5"/>
    <mergeCell ref="H5:M5"/>
    <mergeCell ref="N5:S5"/>
    <mergeCell ref="T5:Y5"/>
    <mergeCell ref="Z5:AE5"/>
    <mergeCell ref="AF5:AK5"/>
    <mergeCell ref="AL5:AQ5"/>
    <mergeCell ref="AR5:AW5"/>
    <mergeCell ref="AX5:AX6"/>
    <mergeCell ref="AB8:AC8"/>
    <mergeCell ref="AH8:AI8"/>
    <mergeCell ref="AN8:AO8"/>
    <mergeCell ref="AT8:AU8"/>
    <mergeCell ref="C7:D7"/>
    <mergeCell ref="F7:G7"/>
    <mergeCell ref="J7:K7"/>
    <mergeCell ref="P7:Q7"/>
    <mergeCell ref="V7:W7"/>
    <mergeCell ref="C8:D8"/>
    <mergeCell ref="F8:G8"/>
    <mergeCell ref="J8:K8"/>
    <mergeCell ref="P8:Q8"/>
    <mergeCell ref="V8:W8"/>
    <mergeCell ref="AB7:AC7"/>
    <mergeCell ref="AH7:AI7"/>
    <mergeCell ref="AH9:AI9"/>
    <mergeCell ref="AN9:AO9"/>
    <mergeCell ref="AT9:AU9"/>
    <mergeCell ref="C10:D10"/>
    <mergeCell ref="F10:G10"/>
    <mergeCell ref="J10:K10"/>
    <mergeCell ref="P10:Q10"/>
    <mergeCell ref="V10:W10"/>
    <mergeCell ref="AB10:AC10"/>
    <mergeCell ref="AH10:AI10"/>
    <mergeCell ref="C9:D9"/>
    <mergeCell ref="F9:G9"/>
    <mergeCell ref="J9:K9"/>
    <mergeCell ref="P9:Q9"/>
    <mergeCell ref="V9:W9"/>
    <mergeCell ref="AB9:AC9"/>
    <mergeCell ref="AN10:AO10"/>
    <mergeCell ref="AT10:AU10"/>
    <mergeCell ref="C11:D11"/>
    <mergeCell ref="F11:G11"/>
    <mergeCell ref="J11:K11"/>
    <mergeCell ref="P11:Q11"/>
    <mergeCell ref="V11:W11"/>
    <mergeCell ref="AB11:AC11"/>
    <mergeCell ref="AH11:AI11"/>
    <mergeCell ref="AN11:AO11"/>
    <mergeCell ref="AT11:AU11"/>
    <mergeCell ref="C12:D12"/>
    <mergeCell ref="F12:G12"/>
    <mergeCell ref="J12:K12"/>
    <mergeCell ref="P12:Q12"/>
    <mergeCell ref="V12:W12"/>
    <mergeCell ref="AB12:AC12"/>
    <mergeCell ref="AH12:AI12"/>
    <mergeCell ref="AN12:AO12"/>
    <mergeCell ref="AT12:AU12"/>
    <mergeCell ref="AB14:AC14"/>
    <mergeCell ref="AH14:AI14"/>
    <mergeCell ref="AB13:AC13"/>
    <mergeCell ref="AN14:AO14"/>
    <mergeCell ref="AT14:AU14"/>
    <mergeCell ref="AH13:AI13"/>
    <mergeCell ref="AN13:AO13"/>
    <mergeCell ref="AT13:AU13"/>
    <mergeCell ref="C13:D13"/>
    <mergeCell ref="F13:G13"/>
    <mergeCell ref="J13:K13"/>
    <mergeCell ref="P13:Q13"/>
    <mergeCell ref="V13:W13"/>
    <mergeCell ref="C14:D14"/>
    <mergeCell ref="F14:G14"/>
    <mergeCell ref="J14:K14"/>
    <mergeCell ref="P14:Q14"/>
    <mergeCell ref="V14:W14"/>
    <mergeCell ref="AH18:AI18"/>
    <mergeCell ref="AN18:AO18"/>
    <mergeCell ref="AH19:AI19"/>
    <mergeCell ref="AN19:AO19"/>
    <mergeCell ref="AH20:AI20"/>
    <mergeCell ref="AN20:AO20"/>
    <mergeCell ref="AH24:AI24"/>
    <mergeCell ref="AN24:AO24"/>
    <mergeCell ref="AH25:AI25"/>
    <mergeCell ref="AN25:AO25"/>
    <mergeCell ref="AH21:AI21"/>
    <mergeCell ref="AN21:AO21"/>
    <mergeCell ref="AH22:AI22"/>
    <mergeCell ref="AN22:AO22"/>
    <mergeCell ref="AH23:AI23"/>
    <mergeCell ref="AN23:AO23"/>
  </mergeCells>
  <pageMargins left="0.25" right="0.25" top="0.75" bottom="0.75" header="0.3" footer="0.3"/>
  <pageSetup paperSize="9" scale="8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8.19</vt:lpstr>
      <vt:lpstr>'8.19'!Print_Area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2017-07-02T06:53:40Z</cp:lastPrinted>
  <dcterms:created xsi:type="dcterms:W3CDTF">2013-04-04T04:05:16Z</dcterms:created>
  <dcterms:modified xsi:type="dcterms:W3CDTF">2017-07-02T06:53:45Z</dcterms:modified>
</cp:coreProperties>
</file>