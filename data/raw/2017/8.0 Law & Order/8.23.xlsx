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3" sheetId="5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calcPr calcId="144525"/>
</workbook>
</file>

<file path=xl/calcChain.xml><?xml version="1.0" encoding="utf-8"?>
<calcChain xmlns="http://schemas.openxmlformats.org/spreadsheetml/2006/main">
  <c r="F12" i="51" l="1"/>
  <c r="F11" i="51"/>
  <c r="F10" i="51"/>
  <c r="F9" i="51"/>
  <c r="F8" i="51"/>
  <c r="F7" i="51"/>
  <c r="F6" i="51"/>
  <c r="F5" i="51"/>
  <c r="K4" i="51"/>
  <c r="J4" i="51"/>
  <c r="I4" i="51"/>
  <c r="H4" i="51"/>
  <c r="G4" i="51"/>
  <c r="E4" i="51"/>
  <c r="D4" i="51"/>
  <c r="C4" i="51"/>
  <c r="B4" i="51"/>
  <c r="F4" i="51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<sst xmlns="http://schemas.openxmlformats.org/spreadsheetml/2006/main" count="184" uniqueCount="87">
  <si>
    <t>Total</t>
  </si>
  <si>
    <t>Source: Department of Judicial Administration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</si>
  <si>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</si>
  <si>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</si>
  <si>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</si>
  <si>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</si>
  <si>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</si>
  <si>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</si>
  <si>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</si>
  <si>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</si>
  <si>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</si>
  <si>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</si>
  <si>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</si>
  <si>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</si>
  <si>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</si>
  <si>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</si>
  <si>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</si>
  <si>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</si>
  <si>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</si>
  <si>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</si>
  <si>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</si>
  <si>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</si>
  <si>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</si>
  <si>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</si>
  <si>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</si>
  <si>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</si>
  <si>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</si>
  <si>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</si>
  <si>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</si>
  <si>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</si>
  <si>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</si>
  <si>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</si>
  <si>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</si>
  <si>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</si>
  <si>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</si>
  <si>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</si>
  <si>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</si>
  <si>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</si>
  <si>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</si>
  <si>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</si>
  <si>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</si>
  <si>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</si>
  <si>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</si>
  <si>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</si>
  <si>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</si>
  <si>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</si>
  <si>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</si>
  <si>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</si>
  <si>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</si>
  <si>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</si>
  <si>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</si>
  <si>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</si>
  <si>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</si>
  <si>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</si>
  <si>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</si>
  <si>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</si>
  <si>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</si>
  <si>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</si>
  <si>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</si>
  <si>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</si>
  <si>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</si>
  <si>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</si>
  <si>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</si>
  <si>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</si>
  <si>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</si>
  <si>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cases</t>
  </si>
  <si>
    <t>ތާވަލު 8.23: ހުށަހެޅުނު މަދަނީ މައްސަލަތަކުގެ ޢަދަދު، 2013 - 2016</t>
  </si>
  <si>
    <t>Table 8.23: NUMBER OF CIVIL CASES FILED BY CATERGORIES, 2013 - 2016</t>
  </si>
  <si>
    <t>Established Debt</t>
  </si>
  <si>
    <t>ސާބިތު ދަރަނި</t>
  </si>
  <si>
    <t>Endowment</t>
  </si>
  <si>
    <t>* ހިބައިން ދިނުން</t>
  </si>
  <si>
    <t>Separation of Property</t>
  </si>
  <si>
    <t>މުދާވަކިކުރުން</t>
  </si>
  <si>
    <t>Claims for damages</t>
  </si>
  <si>
    <t>ގެއްލުމުގެ ބަދަލު ހޯދުން</t>
  </si>
  <si>
    <t>Debt Enforcement</t>
  </si>
  <si>
    <t xml:space="preserve">ދަރަނި / ފައިސާ ހޯދުން </t>
  </si>
  <si>
    <t>Collection of Rent</t>
  </si>
  <si>
    <t>ކުލީ ފައިސާ ހޯދުން</t>
  </si>
  <si>
    <t>Breach of Agreement</t>
  </si>
  <si>
    <t xml:space="preserve">އެގްރީމަންޓާއިބެހޭ މައްސަލަތައް </t>
  </si>
  <si>
    <t>Lost and Found Propoerty</t>
  </si>
  <si>
    <t>ހޮވައިގެން ގެނެވޭ ތަކެތި</t>
  </si>
  <si>
    <t>Others Civil Cases</t>
  </si>
  <si>
    <t>އެހެނިހެން މަދަނީ މައްސަލަ</t>
  </si>
  <si>
    <t>ނޯޓް: * 2015 ފެބްރުވަރީ މަހުން ފެށިގެން މި ކެޓަގަރީގެ މައްސަލަތަކަކީ އާއިލީ މައްސަލަތަކެއް ކަމުގައި ސުޕްރީމް ކޯޓުން ވަނީ ކަނޑައަޅުއްވާފައި. (މިބައިގައި މިވާ 82 މައްސަލައަކީ އާއިލީ މައްސަލަތަކެއް ކަމުގައި ސުޕްރީމް ކޯޓުން ކަނޑައެޅުމުގެ ކުރިން ކޯޓުތަކަށް ހުށަހެޅިފައިވާ މައްސަލަތަކެވެ.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</si>
</sst>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sz val="9"/>
      <name val="Arial"/>
      <family val="2"/>
    </font>
    <font>
      <sz val="9"/>
      <name val="Faruma"/>
    </font>
    <font>
      <b/>
      <sz val="11"/>
      <color theme="1"/>
      <name val="Faruma"/>
    </font>
    <font>
      <sz val="9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8" fillId="0" borderId="0"/>
    <xf numFmtId="0" fontId="13" fillId="0" borderId="18" applyNumberFormat="0" applyFill="0" applyAlignment="0" applyProtection="0"/>
    <xf numFmtId="0" fontId="9" fillId="0" borderId="0"/>
    <xf numFmtId="166" fontId="14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18" fillId="0" borderId="20" applyNumberFormat="0" applyFill="0" applyAlignment="0" applyProtection="0"/>
    <xf numFmtId="0" fontId="19" fillId="0" borderId="21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22" applyNumberFormat="0" applyAlignment="0" applyProtection="0"/>
    <xf numFmtId="0" fontId="24" fillId="8" borderId="23" applyNumberFormat="0" applyAlignment="0" applyProtection="0"/>
    <xf numFmtId="0" fontId="25" fillId="8" borderId="22" applyNumberFormat="0" applyAlignment="0" applyProtection="0"/>
    <xf numFmtId="0" fontId="26" fillId="0" borderId="24" applyNumberFormat="0" applyFill="0" applyAlignment="0" applyProtection="0"/>
    <xf numFmtId="0" fontId="27" fillId="9" borderId="25" applyNumberFormat="0" applyAlignment="0" applyProtection="0"/>
    <xf numFmtId="0" fontId="15" fillId="0" borderId="0" applyNumberFormat="0" applyFill="0" applyBorder="0" applyAlignment="0" applyProtection="0"/>
    <xf numFmtId="0" fontId="1" fillId="10" borderId="26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27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9" fillId="0" borderId="0"/>
  </cellStyleXfs>
  <cellXfs count="76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9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9" xfId="0" applyNumberFormat="1" applyFont="1" applyFill="1" applyBorder="1" applyAlignment="1">
      <alignment horizontal="center" vertical="center"/>
    </xf>
    <xf numFmtId="0" fontId="4" fillId="2" borderId="19" xfId="0" applyNumberFormat="1" applyFont="1" applyFill="1" applyBorder="1" applyAlignment="1">
      <alignment horizontal="left" vertical="center" wrapText="1"/>
    </xf>
    <xf numFmtId="3" fontId="4" fillId="2" borderId="19" xfId="1" applyNumberFormat="1" applyFont="1" applyFill="1" applyBorder="1" applyAlignment="1"/>
    <xf numFmtId="3" fontId="3" fillId="2" borderId="19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2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12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5" xfId="0" applyNumberFormat="1" applyFont="1" applyFill="1" applyBorder="1" applyAlignment="1" applyProtection="1">
      <alignment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30" fillId="2" borderId="7" xfId="0" applyNumberFormat="1" applyFont="1" applyFill="1" applyBorder="1" applyAlignment="1" applyProtection="1">
      <alignment horizontal="left" vertical="center"/>
    </xf>
    <xf numFmtId="164" fontId="31" fillId="2" borderId="7" xfId="0" applyNumberFormat="1" applyFont="1" applyFill="1" applyBorder="1" applyAlignment="1">
      <alignment vertical="center"/>
    </xf>
    <xf numFmtId="164" fontId="5" fillId="2" borderId="6" xfId="0" applyNumberFormat="1" applyFont="1" applyFill="1" applyBorder="1" applyAlignment="1">
      <alignment vertical="center"/>
    </xf>
    <xf numFmtId="164" fontId="31" fillId="2" borderId="5" xfId="0" applyNumberFormat="1" applyFont="1" applyFill="1" applyBorder="1" applyAlignment="1">
      <alignment vertical="center"/>
    </xf>
    <xf numFmtId="164" fontId="33" fillId="2" borderId="6" xfId="0" applyNumberFormat="1" applyFont="1" applyFill="1" applyBorder="1" applyAlignment="1">
      <alignment vertical="center"/>
    </xf>
    <xf numFmtId="164" fontId="33" fillId="2" borderId="8" xfId="0" applyNumberFormat="1" applyFont="1" applyFill="1" applyBorder="1" applyAlignment="1">
      <alignment vertical="center"/>
    </xf>
    <xf numFmtId="164" fontId="30" fillId="2" borderId="7" xfId="0" applyNumberFormat="1" applyFont="1" applyFill="1" applyBorder="1" applyAlignment="1">
      <alignment horizontal="right" vertical="center"/>
    </xf>
    <xf numFmtId="164" fontId="3" fillId="2" borderId="5" xfId="0" applyNumberFormat="1" applyFont="1" applyFill="1" applyBorder="1" applyAlignment="1" applyProtection="1">
      <alignment horizontal="left" vertical="center"/>
    </xf>
    <xf numFmtId="166" fontId="3" fillId="2" borderId="5" xfId="1" applyNumberFormat="1" applyFont="1" applyFill="1" applyBorder="1" applyAlignment="1" applyProtection="1">
      <alignment horizontal="center" vertical="center"/>
    </xf>
    <xf numFmtId="164" fontId="4" fillId="2" borderId="6" xfId="0" applyNumberFormat="1" applyFont="1" applyFill="1" applyBorder="1" applyAlignment="1" applyProtection="1">
      <alignment horizontal="left" vertical="center"/>
    </xf>
    <xf numFmtId="166" fontId="4" fillId="2" borderId="6" xfId="1" applyNumberFormat="1" applyFont="1" applyFill="1" applyBorder="1" applyAlignment="1" applyProtection="1">
      <alignment horizontal="center" vertical="center"/>
    </xf>
    <xf numFmtId="164" fontId="33" fillId="2" borderId="6" xfId="0" applyNumberFormat="1" applyFont="1" applyFill="1" applyBorder="1" applyAlignment="1">
      <alignment horizontal="right" vertical="center"/>
    </xf>
    <xf numFmtId="164" fontId="4" fillId="2" borderId="8" xfId="0" applyNumberFormat="1" applyFont="1" applyFill="1" applyBorder="1" applyAlignment="1" applyProtection="1">
      <alignment horizontal="left" vertical="center"/>
    </xf>
    <xf numFmtId="166" fontId="4" fillId="2" borderId="8" xfId="1" applyNumberFormat="1" applyFont="1" applyFill="1" applyBorder="1" applyAlignment="1" applyProtection="1">
      <alignment horizontal="center" vertical="center"/>
    </xf>
    <xf numFmtId="164" fontId="32" fillId="2" borderId="5" xfId="0" applyNumberFormat="1" applyFont="1" applyFill="1" applyBorder="1" applyAlignment="1" applyProtection="1">
      <alignment horizontal="fill" vertical="center"/>
    </xf>
    <xf numFmtId="3" fontId="4" fillId="2" borderId="6" xfId="1" applyNumberFormat="1" applyFont="1" applyFill="1" applyBorder="1" applyAlignment="1" applyProtection="1">
      <alignment horizontal="right" vertical="center"/>
    </xf>
    <xf numFmtId="3" fontId="4" fillId="2" borderId="8" xfId="1" applyNumberFormat="1" applyFont="1" applyFill="1" applyBorder="1" applyAlignment="1" applyProtection="1">
      <alignment horizontal="right" vertical="center"/>
    </xf>
    <xf numFmtId="164" fontId="11" fillId="2" borderId="0" xfId="0" applyNumberFormat="1" applyFont="1" applyFill="1" applyAlignment="1">
      <alignment horizont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2" xfId="1" applyNumberFormat="1" applyFont="1" applyFill="1" applyBorder="1" applyAlignment="1">
      <alignment horizontal="center" vertical="center" wrapText="1"/>
    </xf>
    <xf numFmtId="166" fontId="3" fillId="2" borderId="12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4" fillId="2" borderId="11" xfId="0" applyNumberFormat="1" applyFont="1" applyFill="1" applyBorder="1" applyAlignment="1">
      <alignment horizontal="center" vertical="center"/>
    </xf>
    <xf numFmtId="164" fontId="34" fillId="2" borderId="17" xfId="0" applyNumberFormat="1" applyFont="1" applyFill="1" applyBorder="1" applyAlignment="1">
      <alignment horizontal="center" vertical="center"/>
    </xf>
    <xf numFmtId="164" fontId="34" fillId="2" borderId="14" xfId="0" applyNumberFormat="1" applyFont="1" applyFill="1" applyBorder="1" applyAlignment="1">
      <alignment horizontal="center" vertical="center"/>
    </xf>
    <xf numFmtId="164" fontId="3" fillId="2" borderId="15" xfId="0" applyNumberFormat="1" applyFont="1" applyFill="1" applyBorder="1" applyAlignment="1" applyProtection="1">
      <alignment horizontal="center" vertical="center"/>
    </xf>
    <xf numFmtId="164" fontId="3" fillId="2" borderId="16" xfId="0" applyNumberFormat="1" applyFont="1" applyFill="1" applyBorder="1" applyAlignment="1" applyProtection="1">
      <alignment horizontal="center" vertical="center"/>
    </xf>
    <xf numFmtId="164" fontId="3" fillId="2" borderId="28" xfId="0" applyNumberFormat="1" applyFont="1" applyFill="1" applyBorder="1" applyAlignment="1" applyProtection="1">
      <alignment horizontal="center" vertical="center"/>
    </xf>
    <xf numFmtId="164" fontId="35" fillId="2" borderId="13" xfId="0" applyNumberFormat="1" applyFont="1" applyFill="1" applyBorder="1" applyAlignment="1">
      <alignment horizontal="right" vertical="center" wrapText="1"/>
    </xf>
    <xf numFmtId="164" fontId="35" fillId="2" borderId="9" xfId="0" applyNumberFormat="1" applyFont="1" applyFill="1" applyBorder="1" applyAlignment="1">
      <alignment horizontal="right" vertical="center" wrapText="1"/>
    </xf>
    <xf numFmtId="164" fontId="35" fillId="2" borderId="10" xfId="0" applyNumberFormat="1" applyFont="1" applyFill="1" applyBorder="1" applyAlignment="1">
      <alignment horizontal="right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811840"/>
        <c:axId val="51813376"/>
      </c:barChart>
      <c:catAx>
        <c:axId val="5181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813376"/>
        <c:crosses val="autoZero"/>
        <c:auto val="1"/>
        <c:lblAlgn val="ctr"/>
        <c:lblOffset val="100"/>
        <c:noMultiLvlLbl val="0"/>
      </c:catAx>
      <c:valAx>
        <c:axId val="518133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1811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00544"/>
        <c:axId val="53502336"/>
      </c:barChart>
      <c:catAx>
        <c:axId val="5350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502336"/>
        <c:crosses val="autoZero"/>
        <c:auto val="1"/>
        <c:lblAlgn val="ctr"/>
        <c:lblOffset val="100"/>
        <c:noMultiLvlLbl val="0"/>
      </c:catAx>
      <c:valAx>
        <c:axId val="53502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500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765440"/>
        <c:axId val="54766976"/>
      </c:barChart>
      <c:catAx>
        <c:axId val="5476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766976"/>
        <c:crosses val="autoZero"/>
        <c:auto val="1"/>
        <c:lblAlgn val="ctr"/>
        <c:lblOffset val="100"/>
        <c:noMultiLvlLbl val="0"/>
      </c:catAx>
      <c:valAx>
        <c:axId val="547669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765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647232"/>
        <c:axId val="97665792"/>
      </c:barChart>
      <c:catAx>
        <c:axId val="9764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665792"/>
        <c:crosses val="autoZero"/>
        <c:auto val="1"/>
        <c:lblAlgn val="ctr"/>
        <c:lblOffset val="100"/>
        <c:noMultiLvlLbl val="0"/>
      </c:catAx>
      <c:valAx>
        <c:axId val="97665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764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02496"/>
        <c:axId val="112451968"/>
      </c:barChart>
      <c:catAx>
        <c:axId val="112202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12451968"/>
        <c:crosses val="autoZero"/>
        <c:auto val="1"/>
        <c:lblAlgn val="ctr"/>
        <c:lblOffset val="100"/>
        <c:noMultiLvlLbl val="0"/>
      </c:catAx>
      <c:valAx>
        <c:axId val="1124519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12202496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709824"/>
        <c:axId val="133228032"/>
      </c:barChart>
      <c:catAx>
        <c:axId val="11770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3228032"/>
        <c:crosses val="autoZero"/>
        <c:auto val="1"/>
        <c:lblAlgn val="ctr"/>
        <c:lblOffset val="100"/>
        <c:noMultiLvlLbl val="0"/>
      </c:catAx>
      <c:valAx>
        <c:axId val="1332280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7709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322432"/>
        <c:axId val="50328320"/>
      </c:barChart>
      <c:catAx>
        <c:axId val="5032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0328320"/>
        <c:crosses val="autoZero"/>
        <c:auto val="1"/>
        <c:lblAlgn val="ctr"/>
        <c:lblOffset val="100"/>
        <c:noMultiLvlLbl val="0"/>
      </c:catAx>
      <c:valAx>
        <c:axId val="503283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032243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j/Stat%20Book%202012/stat%20book%20-%202012%20-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11"/>
      <sheetName val="s12a"/>
      <sheetName val="s13a"/>
      <sheetName val="s12"/>
      <sheetName val="s16"/>
      <sheetName val="f1"/>
      <sheetName val="f12"/>
      <sheetName val="f13"/>
      <sheetName val="s2"/>
      <sheetName val="s21"/>
      <sheetName val="s22"/>
      <sheetName val="s23"/>
      <sheetName val="s24"/>
      <sheetName val="s25"/>
      <sheetName val="s26"/>
      <sheetName val="s28"/>
      <sheetName val="s29"/>
      <sheetName val="s210"/>
      <sheetName val="s211"/>
      <sheetName val="s212"/>
      <sheetName val="s214a"/>
      <sheetName val="s214"/>
      <sheetName val="s215"/>
      <sheetName val="s3"/>
      <sheetName val="s31"/>
      <sheetName val="s32"/>
      <sheetName val="s33"/>
      <sheetName val="s34"/>
      <sheetName val="s35"/>
      <sheetName val="s37"/>
      <sheetName val="s38 "/>
      <sheetName val="s39"/>
      <sheetName val="s310"/>
      <sheetName val="s312"/>
      <sheetName val="f31"/>
      <sheetName val="s4"/>
      <sheetName val="s41"/>
      <sheetName val="s42"/>
      <sheetName val="s43"/>
      <sheetName val="s46"/>
      <sheetName val="s5"/>
      <sheetName val="s51"/>
      <sheetName val="s52"/>
      <sheetName val="s53"/>
      <sheetName val="s54"/>
      <sheetName val="s55"/>
      <sheetName val="s56"/>
      <sheetName val="s57"/>
      <sheetName val="s58"/>
      <sheetName val="s59"/>
      <sheetName val="s510"/>
      <sheetName val="S511"/>
      <sheetName val="11"/>
      <sheetName val="Chart1"/>
      <sheetName val="Chart2"/>
      <sheetName val="Chart4"/>
      <sheetName val="Chart 3"/>
      <sheetName val="Crime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8">
          <cell r="B8">
            <v>450</v>
          </cell>
        </row>
        <row r="12">
          <cell r="B12">
            <v>600</v>
          </cell>
        </row>
        <row r="14">
          <cell r="B14">
            <v>23</v>
          </cell>
        </row>
        <row r="20">
          <cell r="B20">
            <v>186</v>
          </cell>
        </row>
        <row r="22">
          <cell r="B22">
            <v>212</v>
          </cell>
        </row>
        <row r="23">
          <cell r="B23">
            <v>1675</v>
          </cell>
        </row>
        <row r="31">
          <cell r="B31">
            <v>5</v>
          </cell>
        </row>
        <row r="32">
          <cell r="B32">
            <v>140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60" t="s">
        <v>50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</row>
    <row r="2" spans="1:36">
      <c r="A2" s="61" t="s">
        <v>42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ht="15" customHeight="1">
      <c r="A3" s="62"/>
      <c r="B3" s="62"/>
      <c r="C3" s="64" t="s">
        <v>38</v>
      </c>
      <c r="D3" s="64"/>
      <c r="E3" s="64"/>
      <c r="F3" s="64"/>
      <c r="G3" s="64"/>
      <c r="H3" s="30"/>
      <c r="I3" s="30"/>
      <c r="J3" s="65" t="s">
        <v>4</v>
      </c>
      <c r="K3" s="65"/>
      <c r="L3" s="65"/>
      <c r="M3" s="65"/>
      <c r="N3" s="65"/>
      <c r="O3" s="25"/>
      <c r="P3" s="65" t="s">
        <v>5</v>
      </c>
      <c r="Q3" s="65"/>
      <c r="R3" s="65"/>
      <c r="S3" s="65"/>
      <c r="T3" s="65"/>
      <c r="U3" s="7"/>
      <c r="V3" s="7"/>
      <c r="W3" s="7"/>
      <c r="X3" s="66" t="s">
        <v>6</v>
      </c>
      <c r="Y3" s="66"/>
      <c r="Z3" s="66"/>
      <c r="AA3" s="66"/>
      <c r="AB3" s="66"/>
      <c r="AC3" s="26"/>
      <c r="AD3" s="26"/>
      <c r="AE3" s="66" t="s">
        <v>7</v>
      </c>
      <c r="AF3" s="66"/>
      <c r="AG3" s="66"/>
      <c r="AH3" s="66"/>
      <c r="AI3" s="66"/>
    </row>
    <row r="4" spans="1:36" ht="25.5">
      <c r="A4" s="63"/>
      <c r="B4" s="63"/>
      <c r="C4" s="31" t="s">
        <v>8</v>
      </c>
      <c r="D4" s="31" t="s">
        <v>9</v>
      </c>
      <c r="E4" s="31" t="s">
        <v>3</v>
      </c>
      <c r="F4" s="32" t="s">
        <v>10</v>
      </c>
      <c r="G4" s="31" t="s">
        <v>11</v>
      </c>
      <c r="H4" s="31" t="s">
        <v>45</v>
      </c>
      <c r="I4" s="31" t="s">
        <v>51</v>
      </c>
      <c r="J4" s="14" t="s">
        <v>8</v>
      </c>
      <c r="K4" s="14" t="s">
        <v>9</v>
      </c>
      <c r="L4" s="14" t="s">
        <v>3</v>
      </c>
      <c r="M4" s="15" t="s">
        <v>10</v>
      </c>
      <c r="N4" s="14" t="s">
        <v>11</v>
      </c>
      <c r="O4" s="31" t="s">
        <v>45</v>
      </c>
      <c r="P4" s="14" t="s">
        <v>8</v>
      </c>
      <c r="Q4" s="14" t="s">
        <v>9</v>
      </c>
      <c r="R4" s="14" t="s">
        <v>3</v>
      </c>
      <c r="S4" s="15" t="s">
        <v>10</v>
      </c>
      <c r="T4" s="14" t="s">
        <v>11</v>
      </c>
      <c r="U4" s="31" t="s">
        <v>45</v>
      </c>
      <c r="V4" s="31"/>
      <c r="W4" s="31"/>
      <c r="X4" s="14" t="s">
        <v>8</v>
      </c>
      <c r="Y4" s="14" t="s">
        <v>9</v>
      </c>
      <c r="Z4" s="14" t="s">
        <v>3</v>
      </c>
      <c r="AA4" s="15" t="s">
        <v>10</v>
      </c>
      <c r="AB4" s="14" t="s">
        <v>11</v>
      </c>
      <c r="AC4" s="31" t="s">
        <v>45</v>
      </c>
      <c r="AD4" s="31"/>
      <c r="AE4" s="14" t="s">
        <v>8</v>
      </c>
      <c r="AF4" s="14" t="s">
        <v>9</v>
      </c>
      <c r="AG4" s="14" t="s">
        <v>3</v>
      </c>
      <c r="AH4" s="15" t="s">
        <v>10</v>
      </c>
      <c r="AI4" s="14" t="s">
        <v>11</v>
      </c>
      <c r="AJ4" s="31" t="s">
        <v>45</v>
      </c>
    </row>
    <row r="5" spans="1:36" ht="14.25" customHeight="1">
      <c r="A5" s="24"/>
      <c r="B5" s="28" t="s">
        <v>47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47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47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48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48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48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49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49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49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18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19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20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21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22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23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24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25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26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27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28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29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30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31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32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33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34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35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36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37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12</v>
      </c>
      <c r="B28" s="10" t="s">
        <v>13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12</v>
      </c>
      <c r="B29" s="10" t="s">
        <v>14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12</v>
      </c>
      <c r="B30" s="10" t="s">
        <v>15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12</v>
      </c>
      <c r="B31" s="10" t="s">
        <v>16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12</v>
      </c>
      <c r="B32" s="17" t="s">
        <v>17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43</v>
      </c>
    </row>
    <row r="36" spans="1:35">
      <c r="A36" s="1"/>
      <c r="B36" s="27" t="s">
        <v>45</v>
      </c>
    </row>
    <row r="37" spans="1:35">
      <c r="B37" s="28" t="s">
        <v>38</v>
      </c>
      <c r="C37" s="28" t="s">
        <v>46</v>
      </c>
      <c r="D37" s="28" t="s">
        <v>39</v>
      </c>
      <c r="E37" s="28"/>
      <c r="F37" s="28"/>
    </row>
    <row r="38" spans="1:35">
      <c r="A38" s="28" t="s">
        <v>47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48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49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52</v>
      </c>
      <c r="C42" s="35"/>
      <c r="D42" s="35"/>
    </row>
    <row r="43" spans="1:35">
      <c r="B43" s="28" t="s">
        <v>38</v>
      </c>
      <c r="C43" s="28" t="s">
        <v>46</v>
      </c>
      <c r="D43" s="28" t="s">
        <v>39</v>
      </c>
    </row>
    <row r="44" spans="1:35">
      <c r="A44" s="28" t="s">
        <v>47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48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49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53</v>
      </c>
      <c r="C49" s="35"/>
      <c r="D49" s="35"/>
    </row>
    <row r="50" spans="1:5">
      <c r="B50" s="28" t="s">
        <v>38</v>
      </c>
      <c r="C50" s="28" t="s">
        <v>46</v>
      </c>
      <c r="D50" s="28" t="s">
        <v>39</v>
      </c>
    </row>
    <row r="51" spans="1:5">
      <c r="A51" s="28" t="s">
        <v>47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48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49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41</v>
      </c>
      <c r="C56" s="35" t="s">
        <v>12</v>
      </c>
      <c r="D56" s="35" t="s">
        <v>40</v>
      </c>
    </row>
    <row r="57" spans="1:5">
      <c r="A57" s="35" t="s">
        <v>54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55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53</v>
      </c>
      <c r="B59" s="36">
        <v>14232</v>
      </c>
      <c r="C59" s="36">
        <v>6099</v>
      </c>
      <c r="D59" s="36">
        <v>8133</v>
      </c>
    </row>
    <row r="60" spans="1:5">
      <c r="A60" s="35" t="s">
        <v>52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56</v>
      </c>
    </row>
    <row r="67" spans="1:11">
      <c r="B67" s="35"/>
      <c r="H67" s="35" t="s">
        <v>57</v>
      </c>
    </row>
    <row r="68" spans="1:11">
      <c r="A68" s="1"/>
      <c r="B68" s="35"/>
      <c r="C68" s="35" t="s">
        <v>58</v>
      </c>
      <c r="D68" s="35" t="s">
        <v>59</v>
      </c>
      <c r="E68" s="35" t="s">
        <v>60</v>
      </c>
      <c r="F68" s="35" t="s">
        <v>61</v>
      </c>
      <c r="G68" s="35"/>
      <c r="H68" s="37" t="s">
        <v>62</v>
      </c>
      <c r="I68" s="35" t="s">
        <v>63</v>
      </c>
      <c r="J68" s="35" t="s">
        <v>64</v>
      </c>
      <c r="K68" s="35"/>
    </row>
    <row r="69" spans="1:11">
      <c r="A69" s="1"/>
      <c r="B69" s="35" t="s">
        <v>18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19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20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21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22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23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24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25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26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27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28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29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30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31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32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33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34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35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36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37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5"/>
  <sheetViews>
    <sheetView tabSelected="1" workbookViewId="0">
      <selection activeCell="Q16" sqref="Q16"/>
    </sheetView>
  </sheetViews>
  <sheetFormatPr defaultColWidth="9.140625" defaultRowHeight="15"/>
  <cols>
    <col min="1" max="1" width="22.28515625" style="2" customWidth="1"/>
    <col min="2" max="7" width="10.7109375" style="2" hidden="1" customWidth="1"/>
    <col min="8" max="11" width="10.7109375" style="2" customWidth="1"/>
    <col min="12" max="12" width="21.42578125" style="2" customWidth="1"/>
    <col min="13" max="16" width="9.140625" style="2"/>
    <col min="17" max="17" width="93.42578125" style="2" bestFit="1" customWidth="1"/>
    <col min="18" max="16384" width="9.140625" style="2"/>
  </cols>
  <sheetData>
    <row r="1" spans="1:12" s="41" customFormat="1" ht="21">
      <c r="A1" s="67" t="s">
        <v>66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9"/>
    </row>
    <row r="2" spans="1:12" s="42" customFormat="1">
      <c r="A2" s="70" t="s">
        <v>67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2"/>
    </row>
    <row r="3" spans="1:12" s="45" customFormat="1" ht="17.25">
      <c r="A3" s="43" t="s">
        <v>65</v>
      </c>
      <c r="B3" s="49">
        <v>2007</v>
      </c>
      <c r="C3" s="49">
        <v>2008</v>
      </c>
      <c r="D3" s="49">
        <v>2009</v>
      </c>
      <c r="E3" s="49">
        <v>2010</v>
      </c>
      <c r="F3" s="49">
        <v>2011</v>
      </c>
      <c r="G3" s="49">
        <v>2012</v>
      </c>
      <c r="H3" s="49">
        <v>2013</v>
      </c>
      <c r="I3" s="49">
        <v>2014</v>
      </c>
      <c r="J3" s="49">
        <v>2015</v>
      </c>
      <c r="K3" s="49">
        <v>2016</v>
      </c>
      <c r="L3" s="44" t="s">
        <v>44</v>
      </c>
    </row>
    <row r="4" spans="1:12" s="45" customFormat="1" ht="20.25" customHeight="1">
      <c r="A4" s="50" t="s">
        <v>0</v>
      </c>
      <c r="B4" s="51">
        <f t="shared" ref="B4:K4" si="0">SUM(B5:B13)</f>
        <v>5892</v>
      </c>
      <c r="C4" s="51">
        <f t="shared" si="0"/>
        <v>5775</v>
      </c>
      <c r="D4" s="51">
        <f t="shared" si="0"/>
        <v>7816</v>
      </c>
      <c r="E4" s="51">
        <f t="shared" si="0"/>
        <v>7370</v>
      </c>
      <c r="F4" s="51">
        <f t="shared" si="0"/>
        <v>7012</v>
      </c>
      <c r="G4" s="51">
        <f t="shared" si="0"/>
        <v>6873</v>
      </c>
      <c r="H4" s="51">
        <f t="shared" si="0"/>
        <v>6846</v>
      </c>
      <c r="I4" s="51">
        <f t="shared" si="0"/>
        <v>7414</v>
      </c>
      <c r="J4" s="51">
        <f t="shared" si="0"/>
        <v>5290</v>
      </c>
      <c r="K4" s="51">
        <f t="shared" si="0"/>
        <v>5021</v>
      </c>
      <c r="L4" s="46" t="s">
        <v>2</v>
      </c>
    </row>
    <row r="5" spans="1:12" s="45" customFormat="1" ht="20.25" customHeight="1">
      <c r="A5" s="52" t="s">
        <v>68</v>
      </c>
      <c r="B5" s="53">
        <v>376</v>
      </c>
      <c r="C5" s="53">
        <v>384</v>
      </c>
      <c r="D5" s="53">
        <v>782</v>
      </c>
      <c r="E5" s="53">
        <v>495</v>
      </c>
      <c r="F5" s="53">
        <f>[3]s41!$B$8</f>
        <v>450</v>
      </c>
      <c r="G5" s="53">
        <v>375</v>
      </c>
      <c r="H5" s="53">
        <v>358</v>
      </c>
      <c r="I5" s="53">
        <v>357</v>
      </c>
      <c r="J5" s="53">
        <v>524</v>
      </c>
      <c r="K5" s="58">
        <v>198</v>
      </c>
      <c r="L5" s="47" t="s">
        <v>69</v>
      </c>
    </row>
    <row r="6" spans="1:12" s="45" customFormat="1" ht="20.25" customHeight="1">
      <c r="A6" s="52" t="s">
        <v>70</v>
      </c>
      <c r="B6" s="53">
        <v>640</v>
      </c>
      <c r="C6" s="53">
        <v>680</v>
      </c>
      <c r="D6" s="53">
        <v>714</v>
      </c>
      <c r="E6" s="53">
        <v>675</v>
      </c>
      <c r="F6" s="53">
        <f>[3]s41!$B$12</f>
        <v>600</v>
      </c>
      <c r="G6" s="53">
        <v>582</v>
      </c>
      <c r="H6" s="53">
        <v>614</v>
      </c>
      <c r="I6" s="53">
        <v>696</v>
      </c>
      <c r="J6" s="53">
        <v>82</v>
      </c>
      <c r="K6" s="58">
        <v>0</v>
      </c>
      <c r="L6" s="54" t="s">
        <v>71</v>
      </c>
    </row>
    <row r="7" spans="1:12" s="45" customFormat="1" ht="20.25" customHeight="1">
      <c r="A7" s="52" t="s">
        <v>72</v>
      </c>
      <c r="B7" s="53">
        <v>34</v>
      </c>
      <c r="C7" s="53">
        <v>37</v>
      </c>
      <c r="D7" s="53">
        <v>52</v>
      </c>
      <c r="E7" s="53">
        <v>37</v>
      </c>
      <c r="F7" s="53">
        <f>[3]s41!$B$14</f>
        <v>23</v>
      </c>
      <c r="G7" s="53">
        <v>31</v>
      </c>
      <c r="H7" s="53">
        <v>33</v>
      </c>
      <c r="I7" s="53">
        <v>31</v>
      </c>
      <c r="J7" s="53">
        <v>44</v>
      </c>
      <c r="K7" s="58">
        <v>38</v>
      </c>
      <c r="L7" s="47" t="s">
        <v>73</v>
      </c>
    </row>
    <row r="8" spans="1:12" s="45" customFormat="1" ht="20.25" customHeight="1">
      <c r="A8" s="52" t="s">
        <v>74</v>
      </c>
      <c r="B8" s="53">
        <v>66</v>
      </c>
      <c r="C8" s="53">
        <v>105</v>
      </c>
      <c r="D8" s="53">
        <v>178</v>
      </c>
      <c r="E8" s="53">
        <v>171</v>
      </c>
      <c r="F8" s="53">
        <f>[3]s41!$B$20</f>
        <v>186</v>
      </c>
      <c r="G8" s="53">
        <v>161</v>
      </c>
      <c r="H8" s="53">
        <v>191</v>
      </c>
      <c r="I8" s="53">
        <v>193</v>
      </c>
      <c r="J8" s="53">
        <v>106</v>
      </c>
      <c r="K8" s="58">
        <v>120</v>
      </c>
      <c r="L8" s="47" t="s">
        <v>75</v>
      </c>
    </row>
    <row r="9" spans="1:12" s="45" customFormat="1" ht="20.25" customHeight="1">
      <c r="A9" s="52" t="s">
        <v>76</v>
      </c>
      <c r="B9" s="53">
        <v>984</v>
      </c>
      <c r="C9" s="53">
        <v>931</v>
      </c>
      <c r="D9" s="53">
        <v>996</v>
      </c>
      <c r="E9" s="53">
        <v>1316</v>
      </c>
      <c r="F9" s="53">
        <f>[3]s41!$B$23</f>
        <v>1675</v>
      </c>
      <c r="G9" s="53">
        <v>1613</v>
      </c>
      <c r="H9" s="53">
        <v>1376</v>
      </c>
      <c r="I9" s="53">
        <v>1614</v>
      </c>
      <c r="J9" s="53">
        <v>1143</v>
      </c>
      <c r="K9" s="58">
        <v>1135</v>
      </c>
      <c r="L9" s="47" t="s">
        <v>77</v>
      </c>
    </row>
    <row r="10" spans="1:12" s="45" customFormat="1" ht="20.25" customHeight="1">
      <c r="A10" s="52" t="s">
        <v>78</v>
      </c>
      <c r="B10" s="53">
        <v>465</v>
      </c>
      <c r="C10" s="53">
        <v>431</v>
      </c>
      <c r="D10" s="53">
        <v>581</v>
      </c>
      <c r="E10" s="53">
        <v>496</v>
      </c>
      <c r="F10" s="53">
        <f>[3]s41!$B$32</f>
        <v>140</v>
      </c>
      <c r="G10" s="53">
        <v>191</v>
      </c>
      <c r="H10" s="53">
        <v>71</v>
      </c>
      <c r="I10" s="53">
        <v>164</v>
      </c>
      <c r="J10" s="53">
        <v>147</v>
      </c>
      <c r="K10" s="58">
        <v>144</v>
      </c>
      <c r="L10" s="47" t="s">
        <v>79</v>
      </c>
    </row>
    <row r="11" spans="1:12" s="45" customFormat="1" ht="20.25" customHeight="1">
      <c r="A11" s="52" t="s">
        <v>80</v>
      </c>
      <c r="B11" s="53">
        <v>432</v>
      </c>
      <c r="C11" s="53">
        <v>307</v>
      </c>
      <c r="D11" s="53">
        <v>537</v>
      </c>
      <c r="E11" s="53">
        <v>363</v>
      </c>
      <c r="F11" s="53">
        <f>[3]s41!$B$22</f>
        <v>212</v>
      </c>
      <c r="G11" s="53">
        <v>384</v>
      </c>
      <c r="H11" s="53">
        <v>357</v>
      </c>
      <c r="I11" s="53">
        <v>277</v>
      </c>
      <c r="J11" s="53">
        <v>254</v>
      </c>
      <c r="K11" s="58">
        <v>391</v>
      </c>
      <c r="L11" s="47" t="s">
        <v>81</v>
      </c>
    </row>
    <row r="12" spans="1:12" s="45" customFormat="1" ht="20.25" customHeight="1">
      <c r="A12" s="52" t="s">
        <v>82</v>
      </c>
      <c r="B12" s="53">
        <v>28</v>
      </c>
      <c r="C12" s="53">
        <v>24</v>
      </c>
      <c r="D12" s="53">
        <v>12</v>
      </c>
      <c r="E12" s="53">
        <v>25</v>
      </c>
      <c r="F12" s="53">
        <f>[3]s41!$B$31</f>
        <v>5</v>
      </c>
      <c r="G12" s="53">
        <v>19</v>
      </c>
      <c r="H12" s="53">
        <v>5</v>
      </c>
      <c r="I12" s="53">
        <v>9</v>
      </c>
      <c r="J12" s="53">
        <v>5</v>
      </c>
      <c r="K12" s="58">
        <v>4</v>
      </c>
      <c r="L12" s="47" t="s">
        <v>83</v>
      </c>
    </row>
    <row r="13" spans="1:12" s="45" customFormat="1" ht="20.25" customHeight="1">
      <c r="A13" s="55" t="s">
        <v>84</v>
      </c>
      <c r="B13" s="56">
        <v>2867</v>
      </c>
      <c r="C13" s="56">
        <v>2876</v>
      </c>
      <c r="D13" s="56">
        <v>3964</v>
      </c>
      <c r="E13" s="56">
        <v>3792</v>
      </c>
      <c r="F13" s="56">
        <v>3721</v>
      </c>
      <c r="G13" s="56">
        <v>3517</v>
      </c>
      <c r="H13" s="56">
        <v>3841</v>
      </c>
      <c r="I13" s="56">
        <v>4073</v>
      </c>
      <c r="J13" s="56">
        <v>2985</v>
      </c>
      <c r="K13" s="59">
        <v>2991</v>
      </c>
      <c r="L13" s="48" t="s">
        <v>85</v>
      </c>
    </row>
    <row r="14" spans="1:12" ht="35.25" customHeight="1">
      <c r="A14" s="73" t="s">
        <v>86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s="45" customFormat="1">
      <c r="A15" s="39" t="s">
        <v>1</v>
      </c>
      <c r="B15" s="57"/>
      <c r="C15" s="57"/>
      <c r="D15" s="57"/>
      <c r="E15" s="57"/>
      <c r="F15" s="57"/>
      <c r="L15" s="40" t="s">
        <v>43</v>
      </c>
    </row>
  </sheetData>
  <mergeCells count="3">
    <mergeCell ref="A1:L1"/>
    <mergeCell ref="A2:L2"/>
    <mergeCell ref="A14:L1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8.20 workings</vt:lpstr>
      <vt:lpstr>8.23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2017-07-02T07:00:37Z</cp:lastPrinted>
  <dcterms:created xsi:type="dcterms:W3CDTF">2013-04-04T04:05:16Z</dcterms:created>
  <dcterms:modified xsi:type="dcterms:W3CDTF">2017-07-02T07:27:42Z</dcterms:modified>
</cp:coreProperties>
</file>