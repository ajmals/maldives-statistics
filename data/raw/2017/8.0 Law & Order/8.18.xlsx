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 firstSheet="1" activeTab="1"/>
  </bookViews>
  <sheets>
    <sheet name="8.20 workings" sheetId="36" state="hidden" r:id="rId1"/>
    <sheet name="8.18" sheetId="46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1">'8.18'!$A$1:$R$58</definedName>
  </definedNames>
  <calcPr calcId="144525"/>
</workbook>
</file>

<file path=xl/calcChain.xml><?xml version="1.0" encoding="utf-8"?>
<calcChain xmlns="http://schemas.openxmlformats.org/spreadsheetml/2006/main">
  <c r="M19" i="46" l="1"/>
  <c r="K11" i="46"/>
  <c r="L11" i="46"/>
  <c r="M11" i="46"/>
  <c r="N11" i="46"/>
  <c r="O11" i="46"/>
  <c r="J11" i="46"/>
  <c r="P11" i="46"/>
  <c r="P24" i="46" l="1"/>
  <c r="O24" i="46"/>
  <c r="N24" i="46"/>
  <c r="M24" i="46"/>
  <c r="L24" i="46"/>
  <c r="K24" i="46"/>
  <c r="J24" i="46"/>
  <c r="I24" i="46"/>
  <c r="P23" i="46"/>
  <c r="O23" i="46"/>
  <c r="N23" i="46"/>
  <c r="M23" i="46"/>
  <c r="L23" i="46"/>
  <c r="K23" i="46"/>
  <c r="J23" i="46"/>
  <c r="I23" i="46"/>
  <c r="H23" i="46"/>
  <c r="G23" i="46"/>
  <c r="F23" i="46"/>
  <c r="E23" i="46"/>
  <c r="D23" i="46"/>
  <c r="C23" i="46"/>
  <c r="P22" i="46"/>
  <c r="O22" i="46"/>
  <c r="N22" i="46"/>
  <c r="M22" i="46"/>
  <c r="L22" i="46"/>
  <c r="K22" i="46"/>
  <c r="J22" i="46"/>
  <c r="I22" i="46"/>
  <c r="H22" i="46"/>
  <c r="G22" i="46"/>
  <c r="F22" i="46"/>
  <c r="E22" i="46"/>
  <c r="D22" i="46"/>
  <c r="C22" i="46"/>
  <c r="P21" i="46"/>
  <c r="O21" i="46"/>
  <c r="N21" i="46"/>
  <c r="M21" i="46"/>
  <c r="L21" i="46"/>
  <c r="K21" i="46"/>
  <c r="J21" i="46"/>
  <c r="I21" i="46"/>
  <c r="H21" i="46"/>
  <c r="G21" i="46"/>
  <c r="F21" i="46"/>
  <c r="E21" i="46"/>
  <c r="D21" i="46"/>
  <c r="C21" i="46"/>
  <c r="P20" i="46"/>
  <c r="O20" i="46"/>
  <c r="N20" i="46"/>
  <c r="M20" i="46"/>
  <c r="L20" i="46"/>
  <c r="K20" i="46"/>
  <c r="J20" i="46"/>
  <c r="I20" i="46"/>
  <c r="H20" i="46"/>
  <c r="G20" i="46"/>
  <c r="F20" i="46"/>
  <c r="E20" i="46"/>
  <c r="D20" i="46"/>
  <c r="C20" i="46"/>
  <c r="P19" i="46"/>
  <c r="O19" i="46"/>
  <c r="N19" i="46"/>
  <c r="N18" i="46"/>
  <c r="J18" i="46"/>
  <c r="F18" i="46"/>
  <c r="M17" i="46"/>
  <c r="L17" i="46"/>
  <c r="I17" i="46"/>
  <c r="E17" i="46"/>
  <c r="D17" i="46"/>
  <c r="N15" i="46"/>
  <c r="J15" i="46"/>
  <c r="F15" i="46"/>
  <c r="B15" i="46"/>
  <c r="N14" i="46"/>
  <c r="M14" i="46"/>
  <c r="J14" i="46"/>
  <c r="I14" i="46"/>
  <c r="F14" i="46"/>
  <c r="E14" i="46"/>
  <c r="B14" i="46"/>
  <c r="P13" i="46"/>
  <c r="M13" i="46"/>
  <c r="L13" i="46"/>
  <c r="I13" i="46"/>
  <c r="H13" i="46"/>
  <c r="E13" i="46"/>
  <c r="D13" i="46"/>
  <c r="O12" i="46"/>
  <c r="P4" i="46"/>
  <c r="P15" i="46" s="1"/>
  <c r="O4" i="46"/>
  <c r="O14" i="46" s="1"/>
  <c r="N4" i="46"/>
  <c r="N13" i="46" s="1"/>
  <c r="M4" i="46"/>
  <c r="M12" i="46" s="1"/>
  <c r="L4" i="46"/>
  <c r="L18" i="46" s="1"/>
  <c r="K4" i="46"/>
  <c r="K13" i="46" s="1"/>
  <c r="J4" i="46"/>
  <c r="J17" i="46" s="1"/>
  <c r="I4" i="46"/>
  <c r="I16" i="46" s="1"/>
  <c r="H4" i="46"/>
  <c r="H15" i="46" s="1"/>
  <c r="G4" i="46"/>
  <c r="G14" i="46" s="1"/>
  <c r="F4" i="46"/>
  <c r="F13" i="46" s="1"/>
  <c r="E4" i="46"/>
  <c r="E15" i="46" s="1"/>
  <c r="D4" i="46"/>
  <c r="D18" i="46" s="1"/>
  <c r="C4" i="46"/>
  <c r="C18" i="46" s="1"/>
  <c r="B4" i="46"/>
  <c r="B17" i="46" s="1"/>
  <c r="L12" i="46" l="1"/>
  <c r="K18" i="46"/>
  <c r="N12" i="46"/>
  <c r="G13" i="46"/>
  <c r="G11" i="46" s="1"/>
  <c r="O13" i="46"/>
  <c r="H14" i="46"/>
  <c r="H11" i="46" s="1"/>
  <c r="P14" i="46"/>
  <c r="I15" i="46"/>
  <c r="I11" i="46" s="1"/>
  <c r="B16" i="46"/>
  <c r="J16" i="46"/>
  <c r="C17" i="46"/>
  <c r="K17" i="46"/>
  <c r="E18" i="46"/>
  <c r="M18" i="46"/>
  <c r="C16" i="46"/>
  <c r="L16" i="46"/>
  <c r="K16" i="46"/>
  <c r="C15" i="46"/>
  <c r="D16" i="46"/>
  <c r="G18" i="46"/>
  <c r="B13" i="46"/>
  <c r="B11" i="46" s="1"/>
  <c r="J13" i="46"/>
  <c r="C14" i="46"/>
  <c r="K14" i="46"/>
  <c r="D15" i="46"/>
  <c r="L15" i="46"/>
  <c r="E16" i="46"/>
  <c r="E11" i="46" s="1"/>
  <c r="M16" i="46"/>
  <c r="F17" i="46"/>
  <c r="F11" i="46" s="1"/>
  <c r="N17" i="46"/>
  <c r="H18" i="46"/>
  <c r="P18" i="46"/>
  <c r="P12" i="46"/>
  <c r="K15" i="46"/>
  <c r="O18" i="46"/>
  <c r="C13" i="46"/>
  <c r="C11" i="46" s="1"/>
  <c r="D14" i="46"/>
  <c r="D11" i="46" s="1"/>
  <c r="L14" i="46"/>
  <c r="M15" i="46"/>
  <c r="F16" i="46"/>
  <c r="N16" i="46"/>
  <c r="G17" i="46"/>
  <c r="O17" i="46"/>
  <c r="I18" i="46"/>
  <c r="O16" i="46"/>
  <c r="H17" i="46"/>
  <c r="P17" i="46"/>
  <c r="P16" i="46"/>
  <c r="G16" i="46"/>
  <c r="G15" i="46"/>
  <c r="O15" i="46"/>
  <c r="H16" i="46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<sst xmlns="http://schemas.openxmlformats.org/spreadsheetml/2006/main" count="210" uniqueCount="86">
  <si>
    <t>Total</t>
  </si>
  <si>
    <t>wlcmuj</t>
  </si>
  <si>
    <t>Source: Department of Judicial Administration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</si>
  <si>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</si>
  <si>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</si>
  <si>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</si>
  <si>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</si>
  <si>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</si>
  <si>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</si>
  <si>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</si>
  <si>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</si>
  <si>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</si>
  <si>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</si>
  <si>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</si>
  <si>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</si>
  <si>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</si>
  <si>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</si>
  <si>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</si>
  <si>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</si>
  <si>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</si>
  <si>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</si>
  <si>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</si>
  <si>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</si>
  <si>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</si>
  <si>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</si>
  <si>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</si>
  <si>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</si>
  <si>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</si>
  <si>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</si>
  <si>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</si>
  <si>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</si>
  <si>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</si>
  <si>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</si>
  <si>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</si>
  <si>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</si>
  <si>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</si>
  <si>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</si>
  <si>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</si>
  <si>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</si>
  <si>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</si>
  <si>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</si>
  <si>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</si>
  <si>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</si>
  <si>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</si>
  <si>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</si>
  <si>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</si>
  <si>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</si>
  <si>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</si>
  <si>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</si>
  <si>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</si>
  <si>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</si>
  <si>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</si>
  <si>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</si>
  <si>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</si>
  <si>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</si>
  <si>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</si>
  <si>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</si>
  <si>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</si>
  <si>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</si>
  <si>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</si>
  <si>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</si>
  <si>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</si>
  <si>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</si>
  <si>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</si>
  <si>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2016 - 2010 ,udwdwAeg WycaiFwq unumcnin iawgukwtuTOkuSwr iaWaelWm : 8.18 ulwvWt</t>
  </si>
  <si>
    <t>Table 8.18 : CASES DEALT BY JUDICIAL COURTS IN MALE' AND ISLANDS, 2010 - 2016</t>
  </si>
  <si>
    <t>Court</t>
  </si>
  <si>
    <t>ކޯޓުތައް</t>
  </si>
  <si>
    <t>Drug court</t>
  </si>
  <si>
    <t>ޑްރަގް ކޯޓު</t>
  </si>
  <si>
    <t>Juvenile court</t>
  </si>
  <si>
    <t>ޖުވެނައިލް ކޯޓު</t>
  </si>
  <si>
    <t>Family court</t>
  </si>
  <si>
    <t>ފެމިލީ ކޯޓު</t>
  </si>
  <si>
    <t>Criminal court</t>
  </si>
  <si>
    <t>ކްރިމިނަލް ކޯޓު</t>
  </si>
  <si>
    <t>Civil court</t>
  </si>
  <si>
    <t>ސިވިލް ކޯޓު</t>
  </si>
  <si>
    <t>Magistrate Courts</t>
  </si>
  <si>
    <t>މެޖިސްޓްރޭޓް ކޯޓުތައް</t>
  </si>
  <si>
    <t>Percentage share</t>
  </si>
  <si>
    <t>cniawtcaws ctogWviawfiheb</t>
  </si>
  <si>
    <t>އަތޮޅުތަކުގައި ހުރިމެޖިސްޓްރޭޓް ކޯޓުތައް</t>
  </si>
  <si>
    <t>% Change over previous year</t>
  </si>
  <si>
    <t>urwvcnim ivurutia eruvcSwrwhwa Iruk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</si>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</sst>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9" formatCode="_(* #,##0_);_(* \(#,##0\);_(* &quot;-&quot;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name val="A_Randhoo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_Randhoo"/>
    </font>
    <font>
      <b/>
      <sz val="9"/>
      <name val="Calibri"/>
      <family val="2"/>
      <scheme val="minor"/>
    </font>
    <font>
      <b/>
      <sz val="9"/>
      <name val="Faruma"/>
    </font>
    <font>
      <sz val="9"/>
      <name val="Arial"/>
      <family val="2"/>
    </font>
    <font>
      <sz val="9"/>
      <name val="Faruma"/>
    </font>
    <font>
      <u/>
      <sz val="10"/>
      <color indexed="12"/>
      <name val="Courier"/>
      <family val="3"/>
    </font>
    <font>
      <b/>
      <sz val="9"/>
      <name val="Arial"/>
      <family val="2"/>
    </font>
    <font>
      <b/>
      <sz val="9"/>
      <name val="Courier"/>
      <family val="3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4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theme="1"/>
      </bottom>
      <diagonal/>
    </border>
    <border>
      <left style="thin">
        <color indexed="9"/>
      </left>
      <right/>
      <top style="thin">
        <color indexed="9"/>
      </top>
      <bottom style="hair">
        <color theme="1"/>
      </bottom>
      <diagonal/>
    </border>
    <border>
      <left/>
      <right style="thin">
        <color indexed="9"/>
      </right>
      <top style="thin">
        <color indexed="9"/>
      </top>
      <bottom style="hair">
        <color theme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165" fontId="10" fillId="0" borderId="0"/>
    <xf numFmtId="0" fontId="15" fillId="0" borderId="8" applyNumberFormat="0" applyFill="0" applyAlignment="0" applyProtection="0"/>
    <xf numFmtId="0" fontId="11" fillId="0" borderId="0"/>
    <xf numFmtId="166" fontId="16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20" fillId="0" borderId="11" applyNumberFormat="0" applyFill="0" applyAlignment="0" applyProtection="0"/>
    <xf numFmtId="0" fontId="21" fillId="0" borderId="12" applyNumberFormat="0" applyFill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3" fillId="5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13" applyNumberFormat="0" applyAlignment="0" applyProtection="0"/>
    <xf numFmtId="0" fontId="26" fillId="8" borderId="14" applyNumberFormat="0" applyAlignment="0" applyProtection="0"/>
    <xf numFmtId="0" fontId="27" fillId="8" borderId="13" applyNumberFormat="0" applyAlignment="0" applyProtection="0"/>
    <xf numFmtId="0" fontId="28" fillId="0" borderId="15" applyNumberFormat="0" applyFill="0" applyAlignment="0" applyProtection="0"/>
    <xf numFmtId="0" fontId="29" fillId="9" borderId="16" applyNumberFormat="0" applyAlignment="0" applyProtection="0"/>
    <xf numFmtId="0" fontId="17" fillId="0" borderId="0" applyNumberFormat="0" applyFill="0" applyBorder="0" applyAlignment="0" applyProtection="0"/>
    <xf numFmtId="0" fontId="1" fillId="10" borderId="17" applyNumberFormat="0" applyFont="0" applyAlignment="0" applyProtection="0"/>
    <xf numFmtId="0" fontId="30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3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1" fillId="22" borderId="0" applyNumberFormat="0" applyBorder="0" applyAlignment="0" applyProtection="0"/>
    <xf numFmtId="0" fontId="3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1" fillId="34" borderId="0" applyNumberFormat="0" applyBorder="0" applyAlignment="0" applyProtection="0"/>
    <xf numFmtId="0" fontId="1" fillId="0" borderId="0"/>
    <xf numFmtId="0" fontId="11" fillId="0" borderId="0"/>
    <xf numFmtId="0" fontId="37" fillId="0" borderId="0" applyNumberFormat="0" applyFill="0" applyBorder="0" applyAlignment="0" applyProtection="0">
      <alignment vertical="top"/>
      <protection locked="0"/>
    </xf>
  </cellStyleXfs>
  <cellXfs count="136">
    <xf numFmtId="0" fontId="0" fillId="0" borderId="0" xfId="0"/>
    <xf numFmtId="164" fontId="8" fillId="2" borderId="1" xfId="0" applyNumberFormat="1" applyFont="1" applyFill="1" applyBorder="1" applyAlignment="1" applyProtection="1">
      <alignment vertical="center"/>
    </xf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9" fontId="0" fillId="2" borderId="0" xfId="1" applyNumberFormat="1" applyFont="1" applyFill="1"/>
    <xf numFmtId="164" fontId="9" fillId="2" borderId="1" xfId="0" applyNumberFormat="1" applyFont="1" applyFill="1" applyBorder="1" applyAlignment="1">
      <alignment horizontal="right" vertical="center"/>
    </xf>
    <xf numFmtId="166" fontId="3" fillId="2" borderId="4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5" xfId="1" applyNumberFormat="1" applyFont="1" applyFill="1" applyBorder="1" applyAlignment="1">
      <alignment horizontal="right" vertical="center" wrapText="1"/>
    </xf>
    <xf numFmtId="166" fontId="3" fillId="2" borderId="5" xfId="1" applyNumberFormat="1" applyFont="1" applyFill="1" applyBorder="1" applyAlignment="1">
      <alignment horizontal="right" vertical="top" wrapText="1"/>
    </xf>
    <xf numFmtId="0" fontId="5" fillId="2" borderId="9" xfId="0" applyNumberFormat="1" applyFont="1" applyFill="1" applyBorder="1" applyAlignment="1">
      <alignment horizontal="center" vertical="center"/>
    </xf>
    <xf numFmtId="0" fontId="5" fillId="2" borderId="9" xfId="0" applyNumberFormat="1" applyFont="1" applyFill="1" applyBorder="1" applyAlignment="1">
      <alignment horizontal="left" vertical="center" wrapText="1"/>
    </xf>
    <xf numFmtId="3" fontId="5" fillId="2" borderId="9" xfId="1" applyNumberFormat="1" applyFont="1" applyFill="1" applyBorder="1" applyAlignment="1"/>
    <xf numFmtId="3" fontId="3" fillId="2" borderId="9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2" fillId="2" borderId="6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7" xfId="1" applyNumberFormat="1" applyFont="1" applyFill="1" applyBorder="1" applyAlignment="1">
      <alignment horizontal="center" vertical="center" wrapText="1"/>
    </xf>
    <xf numFmtId="166" fontId="3" fillId="3" borderId="5" xfId="1" applyNumberFormat="1" applyFont="1" applyFill="1" applyBorder="1" applyAlignment="1">
      <alignment horizontal="right" vertical="center" wrapText="1"/>
    </xf>
    <xf numFmtId="166" fontId="3" fillId="3" borderId="5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9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9" fillId="2" borderId="1" xfId="0" applyNumberFormat="1" applyFont="1" applyFill="1" applyBorder="1" applyAlignment="1">
      <alignment horizontal="right" vertical="center"/>
    </xf>
    <xf numFmtId="164" fontId="0" fillId="2" borderId="20" xfId="0" applyNumberFormat="1" applyFont="1" applyFill="1" applyBorder="1" applyAlignment="1">
      <alignment vertical="center"/>
    </xf>
    <xf numFmtId="164" fontId="5" fillId="2" borderId="20" xfId="0" applyNumberFormat="1" applyFont="1" applyFill="1" applyBorder="1" applyAlignment="1">
      <alignment vertical="top"/>
    </xf>
    <xf numFmtId="164" fontId="33" fillId="2" borderId="23" xfId="0" applyNumberFormat="1" applyFont="1" applyFill="1" applyBorder="1" applyAlignment="1" applyProtection="1">
      <alignment horizontal="left" vertical="center"/>
    </xf>
    <xf numFmtId="164" fontId="33" fillId="2" borderId="23" xfId="0" applyNumberFormat="1" applyFont="1" applyFill="1" applyBorder="1" applyAlignment="1">
      <alignment horizontal="right" vertical="center"/>
    </xf>
    <xf numFmtId="164" fontId="33" fillId="0" borderId="23" xfId="0" applyNumberFormat="1" applyFont="1" applyFill="1" applyBorder="1" applyAlignment="1">
      <alignment horizontal="right" vertical="center"/>
    </xf>
    <xf numFmtId="164" fontId="34" fillId="2" borderId="23" xfId="0" applyNumberFormat="1" applyFont="1" applyFill="1" applyBorder="1" applyAlignment="1">
      <alignment horizontal="right" vertical="center"/>
    </xf>
    <xf numFmtId="164" fontId="35" fillId="2" borderId="20" xfId="0" applyNumberFormat="1" applyFont="1" applyFill="1" applyBorder="1" applyAlignment="1">
      <alignment vertical="center"/>
    </xf>
    <xf numFmtId="164" fontId="7" fillId="2" borderId="20" xfId="0" applyNumberFormat="1" applyFont="1" applyFill="1" applyBorder="1" applyAlignment="1">
      <alignment vertical="center"/>
    </xf>
    <xf numFmtId="164" fontId="33" fillId="2" borderId="1" xfId="0" applyNumberFormat="1" applyFont="1" applyFill="1" applyBorder="1" applyAlignment="1" applyProtection="1">
      <alignment horizontal="left" vertical="center"/>
    </xf>
    <xf numFmtId="3" fontId="33" fillId="2" borderId="1" xfId="0" applyNumberFormat="1" applyFont="1" applyFill="1" applyBorder="1" applyAlignment="1">
      <alignment vertical="center"/>
    </xf>
    <xf numFmtId="164" fontId="6" fillId="2" borderId="24" xfId="0" applyNumberFormat="1" applyFont="1" applyFill="1" applyBorder="1" applyAlignment="1">
      <alignment horizontal="right" vertical="center"/>
    </xf>
    <xf numFmtId="164" fontId="4" fillId="2" borderId="20" xfId="0" applyNumberFormat="1" applyFont="1" applyFill="1" applyBorder="1" applyAlignment="1" applyProtection="1">
      <alignment horizontal="left" vertical="center"/>
    </xf>
    <xf numFmtId="3" fontId="33" fillId="2" borderId="19" xfId="0" applyNumberFormat="1" applyFont="1" applyFill="1" applyBorder="1" applyAlignment="1">
      <alignment vertical="center"/>
    </xf>
    <xf numFmtId="3" fontId="33" fillId="2" borderId="0" xfId="0" applyNumberFormat="1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vertical="center"/>
    </xf>
    <xf numFmtId="164" fontId="36" fillId="2" borderId="25" xfId="0" applyNumberFormat="1" applyFont="1" applyFill="1" applyBorder="1" applyAlignment="1">
      <alignment horizontal="right" vertical="center"/>
    </xf>
    <xf numFmtId="3" fontId="4" fillId="2" borderId="20" xfId="0" applyNumberFormat="1" applyFont="1" applyFill="1" applyBorder="1" applyAlignment="1">
      <alignment vertical="center"/>
    </xf>
    <xf numFmtId="3" fontId="4" fillId="2" borderId="26" xfId="0" applyNumberFormat="1" applyFont="1" applyFill="1" applyBorder="1" applyAlignment="1">
      <alignment vertical="center"/>
    </xf>
    <xf numFmtId="3" fontId="4" fillId="2" borderId="20" xfId="0" applyNumberFormat="1" applyFont="1" applyFill="1" applyBorder="1" applyAlignment="1" applyProtection="1">
      <alignment horizontal="right" vertical="center"/>
    </xf>
    <xf numFmtId="164" fontId="4" fillId="2" borderId="27" xfId="0" applyNumberFormat="1" applyFont="1" applyFill="1" applyBorder="1" applyAlignment="1" applyProtection="1">
      <alignment horizontal="left" vertical="center"/>
    </xf>
    <xf numFmtId="3" fontId="4" fillId="2" borderId="27" xfId="0" applyNumberFormat="1" applyFont="1" applyFill="1" applyBorder="1" applyAlignment="1">
      <alignment vertical="center"/>
    </xf>
    <xf numFmtId="3" fontId="4" fillId="2" borderId="28" xfId="0" applyNumberFormat="1" applyFont="1" applyFill="1" applyBorder="1" applyAlignment="1">
      <alignment vertical="center"/>
    </xf>
    <xf numFmtId="3" fontId="4" fillId="2" borderId="9" xfId="0" applyNumberFormat="1" applyFont="1" applyFill="1" applyBorder="1" applyAlignment="1">
      <alignment vertical="center"/>
    </xf>
    <xf numFmtId="164" fontId="36" fillId="2" borderId="29" xfId="0" applyNumberFormat="1" applyFont="1" applyFill="1" applyBorder="1" applyAlignment="1">
      <alignment horizontal="right" vertical="center"/>
    </xf>
    <xf numFmtId="3" fontId="33" fillId="2" borderId="1" xfId="0" applyNumberFormat="1" applyFont="1" applyFill="1" applyBorder="1" applyAlignment="1" applyProtection="1">
      <alignment horizontal="right" vertical="center"/>
    </xf>
    <xf numFmtId="164" fontId="4" fillId="2" borderId="1" xfId="0" applyNumberFormat="1" applyFont="1" applyFill="1" applyBorder="1" applyAlignment="1" applyProtection="1">
      <alignment horizontal="left" vertical="center"/>
    </xf>
    <xf numFmtId="167" fontId="4" fillId="2" borderId="20" xfId="0" applyNumberFormat="1" applyFont="1" applyFill="1" applyBorder="1" applyAlignment="1" applyProtection="1">
      <alignment horizontal="right" vertical="center"/>
    </xf>
    <xf numFmtId="164" fontId="4" fillId="2" borderId="30" xfId="0" applyNumberFormat="1" applyFont="1" applyFill="1" applyBorder="1" applyAlignment="1" applyProtection="1">
      <alignment horizontal="left" vertical="center"/>
    </xf>
    <xf numFmtId="167" fontId="4" fillId="2" borderId="30" xfId="0" applyNumberFormat="1" applyFont="1" applyFill="1" applyBorder="1" applyAlignment="1" applyProtection="1">
      <alignment horizontal="right" vertical="center"/>
    </xf>
    <xf numFmtId="164" fontId="36" fillId="2" borderId="31" xfId="0" applyNumberFormat="1" applyFont="1" applyFill="1" applyBorder="1" applyAlignment="1">
      <alignment horizontal="right" vertical="center"/>
    </xf>
    <xf numFmtId="164" fontId="35" fillId="2" borderId="30" xfId="0" applyNumberFormat="1" applyFont="1" applyFill="1" applyBorder="1" applyAlignment="1">
      <alignment vertical="center"/>
    </xf>
    <xf numFmtId="164" fontId="7" fillId="2" borderId="30" xfId="0" applyNumberFormat="1" applyFont="1" applyFill="1" applyBorder="1" applyAlignment="1">
      <alignment vertical="center"/>
    </xf>
    <xf numFmtId="164" fontId="4" fillId="2" borderId="10" xfId="0" applyNumberFormat="1" applyFont="1" applyFill="1" applyBorder="1" applyAlignment="1" applyProtection="1">
      <alignment horizontal="left" vertical="center"/>
    </xf>
    <xf numFmtId="167" fontId="4" fillId="2" borderId="27" xfId="0" applyNumberFormat="1" applyFont="1" applyFill="1" applyBorder="1" applyAlignment="1" applyProtection="1">
      <alignment horizontal="right" vertical="center"/>
    </xf>
    <xf numFmtId="164" fontId="36" fillId="2" borderId="10" xfId="0" applyNumberFormat="1" applyFont="1" applyFill="1" applyBorder="1" applyAlignment="1">
      <alignment horizontal="right" vertical="center"/>
    </xf>
    <xf numFmtId="164" fontId="7" fillId="2" borderId="0" xfId="0" applyNumberFormat="1" applyFont="1" applyFill="1" applyBorder="1"/>
    <xf numFmtId="164" fontId="35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167" fontId="33" fillId="2" borderId="1" xfId="0" applyNumberFormat="1" applyFont="1" applyFill="1" applyBorder="1" applyAlignment="1" applyProtection="1">
      <alignment horizontal="right" vertical="center"/>
    </xf>
    <xf numFmtId="167" fontId="4" fillId="2" borderId="1" xfId="0" applyNumberFormat="1" applyFont="1" applyFill="1" applyBorder="1" applyAlignment="1" applyProtection="1">
      <alignment horizontal="right" vertical="center"/>
    </xf>
    <xf numFmtId="164" fontId="4" fillId="2" borderId="32" xfId="0" applyNumberFormat="1" applyFont="1" applyFill="1" applyBorder="1" applyAlignment="1" applyProtection="1">
      <alignment horizontal="left" vertical="center"/>
    </xf>
    <xf numFmtId="167" fontId="4" fillId="2" borderId="5" xfId="0" applyNumberFormat="1" applyFont="1" applyFill="1" applyBorder="1" applyAlignment="1" applyProtection="1">
      <alignment horizontal="right" vertical="center"/>
    </xf>
    <xf numFmtId="167" fontId="4" fillId="2" borderId="32" xfId="0" applyNumberFormat="1" applyFont="1" applyFill="1" applyBorder="1" applyAlignment="1" applyProtection="1">
      <alignment horizontal="right" vertical="center"/>
    </xf>
    <xf numFmtId="164" fontId="36" fillId="2" borderId="5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1" xfId="0" applyNumberFormat="1" applyFont="1" applyFill="1" applyBorder="1" applyAlignment="1" applyProtection="1">
      <alignment horizontal="fill" vertical="center"/>
    </xf>
    <xf numFmtId="164" fontId="4" fillId="0" borderId="1" xfId="0" applyNumberFormat="1" applyFont="1" applyFill="1" applyBorder="1" applyAlignment="1" applyProtection="1">
      <alignment horizontal="fill" vertical="center"/>
    </xf>
    <xf numFmtId="164" fontId="35" fillId="0" borderId="20" xfId="0" applyNumberFormat="1" applyFont="1" applyFill="1" applyBorder="1" applyAlignment="1">
      <alignment vertical="center"/>
    </xf>
    <xf numFmtId="3" fontId="38" fillId="2" borderId="20" xfId="0" applyNumberFormat="1" applyFont="1" applyFill="1" applyBorder="1" applyAlignment="1" applyProtection="1">
      <alignment horizontal="right" vertical="center"/>
    </xf>
    <xf numFmtId="3" fontId="35" fillId="2" borderId="20" xfId="0" applyNumberFormat="1" applyFont="1" applyFill="1" applyBorder="1" applyAlignment="1" applyProtection="1">
      <alignment horizontal="right" vertical="center"/>
    </xf>
    <xf numFmtId="164" fontId="0" fillId="2" borderId="30" xfId="0" applyNumberFormat="1" applyFont="1" applyFill="1" applyBorder="1" applyAlignment="1">
      <alignment vertical="center"/>
    </xf>
    <xf numFmtId="164" fontId="35" fillId="2" borderId="26" xfId="0" applyNumberFormat="1" applyFont="1" applyFill="1" applyBorder="1" applyAlignment="1">
      <alignment vertical="center"/>
    </xf>
    <xf numFmtId="164" fontId="35" fillId="2" borderId="0" xfId="0" applyNumberFormat="1" applyFont="1" applyFill="1" applyBorder="1" applyAlignment="1" applyProtection="1">
      <alignment horizontal="left" vertical="center"/>
    </xf>
    <xf numFmtId="3" fontId="35" fillId="2" borderId="0" xfId="0" applyNumberFormat="1" applyFont="1" applyFill="1" applyBorder="1" applyAlignment="1">
      <alignment vertical="center"/>
    </xf>
    <xf numFmtId="164" fontId="0" fillId="2" borderId="0" xfId="0" applyNumberFormat="1" applyFont="1" applyFill="1" applyBorder="1" applyAlignment="1">
      <alignment vertical="center"/>
    </xf>
    <xf numFmtId="164" fontId="38" fillId="2" borderId="0" xfId="0" applyNumberFormat="1" applyFont="1" applyFill="1" applyBorder="1" applyAlignment="1" applyProtection="1">
      <alignment horizontal="left" vertical="center"/>
    </xf>
    <xf numFmtId="164" fontId="38" fillId="2" borderId="0" xfId="0" applyNumberFormat="1" applyFont="1" applyFill="1" applyBorder="1" applyAlignment="1">
      <alignment horizontal="right" vertical="center"/>
    </xf>
    <xf numFmtId="164" fontId="35" fillId="0" borderId="30" xfId="0" applyNumberFormat="1" applyFont="1" applyFill="1" applyBorder="1" applyAlignment="1">
      <alignment vertical="center"/>
    </xf>
    <xf numFmtId="164" fontId="35" fillId="0" borderId="0" xfId="0" applyNumberFormat="1" applyFont="1" applyFill="1" applyBorder="1" applyAlignment="1">
      <alignment vertical="center"/>
    </xf>
    <xf numFmtId="164" fontId="33" fillId="2" borderId="0" xfId="0" applyNumberFormat="1" applyFont="1" applyFill="1" applyBorder="1" applyAlignment="1">
      <alignment horizontal="right" vertical="center"/>
    </xf>
    <xf numFmtId="164" fontId="33" fillId="0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3" fontId="4" fillId="0" borderId="0" xfId="0" applyNumberFormat="1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horizontal="right" vertical="center"/>
    </xf>
    <xf numFmtId="164" fontId="0" fillId="0" borderId="20" xfId="0" applyNumberFormat="1" applyFont="1" applyFill="1" applyBorder="1" applyAlignment="1">
      <alignment vertical="center"/>
    </xf>
    <xf numFmtId="164" fontId="5" fillId="2" borderId="0" xfId="0" applyNumberFormat="1" applyFont="1" applyFill="1" applyBorder="1" applyAlignment="1">
      <alignment vertical="top"/>
    </xf>
    <xf numFmtId="164" fontId="0" fillId="2" borderId="26" xfId="0" applyNumberFormat="1" applyFont="1" applyFill="1" applyBorder="1" applyAlignment="1">
      <alignment vertical="center"/>
    </xf>
    <xf numFmtId="164" fontId="4" fillId="2" borderId="26" xfId="0" applyNumberFormat="1" applyFont="1" applyFill="1" applyBorder="1" applyAlignment="1">
      <alignment vertical="top"/>
    </xf>
    <xf numFmtId="164" fontId="35" fillId="2" borderId="33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vertical="top"/>
    </xf>
    <xf numFmtId="3" fontId="38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164" fontId="0" fillId="0" borderId="0" xfId="0" applyNumberFormat="1" applyFont="1" applyFill="1" applyBorder="1" applyAlignment="1">
      <alignment vertical="center"/>
    </xf>
    <xf numFmtId="164" fontId="7" fillId="2" borderId="26" xfId="0" applyNumberFormat="1" applyFont="1" applyFill="1" applyBorder="1"/>
    <xf numFmtId="164" fontId="37" fillId="2" borderId="26" xfId="50" applyNumberFormat="1" applyFill="1" applyBorder="1" applyAlignment="1" applyProtection="1"/>
    <xf numFmtId="164" fontId="7" fillId="2" borderId="26" xfId="0" applyNumberFormat="1" applyFont="1" applyFill="1" applyBorder="1" applyAlignment="1">
      <alignment vertical="center"/>
    </xf>
    <xf numFmtId="164" fontId="7" fillId="2" borderId="33" xfId="0" applyNumberFormat="1" applyFont="1" applyFill="1" applyBorder="1"/>
    <xf numFmtId="164" fontId="39" fillId="2" borderId="26" xfId="0" applyNumberFormat="1" applyFont="1" applyFill="1" applyBorder="1"/>
    <xf numFmtId="164" fontId="38" fillId="2" borderId="0" xfId="0" applyNumberFormat="1" applyFont="1" applyFill="1" applyBorder="1" applyAlignment="1">
      <alignment vertical="center"/>
    </xf>
    <xf numFmtId="165" fontId="33" fillId="2" borderId="0" xfId="0" applyNumberFormat="1" applyFont="1" applyFill="1" applyBorder="1" applyAlignment="1" applyProtection="1">
      <alignment horizontal="right" vertical="center"/>
    </xf>
    <xf numFmtId="164" fontId="39" fillId="2" borderId="0" xfId="0" applyNumberFormat="1" applyFont="1" applyFill="1" applyBorder="1" applyAlignment="1">
      <alignment vertical="center"/>
    </xf>
    <xf numFmtId="164" fontId="39" fillId="2" borderId="20" xfId="0" applyNumberFormat="1" applyFont="1" applyFill="1" applyBorder="1" applyAlignment="1">
      <alignment vertical="center"/>
    </xf>
    <xf numFmtId="165" fontId="4" fillId="2" borderId="1" xfId="0" applyNumberFormat="1" applyFont="1" applyFill="1" applyBorder="1" applyAlignment="1" applyProtection="1">
      <alignment horizontal="right" vertical="center"/>
    </xf>
    <xf numFmtId="165" fontId="4" fillId="2" borderId="20" xfId="0" applyNumberFormat="1" applyFont="1" applyFill="1" applyBorder="1" applyAlignment="1" applyProtection="1">
      <alignment horizontal="right" vertical="center"/>
    </xf>
    <xf numFmtId="3" fontId="4" fillId="2" borderId="1" xfId="0" applyNumberFormat="1" applyFont="1" applyFill="1" applyBorder="1" applyAlignment="1" applyProtection="1">
      <alignment horizontal="right" vertical="center"/>
    </xf>
    <xf numFmtId="164" fontId="13" fillId="2" borderId="0" xfId="0" applyNumberFormat="1" applyFont="1" applyFill="1" applyAlignment="1">
      <alignment horizontal="center"/>
    </xf>
    <xf numFmtId="164" fontId="14" fillId="2" borderId="0" xfId="0" applyNumberFormat="1" applyFont="1" applyFill="1" applyBorder="1" applyAlignment="1" applyProtection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166" fontId="3" fillId="3" borderId="7" xfId="1" applyNumberFormat="1" applyFont="1" applyFill="1" applyBorder="1" applyAlignment="1">
      <alignment horizontal="center" vertical="center" wrapText="1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32" fillId="2" borderId="20" xfId="0" applyNumberFormat="1" applyFont="1" applyFill="1" applyBorder="1" applyAlignment="1">
      <alignment horizontal="center" vertical="center"/>
    </xf>
    <xf numFmtId="164" fontId="14" fillId="2" borderId="21" xfId="0" applyNumberFormat="1" applyFont="1" applyFill="1" applyBorder="1" applyAlignment="1" applyProtection="1">
      <alignment horizontal="center" vertical="center"/>
    </xf>
    <xf numFmtId="164" fontId="14" fillId="2" borderId="3" xfId="0" applyNumberFormat="1" applyFont="1" applyFill="1" applyBorder="1" applyAlignment="1" applyProtection="1">
      <alignment horizontal="center" vertical="center"/>
    </xf>
    <xf numFmtId="164" fontId="14" fillId="2" borderId="22" xfId="0" applyNumberFormat="1" applyFont="1" applyFill="1" applyBorder="1" applyAlignment="1" applyProtection="1">
      <alignment horizontal="center" vertical="center"/>
    </xf>
  </cellXfs>
  <cellStyles count="51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Hyperlink" xfId="50" builtinId="8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848576"/>
        <c:axId val="99850112"/>
      </c:barChart>
      <c:catAx>
        <c:axId val="9984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850112"/>
        <c:crosses val="autoZero"/>
        <c:auto val="1"/>
        <c:lblAlgn val="ctr"/>
        <c:lblOffset val="100"/>
        <c:noMultiLvlLbl val="0"/>
      </c:catAx>
      <c:valAx>
        <c:axId val="998501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99848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859456"/>
        <c:axId val="100217600"/>
      </c:barChart>
      <c:catAx>
        <c:axId val="99859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217600"/>
        <c:crosses val="autoZero"/>
        <c:auto val="1"/>
        <c:lblAlgn val="ctr"/>
        <c:lblOffset val="100"/>
        <c:noMultiLvlLbl val="0"/>
      </c:catAx>
      <c:valAx>
        <c:axId val="100217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859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235904"/>
        <c:axId val="100237696"/>
      </c:barChart>
      <c:catAx>
        <c:axId val="10023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237696"/>
        <c:crosses val="autoZero"/>
        <c:auto val="1"/>
        <c:lblAlgn val="ctr"/>
        <c:lblOffset val="100"/>
        <c:noMultiLvlLbl val="0"/>
      </c:catAx>
      <c:valAx>
        <c:axId val="1002376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235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346112"/>
        <c:axId val="100356096"/>
      </c:barChart>
      <c:catAx>
        <c:axId val="100346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356096"/>
        <c:crosses val="autoZero"/>
        <c:auto val="1"/>
        <c:lblAlgn val="ctr"/>
        <c:lblOffset val="100"/>
        <c:noMultiLvlLbl val="0"/>
      </c:catAx>
      <c:valAx>
        <c:axId val="1003560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346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397056"/>
        <c:axId val="100398592"/>
      </c:barChart>
      <c:catAx>
        <c:axId val="10039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00398592"/>
        <c:crosses val="autoZero"/>
        <c:auto val="1"/>
        <c:lblAlgn val="ctr"/>
        <c:lblOffset val="100"/>
        <c:noMultiLvlLbl val="0"/>
      </c:catAx>
      <c:valAx>
        <c:axId val="1003985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00397056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309248"/>
        <c:axId val="100311040"/>
      </c:barChart>
      <c:catAx>
        <c:axId val="100309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00311040"/>
        <c:crosses val="autoZero"/>
        <c:auto val="1"/>
        <c:lblAlgn val="ctr"/>
        <c:lblOffset val="100"/>
        <c:noMultiLvlLbl val="0"/>
      </c:catAx>
      <c:valAx>
        <c:axId val="1003110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003092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943552"/>
        <c:axId val="99945088"/>
      </c:barChart>
      <c:catAx>
        <c:axId val="99943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99945088"/>
        <c:crosses val="autoZero"/>
        <c:auto val="1"/>
        <c:lblAlgn val="ctr"/>
        <c:lblOffset val="100"/>
        <c:noMultiLvlLbl val="0"/>
      </c:catAx>
      <c:valAx>
        <c:axId val="999450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9994355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270110712081667E-2"/>
          <c:y val="0.13228473075463884"/>
          <c:w val="0.87949545780462135"/>
          <c:h val="0.7652321959755030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'8.18'!$A$5</c:f>
              <c:strCache>
                <c:ptCount val="1"/>
                <c:pt idx="0">
                  <c:v>Drug court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'8.18'!$M$3:$P$3</c:f>
              <c:numCache>
                <c:formatCode>General_)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f>'8.18'!$M$5:$P$5</c:f>
              <c:numCache>
                <c:formatCode>#,##0</c:formatCode>
                <c:ptCount val="4"/>
                <c:pt idx="0">
                  <c:v>465</c:v>
                </c:pt>
                <c:pt idx="1">
                  <c:v>677</c:v>
                </c:pt>
                <c:pt idx="2">
                  <c:v>1271</c:v>
                </c:pt>
                <c:pt idx="3">
                  <c:v>1302</c:v>
                </c:pt>
              </c:numCache>
            </c:numRef>
          </c:val>
        </c:ser>
        <c:ser>
          <c:idx val="0"/>
          <c:order val="1"/>
          <c:tx>
            <c:strRef>
              <c:f>'8.18'!$A$6</c:f>
              <c:strCache>
                <c:ptCount val="1"/>
                <c:pt idx="0">
                  <c:v>Juvenile court</c:v>
                </c:pt>
              </c:strCache>
            </c:strRef>
          </c:tx>
          <c:spPr>
            <a:solidFill>
              <a:srgbClr val="542804"/>
            </a:solidFill>
          </c:spPr>
          <c:invertIfNegative val="0"/>
          <c:cat>
            <c:numRef>
              <c:f>'8.18'!$M$3:$P$3</c:f>
              <c:numCache>
                <c:formatCode>General_)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f>'8.18'!$M$6:$P$6</c:f>
              <c:numCache>
                <c:formatCode>#,##0</c:formatCode>
                <c:ptCount val="4"/>
                <c:pt idx="0">
                  <c:v>122</c:v>
                </c:pt>
                <c:pt idx="1">
                  <c:v>81</c:v>
                </c:pt>
                <c:pt idx="2">
                  <c:v>26</c:v>
                </c:pt>
                <c:pt idx="3">
                  <c:v>31</c:v>
                </c:pt>
              </c:numCache>
            </c:numRef>
          </c:val>
        </c:ser>
        <c:ser>
          <c:idx val="2"/>
          <c:order val="2"/>
          <c:tx>
            <c:strRef>
              <c:f>'8.18'!$A$7</c:f>
              <c:strCache>
                <c:ptCount val="1"/>
                <c:pt idx="0">
                  <c:v>Family court</c:v>
                </c:pt>
              </c:strCache>
            </c:strRef>
          </c:tx>
          <c:spPr>
            <a:solidFill>
              <a:srgbClr val="F27A16"/>
            </a:solidFill>
          </c:spPr>
          <c:invertIfNegative val="0"/>
          <c:cat>
            <c:numRef>
              <c:f>'8.18'!$M$3:$P$3</c:f>
              <c:numCache>
                <c:formatCode>General_)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f>'8.18'!$M$7:$P$7</c:f>
              <c:numCache>
                <c:formatCode>#,##0</c:formatCode>
                <c:ptCount val="4"/>
                <c:pt idx="0">
                  <c:v>2590</c:v>
                </c:pt>
                <c:pt idx="1">
                  <c:v>2616</c:v>
                </c:pt>
                <c:pt idx="2">
                  <c:v>2553</c:v>
                </c:pt>
                <c:pt idx="3">
                  <c:v>2562</c:v>
                </c:pt>
              </c:numCache>
            </c:numRef>
          </c:val>
        </c:ser>
        <c:ser>
          <c:idx val="3"/>
          <c:order val="3"/>
          <c:tx>
            <c:strRef>
              <c:f>'8.18'!$A$8</c:f>
              <c:strCache>
                <c:ptCount val="1"/>
                <c:pt idx="0">
                  <c:v>Criminal court</c:v>
                </c:pt>
              </c:strCache>
            </c:strRef>
          </c:tx>
          <c:spPr>
            <a:solidFill>
              <a:srgbClr val="FABF8E"/>
            </a:solidFill>
          </c:spPr>
          <c:invertIfNegative val="0"/>
          <c:cat>
            <c:numRef>
              <c:f>'8.18'!$M$3:$P$3</c:f>
              <c:numCache>
                <c:formatCode>General_)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f>'8.18'!$M$8:$P$8</c:f>
              <c:numCache>
                <c:formatCode>#,##0</c:formatCode>
                <c:ptCount val="4"/>
                <c:pt idx="0">
                  <c:v>1669</c:v>
                </c:pt>
                <c:pt idx="1">
                  <c:v>1957</c:v>
                </c:pt>
                <c:pt idx="2">
                  <c:v>1069</c:v>
                </c:pt>
                <c:pt idx="3">
                  <c:v>860</c:v>
                </c:pt>
              </c:numCache>
            </c:numRef>
          </c:val>
        </c:ser>
        <c:ser>
          <c:idx val="4"/>
          <c:order val="4"/>
          <c:tx>
            <c:strRef>
              <c:f>'8.18'!$A$9</c:f>
              <c:strCache>
                <c:ptCount val="1"/>
                <c:pt idx="0">
                  <c:v>Civil court</c:v>
                </c:pt>
              </c:strCache>
            </c:strRef>
          </c:tx>
          <c:spPr>
            <a:solidFill>
              <a:srgbClr val="F79747"/>
            </a:solidFill>
          </c:spPr>
          <c:invertIfNegative val="0"/>
          <c:cat>
            <c:numRef>
              <c:f>'8.18'!$M$3:$P$3</c:f>
              <c:numCache>
                <c:formatCode>General_)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f>'8.18'!$M$9:$P$9</c:f>
              <c:numCache>
                <c:formatCode>#,##0</c:formatCode>
                <c:ptCount val="4"/>
                <c:pt idx="0">
                  <c:v>2154</c:v>
                </c:pt>
                <c:pt idx="1">
                  <c:v>3203</c:v>
                </c:pt>
                <c:pt idx="2">
                  <c:v>2283</c:v>
                </c:pt>
                <c:pt idx="3">
                  <c:v>3326</c:v>
                </c:pt>
              </c:numCache>
            </c:numRef>
          </c:val>
        </c:ser>
        <c:ser>
          <c:idx val="5"/>
          <c:order val="5"/>
          <c:tx>
            <c:strRef>
              <c:f>'8.18'!$A$10</c:f>
              <c:strCache>
                <c:ptCount val="1"/>
                <c:pt idx="0">
                  <c:v>Magistrate Courts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numRef>
              <c:f>'8.18'!$M$3:$P$3</c:f>
              <c:numCache>
                <c:formatCode>General_)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f>'8.18'!$M$10:$P$10</c:f>
              <c:numCache>
                <c:formatCode>#,##0</c:formatCode>
                <c:ptCount val="4"/>
                <c:pt idx="0">
                  <c:v>9654</c:v>
                </c:pt>
                <c:pt idx="1">
                  <c:v>11045</c:v>
                </c:pt>
                <c:pt idx="2">
                  <c:v>12170</c:v>
                </c:pt>
                <c:pt idx="3">
                  <c:v>12617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97659904"/>
        <c:axId val="97665792"/>
      </c:barChart>
      <c:catAx>
        <c:axId val="97659904"/>
        <c:scaling>
          <c:orientation val="minMax"/>
        </c:scaling>
        <c:delete val="0"/>
        <c:axPos val="b"/>
        <c:numFmt formatCode="General_)" sourceLinked="1"/>
        <c:majorTickMark val="none"/>
        <c:minorTickMark val="in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97665792"/>
        <c:crosses val="autoZero"/>
        <c:auto val="1"/>
        <c:lblAlgn val="ctr"/>
        <c:lblOffset val="100"/>
        <c:noMultiLvlLbl val="0"/>
      </c:catAx>
      <c:valAx>
        <c:axId val="97665792"/>
        <c:scaling>
          <c:orientation val="minMax"/>
          <c:max val="13000"/>
          <c:min val="100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97659904"/>
        <c:crossesAt val="1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8.6738789379372905E-2"/>
          <c:y val="0.1417197175107813"/>
          <c:w val="0.45335177295472628"/>
          <c:h val="0.10828915813618376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299047682969238"/>
          <c:y val="0.15293597431933173"/>
          <c:w val="0.40318325702800056"/>
          <c:h val="0.82604898578643893"/>
        </c:manualLayout>
      </c:layout>
      <c:doughnutChart>
        <c:varyColors val="1"/>
        <c:ser>
          <c:idx val="0"/>
          <c:order val="0"/>
          <c:explosion val="2"/>
          <c:dPt>
            <c:idx val="5"/>
            <c:bubble3D val="0"/>
            <c:spPr>
              <a:solidFill>
                <a:srgbClr val="953735"/>
              </a:solidFill>
            </c:spPr>
          </c:dPt>
          <c:dLbls>
            <c:dLbl>
              <c:idx val="0"/>
              <c:layout>
                <c:manualLayout>
                  <c:x val="9.7751695607069585E-3"/>
                  <c:y val="-2.803855632658957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7.2336254749231568E-2"/>
                  <c:y val="-9.613250851407005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5.5216623145354004E-3"/>
                  <c:y val="1.41495360233946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0.11120433013841793"/>
                  <c:y val="-5.253838822140934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0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-0.13098727211347325"/>
                  <c:y val="-6.4088128746490447E-2"/>
                </c:manualLayout>
              </c:layout>
              <c:numFmt formatCode="0.0%" sourceLinked="0"/>
              <c:spPr/>
              <c:txPr>
                <a:bodyPr/>
                <a:lstStyle/>
                <a:p>
                  <a:pPr>
                    <a:defRPr sz="90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numFmt formatCode="0.0%" sourceLinked="0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'8.18'!$A$12:$A$17</c:f>
              <c:strCache>
                <c:ptCount val="6"/>
                <c:pt idx="0">
                  <c:v>Drug court</c:v>
                </c:pt>
                <c:pt idx="1">
                  <c:v>Juvenile court</c:v>
                </c:pt>
                <c:pt idx="2">
                  <c:v>Family court</c:v>
                </c:pt>
                <c:pt idx="3">
                  <c:v>Criminal court</c:v>
                </c:pt>
                <c:pt idx="4">
                  <c:v>Civil court</c:v>
                </c:pt>
                <c:pt idx="5">
                  <c:v>Magistrate Courts</c:v>
                </c:pt>
              </c:strCache>
            </c:strRef>
          </c:cat>
          <c:val>
            <c:numRef>
              <c:f>'8.18'!$P$12:$P$17</c:f>
              <c:numCache>
                <c:formatCode>0.0</c:formatCode>
                <c:ptCount val="6"/>
                <c:pt idx="0" formatCode="#,##0.0">
                  <c:v>6.2904628466518506</c:v>
                </c:pt>
                <c:pt idx="1">
                  <c:v>0.14977292492028216</c:v>
                </c:pt>
                <c:pt idx="2">
                  <c:v>12.378007536960093</c:v>
                </c:pt>
                <c:pt idx="3">
                  <c:v>4.1549908203691182</c:v>
                </c:pt>
                <c:pt idx="4">
                  <c:v>16.069185428543818</c:v>
                </c:pt>
                <c:pt idx="5">
                  <c:v>60.957580442554836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25</xdr:row>
      <xdr:rowOff>152400</xdr:rowOff>
    </xdr:from>
    <xdr:to>
      <xdr:col>16</xdr:col>
      <xdr:colOff>1447800</xdr:colOff>
      <xdr:row>40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1038224</xdr:colOff>
      <xdr:row>26</xdr:row>
      <xdr:rowOff>19050</xdr:rowOff>
    </xdr:from>
    <xdr:to>
      <xdr:col>16</xdr:col>
      <xdr:colOff>1238249</xdr:colOff>
      <xdr:row>27</xdr:row>
      <xdr:rowOff>95249</xdr:rowOff>
    </xdr:to>
    <xdr:sp macro="" textlink="">
      <xdr:nvSpPr>
        <xdr:cNvPr id="3" name="TextBox 2"/>
        <xdr:cNvSpPr txBox="1"/>
      </xdr:nvSpPr>
      <xdr:spPr>
        <a:xfrm>
          <a:off x="1038224" y="5553075"/>
          <a:ext cx="5915025" cy="2666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8.21: Number of cases dealt by judicial court in Male', 2013 - 2016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1076325</xdr:colOff>
      <xdr:row>27</xdr:row>
      <xdr:rowOff>47625</xdr:rowOff>
    </xdr:from>
    <xdr:to>
      <xdr:col>16</xdr:col>
      <xdr:colOff>1143000</xdr:colOff>
      <xdr:row>27</xdr:row>
      <xdr:rowOff>57150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076325" y="5772150"/>
          <a:ext cx="5781675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422671</xdr:colOff>
      <xdr:row>41</xdr:row>
      <xdr:rowOff>117870</xdr:rowOff>
    </xdr:from>
    <xdr:to>
      <xdr:col>16</xdr:col>
      <xdr:colOff>1440656</xdr:colOff>
      <xdr:row>56</xdr:row>
      <xdr:rowOff>175020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1440656</xdr:colOff>
      <xdr:row>42</xdr:row>
      <xdr:rowOff>29765</xdr:rowOff>
    </xdr:from>
    <xdr:to>
      <xdr:col>16</xdr:col>
      <xdr:colOff>708422</xdr:colOff>
      <xdr:row>43</xdr:row>
      <xdr:rowOff>89296</xdr:rowOff>
    </xdr:to>
    <xdr:sp macro="" textlink="">
      <xdr:nvSpPr>
        <xdr:cNvPr id="6" name="TextBox 5"/>
        <xdr:cNvSpPr txBox="1"/>
      </xdr:nvSpPr>
      <xdr:spPr>
        <a:xfrm>
          <a:off x="1440656" y="8632031"/>
          <a:ext cx="4982766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Figure 8.22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Percentage of cases dealt by judicial courts in Male' and islands, 2016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1470422</xdr:colOff>
      <xdr:row>43</xdr:row>
      <xdr:rowOff>83342</xdr:rowOff>
    </xdr:from>
    <xdr:to>
      <xdr:col>16</xdr:col>
      <xdr:colOff>601265</xdr:colOff>
      <xdr:row>43</xdr:row>
      <xdr:rowOff>86913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1470422" y="8876108"/>
          <a:ext cx="4845843" cy="3571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Shahuda%20to%20check/8.%20LAW%20AND%20ORD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T4/Dissemination/Publications/Statistical%20%20Year%20Book/YEARBOOK%202016/BLANK%20TABLES/8.%20LAW%20&amp;%20OR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56.124831060326819</v>
          </cell>
          <cell r="AF241">
            <v>82.533536163739456</v>
          </cell>
          <cell r="AG241">
            <v>84.711570523507845</v>
          </cell>
        </row>
        <row r="242">
          <cell r="AD242" t="str">
            <v xml:space="preserve">Male' </v>
          </cell>
          <cell r="AE242">
            <v>47.87324542747767</v>
          </cell>
          <cell r="AF242">
            <v>84.1784495368113</v>
          </cell>
          <cell r="AG242">
            <v>82.636469221835071</v>
          </cell>
        </row>
        <row r="243">
          <cell r="AD243" t="str">
            <v xml:space="preserve">Atoll </v>
          </cell>
          <cell r="AE243">
            <v>67.413441955193491</v>
          </cell>
          <cell r="AF243">
            <v>80.377117289868977</v>
          </cell>
          <cell r="AG243">
            <v>85.547240411599617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3571</v>
          </cell>
          <cell r="AF247">
            <v>1263</v>
          </cell>
          <cell r="AG247">
            <v>1834</v>
          </cell>
        </row>
        <row r="248">
          <cell r="AD248" t="str">
            <v xml:space="preserve">Male' </v>
          </cell>
          <cell r="AE248">
            <v>2451</v>
          </cell>
          <cell r="AF248">
            <v>649</v>
          </cell>
          <cell r="AG248">
            <v>598</v>
          </cell>
        </row>
        <row r="249">
          <cell r="AD249" t="str">
            <v xml:space="preserve">Atoll </v>
          </cell>
          <cell r="AE249">
            <v>1120</v>
          </cell>
          <cell r="AF249">
            <v>614</v>
          </cell>
          <cell r="AG249">
            <v>1236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4568</v>
          </cell>
          <cell r="AF255">
            <v>5968</v>
          </cell>
          <cell r="AG255">
            <v>10162</v>
          </cell>
        </row>
        <row r="256">
          <cell r="AD256" t="str">
            <v xml:space="preserve">Male' </v>
          </cell>
          <cell r="AE256">
            <v>2251</v>
          </cell>
          <cell r="AF256">
            <v>3453</v>
          </cell>
          <cell r="AG256">
            <v>2846</v>
          </cell>
        </row>
        <row r="257">
          <cell r="AD257" t="str">
            <v xml:space="preserve">Atoll </v>
          </cell>
          <cell r="AE257">
            <v>2317</v>
          </cell>
          <cell r="AF257">
            <v>2515</v>
          </cell>
          <cell r="AG257">
            <v>7316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7178</v>
          </cell>
          <cell r="AF261">
            <v>3528</v>
          </cell>
          <cell r="AG261">
            <v>3650</v>
          </cell>
        </row>
        <row r="262">
          <cell r="AD262" t="str">
            <v>new cases filed</v>
          </cell>
          <cell r="AE262">
            <v>20188</v>
          </cell>
          <cell r="AF262">
            <v>8720</v>
          </cell>
          <cell r="AG262">
            <v>11468</v>
          </cell>
        </row>
        <row r="263">
          <cell r="AD263" t="str">
            <v>concluded</v>
          </cell>
          <cell r="AE263">
            <v>20698</v>
          </cell>
          <cell r="AF263">
            <v>8550</v>
          </cell>
          <cell r="AG263">
            <v>12148</v>
          </cell>
        </row>
        <row r="264">
          <cell r="AD264" t="str">
            <v>ending balance</v>
          </cell>
          <cell r="AE264">
            <v>6668</v>
          </cell>
          <cell r="AF264">
            <v>3698</v>
          </cell>
          <cell r="AG264">
            <v>2970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468</v>
          </cell>
          <cell r="AF271">
            <v>234</v>
          </cell>
        </row>
        <row r="272">
          <cell r="AD272" t="str">
            <v>HDh</v>
          </cell>
          <cell r="AE272">
            <v>676</v>
          </cell>
          <cell r="AF272">
            <v>514</v>
          </cell>
        </row>
        <row r="273">
          <cell r="AD273" t="str">
            <v>Sh</v>
          </cell>
          <cell r="AE273">
            <v>353</v>
          </cell>
          <cell r="AF273">
            <v>110</v>
          </cell>
        </row>
        <row r="274">
          <cell r="AD274" t="str">
            <v>N</v>
          </cell>
          <cell r="AE274">
            <v>594</v>
          </cell>
          <cell r="AF274">
            <v>280</v>
          </cell>
        </row>
        <row r="275">
          <cell r="AD275" t="str">
            <v>R</v>
          </cell>
          <cell r="AE275">
            <v>646</v>
          </cell>
          <cell r="AF275">
            <v>199</v>
          </cell>
        </row>
        <row r="276">
          <cell r="AD276" t="str">
            <v>B</v>
          </cell>
          <cell r="AE276">
            <v>338</v>
          </cell>
          <cell r="AF276">
            <v>65</v>
          </cell>
        </row>
        <row r="277">
          <cell r="AD277" t="str">
            <v>Lh</v>
          </cell>
          <cell r="AE277">
            <v>536</v>
          </cell>
          <cell r="AF277">
            <v>209</v>
          </cell>
        </row>
        <row r="278">
          <cell r="AD278" t="str">
            <v>K</v>
          </cell>
          <cell r="AE278">
            <v>571</v>
          </cell>
          <cell r="AF278">
            <v>173</v>
          </cell>
        </row>
        <row r="279">
          <cell r="AD279" t="str">
            <v>AA</v>
          </cell>
          <cell r="AE279">
            <v>375</v>
          </cell>
          <cell r="AF279">
            <v>65</v>
          </cell>
        </row>
        <row r="280">
          <cell r="AD280" t="str">
            <v>ADh</v>
          </cell>
          <cell r="AE280">
            <v>456</v>
          </cell>
          <cell r="AF280">
            <v>127</v>
          </cell>
        </row>
        <row r="281">
          <cell r="AD281" t="str">
            <v>V</v>
          </cell>
          <cell r="AE281">
            <v>67</v>
          </cell>
          <cell r="AF281">
            <v>13</v>
          </cell>
        </row>
        <row r="282">
          <cell r="AD282" t="str">
            <v>M</v>
          </cell>
          <cell r="AE282">
            <v>206</v>
          </cell>
          <cell r="AF282">
            <v>46</v>
          </cell>
        </row>
        <row r="283">
          <cell r="AD283" t="str">
            <v>F</v>
          </cell>
          <cell r="AE283">
            <v>173</v>
          </cell>
          <cell r="AF283">
            <v>63</v>
          </cell>
        </row>
        <row r="284">
          <cell r="AD284" t="str">
            <v>Dh</v>
          </cell>
          <cell r="AE284">
            <v>180</v>
          </cell>
          <cell r="AF284">
            <v>56</v>
          </cell>
        </row>
        <row r="285">
          <cell r="AD285" t="str">
            <v>Th</v>
          </cell>
          <cell r="AE285">
            <v>440</v>
          </cell>
          <cell r="AF285">
            <v>220</v>
          </cell>
        </row>
        <row r="286">
          <cell r="AD286" t="str">
            <v>L</v>
          </cell>
          <cell r="AE286">
            <v>1218</v>
          </cell>
          <cell r="AF286">
            <v>230</v>
          </cell>
        </row>
        <row r="287">
          <cell r="AD287" t="str">
            <v>GA</v>
          </cell>
          <cell r="AE287">
            <v>846</v>
          </cell>
          <cell r="AF287">
            <v>252</v>
          </cell>
        </row>
        <row r="288">
          <cell r="AD288" t="str">
            <v>GDh</v>
          </cell>
          <cell r="AE288">
            <v>883</v>
          </cell>
          <cell r="AF288">
            <v>168</v>
          </cell>
        </row>
        <row r="289">
          <cell r="AD289" t="str">
            <v>Gn</v>
          </cell>
          <cell r="AE289">
            <v>806</v>
          </cell>
          <cell r="AF289">
            <v>334</v>
          </cell>
        </row>
        <row r="290">
          <cell r="AD290" t="str">
            <v>S</v>
          </cell>
          <cell r="AE290">
            <v>1497</v>
          </cell>
          <cell r="AF290">
            <v>292</v>
          </cell>
        </row>
        <row r="295">
          <cell r="AE295" t="str">
            <v>HA</v>
          </cell>
          <cell r="AF295">
            <v>66.666666666666657</v>
          </cell>
        </row>
        <row r="296">
          <cell r="AE296" t="str">
            <v>HDh</v>
          </cell>
          <cell r="AF296">
            <v>56.806722689075627</v>
          </cell>
        </row>
        <row r="297">
          <cell r="AE297" t="str">
            <v>Sh</v>
          </cell>
          <cell r="AF297">
            <v>76.241900647948171</v>
          </cell>
        </row>
        <row r="298">
          <cell r="AE298" t="str">
            <v>N</v>
          </cell>
          <cell r="AF298">
            <v>67.963386727688786</v>
          </cell>
        </row>
        <row r="299">
          <cell r="AE299" t="str">
            <v>R</v>
          </cell>
          <cell r="AF299">
            <v>76.449704142011825</v>
          </cell>
        </row>
        <row r="300">
          <cell r="AE300" t="str">
            <v>B</v>
          </cell>
          <cell r="AF300">
            <v>83.870967741935488</v>
          </cell>
        </row>
        <row r="301">
          <cell r="AE301" t="str">
            <v>Lh</v>
          </cell>
          <cell r="AF301">
            <v>71.946308724832221</v>
          </cell>
        </row>
        <row r="302">
          <cell r="AE302" t="str">
            <v>K</v>
          </cell>
          <cell r="AF302">
            <v>76.747311827956992</v>
          </cell>
        </row>
        <row r="303">
          <cell r="AE303" t="str">
            <v>AA</v>
          </cell>
          <cell r="AF303">
            <v>85.227272727272734</v>
          </cell>
        </row>
        <row r="304">
          <cell r="AE304" t="str">
            <v>ADh</v>
          </cell>
          <cell r="AF304">
            <v>78.21612349914237</v>
          </cell>
        </row>
        <row r="305">
          <cell r="AE305" t="str">
            <v>V</v>
          </cell>
          <cell r="AF305">
            <v>83.75</v>
          </cell>
        </row>
        <row r="306">
          <cell r="AE306" t="str">
            <v>M</v>
          </cell>
          <cell r="AF306">
            <v>81.746031746031747</v>
          </cell>
        </row>
        <row r="307">
          <cell r="AE307" t="str">
            <v>F</v>
          </cell>
          <cell r="AF307">
            <v>73.305084745762713</v>
          </cell>
        </row>
        <row r="308">
          <cell r="AE308" t="str">
            <v>Dh</v>
          </cell>
          <cell r="AF308">
            <v>76.271186440677965</v>
          </cell>
        </row>
        <row r="309">
          <cell r="AE309" t="str">
            <v>Th</v>
          </cell>
          <cell r="AF309">
            <v>66.666666666666657</v>
          </cell>
        </row>
        <row r="310">
          <cell r="AE310" t="str">
            <v>L</v>
          </cell>
          <cell r="AF310">
            <v>84.11602209944752</v>
          </cell>
        </row>
        <row r="311">
          <cell r="AE311" t="str">
            <v>GA</v>
          </cell>
          <cell r="AF311">
            <v>77.049180327868854</v>
          </cell>
        </row>
        <row r="312">
          <cell r="AE312" t="str">
            <v>GDh</v>
          </cell>
          <cell r="AF312">
            <v>84.0152235965747</v>
          </cell>
        </row>
        <row r="313">
          <cell r="AE313" t="str">
            <v>Gn</v>
          </cell>
          <cell r="AF313">
            <v>70.701754385964904</v>
          </cell>
        </row>
        <row r="314">
          <cell r="AE314" t="str">
            <v>S</v>
          </cell>
          <cell r="AF314">
            <v>83.678032420346554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42"/>
      <sheetName val="Sheet3"/>
      <sheetName val="8.43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91">
          <cell r="S91" t="str">
            <v>Number  of majistrates</v>
          </cell>
          <cell r="T91" t="str">
            <v>Number of islands with majistrate courts</v>
          </cell>
        </row>
        <row r="92">
          <cell r="R92" t="str">
            <v>HA</v>
          </cell>
          <cell r="S92">
            <v>10</v>
          </cell>
          <cell r="T92">
            <v>14</v>
          </cell>
        </row>
        <row r="93">
          <cell r="R93" t="str">
            <v>HDh</v>
          </cell>
          <cell r="S93">
            <v>8</v>
          </cell>
          <cell r="T93">
            <v>13</v>
          </cell>
        </row>
        <row r="94">
          <cell r="R94" t="str">
            <v>Sh</v>
          </cell>
          <cell r="S94">
            <v>4</v>
          </cell>
          <cell r="T94">
            <v>13</v>
          </cell>
        </row>
        <row r="95">
          <cell r="R95" t="str">
            <v>N</v>
          </cell>
          <cell r="S95">
            <v>7</v>
          </cell>
          <cell r="T95">
            <v>13</v>
          </cell>
        </row>
        <row r="96">
          <cell r="R96" t="str">
            <v>R</v>
          </cell>
          <cell r="S96">
            <v>12</v>
          </cell>
          <cell r="T96">
            <v>15</v>
          </cell>
        </row>
        <row r="97">
          <cell r="R97" t="str">
            <v>B</v>
          </cell>
          <cell r="S97">
            <v>8</v>
          </cell>
          <cell r="T97">
            <v>13</v>
          </cell>
        </row>
        <row r="98">
          <cell r="R98" t="str">
            <v>Lh</v>
          </cell>
          <cell r="S98">
            <v>2</v>
          </cell>
          <cell r="T98">
            <v>4</v>
          </cell>
        </row>
        <row r="99">
          <cell r="R99" t="str">
            <v>K</v>
          </cell>
          <cell r="S99">
            <v>8</v>
          </cell>
          <cell r="T99">
            <v>9</v>
          </cell>
        </row>
        <row r="100">
          <cell r="R100" t="str">
            <v>AA</v>
          </cell>
          <cell r="S100">
            <v>4</v>
          </cell>
          <cell r="T100">
            <v>8</v>
          </cell>
        </row>
        <row r="101">
          <cell r="R101" t="str">
            <v>ADh</v>
          </cell>
          <cell r="S101">
            <v>5</v>
          </cell>
          <cell r="T101">
            <v>10</v>
          </cell>
        </row>
        <row r="102">
          <cell r="R102" t="str">
            <v>V</v>
          </cell>
          <cell r="S102">
            <v>2</v>
          </cell>
          <cell r="T102">
            <v>5</v>
          </cell>
        </row>
        <row r="103">
          <cell r="R103" t="str">
            <v>M</v>
          </cell>
          <cell r="S103">
            <v>5</v>
          </cell>
          <cell r="T103">
            <v>8</v>
          </cell>
        </row>
        <row r="104">
          <cell r="R104" t="str">
            <v>F</v>
          </cell>
          <cell r="S104">
            <v>3</v>
          </cell>
          <cell r="T104">
            <v>5</v>
          </cell>
        </row>
        <row r="105">
          <cell r="R105" t="str">
            <v>Dh</v>
          </cell>
          <cell r="S105">
            <v>4</v>
          </cell>
          <cell r="T105">
            <v>6</v>
          </cell>
        </row>
        <row r="106">
          <cell r="R106" t="str">
            <v>Th</v>
          </cell>
          <cell r="S106">
            <v>7</v>
          </cell>
          <cell r="T106">
            <v>13</v>
          </cell>
        </row>
        <row r="107">
          <cell r="R107" t="str">
            <v>L</v>
          </cell>
          <cell r="S107">
            <v>11</v>
          </cell>
          <cell r="T107">
            <v>11</v>
          </cell>
        </row>
        <row r="108">
          <cell r="R108" t="str">
            <v>GA</v>
          </cell>
          <cell r="S108">
            <v>8</v>
          </cell>
          <cell r="T108">
            <v>9</v>
          </cell>
        </row>
        <row r="109">
          <cell r="R109" t="str">
            <v>GDh</v>
          </cell>
          <cell r="S109">
            <v>8</v>
          </cell>
          <cell r="T109">
            <v>9</v>
          </cell>
        </row>
        <row r="110">
          <cell r="R110" t="str">
            <v>Gn</v>
          </cell>
          <cell r="S110">
            <v>1</v>
          </cell>
          <cell r="T110">
            <v>1</v>
          </cell>
        </row>
        <row r="111">
          <cell r="R111" t="str">
            <v>S</v>
          </cell>
          <cell r="S111">
            <v>8</v>
          </cell>
          <cell r="T111">
            <v>6</v>
          </cell>
        </row>
        <row r="129">
          <cell r="Q129" t="str">
            <v>Atolls</v>
          </cell>
          <cell r="S129">
            <v>70.224719101123597</v>
          </cell>
        </row>
        <row r="130">
          <cell r="Q130" t="str">
            <v>Male'</v>
          </cell>
          <cell r="S130">
            <v>29.775280898876407</v>
          </cell>
        </row>
      </sheetData>
      <sheetData sheetId="28"/>
      <sheetData sheetId="29"/>
      <sheetData sheetId="30">
        <row r="5">
          <cell r="B5">
            <v>2010</v>
          </cell>
        </row>
      </sheetData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  <sheetData sheetId="37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...."/>
      <sheetName val="8.32"/>
      <sheetName val="8.33-revised "/>
      <sheetName val="8.34"/>
      <sheetName val="3.35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1">
          <cell r="Q91" t="str">
            <v>Number  of majistrates</v>
          </cell>
        </row>
      </sheetData>
      <sheetData sheetId="27"/>
      <sheetData sheetId="28">
        <row r="4">
          <cell r="I4" t="str">
            <v xml:space="preserve">Male </v>
          </cell>
          <cell r="J4" t="str">
            <v>Female</v>
          </cell>
        </row>
        <row r="8">
          <cell r="A8" t="str">
            <v>Certificate 3</v>
          </cell>
          <cell r="I8">
            <v>90</v>
          </cell>
          <cell r="J8">
            <v>0</v>
          </cell>
        </row>
        <row r="9">
          <cell r="A9" t="str">
            <v>Advanced Certificate</v>
          </cell>
          <cell r="I9">
            <v>71</v>
          </cell>
          <cell r="J9">
            <v>1</v>
          </cell>
        </row>
        <row r="10">
          <cell r="A10" t="str">
            <v>Gaanoonee vakeelukamuge sanadhu</v>
          </cell>
          <cell r="I10">
            <v>7</v>
          </cell>
          <cell r="J10">
            <v>0</v>
          </cell>
        </row>
        <row r="11">
          <cell r="A11" t="str">
            <v>Diploma</v>
          </cell>
          <cell r="I11">
            <v>25</v>
          </cell>
          <cell r="J11">
            <v>18</v>
          </cell>
        </row>
        <row r="12">
          <cell r="A12" t="str">
            <v>Advanced Diploma</v>
          </cell>
          <cell r="I12">
            <v>31</v>
          </cell>
          <cell r="J12">
            <v>37</v>
          </cell>
        </row>
        <row r="13">
          <cell r="A13" t="str">
            <v>Bachelors degree</v>
          </cell>
          <cell r="I13">
            <v>273</v>
          </cell>
          <cell r="J13">
            <v>219</v>
          </cell>
        </row>
        <row r="14">
          <cell r="A14" t="str">
            <v xml:space="preserve">Masters degree </v>
          </cell>
          <cell r="I14">
            <v>9</v>
          </cell>
          <cell r="J14">
            <v>2</v>
          </cell>
        </row>
        <row r="15">
          <cell r="A15" t="str">
            <v>Doctoral degree</v>
          </cell>
          <cell r="I15">
            <v>1</v>
          </cell>
          <cell r="J15">
            <v>0</v>
          </cell>
        </row>
        <row r="16">
          <cell r="A16" t="str">
            <v>Other</v>
          </cell>
          <cell r="I16">
            <v>14</v>
          </cell>
          <cell r="J16">
            <v>0</v>
          </cell>
        </row>
      </sheetData>
      <sheetData sheetId="29">
        <row r="8">
          <cell r="L8" t="str">
            <v>Male'</v>
          </cell>
        </row>
      </sheetData>
      <sheetData sheetId="30"/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3" customWidth="1"/>
    <col min="2" max="2" width="19.85546875" style="2" customWidth="1"/>
    <col min="3" max="3" width="9.85546875" style="2" customWidth="1"/>
    <col min="4" max="4" width="16" style="2" customWidth="1"/>
    <col min="5" max="15" width="9.85546875" style="2" customWidth="1"/>
    <col min="16" max="30" width="10.42578125" style="2" customWidth="1"/>
    <col min="31" max="34" width="10" style="2" customWidth="1"/>
    <col min="35" max="35" width="10" style="4" customWidth="1"/>
    <col min="36" max="16384" width="12.28515625" style="2"/>
  </cols>
  <sheetData>
    <row r="1" spans="1:36" ht="21">
      <c r="A1" s="125" t="s">
        <v>49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</row>
    <row r="2" spans="1:36">
      <c r="A2" s="126" t="s">
        <v>42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</row>
    <row r="3" spans="1:36" ht="15" customHeight="1">
      <c r="A3" s="127"/>
      <c r="B3" s="127"/>
      <c r="C3" s="129" t="s">
        <v>38</v>
      </c>
      <c r="D3" s="129"/>
      <c r="E3" s="129"/>
      <c r="F3" s="129"/>
      <c r="G3" s="129"/>
      <c r="H3" s="30"/>
      <c r="I3" s="30"/>
      <c r="J3" s="130" t="s">
        <v>4</v>
      </c>
      <c r="K3" s="130"/>
      <c r="L3" s="130"/>
      <c r="M3" s="130"/>
      <c r="N3" s="130"/>
      <c r="O3" s="25"/>
      <c r="P3" s="130" t="s">
        <v>5</v>
      </c>
      <c r="Q3" s="130"/>
      <c r="R3" s="130"/>
      <c r="S3" s="130"/>
      <c r="T3" s="130"/>
      <c r="U3" s="7"/>
      <c r="V3" s="7"/>
      <c r="W3" s="7"/>
      <c r="X3" s="131" t="s">
        <v>6</v>
      </c>
      <c r="Y3" s="131"/>
      <c r="Z3" s="131"/>
      <c r="AA3" s="131"/>
      <c r="AB3" s="131"/>
      <c r="AC3" s="26"/>
      <c r="AD3" s="26"/>
      <c r="AE3" s="131" t="s">
        <v>7</v>
      </c>
      <c r="AF3" s="131"/>
      <c r="AG3" s="131"/>
      <c r="AH3" s="131"/>
      <c r="AI3" s="131"/>
    </row>
    <row r="4" spans="1:36" ht="25.5">
      <c r="A4" s="128"/>
      <c r="B4" s="128"/>
      <c r="C4" s="31" t="s">
        <v>8</v>
      </c>
      <c r="D4" s="31" t="s">
        <v>9</v>
      </c>
      <c r="E4" s="31" t="s">
        <v>3</v>
      </c>
      <c r="F4" s="32" t="s">
        <v>10</v>
      </c>
      <c r="G4" s="31" t="s">
        <v>11</v>
      </c>
      <c r="H4" s="31" t="s">
        <v>44</v>
      </c>
      <c r="I4" s="31" t="s">
        <v>50</v>
      </c>
      <c r="J4" s="14" t="s">
        <v>8</v>
      </c>
      <c r="K4" s="14" t="s">
        <v>9</v>
      </c>
      <c r="L4" s="14" t="s">
        <v>3</v>
      </c>
      <c r="M4" s="15" t="s">
        <v>10</v>
      </c>
      <c r="N4" s="14" t="s">
        <v>11</v>
      </c>
      <c r="O4" s="31" t="s">
        <v>44</v>
      </c>
      <c r="P4" s="14" t="s">
        <v>8</v>
      </c>
      <c r="Q4" s="14" t="s">
        <v>9</v>
      </c>
      <c r="R4" s="14" t="s">
        <v>3</v>
      </c>
      <c r="S4" s="15" t="s">
        <v>10</v>
      </c>
      <c r="T4" s="14" t="s">
        <v>11</v>
      </c>
      <c r="U4" s="31" t="s">
        <v>44</v>
      </c>
      <c r="V4" s="31"/>
      <c r="W4" s="31"/>
      <c r="X4" s="14" t="s">
        <v>8</v>
      </c>
      <c r="Y4" s="14" t="s">
        <v>9</v>
      </c>
      <c r="Z4" s="14" t="s">
        <v>3</v>
      </c>
      <c r="AA4" s="15" t="s">
        <v>10</v>
      </c>
      <c r="AB4" s="14" t="s">
        <v>11</v>
      </c>
      <c r="AC4" s="31" t="s">
        <v>44</v>
      </c>
      <c r="AD4" s="31"/>
      <c r="AE4" s="14" t="s">
        <v>8</v>
      </c>
      <c r="AF4" s="14" t="s">
        <v>9</v>
      </c>
      <c r="AG4" s="14" t="s">
        <v>3</v>
      </c>
      <c r="AH4" s="15" t="s">
        <v>10</v>
      </c>
      <c r="AI4" s="14" t="s">
        <v>11</v>
      </c>
      <c r="AJ4" s="31" t="s">
        <v>44</v>
      </c>
    </row>
    <row r="5" spans="1:36" ht="14.25" customHeight="1">
      <c r="A5" s="24"/>
      <c r="B5" s="28" t="s">
        <v>46</v>
      </c>
      <c r="C5" s="33">
        <f t="shared" ref="C5:G32" si="0">J5+P5</f>
        <v>3010</v>
      </c>
      <c r="D5" s="33">
        <f t="shared" si="0"/>
        <v>2381</v>
      </c>
      <c r="E5" s="33">
        <f t="shared" si="0"/>
        <v>5391</v>
      </c>
      <c r="F5" s="33">
        <f>M5+S5</f>
        <v>1774</v>
      </c>
      <c r="G5" s="33">
        <f t="shared" si="0"/>
        <v>3617</v>
      </c>
      <c r="H5" s="34">
        <f>F5/E5*100</f>
        <v>32.906696345761453</v>
      </c>
      <c r="I5" s="34">
        <f>G5/E5*100</f>
        <v>67.093303654238539</v>
      </c>
      <c r="J5" s="11">
        <v>2893</v>
      </c>
      <c r="K5" s="11">
        <v>2200</v>
      </c>
      <c r="L5" s="11">
        <v>5093</v>
      </c>
      <c r="M5" s="11">
        <v>1617</v>
      </c>
      <c r="N5" s="11">
        <v>3476</v>
      </c>
      <c r="O5" s="34">
        <f>M5/L5*100</f>
        <v>31.749460043196542</v>
      </c>
      <c r="P5" s="11">
        <v>117</v>
      </c>
      <c r="Q5" s="11">
        <v>181</v>
      </c>
      <c r="R5" s="11">
        <v>298</v>
      </c>
      <c r="S5" s="11">
        <v>157</v>
      </c>
      <c r="T5" s="11">
        <v>141</v>
      </c>
      <c r="U5" s="34">
        <f>S5/R5*100</f>
        <v>52.68456375838926</v>
      </c>
      <c r="V5" s="34"/>
      <c r="W5" s="28" t="s">
        <v>46</v>
      </c>
      <c r="X5" s="11">
        <v>3628</v>
      </c>
      <c r="Y5" s="11">
        <v>6873</v>
      </c>
      <c r="Z5" s="11">
        <v>10500</v>
      </c>
      <c r="AA5" s="11">
        <v>6554</v>
      </c>
      <c r="AB5" s="11">
        <v>3946</v>
      </c>
      <c r="AC5" s="34">
        <f>AA5/Z5*100</f>
        <v>62.419047619047618</v>
      </c>
      <c r="AD5" s="28" t="s">
        <v>46</v>
      </c>
      <c r="AE5" s="11">
        <v>890</v>
      </c>
      <c r="AF5" s="11">
        <v>6097</v>
      </c>
      <c r="AG5" s="11">
        <v>6987</v>
      </c>
      <c r="AH5" s="11">
        <v>5904</v>
      </c>
      <c r="AI5" s="11">
        <v>1083</v>
      </c>
      <c r="AJ5" s="34">
        <f>AH5/AG5*100</f>
        <v>84.499785315586081</v>
      </c>
    </row>
    <row r="6" spans="1:36" ht="14.25" customHeight="1">
      <c r="A6" s="24"/>
      <c r="B6" s="28" t="s">
        <v>47</v>
      </c>
      <c r="C6" s="33">
        <f t="shared" si="0"/>
        <v>2247</v>
      </c>
      <c r="D6" s="33">
        <f t="shared" si="0"/>
        <v>1246</v>
      </c>
      <c r="E6" s="33">
        <f t="shared" si="0"/>
        <v>3493</v>
      </c>
      <c r="F6" s="33">
        <f t="shared" si="0"/>
        <v>1084</v>
      </c>
      <c r="G6" s="33">
        <f t="shared" si="0"/>
        <v>2409</v>
      </c>
      <c r="H6" s="34">
        <f>F6/E6*100</f>
        <v>31.033495562553682</v>
      </c>
      <c r="I6" s="34">
        <f>G6/E6*100</f>
        <v>68.966504437446318</v>
      </c>
      <c r="J6" s="13">
        <v>2193</v>
      </c>
      <c r="K6" s="13">
        <v>1163</v>
      </c>
      <c r="L6" s="13">
        <v>3356</v>
      </c>
      <c r="M6" s="13">
        <v>990</v>
      </c>
      <c r="N6" s="13">
        <v>2366</v>
      </c>
      <c r="O6" s="34">
        <f>M6/L6*100</f>
        <v>29.499404052443385</v>
      </c>
      <c r="P6" s="13">
        <v>54</v>
      </c>
      <c r="Q6" s="13">
        <v>83</v>
      </c>
      <c r="R6" s="13">
        <v>137</v>
      </c>
      <c r="S6" s="13">
        <v>94</v>
      </c>
      <c r="T6" s="13">
        <v>43</v>
      </c>
      <c r="U6" s="34">
        <f>S6/R6*100</f>
        <v>68.613138686131393</v>
      </c>
      <c r="V6" s="34"/>
      <c r="W6" s="28" t="s">
        <v>47</v>
      </c>
      <c r="X6" s="13">
        <v>1847</v>
      </c>
      <c r="Y6" s="13">
        <v>2725</v>
      </c>
      <c r="Z6" s="13">
        <v>4571</v>
      </c>
      <c r="AA6" s="13">
        <v>2719</v>
      </c>
      <c r="AB6" s="13">
        <v>1852</v>
      </c>
      <c r="AC6" s="34">
        <f>AA6/Z6*100</f>
        <v>59.483701597024719</v>
      </c>
      <c r="AD6" s="28" t="s">
        <v>47</v>
      </c>
      <c r="AE6" s="13">
        <v>456</v>
      </c>
      <c r="AF6" s="13">
        <v>2367</v>
      </c>
      <c r="AG6" s="13">
        <v>2823</v>
      </c>
      <c r="AH6" s="13">
        <v>2296</v>
      </c>
      <c r="AI6" s="13">
        <v>527</v>
      </c>
      <c r="AJ6" s="34">
        <f>AH6/AG6*100</f>
        <v>81.331916400991858</v>
      </c>
    </row>
    <row r="7" spans="1:36" s="22" customFormat="1" ht="14.25" customHeight="1">
      <c r="A7" s="20"/>
      <c r="B7" s="28" t="s">
        <v>48</v>
      </c>
      <c r="C7" s="33">
        <f t="shared" si="0"/>
        <v>763</v>
      </c>
      <c r="D7" s="33">
        <f t="shared" si="0"/>
        <v>1135</v>
      </c>
      <c r="E7" s="33">
        <f t="shared" si="0"/>
        <v>1898</v>
      </c>
      <c r="F7" s="33">
        <f t="shared" si="0"/>
        <v>690</v>
      </c>
      <c r="G7" s="33">
        <f t="shared" si="0"/>
        <v>1208</v>
      </c>
      <c r="H7" s="34">
        <f>F7/E7*100</f>
        <v>36.354056902002107</v>
      </c>
      <c r="I7" s="34">
        <f>G7/E7*100</f>
        <v>63.645943097997893</v>
      </c>
      <c r="J7" s="13">
        <v>700</v>
      </c>
      <c r="K7" s="13">
        <v>1037</v>
      </c>
      <c r="L7" s="13">
        <v>1737</v>
      </c>
      <c r="M7" s="13">
        <v>627</v>
      </c>
      <c r="N7" s="13">
        <v>1110</v>
      </c>
      <c r="O7" s="34">
        <f>M7/L7*100</f>
        <v>36.096718480138165</v>
      </c>
      <c r="P7" s="13">
        <v>63</v>
      </c>
      <c r="Q7" s="13">
        <v>98</v>
      </c>
      <c r="R7" s="13">
        <v>161</v>
      </c>
      <c r="S7" s="13">
        <v>63</v>
      </c>
      <c r="T7" s="13">
        <v>98</v>
      </c>
      <c r="U7" s="34">
        <f>S7/R7*100</f>
        <v>39.130434782608695</v>
      </c>
      <c r="V7" s="34"/>
      <c r="W7" s="28" t="s">
        <v>48</v>
      </c>
      <c r="X7" s="13">
        <v>1781</v>
      </c>
      <c r="Y7" s="13">
        <v>4148</v>
      </c>
      <c r="Z7" s="13">
        <v>5929</v>
      </c>
      <c r="AA7" s="13">
        <v>3835</v>
      </c>
      <c r="AB7" s="13">
        <v>2094</v>
      </c>
      <c r="AC7" s="34">
        <f>AA7/Z7*100</f>
        <v>64.682071175577676</v>
      </c>
      <c r="AD7" s="28" t="s">
        <v>48</v>
      </c>
      <c r="AE7" s="13">
        <v>434</v>
      </c>
      <c r="AF7" s="13">
        <v>3730</v>
      </c>
      <c r="AG7" s="13">
        <v>4164</v>
      </c>
      <c r="AH7" s="13">
        <v>3608</v>
      </c>
      <c r="AI7" s="13">
        <v>556</v>
      </c>
      <c r="AJ7" s="34">
        <f>AH7/AG7*100</f>
        <v>86.647454370797306</v>
      </c>
    </row>
    <row r="8" spans="1:36" s="22" customFormat="1" ht="14.25" customHeight="1">
      <c r="A8" s="24" t="s">
        <v>18</v>
      </c>
      <c r="B8" s="8" t="s">
        <v>0</v>
      </c>
      <c r="C8" s="33">
        <f t="shared" si="0"/>
        <v>68</v>
      </c>
      <c r="D8" s="33">
        <f t="shared" si="0"/>
        <v>28</v>
      </c>
      <c r="E8" s="33">
        <f t="shared" si="0"/>
        <v>96</v>
      </c>
      <c r="F8" s="33">
        <f t="shared" si="0"/>
        <v>21</v>
      </c>
      <c r="G8" s="33">
        <f t="shared" si="0"/>
        <v>75</v>
      </c>
      <c r="H8" s="33"/>
      <c r="I8" s="33"/>
      <c r="J8" s="13">
        <v>61</v>
      </c>
      <c r="K8" s="13">
        <v>27</v>
      </c>
      <c r="L8" s="13">
        <v>88</v>
      </c>
      <c r="M8" s="13">
        <v>18</v>
      </c>
      <c r="N8" s="13">
        <v>70</v>
      </c>
      <c r="O8" s="13"/>
      <c r="P8" s="13">
        <v>7</v>
      </c>
      <c r="Q8" s="13">
        <v>1</v>
      </c>
      <c r="R8" s="13">
        <v>8</v>
      </c>
      <c r="S8" s="13">
        <v>3</v>
      </c>
      <c r="T8" s="13">
        <v>5</v>
      </c>
      <c r="U8" s="13"/>
      <c r="V8" s="13"/>
      <c r="W8" s="13"/>
      <c r="X8" s="13">
        <v>123</v>
      </c>
      <c r="Y8" s="13">
        <v>181</v>
      </c>
      <c r="Z8" s="13">
        <v>304</v>
      </c>
      <c r="AA8" s="13">
        <v>148</v>
      </c>
      <c r="AB8" s="13">
        <v>156</v>
      </c>
      <c r="AC8" s="13"/>
      <c r="AD8" s="13"/>
      <c r="AE8" s="13">
        <v>21</v>
      </c>
      <c r="AF8" s="13">
        <v>169</v>
      </c>
      <c r="AG8" s="13">
        <v>190</v>
      </c>
      <c r="AH8" s="13">
        <v>170</v>
      </c>
      <c r="AI8" s="13">
        <v>20</v>
      </c>
    </row>
    <row r="9" spans="1:36" s="22" customFormat="1" ht="14.25" customHeight="1">
      <c r="A9" s="24" t="s">
        <v>19</v>
      </c>
      <c r="B9" s="8" t="s">
        <v>0</v>
      </c>
      <c r="C9" s="33">
        <f t="shared" si="0"/>
        <v>81</v>
      </c>
      <c r="D9" s="33">
        <f t="shared" si="0"/>
        <v>73</v>
      </c>
      <c r="E9" s="33">
        <f t="shared" si="0"/>
        <v>154</v>
      </c>
      <c r="F9" s="33">
        <f t="shared" si="0"/>
        <v>41</v>
      </c>
      <c r="G9" s="33">
        <f t="shared" si="0"/>
        <v>113</v>
      </c>
      <c r="H9" s="33"/>
      <c r="I9" s="33"/>
      <c r="J9" s="13">
        <v>74</v>
      </c>
      <c r="K9" s="13">
        <v>69</v>
      </c>
      <c r="L9" s="13">
        <v>143</v>
      </c>
      <c r="M9" s="13">
        <v>34</v>
      </c>
      <c r="N9" s="13">
        <v>109</v>
      </c>
      <c r="O9" s="13"/>
      <c r="P9" s="13">
        <v>7</v>
      </c>
      <c r="Q9" s="13">
        <v>4</v>
      </c>
      <c r="R9" s="13">
        <v>11</v>
      </c>
      <c r="S9" s="13">
        <v>7</v>
      </c>
      <c r="T9" s="13">
        <v>4</v>
      </c>
      <c r="U9" s="13"/>
      <c r="V9" s="13"/>
      <c r="W9" s="13"/>
      <c r="X9" s="13">
        <v>93</v>
      </c>
      <c r="Y9" s="13">
        <v>178</v>
      </c>
      <c r="Z9" s="13">
        <v>271</v>
      </c>
      <c r="AA9" s="13">
        <v>104</v>
      </c>
      <c r="AB9" s="13">
        <v>167</v>
      </c>
      <c r="AC9" s="13"/>
      <c r="AD9" s="13"/>
      <c r="AE9" s="13">
        <v>34</v>
      </c>
      <c r="AF9" s="13">
        <v>233</v>
      </c>
      <c r="AG9" s="13">
        <v>267</v>
      </c>
      <c r="AH9" s="13">
        <v>222</v>
      </c>
      <c r="AI9" s="13">
        <v>45</v>
      </c>
    </row>
    <row r="10" spans="1:36" s="22" customFormat="1" ht="14.25" customHeight="1">
      <c r="A10" s="24" t="s">
        <v>20</v>
      </c>
      <c r="B10" s="8" t="s">
        <v>0</v>
      </c>
      <c r="C10" s="33">
        <f t="shared" si="0"/>
        <v>10</v>
      </c>
      <c r="D10" s="33">
        <f t="shared" si="0"/>
        <v>24</v>
      </c>
      <c r="E10" s="33">
        <f t="shared" si="0"/>
        <v>34</v>
      </c>
      <c r="F10" s="33">
        <f t="shared" si="0"/>
        <v>28</v>
      </c>
      <c r="G10" s="33">
        <f t="shared" si="0"/>
        <v>6</v>
      </c>
      <c r="H10" s="33"/>
      <c r="I10" s="33"/>
      <c r="J10" s="13">
        <v>10</v>
      </c>
      <c r="K10" s="13">
        <v>22</v>
      </c>
      <c r="L10" s="13">
        <v>32</v>
      </c>
      <c r="M10" s="13">
        <v>28</v>
      </c>
      <c r="N10" s="13">
        <v>4</v>
      </c>
      <c r="O10" s="13"/>
      <c r="P10" s="13">
        <v>0</v>
      </c>
      <c r="Q10" s="13">
        <v>2</v>
      </c>
      <c r="R10" s="13">
        <v>2</v>
      </c>
      <c r="S10" s="13">
        <v>0</v>
      </c>
      <c r="T10" s="13">
        <v>2</v>
      </c>
      <c r="U10" s="13"/>
      <c r="V10" s="13"/>
      <c r="W10" s="13"/>
      <c r="X10" s="13">
        <v>43</v>
      </c>
      <c r="Y10" s="13">
        <v>145</v>
      </c>
      <c r="Z10" s="13">
        <v>188</v>
      </c>
      <c r="AA10" s="13">
        <v>142</v>
      </c>
      <c r="AB10" s="13">
        <v>46</v>
      </c>
      <c r="AC10" s="13"/>
      <c r="AD10" s="13"/>
      <c r="AE10" s="13">
        <v>16</v>
      </c>
      <c r="AF10" s="13">
        <v>162</v>
      </c>
      <c r="AG10" s="13">
        <v>178</v>
      </c>
      <c r="AH10" s="13">
        <v>162</v>
      </c>
      <c r="AI10" s="13">
        <v>16</v>
      </c>
    </row>
    <row r="11" spans="1:36" s="22" customFormat="1" ht="14.25" customHeight="1">
      <c r="A11" s="24" t="s">
        <v>21</v>
      </c>
      <c r="B11" s="8" t="s">
        <v>0</v>
      </c>
      <c r="C11" s="33">
        <f t="shared" si="0"/>
        <v>48</v>
      </c>
      <c r="D11" s="33">
        <f t="shared" si="0"/>
        <v>62</v>
      </c>
      <c r="E11" s="33">
        <f t="shared" si="0"/>
        <v>110</v>
      </c>
      <c r="F11" s="33">
        <f t="shared" si="0"/>
        <v>45</v>
      </c>
      <c r="G11" s="33">
        <f t="shared" si="0"/>
        <v>65</v>
      </c>
      <c r="H11" s="33"/>
      <c r="I11" s="33"/>
      <c r="J11" s="13">
        <v>47</v>
      </c>
      <c r="K11" s="13">
        <v>58</v>
      </c>
      <c r="L11" s="13">
        <v>105</v>
      </c>
      <c r="M11" s="13">
        <v>42</v>
      </c>
      <c r="N11" s="13">
        <v>63</v>
      </c>
      <c r="O11" s="13"/>
      <c r="P11" s="13">
        <v>1</v>
      </c>
      <c r="Q11" s="13">
        <v>4</v>
      </c>
      <c r="R11" s="13">
        <v>5</v>
      </c>
      <c r="S11" s="13">
        <v>3</v>
      </c>
      <c r="T11" s="13">
        <v>2</v>
      </c>
      <c r="U11" s="13"/>
      <c r="V11" s="13"/>
      <c r="W11" s="13"/>
      <c r="X11" s="13">
        <v>117</v>
      </c>
      <c r="Y11" s="13">
        <v>186</v>
      </c>
      <c r="Z11" s="13">
        <v>303</v>
      </c>
      <c r="AA11" s="13">
        <v>174</v>
      </c>
      <c r="AB11" s="13">
        <v>129</v>
      </c>
      <c r="AC11" s="13"/>
      <c r="AD11" s="13"/>
      <c r="AE11" s="13">
        <v>30</v>
      </c>
      <c r="AF11" s="13">
        <v>215</v>
      </c>
      <c r="AG11" s="13">
        <v>245</v>
      </c>
      <c r="AH11" s="13">
        <v>188</v>
      </c>
      <c r="AI11" s="13">
        <v>57</v>
      </c>
    </row>
    <row r="12" spans="1:36" s="22" customFormat="1" ht="14.25" customHeight="1">
      <c r="A12" s="24" t="s">
        <v>22</v>
      </c>
      <c r="B12" s="8" t="s">
        <v>0</v>
      </c>
      <c r="C12" s="33">
        <f t="shared" si="0"/>
        <v>73</v>
      </c>
      <c r="D12" s="33">
        <f t="shared" si="0"/>
        <v>84</v>
      </c>
      <c r="E12" s="33">
        <f t="shared" si="0"/>
        <v>157</v>
      </c>
      <c r="F12" s="33">
        <f t="shared" si="0"/>
        <v>80</v>
      </c>
      <c r="G12" s="33">
        <f t="shared" si="0"/>
        <v>77</v>
      </c>
      <c r="H12" s="33"/>
      <c r="I12" s="33"/>
      <c r="J12" s="13">
        <v>70</v>
      </c>
      <c r="K12" s="13">
        <v>78</v>
      </c>
      <c r="L12" s="13">
        <v>148</v>
      </c>
      <c r="M12" s="13">
        <v>76</v>
      </c>
      <c r="N12" s="13">
        <v>72</v>
      </c>
      <c r="O12" s="13"/>
      <c r="P12" s="13">
        <v>3</v>
      </c>
      <c r="Q12" s="13">
        <v>6</v>
      </c>
      <c r="R12" s="13">
        <v>9</v>
      </c>
      <c r="S12" s="13">
        <v>4</v>
      </c>
      <c r="T12" s="13">
        <v>5</v>
      </c>
      <c r="U12" s="13"/>
      <c r="V12" s="13"/>
      <c r="W12" s="13"/>
      <c r="X12" s="13">
        <v>71</v>
      </c>
      <c r="Y12" s="13">
        <v>202</v>
      </c>
      <c r="Z12" s="13">
        <v>273</v>
      </c>
      <c r="AA12" s="13">
        <v>186</v>
      </c>
      <c r="AB12" s="13">
        <v>87</v>
      </c>
      <c r="AC12" s="13"/>
      <c r="AD12" s="13"/>
      <c r="AE12" s="13">
        <v>18</v>
      </c>
      <c r="AF12" s="13">
        <v>231</v>
      </c>
      <c r="AG12" s="13">
        <v>249</v>
      </c>
      <c r="AH12" s="13">
        <v>219</v>
      </c>
      <c r="AI12" s="13">
        <v>30</v>
      </c>
    </row>
    <row r="13" spans="1:36" s="22" customFormat="1" ht="14.25" customHeight="1">
      <c r="A13" s="24" t="s">
        <v>23</v>
      </c>
      <c r="B13" s="8" t="s">
        <v>0</v>
      </c>
      <c r="C13" s="33">
        <f t="shared" si="0"/>
        <v>21</v>
      </c>
      <c r="D13" s="33">
        <f t="shared" si="0"/>
        <v>26</v>
      </c>
      <c r="E13" s="33">
        <f t="shared" si="0"/>
        <v>47</v>
      </c>
      <c r="F13" s="33">
        <f t="shared" si="0"/>
        <v>10</v>
      </c>
      <c r="G13" s="33">
        <f t="shared" si="0"/>
        <v>37</v>
      </c>
      <c r="H13" s="33"/>
      <c r="I13" s="33"/>
      <c r="J13" s="13">
        <v>17</v>
      </c>
      <c r="K13" s="13">
        <v>23</v>
      </c>
      <c r="L13" s="13">
        <v>40</v>
      </c>
      <c r="M13" s="13">
        <v>9</v>
      </c>
      <c r="N13" s="13">
        <v>31</v>
      </c>
      <c r="O13" s="13"/>
      <c r="P13" s="13">
        <v>4</v>
      </c>
      <c r="Q13" s="13">
        <v>3</v>
      </c>
      <c r="R13" s="13">
        <v>7</v>
      </c>
      <c r="S13" s="13">
        <v>1</v>
      </c>
      <c r="T13" s="13">
        <v>6</v>
      </c>
      <c r="U13" s="13"/>
      <c r="V13" s="13"/>
      <c r="W13" s="13"/>
      <c r="X13" s="13">
        <v>38</v>
      </c>
      <c r="Y13" s="13">
        <v>183</v>
      </c>
      <c r="Z13" s="13">
        <v>221</v>
      </c>
      <c r="AA13" s="13">
        <v>119</v>
      </c>
      <c r="AB13" s="13">
        <v>102</v>
      </c>
      <c r="AC13" s="13"/>
      <c r="AD13" s="13"/>
      <c r="AE13" s="13">
        <v>20</v>
      </c>
      <c r="AF13" s="13">
        <v>135</v>
      </c>
      <c r="AG13" s="13">
        <v>155</v>
      </c>
      <c r="AH13" s="13">
        <v>124</v>
      </c>
      <c r="AI13" s="13">
        <v>31</v>
      </c>
    </row>
    <row r="14" spans="1:36" s="22" customFormat="1" ht="14.25" customHeight="1">
      <c r="A14" s="24" t="s">
        <v>24</v>
      </c>
      <c r="B14" s="8" t="s">
        <v>0</v>
      </c>
      <c r="C14" s="33">
        <f t="shared" si="0"/>
        <v>77</v>
      </c>
      <c r="D14" s="33">
        <f t="shared" si="0"/>
        <v>61</v>
      </c>
      <c r="E14" s="33">
        <f t="shared" si="0"/>
        <v>138</v>
      </c>
      <c r="F14" s="33">
        <f t="shared" si="0"/>
        <v>57</v>
      </c>
      <c r="G14" s="33">
        <f t="shared" si="0"/>
        <v>81</v>
      </c>
      <c r="H14" s="33"/>
      <c r="I14" s="33"/>
      <c r="J14" s="13">
        <v>72</v>
      </c>
      <c r="K14" s="13">
        <v>57</v>
      </c>
      <c r="L14" s="13">
        <v>129</v>
      </c>
      <c r="M14" s="13">
        <v>52</v>
      </c>
      <c r="N14" s="13">
        <v>77</v>
      </c>
      <c r="O14" s="13"/>
      <c r="P14" s="13">
        <v>5</v>
      </c>
      <c r="Q14" s="13">
        <v>4</v>
      </c>
      <c r="R14" s="13">
        <v>9</v>
      </c>
      <c r="S14" s="13">
        <v>5</v>
      </c>
      <c r="T14" s="13">
        <v>4</v>
      </c>
      <c r="U14" s="13"/>
      <c r="V14" s="13"/>
      <c r="W14" s="13"/>
      <c r="X14" s="13">
        <v>124</v>
      </c>
      <c r="Y14" s="13">
        <v>124</v>
      </c>
      <c r="Z14" s="13">
        <v>248</v>
      </c>
      <c r="AA14" s="13">
        <v>127</v>
      </c>
      <c r="AB14" s="13">
        <v>121</v>
      </c>
      <c r="AC14" s="13"/>
      <c r="AD14" s="13"/>
      <c r="AE14" s="13">
        <v>44</v>
      </c>
      <c r="AF14" s="13">
        <v>178</v>
      </c>
      <c r="AG14" s="13">
        <v>222</v>
      </c>
      <c r="AH14" s="13">
        <v>182</v>
      </c>
      <c r="AI14" s="13">
        <v>40</v>
      </c>
    </row>
    <row r="15" spans="1:36" s="22" customFormat="1" ht="14.25" customHeight="1">
      <c r="A15" s="24" t="s">
        <v>25</v>
      </c>
      <c r="B15" s="8" t="s">
        <v>0</v>
      </c>
      <c r="C15" s="33">
        <f t="shared" si="0"/>
        <v>31</v>
      </c>
      <c r="D15" s="33">
        <f t="shared" si="0"/>
        <v>41</v>
      </c>
      <c r="E15" s="33">
        <f t="shared" si="0"/>
        <v>72</v>
      </c>
      <c r="F15" s="33">
        <f t="shared" si="0"/>
        <v>31</v>
      </c>
      <c r="G15" s="33">
        <f t="shared" si="0"/>
        <v>41</v>
      </c>
      <c r="H15" s="33"/>
      <c r="I15" s="33"/>
      <c r="J15" s="13">
        <v>30</v>
      </c>
      <c r="K15" s="13">
        <v>37</v>
      </c>
      <c r="L15" s="13">
        <v>67</v>
      </c>
      <c r="M15" s="13">
        <v>30</v>
      </c>
      <c r="N15" s="13">
        <v>37</v>
      </c>
      <c r="O15" s="13"/>
      <c r="P15" s="13">
        <v>1</v>
      </c>
      <c r="Q15" s="13">
        <v>4</v>
      </c>
      <c r="R15" s="13">
        <v>5</v>
      </c>
      <c r="S15" s="13">
        <v>1</v>
      </c>
      <c r="T15" s="13">
        <v>4</v>
      </c>
      <c r="U15" s="13"/>
      <c r="V15" s="13"/>
      <c r="W15" s="13"/>
      <c r="X15" s="13">
        <v>67</v>
      </c>
      <c r="Y15" s="13">
        <v>145</v>
      </c>
      <c r="Z15" s="13">
        <v>212</v>
      </c>
      <c r="AA15" s="13">
        <v>153</v>
      </c>
      <c r="AB15" s="13">
        <v>59</v>
      </c>
      <c r="AC15" s="13"/>
      <c r="AD15" s="13"/>
      <c r="AE15" s="13">
        <v>17</v>
      </c>
      <c r="AF15" s="13">
        <v>218</v>
      </c>
      <c r="AG15" s="13">
        <v>235</v>
      </c>
      <c r="AH15" s="13">
        <v>217</v>
      </c>
      <c r="AI15" s="13">
        <v>18</v>
      </c>
    </row>
    <row r="16" spans="1:36" s="22" customFormat="1" ht="14.25" customHeight="1">
      <c r="A16" s="24" t="s">
        <v>26</v>
      </c>
      <c r="B16" s="8" t="s">
        <v>0</v>
      </c>
      <c r="C16" s="33">
        <f t="shared" si="0"/>
        <v>13</v>
      </c>
      <c r="D16" s="33">
        <f t="shared" si="0"/>
        <v>13</v>
      </c>
      <c r="E16" s="33">
        <f t="shared" si="0"/>
        <v>26</v>
      </c>
      <c r="F16" s="33">
        <f t="shared" si="0"/>
        <v>11</v>
      </c>
      <c r="G16" s="33">
        <f t="shared" si="0"/>
        <v>15</v>
      </c>
      <c r="H16" s="33"/>
      <c r="I16" s="33"/>
      <c r="J16" s="13">
        <v>12</v>
      </c>
      <c r="K16" s="13">
        <v>11</v>
      </c>
      <c r="L16" s="13">
        <v>23</v>
      </c>
      <c r="M16" s="13">
        <v>11</v>
      </c>
      <c r="N16" s="13">
        <v>12</v>
      </c>
      <c r="O16" s="13"/>
      <c r="P16" s="13">
        <v>1</v>
      </c>
      <c r="Q16" s="13">
        <v>2</v>
      </c>
      <c r="R16" s="13">
        <v>3</v>
      </c>
      <c r="S16" s="13">
        <v>0</v>
      </c>
      <c r="T16" s="13">
        <v>3</v>
      </c>
      <c r="U16" s="13"/>
      <c r="V16" s="13"/>
      <c r="W16" s="13"/>
      <c r="X16" s="13">
        <v>58</v>
      </c>
      <c r="Y16" s="13">
        <v>123</v>
      </c>
      <c r="Z16" s="13">
        <v>181</v>
      </c>
      <c r="AA16" s="13">
        <v>142</v>
      </c>
      <c r="AB16" s="13">
        <v>39</v>
      </c>
      <c r="AC16" s="13"/>
      <c r="AD16" s="13"/>
      <c r="AE16" s="13">
        <v>9</v>
      </c>
      <c r="AF16" s="13">
        <v>123</v>
      </c>
      <c r="AG16" s="13">
        <v>132</v>
      </c>
      <c r="AH16" s="13">
        <v>126</v>
      </c>
      <c r="AI16" s="13">
        <v>6</v>
      </c>
    </row>
    <row r="17" spans="1:35" s="22" customFormat="1">
      <c r="A17" s="24" t="s">
        <v>27</v>
      </c>
      <c r="B17" s="8" t="s">
        <v>0</v>
      </c>
      <c r="C17" s="33">
        <f t="shared" si="0"/>
        <v>14</v>
      </c>
      <c r="D17" s="33">
        <f t="shared" si="0"/>
        <v>18</v>
      </c>
      <c r="E17" s="33">
        <f t="shared" si="0"/>
        <v>32</v>
      </c>
      <c r="F17" s="33">
        <f t="shared" si="0"/>
        <v>23</v>
      </c>
      <c r="G17" s="33">
        <f t="shared" si="0"/>
        <v>9</v>
      </c>
      <c r="H17" s="33"/>
      <c r="I17" s="33"/>
      <c r="J17" s="13">
        <v>13</v>
      </c>
      <c r="K17" s="13">
        <v>16</v>
      </c>
      <c r="L17" s="13">
        <v>29</v>
      </c>
      <c r="M17" s="13">
        <v>22</v>
      </c>
      <c r="N17" s="13">
        <v>7</v>
      </c>
      <c r="O17" s="13"/>
      <c r="P17" s="13">
        <v>1</v>
      </c>
      <c r="Q17" s="13">
        <v>2</v>
      </c>
      <c r="R17" s="13">
        <v>3</v>
      </c>
      <c r="S17" s="13">
        <v>1</v>
      </c>
      <c r="T17" s="13">
        <v>2</v>
      </c>
      <c r="U17" s="13"/>
      <c r="V17" s="13"/>
      <c r="W17" s="13"/>
      <c r="X17" s="13">
        <v>78</v>
      </c>
      <c r="Y17" s="13">
        <v>145</v>
      </c>
      <c r="Z17" s="13">
        <v>223</v>
      </c>
      <c r="AA17" s="13">
        <v>155</v>
      </c>
      <c r="AB17" s="13">
        <v>68</v>
      </c>
      <c r="AC17" s="13"/>
      <c r="AD17" s="13"/>
      <c r="AE17" s="13">
        <v>25</v>
      </c>
      <c r="AF17" s="13">
        <v>141</v>
      </c>
      <c r="AG17" s="13">
        <v>166</v>
      </c>
      <c r="AH17" s="13">
        <v>138</v>
      </c>
      <c r="AI17" s="13">
        <v>28</v>
      </c>
    </row>
    <row r="18" spans="1:35" s="22" customFormat="1">
      <c r="A18" s="24" t="s">
        <v>28</v>
      </c>
      <c r="B18" s="8" t="s">
        <v>0</v>
      </c>
      <c r="C18" s="33">
        <f t="shared" si="0"/>
        <v>2</v>
      </c>
      <c r="D18" s="33">
        <f t="shared" si="0"/>
        <v>1</v>
      </c>
      <c r="E18" s="33">
        <f t="shared" si="0"/>
        <v>3</v>
      </c>
      <c r="F18" s="33">
        <f t="shared" si="0"/>
        <v>2</v>
      </c>
      <c r="G18" s="33">
        <f t="shared" si="0"/>
        <v>1</v>
      </c>
      <c r="H18" s="33"/>
      <c r="I18" s="33"/>
      <c r="J18" s="13">
        <v>2</v>
      </c>
      <c r="K18" s="13">
        <v>1</v>
      </c>
      <c r="L18" s="13">
        <v>3</v>
      </c>
      <c r="M18" s="13">
        <v>2</v>
      </c>
      <c r="N18" s="13">
        <v>1</v>
      </c>
      <c r="O18" s="13"/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/>
      <c r="V18" s="13"/>
      <c r="W18" s="13"/>
      <c r="X18" s="13">
        <v>6</v>
      </c>
      <c r="Y18" s="13">
        <v>33</v>
      </c>
      <c r="Z18" s="13">
        <v>39</v>
      </c>
      <c r="AA18" s="13">
        <v>28</v>
      </c>
      <c r="AB18" s="13">
        <v>11</v>
      </c>
      <c r="AC18" s="13"/>
      <c r="AD18" s="13"/>
      <c r="AE18" s="13">
        <v>2</v>
      </c>
      <c r="AF18" s="13">
        <v>19</v>
      </c>
      <c r="AG18" s="13">
        <v>21</v>
      </c>
      <c r="AH18" s="13">
        <v>21</v>
      </c>
      <c r="AI18" s="13">
        <v>0</v>
      </c>
    </row>
    <row r="19" spans="1:35" s="22" customFormat="1">
      <c r="A19" s="24" t="s">
        <v>29</v>
      </c>
      <c r="B19" s="8" t="s">
        <v>0</v>
      </c>
      <c r="C19" s="33">
        <f t="shared" si="0"/>
        <v>4</v>
      </c>
      <c r="D19" s="33">
        <f t="shared" si="0"/>
        <v>4</v>
      </c>
      <c r="E19" s="33">
        <f t="shared" si="0"/>
        <v>8</v>
      </c>
      <c r="F19" s="33">
        <f t="shared" si="0"/>
        <v>3</v>
      </c>
      <c r="G19" s="33">
        <f t="shared" si="0"/>
        <v>5</v>
      </c>
      <c r="H19" s="33"/>
      <c r="I19" s="33"/>
      <c r="J19" s="13">
        <v>4</v>
      </c>
      <c r="K19" s="13">
        <v>3</v>
      </c>
      <c r="L19" s="13">
        <v>7</v>
      </c>
      <c r="M19" s="13">
        <v>3</v>
      </c>
      <c r="N19" s="13">
        <v>4</v>
      </c>
      <c r="O19" s="13"/>
      <c r="P19" s="13">
        <v>0</v>
      </c>
      <c r="Q19" s="13">
        <v>1</v>
      </c>
      <c r="R19" s="13">
        <v>1</v>
      </c>
      <c r="S19" s="13">
        <v>0</v>
      </c>
      <c r="T19" s="13">
        <v>1</v>
      </c>
      <c r="U19" s="13"/>
      <c r="V19" s="13"/>
      <c r="W19" s="13"/>
      <c r="X19" s="13">
        <v>89</v>
      </c>
      <c r="Y19" s="13">
        <v>62</v>
      </c>
      <c r="Z19" s="13">
        <v>151</v>
      </c>
      <c r="AA19" s="13">
        <v>109</v>
      </c>
      <c r="AB19" s="13">
        <v>42</v>
      </c>
      <c r="AC19" s="13"/>
      <c r="AD19" s="13"/>
      <c r="AE19" s="13">
        <v>6</v>
      </c>
      <c r="AF19" s="13">
        <v>72</v>
      </c>
      <c r="AG19" s="13">
        <v>78</v>
      </c>
      <c r="AH19" s="13">
        <v>71</v>
      </c>
      <c r="AI19" s="13">
        <v>7</v>
      </c>
    </row>
    <row r="20" spans="1:35" s="22" customFormat="1">
      <c r="A20" s="24" t="s">
        <v>30</v>
      </c>
      <c r="B20" s="8" t="s">
        <v>0</v>
      </c>
      <c r="C20" s="33">
        <f t="shared" si="0"/>
        <v>6</v>
      </c>
      <c r="D20" s="33">
        <f t="shared" si="0"/>
        <v>14</v>
      </c>
      <c r="E20" s="33">
        <f t="shared" si="0"/>
        <v>20</v>
      </c>
      <c r="F20" s="33">
        <f t="shared" si="0"/>
        <v>13</v>
      </c>
      <c r="G20" s="33">
        <f t="shared" si="0"/>
        <v>7</v>
      </c>
      <c r="H20" s="33"/>
      <c r="I20" s="33"/>
      <c r="J20" s="13">
        <v>5</v>
      </c>
      <c r="K20" s="13">
        <v>14</v>
      </c>
      <c r="L20" s="13">
        <v>19</v>
      </c>
      <c r="M20" s="13">
        <v>12</v>
      </c>
      <c r="N20" s="13">
        <v>7</v>
      </c>
      <c r="O20" s="13"/>
      <c r="P20" s="13">
        <v>1</v>
      </c>
      <c r="Q20" s="13">
        <v>0</v>
      </c>
      <c r="R20" s="13">
        <v>1</v>
      </c>
      <c r="S20" s="13">
        <v>1</v>
      </c>
      <c r="T20" s="13">
        <v>0</v>
      </c>
      <c r="U20" s="13"/>
      <c r="V20" s="13"/>
      <c r="W20" s="13"/>
      <c r="X20" s="13">
        <v>50</v>
      </c>
      <c r="Y20" s="13">
        <v>83</v>
      </c>
      <c r="Z20" s="13">
        <v>133</v>
      </c>
      <c r="AA20" s="13">
        <v>84</v>
      </c>
      <c r="AB20" s="13">
        <v>49</v>
      </c>
      <c r="AC20" s="13"/>
      <c r="AD20" s="13"/>
      <c r="AE20" s="13">
        <v>14</v>
      </c>
      <c r="AF20" s="13">
        <v>70</v>
      </c>
      <c r="AG20" s="13">
        <v>84</v>
      </c>
      <c r="AH20" s="13">
        <v>70</v>
      </c>
      <c r="AI20" s="13">
        <v>14</v>
      </c>
    </row>
    <row r="21" spans="1:35" s="22" customFormat="1">
      <c r="A21" s="24" t="s">
        <v>31</v>
      </c>
      <c r="B21" s="8" t="s">
        <v>0</v>
      </c>
      <c r="C21" s="33">
        <f t="shared" si="0"/>
        <v>5</v>
      </c>
      <c r="D21" s="33">
        <f t="shared" si="0"/>
        <v>4</v>
      </c>
      <c r="E21" s="33">
        <f t="shared" si="0"/>
        <v>9</v>
      </c>
      <c r="F21" s="33">
        <f t="shared" si="0"/>
        <v>6</v>
      </c>
      <c r="G21" s="33">
        <f t="shared" si="0"/>
        <v>3</v>
      </c>
      <c r="H21" s="33"/>
      <c r="I21" s="33"/>
      <c r="J21" s="13">
        <v>3</v>
      </c>
      <c r="K21" s="13">
        <v>4</v>
      </c>
      <c r="L21" s="13">
        <v>7</v>
      </c>
      <c r="M21" s="13">
        <v>6</v>
      </c>
      <c r="N21" s="13">
        <v>1</v>
      </c>
      <c r="O21" s="13"/>
      <c r="P21" s="13">
        <v>2</v>
      </c>
      <c r="Q21" s="13">
        <v>0</v>
      </c>
      <c r="R21" s="13">
        <v>2</v>
      </c>
      <c r="S21" s="13">
        <v>0</v>
      </c>
      <c r="T21" s="13">
        <v>2</v>
      </c>
      <c r="U21" s="13"/>
      <c r="V21" s="13"/>
      <c r="W21" s="13"/>
      <c r="X21" s="13">
        <v>57</v>
      </c>
      <c r="Y21" s="13">
        <v>89</v>
      </c>
      <c r="Z21" s="13">
        <v>146</v>
      </c>
      <c r="AA21" s="13">
        <v>111</v>
      </c>
      <c r="AB21" s="13">
        <v>35</v>
      </c>
      <c r="AC21" s="13"/>
      <c r="AD21" s="13"/>
      <c r="AE21" s="13">
        <v>14</v>
      </c>
      <c r="AF21" s="13">
        <v>85</v>
      </c>
      <c r="AG21" s="13">
        <v>99</v>
      </c>
      <c r="AH21" s="13">
        <v>87</v>
      </c>
      <c r="AI21" s="13">
        <v>12</v>
      </c>
    </row>
    <row r="22" spans="1:35" s="22" customFormat="1">
      <c r="A22" s="24" t="s">
        <v>32</v>
      </c>
      <c r="B22" s="8" t="s">
        <v>0</v>
      </c>
      <c r="C22" s="33">
        <f t="shared" si="0"/>
        <v>46</v>
      </c>
      <c r="D22" s="33">
        <f t="shared" si="0"/>
        <v>76</v>
      </c>
      <c r="E22" s="33">
        <f t="shared" si="0"/>
        <v>122</v>
      </c>
      <c r="F22" s="33">
        <f t="shared" si="0"/>
        <v>34</v>
      </c>
      <c r="G22" s="33">
        <f t="shared" si="0"/>
        <v>88</v>
      </c>
      <c r="H22" s="33"/>
      <c r="I22" s="33"/>
      <c r="J22" s="13">
        <v>42</v>
      </c>
      <c r="K22" s="13">
        <v>67</v>
      </c>
      <c r="L22" s="13">
        <v>109</v>
      </c>
      <c r="M22" s="13">
        <v>27</v>
      </c>
      <c r="N22" s="13">
        <v>82</v>
      </c>
      <c r="O22" s="13"/>
      <c r="P22" s="13">
        <v>4</v>
      </c>
      <c r="Q22" s="13">
        <v>9</v>
      </c>
      <c r="R22" s="13">
        <v>13</v>
      </c>
      <c r="S22" s="13">
        <v>7</v>
      </c>
      <c r="T22" s="13">
        <v>6</v>
      </c>
      <c r="U22" s="13"/>
      <c r="V22" s="13"/>
      <c r="W22" s="13"/>
      <c r="X22" s="13">
        <v>103</v>
      </c>
      <c r="Y22" s="13">
        <v>177</v>
      </c>
      <c r="Z22" s="13">
        <v>280</v>
      </c>
      <c r="AA22" s="13">
        <v>172</v>
      </c>
      <c r="AB22" s="13">
        <v>108</v>
      </c>
      <c r="AC22" s="13"/>
      <c r="AD22" s="13"/>
      <c r="AE22" s="13">
        <v>22</v>
      </c>
      <c r="AF22" s="13">
        <v>171</v>
      </c>
      <c r="AG22" s="13">
        <v>193</v>
      </c>
      <c r="AH22" s="13">
        <v>168</v>
      </c>
      <c r="AI22" s="13">
        <v>25</v>
      </c>
    </row>
    <row r="23" spans="1:35" s="22" customFormat="1">
      <c r="A23" s="24" t="s">
        <v>33</v>
      </c>
      <c r="B23" s="8" t="s">
        <v>0</v>
      </c>
      <c r="C23" s="33">
        <f t="shared" si="0"/>
        <v>89</v>
      </c>
      <c r="D23" s="33">
        <f t="shared" si="0"/>
        <v>108</v>
      </c>
      <c r="E23" s="33">
        <f t="shared" si="0"/>
        <v>197</v>
      </c>
      <c r="F23" s="33">
        <f t="shared" si="0"/>
        <v>33</v>
      </c>
      <c r="G23" s="33">
        <f t="shared" si="0"/>
        <v>164</v>
      </c>
      <c r="H23" s="33"/>
      <c r="I23" s="33"/>
      <c r="J23" s="13">
        <v>82</v>
      </c>
      <c r="K23" s="13">
        <v>104</v>
      </c>
      <c r="L23" s="13">
        <v>186</v>
      </c>
      <c r="M23" s="13">
        <v>31</v>
      </c>
      <c r="N23" s="13">
        <v>155</v>
      </c>
      <c r="O23" s="13"/>
      <c r="P23" s="13">
        <v>7</v>
      </c>
      <c r="Q23" s="13">
        <v>4</v>
      </c>
      <c r="R23" s="13">
        <v>11</v>
      </c>
      <c r="S23" s="13">
        <v>2</v>
      </c>
      <c r="T23" s="13">
        <v>9</v>
      </c>
      <c r="U23" s="13"/>
      <c r="V23" s="13"/>
      <c r="W23" s="13"/>
      <c r="X23" s="13">
        <v>292</v>
      </c>
      <c r="Y23" s="13">
        <v>374</v>
      </c>
      <c r="Z23" s="13">
        <v>666</v>
      </c>
      <c r="AA23" s="13">
        <v>422</v>
      </c>
      <c r="AB23" s="13">
        <v>244</v>
      </c>
      <c r="AC23" s="13"/>
      <c r="AD23" s="13"/>
      <c r="AE23" s="13">
        <v>55</v>
      </c>
      <c r="AF23" s="13">
        <v>291</v>
      </c>
      <c r="AG23" s="13">
        <v>346</v>
      </c>
      <c r="AH23" s="13">
        <v>281</v>
      </c>
      <c r="AI23" s="13">
        <v>65</v>
      </c>
    </row>
    <row r="24" spans="1:35" s="22" customFormat="1">
      <c r="A24" s="24" t="s">
        <v>34</v>
      </c>
      <c r="B24" s="8" t="s">
        <v>0</v>
      </c>
      <c r="C24" s="33">
        <f t="shared" si="0"/>
        <v>34</v>
      </c>
      <c r="D24" s="33">
        <f t="shared" si="0"/>
        <v>48</v>
      </c>
      <c r="E24" s="33">
        <f t="shared" si="0"/>
        <v>82</v>
      </c>
      <c r="F24" s="33">
        <f t="shared" si="0"/>
        <v>48</v>
      </c>
      <c r="G24" s="33">
        <f t="shared" si="0"/>
        <v>34</v>
      </c>
      <c r="H24" s="33"/>
      <c r="I24" s="33"/>
      <c r="J24" s="13">
        <v>29</v>
      </c>
      <c r="K24" s="13">
        <v>47</v>
      </c>
      <c r="L24" s="13">
        <v>76</v>
      </c>
      <c r="M24" s="13">
        <v>45</v>
      </c>
      <c r="N24" s="13">
        <v>31</v>
      </c>
      <c r="O24" s="13"/>
      <c r="P24" s="13">
        <v>5</v>
      </c>
      <c r="Q24" s="13">
        <v>1</v>
      </c>
      <c r="R24" s="13">
        <v>6</v>
      </c>
      <c r="S24" s="13">
        <v>3</v>
      </c>
      <c r="T24" s="13">
        <v>3</v>
      </c>
      <c r="U24" s="13"/>
      <c r="V24" s="13"/>
      <c r="W24" s="13"/>
      <c r="X24" s="13">
        <v>185</v>
      </c>
      <c r="Y24" s="13">
        <v>652</v>
      </c>
      <c r="Z24" s="13">
        <v>837</v>
      </c>
      <c r="AA24" s="13">
        <v>625</v>
      </c>
      <c r="AB24" s="13">
        <v>212</v>
      </c>
      <c r="AC24" s="13"/>
      <c r="AD24" s="13"/>
      <c r="AE24" s="13">
        <v>31</v>
      </c>
      <c r="AF24" s="13">
        <v>238</v>
      </c>
      <c r="AG24" s="13">
        <v>269</v>
      </c>
      <c r="AH24" s="13">
        <v>245</v>
      </c>
      <c r="AI24" s="13">
        <v>24</v>
      </c>
    </row>
    <row r="25" spans="1:35" s="22" customFormat="1">
      <c r="A25" s="24" t="s">
        <v>35</v>
      </c>
      <c r="B25" s="8" t="s">
        <v>0</v>
      </c>
      <c r="C25" s="33">
        <f t="shared" si="0"/>
        <v>28</v>
      </c>
      <c r="D25" s="33">
        <f t="shared" si="0"/>
        <v>57</v>
      </c>
      <c r="E25" s="33">
        <f t="shared" si="0"/>
        <v>85</v>
      </c>
      <c r="F25" s="33">
        <f t="shared" si="0"/>
        <v>33</v>
      </c>
      <c r="G25" s="33">
        <f t="shared" si="0"/>
        <v>52</v>
      </c>
      <c r="H25" s="33"/>
      <c r="I25" s="33"/>
      <c r="J25" s="13">
        <v>27</v>
      </c>
      <c r="K25" s="13">
        <v>50</v>
      </c>
      <c r="L25" s="13">
        <v>77</v>
      </c>
      <c r="M25" s="13">
        <v>29</v>
      </c>
      <c r="N25" s="13">
        <v>48</v>
      </c>
      <c r="O25" s="13"/>
      <c r="P25" s="13">
        <v>1</v>
      </c>
      <c r="Q25" s="13">
        <v>7</v>
      </c>
      <c r="R25" s="13">
        <v>8</v>
      </c>
      <c r="S25" s="13">
        <v>4</v>
      </c>
      <c r="T25" s="13">
        <v>4</v>
      </c>
      <c r="U25" s="13"/>
      <c r="V25" s="13"/>
      <c r="W25" s="13"/>
      <c r="X25" s="13">
        <v>97</v>
      </c>
      <c r="Y25" s="13">
        <v>381</v>
      </c>
      <c r="Z25" s="13">
        <v>478</v>
      </c>
      <c r="AA25" s="13">
        <v>354</v>
      </c>
      <c r="AB25" s="13">
        <v>124</v>
      </c>
      <c r="AC25" s="13"/>
      <c r="AD25" s="13"/>
      <c r="AE25" s="13">
        <v>25</v>
      </c>
      <c r="AF25" s="13">
        <v>309</v>
      </c>
      <c r="AG25" s="13">
        <v>334</v>
      </c>
      <c r="AH25" s="13">
        <v>314</v>
      </c>
      <c r="AI25" s="13">
        <v>20</v>
      </c>
    </row>
    <row r="26" spans="1:35" s="22" customFormat="1">
      <c r="A26" s="24" t="s">
        <v>36</v>
      </c>
      <c r="B26" s="8" t="s">
        <v>0</v>
      </c>
      <c r="C26" s="33">
        <f t="shared" si="0"/>
        <v>106</v>
      </c>
      <c r="D26" s="33">
        <f t="shared" si="0"/>
        <v>149</v>
      </c>
      <c r="E26" s="33">
        <f t="shared" si="0"/>
        <v>255</v>
      </c>
      <c r="F26" s="33">
        <f t="shared" si="0"/>
        <v>110</v>
      </c>
      <c r="G26" s="33">
        <f t="shared" si="0"/>
        <v>145</v>
      </c>
      <c r="H26" s="33"/>
      <c r="I26" s="33"/>
      <c r="J26" s="13">
        <v>94</v>
      </c>
      <c r="K26" s="13">
        <v>128</v>
      </c>
      <c r="L26" s="13">
        <v>222</v>
      </c>
      <c r="M26" s="13">
        <v>95</v>
      </c>
      <c r="N26" s="13">
        <v>127</v>
      </c>
      <c r="O26" s="13"/>
      <c r="P26" s="13">
        <v>12</v>
      </c>
      <c r="Q26" s="13">
        <v>21</v>
      </c>
      <c r="R26" s="13">
        <v>33</v>
      </c>
      <c r="S26" s="13">
        <v>15</v>
      </c>
      <c r="T26" s="13">
        <v>18</v>
      </c>
      <c r="U26" s="13"/>
      <c r="V26" s="13"/>
      <c r="W26" s="13"/>
      <c r="X26" s="13">
        <v>49</v>
      </c>
      <c r="Y26" s="13">
        <v>295</v>
      </c>
      <c r="Z26" s="13">
        <v>344</v>
      </c>
      <c r="AA26" s="13">
        <v>257</v>
      </c>
      <c r="AB26" s="13">
        <v>87</v>
      </c>
      <c r="AC26" s="13"/>
      <c r="AD26" s="13"/>
      <c r="AE26" s="13">
        <v>18</v>
      </c>
      <c r="AF26" s="13">
        <v>242</v>
      </c>
      <c r="AG26" s="13">
        <v>260</v>
      </c>
      <c r="AH26" s="13">
        <v>228</v>
      </c>
      <c r="AI26" s="13">
        <v>32</v>
      </c>
    </row>
    <row r="27" spans="1:35" s="23" customFormat="1">
      <c r="A27" s="24" t="s">
        <v>37</v>
      </c>
      <c r="B27" s="8" t="s">
        <v>0</v>
      </c>
      <c r="C27" s="33">
        <f t="shared" si="0"/>
        <v>7</v>
      </c>
      <c r="D27" s="33">
        <f t="shared" si="0"/>
        <v>244</v>
      </c>
      <c r="E27" s="33">
        <f t="shared" si="0"/>
        <v>251</v>
      </c>
      <c r="F27" s="33">
        <f t="shared" si="0"/>
        <v>61</v>
      </c>
      <c r="G27" s="33">
        <f t="shared" si="0"/>
        <v>190</v>
      </c>
      <c r="H27" s="33"/>
      <c r="I27" s="33"/>
      <c r="J27" s="13">
        <v>6</v>
      </c>
      <c r="K27" s="13">
        <v>221</v>
      </c>
      <c r="L27" s="13">
        <v>227</v>
      </c>
      <c r="M27" s="13">
        <v>55</v>
      </c>
      <c r="N27" s="13">
        <v>172</v>
      </c>
      <c r="O27" s="13"/>
      <c r="P27" s="13">
        <v>1</v>
      </c>
      <c r="Q27" s="13">
        <v>23</v>
      </c>
      <c r="R27" s="13">
        <v>24</v>
      </c>
      <c r="S27" s="13">
        <v>6</v>
      </c>
      <c r="T27" s="13">
        <v>18</v>
      </c>
      <c r="U27" s="13"/>
      <c r="V27" s="13"/>
      <c r="W27" s="13"/>
      <c r="X27" s="13">
        <v>41</v>
      </c>
      <c r="Y27" s="13">
        <v>390</v>
      </c>
      <c r="Z27" s="13">
        <v>431</v>
      </c>
      <c r="AA27" s="13">
        <v>223</v>
      </c>
      <c r="AB27" s="13">
        <v>208</v>
      </c>
      <c r="AC27" s="13"/>
      <c r="AD27" s="13"/>
      <c r="AE27" s="13">
        <v>13</v>
      </c>
      <c r="AF27" s="13">
        <v>428</v>
      </c>
      <c r="AG27" s="13">
        <v>441</v>
      </c>
      <c r="AH27" s="13">
        <v>375</v>
      </c>
      <c r="AI27" s="13">
        <v>66</v>
      </c>
    </row>
    <row r="28" spans="1:35">
      <c r="A28" s="9" t="s">
        <v>12</v>
      </c>
      <c r="B28" s="10" t="s">
        <v>13</v>
      </c>
      <c r="C28" s="33">
        <f t="shared" si="0"/>
        <v>0</v>
      </c>
      <c r="D28" s="33">
        <f t="shared" si="0"/>
        <v>0</v>
      </c>
      <c r="E28" s="33">
        <f t="shared" si="0"/>
        <v>0</v>
      </c>
      <c r="F28" s="33">
        <f t="shared" si="0"/>
        <v>0</v>
      </c>
      <c r="G28" s="33">
        <f t="shared" si="0"/>
        <v>0</v>
      </c>
      <c r="H28" s="33"/>
      <c r="I28" s="33"/>
      <c r="J28" s="11">
        <v>0</v>
      </c>
      <c r="K28" s="12">
        <v>0</v>
      </c>
      <c r="L28" s="12">
        <v>0</v>
      </c>
      <c r="M28" s="12">
        <v>0</v>
      </c>
      <c r="N28" s="13">
        <v>0</v>
      </c>
      <c r="O28" s="13"/>
      <c r="P28" s="12">
        <v>0</v>
      </c>
      <c r="Q28" s="12">
        <v>0</v>
      </c>
      <c r="R28" s="12">
        <v>0</v>
      </c>
      <c r="S28" s="12">
        <v>0</v>
      </c>
      <c r="T28" s="13">
        <v>0</v>
      </c>
      <c r="U28" s="13"/>
      <c r="V28" s="13"/>
      <c r="W28" s="13"/>
      <c r="X28" s="12">
        <v>1736</v>
      </c>
      <c r="Y28" s="12">
        <v>2277</v>
      </c>
      <c r="Z28" s="12">
        <v>4013</v>
      </c>
      <c r="AA28" s="12">
        <v>2412</v>
      </c>
      <c r="AB28" s="13">
        <v>1601</v>
      </c>
      <c r="AC28" s="13"/>
      <c r="AD28" s="13"/>
      <c r="AE28" s="12">
        <v>0</v>
      </c>
      <c r="AF28" s="12">
        <v>0</v>
      </c>
      <c r="AG28" s="12">
        <v>0</v>
      </c>
      <c r="AH28" s="12">
        <v>0</v>
      </c>
      <c r="AI28" s="12">
        <v>0</v>
      </c>
    </row>
    <row r="29" spans="1:35">
      <c r="A29" s="9" t="s">
        <v>12</v>
      </c>
      <c r="B29" s="10" t="s">
        <v>14</v>
      </c>
      <c r="C29" s="33">
        <f t="shared" si="0"/>
        <v>2191</v>
      </c>
      <c r="D29" s="33">
        <f t="shared" si="0"/>
        <v>1158</v>
      </c>
      <c r="E29" s="33">
        <f t="shared" si="0"/>
        <v>3349</v>
      </c>
      <c r="F29" s="33">
        <f t="shared" si="0"/>
        <v>990</v>
      </c>
      <c r="G29" s="33">
        <f t="shared" si="0"/>
        <v>2359</v>
      </c>
      <c r="H29" s="33"/>
      <c r="I29" s="33"/>
      <c r="J29" s="12">
        <v>2191</v>
      </c>
      <c r="K29" s="12">
        <v>1158</v>
      </c>
      <c r="L29" s="12">
        <v>3349</v>
      </c>
      <c r="M29" s="12">
        <v>990</v>
      </c>
      <c r="N29" s="13">
        <v>2359</v>
      </c>
      <c r="O29" s="13"/>
      <c r="P29" s="12">
        <v>0</v>
      </c>
      <c r="Q29" s="12">
        <v>0</v>
      </c>
      <c r="R29" s="12">
        <v>0</v>
      </c>
      <c r="S29" s="12">
        <v>0</v>
      </c>
      <c r="T29" s="13">
        <v>0</v>
      </c>
      <c r="U29" s="13"/>
      <c r="V29" s="13"/>
      <c r="W29" s="13"/>
      <c r="X29" s="12">
        <v>0</v>
      </c>
      <c r="Y29" s="12">
        <v>0</v>
      </c>
      <c r="Z29" s="12">
        <v>0</v>
      </c>
      <c r="AA29" s="12">
        <v>0</v>
      </c>
      <c r="AB29" s="13">
        <v>0</v>
      </c>
      <c r="AC29" s="13"/>
      <c r="AD29" s="13"/>
      <c r="AE29" s="12">
        <v>0</v>
      </c>
      <c r="AF29" s="12">
        <v>0</v>
      </c>
      <c r="AG29" s="12">
        <v>0</v>
      </c>
      <c r="AH29" s="12">
        <v>0</v>
      </c>
      <c r="AI29" s="12">
        <v>0</v>
      </c>
    </row>
    <row r="30" spans="1:35">
      <c r="A30" s="9" t="s">
        <v>12</v>
      </c>
      <c r="B30" s="10" t="s">
        <v>15</v>
      </c>
      <c r="C30" s="33">
        <f t="shared" si="0"/>
        <v>0</v>
      </c>
      <c r="D30" s="33">
        <f t="shared" si="0"/>
        <v>0</v>
      </c>
      <c r="E30" s="33">
        <f t="shared" si="0"/>
        <v>0</v>
      </c>
      <c r="F30" s="33">
        <f t="shared" si="0"/>
        <v>0</v>
      </c>
      <c r="G30" s="33">
        <f t="shared" si="0"/>
        <v>0</v>
      </c>
      <c r="H30" s="33"/>
      <c r="I30" s="33"/>
      <c r="J30" s="12">
        <v>0</v>
      </c>
      <c r="K30" s="12">
        <v>0</v>
      </c>
      <c r="L30" s="12">
        <v>0</v>
      </c>
      <c r="M30" s="12">
        <v>0</v>
      </c>
      <c r="N30" s="13">
        <v>0</v>
      </c>
      <c r="O30" s="13"/>
      <c r="P30" s="12">
        <v>0</v>
      </c>
      <c r="Q30" s="12">
        <v>0</v>
      </c>
      <c r="R30" s="12">
        <v>0</v>
      </c>
      <c r="S30" s="12">
        <v>0</v>
      </c>
      <c r="T30" s="13">
        <v>0</v>
      </c>
      <c r="U30" s="13"/>
      <c r="V30" s="13"/>
      <c r="W30" s="13"/>
      <c r="X30" s="12">
        <v>0</v>
      </c>
      <c r="Y30" s="12">
        <v>0</v>
      </c>
      <c r="Z30" s="12">
        <v>0</v>
      </c>
      <c r="AA30" s="12">
        <v>0</v>
      </c>
      <c r="AB30" s="13">
        <v>0</v>
      </c>
      <c r="AC30" s="13"/>
      <c r="AD30" s="13"/>
      <c r="AE30" s="12">
        <v>451</v>
      </c>
      <c r="AF30" s="12">
        <v>2251</v>
      </c>
      <c r="AG30" s="12">
        <v>2702</v>
      </c>
      <c r="AH30" s="12">
        <v>2194</v>
      </c>
      <c r="AI30" s="12">
        <v>508</v>
      </c>
    </row>
    <row r="31" spans="1:35">
      <c r="A31" s="9" t="s">
        <v>12</v>
      </c>
      <c r="B31" s="10" t="s">
        <v>16</v>
      </c>
      <c r="C31" s="33">
        <f t="shared" si="0"/>
        <v>54</v>
      </c>
      <c r="D31" s="33">
        <f t="shared" si="0"/>
        <v>83</v>
      </c>
      <c r="E31" s="33">
        <f t="shared" si="0"/>
        <v>137</v>
      </c>
      <c r="F31" s="33">
        <f t="shared" si="0"/>
        <v>94</v>
      </c>
      <c r="G31" s="33">
        <f t="shared" si="0"/>
        <v>43</v>
      </c>
      <c r="H31" s="33"/>
      <c r="I31" s="33"/>
      <c r="J31" s="12">
        <v>0</v>
      </c>
      <c r="K31" s="12">
        <v>0</v>
      </c>
      <c r="L31" s="12">
        <v>0</v>
      </c>
      <c r="M31" s="12">
        <v>0</v>
      </c>
      <c r="N31" s="13">
        <v>0</v>
      </c>
      <c r="O31" s="13"/>
      <c r="P31" s="12">
        <v>54</v>
      </c>
      <c r="Q31" s="12">
        <v>83</v>
      </c>
      <c r="R31" s="12">
        <v>137</v>
      </c>
      <c r="S31" s="12">
        <v>94</v>
      </c>
      <c r="T31" s="13">
        <v>43</v>
      </c>
      <c r="U31" s="13"/>
      <c r="V31" s="13"/>
      <c r="W31" s="13"/>
      <c r="X31" s="12">
        <v>0</v>
      </c>
      <c r="Y31" s="12">
        <v>0</v>
      </c>
      <c r="Z31" s="12">
        <v>0</v>
      </c>
      <c r="AA31" s="12">
        <v>0</v>
      </c>
      <c r="AB31" s="13">
        <v>0</v>
      </c>
      <c r="AC31" s="13"/>
      <c r="AD31" s="13"/>
      <c r="AE31" s="12">
        <v>0</v>
      </c>
      <c r="AF31" s="12">
        <v>0</v>
      </c>
      <c r="AG31" s="12">
        <v>0</v>
      </c>
      <c r="AH31" s="12">
        <v>0</v>
      </c>
      <c r="AI31" s="12">
        <v>0</v>
      </c>
    </row>
    <row r="32" spans="1:35">
      <c r="A32" s="16" t="s">
        <v>12</v>
      </c>
      <c r="B32" s="17" t="s">
        <v>17</v>
      </c>
      <c r="C32" s="33">
        <f t="shared" si="0"/>
        <v>2</v>
      </c>
      <c r="D32" s="33">
        <f t="shared" si="0"/>
        <v>5</v>
      </c>
      <c r="E32" s="33">
        <f t="shared" si="0"/>
        <v>7</v>
      </c>
      <c r="F32" s="33">
        <f t="shared" si="0"/>
        <v>0</v>
      </c>
      <c r="G32" s="33">
        <f t="shared" si="0"/>
        <v>7</v>
      </c>
      <c r="H32" s="33"/>
      <c r="I32" s="33"/>
      <c r="J32" s="18">
        <v>2</v>
      </c>
      <c r="K32" s="18">
        <v>5</v>
      </c>
      <c r="L32" s="18">
        <v>7</v>
      </c>
      <c r="M32" s="18">
        <v>0</v>
      </c>
      <c r="N32" s="19">
        <v>7</v>
      </c>
      <c r="O32" s="19"/>
      <c r="P32" s="18">
        <v>0</v>
      </c>
      <c r="Q32" s="18">
        <v>0</v>
      </c>
      <c r="R32" s="18">
        <v>0</v>
      </c>
      <c r="S32" s="18">
        <v>0</v>
      </c>
      <c r="T32" s="19">
        <v>0</v>
      </c>
      <c r="U32" s="19"/>
      <c r="V32" s="19"/>
      <c r="W32" s="19"/>
      <c r="X32" s="18">
        <v>111</v>
      </c>
      <c r="Y32" s="18">
        <v>448</v>
      </c>
      <c r="Z32" s="18">
        <v>558</v>
      </c>
      <c r="AA32" s="18">
        <v>307</v>
      </c>
      <c r="AB32" s="19">
        <v>251</v>
      </c>
      <c r="AC32" s="19"/>
      <c r="AD32" s="19"/>
      <c r="AE32" s="18">
        <v>5</v>
      </c>
      <c r="AF32" s="18">
        <v>116</v>
      </c>
      <c r="AG32" s="18">
        <v>121</v>
      </c>
      <c r="AH32" s="18">
        <v>102</v>
      </c>
      <c r="AI32" s="18">
        <v>19</v>
      </c>
    </row>
    <row r="33" spans="1:35">
      <c r="A33" s="21" t="s">
        <v>2</v>
      </c>
      <c r="AI33" s="6" t="s">
        <v>43</v>
      </c>
    </row>
    <row r="36" spans="1:35">
      <c r="A36" s="2"/>
      <c r="B36" s="27" t="s">
        <v>44</v>
      </c>
    </row>
    <row r="37" spans="1:35">
      <c r="B37" s="28" t="s">
        <v>38</v>
      </c>
      <c r="C37" s="28" t="s">
        <v>45</v>
      </c>
      <c r="D37" s="28" t="s">
        <v>39</v>
      </c>
      <c r="E37" s="28"/>
      <c r="F37" s="28"/>
    </row>
    <row r="38" spans="1:35">
      <c r="A38" s="28" t="s">
        <v>46</v>
      </c>
      <c r="B38" s="29">
        <f>H5</f>
        <v>32.906696345761453</v>
      </c>
      <c r="C38" s="29">
        <f>AC5</f>
        <v>62.419047619047618</v>
      </c>
      <c r="D38" s="29">
        <f>AJ5</f>
        <v>84.499785315586081</v>
      </c>
    </row>
    <row r="39" spans="1:35">
      <c r="A39" s="28" t="s">
        <v>47</v>
      </c>
      <c r="B39" s="29">
        <f>H6</f>
        <v>31.033495562553682</v>
      </c>
      <c r="C39" s="29">
        <f>AC6</f>
        <v>59.483701597024719</v>
      </c>
      <c r="D39" s="29">
        <f>AJ6</f>
        <v>81.331916400991858</v>
      </c>
    </row>
    <row r="40" spans="1:35">
      <c r="A40" s="28" t="s">
        <v>48</v>
      </c>
      <c r="B40" s="29">
        <f>H7</f>
        <v>36.354056902002107</v>
      </c>
      <c r="C40" s="29">
        <f>AC7</f>
        <v>64.682071175577676</v>
      </c>
      <c r="D40" s="29">
        <f>AJ7</f>
        <v>86.647454370797306</v>
      </c>
    </row>
    <row r="42" spans="1:35">
      <c r="B42" s="35" t="s">
        <v>51</v>
      </c>
      <c r="C42" s="35"/>
      <c r="D42" s="35"/>
    </row>
    <row r="43" spans="1:35">
      <c r="B43" s="28" t="s">
        <v>38</v>
      </c>
      <c r="C43" s="28" t="s">
        <v>45</v>
      </c>
      <c r="D43" s="28" t="s">
        <v>39</v>
      </c>
    </row>
    <row r="44" spans="1:35">
      <c r="A44" s="28" t="s">
        <v>46</v>
      </c>
      <c r="B44" s="36">
        <f>G5</f>
        <v>3617</v>
      </c>
      <c r="C44" s="36">
        <f>AB5</f>
        <v>3946</v>
      </c>
      <c r="D44" s="36">
        <f>AI5</f>
        <v>1083</v>
      </c>
    </row>
    <row r="45" spans="1:35">
      <c r="A45" s="28" t="s">
        <v>47</v>
      </c>
      <c r="B45" s="36">
        <f>G6</f>
        <v>2409</v>
      </c>
      <c r="C45" s="36">
        <f>AB6</f>
        <v>1852</v>
      </c>
      <c r="D45" s="36">
        <f>AI6</f>
        <v>527</v>
      </c>
    </row>
    <row r="46" spans="1:35">
      <c r="A46" s="28" t="s">
        <v>48</v>
      </c>
      <c r="B46" s="36">
        <f>G7</f>
        <v>1208</v>
      </c>
      <c r="C46" s="36">
        <f>AB7</f>
        <v>2094</v>
      </c>
      <c r="D46" s="36">
        <f>AI7</f>
        <v>556</v>
      </c>
    </row>
    <row r="49" spans="1:5">
      <c r="B49" s="35" t="s">
        <v>52</v>
      </c>
      <c r="C49" s="35"/>
      <c r="D49" s="35"/>
    </row>
    <row r="50" spans="1:5">
      <c r="B50" s="28" t="s">
        <v>38</v>
      </c>
      <c r="C50" s="28" t="s">
        <v>45</v>
      </c>
      <c r="D50" s="28" t="s">
        <v>39</v>
      </c>
    </row>
    <row r="51" spans="1:5">
      <c r="A51" s="28" t="s">
        <v>46</v>
      </c>
      <c r="B51" s="36">
        <f>F5</f>
        <v>1774</v>
      </c>
      <c r="C51" s="36">
        <f>AA5</f>
        <v>6554</v>
      </c>
      <c r="D51" s="36">
        <f>AH5</f>
        <v>5904</v>
      </c>
    </row>
    <row r="52" spans="1:5">
      <c r="A52" s="28" t="s">
        <v>47</v>
      </c>
      <c r="B52" s="36">
        <f>F6</f>
        <v>1084</v>
      </c>
      <c r="C52" s="36">
        <f>AA6</f>
        <v>2719</v>
      </c>
      <c r="D52" s="36">
        <f>AH6</f>
        <v>2296</v>
      </c>
    </row>
    <row r="53" spans="1:5">
      <c r="A53" s="28" t="s">
        <v>48</v>
      </c>
      <c r="B53" s="36">
        <f>F7</f>
        <v>690</v>
      </c>
      <c r="C53" s="36">
        <f>AA7</f>
        <v>3835</v>
      </c>
      <c r="D53" s="36">
        <f>AH7</f>
        <v>3608</v>
      </c>
    </row>
    <row r="55" spans="1:5">
      <c r="A55" s="27" t="s">
        <v>0</v>
      </c>
      <c r="B55" s="35"/>
      <c r="C55" s="35"/>
      <c r="D55" s="35"/>
    </row>
    <row r="56" spans="1:5">
      <c r="A56" s="27"/>
      <c r="B56" s="35" t="s">
        <v>41</v>
      </c>
      <c r="C56" s="35" t="s">
        <v>12</v>
      </c>
      <c r="D56" s="35" t="s">
        <v>40</v>
      </c>
    </row>
    <row r="57" spans="1:5">
      <c r="A57" s="35" t="s">
        <v>53</v>
      </c>
      <c r="B57" s="36">
        <v>7528</v>
      </c>
      <c r="C57" s="36">
        <v>4550</v>
      </c>
      <c r="D57" s="36">
        <v>2978</v>
      </c>
      <c r="E57" s="5"/>
    </row>
    <row r="58" spans="1:5">
      <c r="A58" s="35" t="s">
        <v>54</v>
      </c>
      <c r="B58" s="36">
        <v>15351</v>
      </c>
      <c r="C58" s="36">
        <v>6338</v>
      </c>
      <c r="D58" s="36">
        <v>9013</v>
      </c>
      <c r="E58" s="5"/>
    </row>
    <row r="59" spans="1:5">
      <c r="A59" s="35" t="s">
        <v>52</v>
      </c>
      <c r="B59" s="36">
        <v>14232</v>
      </c>
      <c r="C59" s="36">
        <v>6099</v>
      </c>
      <c r="D59" s="36">
        <v>8133</v>
      </c>
    </row>
    <row r="60" spans="1:5">
      <c r="A60" s="35" t="s">
        <v>51</v>
      </c>
      <c r="B60" s="36">
        <v>8646</v>
      </c>
      <c r="C60" s="36">
        <v>4788</v>
      </c>
      <c r="D60" s="36">
        <v>3858</v>
      </c>
    </row>
    <row r="61" spans="1:5">
      <c r="B61" s="8"/>
      <c r="C61" s="8"/>
      <c r="D61" s="8"/>
    </row>
    <row r="62" spans="1:5">
      <c r="A62" s="2"/>
      <c r="B62" s="5"/>
      <c r="C62" s="5"/>
      <c r="D62" s="5"/>
      <c r="E62" s="5"/>
    </row>
    <row r="63" spans="1:5">
      <c r="A63" s="2"/>
      <c r="B63" s="5"/>
      <c r="C63" s="5"/>
      <c r="D63" s="5"/>
      <c r="E63" s="5"/>
    </row>
    <row r="64" spans="1:5">
      <c r="A64" s="2"/>
      <c r="B64" s="5"/>
      <c r="C64" s="5"/>
      <c r="D64" s="5"/>
      <c r="E64" s="5"/>
    </row>
    <row r="65" spans="1:11">
      <c r="A65" s="2"/>
      <c r="B65" s="5"/>
      <c r="C65" s="5"/>
      <c r="D65" s="5"/>
      <c r="E65" s="5"/>
    </row>
    <row r="66" spans="1:11">
      <c r="B66" s="27" t="s">
        <v>55</v>
      </c>
    </row>
    <row r="67" spans="1:11">
      <c r="B67" s="35"/>
      <c r="H67" s="35" t="s">
        <v>56</v>
      </c>
    </row>
    <row r="68" spans="1:11">
      <c r="A68" s="2"/>
      <c r="B68" s="35"/>
      <c r="C68" s="35" t="s">
        <v>57</v>
      </c>
      <c r="D68" s="35" t="s">
        <v>58</v>
      </c>
      <c r="E68" s="35" t="s">
        <v>59</v>
      </c>
      <c r="F68" s="35" t="s">
        <v>60</v>
      </c>
      <c r="G68" s="35"/>
      <c r="H68" s="37" t="s">
        <v>61</v>
      </c>
      <c r="I68" s="35" t="s">
        <v>62</v>
      </c>
      <c r="J68" s="35" t="s">
        <v>63</v>
      </c>
      <c r="K68" s="35"/>
    </row>
    <row r="69" spans="1:11">
      <c r="A69" s="2"/>
      <c r="B69" s="35" t="s">
        <v>18</v>
      </c>
      <c r="C69" s="35">
        <v>590</v>
      </c>
      <c r="D69" s="35">
        <v>339</v>
      </c>
      <c r="E69" s="35">
        <v>251</v>
      </c>
      <c r="F69" s="29">
        <f>D69/C69*100</f>
        <v>57.457627118644069</v>
      </c>
      <c r="G69" s="35"/>
      <c r="H69" s="38">
        <v>10</v>
      </c>
      <c r="I69" s="29">
        <f t="shared" ref="I69:I88" si="1">C69/H69</f>
        <v>59</v>
      </c>
      <c r="J69" s="29">
        <f t="shared" ref="J69:J88" si="2">D69/H69</f>
        <v>33.9</v>
      </c>
      <c r="K69" s="35"/>
    </row>
    <row r="70" spans="1:11">
      <c r="A70" s="2"/>
      <c r="B70" s="35" t="s">
        <v>19</v>
      </c>
      <c r="C70" s="35">
        <v>692</v>
      </c>
      <c r="D70" s="35">
        <v>367</v>
      </c>
      <c r="E70" s="35">
        <v>325</v>
      </c>
      <c r="F70" s="29">
        <f t="shared" ref="F70:F88" si="3">D70/C70*100</f>
        <v>53.034682080924853</v>
      </c>
      <c r="G70" s="35"/>
      <c r="H70" s="38">
        <v>8</v>
      </c>
      <c r="I70" s="29">
        <f t="shared" si="1"/>
        <v>86.5</v>
      </c>
      <c r="J70" s="29">
        <f t="shared" si="2"/>
        <v>45.875</v>
      </c>
      <c r="K70" s="35"/>
    </row>
    <row r="71" spans="1:11">
      <c r="A71" s="2"/>
      <c r="B71" s="35" t="s">
        <v>20</v>
      </c>
      <c r="C71" s="35">
        <v>400</v>
      </c>
      <c r="D71" s="35">
        <v>332</v>
      </c>
      <c r="E71" s="35">
        <v>68</v>
      </c>
      <c r="F71" s="29">
        <f t="shared" si="3"/>
        <v>83</v>
      </c>
      <c r="G71" s="35"/>
      <c r="H71" s="38">
        <v>4</v>
      </c>
      <c r="I71" s="29">
        <f t="shared" si="1"/>
        <v>100</v>
      </c>
      <c r="J71" s="29">
        <f t="shared" si="2"/>
        <v>83</v>
      </c>
      <c r="K71" s="35"/>
    </row>
    <row r="72" spans="1:11">
      <c r="A72" s="2"/>
      <c r="B72" s="35" t="s">
        <v>21</v>
      </c>
      <c r="C72" s="35">
        <v>658</v>
      </c>
      <c r="D72" s="35">
        <v>407</v>
      </c>
      <c r="E72" s="35">
        <v>251</v>
      </c>
      <c r="F72" s="29">
        <f t="shared" si="3"/>
        <v>61.854103343465049</v>
      </c>
      <c r="G72" s="35"/>
      <c r="H72" s="38">
        <v>5</v>
      </c>
      <c r="I72" s="29">
        <f t="shared" si="1"/>
        <v>131.6</v>
      </c>
      <c r="J72" s="29">
        <f t="shared" si="2"/>
        <v>81.400000000000006</v>
      </c>
      <c r="K72" s="35"/>
    </row>
    <row r="73" spans="1:11">
      <c r="A73" s="2"/>
      <c r="B73" s="35" t="s">
        <v>22</v>
      </c>
      <c r="C73" s="35">
        <v>679</v>
      </c>
      <c r="D73" s="35">
        <v>485</v>
      </c>
      <c r="E73" s="35">
        <v>194</v>
      </c>
      <c r="F73" s="29">
        <f t="shared" si="3"/>
        <v>71.428571428571431</v>
      </c>
      <c r="G73" s="35"/>
      <c r="H73" s="38">
        <v>7</v>
      </c>
      <c r="I73" s="29">
        <f t="shared" si="1"/>
        <v>97</v>
      </c>
      <c r="J73" s="29">
        <f t="shared" si="2"/>
        <v>69.285714285714292</v>
      </c>
      <c r="K73" s="35"/>
    </row>
    <row r="74" spans="1:11">
      <c r="B74" s="35" t="s">
        <v>23</v>
      </c>
      <c r="C74" s="35">
        <v>423</v>
      </c>
      <c r="D74" s="35">
        <v>253</v>
      </c>
      <c r="E74" s="35">
        <v>170</v>
      </c>
      <c r="F74" s="29">
        <f t="shared" si="3"/>
        <v>59.810874704491724</v>
      </c>
      <c r="G74" s="35"/>
      <c r="H74" s="38">
        <v>5</v>
      </c>
      <c r="I74" s="29">
        <f t="shared" si="1"/>
        <v>84.6</v>
      </c>
      <c r="J74" s="29">
        <f t="shared" si="2"/>
        <v>50.6</v>
      </c>
      <c r="K74" s="35"/>
    </row>
    <row r="75" spans="1:11">
      <c r="B75" s="35" t="s">
        <v>24</v>
      </c>
      <c r="C75" s="35">
        <v>608</v>
      </c>
      <c r="D75" s="35">
        <v>366</v>
      </c>
      <c r="E75" s="35">
        <v>242</v>
      </c>
      <c r="F75" s="29">
        <f t="shared" si="3"/>
        <v>60.19736842105263</v>
      </c>
      <c r="G75" s="35"/>
      <c r="H75" s="38">
        <v>1</v>
      </c>
      <c r="I75" s="29">
        <f t="shared" si="1"/>
        <v>608</v>
      </c>
      <c r="J75" s="29">
        <f t="shared" si="2"/>
        <v>366</v>
      </c>
      <c r="K75" s="35"/>
    </row>
    <row r="76" spans="1:11">
      <c r="B76" s="35" t="s">
        <v>25</v>
      </c>
      <c r="C76" s="35">
        <v>519</v>
      </c>
      <c r="D76" s="35">
        <v>401</v>
      </c>
      <c r="E76" s="35">
        <v>118</v>
      </c>
      <c r="F76" s="29">
        <f t="shared" si="3"/>
        <v>77.263969171483623</v>
      </c>
      <c r="G76" s="35"/>
      <c r="H76" s="38">
        <v>8</v>
      </c>
      <c r="I76" s="29">
        <f t="shared" si="1"/>
        <v>64.875</v>
      </c>
      <c r="J76" s="29">
        <f t="shared" si="2"/>
        <v>50.125</v>
      </c>
      <c r="K76" s="35"/>
    </row>
    <row r="77" spans="1:11">
      <c r="B77" s="35" t="s">
        <v>26</v>
      </c>
      <c r="C77" s="35">
        <v>339</v>
      </c>
      <c r="D77" s="35">
        <v>279</v>
      </c>
      <c r="E77" s="35">
        <v>60</v>
      </c>
      <c r="F77" s="29">
        <f t="shared" si="3"/>
        <v>82.30088495575221</v>
      </c>
      <c r="G77" s="35"/>
      <c r="H77" s="38">
        <v>7</v>
      </c>
      <c r="I77" s="29">
        <f t="shared" si="1"/>
        <v>48.428571428571431</v>
      </c>
      <c r="J77" s="29">
        <f t="shared" si="2"/>
        <v>39.857142857142854</v>
      </c>
      <c r="K77" s="35"/>
    </row>
    <row r="78" spans="1:11">
      <c r="B78" s="35" t="s">
        <v>27</v>
      </c>
      <c r="C78" s="35">
        <v>421</v>
      </c>
      <c r="D78" s="35">
        <v>316</v>
      </c>
      <c r="E78" s="35">
        <v>105</v>
      </c>
      <c r="F78" s="29">
        <f t="shared" si="3"/>
        <v>75.059382422802841</v>
      </c>
      <c r="G78" s="35"/>
      <c r="H78" s="38">
        <v>4</v>
      </c>
      <c r="I78" s="29">
        <f t="shared" si="1"/>
        <v>105.25</v>
      </c>
      <c r="J78" s="29">
        <f t="shared" si="2"/>
        <v>79</v>
      </c>
      <c r="K78" s="35"/>
    </row>
    <row r="79" spans="1:11">
      <c r="B79" s="35" t="s">
        <v>28</v>
      </c>
      <c r="C79" s="35">
        <v>63</v>
      </c>
      <c r="D79" s="35">
        <v>51</v>
      </c>
      <c r="E79" s="35">
        <v>12</v>
      </c>
      <c r="F79" s="29">
        <f t="shared" si="3"/>
        <v>80.952380952380949</v>
      </c>
      <c r="G79" s="35"/>
      <c r="H79" s="38">
        <v>2</v>
      </c>
      <c r="I79" s="29">
        <f t="shared" si="1"/>
        <v>31.5</v>
      </c>
      <c r="J79" s="29">
        <f t="shared" si="2"/>
        <v>25.5</v>
      </c>
      <c r="K79" s="35"/>
    </row>
    <row r="80" spans="1:11">
      <c r="B80" s="35" t="s">
        <v>29</v>
      </c>
      <c r="C80" s="35">
        <v>237</v>
      </c>
      <c r="D80" s="35">
        <v>183</v>
      </c>
      <c r="E80" s="35">
        <v>54</v>
      </c>
      <c r="F80" s="29">
        <f t="shared" si="3"/>
        <v>77.215189873417728</v>
      </c>
      <c r="G80" s="35"/>
      <c r="H80" s="38">
        <v>5</v>
      </c>
      <c r="I80" s="29">
        <f t="shared" si="1"/>
        <v>47.4</v>
      </c>
      <c r="J80" s="29">
        <f t="shared" si="2"/>
        <v>36.6</v>
      </c>
      <c r="K80" s="35"/>
    </row>
    <row r="81" spans="2:11">
      <c r="B81" s="35" t="s">
        <v>30</v>
      </c>
      <c r="C81" s="35">
        <v>237</v>
      </c>
      <c r="D81" s="35">
        <v>167</v>
      </c>
      <c r="E81" s="35">
        <v>70</v>
      </c>
      <c r="F81" s="29">
        <f t="shared" si="3"/>
        <v>70.46413502109705</v>
      </c>
      <c r="G81" s="35"/>
      <c r="H81" s="38">
        <v>3</v>
      </c>
      <c r="I81" s="29">
        <f t="shared" si="1"/>
        <v>79</v>
      </c>
      <c r="J81" s="29">
        <f t="shared" si="2"/>
        <v>55.666666666666664</v>
      </c>
      <c r="K81" s="35"/>
    </row>
    <row r="82" spans="2:11">
      <c r="B82" s="35" t="s">
        <v>31</v>
      </c>
      <c r="C82" s="35">
        <v>254</v>
      </c>
      <c r="D82" s="35">
        <v>204</v>
      </c>
      <c r="E82" s="35">
        <v>50</v>
      </c>
      <c r="F82" s="29">
        <f t="shared" si="3"/>
        <v>80.314960629921259</v>
      </c>
      <c r="G82" s="35"/>
      <c r="H82" s="38">
        <v>4</v>
      </c>
      <c r="I82" s="29">
        <f t="shared" si="1"/>
        <v>63.5</v>
      </c>
      <c r="J82" s="29">
        <f t="shared" si="2"/>
        <v>51</v>
      </c>
      <c r="K82" s="35"/>
    </row>
    <row r="83" spans="2:11">
      <c r="B83" s="35" t="s">
        <v>32</v>
      </c>
      <c r="C83" s="35">
        <v>595</v>
      </c>
      <c r="D83" s="35">
        <v>374</v>
      </c>
      <c r="E83" s="35">
        <v>221</v>
      </c>
      <c r="F83" s="29">
        <f t="shared" si="3"/>
        <v>62.857142857142854</v>
      </c>
      <c r="G83" s="35"/>
      <c r="H83" s="38">
        <v>10</v>
      </c>
      <c r="I83" s="29">
        <f t="shared" si="1"/>
        <v>59.5</v>
      </c>
      <c r="J83" s="29">
        <f t="shared" si="2"/>
        <v>37.4</v>
      </c>
      <c r="K83" s="35"/>
    </row>
    <row r="84" spans="2:11">
      <c r="B84" s="35" t="s">
        <v>33</v>
      </c>
      <c r="C84" s="35">
        <v>1209</v>
      </c>
      <c r="D84" s="35">
        <v>736</v>
      </c>
      <c r="E84" s="35">
        <v>473</v>
      </c>
      <c r="F84" s="29">
        <f t="shared" si="3"/>
        <v>60.876757650951198</v>
      </c>
      <c r="G84" s="35"/>
      <c r="H84" s="38">
        <v>9</v>
      </c>
      <c r="I84" s="29">
        <f t="shared" si="1"/>
        <v>134.33333333333334</v>
      </c>
      <c r="J84" s="29">
        <f t="shared" si="2"/>
        <v>81.777777777777771</v>
      </c>
      <c r="K84" s="35"/>
    </row>
    <row r="85" spans="2:11">
      <c r="B85" s="35" t="s">
        <v>34</v>
      </c>
      <c r="C85" s="35">
        <v>1188</v>
      </c>
      <c r="D85" s="35">
        <v>918</v>
      </c>
      <c r="E85" s="35">
        <v>270</v>
      </c>
      <c r="F85" s="29">
        <f t="shared" si="3"/>
        <v>77.272727272727266</v>
      </c>
      <c r="G85" s="35"/>
      <c r="H85" s="38">
        <v>10</v>
      </c>
      <c r="I85" s="29">
        <f t="shared" si="1"/>
        <v>118.8</v>
      </c>
      <c r="J85" s="29">
        <f t="shared" si="2"/>
        <v>91.8</v>
      </c>
      <c r="K85" s="35"/>
    </row>
    <row r="86" spans="2:11">
      <c r="B86" s="35" t="s">
        <v>35</v>
      </c>
      <c r="C86" s="35">
        <v>897</v>
      </c>
      <c r="D86" s="35">
        <v>701</v>
      </c>
      <c r="E86" s="35">
        <v>196</v>
      </c>
      <c r="F86" s="29">
        <f t="shared" si="3"/>
        <v>78.149386845039018</v>
      </c>
      <c r="G86" s="35"/>
      <c r="H86" s="38">
        <v>8</v>
      </c>
      <c r="I86" s="29">
        <f t="shared" si="1"/>
        <v>112.125</v>
      </c>
      <c r="J86" s="29">
        <f t="shared" si="2"/>
        <v>87.625</v>
      </c>
      <c r="K86" s="35"/>
    </row>
    <row r="87" spans="2:11">
      <c r="B87" s="35" t="s">
        <v>36</v>
      </c>
      <c r="C87" s="35">
        <v>859</v>
      </c>
      <c r="D87" s="35">
        <v>595</v>
      </c>
      <c r="E87" s="35">
        <v>264</v>
      </c>
      <c r="F87" s="29">
        <f t="shared" si="3"/>
        <v>69.266589057043078</v>
      </c>
      <c r="G87" s="35"/>
      <c r="H87" s="38">
        <v>2</v>
      </c>
      <c r="I87" s="29">
        <f t="shared" si="1"/>
        <v>429.5</v>
      </c>
      <c r="J87" s="29">
        <f t="shared" si="2"/>
        <v>297.5</v>
      </c>
      <c r="K87" s="35"/>
    </row>
    <row r="88" spans="2:11">
      <c r="B88" s="35" t="s">
        <v>37</v>
      </c>
      <c r="C88" s="35">
        <v>1123</v>
      </c>
      <c r="D88" s="35">
        <v>659</v>
      </c>
      <c r="E88" s="35">
        <v>464</v>
      </c>
      <c r="F88" s="29">
        <f t="shared" si="3"/>
        <v>58.682101513802323</v>
      </c>
      <c r="G88" s="35"/>
      <c r="H88" s="38">
        <v>8</v>
      </c>
      <c r="I88" s="29">
        <f t="shared" si="1"/>
        <v>140.375</v>
      </c>
      <c r="J88" s="29">
        <f t="shared" si="2"/>
        <v>82.375</v>
      </c>
      <c r="K88" s="35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L2214"/>
  <sheetViews>
    <sheetView tabSelected="1" zoomScaleNormal="100" zoomScaleSheetLayoutView="118" workbookViewId="0">
      <selection activeCell="Z49" sqref="Z49"/>
    </sheetView>
  </sheetViews>
  <sheetFormatPr defaultRowHeight="15"/>
  <cols>
    <col min="1" max="1" width="23" style="40" customWidth="1"/>
    <col min="2" max="9" width="0" style="40" hidden="1" customWidth="1"/>
    <col min="10" max="13" width="9.140625" style="40"/>
    <col min="14" max="16" width="8.7109375" style="104" customWidth="1"/>
    <col min="17" max="17" width="25.28515625" style="40" customWidth="1"/>
    <col min="18" max="18" width="6.5703125" style="106" customWidth="1"/>
    <col min="19" max="19" width="1.28515625" style="94" customWidth="1"/>
    <col min="20" max="142" width="9.140625" style="94"/>
    <col min="143" max="16384" width="9.140625" style="40"/>
  </cols>
  <sheetData>
    <row r="1" spans="1:142" ht="18">
      <c r="A1" s="132" t="s">
        <v>64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</row>
    <row r="2" spans="1:142" s="41" customFormat="1">
      <c r="A2" s="133" t="s">
        <v>65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5"/>
      <c r="R2" s="107"/>
      <c r="S2" s="109"/>
      <c r="T2" s="109"/>
      <c r="U2" s="109"/>
      <c r="V2" s="109"/>
      <c r="W2" s="109"/>
      <c r="X2" s="109"/>
      <c r="Y2" s="109"/>
      <c r="Z2" s="109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</row>
    <row r="3" spans="1:142" s="47" customFormat="1" ht="17.25">
      <c r="A3" s="42" t="s">
        <v>66</v>
      </c>
      <c r="B3" s="43">
        <v>2002</v>
      </c>
      <c r="C3" s="43">
        <v>2003</v>
      </c>
      <c r="D3" s="43">
        <v>2004</v>
      </c>
      <c r="E3" s="43">
        <v>2005</v>
      </c>
      <c r="F3" s="43">
        <v>2006</v>
      </c>
      <c r="G3" s="43">
        <v>2007</v>
      </c>
      <c r="H3" s="43">
        <v>2008</v>
      </c>
      <c r="I3" s="43">
        <v>2009</v>
      </c>
      <c r="J3" s="43">
        <v>2010</v>
      </c>
      <c r="K3" s="43">
        <v>2011</v>
      </c>
      <c r="L3" s="43">
        <v>2012</v>
      </c>
      <c r="M3" s="43">
        <v>2013</v>
      </c>
      <c r="N3" s="44">
        <v>2014</v>
      </c>
      <c r="O3" s="44">
        <v>2015</v>
      </c>
      <c r="P3" s="44">
        <v>2016</v>
      </c>
      <c r="Q3" s="45" t="s">
        <v>67</v>
      </c>
      <c r="R3" s="91"/>
      <c r="S3" s="76"/>
      <c r="T3" s="76"/>
      <c r="U3" s="76"/>
      <c r="V3" s="76"/>
      <c r="W3" s="76"/>
      <c r="X3" s="76"/>
      <c r="Y3" s="76"/>
      <c r="Z3" s="76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7"/>
      <c r="BR3" s="77"/>
      <c r="BS3" s="77"/>
      <c r="BT3" s="77"/>
      <c r="BU3" s="77"/>
      <c r="BV3" s="77"/>
      <c r="BW3" s="77"/>
      <c r="BX3" s="77"/>
      <c r="BY3" s="77"/>
      <c r="BZ3" s="77"/>
      <c r="CA3" s="77"/>
      <c r="CB3" s="77"/>
      <c r="CC3" s="77"/>
      <c r="CD3" s="77"/>
      <c r="CE3" s="77"/>
      <c r="CF3" s="77"/>
      <c r="CG3" s="77"/>
      <c r="CH3" s="77"/>
      <c r="CI3" s="77"/>
      <c r="CJ3" s="77"/>
      <c r="CK3" s="77"/>
      <c r="CL3" s="77"/>
      <c r="CM3" s="77"/>
      <c r="CN3" s="77"/>
      <c r="CO3" s="77"/>
      <c r="CP3" s="77"/>
      <c r="CQ3" s="77"/>
      <c r="CR3" s="77"/>
      <c r="CS3" s="77"/>
      <c r="CT3" s="77"/>
      <c r="CU3" s="77"/>
      <c r="CV3" s="77"/>
      <c r="CW3" s="77"/>
      <c r="CX3" s="77"/>
      <c r="CY3" s="77"/>
      <c r="CZ3" s="77"/>
      <c r="DA3" s="77"/>
      <c r="DB3" s="77"/>
      <c r="DC3" s="77"/>
      <c r="DD3" s="77"/>
      <c r="DE3" s="77"/>
      <c r="DF3" s="77"/>
      <c r="DG3" s="77"/>
      <c r="DH3" s="77"/>
      <c r="DI3" s="77"/>
      <c r="DJ3" s="77"/>
      <c r="DK3" s="77"/>
      <c r="DL3" s="77"/>
      <c r="DM3" s="77"/>
      <c r="DN3" s="77"/>
      <c r="DO3" s="77"/>
      <c r="DP3" s="77"/>
      <c r="DQ3" s="77"/>
      <c r="DR3" s="77"/>
      <c r="DS3" s="77"/>
      <c r="DT3" s="77"/>
      <c r="DU3" s="77"/>
      <c r="DV3" s="77"/>
      <c r="DW3" s="77"/>
      <c r="DX3" s="77"/>
      <c r="DY3" s="77"/>
      <c r="DZ3" s="77"/>
      <c r="EA3" s="77"/>
      <c r="EB3" s="77"/>
      <c r="EC3" s="77"/>
      <c r="ED3" s="77"/>
      <c r="EE3" s="77"/>
      <c r="EF3" s="77"/>
      <c r="EG3" s="77"/>
      <c r="EH3" s="77"/>
      <c r="EI3" s="77"/>
      <c r="EJ3" s="77"/>
      <c r="EK3" s="77"/>
      <c r="EL3" s="77"/>
    </row>
    <row r="4" spans="1:142" s="47" customFormat="1">
      <c r="A4" s="48" t="s">
        <v>0</v>
      </c>
      <c r="B4" s="49">
        <f t="shared" ref="B4:K4" si="0">SUM(B6:B10)</f>
        <v>12390</v>
      </c>
      <c r="C4" s="49">
        <f t="shared" si="0"/>
        <v>11317</v>
      </c>
      <c r="D4" s="49">
        <f t="shared" si="0"/>
        <v>10776</v>
      </c>
      <c r="E4" s="49">
        <f t="shared" si="0"/>
        <v>12107</v>
      </c>
      <c r="F4" s="49">
        <f t="shared" si="0"/>
        <v>14084</v>
      </c>
      <c r="G4" s="49">
        <f t="shared" si="0"/>
        <v>13820</v>
      </c>
      <c r="H4" s="49">
        <f t="shared" si="0"/>
        <v>12921</v>
      </c>
      <c r="I4" s="49">
        <f t="shared" si="0"/>
        <v>15997</v>
      </c>
      <c r="J4" s="49">
        <f t="shared" si="0"/>
        <v>15036</v>
      </c>
      <c r="K4" s="49">
        <f t="shared" si="0"/>
        <v>14710</v>
      </c>
      <c r="L4" s="49">
        <f t="shared" ref="L4:O4" si="1">SUM(L5:L10)</f>
        <v>14329</v>
      </c>
      <c r="M4" s="49">
        <f t="shared" si="1"/>
        <v>16654</v>
      </c>
      <c r="N4" s="49">
        <f t="shared" si="1"/>
        <v>19579</v>
      </c>
      <c r="O4" s="49">
        <f t="shared" si="1"/>
        <v>19372</v>
      </c>
      <c r="P4" s="49">
        <f>SUM(P5:P10)</f>
        <v>20698</v>
      </c>
      <c r="Q4" s="50" t="s">
        <v>1</v>
      </c>
      <c r="R4" s="113"/>
      <c r="S4" s="76"/>
      <c r="T4" s="76"/>
      <c r="U4" s="76"/>
      <c r="V4" s="76"/>
      <c r="W4" s="76"/>
      <c r="X4" s="76"/>
      <c r="Y4" s="76"/>
      <c r="Z4" s="76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77"/>
      <c r="CD4" s="77"/>
      <c r="CE4" s="77"/>
      <c r="CF4" s="77"/>
      <c r="CG4" s="77"/>
      <c r="CH4" s="77"/>
      <c r="CI4" s="77"/>
      <c r="CJ4" s="77"/>
      <c r="CK4" s="77"/>
      <c r="CL4" s="77"/>
      <c r="CM4" s="77"/>
      <c r="CN4" s="77"/>
      <c r="CO4" s="77"/>
      <c r="CP4" s="77"/>
      <c r="CQ4" s="77"/>
      <c r="CR4" s="77"/>
      <c r="CS4" s="77"/>
      <c r="CT4" s="77"/>
      <c r="CU4" s="77"/>
      <c r="CV4" s="77"/>
      <c r="CW4" s="77"/>
      <c r="CX4" s="77"/>
      <c r="CY4" s="77"/>
      <c r="CZ4" s="77"/>
      <c r="DA4" s="77"/>
      <c r="DB4" s="77"/>
      <c r="DC4" s="77"/>
      <c r="DD4" s="77"/>
      <c r="DE4" s="77"/>
      <c r="DF4" s="77"/>
      <c r="DG4" s="77"/>
      <c r="DH4" s="77"/>
      <c r="DI4" s="77"/>
      <c r="DJ4" s="77"/>
      <c r="DK4" s="77"/>
      <c r="DL4" s="77"/>
      <c r="DM4" s="77"/>
      <c r="DN4" s="77"/>
      <c r="DO4" s="77"/>
      <c r="DP4" s="77"/>
      <c r="DQ4" s="77"/>
      <c r="DR4" s="77"/>
      <c r="DS4" s="77"/>
      <c r="DT4" s="77"/>
      <c r="DU4" s="77"/>
      <c r="DV4" s="77"/>
      <c r="DW4" s="77"/>
      <c r="DX4" s="77"/>
      <c r="DY4" s="77"/>
      <c r="DZ4" s="77"/>
      <c r="EA4" s="77"/>
      <c r="EB4" s="77"/>
      <c r="EC4" s="77"/>
      <c r="ED4" s="77"/>
      <c r="EE4" s="77"/>
      <c r="EF4" s="77"/>
      <c r="EG4" s="77"/>
      <c r="EH4" s="77"/>
      <c r="EI4" s="77"/>
      <c r="EJ4" s="77"/>
      <c r="EK4" s="77"/>
      <c r="EL4" s="77"/>
    </row>
    <row r="5" spans="1:142" s="47" customFormat="1" ht="17.25">
      <c r="A5" s="51" t="s">
        <v>68</v>
      </c>
      <c r="B5" s="49"/>
      <c r="C5" s="49"/>
      <c r="D5" s="49"/>
      <c r="E5" s="49"/>
      <c r="F5" s="49"/>
      <c r="G5" s="52"/>
      <c r="H5" s="53"/>
      <c r="I5" s="49"/>
      <c r="J5" s="54">
        <v>0</v>
      </c>
      <c r="K5" s="54">
        <v>0</v>
      </c>
      <c r="L5" s="54">
        <v>97</v>
      </c>
      <c r="M5" s="54">
        <v>465</v>
      </c>
      <c r="N5" s="54">
        <v>677</v>
      </c>
      <c r="O5" s="54">
        <v>1271</v>
      </c>
      <c r="P5" s="54">
        <v>1302</v>
      </c>
      <c r="Q5" s="55" t="s">
        <v>69</v>
      </c>
      <c r="R5" s="113"/>
      <c r="S5" s="76"/>
      <c r="T5" s="76"/>
      <c r="U5" s="76"/>
      <c r="V5" s="76"/>
      <c r="W5" s="76"/>
      <c r="X5" s="76"/>
      <c r="Y5" s="76"/>
      <c r="Z5" s="76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77"/>
      <c r="BO5" s="77"/>
      <c r="BP5" s="77"/>
      <c r="BQ5" s="77"/>
      <c r="BR5" s="77"/>
      <c r="BS5" s="77"/>
      <c r="BT5" s="77"/>
      <c r="BU5" s="77"/>
      <c r="BV5" s="77"/>
      <c r="BW5" s="77"/>
      <c r="BX5" s="77"/>
      <c r="BY5" s="77"/>
      <c r="BZ5" s="77"/>
      <c r="CA5" s="77"/>
      <c r="CB5" s="77"/>
      <c r="CC5" s="77"/>
      <c r="CD5" s="77"/>
      <c r="CE5" s="77"/>
      <c r="CF5" s="77"/>
      <c r="CG5" s="77"/>
      <c r="CH5" s="77"/>
      <c r="CI5" s="77"/>
      <c r="CJ5" s="77"/>
      <c r="CK5" s="77"/>
      <c r="CL5" s="77"/>
      <c r="CM5" s="77"/>
      <c r="CN5" s="77"/>
      <c r="CO5" s="77"/>
      <c r="CP5" s="77"/>
      <c r="CQ5" s="77"/>
      <c r="CR5" s="77"/>
      <c r="CS5" s="77"/>
      <c r="CT5" s="77"/>
      <c r="CU5" s="77"/>
      <c r="CV5" s="77"/>
      <c r="CW5" s="77"/>
      <c r="CX5" s="77"/>
      <c r="CY5" s="77"/>
      <c r="CZ5" s="77"/>
      <c r="DA5" s="77"/>
      <c r="DB5" s="77"/>
      <c r="DC5" s="77"/>
      <c r="DD5" s="77"/>
      <c r="DE5" s="77"/>
      <c r="DF5" s="77"/>
      <c r="DG5" s="77"/>
      <c r="DH5" s="77"/>
      <c r="DI5" s="77"/>
      <c r="DJ5" s="77"/>
      <c r="DK5" s="77"/>
      <c r="DL5" s="77"/>
      <c r="DM5" s="77"/>
      <c r="DN5" s="77"/>
      <c r="DO5" s="77"/>
      <c r="DP5" s="77"/>
      <c r="DQ5" s="77"/>
      <c r="DR5" s="77"/>
      <c r="DS5" s="77"/>
      <c r="DT5" s="77"/>
      <c r="DU5" s="77"/>
      <c r="DV5" s="77"/>
      <c r="DW5" s="77"/>
      <c r="DX5" s="77"/>
      <c r="DY5" s="77"/>
      <c r="DZ5" s="77"/>
      <c r="EA5" s="77"/>
      <c r="EB5" s="77"/>
      <c r="EC5" s="77"/>
      <c r="ED5" s="77"/>
      <c r="EE5" s="77"/>
      <c r="EF5" s="77"/>
      <c r="EG5" s="77"/>
      <c r="EH5" s="77"/>
      <c r="EI5" s="77"/>
      <c r="EJ5" s="77"/>
      <c r="EK5" s="77"/>
      <c r="EL5" s="77"/>
    </row>
    <row r="6" spans="1:142" s="47" customFormat="1" ht="17.25">
      <c r="A6" s="51" t="s">
        <v>70</v>
      </c>
      <c r="B6" s="56">
        <v>136</v>
      </c>
      <c r="C6" s="56">
        <v>210</v>
      </c>
      <c r="D6" s="56">
        <v>184</v>
      </c>
      <c r="E6" s="56">
        <v>86</v>
      </c>
      <c r="F6" s="56">
        <v>154</v>
      </c>
      <c r="G6" s="57">
        <v>103</v>
      </c>
      <c r="H6" s="54">
        <v>62</v>
      </c>
      <c r="I6" s="58">
        <v>105</v>
      </c>
      <c r="J6" s="54">
        <v>211</v>
      </c>
      <c r="K6" s="54">
        <v>123</v>
      </c>
      <c r="L6" s="54">
        <v>94</v>
      </c>
      <c r="M6" s="54">
        <v>122</v>
      </c>
      <c r="N6" s="54">
        <v>81</v>
      </c>
      <c r="O6" s="54">
        <v>26</v>
      </c>
      <c r="P6" s="54">
        <v>31</v>
      </c>
      <c r="Q6" s="55" t="s">
        <v>71</v>
      </c>
      <c r="R6" s="114"/>
      <c r="S6" s="76"/>
      <c r="T6" s="76"/>
      <c r="U6" s="76"/>
      <c r="V6" s="76"/>
      <c r="W6" s="76"/>
      <c r="X6" s="76"/>
      <c r="Y6" s="76"/>
      <c r="Z6" s="76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/>
      <c r="BL6" s="77"/>
      <c r="BM6" s="77"/>
      <c r="BN6" s="77"/>
      <c r="BO6" s="77"/>
      <c r="BP6" s="77"/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  <c r="CW6" s="77"/>
      <c r="CX6" s="77"/>
      <c r="CY6" s="77"/>
      <c r="CZ6" s="77"/>
      <c r="DA6" s="77"/>
      <c r="DB6" s="77"/>
      <c r="DC6" s="77"/>
      <c r="DD6" s="77"/>
      <c r="DE6" s="77"/>
      <c r="DF6" s="77"/>
      <c r="DG6" s="77"/>
      <c r="DH6" s="77"/>
      <c r="DI6" s="77"/>
      <c r="DJ6" s="77"/>
      <c r="DK6" s="77"/>
      <c r="DL6" s="77"/>
      <c r="DM6" s="77"/>
      <c r="DN6" s="77"/>
      <c r="DO6" s="77"/>
      <c r="DP6" s="77"/>
      <c r="DQ6" s="77"/>
      <c r="DR6" s="77"/>
      <c r="DS6" s="77"/>
      <c r="DT6" s="77"/>
      <c r="DU6" s="77"/>
      <c r="DV6" s="77"/>
      <c r="DW6" s="77"/>
      <c r="DX6" s="77"/>
      <c r="DY6" s="77"/>
      <c r="DZ6" s="77"/>
      <c r="EA6" s="77"/>
      <c r="EB6" s="77"/>
      <c r="EC6" s="77"/>
      <c r="ED6" s="77"/>
      <c r="EE6" s="77"/>
      <c r="EF6" s="77"/>
      <c r="EG6" s="77"/>
      <c r="EH6" s="77"/>
      <c r="EI6" s="77"/>
      <c r="EJ6" s="77"/>
      <c r="EK6" s="77"/>
      <c r="EL6" s="77"/>
    </row>
    <row r="7" spans="1:142" s="47" customFormat="1" ht="17.25">
      <c r="A7" s="51" t="s">
        <v>72</v>
      </c>
      <c r="B7" s="56">
        <v>1302</v>
      </c>
      <c r="C7" s="56">
        <v>1332</v>
      </c>
      <c r="D7" s="56">
        <v>1401</v>
      </c>
      <c r="E7" s="56">
        <v>1865</v>
      </c>
      <c r="F7" s="56">
        <v>2034</v>
      </c>
      <c r="G7" s="57">
        <v>1981</v>
      </c>
      <c r="H7" s="54">
        <v>2032</v>
      </c>
      <c r="I7" s="54">
        <v>2089</v>
      </c>
      <c r="J7" s="54">
        <v>2044</v>
      </c>
      <c r="K7" s="54">
        <v>1996</v>
      </c>
      <c r="L7" s="54">
        <v>2194</v>
      </c>
      <c r="M7" s="54">
        <v>2590</v>
      </c>
      <c r="N7" s="54">
        <v>2616</v>
      </c>
      <c r="O7" s="54">
        <v>2553</v>
      </c>
      <c r="P7" s="54">
        <v>2562</v>
      </c>
      <c r="Q7" s="55" t="s">
        <v>73</v>
      </c>
      <c r="R7" s="113"/>
      <c r="S7" s="76"/>
      <c r="T7" s="76"/>
      <c r="U7" s="76"/>
      <c r="V7" s="76"/>
      <c r="W7" s="76"/>
      <c r="X7" s="76"/>
      <c r="Y7" s="76"/>
      <c r="Z7" s="76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77"/>
      <c r="BQ7" s="77"/>
      <c r="BR7" s="77"/>
      <c r="BS7" s="77"/>
      <c r="BT7" s="77"/>
      <c r="BU7" s="77"/>
      <c r="BV7" s="77"/>
      <c r="BW7" s="77"/>
      <c r="BX7" s="77"/>
      <c r="BY7" s="77"/>
      <c r="BZ7" s="77"/>
      <c r="CA7" s="77"/>
      <c r="CB7" s="77"/>
      <c r="CC7" s="77"/>
      <c r="CD7" s="77"/>
      <c r="CE7" s="77"/>
      <c r="CF7" s="77"/>
      <c r="CG7" s="77"/>
      <c r="CH7" s="77"/>
      <c r="CI7" s="77"/>
      <c r="CJ7" s="77"/>
      <c r="CK7" s="77"/>
      <c r="CL7" s="77"/>
      <c r="CM7" s="77"/>
      <c r="CN7" s="77"/>
      <c r="CO7" s="77"/>
      <c r="CP7" s="77"/>
      <c r="CQ7" s="77"/>
      <c r="CR7" s="77"/>
      <c r="CS7" s="77"/>
      <c r="CT7" s="77"/>
      <c r="CU7" s="77"/>
      <c r="CV7" s="77"/>
      <c r="CW7" s="77"/>
      <c r="CX7" s="77"/>
      <c r="CY7" s="77"/>
      <c r="CZ7" s="77"/>
      <c r="DA7" s="77"/>
      <c r="DB7" s="77"/>
      <c r="DC7" s="77"/>
      <c r="DD7" s="77"/>
      <c r="DE7" s="77"/>
      <c r="DF7" s="77"/>
      <c r="DG7" s="77"/>
      <c r="DH7" s="77"/>
      <c r="DI7" s="77"/>
      <c r="DJ7" s="77"/>
      <c r="DK7" s="77"/>
      <c r="DL7" s="77"/>
      <c r="DM7" s="77"/>
      <c r="DN7" s="77"/>
      <c r="DO7" s="77"/>
      <c r="DP7" s="77"/>
      <c r="DQ7" s="77"/>
      <c r="DR7" s="77"/>
      <c r="DS7" s="77"/>
      <c r="DT7" s="77"/>
      <c r="DU7" s="77"/>
      <c r="DV7" s="77"/>
      <c r="DW7" s="77"/>
      <c r="DX7" s="77"/>
      <c r="DY7" s="77"/>
      <c r="DZ7" s="77"/>
      <c r="EA7" s="77"/>
      <c r="EB7" s="77"/>
      <c r="EC7" s="77"/>
      <c r="ED7" s="77"/>
      <c r="EE7" s="77"/>
      <c r="EF7" s="77"/>
      <c r="EG7" s="77"/>
      <c r="EH7" s="77"/>
      <c r="EI7" s="77"/>
      <c r="EJ7" s="77"/>
      <c r="EK7" s="77"/>
      <c r="EL7" s="77"/>
    </row>
    <row r="8" spans="1:142" s="47" customFormat="1" ht="17.25">
      <c r="A8" s="51" t="s">
        <v>74</v>
      </c>
      <c r="B8" s="56">
        <v>1700</v>
      </c>
      <c r="C8" s="56">
        <v>1071</v>
      </c>
      <c r="D8" s="56">
        <v>798</v>
      </c>
      <c r="E8" s="56">
        <v>949</v>
      </c>
      <c r="F8" s="56">
        <v>1643</v>
      </c>
      <c r="G8" s="57">
        <v>2002</v>
      </c>
      <c r="H8" s="54">
        <v>1460</v>
      </c>
      <c r="I8" s="54">
        <v>2334</v>
      </c>
      <c r="J8" s="54">
        <v>1433</v>
      </c>
      <c r="K8" s="54">
        <v>1036</v>
      </c>
      <c r="L8" s="54">
        <v>990</v>
      </c>
      <c r="M8" s="54">
        <v>1669</v>
      </c>
      <c r="N8" s="54">
        <v>1957</v>
      </c>
      <c r="O8" s="54">
        <v>1069</v>
      </c>
      <c r="P8" s="54">
        <v>860</v>
      </c>
      <c r="Q8" s="55" t="s">
        <v>75</v>
      </c>
      <c r="R8" s="113"/>
      <c r="S8" s="76"/>
      <c r="T8" s="76"/>
      <c r="U8" s="76"/>
      <c r="V8" s="76"/>
      <c r="W8" s="76"/>
      <c r="X8" s="76"/>
      <c r="Y8" s="76"/>
      <c r="Z8" s="76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7"/>
      <c r="BQ8" s="77"/>
      <c r="BR8" s="77"/>
      <c r="BS8" s="77"/>
      <c r="BT8" s="77"/>
      <c r="BU8" s="77"/>
      <c r="BV8" s="77"/>
      <c r="BW8" s="77"/>
      <c r="BX8" s="77"/>
      <c r="BY8" s="77"/>
      <c r="BZ8" s="77"/>
      <c r="CA8" s="77"/>
      <c r="CB8" s="77"/>
      <c r="CC8" s="77"/>
      <c r="CD8" s="77"/>
      <c r="CE8" s="77"/>
      <c r="CF8" s="77"/>
      <c r="CG8" s="77"/>
      <c r="CH8" s="77"/>
      <c r="CI8" s="77"/>
      <c r="CJ8" s="77"/>
      <c r="CK8" s="77"/>
      <c r="CL8" s="77"/>
      <c r="CM8" s="77"/>
      <c r="CN8" s="77"/>
      <c r="CO8" s="77"/>
      <c r="CP8" s="77"/>
      <c r="CQ8" s="77"/>
      <c r="CR8" s="77"/>
      <c r="CS8" s="77"/>
      <c r="CT8" s="77"/>
      <c r="CU8" s="77"/>
      <c r="CV8" s="77"/>
      <c r="CW8" s="77"/>
      <c r="CX8" s="77"/>
      <c r="CY8" s="77"/>
      <c r="CZ8" s="77"/>
      <c r="DA8" s="77"/>
      <c r="DB8" s="77"/>
      <c r="DC8" s="77"/>
      <c r="DD8" s="77"/>
      <c r="DE8" s="77"/>
      <c r="DF8" s="77"/>
      <c r="DG8" s="77"/>
      <c r="DH8" s="77"/>
      <c r="DI8" s="77"/>
      <c r="DJ8" s="77"/>
      <c r="DK8" s="77"/>
      <c r="DL8" s="77"/>
      <c r="DM8" s="77"/>
      <c r="DN8" s="77"/>
      <c r="DO8" s="77"/>
      <c r="DP8" s="77"/>
      <c r="DQ8" s="77"/>
      <c r="DR8" s="77"/>
      <c r="DS8" s="77"/>
      <c r="DT8" s="77"/>
      <c r="DU8" s="77"/>
      <c r="DV8" s="77"/>
      <c r="DW8" s="77"/>
      <c r="DX8" s="77"/>
      <c r="DY8" s="77"/>
      <c r="DZ8" s="77"/>
      <c r="EA8" s="77"/>
      <c r="EB8" s="77"/>
      <c r="EC8" s="77"/>
      <c r="ED8" s="77"/>
      <c r="EE8" s="77"/>
      <c r="EF8" s="77"/>
      <c r="EG8" s="77"/>
      <c r="EH8" s="77"/>
      <c r="EI8" s="77"/>
      <c r="EJ8" s="77"/>
      <c r="EK8" s="77"/>
      <c r="EL8" s="77"/>
    </row>
    <row r="9" spans="1:142" s="47" customFormat="1" ht="17.25">
      <c r="A9" s="51" t="s">
        <v>76</v>
      </c>
      <c r="B9" s="56">
        <v>2292</v>
      </c>
      <c r="C9" s="56">
        <v>1953</v>
      </c>
      <c r="D9" s="56">
        <v>1618</v>
      </c>
      <c r="E9" s="56">
        <v>1940</v>
      </c>
      <c r="F9" s="56">
        <v>2119</v>
      </c>
      <c r="G9" s="57">
        <v>1958</v>
      </c>
      <c r="H9" s="54">
        <v>2181</v>
      </c>
      <c r="I9" s="54">
        <v>2754</v>
      </c>
      <c r="J9" s="54">
        <v>2493</v>
      </c>
      <c r="K9" s="54">
        <v>2262</v>
      </c>
      <c r="L9" s="54">
        <v>2412</v>
      </c>
      <c r="M9" s="54">
        <v>2154</v>
      </c>
      <c r="N9" s="54">
        <v>3203</v>
      </c>
      <c r="O9" s="54">
        <v>2283</v>
      </c>
      <c r="P9" s="54">
        <v>3326</v>
      </c>
      <c r="Q9" s="55" t="s">
        <v>77</v>
      </c>
      <c r="R9" s="115"/>
      <c r="S9" s="76"/>
      <c r="T9" s="54"/>
      <c r="U9" s="76"/>
      <c r="V9" s="76"/>
      <c r="W9" s="76"/>
      <c r="X9" s="76"/>
      <c r="Y9" s="76"/>
      <c r="Z9" s="76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7"/>
      <c r="BQ9" s="77"/>
      <c r="BR9" s="77"/>
      <c r="BS9" s="77"/>
      <c r="BT9" s="77"/>
      <c r="BU9" s="77"/>
      <c r="BV9" s="77"/>
      <c r="BW9" s="77"/>
      <c r="BX9" s="77"/>
      <c r="BY9" s="77"/>
      <c r="BZ9" s="77"/>
      <c r="CA9" s="77"/>
      <c r="CB9" s="77"/>
      <c r="CC9" s="77"/>
      <c r="CD9" s="77"/>
      <c r="CE9" s="77"/>
      <c r="CF9" s="77"/>
      <c r="CG9" s="77"/>
      <c r="CH9" s="77"/>
      <c r="CI9" s="77"/>
      <c r="CJ9" s="77"/>
      <c r="CK9" s="77"/>
      <c r="CL9" s="77"/>
      <c r="CM9" s="77"/>
      <c r="CN9" s="77"/>
      <c r="CO9" s="77"/>
      <c r="CP9" s="77"/>
      <c r="CQ9" s="77"/>
      <c r="CR9" s="77"/>
      <c r="CS9" s="77"/>
      <c r="CT9" s="77"/>
      <c r="CU9" s="77"/>
      <c r="CV9" s="77"/>
      <c r="CW9" s="77"/>
      <c r="CX9" s="77"/>
      <c r="CY9" s="77"/>
      <c r="CZ9" s="77"/>
      <c r="DA9" s="77"/>
      <c r="DB9" s="77"/>
      <c r="DC9" s="77"/>
      <c r="DD9" s="77"/>
      <c r="DE9" s="77"/>
      <c r="DF9" s="77"/>
      <c r="DG9" s="77"/>
      <c r="DH9" s="77"/>
      <c r="DI9" s="77"/>
      <c r="DJ9" s="77"/>
      <c r="DK9" s="77"/>
      <c r="DL9" s="77"/>
      <c r="DM9" s="77"/>
      <c r="DN9" s="77"/>
      <c r="DO9" s="77"/>
      <c r="DP9" s="77"/>
      <c r="DQ9" s="77"/>
      <c r="DR9" s="77"/>
      <c r="DS9" s="77"/>
      <c r="DT9" s="77"/>
      <c r="DU9" s="77"/>
      <c r="DV9" s="77"/>
      <c r="DW9" s="77"/>
      <c r="DX9" s="77"/>
      <c r="DY9" s="77"/>
      <c r="DZ9" s="77"/>
      <c r="EA9" s="77"/>
      <c r="EB9" s="77"/>
      <c r="EC9" s="77"/>
      <c r="ED9" s="77"/>
      <c r="EE9" s="77"/>
      <c r="EF9" s="77"/>
      <c r="EG9" s="77"/>
      <c r="EH9" s="77"/>
      <c r="EI9" s="77"/>
      <c r="EJ9" s="77"/>
      <c r="EK9" s="77"/>
      <c r="EL9" s="77"/>
    </row>
    <row r="10" spans="1:142" s="47" customFormat="1" ht="17.25">
      <c r="A10" s="59" t="s">
        <v>78</v>
      </c>
      <c r="B10" s="60">
        <v>6960</v>
      </c>
      <c r="C10" s="60">
        <v>6751</v>
      </c>
      <c r="D10" s="60">
        <v>6775</v>
      </c>
      <c r="E10" s="60">
        <v>7267</v>
      </c>
      <c r="F10" s="60">
        <v>8134</v>
      </c>
      <c r="G10" s="61">
        <v>7776</v>
      </c>
      <c r="H10" s="62">
        <v>7186</v>
      </c>
      <c r="I10" s="62">
        <v>8715</v>
      </c>
      <c r="J10" s="62">
        <v>8855</v>
      </c>
      <c r="K10" s="62">
        <v>9293</v>
      </c>
      <c r="L10" s="62">
        <v>8542</v>
      </c>
      <c r="M10" s="62">
        <v>9654</v>
      </c>
      <c r="N10" s="62">
        <v>11045</v>
      </c>
      <c r="O10" s="62">
        <v>12170</v>
      </c>
      <c r="P10" s="62">
        <v>12617</v>
      </c>
      <c r="Q10" s="63" t="s">
        <v>79</v>
      </c>
      <c r="R10" s="115"/>
      <c r="S10" s="76"/>
      <c r="T10" s="54"/>
      <c r="U10" s="76"/>
      <c r="V10" s="76"/>
      <c r="W10" s="76"/>
      <c r="X10" s="76"/>
      <c r="Y10" s="76"/>
      <c r="Z10" s="76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7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7"/>
      <c r="CC10" s="77"/>
      <c r="CD10" s="77"/>
      <c r="CE10" s="77"/>
      <c r="CF10" s="77"/>
      <c r="CG10" s="77"/>
      <c r="CH10" s="77"/>
      <c r="CI10" s="77"/>
      <c r="CJ10" s="77"/>
      <c r="CK10" s="77"/>
      <c r="CL10" s="77"/>
      <c r="CM10" s="77"/>
      <c r="CN10" s="77"/>
      <c r="CO10" s="77"/>
      <c r="CP10" s="77"/>
      <c r="CQ10" s="77"/>
      <c r="CR10" s="77"/>
      <c r="CS10" s="77"/>
      <c r="CT10" s="77"/>
      <c r="CU10" s="77"/>
      <c r="CV10" s="77"/>
      <c r="CW10" s="77"/>
      <c r="CX10" s="77"/>
      <c r="CY10" s="77"/>
      <c r="CZ10" s="77"/>
      <c r="DA10" s="77"/>
      <c r="DB10" s="77"/>
      <c r="DC10" s="77"/>
      <c r="DD10" s="77"/>
      <c r="DE10" s="77"/>
      <c r="DF10" s="77"/>
      <c r="DG10" s="77"/>
      <c r="DH10" s="77"/>
      <c r="DI10" s="77"/>
      <c r="DJ10" s="77"/>
      <c r="DK10" s="77"/>
      <c r="DL10" s="77"/>
      <c r="DM10" s="77"/>
      <c r="DN10" s="77"/>
      <c r="DO10" s="77"/>
      <c r="DP10" s="77"/>
      <c r="DQ10" s="77"/>
      <c r="DR10" s="77"/>
      <c r="DS10" s="77"/>
      <c r="DT10" s="77"/>
      <c r="DU10" s="77"/>
      <c r="DV10" s="77"/>
      <c r="DW10" s="77"/>
      <c r="DX10" s="77"/>
      <c r="DY10" s="77"/>
      <c r="DZ10" s="77"/>
      <c r="EA10" s="77"/>
      <c r="EB10" s="77"/>
      <c r="EC10" s="77"/>
      <c r="ED10" s="77"/>
      <c r="EE10" s="77"/>
      <c r="EF10" s="77"/>
      <c r="EG10" s="77"/>
      <c r="EH10" s="77"/>
      <c r="EI10" s="77"/>
      <c r="EJ10" s="77"/>
      <c r="EK10" s="77"/>
      <c r="EL10" s="77"/>
    </row>
    <row r="11" spans="1:142" s="47" customFormat="1">
      <c r="A11" s="48" t="s">
        <v>80</v>
      </c>
      <c r="B11" s="64">
        <f>SUM(B13:B17)</f>
        <v>100</v>
      </c>
      <c r="C11" s="64">
        <f t="shared" ref="C11:I11" si="2">SUM(C13:C17)</f>
        <v>100</v>
      </c>
      <c r="D11" s="64">
        <f t="shared" si="2"/>
        <v>100</v>
      </c>
      <c r="E11" s="64">
        <f t="shared" si="2"/>
        <v>100</v>
      </c>
      <c r="F11" s="64">
        <f t="shared" si="2"/>
        <v>100</v>
      </c>
      <c r="G11" s="64">
        <f t="shared" si="2"/>
        <v>100</v>
      </c>
      <c r="H11" s="64">
        <f t="shared" si="2"/>
        <v>100</v>
      </c>
      <c r="I11" s="64">
        <f t="shared" si="2"/>
        <v>100</v>
      </c>
      <c r="J11" s="64">
        <f>SUM(J12:J17)</f>
        <v>100</v>
      </c>
      <c r="K11" s="64">
        <f t="shared" ref="K11:O11" si="3">SUM(K12:K17)</f>
        <v>100</v>
      </c>
      <c r="L11" s="64">
        <f t="shared" si="3"/>
        <v>100</v>
      </c>
      <c r="M11" s="64">
        <f t="shared" si="3"/>
        <v>100</v>
      </c>
      <c r="N11" s="64">
        <f t="shared" si="3"/>
        <v>100</v>
      </c>
      <c r="O11" s="64">
        <f t="shared" si="3"/>
        <v>100</v>
      </c>
      <c r="P11" s="64">
        <f>SUM(P12:P17)</f>
        <v>100</v>
      </c>
      <c r="Q11" s="50" t="s">
        <v>81</v>
      </c>
      <c r="R11" s="113"/>
      <c r="S11" s="76"/>
      <c r="T11" s="76"/>
      <c r="U11" s="76"/>
      <c r="V11" s="76"/>
      <c r="W11" s="76"/>
      <c r="X11" s="76"/>
      <c r="Y11" s="76"/>
      <c r="Z11" s="76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7"/>
      <c r="BQ11" s="77"/>
      <c r="BR11" s="77"/>
      <c r="BS11" s="77"/>
      <c r="BT11" s="77"/>
      <c r="BU11" s="77"/>
      <c r="BV11" s="77"/>
      <c r="BW11" s="77"/>
      <c r="BX11" s="77"/>
      <c r="BY11" s="77"/>
      <c r="BZ11" s="77"/>
      <c r="CA11" s="77"/>
      <c r="CB11" s="77"/>
      <c r="CC11" s="77"/>
      <c r="CD11" s="77"/>
      <c r="CE11" s="77"/>
      <c r="CF11" s="77"/>
      <c r="CG11" s="77"/>
      <c r="CH11" s="77"/>
      <c r="CI11" s="77"/>
      <c r="CJ11" s="77"/>
      <c r="CK11" s="77"/>
      <c r="CL11" s="77"/>
      <c r="CM11" s="77"/>
      <c r="CN11" s="77"/>
      <c r="CO11" s="77"/>
      <c r="CP11" s="77"/>
      <c r="CQ11" s="77"/>
      <c r="CR11" s="77"/>
      <c r="CS11" s="77"/>
      <c r="CT11" s="77"/>
      <c r="CU11" s="77"/>
      <c r="CV11" s="77"/>
      <c r="CW11" s="77"/>
      <c r="CX11" s="77"/>
      <c r="CY11" s="77"/>
      <c r="CZ11" s="77"/>
      <c r="DA11" s="77"/>
      <c r="DB11" s="77"/>
      <c r="DC11" s="77"/>
      <c r="DD11" s="77"/>
      <c r="DE11" s="77"/>
      <c r="DF11" s="77"/>
      <c r="DG11" s="77"/>
      <c r="DH11" s="77"/>
      <c r="DI11" s="77"/>
      <c r="DJ11" s="77"/>
      <c r="DK11" s="77"/>
      <c r="DL11" s="77"/>
      <c r="DM11" s="77"/>
      <c r="DN11" s="77"/>
      <c r="DO11" s="77"/>
      <c r="DP11" s="77"/>
      <c r="DQ11" s="77"/>
      <c r="DR11" s="77"/>
      <c r="DS11" s="77"/>
      <c r="DT11" s="77"/>
      <c r="DU11" s="77"/>
      <c r="DV11" s="77"/>
      <c r="DW11" s="77"/>
      <c r="DX11" s="77"/>
      <c r="DY11" s="77"/>
      <c r="DZ11" s="77"/>
      <c r="EA11" s="77"/>
      <c r="EB11" s="77"/>
      <c r="EC11" s="77"/>
      <c r="ED11" s="77"/>
      <c r="EE11" s="77"/>
      <c r="EF11" s="77"/>
      <c r="EG11" s="77"/>
      <c r="EH11" s="77"/>
      <c r="EI11" s="77"/>
      <c r="EJ11" s="77"/>
      <c r="EK11" s="77"/>
      <c r="EL11" s="77"/>
    </row>
    <row r="12" spans="1:142" s="47" customFormat="1" ht="17.25">
      <c r="A12" s="65" t="s">
        <v>68</v>
      </c>
      <c r="B12" s="64"/>
      <c r="C12" s="64"/>
      <c r="D12" s="64"/>
      <c r="E12" s="64"/>
      <c r="F12" s="64"/>
      <c r="G12" s="64"/>
      <c r="H12" s="64"/>
      <c r="I12" s="64"/>
      <c r="J12" s="124" t="s">
        <v>85</v>
      </c>
      <c r="K12" s="124" t="s">
        <v>85</v>
      </c>
      <c r="L12" s="122">
        <f t="shared" ref="L12:O12" si="4">SUM(L5/L4)*100</f>
        <v>0.67694884499965102</v>
      </c>
      <c r="M12" s="122">
        <f t="shared" si="4"/>
        <v>2.7921220127296746</v>
      </c>
      <c r="N12" s="122">
        <f t="shared" si="4"/>
        <v>3.4577864037999895</v>
      </c>
      <c r="O12" s="122">
        <f t="shared" si="4"/>
        <v>6.5610158992360113</v>
      </c>
      <c r="P12" s="123">
        <f>SUM(P5/P4)*100</f>
        <v>6.2904628466518506</v>
      </c>
      <c r="Q12" s="55" t="s">
        <v>69</v>
      </c>
      <c r="R12" s="113"/>
      <c r="S12" s="76"/>
      <c r="T12" s="76"/>
      <c r="U12" s="76"/>
      <c r="V12" s="76"/>
      <c r="W12" s="76"/>
      <c r="X12" s="76"/>
      <c r="Y12" s="76"/>
      <c r="Z12" s="76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77"/>
      <c r="BQ12" s="77"/>
      <c r="BR12" s="77"/>
      <c r="BS12" s="77"/>
      <c r="BT12" s="77"/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7"/>
      <c r="CF12" s="77"/>
      <c r="CG12" s="77"/>
      <c r="CH12" s="77"/>
      <c r="CI12" s="77"/>
      <c r="CJ12" s="77"/>
      <c r="CK12" s="77"/>
      <c r="CL12" s="77"/>
      <c r="CM12" s="77"/>
      <c r="CN12" s="77"/>
      <c r="CO12" s="77"/>
      <c r="CP12" s="77"/>
      <c r="CQ12" s="77"/>
      <c r="CR12" s="77"/>
      <c r="CS12" s="77"/>
      <c r="CT12" s="77"/>
      <c r="CU12" s="77"/>
      <c r="CV12" s="77"/>
      <c r="CW12" s="77"/>
      <c r="CX12" s="77"/>
      <c r="CY12" s="77"/>
      <c r="CZ12" s="77"/>
      <c r="DA12" s="77"/>
      <c r="DB12" s="77"/>
      <c r="DC12" s="77"/>
      <c r="DD12" s="77"/>
      <c r="DE12" s="77"/>
      <c r="DF12" s="77"/>
      <c r="DG12" s="77"/>
      <c r="DH12" s="77"/>
      <c r="DI12" s="77"/>
      <c r="DJ12" s="77"/>
      <c r="DK12" s="77"/>
      <c r="DL12" s="77"/>
      <c r="DM12" s="77"/>
      <c r="DN12" s="77"/>
      <c r="DO12" s="77"/>
      <c r="DP12" s="77"/>
      <c r="DQ12" s="77"/>
      <c r="DR12" s="77"/>
      <c r="DS12" s="77"/>
      <c r="DT12" s="77"/>
      <c r="DU12" s="77"/>
      <c r="DV12" s="77"/>
      <c r="DW12" s="77"/>
      <c r="DX12" s="77"/>
      <c r="DY12" s="77"/>
      <c r="DZ12" s="77"/>
      <c r="EA12" s="77"/>
      <c r="EB12" s="77"/>
      <c r="EC12" s="77"/>
      <c r="ED12" s="77"/>
      <c r="EE12" s="77"/>
      <c r="EF12" s="77"/>
      <c r="EG12" s="77"/>
      <c r="EH12" s="77"/>
      <c r="EI12" s="77"/>
      <c r="EJ12" s="77"/>
      <c r="EK12" s="77"/>
      <c r="EL12" s="77"/>
    </row>
    <row r="13" spans="1:142" s="47" customFormat="1" ht="17.25">
      <c r="A13" s="51" t="s">
        <v>70</v>
      </c>
      <c r="B13" s="66">
        <f t="shared" ref="B13:P13" si="5">SUM(B6/B4)*100</f>
        <v>1.0976594027441486</v>
      </c>
      <c r="C13" s="66">
        <f t="shared" si="5"/>
        <v>1.8556154457895202</v>
      </c>
      <c r="D13" s="66">
        <f t="shared" si="5"/>
        <v>1.7074981440237564</v>
      </c>
      <c r="E13" s="66">
        <f t="shared" si="5"/>
        <v>0.7103328652845462</v>
      </c>
      <c r="F13" s="66">
        <f t="shared" si="5"/>
        <v>1.0934393638170974</v>
      </c>
      <c r="G13" s="66">
        <f t="shared" si="5"/>
        <v>0.74529667149059331</v>
      </c>
      <c r="H13" s="66">
        <f t="shared" si="5"/>
        <v>0.47983902174754278</v>
      </c>
      <c r="I13" s="66">
        <f t="shared" si="5"/>
        <v>0.65637306995061573</v>
      </c>
      <c r="J13" s="66">
        <f t="shared" si="5"/>
        <v>1.4032987496674647</v>
      </c>
      <c r="K13" s="66">
        <f t="shared" si="5"/>
        <v>0.83616587355540462</v>
      </c>
      <c r="L13" s="66">
        <f t="shared" si="5"/>
        <v>0.65601228278316703</v>
      </c>
      <c r="M13" s="66">
        <f t="shared" si="5"/>
        <v>0.73255674312477481</v>
      </c>
      <c r="N13" s="66">
        <f t="shared" si="5"/>
        <v>0.41370856529955563</v>
      </c>
      <c r="O13" s="66">
        <f t="shared" si="5"/>
        <v>0.13421432996076813</v>
      </c>
      <c r="P13" s="66">
        <f t="shared" si="5"/>
        <v>0.14977292492028216</v>
      </c>
      <c r="Q13" s="55" t="s">
        <v>71</v>
      </c>
      <c r="R13" s="113"/>
      <c r="S13" s="76"/>
      <c r="T13" s="76"/>
      <c r="U13" s="76"/>
      <c r="V13" s="76"/>
      <c r="W13" s="76"/>
      <c r="X13" s="76"/>
      <c r="Y13" s="76"/>
      <c r="Z13" s="76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7"/>
      <c r="CF13" s="77"/>
      <c r="CG13" s="77"/>
      <c r="CH13" s="77"/>
      <c r="CI13" s="77"/>
      <c r="CJ13" s="77"/>
      <c r="CK13" s="77"/>
      <c r="CL13" s="77"/>
      <c r="CM13" s="77"/>
      <c r="CN13" s="77"/>
      <c r="CO13" s="77"/>
      <c r="CP13" s="77"/>
      <c r="CQ13" s="77"/>
      <c r="CR13" s="77"/>
      <c r="CS13" s="77"/>
      <c r="CT13" s="77"/>
      <c r="CU13" s="77"/>
      <c r="CV13" s="77"/>
      <c r="CW13" s="77"/>
      <c r="CX13" s="77"/>
      <c r="CY13" s="77"/>
      <c r="CZ13" s="77"/>
      <c r="DA13" s="77"/>
      <c r="DB13" s="77"/>
      <c r="DC13" s="77"/>
      <c r="DD13" s="77"/>
      <c r="DE13" s="77"/>
      <c r="DF13" s="77"/>
      <c r="DG13" s="77"/>
      <c r="DH13" s="77"/>
      <c r="DI13" s="77"/>
      <c r="DJ13" s="77"/>
      <c r="DK13" s="77"/>
      <c r="DL13" s="77"/>
      <c r="DM13" s="77"/>
      <c r="DN13" s="77"/>
      <c r="DO13" s="77"/>
      <c r="DP13" s="77"/>
      <c r="DQ13" s="77"/>
      <c r="DR13" s="77"/>
      <c r="DS13" s="77"/>
      <c r="DT13" s="77"/>
      <c r="DU13" s="77"/>
      <c r="DV13" s="77"/>
      <c r="DW13" s="77"/>
      <c r="DX13" s="77"/>
      <c r="DY13" s="77"/>
      <c r="DZ13" s="77"/>
      <c r="EA13" s="77"/>
      <c r="EB13" s="77"/>
      <c r="EC13" s="77"/>
      <c r="ED13" s="77"/>
      <c r="EE13" s="77"/>
      <c r="EF13" s="77"/>
      <c r="EG13" s="77"/>
      <c r="EH13" s="77"/>
      <c r="EI13" s="77"/>
      <c r="EJ13" s="77"/>
      <c r="EK13" s="77"/>
      <c r="EL13" s="77"/>
    </row>
    <row r="14" spans="1:142" s="47" customFormat="1" ht="17.25">
      <c r="A14" s="51" t="s">
        <v>72</v>
      </c>
      <c r="B14" s="66">
        <f t="shared" ref="B14:P14" si="6">SUM(B7/B4)*100</f>
        <v>10.508474576271185</v>
      </c>
      <c r="C14" s="66">
        <f t="shared" si="6"/>
        <v>11.769903684722099</v>
      </c>
      <c r="D14" s="66">
        <f t="shared" si="6"/>
        <v>13.001113585746102</v>
      </c>
      <c r="E14" s="66">
        <f t="shared" si="6"/>
        <v>15.404311555298589</v>
      </c>
      <c r="F14" s="66">
        <f t="shared" si="6"/>
        <v>14.441919909116729</v>
      </c>
      <c r="G14" s="66">
        <f t="shared" si="6"/>
        <v>14.334298118668595</v>
      </c>
      <c r="H14" s="66">
        <f t="shared" si="6"/>
        <v>15.726336970822691</v>
      </c>
      <c r="I14" s="66">
        <f t="shared" si="6"/>
        <v>13.05869850596987</v>
      </c>
      <c r="J14" s="66">
        <f t="shared" si="6"/>
        <v>13.594040968342643</v>
      </c>
      <c r="K14" s="66">
        <f t="shared" si="6"/>
        <v>13.569000679809653</v>
      </c>
      <c r="L14" s="66">
        <f t="shared" si="6"/>
        <v>15.311605834322004</v>
      </c>
      <c r="M14" s="66">
        <f t="shared" si="6"/>
        <v>15.551819382730875</v>
      </c>
      <c r="N14" s="66">
        <f t="shared" si="6"/>
        <v>13.361254405230094</v>
      </c>
      <c r="O14" s="66">
        <f t="shared" si="6"/>
        <v>13.178814784224654</v>
      </c>
      <c r="P14" s="66">
        <f t="shared" si="6"/>
        <v>12.378007536960093</v>
      </c>
      <c r="Q14" s="55" t="s">
        <v>73</v>
      </c>
      <c r="R14" s="113"/>
      <c r="S14" s="76"/>
      <c r="T14" s="76"/>
      <c r="U14" s="76"/>
      <c r="V14" s="76"/>
      <c r="W14" s="76"/>
      <c r="X14" s="76"/>
      <c r="Y14" s="76"/>
      <c r="Z14" s="76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7"/>
      <c r="BV14" s="77"/>
      <c r="BW14" s="77"/>
      <c r="BX14" s="77"/>
      <c r="BY14" s="77"/>
      <c r="BZ14" s="77"/>
      <c r="CA14" s="77"/>
      <c r="CB14" s="77"/>
      <c r="CC14" s="77"/>
      <c r="CD14" s="77"/>
      <c r="CE14" s="77"/>
      <c r="CF14" s="77"/>
      <c r="CG14" s="77"/>
      <c r="CH14" s="77"/>
      <c r="CI14" s="77"/>
      <c r="CJ14" s="77"/>
      <c r="CK14" s="77"/>
      <c r="CL14" s="77"/>
      <c r="CM14" s="77"/>
      <c r="CN14" s="77"/>
      <c r="CO14" s="77"/>
      <c r="CP14" s="77"/>
      <c r="CQ14" s="77"/>
      <c r="CR14" s="77"/>
      <c r="CS14" s="77"/>
      <c r="CT14" s="77"/>
      <c r="CU14" s="77"/>
      <c r="CV14" s="77"/>
      <c r="CW14" s="77"/>
      <c r="CX14" s="77"/>
      <c r="CY14" s="77"/>
      <c r="CZ14" s="77"/>
      <c r="DA14" s="77"/>
      <c r="DB14" s="77"/>
      <c r="DC14" s="77"/>
      <c r="DD14" s="77"/>
      <c r="DE14" s="77"/>
      <c r="DF14" s="77"/>
      <c r="DG14" s="77"/>
      <c r="DH14" s="77"/>
      <c r="DI14" s="77"/>
      <c r="DJ14" s="77"/>
      <c r="DK14" s="77"/>
      <c r="DL14" s="77"/>
      <c r="DM14" s="77"/>
      <c r="DN14" s="77"/>
      <c r="DO14" s="77"/>
      <c r="DP14" s="77"/>
      <c r="DQ14" s="77"/>
      <c r="DR14" s="77"/>
      <c r="DS14" s="77"/>
      <c r="DT14" s="77"/>
      <c r="DU14" s="77"/>
      <c r="DV14" s="77"/>
      <c r="DW14" s="77"/>
      <c r="DX14" s="77"/>
      <c r="DY14" s="77"/>
      <c r="DZ14" s="77"/>
      <c r="EA14" s="77"/>
      <c r="EB14" s="77"/>
      <c r="EC14" s="77"/>
      <c r="ED14" s="77"/>
      <c r="EE14" s="77"/>
      <c r="EF14" s="77"/>
      <c r="EG14" s="77"/>
      <c r="EH14" s="77"/>
      <c r="EI14" s="77"/>
      <c r="EJ14" s="77"/>
      <c r="EK14" s="77"/>
      <c r="EL14" s="77"/>
    </row>
    <row r="15" spans="1:142" s="47" customFormat="1" ht="17.25">
      <c r="A15" s="51" t="s">
        <v>74</v>
      </c>
      <c r="B15" s="66">
        <f t="shared" ref="B15:P15" si="7">SUM(B8/B4)*100</f>
        <v>13.720742534301856</v>
      </c>
      <c r="C15" s="66">
        <f t="shared" si="7"/>
        <v>9.4636387735265526</v>
      </c>
      <c r="D15" s="66">
        <f t="shared" si="7"/>
        <v>7.4053452115812917</v>
      </c>
      <c r="E15" s="66">
        <f t="shared" si="7"/>
        <v>7.8384405715701657</v>
      </c>
      <c r="F15" s="66">
        <f t="shared" si="7"/>
        <v>11.665719965918774</v>
      </c>
      <c r="G15" s="66">
        <f t="shared" si="7"/>
        <v>14.486251808972503</v>
      </c>
      <c r="H15" s="66">
        <f t="shared" si="7"/>
        <v>11.299435028248588</v>
      </c>
      <c r="I15" s="66">
        <f t="shared" si="7"/>
        <v>14.590235669187972</v>
      </c>
      <c r="J15" s="66">
        <f t="shared" si="7"/>
        <v>9.5304602287842517</v>
      </c>
      <c r="K15" s="66">
        <f t="shared" si="7"/>
        <v>7.0428280081577155</v>
      </c>
      <c r="L15" s="66">
        <f t="shared" si="7"/>
        <v>6.9090655314397367</v>
      </c>
      <c r="M15" s="66">
        <f t="shared" si="7"/>
        <v>10.02161642848565</v>
      </c>
      <c r="N15" s="66">
        <f t="shared" si="7"/>
        <v>9.9954032381633375</v>
      </c>
      <c r="O15" s="66">
        <f t="shared" si="7"/>
        <v>5.5182737972331193</v>
      </c>
      <c r="P15" s="66">
        <f t="shared" si="7"/>
        <v>4.1549908203691182</v>
      </c>
      <c r="Q15" s="55" t="s">
        <v>75</v>
      </c>
      <c r="R15" s="113"/>
      <c r="S15" s="76"/>
      <c r="T15" s="76"/>
      <c r="U15" s="76"/>
      <c r="V15" s="76"/>
      <c r="W15" s="76"/>
      <c r="X15" s="76"/>
      <c r="Y15" s="76"/>
      <c r="Z15" s="76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s="77"/>
      <c r="CG15" s="77"/>
      <c r="CH15" s="77"/>
      <c r="CI15" s="77"/>
      <c r="CJ15" s="77"/>
      <c r="CK15" s="77"/>
      <c r="CL15" s="77"/>
      <c r="CM15" s="77"/>
      <c r="CN15" s="77"/>
      <c r="CO15" s="77"/>
      <c r="CP15" s="77"/>
      <c r="CQ15" s="77"/>
      <c r="CR15" s="77"/>
      <c r="CS15" s="77"/>
      <c r="CT15" s="77"/>
      <c r="CU15" s="77"/>
      <c r="CV15" s="77"/>
      <c r="CW15" s="77"/>
      <c r="CX15" s="77"/>
      <c r="CY15" s="77"/>
      <c r="CZ15" s="77"/>
      <c r="DA15" s="77"/>
      <c r="DB15" s="77"/>
      <c r="DC15" s="77"/>
      <c r="DD15" s="77"/>
      <c r="DE15" s="77"/>
      <c r="DF15" s="77"/>
      <c r="DG15" s="77"/>
      <c r="DH15" s="77"/>
      <c r="DI15" s="77"/>
      <c r="DJ15" s="77"/>
      <c r="DK15" s="77"/>
      <c r="DL15" s="77"/>
      <c r="DM15" s="77"/>
      <c r="DN15" s="77"/>
      <c r="DO15" s="77"/>
      <c r="DP15" s="77"/>
      <c r="DQ15" s="77"/>
      <c r="DR15" s="77"/>
      <c r="DS15" s="77"/>
      <c r="DT15" s="77"/>
      <c r="DU15" s="77"/>
      <c r="DV15" s="77"/>
      <c r="DW15" s="77"/>
      <c r="DX15" s="77"/>
      <c r="DY15" s="77"/>
      <c r="DZ15" s="77"/>
      <c r="EA15" s="77"/>
      <c r="EB15" s="77"/>
      <c r="EC15" s="77"/>
      <c r="ED15" s="77"/>
      <c r="EE15" s="77"/>
      <c r="EF15" s="77"/>
      <c r="EG15" s="77"/>
      <c r="EH15" s="77"/>
      <c r="EI15" s="77"/>
      <c r="EJ15" s="77"/>
      <c r="EK15" s="77"/>
      <c r="EL15" s="77"/>
    </row>
    <row r="16" spans="1:142" s="71" customFormat="1" ht="17.25">
      <c r="A16" s="67" t="s">
        <v>76</v>
      </c>
      <c r="B16" s="68">
        <f t="shared" ref="B16:P16" si="8">SUM(B9/B4)*100</f>
        <v>18.498789346246973</v>
      </c>
      <c r="C16" s="68">
        <f t="shared" si="8"/>
        <v>17.257223645842537</v>
      </c>
      <c r="D16" s="68">
        <f t="shared" si="8"/>
        <v>15.014847809948032</v>
      </c>
      <c r="E16" s="68">
        <f t="shared" si="8"/>
        <v>16.02378789130255</v>
      </c>
      <c r="F16" s="68">
        <f t="shared" si="8"/>
        <v>15.045441635898893</v>
      </c>
      <c r="G16" s="68">
        <f t="shared" si="8"/>
        <v>14.167872648335745</v>
      </c>
      <c r="H16" s="68">
        <f t="shared" si="8"/>
        <v>16.879498490828883</v>
      </c>
      <c r="I16" s="68">
        <f t="shared" si="8"/>
        <v>17.215727948990438</v>
      </c>
      <c r="J16" s="68">
        <f t="shared" si="8"/>
        <v>16.580207501995211</v>
      </c>
      <c r="K16" s="68">
        <f t="shared" si="8"/>
        <v>15.377294357579876</v>
      </c>
      <c r="L16" s="68">
        <f t="shared" si="8"/>
        <v>16.83299602205318</v>
      </c>
      <c r="M16" s="68">
        <f t="shared" si="8"/>
        <v>12.933829710580042</v>
      </c>
      <c r="N16" s="68">
        <f t="shared" si="8"/>
        <v>16.359364625363909</v>
      </c>
      <c r="O16" s="68">
        <f t="shared" si="8"/>
        <v>11.785050588478216</v>
      </c>
      <c r="P16" s="68">
        <f t="shared" si="8"/>
        <v>16.069185428543818</v>
      </c>
      <c r="Q16" s="69" t="s">
        <v>77</v>
      </c>
      <c r="R16" s="116"/>
      <c r="S16" s="76"/>
      <c r="T16" s="76"/>
      <c r="U16" s="76"/>
      <c r="V16" s="76"/>
      <c r="W16" s="76"/>
      <c r="X16" s="76"/>
      <c r="Y16" s="76"/>
      <c r="Z16" s="76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77"/>
      <c r="CF16" s="77"/>
      <c r="CG16" s="77"/>
      <c r="CH16" s="77"/>
      <c r="CI16" s="77"/>
      <c r="CJ16" s="77"/>
      <c r="CK16" s="77"/>
      <c r="CL16" s="77"/>
      <c r="CM16" s="77"/>
      <c r="CN16" s="77"/>
      <c r="CO16" s="77"/>
      <c r="CP16" s="77"/>
      <c r="CQ16" s="77"/>
      <c r="CR16" s="77"/>
      <c r="CS16" s="77"/>
      <c r="CT16" s="77"/>
      <c r="CU16" s="77"/>
      <c r="CV16" s="77"/>
      <c r="CW16" s="77"/>
      <c r="CX16" s="77"/>
      <c r="CY16" s="77"/>
      <c r="CZ16" s="77"/>
      <c r="DA16" s="77"/>
      <c r="DB16" s="77"/>
      <c r="DC16" s="77"/>
      <c r="DD16" s="77"/>
      <c r="DE16" s="77"/>
      <c r="DF16" s="77"/>
      <c r="DG16" s="77"/>
      <c r="DH16" s="77"/>
      <c r="DI16" s="77"/>
      <c r="DJ16" s="77"/>
      <c r="DK16" s="77"/>
      <c r="DL16" s="77"/>
      <c r="DM16" s="77"/>
      <c r="DN16" s="77"/>
      <c r="DO16" s="77"/>
      <c r="DP16" s="77"/>
      <c r="DQ16" s="77"/>
      <c r="DR16" s="77"/>
      <c r="DS16" s="77"/>
      <c r="DT16" s="77"/>
      <c r="DU16" s="77"/>
      <c r="DV16" s="77"/>
      <c r="DW16" s="77"/>
      <c r="DX16" s="77"/>
      <c r="DY16" s="77"/>
      <c r="DZ16" s="77"/>
      <c r="EA16" s="77"/>
      <c r="EB16" s="77"/>
      <c r="EC16" s="77"/>
      <c r="ED16" s="77"/>
      <c r="EE16" s="77"/>
      <c r="EF16" s="77"/>
      <c r="EG16" s="77"/>
      <c r="EH16" s="77"/>
      <c r="EI16" s="77"/>
      <c r="EJ16" s="77"/>
      <c r="EK16" s="77"/>
      <c r="EL16" s="77"/>
    </row>
    <row r="17" spans="1:142" s="77" customFormat="1" ht="17.25">
      <c r="A17" s="72" t="s">
        <v>78</v>
      </c>
      <c r="B17" s="73">
        <f t="shared" ref="B17:P17" si="9">SUM(B10/B4)*100</f>
        <v>56.174334140435832</v>
      </c>
      <c r="C17" s="73">
        <f t="shared" si="9"/>
        <v>59.653618450119296</v>
      </c>
      <c r="D17" s="73">
        <f t="shared" si="9"/>
        <v>62.871195248700815</v>
      </c>
      <c r="E17" s="73">
        <f t="shared" si="9"/>
        <v>60.023127116544153</v>
      </c>
      <c r="F17" s="73">
        <f t="shared" si="9"/>
        <v>57.753479125248511</v>
      </c>
      <c r="G17" s="73">
        <f t="shared" si="9"/>
        <v>56.266280752532559</v>
      </c>
      <c r="H17" s="73">
        <f t="shared" si="9"/>
        <v>55.614890488352295</v>
      </c>
      <c r="I17" s="73">
        <f t="shared" si="9"/>
        <v>54.478964805901107</v>
      </c>
      <c r="J17" s="73">
        <f t="shared" si="9"/>
        <v>58.891992551210429</v>
      </c>
      <c r="K17" s="73">
        <f t="shared" si="9"/>
        <v>63.174711080897353</v>
      </c>
      <c r="L17" s="73">
        <f t="shared" si="9"/>
        <v>59.613371484402265</v>
      </c>
      <c r="M17" s="73">
        <f t="shared" si="9"/>
        <v>57.968055722348986</v>
      </c>
      <c r="N17" s="73">
        <f t="shared" si="9"/>
        <v>56.412482762143114</v>
      </c>
      <c r="O17" s="73">
        <f t="shared" si="9"/>
        <v>62.822630600867235</v>
      </c>
      <c r="P17" s="73">
        <f t="shared" si="9"/>
        <v>60.957580442554836</v>
      </c>
      <c r="Q17" s="74" t="s">
        <v>82</v>
      </c>
      <c r="R17" s="75"/>
      <c r="S17" s="76"/>
      <c r="T17" s="76"/>
      <c r="U17" s="76"/>
      <c r="V17" s="76"/>
      <c r="W17" s="76"/>
      <c r="X17" s="76"/>
      <c r="Y17" s="76"/>
      <c r="Z17" s="76"/>
    </row>
    <row r="18" spans="1:142" s="121" customFormat="1">
      <c r="A18" s="48" t="s">
        <v>83</v>
      </c>
      <c r="B18" s="78">
        <v>7</v>
      </c>
      <c r="C18" s="78">
        <f t="shared" ref="C18:P24" si="10">(C4-B4)*100/B4</f>
        <v>-8.660209846650524</v>
      </c>
      <c r="D18" s="78">
        <f t="shared" si="10"/>
        <v>-4.7804188389149065</v>
      </c>
      <c r="E18" s="78">
        <f t="shared" si="10"/>
        <v>12.351521900519673</v>
      </c>
      <c r="F18" s="78">
        <f t="shared" si="10"/>
        <v>16.32939621706451</v>
      </c>
      <c r="G18" s="78">
        <f t="shared" si="10"/>
        <v>-1.8744674808293098</v>
      </c>
      <c r="H18" s="78">
        <f t="shared" si="10"/>
        <v>-6.5050651230101302</v>
      </c>
      <c r="I18" s="78">
        <f t="shared" si="10"/>
        <v>23.806206949926477</v>
      </c>
      <c r="J18" s="78">
        <f t="shared" si="10"/>
        <v>-6.0073763830718256</v>
      </c>
      <c r="K18" s="78">
        <f t="shared" si="10"/>
        <v>-2.1681298217611067</v>
      </c>
      <c r="L18" s="78">
        <f t="shared" si="10"/>
        <v>-2.5900747790618626</v>
      </c>
      <c r="M18" s="78">
        <f t="shared" si="10"/>
        <v>16.225835717775141</v>
      </c>
      <c r="N18" s="78">
        <f t="shared" si="10"/>
        <v>17.563348144589888</v>
      </c>
      <c r="O18" s="78">
        <f t="shared" si="10"/>
        <v>-1.0572552224321978</v>
      </c>
      <c r="P18" s="78">
        <f t="shared" si="10"/>
        <v>6.8449308279991739</v>
      </c>
      <c r="Q18" s="50" t="s">
        <v>84</v>
      </c>
      <c r="R18" s="117"/>
      <c r="S18" s="118"/>
      <c r="T18" s="119"/>
      <c r="U18" s="118"/>
      <c r="V18" s="118"/>
      <c r="W18" s="118"/>
      <c r="X18" s="118"/>
      <c r="Y18" s="118"/>
      <c r="Z18" s="118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0"/>
      <c r="BE18" s="120"/>
      <c r="BF18" s="120"/>
      <c r="BG18" s="120"/>
      <c r="BH18" s="120"/>
      <c r="BI18" s="120"/>
      <c r="BJ18" s="120"/>
      <c r="BK18" s="120"/>
      <c r="BL18" s="120"/>
      <c r="BM18" s="120"/>
      <c r="BN18" s="120"/>
      <c r="BO18" s="120"/>
      <c r="BP18" s="120"/>
      <c r="BQ18" s="120"/>
      <c r="BR18" s="120"/>
      <c r="BS18" s="120"/>
      <c r="BT18" s="120"/>
      <c r="BU18" s="120"/>
      <c r="BV18" s="120"/>
      <c r="BW18" s="120"/>
      <c r="BX18" s="120"/>
      <c r="BY18" s="120"/>
      <c r="BZ18" s="120"/>
      <c r="CA18" s="120"/>
      <c r="CB18" s="120"/>
      <c r="CC18" s="120"/>
      <c r="CD18" s="120"/>
      <c r="CE18" s="120"/>
      <c r="CF18" s="120"/>
      <c r="CG18" s="120"/>
      <c r="CH18" s="120"/>
      <c r="CI18" s="120"/>
      <c r="CJ18" s="120"/>
      <c r="CK18" s="120"/>
      <c r="CL18" s="120"/>
      <c r="CM18" s="120"/>
      <c r="CN18" s="120"/>
      <c r="CO18" s="120"/>
      <c r="CP18" s="120"/>
      <c r="CQ18" s="120"/>
      <c r="CR18" s="120"/>
      <c r="CS18" s="120"/>
      <c r="CT18" s="120"/>
      <c r="CU18" s="120"/>
      <c r="CV18" s="120"/>
      <c r="CW18" s="120"/>
      <c r="CX18" s="120"/>
      <c r="CY18" s="120"/>
      <c r="CZ18" s="120"/>
      <c r="DA18" s="120"/>
      <c r="DB18" s="120"/>
      <c r="DC18" s="120"/>
      <c r="DD18" s="120"/>
      <c r="DE18" s="120"/>
      <c r="DF18" s="120"/>
      <c r="DG18" s="120"/>
      <c r="DH18" s="120"/>
      <c r="DI18" s="120"/>
      <c r="DJ18" s="120"/>
      <c r="DK18" s="120"/>
      <c r="DL18" s="120"/>
      <c r="DM18" s="120"/>
      <c r="DN18" s="120"/>
      <c r="DO18" s="120"/>
      <c r="DP18" s="120"/>
      <c r="DQ18" s="120"/>
      <c r="DR18" s="120"/>
      <c r="DS18" s="120"/>
      <c r="DT18" s="120"/>
      <c r="DU18" s="120"/>
      <c r="DV18" s="120"/>
      <c r="DW18" s="120"/>
      <c r="DX18" s="120"/>
      <c r="DY18" s="120"/>
      <c r="DZ18" s="120"/>
      <c r="EA18" s="120"/>
      <c r="EB18" s="120"/>
      <c r="EC18" s="120"/>
      <c r="ED18" s="120"/>
      <c r="EE18" s="120"/>
      <c r="EF18" s="120"/>
      <c r="EG18" s="120"/>
      <c r="EH18" s="120"/>
      <c r="EI18" s="120"/>
      <c r="EJ18" s="120"/>
      <c r="EK18" s="120"/>
      <c r="EL18" s="120"/>
    </row>
    <row r="19" spans="1:142" s="47" customFormat="1" ht="17.25">
      <c r="A19" s="65" t="s">
        <v>68</v>
      </c>
      <c r="B19" s="78"/>
      <c r="C19" s="78"/>
      <c r="D19" s="78"/>
      <c r="E19" s="78"/>
      <c r="F19" s="78"/>
      <c r="G19" s="78"/>
      <c r="H19" s="78"/>
      <c r="I19" s="79"/>
      <c r="J19" s="124" t="s">
        <v>85</v>
      </c>
      <c r="K19" s="124" t="s">
        <v>85</v>
      </c>
      <c r="L19" s="124" t="s">
        <v>85</v>
      </c>
      <c r="M19" s="66">
        <f t="shared" si="10"/>
        <v>379.38144329896909</v>
      </c>
      <c r="N19" s="66">
        <f t="shared" si="10"/>
        <v>45.591397849462368</v>
      </c>
      <c r="O19" s="66">
        <f t="shared" si="10"/>
        <v>87.740029542097489</v>
      </c>
      <c r="P19" s="66">
        <f t="shared" si="10"/>
        <v>2.4390243902439024</v>
      </c>
      <c r="Q19" s="55" t="s">
        <v>69</v>
      </c>
      <c r="R19" s="113"/>
      <c r="S19" s="76"/>
      <c r="T19" s="84"/>
      <c r="U19" s="76"/>
      <c r="V19" s="76"/>
      <c r="W19" s="76"/>
      <c r="X19" s="76"/>
      <c r="Y19" s="76"/>
      <c r="Z19" s="76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BU19" s="77"/>
      <c r="BV19" s="77"/>
      <c r="BW19" s="77"/>
      <c r="BX19" s="77"/>
      <c r="BY19" s="77"/>
      <c r="BZ19" s="77"/>
      <c r="CA19" s="77"/>
      <c r="CB19" s="77"/>
      <c r="CC19" s="77"/>
      <c r="CD19" s="77"/>
      <c r="CE19" s="77"/>
      <c r="CF19" s="77"/>
      <c r="CG19" s="77"/>
      <c r="CH19" s="77"/>
      <c r="CI19" s="77"/>
      <c r="CJ19" s="77"/>
      <c r="CK19" s="77"/>
      <c r="CL19" s="77"/>
      <c r="CM19" s="77"/>
      <c r="CN19" s="77"/>
      <c r="CO19" s="77"/>
      <c r="CP19" s="77"/>
      <c r="CQ19" s="77"/>
      <c r="CR19" s="77"/>
      <c r="CS19" s="77"/>
      <c r="CT19" s="77"/>
      <c r="CU19" s="77"/>
      <c r="CV19" s="77"/>
      <c r="CW19" s="77"/>
      <c r="CX19" s="77"/>
      <c r="CY19" s="77"/>
      <c r="CZ19" s="77"/>
      <c r="DA19" s="77"/>
      <c r="DB19" s="77"/>
      <c r="DC19" s="77"/>
      <c r="DD19" s="77"/>
      <c r="DE19" s="77"/>
      <c r="DF19" s="77"/>
      <c r="DG19" s="77"/>
      <c r="DH19" s="77"/>
      <c r="DI19" s="77"/>
      <c r="DJ19" s="77"/>
      <c r="DK19" s="77"/>
      <c r="DL19" s="77"/>
      <c r="DM19" s="77"/>
      <c r="DN19" s="77"/>
      <c r="DO19" s="77"/>
      <c r="DP19" s="77"/>
      <c r="DQ19" s="77"/>
      <c r="DR19" s="77"/>
      <c r="DS19" s="77"/>
      <c r="DT19" s="77"/>
      <c r="DU19" s="77"/>
      <c r="DV19" s="77"/>
      <c r="DW19" s="77"/>
      <c r="DX19" s="77"/>
      <c r="DY19" s="77"/>
      <c r="DZ19" s="77"/>
      <c r="EA19" s="77"/>
      <c r="EB19" s="77"/>
      <c r="EC19" s="77"/>
      <c r="ED19" s="77"/>
      <c r="EE19" s="77"/>
      <c r="EF19" s="77"/>
      <c r="EG19" s="77"/>
      <c r="EH19" s="77"/>
      <c r="EI19" s="77"/>
      <c r="EJ19" s="77"/>
      <c r="EK19" s="77"/>
      <c r="EL19" s="77"/>
    </row>
    <row r="20" spans="1:142" s="47" customFormat="1" ht="17.25">
      <c r="A20" s="51" t="s">
        <v>70</v>
      </c>
      <c r="B20" s="66">
        <v>27</v>
      </c>
      <c r="C20" s="66">
        <f t="shared" si="10"/>
        <v>54.411764705882355</v>
      </c>
      <c r="D20" s="66">
        <f t="shared" si="10"/>
        <v>-12.380952380952381</v>
      </c>
      <c r="E20" s="66">
        <f t="shared" si="10"/>
        <v>-53.260869565217391</v>
      </c>
      <c r="F20" s="66">
        <f t="shared" si="10"/>
        <v>79.069767441860463</v>
      </c>
      <c r="G20" s="66">
        <f t="shared" si="10"/>
        <v>-33.116883116883116</v>
      </c>
      <c r="H20" s="66">
        <f t="shared" si="10"/>
        <v>-39.805825242718448</v>
      </c>
      <c r="I20" s="66">
        <f t="shared" si="10"/>
        <v>69.354838709677423</v>
      </c>
      <c r="J20" s="66">
        <f t="shared" si="10"/>
        <v>100.95238095238095</v>
      </c>
      <c r="K20" s="66">
        <f t="shared" si="10"/>
        <v>-41.706161137440759</v>
      </c>
      <c r="L20" s="66">
        <f t="shared" si="10"/>
        <v>-23.577235772357724</v>
      </c>
      <c r="M20" s="66">
        <f t="shared" si="10"/>
        <v>29.787234042553191</v>
      </c>
      <c r="N20" s="66">
        <f t="shared" si="10"/>
        <v>-33.606557377049178</v>
      </c>
      <c r="O20" s="66">
        <f t="shared" si="10"/>
        <v>-67.901234567901241</v>
      </c>
      <c r="P20" s="66">
        <f t="shared" si="10"/>
        <v>19.23076923076923</v>
      </c>
      <c r="Q20" s="55" t="s">
        <v>71</v>
      </c>
      <c r="R20" s="113"/>
      <c r="S20" s="76"/>
      <c r="T20" s="84"/>
      <c r="U20" s="76"/>
      <c r="V20" s="76"/>
      <c r="W20" s="76"/>
      <c r="X20" s="76"/>
      <c r="Y20" s="76"/>
      <c r="Z20" s="76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7"/>
      <c r="BQ20" s="77"/>
      <c r="BR20" s="77"/>
      <c r="BS20" s="77"/>
      <c r="BT20" s="77"/>
      <c r="BU20" s="77"/>
      <c r="BV20" s="77"/>
      <c r="BW20" s="77"/>
      <c r="BX20" s="77"/>
      <c r="BY20" s="77"/>
      <c r="BZ20" s="77"/>
      <c r="CA20" s="77"/>
      <c r="CB20" s="77"/>
      <c r="CC20" s="77"/>
      <c r="CD20" s="77"/>
      <c r="CE20" s="77"/>
      <c r="CF20" s="77"/>
      <c r="CG20" s="77"/>
      <c r="CH20" s="77"/>
      <c r="CI20" s="77"/>
      <c r="CJ20" s="77"/>
      <c r="CK20" s="77"/>
      <c r="CL20" s="77"/>
      <c r="CM20" s="77"/>
      <c r="CN20" s="77"/>
      <c r="CO20" s="77"/>
      <c r="CP20" s="77"/>
      <c r="CQ20" s="77"/>
      <c r="CR20" s="77"/>
      <c r="CS20" s="77"/>
      <c r="CT20" s="77"/>
      <c r="CU20" s="77"/>
      <c r="CV20" s="77"/>
      <c r="CW20" s="77"/>
      <c r="CX20" s="77"/>
      <c r="CY20" s="77"/>
      <c r="CZ20" s="77"/>
      <c r="DA20" s="77"/>
      <c r="DB20" s="77"/>
      <c r="DC20" s="77"/>
      <c r="DD20" s="77"/>
      <c r="DE20" s="77"/>
      <c r="DF20" s="77"/>
      <c r="DG20" s="77"/>
      <c r="DH20" s="77"/>
      <c r="DI20" s="77"/>
      <c r="DJ20" s="77"/>
      <c r="DK20" s="77"/>
      <c r="DL20" s="77"/>
      <c r="DM20" s="77"/>
      <c r="DN20" s="77"/>
      <c r="DO20" s="77"/>
      <c r="DP20" s="77"/>
      <c r="DQ20" s="77"/>
      <c r="DR20" s="77"/>
      <c r="DS20" s="77"/>
      <c r="DT20" s="77"/>
      <c r="DU20" s="77"/>
      <c r="DV20" s="77"/>
      <c r="DW20" s="77"/>
      <c r="DX20" s="77"/>
      <c r="DY20" s="77"/>
      <c r="DZ20" s="77"/>
      <c r="EA20" s="77"/>
      <c r="EB20" s="77"/>
      <c r="EC20" s="77"/>
      <c r="ED20" s="77"/>
      <c r="EE20" s="77"/>
      <c r="EF20" s="77"/>
      <c r="EG20" s="77"/>
      <c r="EH20" s="77"/>
      <c r="EI20" s="77"/>
      <c r="EJ20" s="77"/>
      <c r="EK20" s="77"/>
      <c r="EL20" s="77"/>
    </row>
    <row r="21" spans="1:142" s="47" customFormat="1" ht="17.25">
      <c r="A21" s="51" t="s">
        <v>72</v>
      </c>
      <c r="B21" s="66">
        <v>58</v>
      </c>
      <c r="C21" s="66">
        <f t="shared" si="10"/>
        <v>2.3041474654377878</v>
      </c>
      <c r="D21" s="66">
        <f t="shared" si="10"/>
        <v>5.1801801801801801</v>
      </c>
      <c r="E21" s="66">
        <f t="shared" si="10"/>
        <v>33.119200571020698</v>
      </c>
      <c r="F21" s="66">
        <f t="shared" si="10"/>
        <v>9.0616621983914207</v>
      </c>
      <c r="G21" s="66">
        <f t="shared" si="10"/>
        <v>-2.6057030481809242</v>
      </c>
      <c r="H21" s="66">
        <f t="shared" si="10"/>
        <v>2.5744573447753658</v>
      </c>
      <c r="I21" s="66">
        <f t="shared" si="10"/>
        <v>2.8051181102362204</v>
      </c>
      <c r="J21" s="66">
        <f t="shared" si="10"/>
        <v>-2.15414073719483</v>
      </c>
      <c r="K21" s="66">
        <f t="shared" si="10"/>
        <v>-2.3483365949119372</v>
      </c>
      <c r="L21" s="66">
        <f t="shared" si="10"/>
        <v>9.9198396793587182</v>
      </c>
      <c r="M21" s="66">
        <f t="shared" si="10"/>
        <v>18.049225159525982</v>
      </c>
      <c r="N21" s="66">
        <f t="shared" si="10"/>
        <v>1.0038610038610039</v>
      </c>
      <c r="O21" s="66">
        <f t="shared" si="10"/>
        <v>-2.4082568807339451</v>
      </c>
      <c r="P21" s="66">
        <f t="shared" si="10"/>
        <v>0.3525264394829612</v>
      </c>
      <c r="Q21" s="55" t="s">
        <v>73</v>
      </c>
      <c r="R21" s="113"/>
      <c r="S21" s="76"/>
      <c r="T21" s="84"/>
      <c r="U21" s="76"/>
      <c r="V21" s="76"/>
      <c r="W21" s="76"/>
      <c r="X21" s="76"/>
      <c r="Y21" s="76"/>
      <c r="Z21" s="76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7"/>
      <c r="BR21" s="77"/>
      <c r="BS21" s="77"/>
      <c r="BT21" s="77"/>
      <c r="BU21" s="77"/>
      <c r="BV21" s="77"/>
      <c r="BW21" s="77"/>
      <c r="BX21" s="77"/>
      <c r="BY21" s="77"/>
      <c r="BZ21" s="77"/>
      <c r="CA21" s="77"/>
      <c r="CB21" s="77"/>
      <c r="CC21" s="77"/>
      <c r="CD21" s="77"/>
      <c r="CE21" s="77"/>
      <c r="CF21" s="77"/>
      <c r="CG21" s="77"/>
      <c r="CH21" s="77"/>
      <c r="CI21" s="77"/>
      <c r="CJ21" s="77"/>
      <c r="CK21" s="77"/>
      <c r="CL21" s="77"/>
      <c r="CM21" s="77"/>
      <c r="CN21" s="77"/>
      <c r="CO21" s="77"/>
      <c r="CP21" s="77"/>
      <c r="CQ21" s="77"/>
      <c r="CR21" s="77"/>
      <c r="CS21" s="77"/>
      <c r="CT21" s="77"/>
      <c r="CU21" s="77"/>
      <c r="CV21" s="77"/>
      <c r="CW21" s="77"/>
      <c r="CX21" s="77"/>
      <c r="CY21" s="77"/>
      <c r="CZ21" s="77"/>
      <c r="DA21" s="77"/>
      <c r="DB21" s="77"/>
      <c r="DC21" s="77"/>
      <c r="DD21" s="77"/>
      <c r="DE21" s="77"/>
      <c r="DF21" s="77"/>
      <c r="DG21" s="77"/>
      <c r="DH21" s="77"/>
      <c r="DI21" s="77"/>
      <c r="DJ21" s="77"/>
      <c r="DK21" s="77"/>
      <c r="DL21" s="77"/>
      <c r="DM21" s="77"/>
      <c r="DN21" s="77"/>
      <c r="DO21" s="77"/>
      <c r="DP21" s="77"/>
      <c r="DQ21" s="77"/>
      <c r="DR21" s="77"/>
      <c r="DS21" s="77"/>
      <c r="DT21" s="77"/>
      <c r="DU21" s="77"/>
      <c r="DV21" s="77"/>
      <c r="DW21" s="77"/>
      <c r="DX21" s="77"/>
      <c r="DY21" s="77"/>
      <c r="DZ21" s="77"/>
      <c r="EA21" s="77"/>
      <c r="EB21" s="77"/>
      <c r="EC21" s="77"/>
      <c r="ED21" s="77"/>
      <c r="EE21" s="77"/>
      <c r="EF21" s="77"/>
      <c r="EG21" s="77"/>
      <c r="EH21" s="77"/>
      <c r="EI21" s="77"/>
      <c r="EJ21" s="77"/>
      <c r="EK21" s="77"/>
      <c r="EL21" s="77"/>
    </row>
    <row r="22" spans="1:142" s="47" customFormat="1" ht="17.25">
      <c r="A22" s="51" t="s">
        <v>74</v>
      </c>
      <c r="B22" s="66">
        <v>3</v>
      </c>
      <c r="C22" s="66">
        <f t="shared" si="10"/>
        <v>-37</v>
      </c>
      <c r="D22" s="66">
        <f t="shared" si="10"/>
        <v>-25.490196078431371</v>
      </c>
      <c r="E22" s="66">
        <f t="shared" si="10"/>
        <v>18.922305764411028</v>
      </c>
      <c r="F22" s="66">
        <f t="shared" si="10"/>
        <v>73.12961011591149</v>
      </c>
      <c r="G22" s="66">
        <f t="shared" si="10"/>
        <v>21.850273889227022</v>
      </c>
      <c r="H22" s="66">
        <f t="shared" si="10"/>
        <v>-27.072927072927072</v>
      </c>
      <c r="I22" s="66">
        <f t="shared" si="10"/>
        <v>59.863013698630134</v>
      </c>
      <c r="J22" s="66">
        <f t="shared" si="10"/>
        <v>-38.603256212510708</v>
      </c>
      <c r="K22" s="66">
        <f t="shared" si="10"/>
        <v>-27.704117236566642</v>
      </c>
      <c r="L22" s="66">
        <f t="shared" si="10"/>
        <v>-4.4401544401544397</v>
      </c>
      <c r="M22" s="66">
        <f t="shared" si="10"/>
        <v>68.585858585858588</v>
      </c>
      <c r="N22" s="66">
        <f t="shared" si="10"/>
        <v>17.25584182144997</v>
      </c>
      <c r="O22" s="66">
        <f t="shared" si="10"/>
        <v>-45.375574859478796</v>
      </c>
      <c r="P22" s="66">
        <f t="shared" si="10"/>
        <v>-19.550982226379794</v>
      </c>
      <c r="Q22" s="55" t="s">
        <v>75</v>
      </c>
      <c r="R22" s="113"/>
      <c r="S22" s="76"/>
      <c r="T22" s="84"/>
      <c r="U22" s="76"/>
      <c r="V22" s="76"/>
      <c r="W22" s="76"/>
      <c r="X22" s="76"/>
      <c r="Y22" s="76"/>
      <c r="Z22" s="76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77"/>
      <c r="CF22" s="77"/>
      <c r="CG22" s="77"/>
      <c r="CH22" s="77"/>
      <c r="CI22" s="77"/>
      <c r="CJ22" s="77"/>
      <c r="CK22" s="77"/>
      <c r="CL22" s="77"/>
      <c r="CM22" s="77"/>
      <c r="CN22" s="77"/>
      <c r="CO22" s="77"/>
      <c r="CP22" s="77"/>
      <c r="CQ22" s="77"/>
      <c r="CR22" s="77"/>
      <c r="CS22" s="77"/>
      <c r="CT22" s="77"/>
      <c r="CU22" s="77"/>
      <c r="CV22" s="77"/>
      <c r="CW22" s="77"/>
      <c r="CX22" s="77"/>
      <c r="CY22" s="77"/>
      <c r="CZ22" s="77"/>
      <c r="DA22" s="77"/>
      <c r="DB22" s="77"/>
      <c r="DC22" s="77"/>
      <c r="DD22" s="77"/>
      <c r="DE22" s="77"/>
      <c r="DF22" s="77"/>
      <c r="DG22" s="77"/>
      <c r="DH22" s="77"/>
      <c r="DI22" s="77"/>
      <c r="DJ22" s="77"/>
      <c r="DK22" s="77"/>
      <c r="DL22" s="77"/>
      <c r="DM22" s="77"/>
      <c r="DN22" s="77"/>
      <c r="DO22" s="77"/>
      <c r="DP22" s="77"/>
      <c r="DQ22" s="77"/>
      <c r="DR22" s="77"/>
      <c r="DS22" s="77"/>
      <c r="DT22" s="77"/>
      <c r="DU22" s="77"/>
      <c r="DV22" s="77"/>
      <c r="DW22" s="77"/>
      <c r="DX22" s="77"/>
      <c r="DY22" s="77"/>
      <c r="DZ22" s="77"/>
      <c r="EA22" s="77"/>
      <c r="EB22" s="77"/>
      <c r="EC22" s="77"/>
      <c r="ED22" s="77"/>
      <c r="EE22" s="77"/>
      <c r="EF22" s="77"/>
      <c r="EG22" s="77"/>
      <c r="EH22" s="77"/>
      <c r="EI22" s="77"/>
      <c r="EJ22" s="77"/>
      <c r="EK22" s="77"/>
      <c r="EL22" s="77"/>
    </row>
    <row r="23" spans="1:142" s="71" customFormat="1" ht="17.25">
      <c r="A23" s="67" t="s">
        <v>76</v>
      </c>
      <c r="B23" s="68">
        <v>0</v>
      </c>
      <c r="C23" s="68">
        <f t="shared" si="10"/>
        <v>-14.790575916230367</v>
      </c>
      <c r="D23" s="68">
        <f t="shared" si="10"/>
        <v>-17.15309779825909</v>
      </c>
      <c r="E23" s="68">
        <f t="shared" si="10"/>
        <v>19.901112484548825</v>
      </c>
      <c r="F23" s="68">
        <f t="shared" si="10"/>
        <v>9.2268041237113394</v>
      </c>
      <c r="G23" s="68">
        <f t="shared" si="10"/>
        <v>-7.5979235488437942</v>
      </c>
      <c r="H23" s="68">
        <f t="shared" si="10"/>
        <v>11.389172625127681</v>
      </c>
      <c r="I23" s="68">
        <f t="shared" si="10"/>
        <v>26.272352132049519</v>
      </c>
      <c r="J23" s="68">
        <f t="shared" si="10"/>
        <v>-9.477124183006536</v>
      </c>
      <c r="K23" s="68">
        <f t="shared" si="10"/>
        <v>-9.2659446450060177</v>
      </c>
      <c r="L23" s="68">
        <f t="shared" si="10"/>
        <v>6.6312997347480103</v>
      </c>
      <c r="M23" s="68">
        <f t="shared" si="10"/>
        <v>-10.696517412935323</v>
      </c>
      <c r="N23" s="68">
        <f t="shared" si="10"/>
        <v>48.700092850510678</v>
      </c>
      <c r="O23" s="68">
        <f t="shared" si="10"/>
        <v>-28.723072119887604</v>
      </c>
      <c r="P23" s="68">
        <f t="shared" si="10"/>
        <v>45.685501533070521</v>
      </c>
      <c r="Q23" s="69" t="s">
        <v>77</v>
      </c>
      <c r="R23" s="116"/>
      <c r="S23" s="76"/>
      <c r="T23" s="84"/>
      <c r="U23" s="76"/>
      <c r="V23" s="76"/>
      <c r="W23" s="76"/>
      <c r="X23" s="76"/>
      <c r="Y23" s="76"/>
      <c r="Z23" s="76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77"/>
      <c r="BR23" s="77"/>
      <c r="BS23" s="77"/>
      <c r="BT23" s="77"/>
      <c r="BU23" s="77"/>
      <c r="BV23" s="77"/>
      <c r="BW23" s="77"/>
      <c r="BX23" s="77"/>
      <c r="BY23" s="77"/>
      <c r="BZ23" s="77"/>
      <c r="CA23" s="77"/>
      <c r="CB23" s="77"/>
      <c r="CC23" s="77"/>
      <c r="CD23" s="77"/>
      <c r="CE23" s="77"/>
      <c r="CF23" s="77"/>
      <c r="CG23" s="77"/>
      <c r="CH23" s="77"/>
      <c r="CI23" s="77"/>
      <c r="CJ23" s="77"/>
      <c r="CK23" s="77"/>
      <c r="CL23" s="77"/>
      <c r="CM23" s="77"/>
      <c r="CN23" s="77"/>
      <c r="CO23" s="77"/>
      <c r="CP23" s="77"/>
      <c r="CQ23" s="77"/>
      <c r="CR23" s="77"/>
      <c r="CS23" s="77"/>
      <c r="CT23" s="77"/>
      <c r="CU23" s="77"/>
      <c r="CV23" s="77"/>
      <c r="CW23" s="77"/>
      <c r="CX23" s="77"/>
      <c r="CY23" s="77"/>
      <c r="CZ23" s="77"/>
      <c r="DA23" s="77"/>
      <c r="DB23" s="77"/>
      <c r="DC23" s="77"/>
      <c r="DD23" s="77"/>
      <c r="DE23" s="77"/>
      <c r="DF23" s="77"/>
      <c r="DG23" s="77"/>
      <c r="DH23" s="77"/>
      <c r="DI23" s="77"/>
      <c r="DJ23" s="77"/>
      <c r="DK23" s="77"/>
      <c r="DL23" s="77"/>
      <c r="DM23" s="77"/>
      <c r="DN23" s="77"/>
      <c r="DO23" s="77"/>
      <c r="DP23" s="77"/>
      <c r="DQ23" s="77"/>
      <c r="DR23" s="77"/>
      <c r="DS23" s="77"/>
      <c r="DT23" s="77"/>
      <c r="DU23" s="77"/>
      <c r="DV23" s="77"/>
      <c r="DW23" s="77"/>
      <c r="DX23" s="77"/>
      <c r="DY23" s="77"/>
      <c r="DZ23" s="77"/>
      <c r="EA23" s="77"/>
      <c r="EB23" s="77"/>
      <c r="EC23" s="77"/>
      <c r="ED23" s="77"/>
      <c r="EE23" s="77"/>
      <c r="EF23" s="77"/>
      <c r="EG23" s="77"/>
      <c r="EH23" s="77"/>
      <c r="EI23" s="77"/>
      <c r="EJ23" s="77"/>
      <c r="EK23" s="77"/>
      <c r="EL23" s="77"/>
    </row>
    <row r="24" spans="1:142" s="77" customFormat="1" ht="17.25">
      <c r="A24" s="80" t="s">
        <v>78</v>
      </c>
      <c r="B24" s="81">
        <v>4</v>
      </c>
      <c r="C24" s="81">
        <v>-3.0028735632183898</v>
      </c>
      <c r="D24" s="81">
        <v>0.35550288846096872</v>
      </c>
      <c r="E24" s="81">
        <v>7.2619926199261995</v>
      </c>
      <c r="F24" s="81">
        <v>11.930645383239302</v>
      </c>
      <c r="G24" s="81">
        <v>-4.4012785837226458</v>
      </c>
      <c r="H24" s="81">
        <v>-7.5874485596707801</v>
      </c>
      <c r="I24" s="82">
        <f t="shared" si="10"/>
        <v>21.277483996660173</v>
      </c>
      <c r="J24" s="82">
        <f t="shared" si="10"/>
        <v>1.606425702811245</v>
      </c>
      <c r="K24" s="82">
        <f t="shared" si="10"/>
        <v>4.9463579898362511</v>
      </c>
      <c r="L24" s="82">
        <f t="shared" si="10"/>
        <v>-8.0813515549338213</v>
      </c>
      <c r="M24" s="82">
        <f t="shared" si="10"/>
        <v>13.018028564738938</v>
      </c>
      <c r="N24" s="82">
        <f t="shared" si="10"/>
        <v>14.40853532214626</v>
      </c>
      <c r="O24" s="82">
        <f t="shared" si="10"/>
        <v>10.185604345857854</v>
      </c>
      <c r="P24" s="82">
        <f t="shared" si="10"/>
        <v>3.6729663105998358</v>
      </c>
      <c r="Q24" s="83" t="s">
        <v>82</v>
      </c>
      <c r="R24" s="75"/>
      <c r="S24" s="76"/>
      <c r="T24" s="84"/>
      <c r="U24" s="76"/>
      <c r="V24" s="76"/>
      <c r="W24" s="76"/>
      <c r="X24" s="76"/>
      <c r="Y24" s="76"/>
      <c r="Z24" s="76"/>
    </row>
    <row r="25" spans="1:142" s="47" customFormat="1">
      <c r="A25" s="1" t="s">
        <v>2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6"/>
      <c r="O25" s="86"/>
      <c r="P25" s="86"/>
      <c r="Q25" s="39" t="s">
        <v>43</v>
      </c>
      <c r="R25" s="91"/>
      <c r="S25" s="76"/>
      <c r="T25" s="76"/>
      <c r="U25" s="76"/>
      <c r="V25" s="76"/>
      <c r="W25" s="76"/>
      <c r="X25" s="76"/>
      <c r="Y25" s="76"/>
      <c r="Z25" s="76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7"/>
      <c r="BR25" s="77"/>
      <c r="BS25" s="77"/>
      <c r="BT25" s="77"/>
      <c r="BU25" s="77"/>
      <c r="BV25" s="77"/>
      <c r="BW25" s="77"/>
      <c r="BX25" s="77"/>
      <c r="BY25" s="77"/>
      <c r="BZ25" s="77"/>
      <c r="CA25" s="77"/>
      <c r="CB25" s="77"/>
      <c r="CC25" s="77"/>
      <c r="CD25" s="77"/>
      <c r="CE25" s="77"/>
      <c r="CF25" s="77"/>
      <c r="CG25" s="77"/>
      <c r="CH25" s="77"/>
      <c r="CI25" s="77"/>
      <c r="CJ25" s="77"/>
      <c r="CK25" s="77"/>
      <c r="CL25" s="77"/>
      <c r="CM25" s="77"/>
      <c r="CN25" s="77"/>
      <c r="CO25" s="77"/>
      <c r="CP25" s="77"/>
      <c r="CQ25" s="77"/>
      <c r="CR25" s="77"/>
      <c r="CS25" s="77"/>
      <c r="CT25" s="77"/>
      <c r="CU25" s="77"/>
      <c r="CV25" s="77"/>
      <c r="CW25" s="77"/>
      <c r="CX25" s="77"/>
      <c r="CY25" s="77"/>
      <c r="CZ25" s="77"/>
      <c r="DA25" s="77"/>
      <c r="DB25" s="77"/>
      <c r="DC25" s="77"/>
      <c r="DD25" s="77"/>
      <c r="DE25" s="77"/>
      <c r="DF25" s="77"/>
      <c r="DG25" s="77"/>
      <c r="DH25" s="77"/>
      <c r="DI25" s="77"/>
      <c r="DJ25" s="77"/>
      <c r="DK25" s="77"/>
      <c r="DL25" s="77"/>
      <c r="DM25" s="77"/>
      <c r="DN25" s="77"/>
      <c r="DO25" s="77"/>
      <c r="DP25" s="77"/>
      <c r="DQ25" s="77"/>
      <c r="DR25" s="77"/>
      <c r="DS25" s="77"/>
      <c r="DT25" s="77"/>
      <c r="DU25" s="77"/>
      <c r="DV25" s="77"/>
      <c r="DW25" s="77"/>
      <c r="DX25" s="77"/>
      <c r="DY25" s="77"/>
      <c r="DZ25" s="77"/>
      <c r="EA25" s="77"/>
      <c r="EB25" s="77"/>
      <c r="EC25" s="77"/>
      <c r="ED25" s="77"/>
      <c r="EE25" s="77"/>
      <c r="EF25" s="77"/>
      <c r="EG25" s="77"/>
      <c r="EH25" s="77"/>
      <c r="EI25" s="77"/>
      <c r="EJ25" s="77"/>
      <c r="EK25" s="77"/>
      <c r="EL25" s="77"/>
    </row>
    <row r="26" spans="1:142" s="47" customFormat="1">
      <c r="A26" s="1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6"/>
      <c r="O26" s="86"/>
      <c r="P26" s="86"/>
      <c r="Q26" s="39"/>
      <c r="R26" s="91"/>
      <c r="S26" s="76"/>
      <c r="T26" s="76"/>
      <c r="U26" s="76"/>
      <c r="V26" s="76"/>
      <c r="W26" s="76"/>
      <c r="X26" s="76"/>
      <c r="Y26" s="76"/>
      <c r="Z26" s="76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Q26" s="77"/>
      <c r="BR26" s="77"/>
      <c r="BS26" s="77"/>
      <c r="BT26" s="77"/>
      <c r="BU26" s="77"/>
      <c r="BV26" s="77"/>
      <c r="BW26" s="77"/>
      <c r="BX26" s="77"/>
      <c r="BY26" s="77"/>
      <c r="BZ26" s="77"/>
      <c r="CA26" s="77"/>
      <c r="CB26" s="77"/>
      <c r="CC26" s="77"/>
      <c r="CD26" s="77"/>
      <c r="CE26" s="77"/>
      <c r="CF26" s="77"/>
      <c r="CG26" s="77"/>
      <c r="CH26" s="77"/>
      <c r="CI26" s="77"/>
      <c r="CJ26" s="77"/>
      <c r="CK26" s="77"/>
      <c r="CL26" s="77"/>
      <c r="CM26" s="77"/>
      <c r="CN26" s="77"/>
      <c r="CO26" s="77"/>
      <c r="CP26" s="77"/>
      <c r="CQ26" s="77"/>
      <c r="CR26" s="77"/>
      <c r="CS26" s="77"/>
      <c r="CT26" s="77"/>
      <c r="CU26" s="77"/>
      <c r="CV26" s="77"/>
      <c r="CW26" s="77"/>
      <c r="CX26" s="77"/>
      <c r="CY26" s="77"/>
      <c r="CZ26" s="77"/>
      <c r="DA26" s="77"/>
      <c r="DB26" s="77"/>
      <c r="DC26" s="77"/>
      <c r="DD26" s="77"/>
      <c r="DE26" s="77"/>
      <c r="DF26" s="77"/>
      <c r="DG26" s="77"/>
      <c r="DH26" s="77"/>
      <c r="DI26" s="77"/>
      <c r="DJ26" s="77"/>
      <c r="DK26" s="77"/>
      <c r="DL26" s="77"/>
      <c r="DM26" s="77"/>
      <c r="DN26" s="77"/>
      <c r="DO26" s="77"/>
      <c r="DP26" s="77"/>
      <c r="DQ26" s="77"/>
      <c r="DR26" s="77"/>
      <c r="DS26" s="77"/>
      <c r="DT26" s="77"/>
      <c r="DU26" s="77"/>
      <c r="DV26" s="77"/>
      <c r="DW26" s="77"/>
      <c r="DX26" s="77"/>
      <c r="DY26" s="77"/>
      <c r="DZ26" s="77"/>
      <c r="EA26" s="77"/>
      <c r="EB26" s="77"/>
      <c r="EC26" s="77"/>
      <c r="ED26" s="77"/>
      <c r="EE26" s="77"/>
      <c r="EF26" s="77"/>
      <c r="EG26" s="77"/>
      <c r="EH26" s="77"/>
      <c r="EI26" s="77"/>
      <c r="EJ26" s="77"/>
      <c r="EK26" s="77"/>
      <c r="EL26" s="77"/>
    </row>
    <row r="27" spans="1:142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87"/>
      <c r="O27" s="87"/>
      <c r="P27" s="87"/>
      <c r="Q27" s="46"/>
      <c r="R27" s="91"/>
      <c r="S27" s="76"/>
      <c r="T27" s="76"/>
      <c r="U27" s="76"/>
      <c r="V27" s="76"/>
      <c r="W27" s="76"/>
      <c r="X27" s="76"/>
      <c r="Y27" s="76"/>
      <c r="Z27" s="76"/>
    </row>
    <row r="28" spans="1:142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87"/>
      <c r="O28" s="87"/>
      <c r="P28" s="87"/>
      <c r="Q28" s="46"/>
      <c r="R28" s="91"/>
      <c r="S28" s="76"/>
      <c r="T28" s="76"/>
      <c r="U28" s="76"/>
      <c r="V28" s="76"/>
      <c r="W28" s="76"/>
      <c r="X28" s="76"/>
      <c r="Y28" s="76"/>
      <c r="Z28" s="76"/>
    </row>
    <row r="29" spans="1:142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87"/>
      <c r="O29" s="87"/>
      <c r="P29" s="87"/>
      <c r="Q29" s="46"/>
      <c r="R29" s="91"/>
      <c r="S29" s="76"/>
      <c r="T29" s="76"/>
      <c r="U29" s="76"/>
      <c r="V29" s="76"/>
      <c r="W29" s="76"/>
      <c r="X29" s="76"/>
      <c r="Y29" s="76"/>
      <c r="Z29" s="76"/>
    </row>
    <row r="30" spans="1:142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87"/>
      <c r="O30" s="87"/>
      <c r="P30" s="87"/>
      <c r="Q30" s="46"/>
      <c r="R30" s="91"/>
      <c r="S30" s="76"/>
      <c r="T30" s="76"/>
      <c r="U30" s="76"/>
      <c r="V30" s="76"/>
      <c r="W30" s="76"/>
      <c r="X30" s="76"/>
      <c r="Y30" s="76"/>
      <c r="Z30" s="76"/>
    </row>
    <row r="31" spans="1:142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87"/>
      <c r="O31" s="87"/>
      <c r="P31" s="87"/>
      <c r="Q31" s="46"/>
      <c r="R31" s="91"/>
      <c r="S31" s="76"/>
      <c r="T31" s="76"/>
      <c r="U31" s="76"/>
      <c r="V31" s="76"/>
      <c r="W31" s="76"/>
      <c r="X31" s="76"/>
      <c r="Y31" s="76"/>
      <c r="Z31" s="76"/>
    </row>
    <row r="32" spans="1:14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87"/>
      <c r="O32" s="87"/>
      <c r="P32" s="87"/>
      <c r="Q32" s="46"/>
      <c r="R32" s="91"/>
      <c r="S32" s="76"/>
      <c r="T32" s="76"/>
      <c r="U32" s="76"/>
      <c r="V32" s="76"/>
      <c r="W32" s="76"/>
      <c r="X32" s="76"/>
      <c r="Y32" s="76"/>
      <c r="Z32" s="76"/>
    </row>
    <row r="33" spans="1:142">
      <c r="A33" s="46"/>
      <c r="B33" s="88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87"/>
      <c r="O33" s="87"/>
      <c r="P33" s="87"/>
      <c r="Q33" s="46"/>
      <c r="R33" s="91"/>
      <c r="S33" s="95"/>
      <c r="T33" s="96"/>
      <c r="U33" s="96"/>
      <c r="V33" s="96"/>
      <c r="W33" s="96"/>
      <c r="X33" s="96"/>
      <c r="Y33" s="76"/>
      <c r="Z33" s="76"/>
    </row>
    <row r="34" spans="1:142">
      <c r="A34" s="46"/>
      <c r="B34" s="89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87"/>
      <c r="O34" s="87"/>
      <c r="P34" s="87"/>
      <c r="Q34" s="46"/>
      <c r="R34" s="91"/>
      <c r="S34" s="95"/>
      <c r="T34" s="110"/>
      <c r="U34" s="110"/>
      <c r="V34" s="110"/>
      <c r="W34" s="110"/>
      <c r="X34" s="110"/>
      <c r="Y34" s="76"/>
      <c r="Z34" s="76"/>
    </row>
    <row r="35" spans="1:142">
      <c r="A35" s="46"/>
      <c r="B35" s="89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87"/>
      <c r="O35" s="87"/>
      <c r="P35" s="87"/>
      <c r="Q35" s="46"/>
      <c r="R35" s="91"/>
      <c r="S35" s="92"/>
      <c r="T35" s="93"/>
      <c r="U35" s="93"/>
      <c r="V35" s="93"/>
      <c r="W35" s="93"/>
      <c r="X35" s="93"/>
      <c r="Y35" s="76"/>
      <c r="Z35" s="76"/>
    </row>
    <row r="36" spans="1:142">
      <c r="A36" s="46"/>
      <c r="B36" s="89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87"/>
      <c r="O36" s="87"/>
      <c r="P36" s="87"/>
      <c r="Q36" s="46"/>
      <c r="R36" s="91"/>
      <c r="S36" s="92"/>
      <c r="T36" s="93"/>
      <c r="U36" s="93"/>
      <c r="V36" s="93"/>
      <c r="W36" s="93"/>
      <c r="X36" s="93"/>
      <c r="Y36" s="76"/>
      <c r="Z36" s="76"/>
    </row>
    <row r="37" spans="1:142">
      <c r="A37" s="46"/>
      <c r="B37" s="89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87"/>
      <c r="O37" s="87"/>
      <c r="P37" s="87"/>
      <c r="Q37" s="46"/>
      <c r="R37" s="91"/>
      <c r="S37" s="92"/>
      <c r="T37" s="93"/>
      <c r="U37" s="93"/>
      <c r="V37" s="93"/>
      <c r="W37" s="93"/>
      <c r="X37" s="93"/>
      <c r="Y37" s="76"/>
      <c r="Z37" s="76"/>
    </row>
    <row r="38" spans="1:142">
      <c r="A38" s="46"/>
      <c r="B38" s="89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87"/>
      <c r="O38" s="87"/>
      <c r="P38" s="87"/>
      <c r="Q38" s="46"/>
      <c r="R38" s="108"/>
      <c r="S38" s="92"/>
      <c r="T38" s="93"/>
      <c r="U38" s="93"/>
      <c r="V38" s="93"/>
      <c r="W38" s="93"/>
      <c r="X38" s="93"/>
      <c r="Y38" s="76"/>
      <c r="Z38" s="76"/>
    </row>
    <row r="39" spans="1:142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87"/>
      <c r="O39" s="87"/>
      <c r="P39" s="87"/>
      <c r="Q39" s="91"/>
      <c r="R39" s="76"/>
      <c r="S39" s="92"/>
      <c r="T39" s="93"/>
      <c r="U39" s="93"/>
      <c r="V39" s="93"/>
      <c r="W39" s="93"/>
      <c r="X39" s="93"/>
      <c r="Y39" s="76"/>
      <c r="Z39" s="76"/>
    </row>
    <row r="40" spans="1:142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87"/>
      <c r="O40" s="87"/>
      <c r="P40" s="87"/>
      <c r="Q40" s="91"/>
      <c r="R40" s="76"/>
      <c r="S40" s="76"/>
      <c r="T40" s="76"/>
      <c r="U40" s="76"/>
      <c r="V40" s="76"/>
      <c r="W40" s="76"/>
      <c r="X40" s="76"/>
      <c r="Y40" s="76"/>
      <c r="Z40" s="76"/>
    </row>
    <row r="41" spans="1:142" s="90" customFormat="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97"/>
      <c r="O41" s="97"/>
      <c r="P41" s="97"/>
      <c r="Q41" s="108"/>
      <c r="R41" s="76"/>
      <c r="S41" s="76"/>
      <c r="T41" s="76"/>
      <c r="U41" s="76"/>
      <c r="V41" s="76"/>
      <c r="W41" s="76"/>
      <c r="X41" s="76"/>
      <c r="Y41" s="76"/>
      <c r="Z41" s="76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4"/>
      <c r="BQ41" s="94"/>
      <c r="BR41" s="94"/>
      <c r="BS41" s="94"/>
      <c r="BT41" s="94"/>
      <c r="BU41" s="94"/>
      <c r="BV41" s="94"/>
      <c r="BW41" s="94"/>
      <c r="BX41" s="94"/>
      <c r="BY41" s="94"/>
      <c r="BZ41" s="94"/>
      <c r="CA41" s="94"/>
      <c r="CB41" s="94"/>
      <c r="CC41" s="94"/>
      <c r="CD41" s="94"/>
      <c r="CE41" s="94"/>
      <c r="CF41" s="94"/>
      <c r="CG41" s="94"/>
      <c r="CH41" s="94"/>
      <c r="CI41" s="94"/>
      <c r="CJ41" s="94"/>
      <c r="CK41" s="94"/>
      <c r="CL41" s="94"/>
      <c r="CM41" s="94"/>
      <c r="CN41" s="94"/>
      <c r="CO41" s="94"/>
      <c r="CP41" s="94"/>
      <c r="CQ41" s="94"/>
      <c r="CR41" s="94"/>
      <c r="CS41" s="94"/>
      <c r="CT41" s="94"/>
      <c r="CU41" s="94"/>
      <c r="CV41" s="94"/>
      <c r="CW41" s="94"/>
      <c r="CX41" s="94"/>
      <c r="CY41" s="94"/>
      <c r="CZ41" s="94"/>
      <c r="DA41" s="94"/>
      <c r="DB41" s="94"/>
      <c r="DC41" s="94"/>
      <c r="DD41" s="94"/>
      <c r="DE41" s="94"/>
      <c r="DF41" s="94"/>
      <c r="DG41" s="94"/>
      <c r="DH41" s="94"/>
      <c r="DI41" s="94"/>
      <c r="DJ41" s="94"/>
      <c r="DK41" s="94"/>
      <c r="DL41" s="94"/>
      <c r="DM41" s="94"/>
      <c r="DN41" s="94"/>
      <c r="DO41" s="94"/>
      <c r="DP41" s="94"/>
      <c r="DQ41" s="94"/>
      <c r="DR41" s="94"/>
      <c r="DS41" s="94"/>
      <c r="DT41" s="94"/>
      <c r="DU41" s="94"/>
      <c r="DV41" s="94"/>
      <c r="DW41" s="94"/>
      <c r="DX41" s="94"/>
      <c r="DY41" s="94"/>
      <c r="DZ41" s="94"/>
      <c r="EA41" s="94"/>
      <c r="EB41" s="94"/>
      <c r="EC41" s="94"/>
      <c r="ED41" s="94"/>
      <c r="EE41" s="94"/>
      <c r="EF41" s="94"/>
      <c r="EG41" s="94"/>
      <c r="EH41" s="94"/>
      <c r="EI41" s="94"/>
      <c r="EJ41" s="94"/>
      <c r="EK41" s="94"/>
      <c r="EL41" s="94"/>
    </row>
    <row r="42" spans="1:142" s="94" customFormat="1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Y42" s="76"/>
      <c r="Z42" s="76"/>
    </row>
    <row r="43" spans="1:142" s="94" customFormat="1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Z43" s="76"/>
      <c r="AA43" s="76"/>
    </row>
    <row r="44" spans="1:142" s="94" customFormat="1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95"/>
      <c r="U44" s="96"/>
      <c r="V44" s="96"/>
      <c r="W44" s="96"/>
      <c r="X44" s="96"/>
      <c r="Y44" s="96"/>
      <c r="Z44" s="96"/>
      <c r="AA44" s="96"/>
    </row>
    <row r="45" spans="1:142" s="94" customFormat="1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92"/>
      <c r="U45" s="93"/>
      <c r="V45" s="93"/>
      <c r="W45" s="93"/>
      <c r="X45" s="93"/>
      <c r="Y45" s="93"/>
      <c r="Z45" s="93"/>
      <c r="AA45" s="76"/>
      <c r="AB45" s="111"/>
      <c r="AC45" s="54"/>
    </row>
    <row r="46" spans="1:142" s="94" customFormat="1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98"/>
      <c r="O46" s="98"/>
      <c r="P46" s="98"/>
      <c r="Q46" s="76"/>
      <c r="R46" s="76"/>
      <c r="S46" s="76"/>
      <c r="T46" s="92"/>
      <c r="U46" s="93"/>
      <c r="V46" s="93"/>
      <c r="W46" s="93"/>
      <c r="X46" s="93"/>
      <c r="Y46" s="93"/>
      <c r="Z46" s="93"/>
      <c r="AA46" s="76"/>
      <c r="AB46" s="111"/>
      <c r="AC46" s="54"/>
    </row>
    <row r="47" spans="1:142" s="94" customFormat="1" ht="35.25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98"/>
      <c r="O47" s="98"/>
      <c r="P47" s="98"/>
      <c r="Q47" s="76"/>
      <c r="R47" s="76"/>
      <c r="S47" s="76"/>
      <c r="T47" s="92"/>
      <c r="U47" s="93"/>
      <c r="V47" s="93"/>
      <c r="W47" s="93"/>
      <c r="X47" s="93"/>
      <c r="Y47" s="93"/>
      <c r="Z47" s="93"/>
      <c r="AA47" s="76"/>
      <c r="AB47" s="111"/>
      <c r="AC47" s="54"/>
    </row>
    <row r="48" spans="1:142" s="94" customFormat="1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98"/>
      <c r="O48" s="98"/>
      <c r="P48" s="98"/>
      <c r="Q48" s="76"/>
      <c r="R48" s="76"/>
      <c r="S48" s="76"/>
      <c r="T48" s="92"/>
      <c r="U48" s="93"/>
      <c r="V48" s="93"/>
      <c r="W48" s="93"/>
      <c r="X48" s="93"/>
      <c r="Y48" s="93"/>
      <c r="Z48" s="93"/>
      <c r="AA48" s="76"/>
      <c r="AB48" s="111"/>
      <c r="AC48" s="54"/>
    </row>
    <row r="49" spans="1:29" s="94" customFormat="1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98"/>
      <c r="O49" s="98"/>
      <c r="P49" s="98"/>
      <c r="Q49" s="76"/>
      <c r="R49" s="76"/>
      <c r="S49" s="76"/>
      <c r="T49" s="92"/>
      <c r="U49" s="93"/>
      <c r="V49" s="93"/>
      <c r="W49" s="93"/>
      <c r="X49" s="93"/>
      <c r="Y49" s="93"/>
      <c r="Z49" s="93"/>
      <c r="AA49" s="76"/>
      <c r="AB49" s="111"/>
      <c r="AC49" s="54"/>
    </row>
    <row r="50" spans="1:29" s="94" customForma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98"/>
      <c r="O50" s="98"/>
      <c r="P50" s="98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</row>
    <row r="51" spans="1:29" s="94" customForma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98"/>
      <c r="O51" s="98"/>
      <c r="P51" s="98"/>
      <c r="Q51" s="76"/>
      <c r="R51" s="76"/>
      <c r="S51" s="76"/>
      <c r="T51" s="95"/>
      <c r="U51" s="110"/>
      <c r="V51" s="110"/>
      <c r="W51" s="110"/>
      <c r="X51" s="110"/>
      <c r="Y51" s="110"/>
      <c r="Z51" s="110"/>
      <c r="AA51" s="110"/>
    </row>
    <row r="52" spans="1:29" s="94" customForma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98"/>
      <c r="O52" s="98"/>
      <c r="P52" s="98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</row>
    <row r="53" spans="1:29" s="94" customFormat="1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98"/>
      <c r="O53" s="98"/>
      <c r="P53" s="98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</row>
    <row r="54" spans="1:29" s="94" customFormat="1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98"/>
      <c r="O54" s="98"/>
      <c r="P54" s="98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spans="1:29" s="94" customForma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98"/>
      <c r="O55" s="98"/>
      <c r="P55" s="98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spans="1:29" s="94" customForma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98"/>
      <c r="O56" s="98"/>
      <c r="P56" s="98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spans="1:29" s="94" customForma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98"/>
      <c r="O57" s="98"/>
      <c r="P57" s="98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spans="1:29" s="94" customFormat="1" ht="9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98"/>
      <c r="O58" s="98"/>
      <c r="P58" s="98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spans="1:29" s="94" customForma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98"/>
      <c r="O59" s="98"/>
      <c r="P59" s="98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spans="1:29" s="94" customForma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98"/>
      <c r="O60" s="98"/>
      <c r="P60" s="98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spans="1:29" s="94" customForma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98"/>
      <c r="O61" s="98"/>
      <c r="P61" s="98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9" s="94" customForma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98"/>
      <c r="O62" s="98"/>
      <c r="P62" s="98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spans="1:29" s="94" customForma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98"/>
      <c r="O63" s="98"/>
      <c r="P63" s="98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spans="1:29" s="94" customForma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98"/>
      <c r="O64" s="98"/>
      <c r="P64" s="98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spans="1:26" s="94" customFormat="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98"/>
      <c r="O65" s="98"/>
      <c r="P65" s="98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spans="1:26" s="94" customFormat="1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98"/>
      <c r="O66" s="98"/>
      <c r="P66" s="98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spans="1:26" s="94" customForma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98"/>
      <c r="O67" s="98"/>
      <c r="P67" s="98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spans="1:26" s="94" customFormat="1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98"/>
      <c r="O68" s="98"/>
      <c r="P68" s="98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spans="1:26" s="94" customFormat="1">
      <c r="A69" s="76"/>
      <c r="B69" s="76"/>
      <c r="C69" s="76"/>
      <c r="D69" s="76"/>
      <c r="E69" s="76"/>
      <c r="F69" s="76"/>
      <c r="H69" s="99"/>
      <c r="I69" s="76"/>
      <c r="J69" s="99"/>
      <c r="K69" s="99"/>
      <c r="L69" s="99"/>
      <c r="M69" s="99"/>
      <c r="N69" s="100"/>
      <c r="O69" s="100"/>
      <c r="P69" s="100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spans="1:26" s="94" customFormat="1">
      <c r="A70" s="76"/>
      <c r="B70" s="76"/>
      <c r="C70" s="76"/>
      <c r="D70" s="76"/>
      <c r="E70" s="76"/>
      <c r="F70" s="76"/>
      <c r="H70" s="54"/>
      <c r="I70" s="101"/>
      <c r="J70" s="54"/>
      <c r="K70" s="54"/>
      <c r="L70" s="54"/>
      <c r="M70" s="54"/>
      <c r="N70" s="102"/>
      <c r="O70" s="102"/>
      <c r="P70" s="102"/>
      <c r="Q70" s="54"/>
      <c r="R70" s="76"/>
      <c r="T70" s="76"/>
      <c r="U70" s="76"/>
      <c r="V70" s="76"/>
      <c r="W70" s="76"/>
      <c r="X70" s="76"/>
      <c r="Y70" s="76"/>
      <c r="Z70" s="76"/>
    </row>
    <row r="71" spans="1:26" s="94" customFormat="1">
      <c r="A71" s="76"/>
      <c r="B71" s="76"/>
      <c r="C71" s="76"/>
      <c r="D71" s="76"/>
      <c r="E71" s="76"/>
      <c r="F71" s="76"/>
      <c r="H71" s="54"/>
      <c r="I71" s="101"/>
      <c r="J71" s="54"/>
      <c r="K71" s="54"/>
      <c r="L71" s="54"/>
      <c r="M71" s="54"/>
      <c r="N71" s="102"/>
      <c r="O71" s="102"/>
      <c r="P71" s="102"/>
      <c r="Q71" s="54"/>
      <c r="R71" s="76"/>
      <c r="T71" s="76"/>
      <c r="U71" s="76"/>
      <c r="V71" s="76"/>
      <c r="W71" s="76"/>
      <c r="X71" s="76"/>
      <c r="Y71" s="76"/>
      <c r="Z71" s="76"/>
    </row>
    <row r="72" spans="1:26" s="94" customFormat="1">
      <c r="A72" s="76"/>
      <c r="B72" s="76"/>
      <c r="C72" s="76"/>
      <c r="D72" s="76"/>
      <c r="E72" s="76"/>
      <c r="F72" s="76"/>
      <c r="H72" s="54"/>
      <c r="I72" s="101"/>
      <c r="J72" s="54"/>
      <c r="K72" s="54"/>
      <c r="L72" s="54"/>
      <c r="M72" s="54"/>
      <c r="N72" s="102"/>
      <c r="O72" s="102"/>
      <c r="P72" s="102"/>
      <c r="Q72" s="54"/>
      <c r="R72" s="76"/>
      <c r="T72" s="76"/>
      <c r="U72" s="76"/>
      <c r="V72" s="76"/>
      <c r="W72" s="76"/>
      <c r="X72" s="76"/>
      <c r="Y72" s="76"/>
      <c r="Z72" s="76"/>
    </row>
    <row r="73" spans="1:26" s="94" customFormat="1">
      <c r="A73" s="76"/>
      <c r="B73" s="76"/>
      <c r="C73" s="76"/>
      <c r="D73" s="76"/>
      <c r="E73" s="76"/>
      <c r="F73" s="76"/>
      <c r="H73" s="54"/>
      <c r="I73" s="101"/>
      <c r="J73" s="54"/>
      <c r="K73" s="54"/>
      <c r="L73" s="54"/>
      <c r="M73" s="54"/>
      <c r="N73" s="102"/>
      <c r="O73" s="102"/>
      <c r="P73" s="102"/>
      <c r="Q73" s="54"/>
      <c r="R73" s="76"/>
      <c r="T73" s="76"/>
      <c r="U73" s="76"/>
      <c r="V73" s="76"/>
      <c r="W73" s="76"/>
      <c r="X73" s="76"/>
      <c r="Y73" s="76"/>
      <c r="Z73" s="76"/>
    </row>
    <row r="74" spans="1:26" s="94" customFormat="1">
      <c r="A74" s="76"/>
      <c r="B74" s="76"/>
      <c r="C74" s="76"/>
      <c r="D74" s="76"/>
      <c r="E74" s="76"/>
      <c r="F74" s="76"/>
      <c r="H74" s="54"/>
      <c r="I74" s="101"/>
      <c r="J74" s="54"/>
      <c r="K74" s="54"/>
      <c r="L74" s="54"/>
      <c r="M74" s="54"/>
      <c r="N74" s="102"/>
      <c r="O74" s="102"/>
      <c r="P74" s="102"/>
      <c r="Q74" s="54"/>
      <c r="R74" s="76"/>
      <c r="T74" s="76"/>
      <c r="U74" s="76"/>
      <c r="V74" s="76"/>
      <c r="W74" s="76"/>
      <c r="X74" s="76"/>
      <c r="Y74" s="76"/>
      <c r="Z74" s="76"/>
    </row>
    <row r="75" spans="1:26" s="94" customFormat="1">
      <c r="A75" s="76"/>
      <c r="B75" s="76"/>
      <c r="C75" s="76"/>
      <c r="D75" s="76"/>
      <c r="E75" s="76"/>
      <c r="F75" s="76"/>
      <c r="H75" s="103"/>
      <c r="I75" s="101"/>
      <c r="J75" s="54"/>
      <c r="K75" s="54"/>
      <c r="L75" s="54"/>
      <c r="M75" s="54"/>
      <c r="N75" s="102"/>
      <c r="O75" s="102"/>
      <c r="P75" s="102"/>
      <c r="Q75" s="54"/>
      <c r="R75" s="76"/>
      <c r="T75" s="76"/>
      <c r="U75" s="76"/>
      <c r="V75" s="76"/>
      <c r="W75" s="76"/>
      <c r="X75" s="76"/>
      <c r="Y75" s="76"/>
      <c r="Z75" s="76"/>
    </row>
    <row r="76" spans="1:26" s="94" customFormat="1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98"/>
      <c r="O76" s="98"/>
      <c r="P76" s="98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spans="1:26" s="94" customFormat="1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98"/>
      <c r="O77" s="98"/>
      <c r="P77" s="98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spans="1:26" s="94" customFormat="1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98"/>
      <c r="O78" s="98"/>
      <c r="P78" s="98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spans="1:26" s="94" customForma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98"/>
      <c r="O79" s="98"/>
      <c r="P79" s="98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spans="1:26" s="94" customFormat="1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98"/>
      <c r="O80" s="98"/>
      <c r="P80" s="98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spans="1:26" s="94" customFormat="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98"/>
      <c r="O81" s="98"/>
      <c r="P81" s="98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spans="1:26" s="94" customFormat="1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98"/>
      <c r="O82" s="98"/>
      <c r="P82" s="98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spans="1:26" s="94" customFormat="1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98"/>
      <c r="O83" s="98"/>
      <c r="P83" s="98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spans="1:26" s="94" customFormat="1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98"/>
      <c r="O84" s="98"/>
      <c r="P84" s="98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spans="1:26" s="94" customForma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98"/>
      <c r="O85" s="98"/>
      <c r="P85" s="98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spans="1:26" s="94" customForma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98"/>
      <c r="O86" s="98"/>
      <c r="P86" s="98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spans="1:26" s="94" customForma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98"/>
      <c r="O87" s="98"/>
      <c r="P87" s="98"/>
      <c r="Q87" s="76"/>
      <c r="S87" s="76"/>
      <c r="T87" s="76"/>
      <c r="U87" s="76"/>
      <c r="V87" s="76"/>
      <c r="W87" s="76"/>
      <c r="X87" s="76"/>
      <c r="Y87" s="76"/>
      <c r="Z87" s="76"/>
    </row>
    <row r="88" spans="1:26" s="94" customFormat="1"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98"/>
      <c r="O88" s="98"/>
      <c r="P88" s="98"/>
      <c r="S88" s="76"/>
      <c r="T88" s="76"/>
      <c r="U88" s="76"/>
      <c r="V88" s="76"/>
      <c r="W88" s="76"/>
      <c r="X88" s="76"/>
      <c r="Y88" s="76"/>
      <c r="Z88" s="76"/>
    </row>
    <row r="89" spans="1:26" s="94" customFormat="1">
      <c r="N89" s="112"/>
      <c r="O89" s="112"/>
      <c r="P89" s="112"/>
    </row>
    <row r="90" spans="1:26" s="94" customFormat="1">
      <c r="N90" s="112"/>
      <c r="O90" s="112"/>
      <c r="P90" s="112"/>
    </row>
    <row r="91" spans="1:26" s="94" customFormat="1">
      <c r="N91" s="112"/>
      <c r="O91" s="112"/>
      <c r="P91" s="112"/>
    </row>
    <row r="92" spans="1:26" s="94" customFormat="1">
      <c r="N92" s="112"/>
      <c r="O92" s="112"/>
      <c r="P92" s="112"/>
    </row>
    <row r="93" spans="1:26" s="94" customFormat="1">
      <c r="N93" s="112"/>
      <c r="O93" s="112"/>
      <c r="P93" s="112"/>
    </row>
    <row r="94" spans="1:26" s="94" customFormat="1">
      <c r="N94" s="112"/>
      <c r="O94" s="112"/>
      <c r="P94" s="112"/>
    </row>
    <row r="95" spans="1:26" s="94" customFormat="1">
      <c r="N95" s="112"/>
      <c r="O95" s="112"/>
      <c r="P95" s="112"/>
    </row>
    <row r="96" spans="1:26" s="94" customFormat="1">
      <c r="N96" s="112"/>
      <c r="O96" s="112"/>
      <c r="P96" s="112"/>
    </row>
    <row r="97" spans="14:16" s="94" customFormat="1">
      <c r="N97" s="112"/>
      <c r="O97" s="112"/>
      <c r="P97" s="112"/>
    </row>
    <row r="98" spans="14:16" s="94" customFormat="1">
      <c r="N98" s="112"/>
      <c r="O98" s="112"/>
      <c r="P98" s="112"/>
    </row>
    <row r="99" spans="14:16" s="94" customFormat="1">
      <c r="N99" s="112"/>
      <c r="O99" s="112"/>
      <c r="P99" s="112"/>
    </row>
    <row r="100" spans="14:16" s="94" customFormat="1">
      <c r="N100" s="112"/>
      <c r="O100" s="112"/>
      <c r="P100" s="112"/>
    </row>
    <row r="101" spans="14:16" s="94" customFormat="1">
      <c r="N101" s="112"/>
      <c r="O101" s="112"/>
      <c r="P101" s="112"/>
    </row>
    <row r="102" spans="14:16" s="94" customFormat="1">
      <c r="N102" s="112"/>
      <c r="O102" s="112"/>
      <c r="P102" s="112"/>
    </row>
    <row r="103" spans="14:16" s="94" customFormat="1">
      <c r="N103" s="112"/>
      <c r="O103" s="112"/>
      <c r="P103" s="112"/>
    </row>
    <row r="104" spans="14:16" s="94" customFormat="1">
      <c r="N104" s="112"/>
      <c r="O104" s="112"/>
      <c r="P104" s="112"/>
    </row>
    <row r="105" spans="14:16" s="94" customFormat="1">
      <c r="N105" s="112"/>
      <c r="O105" s="112"/>
      <c r="P105" s="112"/>
    </row>
    <row r="106" spans="14:16" s="94" customFormat="1">
      <c r="N106" s="112"/>
      <c r="O106" s="112"/>
      <c r="P106" s="112"/>
    </row>
    <row r="107" spans="14:16" s="94" customFormat="1">
      <c r="N107" s="112"/>
      <c r="O107" s="112"/>
      <c r="P107" s="112"/>
    </row>
    <row r="108" spans="14:16" s="94" customFormat="1">
      <c r="N108" s="112"/>
      <c r="O108" s="112"/>
      <c r="P108" s="112"/>
    </row>
    <row r="109" spans="14:16" s="94" customFormat="1">
      <c r="N109" s="112"/>
      <c r="O109" s="112"/>
      <c r="P109" s="112"/>
    </row>
    <row r="110" spans="14:16" s="94" customFormat="1">
      <c r="N110" s="112"/>
      <c r="O110" s="112"/>
      <c r="P110" s="112"/>
    </row>
    <row r="111" spans="14:16" s="94" customFormat="1">
      <c r="N111" s="112"/>
      <c r="O111" s="112"/>
      <c r="P111" s="112"/>
    </row>
    <row r="112" spans="14:16" s="94" customFormat="1">
      <c r="N112" s="112"/>
      <c r="O112" s="112"/>
      <c r="P112" s="112"/>
    </row>
    <row r="113" spans="14:16" s="94" customFormat="1">
      <c r="N113" s="112"/>
      <c r="O113" s="112"/>
      <c r="P113" s="112"/>
    </row>
    <row r="114" spans="14:16" s="94" customFormat="1">
      <c r="N114" s="112"/>
      <c r="O114" s="112"/>
      <c r="P114" s="112"/>
    </row>
    <row r="115" spans="14:16" s="94" customFormat="1">
      <c r="N115" s="112"/>
      <c r="O115" s="112"/>
      <c r="P115" s="112"/>
    </row>
    <row r="116" spans="14:16" s="94" customFormat="1">
      <c r="N116" s="112"/>
      <c r="O116" s="112"/>
      <c r="P116" s="112"/>
    </row>
    <row r="117" spans="14:16" s="94" customFormat="1">
      <c r="N117" s="112"/>
      <c r="O117" s="112"/>
      <c r="P117" s="112"/>
    </row>
    <row r="118" spans="14:16" s="94" customFormat="1">
      <c r="N118" s="112"/>
      <c r="O118" s="112"/>
      <c r="P118" s="112"/>
    </row>
    <row r="119" spans="14:16" s="94" customFormat="1">
      <c r="N119" s="112"/>
      <c r="O119" s="112"/>
      <c r="P119" s="112"/>
    </row>
    <row r="120" spans="14:16" s="94" customFormat="1">
      <c r="N120" s="112"/>
      <c r="O120" s="112"/>
      <c r="P120" s="112"/>
    </row>
    <row r="121" spans="14:16" s="94" customFormat="1">
      <c r="N121" s="112"/>
      <c r="O121" s="112"/>
      <c r="P121" s="112"/>
    </row>
    <row r="122" spans="14:16" s="94" customFormat="1">
      <c r="N122" s="112"/>
      <c r="O122" s="112"/>
      <c r="P122" s="112"/>
    </row>
    <row r="123" spans="14:16" s="94" customFormat="1">
      <c r="N123" s="112"/>
      <c r="O123" s="112"/>
      <c r="P123" s="112"/>
    </row>
    <row r="124" spans="14:16" s="94" customFormat="1">
      <c r="N124" s="112"/>
      <c r="O124" s="112"/>
      <c r="P124" s="112"/>
    </row>
    <row r="125" spans="14:16" s="94" customFormat="1">
      <c r="N125" s="112"/>
      <c r="O125" s="112"/>
      <c r="P125" s="112"/>
    </row>
    <row r="126" spans="14:16" s="94" customFormat="1">
      <c r="N126" s="112"/>
      <c r="O126" s="112"/>
      <c r="P126" s="112"/>
    </row>
    <row r="127" spans="14:16" s="94" customFormat="1">
      <c r="N127" s="112"/>
      <c r="O127" s="112"/>
      <c r="P127" s="112"/>
    </row>
    <row r="128" spans="14:16" s="94" customFormat="1">
      <c r="N128" s="112"/>
      <c r="O128" s="112"/>
      <c r="P128" s="112"/>
    </row>
    <row r="129" spans="14:16" s="94" customFormat="1">
      <c r="N129" s="112"/>
      <c r="O129" s="112"/>
      <c r="P129" s="112"/>
    </row>
    <row r="130" spans="14:16" s="94" customFormat="1">
      <c r="N130" s="112"/>
      <c r="O130" s="112"/>
      <c r="P130" s="112"/>
    </row>
    <row r="131" spans="14:16" s="94" customFormat="1">
      <c r="N131" s="112"/>
      <c r="O131" s="112"/>
      <c r="P131" s="112"/>
    </row>
    <row r="132" spans="14:16" s="94" customFormat="1">
      <c r="N132" s="112"/>
      <c r="O132" s="112"/>
      <c r="P132" s="112"/>
    </row>
    <row r="133" spans="14:16" s="94" customFormat="1">
      <c r="N133" s="112"/>
      <c r="O133" s="112"/>
      <c r="P133" s="112"/>
    </row>
    <row r="134" spans="14:16" s="94" customFormat="1">
      <c r="N134" s="112"/>
      <c r="O134" s="112"/>
      <c r="P134" s="112"/>
    </row>
    <row r="135" spans="14:16" s="94" customFormat="1">
      <c r="N135" s="112"/>
      <c r="O135" s="112"/>
      <c r="P135" s="112"/>
    </row>
    <row r="136" spans="14:16" s="94" customFormat="1">
      <c r="N136" s="112"/>
      <c r="O136" s="112"/>
      <c r="P136" s="112"/>
    </row>
    <row r="137" spans="14:16" s="94" customFormat="1">
      <c r="N137" s="112"/>
      <c r="O137" s="112"/>
      <c r="P137" s="112"/>
    </row>
    <row r="138" spans="14:16" s="94" customFormat="1">
      <c r="N138" s="112"/>
      <c r="O138" s="112"/>
      <c r="P138" s="112"/>
    </row>
    <row r="139" spans="14:16" s="94" customFormat="1">
      <c r="N139" s="112"/>
      <c r="O139" s="112"/>
      <c r="P139" s="112"/>
    </row>
    <row r="140" spans="14:16" s="94" customFormat="1">
      <c r="N140" s="112"/>
      <c r="O140" s="112"/>
      <c r="P140" s="112"/>
    </row>
    <row r="141" spans="14:16" s="94" customFormat="1">
      <c r="N141" s="112"/>
      <c r="O141" s="112"/>
      <c r="P141" s="112"/>
    </row>
    <row r="142" spans="14:16" s="94" customFormat="1">
      <c r="N142" s="112"/>
      <c r="O142" s="112"/>
      <c r="P142" s="112"/>
    </row>
    <row r="143" spans="14:16" s="94" customFormat="1">
      <c r="N143" s="112"/>
      <c r="O143" s="112"/>
      <c r="P143" s="112"/>
    </row>
    <row r="144" spans="14:16" s="94" customFormat="1">
      <c r="N144" s="112"/>
      <c r="O144" s="112"/>
      <c r="P144" s="112"/>
    </row>
    <row r="145" spans="14:16" s="94" customFormat="1">
      <c r="N145" s="112"/>
      <c r="O145" s="112"/>
      <c r="P145" s="112"/>
    </row>
    <row r="146" spans="14:16" s="94" customFormat="1">
      <c r="N146" s="112"/>
      <c r="O146" s="112"/>
      <c r="P146" s="112"/>
    </row>
    <row r="147" spans="14:16" s="94" customFormat="1">
      <c r="N147" s="112"/>
      <c r="O147" s="112"/>
      <c r="P147" s="112"/>
    </row>
    <row r="148" spans="14:16" s="94" customFormat="1">
      <c r="N148" s="112"/>
      <c r="O148" s="112"/>
      <c r="P148" s="112"/>
    </row>
    <row r="149" spans="14:16" s="94" customFormat="1">
      <c r="N149" s="112"/>
      <c r="O149" s="112"/>
      <c r="P149" s="112"/>
    </row>
    <row r="150" spans="14:16" s="94" customFormat="1">
      <c r="N150" s="112"/>
      <c r="O150" s="112"/>
      <c r="P150" s="112"/>
    </row>
    <row r="151" spans="14:16" s="94" customFormat="1">
      <c r="N151" s="112"/>
      <c r="O151" s="112"/>
      <c r="P151" s="112"/>
    </row>
    <row r="152" spans="14:16" s="94" customFormat="1">
      <c r="N152" s="112"/>
      <c r="O152" s="112"/>
      <c r="P152" s="112"/>
    </row>
    <row r="153" spans="14:16" s="94" customFormat="1">
      <c r="N153" s="112"/>
      <c r="O153" s="112"/>
      <c r="P153" s="112"/>
    </row>
    <row r="154" spans="14:16" s="94" customFormat="1">
      <c r="N154" s="112"/>
      <c r="O154" s="112"/>
      <c r="P154" s="112"/>
    </row>
    <row r="155" spans="14:16" s="94" customFormat="1">
      <c r="N155" s="112"/>
      <c r="O155" s="112"/>
      <c r="P155" s="112"/>
    </row>
    <row r="156" spans="14:16" s="94" customFormat="1">
      <c r="N156" s="112"/>
      <c r="O156" s="112"/>
      <c r="P156" s="112"/>
    </row>
    <row r="157" spans="14:16" s="94" customFormat="1">
      <c r="N157" s="112"/>
      <c r="O157" s="112"/>
      <c r="P157" s="112"/>
    </row>
    <row r="158" spans="14:16" s="94" customFormat="1">
      <c r="N158" s="112"/>
      <c r="O158" s="112"/>
      <c r="P158" s="112"/>
    </row>
    <row r="159" spans="14:16" s="94" customFormat="1">
      <c r="N159" s="112"/>
      <c r="O159" s="112"/>
      <c r="P159" s="112"/>
    </row>
    <row r="160" spans="14:16" s="94" customFormat="1">
      <c r="N160" s="112"/>
      <c r="O160" s="112"/>
      <c r="P160" s="112"/>
    </row>
    <row r="161" spans="14:16" s="94" customFormat="1">
      <c r="N161" s="112"/>
      <c r="O161" s="112"/>
      <c r="P161" s="112"/>
    </row>
    <row r="162" spans="14:16" s="94" customFormat="1">
      <c r="N162" s="112"/>
      <c r="O162" s="112"/>
      <c r="P162" s="112"/>
    </row>
    <row r="163" spans="14:16" s="94" customFormat="1">
      <c r="N163" s="112"/>
      <c r="O163" s="112"/>
      <c r="P163" s="112"/>
    </row>
    <row r="164" spans="14:16" s="94" customFormat="1">
      <c r="N164" s="112"/>
      <c r="O164" s="112"/>
      <c r="P164" s="112"/>
    </row>
    <row r="165" spans="14:16" s="94" customFormat="1">
      <c r="N165" s="112"/>
      <c r="O165" s="112"/>
      <c r="P165" s="112"/>
    </row>
    <row r="166" spans="14:16" s="94" customFormat="1">
      <c r="N166" s="112"/>
      <c r="O166" s="112"/>
      <c r="P166" s="112"/>
    </row>
    <row r="167" spans="14:16" s="94" customFormat="1">
      <c r="N167" s="112"/>
      <c r="O167" s="112"/>
      <c r="P167" s="112"/>
    </row>
    <row r="168" spans="14:16" s="94" customFormat="1">
      <c r="N168" s="112"/>
      <c r="O168" s="112"/>
      <c r="P168" s="112"/>
    </row>
    <row r="169" spans="14:16" s="94" customFormat="1">
      <c r="N169" s="112"/>
      <c r="O169" s="112"/>
      <c r="P169" s="112"/>
    </row>
    <row r="170" spans="14:16" s="94" customFormat="1">
      <c r="N170" s="112"/>
      <c r="O170" s="112"/>
      <c r="P170" s="112"/>
    </row>
    <row r="171" spans="14:16" s="94" customFormat="1">
      <c r="N171" s="112"/>
      <c r="O171" s="112"/>
      <c r="P171" s="112"/>
    </row>
    <row r="172" spans="14:16" s="94" customFormat="1">
      <c r="N172" s="112"/>
      <c r="O172" s="112"/>
      <c r="P172" s="112"/>
    </row>
    <row r="173" spans="14:16" s="94" customFormat="1">
      <c r="N173" s="112"/>
      <c r="O173" s="112"/>
      <c r="P173" s="112"/>
    </row>
    <row r="174" spans="14:16" s="94" customFormat="1">
      <c r="N174" s="112"/>
      <c r="O174" s="112"/>
      <c r="P174" s="112"/>
    </row>
    <row r="175" spans="14:16" s="94" customFormat="1">
      <c r="N175" s="112"/>
      <c r="O175" s="112"/>
      <c r="P175" s="112"/>
    </row>
    <row r="176" spans="14:16" s="94" customFormat="1">
      <c r="N176" s="112"/>
      <c r="O176" s="112"/>
      <c r="P176" s="112"/>
    </row>
    <row r="177" spans="14:16" s="94" customFormat="1">
      <c r="N177" s="112"/>
      <c r="O177" s="112"/>
      <c r="P177" s="112"/>
    </row>
    <row r="178" spans="14:16" s="94" customFormat="1">
      <c r="N178" s="112"/>
      <c r="O178" s="112"/>
      <c r="P178" s="112"/>
    </row>
    <row r="179" spans="14:16" s="94" customFormat="1">
      <c r="N179" s="112"/>
      <c r="O179" s="112"/>
      <c r="P179" s="112"/>
    </row>
    <row r="180" spans="14:16" s="94" customFormat="1">
      <c r="N180" s="112"/>
      <c r="O180" s="112"/>
      <c r="P180" s="112"/>
    </row>
    <row r="181" spans="14:16" s="94" customFormat="1">
      <c r="N181" s="112"/>
      <c r="O181" s="112"/>
      <c r="P181" s="112"/>
    </row>
    <row r="182" spans="14:16" s="94" customFormat="1">
      <c r="N182" s="112"/>
      <c r="O182" s="112"/>
      <c r="P182" s="112"/>
    </row>
    <row r="183" spans="14:16" s="94" customFormat="1">
      <c r="N183" s="112"/>
      <c r="O183" s="112"/>
      <c r="P183" s="112"/>
    </row>
    <row r="184" spans="14:16" s="94" customFormat="1">
      <c r="N184" s="112"/>
      <c r="O184" s="112"/>
      <c r="P184" s="112"/>
    </row>
    <row r="185" spans="14:16" s="94" customFormat="1">
      <c r="N185" s="112"/>
      <c r="O185" s="112"/>
      <c r="P185" s="112"/>
    </row>
    <row r="186" spans="14:16" s="94" customFormat="1">
      <c r="N186" s="112"/>
      <c r="O186" s="112"/>
      <c r="P186" s="112"/>
    </row>
    <row r="187" spans="14:16" s="94" customFormat="1">
      <c r="N187" s="112"/>
      <c r="O187" s="112"/>
      <c r="P187" s="112"/>
    </row>
    <row r="188" spans="14:16" s="94" customFormat="1">
      <c r="N188" s="112"/>
      <c r="O188" s="112"/>
      <c r="P188" s="112"/>
    </row>
    <row r="189" spans="14:16" s="94" customFormat="1">
      <c r="N189" s="112"/>
      <c r="O189" s="112"/>
      <c r="P189" s="112"/>
    </row>
    <row r="190" spans="14:16" s="94" customFormat="1">
      <c r="N190" s="112"/>
      <c r="O190" s="112"/>
      <c r="P190" s="112"/>
    </row>
    <row r="191" spans="14:16" s="94" customFormat="1">
      <c r="N191" s="112"/>
      <c r="O191" s="112"/>
      <c r="P191" s="112"/>
    </row>
    <row r="192" spans="14:16" s="94" customFormat="1">
      <c r="N192" s="112"/>
      <c r="O192" s="112"/>
      <c r="P192" s="112"/>
    </row>
    <row r="193" spans="14:16" s="94" customFormat="1">
      <c r="N193" s="112"/>
      <c r="O193" s="112"/>
      <c r="P193" s="112"/>
    </row>
    <row r="194" spans="14:16" s="94" customFormat="1">
      <c r="N194" s="112"/>
      <c r="O194" s="112"/>
      <c r="P194" s="112"/>
    </row>
    <row r="195" spans="14:16" s="94" customFormat="1">
      <c r="N195" s="112"/>
      <c r="O195" s="112"/>
      <c r="P195" s="112"/>
    </row>
    <row r="196" spans="14:16" s="94" customFormat="1">
      <c r="N196" s="112"/>
      <c r="O196" s="112"/>
      <c r="P196" s="112"/>
    </row>
    <row r="197" spans="14:16" s="94" customFormat="1">
      <c r="N197" s="112"/>
      <c r="O197" s="112"/>
      <c r="P197" s="112"/>
    </row>
    <row r="198" spans="14:16" s="94" customFormat="1">
      <c r="N198" s="112"/>
      <c r="O198" s="112"/>
      <c r="P198" s="112"/>
    </row>
    <row r="199" spans="14:16" s="94" customFormat="1">
      <c r="N199" s="112"/>
      <c r="O199" s="112"/>
      <c r="P199" s="112"/>
    </row>
    <row r="200" spans="14:16" s="94" customFormat="1">
      <c r="N200" s="112"/>
      <c r="O200" s="112"/>
      <c r="P200" s="112"/>
    </row>
    <row r="201" spans="14:16" s="94" customFormat="1">
      <c r="N201" s="112"/>
      <c r="O201" s="112"/>
      <c r="P201" s="112"/>
    </row>
    <row r="202" spans="14:16" s="94" customFormat="1">
      <c r="N202" s="112"/>
      <c r="O202" s="112"/>
      <c r="P202" s="112"/>
    </row>
    <row r="203" spans="14:16" s="94" customFormat="1">
      <c r="N203" s="112"/>
      <c r="O203" s="112"/>
      <c r="P203" s="112"/>
    </row>
    <row r="204" spans="14:16" s="94" customFormat="1">
      <c r="N204" s="112"/>
      <c r="O204" s="112"/>
      <c r="P204" s="112"/>
    </row>
    <row r="205" spans="14:16" s="94" customFormat="1">
      <c r="N205" s="112"/>
      <c r="O205" s="112"/>
      <c r="P205" s="112"/>
    </row>
    <row r="206" spans="14:16" s="94" customFormat="1">
      <c r="N206" s="112"/>
      <c r="O206" s="112"/>
      <c r="P206" s="112"/>
    </row>
    <row r="207" spans="14:16" s="94" customFormat="1">
      <c r="N207" s="112"/>
      <c r="O207" s="112"/>
      <c r="P207" s="112"/>
    </row>
    <row r="208" spans="14:16" s="94" customFormat="1">
      <c r="N208" s="112"/>
      <c r="O208" s="112"/>
      <c r="P208" s="112"/>
    </row>
    <row r="209" spans="14:16" s="94" customFormat="1">
      <c r="N209" s="112"/>
      <c r="O209" s="112"/>
      <c r="P209" s="112"/>
    </row>
    <row r="210" spans="14:16" s="94" customFormat="1">
      <c r="N210" s="112"/>
      <c r="O210" s="112"/>
      <c r="P210" s="112"/>
    </row>
    <row r="211" spans="14:16" s="94" customFormat="1">
      <c r="N211" s="112"/>
      <c r="O211" s="112"/>
      <c r="P211" s="112"/>
    </row>
    <row r="212" spans="14:16" s="94" customFormat="1">
      <c r="N212" s="112"/>
      <c r="O212" s="112"/>
      <c r="P212" s="112"/>
    </row>
    <row r="213" spans="14:16" s="94" customFormat="1">
      <c r="N213" s="112"/>
      <c r="O213" s="112"/>
      <c r="P213" s="112"/>
    </row>
    <row r="214" spans="14:16" s="94" customFormat="1">
      <c r="N214" s="112"/>
      <c r="O214" s="112"/>
      <c r="P214" s="112"/>
    </row>
    <row r="215" spans="14:16" s="94" customFormat="1">
      <c r="N215" s="112"/>
      <c r="O215" s="112"/>
      <c r="P215" s="112"/>
    </row>
    <row r="216" spans="14:16" s="94" customFormat="1">
      <c r="N216" s="112"/>
      <c r="O216" s="112"/>
      <c r="P216" s="112"/>
    </row>
    <row r="217" spans="14:16" s="94" customFormat="1">
      <c r="N217" s="112"/>
      <c r="O217" s="112"/>
      <c r="P217" s="112"/>
    </row>
    <row r="218" spans="14:16" s="94" customFormat="1">
      <c r="N218" s="112"/>
      <c r="O218" s="112"/>
      <c r="P218" s="112"/>
    </row>
    <row r="219" spans="14:16" s="94" customFormat="1">
      <c r="N219" s="112"/>
      <c r="O219" s="112"/>
      <c r="P219" s="112"/>
    </row>
    <row r="220" spans="14:16" s="94" customFormat="1">
      <c r="N220" s="112"/>
      <c r="O220" s="112"/>
      <c r="P220" s="112"/>
    </row>
    <row r="221" spans="14:16" s="94" customFormat="1">
      <c r="N221" s="112"/>
      <c r="O221" s="112"/>
      <c r="P221" s="112"/>
    </row>
    <row r="222" spans="14:16" s="94" customFormat="1">
      <c r="N222" s="112"/>
      <c r="O222" s="112"/>
      <c r="P222" s="112"/>
    </row>
    <row r="223" spans="14:16" s="94" customFormat="1">
      <c r="N223" s="112"/>
      <c r="O223" s="112"/>
      <c r="P223" s="112"/>
    </row>
    <row r="224" spans="14:16" s="94" customFormat="1">
      <c r="N224" s="112"/>
      <c r="O224" s="112"/>
      <c r="P224" s="112"/>
    </row>
    <row r="225" spans="14:16" s="94" customFormat="1">
      <c r="N225" s="112"/>
      <c r="O225" s="112"/>
      <c r="P225" s="112"/>
    </row>
    <row r="226" spans="14:16" s="94" customFormat="1">
      <c r="N226" s="112"/>
      <c r="O226" s="112"/>
      <c r="P226" s="112"/>
    </row>
    <row r="227" spans="14:16" s="94" customFormat="1">
      <c r="N227" s="112"/>
      <c r="O227" s="112"/>
      <c r="P227" s="112"/>
    </row>
    <row r="228" spans="14:16" s="94" customFormat="1">
      <c r="N228" s="112"/>
      <c r="O228" s="112"/>
      <c r="P228" s="112"/>
    </row>
    <row r="229" spans="14:16" s="94" customFormat="1">
      <c r="N229" s="112"/>
      <c r="O229" s="112"/>
      <c r="P229" s="112"/>
    </row>
    <row r="230" spans="14:16" s="94" customFormat="1">
      <c r="N230" s="112"/>
      <c r="O230" s="112"/>
      <c r="P230" s="112"/>
    </row>
    <row r="231" spans="14:16" s="94" customFormat="1">
      <c r="N231" s="112"/>
      <c r="O231" s="112"/>
      <c r="P231" s="112"/>
    </row>
    <row r="232" spans="14:16" s="94" customFormat="1">
      <c r="N232" s="112"/>
      <c r="O232" s="112"/>
      <c r="P232" s="112"/>
    </row>
    <row r="233" spans="14:16" s="94" customFormat="1">
      <c r="N233" s="112"/>
      <c r="O233" s="112"/>
      <c r="P233" s="112"/>
    </row>
    <row r="234" spans="14:16" s="94" customFormat="1">
      <c r="N234" s="112"/>
      <c r="O234" s="112"/>
      <c r="P234" s="112"/>
    </row>
    <row r="235" spans="14:16" s="94" customFormat="1">
      <c r="N235" s="112"/>
      <c r="O235" s="112"/>
      <c r="P235" s="112"/>
    </row>
    <row r="236" spans="14:16" s="94" customFormat="1">
      <c r="N236" s="112"/>
      <c r="O236" s="112"/>
      <c r="P236" s="112"/>
    </row>
    <row r="237" spans="14:16" s="94" customFormat="1">
      <c r="N237" s="112"/>
      <c r="O237" s="112"/>
      <c r="P237" s="112"/>
    </row>
    <row r="238" spans="14:16" s="94" customFormat="1">
      <c r="N238" s="112"/>
      <c r="O238" s="112"/>
      <c r="P238" s="112"/>
    </row>
    <row r="239" spans="14:16" s="94" customFormat="1">
      <c r="N239" s="112"/>
      <c r="O239" s="112"/>
      <c r="P239" s="112"/>
    </row>
    <row r="240" spans="14:16" s="94" customFormat="1">
      <c r="N240" s="112"/>
      <c r="O240" s="112"/>
      <c r="P240" s="112"/>
    </row>
    <row r="241" spans="14:16" s="94" customFormat="1">
      <c r="N241" s="112"/>
      <c r="O241" s="112"/>
      <c r="P241" s="112"/>
    </row>
    <row r="242" spans="14:16" s="94" customFormat="1">
      <c r="N242" s="112"/>
      <c r="O242" s="112"/>
      <c r="P242" s="112"/>
    </row>
    <row r="243" spans="14:16" s="94" customFormat="1">
      <c r="N243" s="112"/>
      <c r="O243" s="112"/>
      <c r="P243" s="112"/>
    </row>
    <row r="244" spans="14:16" s="94" customFormat="1">
      <c r="N244" s="112"/>
      <c r="O244" s="112"/>
      <c r="P244" s="112"/>
    </row>
    <row r="245" spans="14:16" s="94" customFormat="1">
      <c r="N245" s="112"/>
      <c r="O245" s="112"/>
      <c r="P245" s="112"/>
    </row>
    <row r="246" spans="14:16" s="94" customFormat="1">
      <c r="N246" s="112"/>
      <c r="O246" s="112"/>
      <c r="P246" s="112"/>
    </row>
    <row r="247" spans="14:16" s="94" customFormat="1">
      <c r="N247" s="112"/>
      <c r="O247" s="112"/>
      <c r="P247" s="112"/>
    </row>
    <row r="248" spans="14:16" s="94" customFormat="1">
      <c r="N248" s="112"/>
      <c r="O248" s="112"/>
      <c r="P248" s="112"/>
    </row>
    <row r="249" spans="14:16" s="94" customFormat="1">
      <c r="N249" s="112"/>
      <c r="O249" s="112"/>
      <c r="P249" s="112"/>
    </row>
    <row r="250" spans="14:16" s="94" customFormat="1">
      <c r="N250" s="112"/>
      <c r="O250" s="112"/>
      <c r="P250" s="112"/>
    </row>
    <row r="251" spans="14:16" s="94" customFormat="1">
      <c r="N251" s="112"/>
      <c r="O251" s="112"/>
      <c r="P251" s="112"/>
    </row>
    <row r="252" spans="14:16" s="94" customFormat="1">
      <c r="N252" s="112"/>
      <c r="O252" s="112"/>
      <c r="P252" s="112"/>
    </row>
    <row r="253" spans="14:16" s="94" customFormat="1">
      <c r="N253" s="112"/>
      <c r="O253" s="112"/>
      <c r="P253" s="112"/>
    </row>
    <row r="254" spans="14:16" s="94" customFormat="1">
      <c r="N254" s="112"/>
      <c r="O254" s="112"/>
      <c r="P254" s="112"/>
    </row>
    <row r="255" spans="14:16" s="94" customFormat="1">
      <c r="N255" s="112"/>
      <c r="O255" s="112"/>
      <c r="P255" s="112"/>
    </row>
    <row r="256" spans="14:16" s="94" customFormat="1">
      <c r="N256" s="112"/>
      <c r="O256" s="112"/>
      <c r="P256" s="112"/>
    </row>
    <row r="257" spans="14:16" s="94" customFormat="1">
      <c r="N257" s="112"/>
      <c r="O257" s="112"/>
      <c r="P257" s="112"/>
    </row>
    <row r="258" spans="14:16" s="94" customFormat="1">
      <c r="N258" s="112"/>
      <c r="O258" s="112"/>
      <c r="P258" s="112"/>
    </row>
    <row r="259" spans="14:16" s="94" customFormat="1">
      <c r="N259" s="112"/>
      <c r="O259" s="112"/>
      <c r="P259" s="112"/>
    </row>
    <row r="260" spans="14:16" s="94" customFormat="1">
      <c r="N260" s="112"/>
      <c r="O260" s="112"/>
      <c r="P260" s="112"/>
    </row>
    <row r="261" spans="14:16" s="94" customFormat="1">
      <c r="N261" s="112"/>
      <c r="O261" s="112"/>
      <c r="P261" s="112"/>
    </row>
    <row r="262" spans="14:16" s="94" customFormat="1">
      <c r="N262" s="112"/>
      <c r="O262" s="112"/>
      <c r="P262" s="112"/>
    </row>
    <row r="263" spans="14:16" s="94" customFormat="1">
      <c r="N263" s="112"/>
      <c r="O263" s="112"/>
      <c r="P263" s="112"/>
    </row>
    <row r="264" spans="14:16" s="94" customFormat="1">
      <c r="N264" s="112"/>
      <c r="O264" s="112"/>
      <c r="P264" s="112"/>
    </row>
    <row r="265" spans="14:16" s="94" customFormat="1">
      <c r="N265" s="112"/>
      <c r="O265" s="112"/>
      <c r="P265" s="112"/>
    </row>
    <row r="266" spans="14:16" s="94" customFormat="1">
      <c r="N266" s="112"/>
      <c r="O266" s="112"/>
      <c r="P266" s="112"/>
    </row>
    <row r="267" spans="14:16" s="94" customFormat="1">
      <c r="N267" s="112"/>
      <c r="O267" s="112"/>
      <c r="P267" s="112"/>
    </row>
    <row r="268" spans="14:16" s="94" customFormat="1">
      <c r="N268" s="112"/>
      <c r="O268" s="112"/>
      <c r="P268" s="112"/>
    </row>
    <row r="269" spans="14:16" s="94" customFormat="1">
      <c r="N269" s="112"/>
      <c r="O269" s="112"/>
      <c r="P269" s="112"/>
    </row>
    <row r="270" spans="14:16" s="94" customFormat="1">
      <c r="N270" s="112"/>
      <c r="O270" s="112"/>
      <c r="P270" s="112"/>
    </row>
    <row r="271" spans="14:16" s="94" customFormat="1">
      <c r="N271" s="112"/>
      <c r="O271" s="112"/>
      <c r="P271" s="112"/>
    </row>
    <row r="272" spans="14:16" s="94" customFormat="1">
      <c r="N272" s="112"/>
      <c r="O272" s="112"/>
      <c r="P272" s="112"/>
    </row>
    <row r="273" spans="14:16" s="94" customFormat="1">
      <c r="N273" s="112"/>
      <c r="O273" s="112"/>
      <c r="P273" s="112"/>
    </row>
    <row r="274" spans="14:16" s="94" customFormat="1">
      <c r="N274" s="112"/>
      <c r="O274" s="112"/>
      <c r="P274" s="112"/>
    </row>
    <row r="275" spans="14:16" s="94" customFormat="1">
      <c r="N275" s="112"/>
      <c r="O275" s="112"/>
      <c r="P275" s="112"/>
    </row>
    <row r="276" spans="14:16" s="94" customFormat="1">
      <c r="N276" s="112"/>
      <c r="O276" s="112"/>
      <c r="P276" s="112"/>
    </row>
    <row r="277" spans="14:16" s="94" customFormat="1">
      <c r="N277" s="112"/>
      <c r="O277" s="112"/>
      <c r="P277" s="112"/>
    </row>
    <row r="278" spans="14:16" s="94" customFormat="1">
      <c r="N278" s="112"/>
      <c r="O278" s="112"/>
      <c r="P278" s="112"/>
    </row>
    <row r="279" spans="14:16" s="94" customFormat="1">
      <c r="N279" s="112"/>
      <c r="O279" s="112"/>
      <c r="P279" s="112"/>
    </row>
    <row r="280" spans="14:16" s="94" customFormat="1">
      <c r="N280" s="112"/>
      <c r="O280" s="112"/>
      <c r="P280" s="112"/>
    </row>
    <row r="281" spans="14:16" s="94" customFormat="1">
      <c r="N281" s="112"/>
      <c r="O281" s="112"/>
      <c r="P281" s="112"/>
    </row>
    <row r="282" spans="14:16" s="94" customFormat="1">
      <c r="N282" s="112"/>
      <c r="O282" s="112"/>
      <c r="P282" s="112"/>
    </row>
    <row r="283" spans="14:16" s="94" customFormat="1">
      <c r="N283" s="112"/>
      <c r="O283" s="112"/>
      <c r="P283" s="112"/>
    </row>
    <row r="284" spans="14:16" s="94" customFormat="1">
      <c r="N284" s="112"/>
      <c r="O284" s="112"/>
      <c r="P284" s="112"/>
    </row>
    <row r="285" spans="14:16" s="94" customFormat="1">
      <c r="N285" s="112"/>
      <c r="O285" s="112"/>
      <c r="P285" s="112"/>
    </row>
    <row r="286" spans="14:16" s="94" customFormat="1">
      <c r="N286" s="112"/>
      <c r="O286" s="112"/>
      <c r="P286" s="112"/>
    </row>
    <row r="287" spans="14:16" s="94" customFormat="1">
      <c r="N287" s="112"/>
      <c r="O287" s="112"/>
      <c r="P287" s="112"/>
    </row>
    <row r="288" spans="14:16" s="94" customFormat="1">
      <c r="N288" s="112"/>
      <c r="O288" s="112"/>
      <c r="P288" s="112"/>
    </row>
    <row r="289" spans="14:16" s="94" customFormat="1">
      <c r="N289" s="112"/>
      <c r="O289" s="112"/>
      <c r="P289" s="112"/>
    </row>
    <row r="290" spans="14:16" s="94" customFormat="1">
      <c r="N290" s="112"/>
      <c r="O290" s="112"/>
      <c r="P290" s="112"/>
    </row>
    <row r="291" spans="14:16" s="94" customFormat="1">
      <c r="N291" s="112"/>
      <c r="O291" s="112"/>
      <c r="P291" s="112"/>
    </row>
    <row r="292" spans="14:16" s="94" customFormat="1">
      <c r="N292" s="112"/>
      <c r="O292" s="112"/>
      <c r="P292" s="112"/>
    </row>
    <row r="293" spans="14:16" s="94" customFormat="1">
      <c r="N293" s="112"/>
      <c r="O293" s="112"/>
      <c r="P293" s="112"/>
    </row>
    <row r="294" spans="14:16" s="94" customFormat="1">
      <c r="N294" s="112"/>
      <c r="O294" s="112"/>
      <c r="P294" s="112"/>
    </row>
    <row r="295" spans="14:16" s="94" customFormat="1">
      <c r="N295" s="112"/>
      <c r="O295" s="112"/>
      <c r="P295" s="112"/>
    </row>
    <row r="296" spans="14:16" s="94" customFormat="1">
      <c r="N296" s="112"/>
      <c r="O296" s="112"/>
      <c r="P296" s="112"/>
    </row>
    <row r="297" spans="14:16" s="94" customFormat="1">
      <c r="N297" s="112"/>
      <c r="O297" s="112"/>
      <c r="P297" s="112"/>
    </row>
    <row r="298" spans="14:16" s="94" customFormat="1">
      <c r="N298" s="112"/>
      <c r="O298" s="112"/>
      <c r="P298" s="112"/>
    </row>
    <row r="299" spans="14:16" s="94" customFormat="1">
      <c r="N299" s="112"/>
      <c r="O299" s="112"/>
      <c r="P299" s="112"/>
    </row>
    <row r="300" spans="14:16" s="94" customFormat="1">
      <c r="N300" s="112"/>
      <c r="O300" s="112"/>
      <c r="P300" s="112"/>
    </row>
    <row r="301" spans="14:16" s="94" customFormat="1">
      <c r="N301" s="112"/>
      <c r="O301" s="112"/>
      <c r="P301" s="112"/>
    </row>
    <row r="302" spans="14:16" s="94" customFormat="1">
      <c r="N302" s="112"/>
      <c r="O302" s="112"/>
      <c r="P302" s="112"/>
    </row>
    <row r="303" spans="14:16" s="94" customFormat="1">
      <c r="N303" s="112"/>
      <c r="O303" s="112"/>
      <c r="P303" s="112"/>
    </row>
    <row r="304" spans="14:16" s="94" customFormat="1">
      <c r="N304" s="112"/>
      <c r="O304" s="112"/>
      <c r="P304" s="112"/>
    </row>
    <row r="305" spans="14:16" s="94" customFormat="1">
      <c r="N305" s="112"/>
      <c r="O305" s="112"/>
      <c r="P305" s="112"/>
    </row>
    <row r="306" spans="14:16" s="94" customFormat="1">
      <c r="N306" s="112"/>
      <c r="O306" s="112"/>
      <c r="P306" s="112"/>
    </row>
    <row r="307" spans="14:16" s="94" customFormat="1">
      <c r="N307" s="112"/>
      <c r="O307" s="112"/>
      <c r="P307" s="112"/>
    </row>
    <row r="308" spans="14:16" s="94" customFormat="1">
      <c r="N308" s="112"/>
      <c r="O308" s="112"/>
      <c r="P308" s="112"/>
    </row>
    <row r="309" spans="14:16" s="94" customFormat="1">
      <c r="N309" s="112"/>
      <c r="O309" s="112"/>
      <c r="P309" s="112"/>
    </row>
    <row r="310" spans="14:16" s="94" customFormat="1">
      <c r="N310" s="112"/>
      <c r="O310" s="112"/>
      <c r="P310" s="112"/>
    </row>
    <row r="311" spans="14:16" s="94" customFormat="1">
      <c r="N311" s="112"/>
      <c r="O311" s="112"/>
      <c r="P311" s="112"/>
    </row>
    <row r="312" spans="14:16" s="94" customFormat="1">
      <c r="N312" s="112"/>
      <c r="O312" s="112"/>
      <c r="P312" s="112"/>
    </row>
    <row r="313" spans="14:16" s="94" customFormat="1">
      <c r="N313" s="112"/>
      <c r="O313" s="112"/>
      <c r="P313" s="112"/>
    </row>
    <row r="314" spans="14:16" s="94" customFormat="1">
      <c r="N314" s="112"/>
      <c r="O314" s="112"/>
      <c r="P314" s="112"/>
    </row>
    <row r="315" spans="14:16" s="94" customFormat="1">
      <c r="N315" s="112"/>
      <c r="O315" s="112"/>
      <c r="P315" s="112"/>
    </row>
    <row r="316" spans="14:16" s="94" customFormat="1">
      <c r="N316" s="112"/>
      <c r="O316" s="112"/>
      <c r="P316" s="112"/>
    </row>
    <row r="317" spans="14:16" s="94" customFormat="1">
      <c r="N317" s="112"/>
      <c r="O317" s="112"/>
      <c r="P317" s="112"/>
    </row>
    <row r="318" spans="14:16" s="94" customFormat="1">
      <c r="N318" s="112"/>
      <c r="O318" s="112"/>
      <c r="P318" s="112"/>
    </row>
    <row r="319" spans="14:16" s="94" customFormat="1">
      <c r="N319" s="112"/>
      <c r="O319" s="112"/>
      <c r="P319" s="112"/>
    </row>
    <row r="320" spans="14:16" s="94" customFormat="1">
      <c r="N320" s="112"/>
      <c r="O320" s="112"/>
      <c r="P320" s="112"/>
    </row>
    <row r="321" spans="14:16" s="94" customFormat="1">
      <c r="N321" s="112"/>
      <c r="O321" s="112"/>
      <c r="P321" s="112"/>
    </row>
    <row r="322" spans="14:16" s="94" customFormat="1">
      <c r="N322" s="112"/>
      <c r="O322" s="112"/>
      <c r="P322" s="112"/>
    </row>
    <row r="323" spans="14:16" s="94" customFormat="1">
      <c r="N323" s="112"/>
      <c r="O323" s="112"/>
      <c r="P323" s="112"/>
    </row>
    <row r="324" spans="14:16" s="94" customFormat="1">
      <c r="N324" s="112"/>
      <c r="O324" s="112"/>
      <c r="P324" s="112"/>
    </row>
    <row r="325" spans="14:16" s="94" customFormat="1">
      <c r="N325" s="112"/>
      <c r="O325" s="112"/>
      <c r="P325" s="112"/>
    </row>
    <row r="326" spans="14:16" s="94" customFormat="1">
      <c r="N326" s="112"/>
      <c r="O326" s="112"/>
      <c r="P326" s="112"/>
    </row>
    <row r="327" spans="14:16" s="94" customFormat="1">
      <c r="N327" s="112"/>
      <c r="O327" s="112"/>
      <c r="P327" s="112"/>
    </row>
    <row r="328" spans="14:16" s="94" customFormat="1">
      <c r="N328" s="112"/>
      <c r="O328" s="112"/>
      <c r="P328" s="112"/>
    </row>
    <row r="329" spans="14:16" s="94" customFormat="1">
      <c r="N329" s="112"/>
      <c r="O329" s="112"/>
      <c r="P329" s="112"/>
    </row>
    <row r="330" spans="14:16" s="94" customFormat="1">
      <c r="N330" s="112"/>
      <c r="O330" s="112"/>
      <c r="P330" s="112"/>
    </row>
    <row r="331" spans="14:16" s="94" customFormat="1">
      <c r="N331" s="112"/>
      <c r="O331" s="112"/>
      <c r="P331" s="112"/>
    </row>
    <row r="332" spans="14:16" s="94" customFormat="1">
      <c r="N332" s="112"/>
      <c r="O332" s="112"/>
      <c r="P332" s="112"/>
    </row>
    <row r="333" spans="14:16" s="94" customFormat="1">
      <c r="N333" s="112"/>
      <c r="O333" s="112"/>
      <c r="P333" s="112"/>
    </row>
    <row r="334" spans="14:16" s="94" customFormat="1">
      <c r="N334" s="112"/>
      <c r="O334" s="112"/>
      <c r="P334" s="112"/>
    </row>
    <row r="335" spans="14:16" s="94" customFormat="1">
      <c r="N335" s="112"/>
      <c r="O335" s="112"/>
      <c r="P335" s="112"/>
    </row>
    <row r="336" spans="14:16" s="94" customFormat="1">
      <c r="N336" s="112"/>
      <c r="O336" s="112"/>
      <c r="P336" s="112"/>
    </row>
    <row r="337" spans="14:16" s="94" customFormat="1">
      <c r="N337" s="112"/>
      <c r="O337" s="112"/>
      <c r="P337" s="112"/>
    </row>
    <row r="338" spans="14:16" s="94" customFormat="1">
      <c r="N338" s="112"/>
      <c r="O338" s="112"/>
      <c r="P338" s="112"/>
    </row>
    <row r="339" spans="14:16" s="94" customFormat="1">
      <c r="N339" s="112"/>
      <c r="O339" s="112"/>
      <c r="P339" s="112"/>
    </row>
    <row r="340" spans="14:16" s="94" customFormat="1">
      <c r="N340" s="112"/>
      <c r="O340" s="112"/>
      <c r="P340" s="112"/>
    </row>
    <row r="341" spans="14:16" s="94" customFormat="1">
      <c r="N341" s="112"/>
      <c r="O341" s="112"/>
      <c r="P341" s="112"/>
    </row>
    <row r="342" spans="14:16" s="94" customFormat="1">
      <c r="N342" s="112"/>
      <c r="O342" s="112"/>
      <c r="P342" s="112"/>
    </row>
    <row r="343" spans="14:16" s="94" customFormat="1">
      <c r="N343" s="112"/>
      <c r="O343" s="112"/>
      <c r="P343" s="112"/>
    </row>
    <row r="344" spans="14:16" s="94" customFormat="1">
      <c r="N344" s="112"/>
      <c r="O344" s="112"/>
      <c r="P344" s="112"/>
    </row>
    <row r="345" spans="14:16" s="94" customFormat="1">
      <c r="N345" s="112"/>
      <c r="O345" s="112"/>
      <c r="P345" s="112"/>
    </row>
    <row r="346" spans="14:16" s="94" customFormat="1">
      <c r="N346" s="112"/>
      <c r="O346" s="112"/>
      <c r="P346" s="112"/>
    </row>
    <row r="347" spans="14:16" s="94" customFormat="1">
      <c r="N347" s="112"/>
      <c r="O347" s="112"/>
      <c r="P347" s="112"/>
    </row>
    <row r="348" spans="14:16" s="94" customFormat="1">
      <c r="N348" s="112"/>
      <c r="O348" s="112"/>
      <c r="P348" s="112"/>
    </row>
    <row r="349" spans="14:16" s="94" customFormat="1">
      <c r="N349" s="112"/>
      <c r="O349" s="112"/>
      <c r="P349" s="112"/>
    </row>
    <row r="350" spans="14:16" s="94" customFormat="1">
      <c r="N350" s="112"/>
      <c r="O350" s="112"/>
      <c r="P350" s="112"/>
    </row>
    <row r="351" spans="14:16" s="94" customFormat="1">
      <c r="N351" s="112"/>
      <c r="O351" s="112"/>
      <c r="P351" s="112"/>
    </row>
    <row r="352" spans="14:16" s="94" customFormat="1">
      <c r="N352" s="112"/>
      <c r="O352" s="112"/>
      <c r="P352" s="112"/>
    </row>
    <row r="353" spans="14:16" s="94" customFormat="1">
      <c r="N353" s="112"/>
      <c r="O353" s="112"/>
      <c r="P353" s="112"/>
    </row>
    <row r="354" spans="14:16" s="94" customFormat="1">
      <c r="N354" s="112"/>
      <c r="O354" s="112"/>
      <c r="P354" s="112"/>
    </row>
    <row r="355" spans="14:16" s="94" customFormat="1">
      <c r="N355" s="112"/>
      <c r="O355" s="112"/>
      <c r="P355" s="112"/>
    </row>
    <row r="356" spans="14:16" s="94" customFormat="1">
      <c r="N356" s="112"/>
      <c r="O356" s="112"/>
      <c r="P356" s="112"/>
    </row>
    <row r="357" spans="14:16" s="94" customFormat="1">
      <c r="N357" s="112"/>
      <c r="O357" s="112"/>
      <c r="P357" s="112"/>
    </row>
    <row r="358" spans="14:16" s="94" customFormat="1">
      <c r="N358" s="112"/>
      <c r="O358" s="112"/>
      <c r="P358" s="112"/>
    </row>
    <row r="359" spans="14:16" s="94" customFormat="1">
      <c r="N359" s="112"/>
      <c r="O359" s="112"/>
      <c r="P359" s="112"/>
    </row>
    <row r="360" spans="14:16" s="94" customFormat="1">
      <c r="N360" s="112"/>
      <c r="O360" s="112"/>
      <c r="P360" s="112"/>
    </row>
    <row r="361" spans="14:16" s="94" customFormat="1">
      <c r="N361" s="112"/>
      <c r="O361" s="112"/>
      <c r="P361" s="112"/>
    </row>
    <row r="362" spans="14:16" s="94" customFormat="1">
      <c r="N362" s="112"/>
      <c r="O362" s="112"/>
      <c r="P362" s="112"/>
    </row>
    <row r="363" spans="14:16" s="94" customFormat="1">
      <c r="N363" s="112"/>
      <c r="O363" s="112"/>
      <c r="P363" s="112"/>
    </row>
    <row r="364" spans="14:16" s="94" customFormat="1">
      <c r="N364" s="112"/>
      <c r="O364" s="112"/>
      <c r="P364" s="112"/>
    </row>
    <row r="365" spans="14:16" s="94" customFormat="1">
      <c r="N365" s="112"/>
      <c r="O365" s="112"/>
      <c r="P365" s="112"/>
    </row>
    <row r="366" spans="14:16" s="94" customFormat="1">
      <c r="N366" s="112"/>
      <c r="O366" s="112"/>
      <c r="P366" s="112"/>
    </row>
    <row r="367" spans="14:16" s="94" customFormat="1">
      <c r="N367" s="112"/>
      <c r="O367" s="112"/>
      <c r="P367" s="112"/>
    </row>
    <row r="368" spans="14:16" s="94" customFormat="1">
      <c r="N368" s="112"/>
      <c r="O368" s="112"/>
      <c r="P368" s="112"/>
    </row>
    <row r="369" spans="14:16" s="94" customFormat="1">
      <c r="N369" s="112"/>
      <c r="O369" s="112"/>
      <c r="P369" s="112"/>
    </row>
    <row r="370" spans="14:16" s="94" customFormat="1">
      <c r="N370" s="112"/>
      <c r="O370" s="112"/>
      <c r="P370" s="112"/>
    </row>
    <row r="371" spans="14:16" s="94" customFormat="1">
      <c r="N371" s="112"/>
      <c r="O371" s="112"/>
      <c r="P371" s="112"/>
    </row>
    <row r="372" spans="14:16" s="94" customFormat="1">
      <c r="N372" s="112"/>
      <c r="O372" s="112"/>
      <c r="P372" s="112"/>
    </row>
    <row r="373" spans="14:16" s="94" customFormat="1">
      <c r="N373" s="112"/>
      <c r="O373" s="112"/>
      <c r="P373" s="112"/>
    </row>
    <row r="374" spans="14:16" s="94" customFormat="1">
      <c r="N374" s="112"/>
      <c r="O374" s="112"/>
      <c r="P374" s="112"/>
    </row>
    <row r="375" spans="14:16" s="94" customFormat="1">
      <c r="N375" s="112"/>
      <c r="O375" s="112"/>
      <c r="P375" s="112"/>
    </row>
    <row r="376" spans="14:16" s="94" customFormat="1">
      <c r="N376" s="112"/>
      <c r="O376" s="112"/>
      <c r="P376" s="112"/>
    </row>
    <row r="377" spans="14:16" s="94" customFormat="1">
      <c r="N377" s="112"/>
      <c r="O377" s="112"/>
      <c r="P377" s="112"/>
    </row>
    <row r="378" spans="14:16" s="94" customFormat="1">
      <c r="N378" s="112"/>
      <c r="O378" s="112"/>
      <c r="P378" s="112"/>
    </row>
    <row r="379" spans="14:16" s="94" customFormat="1">
      <c r="N379" s="112"/>
      <c r="O379" s="112"/>
      <c r="P379" s="112"/>
    </row>
    <row r="380" spans="14:16" s="94" customFormat="1">
      <c r="N380" s="112"/>
      <c r="O380" s="112"/>
      <c r="P380" s="112"/>
    </row>
    <row r="381" spans="14:16" s="94" customFormat="1">
      <c r="N381" s="112"/>
      <c r="O381" s="112"/>
      <c r="P381" s="112"/>
    </row>
    <row r="382" spans="14:16" s="94" customFormat="1">
      <c r="N382" s="112"/>
      <c r="O382" s="112"/>
      <c r="P382" s="112"/>
    </row>
    <row r="383" spans="14:16" s="94" customFormat="1">
      <c r="N383" s="112"/>
      <c r="O383" s="112"/>
      <c r="P383" s="112"/>
    </row>
    <row r="384" spans="14:16" s="94" customFormat="1">
      <c r="N384" s="112"/>
      <c r="O384" s="112"/>
      <c r="P384" s="112"/>
    </row>
    <row r="385" spans="14:16" s="94" customFormat="1">
      <c r="N385" s="112"/>
      <c r="O385" s="112"/>
      <c r="P385" s="112"/>
    </row>
    <row r="386" spans="14:16" s="94" customFormat="1">
      <c r="N386" s="112"/>
      <c r="O386" s="112"/>
      <c r="P386" s="112"/>
    </row>
    <row r="387" spans="14:16" s="94" customFormat="1">
      <c r="N387" s="112"/>
      <c r="O387" s="112"/>
      <c r="P387" s="112"/>
    </row>
    <row r="388" spans="14:16" s="94" customFormat="1">
      <c r="N388" s="112"/>
      <c r="O388" s="112"/>
      <c r="P388" s="112"/>
    </row>
    <row r="389" spans="14:16" s="94" customFormat="1">
      <c r="N389" s="112"/>
      <c r="O389" s="112"/>
      <c r="P389" s="112"/>
    </row>
    <row r="390" spans="14:16" s="94" customFormat="1">
      <c r="N390" s="112"/>
      <c r="O390" s="112"/>
      <c r="P390" s="112"/>
    </row>
    <row r="391" spans="14:16" s="94" customFormat="1">
      <c r="N391" s="112"/>
      <c r="O391" s="112"/>
      <c r="P391" s="112"/>
    </row>
    <row r="392" spans="14:16" s="94" customFormat="1">
      <c r="N392" s="112"/>
      <c r="O392" s="112"/>
      <c r="P392" s="112"/>
    </row>
    <row r="393" spans="14:16" s="94" customFormat="1">
      <c r="N393" s="112"/>
      <c r="O393" s="112"/>
      <c r="P393" s="112"/>
    </row>
    <row r="394" spans="14:16" s="94" customFormat="1">
      <c r="N394" s="112"/>
      <c r="O394" s="112"/>
      <c r="P394" s="112"/>
    </row>
    <row r="395" spans="14:16" s="94" customFormat="1">
      <c r="N395" s="112"/>
      <c r="O395" s="112"/>
      <c r="P395" s="112"/>
    </row>
    <row r="396" spans="14:16" s="94" customFormat="1">
      <c r="N396" s="112"/>
      <c r="O396" s="112"/>
      <c r="P396" s="112"/>
    </row>
    <row r="397" spans="14:16" s="94" customFormat="1">
      <c r="N397" s="112"/>
      <c r="O397" s="112"/>
      <c r="P397" s="112"/>
    </row>
    <row r="398" spans="14:16" s="94" customFormat="1">
      <c r="N398" s="112"/>
      <c r="O398" s="112"/>
      <c r="P398" s="112"/>
    </row>
    <row r="399" spans="14:16" s="94" customFormat="1">
      <c r="N399" s="112"/>
      <c r="O399" s="112"/>
      <c r="P399" s="112"/>
    </row>
    <row r="400" spans="14:16" s="94" customFormat="1">
      <c r="N400" s="112"/>
      <c r="O400" s="112"/>
      <c r="P400" s="112"/>
    </row>
    <row r="401" spans="14:16" s="94" customFormat="1">
      <c r="N401" s="112"/>
      <c r="O401" s="112"/>
      <c r="P401" s="112"/>
    </row>
    <row r="402" spans="14:16" s="94" customFormat="1">
      <c r="N402" s="112"/>
      <c r="O402" s="112"/>
      <c r="P402" s="112"/>
    </row>
    <row r="403" spans="14:16" s="94" customFormat="1">
      <c r="N403" s="112"/>
      <c r="O403" s="112"/>
      <c r="P403" s="112"/>
    </row>
    <row r="404" spans="14:16" s="94" customFormat="1">
      <c r="N404" s="112"/>
      <c r="O404" s="112"/>
      <c r="P404" s="112"/>
    </row>
    <row r="405" spans="14:16" s="94" customFormat="1">
      <c r="N405" s="112"/>
      <c r="O405" s="112"/>
      <c r="P405" s="112"/>
    </row>
    <row r="406" spans="14:16" s="94" customFormat="1">
      <c r="N406" s="112"/>
      <c r="O406" s="112"/>
      <c r="P406" s="112"/>
    </row>
    <row r="407" spans="14:16" s="94" customFormat="1">
      <c r="N407" s="112"/>
      <c r="O407" s="112"/>
      <c r="P407" s="112"/>
    </row>
    <row r="408" spans="14:16" s="94" customFormat="1">
      <c r="N408" s="112"/>
      <c r="O408" s="112"/>
      <c r="P408" s="112"/>
    </row>
    <row r="409" spans="14:16" s="94" customFormat="1">
      <c r="N409" s="112"/>
      <c r="O409" s="112"/>
      <c r="P409" s="112"/>
    </row>
    <row r="410" spans="14:16" s="94" customFormat="1">
      <c r="N410" s="112"/>
      <c r="O410" s="112"/>
      <c r="P410" s="112"/>
    </row>
    <row r="411" spans="14:16" s="94" customFormat="1">
      <c r="N411" s="112"/>
      <c r="O411" s="112"/>
      <c r="P411" s="112"/>
    </row>
    <row r="412" spans="14:16" s="94" customFormat="1">
      <c r="N412" s="112"/>
      <c r="O412" s="112"/>
      <c r="P412" s="112"/>
    </row>
    <row r="413" spans="14:16" s="94" customFormat="1">
      <c r="N413" s="112"/>
      <c r="O413" s="112"/>
      <c r="P413" s="112"/>
    </row>
    <row r="414" spans="14:16" s="94" customFormat="1">
      <c r="N414" s="112"/>
      <c r="O414" s="112"/>
      <c r="P414" s="112"/>
    </row>
    <row r="415" spans="14:16" s="94" customFormat="1">
      <c r="N415" s="112"/>
      <c r="O415" s="112"/>
      <c r="P415" s="112"/>
    </row>
    <row r="416" spans="14:16" s="94" customFormat="1">
      <c r="N416" s="112"/>
      <c r="O416" s="112"/>
      <c r="P416" s="112"/>
    </row>
    <row r="417" spans="14:16" s="94" customFormat="1">
      <c r="N417" s="112"/>
      <c r="O417" s="112"/>
      <c r="P417" s="112"/>
    </row>
    <row r="418" spans="14:16" s="94" customFormat="1">
      <c r="N418" s="112"/>
      <c r="O418" s="112"/>
      <c r="P418" s="112"/>
    </row>
    <row r="419" spans="14:16" s="94" customFormat="1">
      <c r="N419" s="112"/>
      <c r="O419" s="112"/>
      <c r="P419" s="112"/>
    </row>
    <row r="420" spans="14:16" s="94" customFormat="1">
      <c r="N420" s="112"/>
      <c r="O420" s="112"/>
      <c r="P420" s="112"/>
    </row>
    <row r="421" spans="14:16" s="94" customFormat="1">
      <c r="N421" s="112"/>
      <c r="O421" s="112"/>
      <c r="P421" s="112"/>
    </row>
    <row r="422" spans="14:16" s="94" customFormat="1">
      <c r="N422" s="112"/>
      <c r="O422" s="112"/>
      <c r="P422" s="112"/>
    </row>
    <row r="423" spans="14:16" s="94" customFormat="1">
      <c r="N423" s="112"/>
      <c r="O423" s="112"/>
      <c r="P423" s="112"/>
    </row>
    <row r="424" spans="14:16" s="94" customFormat="1">
      <c r="N424" s="112"/>
      <c r="O424" s="112"/>
      <c r="P424" s="112"/>
    </row>
    <row r="425" spans="14:16" s="94" customFormat="1">
      <c r="N425" s="112"/>
      <c r="O425" s="112"/>
      <c r="P425" s="112"/>
    </row>
    <row r="426" spans="14:16" s="94" customFormat="1">
      <c r="N426" s="112"/>
      <c r="O426" s="112"/>
      <c r="P426" s="112"/>
    </row>
    <row r="427" spans="14:16" s="94" customFormat="1">
      <c r="N427" s="112"/>
      <c r="O427" s="112"/>
      <c r="P427" s="112"/>
    </row>
    <row r="428" spans="14:16" s="94" customFormat="1">
      <c r="N428" s="112"/>
      <c r="O428" s="112"/>
      <c r="P428" s="112"/>
    </row>
    <row r="429" spans="14:16" s="94" customFormat="1">
      <c r="N429" s="112"/>
      <c r="O429" s="112"/>
      <c r="P429" s="112"/>
    </row>
    <row r="430" spans="14:16" s="94" customFormat="1">
      <c r="N430" s="112"/>
      <c r="O430" s="112"/>
      <c r="P430" s="112"/>
    </row>
    <row r="431" spans="14:16" s="94" customFormat="1">
      <c r="N431" s="112"/>
      <c r="O431" s="112"/>
      <c r="P431" s="112"/>
    </row>
    <row r="432" spans="14:16" s="94" customFormat="1">
      <c r="N432" s="112"/>
      <c r="O432" s="112"/>
      <c r="P432" s="112"/>
    </row>
    <row r="433" spans="14:16" s="94" customFormat="1">
      <c r="N433" s="112"/>
      <c r="O433" s="112"/>
      <c r="P433" s="112"/>
    </row>
    <row r="434" spans="14:16" s="94" customFormat="1">
      <c r="N434" s="112"/>
      <c r="O434" s="112"/>
      <c r="P434" s="112"/>
    </row>
    <row r="435" spans="14:16" s="94" customFormat="1">
      <c r="N435" s="112"/>
      <c r="O435" s="112"/>
      <c r="P435" s="112"/>
    </row>
    <row r="436" spans="14:16" s="94" customFormat="1">
      <c r="N436" s="112"/>
      <c r="O436" s="112"/>
      <c r="P436" s="112"/>
    </row>
    <row r="437" spans="14:16" s="94" customFormat="1">
      <c r="N437" s="112"/>
      <c r="O437" s="112"/>
      <c r="P437" s="112"/>
    </row>
    <row r="438" spans="14:16" s="94" customFormat="1">
      <c r="N438" s="112"/>
      <c r="O438" s="112"/>
      <c r="P438" s="112"/>
    </row>
    <row r="439" spans="14:16" s="94" customFormat="1">
      <c r="N439" s="112"/>
      <c r="O439" s="112"/>
      <c r="P439" s="112"/>
    </row>
    <row r="440" spans="14:16" s="94" customFormat="1">
      <c r="N440" s="112"/>
      <c r="O440" s="112"/>
      <c r="P440" s="112"/>
    </row>
    <row r="441" spans="14:16" s="94" customFormat="1">
      <c r="N441" s="112"/>
      <c r="O441" s="112"/>
      <c r="P441" s="112"/>
    </row>
    <row r="442" spans="14:16" s="94" customFormat="1">
      <c r="N442" s="112"/>
      <c r="O442" s="112"/>
      <c r="P442" s="112"/>
    </row>
    <row r="443" spans="14:16" s="94" customFormat="1">
      <c r="N443" s="112"/>
      <c r="O443" s="112"/>
      <c r="P443" s="112"/>
    </row>
    <row r="444" spans="14:16" s="94" customFormat="1">
      <c r="N444" s="112"/>
      <c r="O444" s="112"/>
      <c r="P444" s="112"/>
    </row>
    <row r="445" spans="14:16" s="94" customFormat="1">
      <c r="N445" s="112"/>
      <c r="O445" s="112"/>
      <c r="P445" s="112"/>
    </row>
    <row r="446" spans="14:16" s="94" customFormat="1">
      <c r="N446" s="112"/>
      <c r="O446" s="112"/>
      <c r="P446" s="112"/>
    </row>
    <row r="447" spans="14:16" s="94" customFormat="1">
      <c r="N447" s="112"/>
      <c r="O447" s="112"/>
      <c r="P447" s="112"/>
    </row>
    <row r="448" spans="14:16" s="94" customFormat="1">
      <c r="N448" s="112"/>
      <c r="O448" s="112"/>
      <c r="P448" s="112"/>
    </row>
    <row r="449" spans="14:16" s="94" customFormat="1">
      <c r="N449" s="112"/>
      <c r="O449" s="112"/>
      <c r="P449" s="112"/>
    </row>
    <row r="450" spans="14:16" s="94" customFormat="1">
      <c r="N450" s="112"/>
      <c r="O450" s="112"/>
      <c r="P450" s="112"/>
    </row>
    <row r="451" spans="14:16" s="94" customFormat="1">
      <c r="N451" s="112"/>
      <c r="O451" s="112"/>
      <c r="P451" s="112"/>
    </row>
    <row r="452" spans="14:16" s="94" customFormat="1">
      <c r="N452" s="112"/>
      <c r="O452" s="112"/>
      <c r="P452" s="112"/>
    </row>
    <row r="453" spans="14:16" s="94" customFormat="1">
      <c r="N453" s="112"/>
      <c r="O453" s="112"/>
      <c r="P453" s="112"/>
    </row>
    <row r="454" spans="14:16" s="94" customFormat="1">
      <c r="N454" s="112"/>
      <c r="O454" s="112"/>
      <c r="P454" s="112"/>
    </row>
    <row r="455" spans="14:16" s="94" customFormat="1">
      <c r="N455" s="112"/>
      <c r="O455" s="112"/>
      <c r="P455" s="112"/>
    </row>
    <row r="456" spans="14:16" s="94" customFormat="1">
      <c r="N456" s="112"/>
      <c r="O456" s="112"/>
      <c r="P456" s="112"/>
    </row>
    <row r="457" spans="14:16" s="94" customFormat="1">
      <c r="N457" s="112"/>
      <c r="O457" s="112"/>
      <c r="P457" s="112"/>
    </row>
    <row r="458" spans="14:16" s="94" customFormat="1">
      <c r="N458" s="112"/>
      <c r="O458" s="112"/>
      <c r="P458" s="112"/>
    </row>
    <row r="459" spans="14:16" s="94" customFormat="1">
      <c r="N459" s="112"/>
      <c r="O459" s="112"/>
      <c r="P459" s="112"/>
    </row>
    <row r="460" spans="14:16" s="94" customFormat="1">
      <c r="N460" s="112"/>
      <c r="O460" s="112"/>
      <c r="P460" s="112"/>
    </row>
    <row r="461" spans="14:16" s="94" customFormat="1">
      <c r="N461" s="112"/>
      <c r="O461" s="112"/>
      <c r="P461" s="112"/>
    </row>
    <row r="462" spans="14:16" s="94" customFormat="1">
      <c r="N462" s="112"/>
      <c r="O462" s="112"/>
      <c r="P462" s="112"/>
    </row>
    <row r="463" spans="14:16" s="94" customFormat="1">
      <c r="N463" s="112"/>
      <c r="O463" s="112"/>
      <c r="P463" s="112"/>
    </row>
    <row r="464" spans="14:16" s="94" customFormat="1">
      <c r="N464" s="112"/>
      <c r="O464" s="112"/>
      <c r="P464" s="112"/>
    </row>
    <row r="465" spans="14:16" s="94" customFormat="1">
      <c r="N465" s="112"/>
      <c r="O465" s="112"/>
      <c r="P465" s="112"/>
    </row>
    <row r="466" spans="14:16" s="94" customFormat="1">
      <c r="N466" s="112"/>
      <c r="O466" s="112"/>
      <c r="P466" s="112"/>
    </row>
    <row r="467" spans="14:16" s="94" customFormat="1">
      <c r="N467" s="112"/>
      <c r="O467" s="112"/>
      <c r="P467" s="112"/>
    </row>
    <row r="468" spans="14:16" s="94" customFormat="1">
      <c r="N468" s="112"/>
      <c r="O468" s="112"/>
      <c r="P468" s="112"/>
    </row>
    <row r="469" spans="14:16" s="94" customFormat="1">
      <c r="N469" s="112"/>
      <c r="O469" s="112"/>
      <c r="P469" s="112"/>
    </row>
    <row r="470" spans="14:16" s="94" customFormat="1">
      <c r="N470" s="112"/>
      <c r="O470" s="112"/>
      <c r="P470" s="112"/>
    </row>
    <row r="471" spans="14:16" s="94" customFormat="1">
      <c r="N471" s="112"/>
      <c r="O471" s="112"/>
      <c r="P471" s="112"/>
    </row>
    <row r="472" spans="14:16" s="94" customFormat="1">
      <c r="N472" s="112"/>
      <c r="O472" s="112"/>
      <c r="P472" s="112"/>
    </row>
    <row r="473" spans="14:16" s="94" customFormat="1">
      <c r="N473" s="112"/>
      <c r="O473" s="112"/>
      <c r="P473" s="112"/>
    </row>
    <row r="474" spans="14:16" s="94" customFormat="1">
      <c r="N474" s="112"/>
      <c r="O474" s="112"/>
      <c r="P474" s="112"/>
    </row>
    <row r="475" spans="14:16" s="94" customFormat="1">
      <c r="N475" s="112"/>
      <c r="O475" s="112"/>
      <c r="P475" s="112"/>
    </row>
    <row r="476" spans="14:16" s="94" customFormat="1">
      <c r="N476" s="112"/>
      <c r="O476" s="112"/>
      <c r="P476" s="112"/>
    </row>
    <row r="477" spans="14:16" s="94" customFormat="1">
      <c r="N477" s="112"/>
      <c r="O477" s="112"/>
      <c r="P477" s="112"/>
    </row>
    <row r="478" spans="14:16" s="94" customFormat="1">
      <c r="N478" s="112"/>
      <c r="O478" s="112"/>
      <c r="P478" s="112"/>
    </row>
    <row r="479" spans="14:16" s="94" customFormat="1">
      <c r="N479" s="112"/>
      <c r="O479" s="112"/>
      <c r="P479" s="112"/>
    </row>
    <row r="480" spans="14:16" s="94" customFormat="1">
      <c r="N480" s="112"/>
      <c r="O480" s="112"/>
      <c r="P480" s="112"/>
    </row>
    <row r="481" spans="14:16" s="94" customFormat="1">
      <c r="N481" s="112"/>
      <c r="O481" s="112"/>
      <c r="P481" s="112"/>
    </row>
    <row r="482" spans="14:16" s="94" customFormat="1">
      <c r="N482" s="112"/>
      <c r="O482" s="112"/>
      <c r="P482" s="112"/>
    </row>
    <row r="483" spans="14:16" s="94" customFormat="1">
      <c r="N483" s="112"/>
      <c r="O483" s="112"/>
      <c r="P483" s="112"/>
    </row>
    <row r="484" spans="14:16" s="94" customFormat="1">
      <c r="N484" s="112"/>
      <c r="O484" s="112"/>
      <c r="P484" s="112"/>
    </row>
    <row r="485" spans="14:16" s="94" customFormat="1">
      <c r="N485" s="112"/>
      <c r="O485" s="112"/>
      <c r="P485" s="112"/>
    </row>
    <row r="486" spans="14:16" s="94" customFormat="1">
      <c r="N486" s="112"/>
      <c r="O486" s="112"/>
      <c r="P486" s="112"/>
    </row>
    <row r="487" spans="14:16" s="94" customFormat="1">
      <c r="N487" s="112"/>
      <c r="O487" s="112"/>
      <c r="P487" s="112"/>
    </row>
    <row r="488" spans="14:16" s="94" customFormat="1">
      <c r="N488" s="112"/>
      <c r="O488" s="112"/>
      <c r="P488" s="112"/>
    </row>
    <row r="489" spans="14:16" s="94" customFormat="1">
      <c r="N489" s="112"/>
      <c r="O489" s="112"/>
      <c r="P489" s="112"/>
    </row>
    <row r="490" spans="14:16" s="94" customFormat="1">
      <c r="N490" s="112"/>
      <c r="O490" s="112"/>
      <c r="P490" s="112"/>
    </row>
    <row r="491" spans="14:16" s="94" customFormat="1">
      <c r="N491" s="112"/>
      <c r="O491" s="112"/>
      <c r="P491" s="112"/>
    </row>
    <row r="492" spans="14:16" s="94" customFormat="1">
      <c r="N492" s="112"/>
      <c r="O492" s="112"/>
      <c r="P492" s="112"/>
    </row>
    <row r="493" spans="14:16" s="94" customFormat="1">
      <c r="N493" s="112"/>
      <c r="O493" s="112"/>
      <c r="P493" s="112"/>
    </row>
    <row r="494" spans="14:16" s="94" customFormat="1">
      <c r="N494" s="112"/>
      <c r="O494" s="112"/>
      <c r="P494" s="112"/>
    </row>
    <row r="495" spans="14:16" s="94" customFormat="1">
      <c r="N495" s="112"/>
      <c r="O495" s="112"/>
      <c r="P495" s="112"/>
    </row>
    <row r="496" spans="14:16" s="94" customFormat="1">
      <c r="N496" s="112"/>
      <c r="O496" s="112"/>
      <c r="P496" s="112"/>
    </row>
    <row r="497" spans="14:16" s="94" customFormat="1">
      <c r="N497" s="112"/>
      <c r="O497" s="112"/>
      <c r="P497" s="112"/>
    </row>
    <row r="498" spans="14:16" s="94" customFormat="1">
      <c r="N498" s="112"/>
      <c r="O498" s="112"/>
      <c r="P498" s="112"/>
    </row>
    <row r="499" spans="14:16" s="94" customFormat="1">
      <c r="N499" s="112"/>
      <c r="O499" s="112"/>
      <c r="P499" s="112"/>
    </row>
    <row r="500" spans="14:16" s="94" customFormat="1">
      <c r="N500" s="112"/>
      <c r="O500" s="112"/>
      <c r="P500" s="112"/>
    </row>
    <row r="501" spans="14:16" s="94" customFormat="1">
      <c r="N501" s="112"/>
      <c r="O501" s="112"/>
      <c r="P501" s="112"/>
    </row>
    <row r="502" spans="14:16" s="94" customFormat="1">
      <c r="N502" s="112"/>
      <c r="O502" s="112"/>
      <c r="P502" s="112"/>
    </row>
    <row r="503" spans="14:16" s="94" customFormat="1">
      <c r="N503" s="112"/>
      <c r="O503" s="112"/>
      <c r="P503" s="112"/>
    </row>
    <row r="504" spans="14:16" s="94" customFormat="1">
      <c r="N504" s="112"/>
      <c r="O504" s="112"/>
      <c r="P504" s="112"/>
    </row>
    <row r="505" spans="14:16" s="94" customFormat="1">
      <c r="N505" s="112"/>
      <c r="O505" s="112"/>
      <c r="P505" s="112"/>
    </row>
    <row r="506" spans="14:16" s="94" customFormat="1">
      <c r="N506" s="112"/>
      <c r="O506" s="112"/>
      <c r="P506" s="112"/>
    </row>
    <row r="507" spans="14:16" s="94" customFormat="1">
      <c r="N507" s="112"/>
      <c r="O507" s="112"/>
      <c r="P507" s="112"/>
    </row>
    <row r="508" spans="14:16" s="94" customFormat="1">
      <c r="N508" s="112"/>
      <c r="O508" s="112"/>
      <c r="P508" s="112"/>
    </row>
    <row r="509" spans="14:16" s="94" customFormat="1">
      <c r="N509" s="112"/>
      <c r="O509" s="112"/>
      <c r="P509" s="112"/>
    </row>
    <row r="510" spans="14:16" s="94" customFormat="1">
      <c r="N510" s="112"/>
      <c r="O510" s="112"/>
      <c r="P510" s="112"/>
    </row>
    <row r="511" spans="14:16" s="94" customFormat="1">
      <c r="N511" s="112"/>
      <c r="O511" s="112"/>
      <c r="P511" s="112"/>
    </row>
    <row r="512" spans="14:16" s="94" customFormat="1">
      <c r="N512" s="112"/>
      <c r="O512" s="112"/>
      <c r="P512" s="112"/>
    </row>
    <row r="513" spans="14:16" s="94" customFormat="1">
      <c r="N513" s="112"/>
      <c r="O513" s="112"/>
      <c r="P513" s="112"/>
    </row>
    <row r="514" spans="14:16" s="94" customFormat="1">
      <c r="N514" s="112"/>
      <c r="O514" s="112"/>
      <c r="P514" s="112"/>
    </row>
    <row r="515" spans="14:16" s="94" customFormat="1">
      <c r="N515" s="112"/>
      <c r="O515" s="112"/>
      <c r="P515" s="112"/>
    </row>
    <row r="516" spans="14:16" s="94" customFormat="1">
      <c r="N516" s="112"/>
      <c r="O516" s="112"/>
      <c r="P516" s="112"/>
    </row>
    <row r="517" spans="14:16" s="94" customFormat="1">
      <c r="N517" s="112"/>
      <c r="O517" s="112"/>
      <c r="P517" s="112"/>
    </row>
    <row r="518" spans="14:16" s="94" customFormat="1">
      <c r="N518" s="112"/>
      <c r="O518" s="112"/>
      <c r="P518" s="112"/>
    </row>
    <row r="519" spans="14:16" s="94" customFormat="1">
      <c r="N519" s="112"/>
      <c r="O519" s="112"/>
      <c r="P519" s="112"/>
    </row>
    <row r="520" spans="14:16" s="94" customFormat="1">
      <c r="N520" s="112"/>
      <c r="O520" s="112"/>
      <c r="P520" s="112"/>
    </row>
    <row r="521" spans="14:16" s="94" customFormat="1">
      <c r="N521" s="112"/>
      <c r="O521" s="112"/>
      <c r="P521" s="112"/>
    </row>
    <row r="522" spans="14:16" s="94" customFormat="1">
      <c r="N522" s="112"/>
      <c r="O522" s="112"/>
      <c r="P522" s="112"/>
    </row>
    <row r="523" spans="14:16" s="94" customFormat="1">
      <c r="N523" s="112"/>
      <c r="O523" s="112"/>
      <c r="P523" s="112"/>
    </row>
    <row r="524" spans="14:16" s="94" customFormat="1">
      <c r="N524" s="112"/>
      <c r="O524" s="112"/>
      <c r="P524" s="112"/>
    </row>
    <row r="525" spans="14:16" s="94" customFormat="1">
      <c r="N525" s="112"/>
      <c r="O525" s="112"/>
      <c r="P525" s="112"/>
    </row>
    <row r="526" spans="14:16" s="94" customFormat="1">
      <c r="N526" s="112"/>
      <c r="O526" s="112"/>
      <c r="P526" s="112"/>
    </row>
    <row r="527" spans="14:16" s="94" customFormat="1">
      <c r="N527" s="112"/>
      <c r="O527" s="112"/>
      <c r="P527" s="112"/>
    </row>
    <row r="528" spans="14:16" s="94" customFormat="1">
      <c r="N528" s="112"/>
      <c r="O528" s="112"/>
      <c r="P528" s="112"/>
    </row>
    <row r="529" spans="14:16" s="94" customFormat="1">
      <c r="N529" s="112"/>
      <c r="O529" s="112"/>
      <c r="P529" s="112"/>
    </row>
    <row r="530" spans="14:16" s="94" customFormat="1">
      <c r="N530" s="112"/>
      <c r="O530" s="112"/>
      <c r="P530" s="112"/>
    </row>
    <row r="531" spans="14:16" s="94" customFormat="1">
      <c r="N531" s="112"/>
      <c r="O531" s="112"/>
      <c r="P531" s="112"/>
    </row>
    <row r="532" spans="14:16" s="94" customFormat="1">
      <c r="N532" s="112"/>
      <c r="O532" s="112"/>
      <c r="P532" s="112"/>
    </row>
    <row r="533" spans="14:16" s="94" customFormat="1">
      <c r="N533" s="112"/>
      <c r="O533" s="112"/>
      <c r="P533" s="112"/>
    </row>
    <row r="534" spans="14:16" s="94" customFormat="1">
      <c r="N534" s="112"/>
      <c r="O534" s="112"/>
      <c r="P534" s="112"/>
    </row>
    <row r="535" spans="14:16" s="94" customFormat="1">
      <c r="N535" s="112"/>
      <c r="O535" s="112"/>
      <c r="P535" s="112"/>
    </row>
    <row r="536" spans="14:16" s="94" customFormat="1">
      <c r="N536" s="112"/>
      <c r="O536" s="112"/>
      <c r="P536" s="112"/>
    </row>
    <row r="537" spans="14:16" s="94" customFormat="1">
      <c r="N537" s="112"/>
      <c r="O537" s="112"/>
      <c r="P537" s="112"/>
    </row>
    <row r="538" spans="14:16" s="94" customFormat="1">
      <c r="N538" s="112"/>
      <c r="O538" s="112"/>
      <c r="P538" s="112"/>
    </row>
    <row r="539" spans="14:16" s="94" customFormat="1">
      <c r="N539" s="112"/>
      <c r="O539" s="112"/>
      <c r="P539" s="112"/>
    </row>
    <row r="540" spans="14:16" s="94" customFormat="1">
      <c r="N540" s="112"/>
      <c r="O540" s="112"/>
      <c r="P540" s="112"/>
    </row>
    <row r="541" spans="14:16" s="94" customFormat="1">
      <c r="N541" s="112"/>
      <c r="O541" s="112"/>
      <c r="P541" s="112"/>
    </row>
    <row r="542" spans="14:16" s="94" customFormat="1">
      <c r="N542" s="112"/>
      <c r="O542" s="112"/>
      <c r="P542" s="112"/>
    </row>
    <row r="543" spans="14:16" s="94" customFormat="1">
      <c r="N543" s="112"/>
      <c r="O543" s="112"/>
      <c r="P543" s="112"/>
    </row>
    <row r="544" spans="14:16" s="94" customFormat="1">
      <c r="N544" s="112"/>
      <c r="O544" s="112"/>
      <c r="P544" s="112"/>
    </row>
    <row r="545" spans="14:16" s="94" customFormat="1">
      <c r="N545" s="112"/>
      <c r="O545" s="112"/>
      <c r="P545" s="112"/>
    </row>
    <row r="546" spans="14:16" s="94" customFormat="1">
      <c r="N546" s="112"/>
      <c r="O546" s="112"/>
      <c r="P546" s="112"/>
    </row>
    <row r="547" spans="14:16" s="94" customFormat="1">
      <c r="N547" s="112"/>
      <c r="O547" s="112"/>
      <c r="P547" s="112"/>
    </row>
    <row r="548" spans="14:16" s="94" customFormat="1">
      <c r="N548" s="112"/>
      <c r="O548" s="112"/>
      <c r="P548" s="112"/>
    </row>
    <row r="549" spans="14:16" s="94" customFormat="1">
      <c r="N549" s="112"/>
      <c r="O549" s="112"/>
      <c r="P549" s="112"/>
    </row>
    <row r="550" spans="14:16" s="94" customFormat="1">
      <c r="N550" s="112"/>
      <c r="O550" s="112"/>
      <c r="P550" s="112"/>
    </row>
    <row r="551" spans="14:16" s="94" customFormat="1">
      <c r="N551" s="112"/>
      <c r="O551" s="112"/>
      <c r="P551" s="112"/>
    </row>
    <row r="552" spans="14:16" s="94" customFormat="1">
      <c r="N552" s="112"/>
      <c r="O552" s="112"/>
      <c r="P552" s="112"/>
    </row>
    <row r="553" spans="14:16" s="94" customFormat="1">
      <c r="N553" s="112"/>
      <c r="O553" s="112"/>
      <c r="P553" s="112"/>
    </row>
    <row r="554" spans="14:16" s="94" customFormat="1">
      <c r="N554" s="112"/>
      <c r="O554" s="112"/>
      <c r="P554" s="112"/>
    </row>
    <row r="555" spans="14:16" s="94" customFormat="1">
      <c r="N555" s="112"/>
      <c r="O555" s="112"/>
      <c r="P555" s="112"/>
    </row>
    <row r="556" spans="14:16" s="94" customFormat="1">
      <c r="N556" s="112"/>
      <c r="O556" s="112"/>
      <c r="P556" s="112"/>
    </row>
    <row r="557" spans="14:16" s="94" customFormat="1">
      <c r="N557" s="112"/>
      <c r="O557" s="112"/>
      <c r="P557" s="112"/>
    </row>
    <row r="558" spans="14:16" s="94" customFormat="1">
      <c r="N558" s="112"/>
      <c r="O558" s="112"/>
      <c r="P558" s="112"/>
    </row>
    <row r="559" spans="14:16" s="94" customFormat="1">
      <c r="N559" s="112"/>
      <c r="O559" s="112"/>
      <c r="P559" s="112"/>
    </row>
    <row r="560" spans="14:16" s="94" customFormat="1">
      <c r="N560" s="112"/>
      <c r="O560" s="112"/>
      <c r="P560" s="112"/>
    </row>
    <row r="561" spans="14:16" s="94" customFormat="1">
      <c r="N561" s="112"/>
      <c r="O561" s="112"/>
      <c r="P561" s="112"/>
    </row>
    <row r="562" spans="14:16" s="94" customFormat="1">
      <c r="N562" s="112"/>
      <c r="O562" s="112"/>
      <c r="P562" s="112"/>
    </row>
    <row r="563" spans="14:16" s="94" customFormat="1">
      <c r="N563" s="112"/>
      <c r="O563" s="112"/>
      <c r="P563" s="112"/>
    </row>
    <row r="564" spans="14:16" s="94" customFormat="1">
      <c r="N564" s="112"/>
      <c r="O564" s="112"/>
      <c r="P564" s="112"/>
    </row>
    <row r="565" spans="14:16" s="94" customFormat="1">
      <c r="N565" s="112"/>
      <c r="O565" s="112"/>
      <c r="P565" s="112"/>
    </row>
    <row r="566" spans="14:16" s="94" customFormat="1">
      <c r="N566" s="112"/>
      <c r="O566" s="112"/>
      <c r="P566" s="112"/>
    </row>
    <row r="567" spans="14:16" s="94" customFormat="1">
      <c r="N567" s="112"/>
      <c r="O567" s="112"/>
      <c r="P567" s="112"/>
    </row>
    <row r="568" spans="14:16" s="94" customFormat="1">
      <c r="N568" s="112"/>
      <c r="O568" s="112"/>
      <c r="P568" s="112"/>
    </row>
    <row r="569" spans="14:16" s="94" customFormat="1">
      <c r="N569" s="112"/>
      <c r="O569" s="112"/>
      <c r="P569" s="112"/>
    </row>
    <row r="570" spans="14:16" s="94" customFormat="1">
      <c r="N570" s="112"/>
      <c r="O570" s="112"/>
      <c r="P570" s="112"/>
    </row>
    <row r="571" spans="14:16" s="94" customFormat="1">
      <c r="N571" s="112"/>
      <c r="O571" s="112"/>
      <c r="P571" s="112"/>
    </row>
    <row r="572" spans="14:16" s="94" customFormat="1">
      <c r="N572" s="112"/>
      <c r="O572" s="112"/>
      <c r="P572" s="112"/>
    </row>
    <row r="573" spans="14:16" s="94" customFormat="1">
      <c r="N573" s="112"/>
      <c r="O573" s="112"/>
      <c r="P573" s="112"/>
    </row>
    <row r="574" spans="14:16" s="94" customFormat="1">
      <c r="N574" s="112"/>
      <c r="O574" s="112"/>
      <c r="P574" s="112"/>
    </row>
    <row r="575" spans="14:16" s="94" customFormat="1">
      <c r="N575" s="112"/>
      <c r="O575" s="112"/>
      <c r="P575" s="112"/>
    </row>
    <row r="576" spans="14:16" s="94" customFormat="1">
      <c r="N576" s="112"/>
      <c r="O576" s="112"/>
      <c r="P576" s="112"/>
    </row>
    <row r="577" spans="14:16" s="94" customFormat="1">
      <c r="N577" s="112"/>
      <c r="O577" s="112"/>
      <c r="P577" s="112"/>
    </row>
    <row r="578" spans="14:16" s="94" customFormat="1">
      <c r="N578" s="112"/>
      <c r="O578" s="112"/>
      <c r="P578" s="112"/>
    </row>
    <row r="579" spans="14:16" s="94" customFormat="1">
      <c r="N579" s="112"/>
      <c r="O579" s="112"/>
      <c r="P579" s="112"/>
    </row>
    <row r="580" spans="14:16" s="94" customFormat="1">
      <c r="N580" s="112"/>
      <c r="O580" s="112"/>
      <c r="P580" s="112"/>
    </row>
    <row r="581" spans="14:16" s="94" customFormat="1">
      <c r="N581" s="112"/>
      <c r="O581" s="112"/>
      <c r="P581" s="112"/>
    </row>
    <row r="582" spans="14:16" s="94" customFormat="1">
      <c r="N582" s="112"/>
      <c r="O582" s="112"/>
      <c r="P582" s="112"/>
    </row>
    <row r="583" spans="14:16" s="94" customFormat="1">
      <c r="N583" s="112"/>
      <c r="O583" s="112"/>
      <c r="P583" s="112"/>
    </row>
    <row r="584" spans="14:16" s="94" customFormat="1">
      <c r="N584" s="112"/>
      <c r="O584" s="112"/>
      <c r="P584" s="112"/>
    </row>
    <row r="585" spans="14:16" s="94" customFormat="1">
      <c r="N585" s="112"/>
      <c r="O585" s="112"/>
      <c r="P585" s="112"/>
    </row>
    <row r="586" spans="14:16" s="94" customFormat="1">
      <c r="N586" s="112"/>
      <c r="O586" s="112"/>
      <c r="P586" s="112"/>
    </row>
    <row r="587" spans="14:16" s="94" customFormat="1">
      <c r="N587" s="112"/>
      <c r="O587" s="112"/>
      <c r="P587" s="112"/>
    </row>
    <row r="588" spans="14:16" s="94" customFormat="1">
      <c r="N588" s="112"/>
      <c r="O588" s="112"/>
      <c r="P588" s="112"/>
    </row>
    <row r="589" spans="14:16" s="94" customFormat="1">
      <c r="N589" s="112"/>
      <c r="O589" s="112"/>
      <c r="P589" s="112"/>
    </row>
    <row r="590" spans="14:16" s="94" customFormat="1">
      <c r="N590" s="112"/>
      <c r="O590" s="112"/>
      <c r="P590" s="112"/>
    </row>
    <row r="591" spans="14:16" s="94" customFormat="1">
      <c r="N591" s="112"/>
      <c r="O591" s="112"/>
      <c r="P591" s="112"/>
    </row>
    <row r="592" spans="14:16" s="94" customFormat="1">
      <c r="N592" s="112"/>
      <c r="O592" s="112"/>
      <c r="P592" s="112"/>
    </row>
    <row r="593" spans="14:16" s="94" customFormat="1">
      <c r="N593" s="112"/>
      <c r="O593" s="112"/>
      <c r="P593" s="112"/>
    </row>
    <row r="594" spans="14:16" s="94" customFormat="1">
      <c r="N594" s="112"/>
      <c r="O594" s="112"/>
      <c r="P594" s="112"/>
    </row>
    <row r="595" spans="14:16" s="94" customFormat="1">
      <c r="N595" s="112"/>
      <c r="O595" s="112"/>
      <c r="P595" s="112"/>
    </row>
    <row r="596" spans="14:16" s="94" customFormat="1">
      <c r="N596" s="112"/>
      <c r="O596" s="112"/>
      <c r="P596" s="112"/>
    </row>
    <row r="597" spans="14:16" s="94" customFormat="1">
      <c r="N597" s="112"/>
      <c r="O597" s="112"/>
      <c r="P597" s="112"/>
    </row>
    <row r="598" spans="14:16" s="94" customFormat="1">
      <c r="N598" s="112"/>
      <c r="O598" s="112"/>
      <c r="P598" s="112"/>
    </row>
    <row r="599" spans="14:16" s="94" customFormat="1">
      <c r="N599" s="112"/>
      <c r="O599" s="112"/>
      <c r="P599" s="112"/>
    </row>
    <row r="600" spans="14:16" s="94" customFormat="1">
      <c r="N600" s="112"/>
      <c r="O600" s="112"/>
      <c r="P600" s="112"/>
    </row>
    <row r="601" spans="14:16" s="94" customFormat="1">
      <c r="N601" s="112"/>
      <c r="O601" s="112"/>
      <c r="P601" s="112"/>
    </row>
    <row r="602" spans="14:16" s="94" customFormat="1">
      <c r="N602" s="112"/>
      <c r="O602" s="112"/>
      <c r="P602" s="112"/>
    </row>
    <row r="603" spans="14:16" s="94" customFormat="1">
      <c r="N603" s="112"/>
      <c r="O603" s="112"/>
      <c r="P603" s="112"/>
    </row>
    <row r="604" spans="14:16" s="94" customFormat="1">
      <c r="N604" s="112"/>
      <c r="O604" s="112"/>
      <c r="P604" s="112"/>
    </row>
    <row r="605" spans="14:16" s="94" customFormat="1">
      <c r="N605" s="112"/>
      <c r="O605" s="112"/>
      <c r="P605" s="112"/>
    </row>
    <row r="606" spans="14:16" s="94" customFormat="1">
      <c r="N606" s="112"/>
      <c r="O606" s="112"/>
      <c r="P606" s="112"/>
    </row>
    <row r="607" spans="14:16" s="94" customFormat="1">
      <c r="N607" s="112"/>
      <c r="O607" s="112"/>
      <c r="P607" s="112"/>
    </row>
    <row r="608" spans="14:16" s="94" customFormat="1">
      <c r="N608" s="112"/>
      <c r="O608" s="112"/>
      <c r="P608" s="112"/>
    </row>
    <row r="609" spans="14:16" s="94" customFormat="1">
      <c r="N609" s="112"/>
      <c r="O609" s="112"/>
      <c r="P609" s="112"/>
    </row>
    <row r="610" spans="14:16" s="94" customFormat="1">
      <c r="N610" s="112"/>
      <c r="O610" s="112"/>
      <c r="P610" s="112"/>
    </row>
    <row r="611" spans="14:16" s="94" customFormat="1">
      <c r="N611" s="112"/>
      <c r="O611" s="112"/>
      <c r="P611" s="112"/>
    </row>
    <row r="612" spans="14:16" s="94" customFormat="1">
      <c r="N612" s="112"/>
      <c r="O612" s="112"/>
      <c r="P612" s="112"/>
    </row>
    <row r="613" spans="14:16" s="94" customFormat="1">
      <c r="N613" s="112"/>
      <c r="O613" s="112"/>
      <c r="P613" s="112"/>
    </row>
    <row r="614" spans="14:16" s="94" customFormat="1">
      <c r="N614" s="112"/>
      <c r="O614" s="112"/>
      <c r="P614" s="112"/>
    </row>
    <row r="615" spans="14:16" s="94" customFormat="1">
      <c r="N615" s="112"/>
      <c r="O615" s="112"/>
      <c r="P615" s="112"/>
    </row>
    <row r="616" spans="14:16" s="94" customFormat="1">
      <c r="N616" s="112"/>
      <c r="O616" s="112"/>
      <c r="P616" s="112"/>
    </row>
    <row r="617" spans="14:16" s="94" customFormat="1">
      <c r="N617" s="112"/>
      <c r="O617" s="112"/>
      <c r="P617" s="112"/>
    </row>
    <row r="618" spans="14:16" s="94" customFormat="1">
      <c r="N618" s="112"/>
      <c r="O618" s="112"/>
      <c r="P618" s="112"/>
    </row>
    <row r="619" spans="14:16" s="94" customFormat="1">
      <c r="N619" s="112"/>
      <c r="O619" s="112"/>
      <c r="P619" s="112"/>
    </row>
    <row r="620" spans="14:16" s="94" customFormat="1">
      <c r="N620" s="112"/>
      <c r="O620" s="112"/>
      <c r="P620" s="112"/>
    </row>
    <row r="621" spans="14:16" s="94" customFormat="1">
      <c r="N621" s="112"/>
      <c r="O621" s="112"/>
      <c r="P621" s="112"/>
    </row>
    <row r="622" spans="14:16" s="94" customFormat="1">
      <c r="N622" s="112"/>
      <c r="O622" s="112"/>
      <c r="P622" s="112"/>
    </row>
    <row r="623" spans="14:16" s="94" customFormat="1">
      <c r="N623" s="112"/>
      <c r="O623" s="112"/>
      <c r="P623" s="112"/>
    </row>
    <row r="624" spans="14:16" s="94" customFormat="1">
      <c r="N624" s="112"/>
      <c r="O624" s="112"/>
      <c r="P624" s="112"/>
    </row>
    <row r="625" spans="14:16" s="94" customFormat="1">
      <c r="N625" s="112"/>
      <c r="O625" s="112"/>
      <c r="P625" s="112"/>
    </row>
    <row r="626" spans="14:16" s="94" customFormat="1">
      <c r="N626" s="112"/>
      <c r="O626" s="112"/>
      <c r="P626" s="112"/>
    </row>
    <row r="627" spans="14:16" s="94" customFormat="1">
      <c r="N627" s="112"/>
      <c r="O627" s="112"/>
      <c r="P627" s="112"/>
    </row>
    <row r="628" spans="14:16" s="94" customFormat="1">
      <c r="N628" s="112"/>
      <c r="O628" s="112"/>
      <c r="P628" s="112"/>
    </row>
    <row r="629" spans="14:16" s="94" customFormat="1">
      <c r="N629" s="112"/>
      <c r="O629" s="112"/>
      <c r="P629" s="112"/>
    </row>
    <row r="630" spans="14:16" s="94" customFormat="1">
      <c r="N630" s="112"/>
      <c r="O630" s="112"/>
      <c r="P630" s="112"/>
    </row>
    <row r="631" spans="14:16" s="94" customFormat="1">
      <c r="N631" s="112"/>
      <c r="O631" s="112"/>
      <c r="P631" s="112"/>
    </row>
    <row r="632" spans="14:16" s="94" customFormat="1">
      <c r="N632" s="112"/>
      <c r="O632" s="112"/>
      <c r="P632" s="112"/>
    </row>
    <row r="633" spans="14:16" s="94" customFormat="1">
      <c r="N633" s="112"/>
      <c r="O633" s="112"/>
      <c r="P633" s="112"/>
    </row>
    <row r="634" spans="14:16" s="94" customFormat="1">
      <c r="N634" s="112"/>
      <c r="O634" s="112"/>
      <c r="P634" s="112"/>
    </row>
    <row r="635" spans="14:16" s="94" customFormat="1">
      <c r="N635" s="112"/>
      <c r="O635" s="112"/>
      <c r="P635" s="112"/>
    </row>
    <row r="636" spans="14:16" s="94" customFormat="1">
      <c r="N636" s="112"/>
      <c r="O636" s="112"/>
      <c r="P636" s="112"/>
    </row>
    <row r="637" spans="14:16" s="94" customFormat="1">
      <c r="N637" s="112"/>
      <c r="O637" s="112"/>
      <c r="P637" s="112"/>
    </row>
    <row r="638" spans="14:16" s="94" customFormat="1">
      <c r="N638" s="112"/>
      <c r="O638" s="112"/>
      <c r="P638" s="112"/>
    </row>
    <row r="639" spans="14:16" s="94" customFormat="1">
      <c r="N639" s="112"/>
      <c r="O639" s="112"/>
      <c r="P639" s="112"/>
    </row>
    <row r="640" spans="14:16" s="94" customFormat="1">
      <c r="N640" s="112"/>
      <c r="O640" s="112"/>
      <c r="P640" s="112"/>
    </row>
    <row r="641" spans="14:16" s="94" customFormat="1">
      <c r="N641" s="112"/>
      <c r="O641" s="112"/>
      <c r="P641" s="112"/>
    </row>
    <row r="642" spans="14:16" s="94" customFormat="1">
      <c r="N642" s="112"/>
      <c r="O642" s="112"/>
      <c r="P642" s="112"/>
    </row>
    <row r="643" spans="14:16" s="94" customFormat="1">
      <c r="N643" s="112"/>
      <c r="O643" s="112"/>
      <c r="P643" s="112"/>
    </row>
    <row r="644" spans="14:16" s="94" customFormat="1">
      <c r="N644" s="112"/>
      <c r="O644" s="112"/>
      <c r="P644" s="112"/>
    </row>
    <row r="645" spans="14:16" s="94" customFormat="1">
      <c r="N645" s="112"/>
      <c r="O645" s="112"/>
      <c r="P645" s="112"/>
    </row>
    <row r="646" spans="14:16" s="94" customFormat="1">
      <c r="N646" s="112"/>
      <c r="O646" s="112"/>
      <c r="P646" s="112"/>
    </row>
    <row r="647" spans="14:16" s="94" customFormat="1">
      <c r="N647" s="112"/>
      <c r="O647" s="112"/>
      <c r="P647" s="112"/>
    </row>
    <row r="648" spans="14:16" s="94" customFormat="1">
      <c r="N648" s="112"/>
      <c r="O648" s="112"/>
      <c r="P648" s="112"/>
    </row>
    <row r="649" spans="14:16" s="94" customFormat="1">
      <c r="N649" s="112"/>
      <c r="O649" s="112"/>
      <c r="P649" s="112"/>
    </row>
    <row r="650" spans="14:16" s="94" customFormat="1">
      <c r="N650" s="112"/>
      <c r="O650" s="112"/>
      <c r="P650" s="112"/>
    </row>
    <row r="651" spans="14:16" s="94" customFormat="1">
      <c r="N651" s="112"/>
      <c r="O651" s="112"/>
      <c r="P651" s="112"/>
    </row>
    <row r="652" spans="14:16" s="94" customFormat="1">
      <c r="N652" s="112"/>
      <c r="O652" s="112"/>
      <c r="P652" s="112"/>
    </row>
    <row r="653" spans="14:16" s="94" customFormat="1">
      <c r="N653" s="112"/>
      <c r="O653" s="112"/>
      <c r="P653" s="112"/>
    </row>
    <row r="654" spans="14:16" s="94" customFormat="1">
      <c r="N654" s="112"/>
      <c r="O654" s="112"/>
      <c r="P654" s="112"/>
    </row>
    <row r="655" spans="14:16" s="94" customFormat="1">
      <c r="N655" s="112"/>
      <c r="O655" s="112"/>
      <c r="P655" s="112"/>
    </row>
    <row r="656" spans="14:16" s="94" customFormat="1">
      <c r="N656" s="112"/>
      <c r="O656" s="112"/>
      <c r="P656" s="112"/>
    </row>
    <row r="657" spans="14:16" s="94" customFormat="1">
      <c r="N657" s="112"/>
      <c r="O657" s="112"/>
      <c r="P657" s="112"/>
    </row>
    <row r="658" spans="14:16" s="94" customFormat="1">
      <c r="N658" s="112"/>
      <c r="O658" s="112"/>
      <c r="P658" s="112"/>
    </row>
    <row r="659" spans="14:16" s="94" customFormat="1">
      <c r="N659" s="112"/>
      <c r="O659" s="112"/>
      <c r="P659" s="112"/>
    </row>
    <row r="660" spans="14:16" s="94" customFormat="1">
      <c r="N660" s="112"/>
      <c r="O660" s="112"/>
      <c r="P660" s="112"/>
    </row>
    <row r="661" spans="14:16" s="94" customFormat="1">
      <c r="N661" s="112"/>
      <c r="O661" s="112"/>
      <c r="P661" s="112"/>
    </row>
    <row r="662" spans="14:16" s="94" customFormat="1">
      <c r="N662" s="112"/>
      <c r="O662" s="112"/>
      <c r="P662" s="112"/>
    </row>
    <row r="663" spans="14:16" s="94" customFormat="1">
      <c r="N663" s="112"/>
      <c r="O663" s="112"/>
      <c r="P663" s="112"/>
    </row>
    <row r="664" spans="14:16" s="94" customFormat="1">
      <c r="N664" s="112"/>
      <c r="O664" s="112"/>
      <c r="P664" s="112"/>
    </row>
    <row r="665" spans="14:16" s="94" customFormat="1">
      <c r="N665" s="112"/>
      <c r="O665" s="112"/>
      <c r="P665" s="112"/>
    </row>
    <row r="666" spans="14:16" s="94" customFormat="1">
      <c r="N666" s="112"/>
      <c r="O666" s="112"/>
      <c r="P666" s="112"/>
    </row>
    <row r="667" spans="14:16" s="94" customFormat="1">
      <c r="N667" s="112"/>
      <c r="O667" s="112"/>
      <c r="P667" s="112"/>
    </row>
    <row r="668" spans="14:16" s="94" customFormat="1">
      <c r="N668" s="112"/>
      <c r="O668" s="112"/>
      <c r="P668" s="112"/>
    </row>
    <row r="669" spans="14:16" s="94" customFormat="1">
      <c r="N669" s="112"/>
      <c r="O669" s="112"/>
      <c r="P669" s="112"/>
    </row>
    <row r="670" spans="14:16" s="94" customFormat="1">
      <c r="N670" s="112"/>
      <c r="O670" s="112"/>
      <c r="P670" s="112"/>
    </row>
    <row r="671" spans="14:16" s="94" customFormat="1">
      <c r="N671" s="112"/>
      <c r="O671" s="112"/>
      <c r="P671" s="112"/>
    </row>
    <row r="672" spans="14:16" s="94" customFormat="1">
      <c r="N672" s="112"/>
      <c r="O672" s="112"/>
      <c r="P672" s="112"/>
    </row>
    <row r="673" spans="14:16" s="94" customFormat="1">
      <c r="N673" s="112"/>
      <c r="O673" s="112"/>
      <c r="P673" s="112"/>
    </row>
    <row r="674" spans="14:16" s="94" customFormat="1">
      <c r="N674" s="112"/>
      <c r="O674" s="112"/>
      <c r="P674" s="112"/>
    </row>
    <row r="675" spans="14:16" s="94" customFormat="1">
      <c r="N675" s="112"/>
      <c r="O675" s="112"/>
      <c r="P675" s="112"/>
    </row>
    <row r="676" spans="14:16" s="94" customFormat="1">
      <c r="N676" s="112"/>
      <c r="O676" s="112"/>
      <c r="P676" s="112"/>
    </row>
    <row r="677" spans="14:16" s="94" customFormat="1">
      <c r="N677" s="112"/>
      <c r="O677" s="112"/>
      <c r="P677" s="112"/>
    </row>
    <row r="678" spans="14:16" s="94" customFormat="1">
      <c r="N678" s="112"/>
      <c r="O678" s="112"/>
      <c r="P678" s="112"/>
    </row>
    <row r="679" spans="14:16" s="94" customFormat="1">
      <c r="N679" s="112"/>
      <c r="O679" s="112"/>
      <c r="P679" s="112"/>
    </row>
    <row r="680" spans="14:16" s="94" customFormat="1">
      <c r="N680" s="112"/>
      <c r="O680" s="112"/>
      <c r="P680" s="112"/>
    </row>
    <row r="681" spans="14:16" s="94" customFormat="1">
      <c r="N681" s="112"/>
      <c r="O681" s="112"/>
      <c r="P681" s="112"/>
    </row>
    <row r="682" spans="14:16" s="94" customFormat="1">
      <c r="N682" s="112"/>
      <c r="O682" s="112"/>
      <c r="P682" s="112"/>
    </row>
    <row r="683" spans="14:16" s="94" customFormat="1">
      <c r="N683" s="112"/>
      <c r="O683" s="112"/>
      <c r="P683" s="112"/>
    </row>
    <row r="684" spans="14:16" s="94" customFormat="1">
      <c r="N684" s="112"/>
      <c r="O684" s="112"/>
      <c r="P684" s="112"/>
    </row>
    <row r="685" spans="14:16" s="94" customFormat="1">
      <c r="N685" s="112"/>
      <c r="O685" s="112"/>
      <c r="P685" s="112"/>
    </row>
    <row r="686" spans="14:16" s="94" customFormat="1">
      <c r="N686" s="112"/>
      <c r="O686" s="112"/>
      <c r="P686" s="112"/>
    </row>
    <row r="687" spans="14:16" s="94" customFormat="1">
      <c r="N687" s="112"/>
      <c r="O687" s="112"/>
      <c r="P687" s="112"/>
    </row>
    <row r="688" spans="14:16" s="94" customFormat="1">
      <c r="N688" s="112"/>
      <c r="O688" s="112"/>
      <c r="P688" s="112"/>
    </row>
    <row r="689" spans="14:16" s="94" customFormat="1">
      <c r="N689" s="112"/>
      <c r="O689" s="112"/>
      <c r="P689" s="112"/>
    </row>
    <row r="690" spans="14:16" s="94" customFormat="1">
      <c r="N690" s="112"/>
      <c r="O690" s="112"/>
      <c r="P690" s="112"/>
    </row>
    <row r="691" spans="14:16" s="94" customFormat="1">
      <c r="N691" s="112"/>
      <c r="O691" s="112"/>
      <c r="P691" s="112"/>
    </row>
    <row r="692" spans="14:16" s="94" customFormat="1">
      <c r="N692" s="112"/>
      <c r="O692" s="112"/>
      <c r="P692" s="112"/>
    </row>
    <row r="693" spans="14:16" s="94" customFormat="1">
      <c r="N693" s="112"/>
      <c r="O693" s="112"/>
      <c r="P693" s="112"/>
    </row>
    <row r="694" spans="14:16" s="94" customFormat="1">
      <c r="N694" s="112"/>
      <c r="O694" s="112"/>
      <c r="P694" s="112"/>
    </row>
    <row r="695" spans="14:16" s="94" customFormat="1">
      <c r="N695" s="112"/>
      <c r="O695" s="112"/>
      <c r="P695" s="112"/>
    </row>
    <row r="696" spans="14:16" s="94" customFormat="1">
      <c r="N696" s="112"/>
      <c r="O696" s="112"/>
      <c r="P696" s="112"/>
    </row>
    <row r="697" spans="14:16" s="94" customFormat="1">
      <c r="N697" s="112"/>
      <c r="O697" s="112"/>
      <c r="P697" s="112"/>
    </row>
    <row r="698" spans="14:16" s="94" customFormat="1">
      <c r="N698" s="112"/>
      <c r="O698" s="112"/>
      <c r="P698" s="112"/>
    </row>
    <row r="699" spans="14:16" s="94" customFormat="1">
      <c r="N699" s="112"/>
      <c r="O699" s="112"/>
      <c r="P699" s="112"/>
    </row>
    <row r="700" spans="14:16" s="94" customFormat="1">
      <c r="N700" s="112"/>
      <c r="O700" s="112"/>
      <c r="P700" s="112"/>
    </row>
    <row r="701" spans="14:16" s="94" customFormat="1">
      <c r="N701" s="112"/>
      <c r="O701" s="112"/>
      <c r="P701" s="112"/>
    </row>
    <row r="702" spans="14:16" s="94" customFormat="1">
      <c r="N702" s="112"/>
      <c r="O702" s="112"/>
      <c r="P702" s="112"/>
    </row>
    <row r="703" spans="14:16" s="94" customFormat="1">
      <c r="N703" s="112"/>
      <c r="O703" s="112"/>
      <c r="P703" s="112"/>
    </row>
    <row r="704" spans="14:16" s="94" customFormat="1">
      <c r="N704" s="112"/>
      <c r="O704" s="112"/>
      <c r="P704" s="112"/>
    </row>
    <row r="705" spans="14:16" s="94" customFormat="1">
      <c r="N705" s="112"/>
      <c r="O705" s="112"/>
      <c r="P705" s="112"/>
    </row>
    <row r="706" spans="14:16" s="94" customFormat="1">
      <c r="N706" s="112"/>
      <c r="O706" s="112"/>
      <c r="P706" s="112"/>
    </row>
    <row r="707" spans="14:16" s="94" customFormat="1">
      <c r="N707" s="112"/>
      <c r="O707" s="112"/>
      <c r="P707" s="112"/>
    </row>
    <row r="708" spans="14:16" s="94" customFormat="1">
      <c r="N708" s="112"/>
      <c r="O708" s="112"/>
      <c r="P708" s="112"/>
    </row>
    <row r="709" spans="14:16" s="94" customFormat="1">
      <c r="N709" s="112"/>
      <c r="O709" s="112"/>
      <c r="P709" s="112"/>
    </row>
    <row r="710" spans="14:16" s="94" customFormat="1">
      <c r="N710" s="112"/>
      <c r="O710" s="112"/>
      <c r="P710" s="112"/>
    </row>
    <row r="711" spans="14:16" s="94" customFormat="1">
      <c r="N711" s="112"/>
      <c r="O711" s="112"/>
      <c r="P711" s="112"/>
    </row>
    <row r="712" spans="14:16" s="94" customFormat="1">
      <c r="N712" s="112"/>
      <c r="O712" s="112"/>
      <c r="P712" s="112"/>
    </row>
    <row r="713" spans="14:16" s="94" customFormat="1">
      <c r="N713" s="112"/>
      <c r="O713" s="112"/>
      <c r="P713" s="112"/>
    </row>
    <row r="714" spans="14:16" s="94" customFormat="1">
      <c r="N714" s="112"/>
      <c r="O714" s="112"/>
      <c r="P714" s="112"/>
    </row>
    <row r="715" spans="14:16" s="94" customFormat="1">
      <c r="N715" s="112"/>
      <c r="O715" s="112"/>
      <c r="P715" s="112"/>
    </row>
    <row r="716" spans="14:16" s="94" customFormat="1">
      <c r="N716" s="112"/>
      <c r="O716" s="112"/>
      <c r="P716" s="112"/>
    </row>
    <row r="717" spans="14:16" s="94" customFormat="1">
      <c r="N717" s="112"/>
      <c r="O717" s="112"/>
      <c r="P717" s="112"/>
    </row>
    <row r="718" spans="14:16" s="94" customFormat="1">
      <c r="N718" s="112"/>
      <c r="O718" s="112"/>
      <c r="P718" s="112"/>
    </row>
    <row r="719" spans="14:16" s="94" customFormat="1">
      <c r="N719" s="112"/>
      <c r="O719" s="112"/>
      <c r="P719" s="112"/>
    </row>
    <row r="720" spans="14:16" s="94" customFormat="1">
      <c r="N720" s="112"/>
      <c r="O720" s="112"/>
      <c r="P720" s="112"/>
    </row>
    <row r="721" spans="14:16" s="94" customFormat="1">
      <c r="N721" s="112"/>
      <c r="O721" s="112"/>
      <c r="P721" s="112"/>
    </row>
    <row r="722" spans="14:16" s="94" customFormat="1">
      <c r="N722" s="112"/>
      <c r="O722" s="112"/>
      <c r="P722" s="112"/>
    </row>
    <row r="723" spans="14:16" s="94" customFormat="1">
      <c r="N723" s="112"/>
      <c r="O723" s="112"/>
      <c r="P723" s="112"/>
    </row>
    <row r="724" spans="14:16" s="94" customFormat="1">
      <c r="N724" s="112"/>
      <c r="O724" s="112"/>
      <c r="P724" s="112"/>
    </row>
    <row r="725" spans="14:16" s="94" customFormat="1">
      <c r="N725" s="112"/>
      <c r="O725" s="112"/>
      <c r="P725" s="112"/>
    </row>
    <row r="726" spans="14:16" s="94" customFormat="1">
      <c r="N726" s="112"/>
      <c r="O726" s="112"/>
      <c r="P726" s="112"/>
    </row>
    <row r="727" spans="14:16" s="94" customFormat="1">
      <c r="N727" s="112"/>
      <c r="O727" s="112"/>
      <c r="P727" s="112"/>
    </row>
    <row r="728" spans="14:16" s="94" customFormat="1">
      <c r="N728" s="112"/>
      <c r="O728" s="112"/>
      <c r="P728" s="112"/>
    </row>
    <row r="729" spans="14:16" s="94" customFormat="1">
      <c r="N729" s="112"/>
      <c r="O729" s="112"/>
      <c r="P729" s="112"/>
    </row>
    <row r="730" spans="14:16" s="94" customFormat="1">
      <c r="N730" s="112"/>
      <c r="O730" s="112"/>
      <c r="P730" s="112"/>
    </row>
    <row r="731" spans="14:16" s="94" customFormat="1">
      <c r="N731" s="112"/>
      <c r="O731" s="112"/>
      <c r="P731" s="112"/>
    </row>
    <row r="732" spans="14:16" s="94" customFormat="1">
      <c r="N732" s="112"/>
      <c r="O732" s="112"/>
      <c r="P732" s="112"/>
    </row>
    <row r="733" spans="14:16" s="94" customFormat="1">
      <c r="N733" s="112"/>
      <c r="O733" s="112"/>
      <c r="P733" s="112"/>
    </row>
    <row r="734" spans="14:16" s="94" customFormat="1">
      <c r="N734" s="112"/>
      <c r="O734" s="112"/>
      <c r="P734" s="112"/>
    </row>
    <row r="735" spans="14:16" s="94" customFormat="1">
      <c r="N735" s="112"/>
      <c r="O735" s="112"/>
      <c r="P735" s="112"/>
    </row>
    <row r="736" spans="14:16" s="94" customFormat="1">
      <c r="N736" s="112"/>
      <c r="O736" s="112"/>
      <c r="P736" s="112"/>
    </row>
    <row r="737" spans="14:16" s="94" customFormat="1">
      <c r="N737" s="112"/>
      <c r="O737" s="112"/>
      <c r="P737" s="112"/>
    </row>
    <row r="738" spans="14:16" s="94" customFormat="1">
      <c r="N738" s="112"/>
      <c r="O738" s="112"/>
      <c r="P738" s="112"/>
    </row>
    <row r="739" spans="14:16" s="94" customFormat="1">
      <c r="N739" s="112"/>
      <c r="O739" s="112"/>
      <c r="P739" s="112"/>
    </row>
    <row r="740" spans="14:16" s="94" customFormat="1">
      <c r="N740" s="112"/>
      <c r="O740" s="112"/>
      <c r="P740" s="112"/>
    </row>
    <row r="741" spans="14:16" s="94" customFormat="1">
      <c r="N741" s="112"/>
      <c r="O741" s="112"/>
      <c r="P741" s="112"/>
    </row>
    <row r="742" spans="14:16" s="94" customFormat="1">
      <c r="N742" s="112"/>
      <c r="O742" s="112"/>
      <c r="P742" s="112"/>
    </row>
    <row r="743" spans="14:16" s="94" customFormat="1">
      <c r="N743" s="112"/>
      <c r="O743" s="112"/>
      <c r="P743" s="112"/>
    </row>
    <row r="744" spans="14:16" s="94" customFormat="1">
      <c r="N744" s="112"/>
      <c r="O744" s="112"/>
      <c r="P744" s="112"/>
    </row>
    <row r="745" spans="14:16" s="94" customFormat="1">
      <c r="N745" s="112"/>
      <c r="O745" s="112"/>
      <c r="P745" s="112"/>
    </row>
    <row r="746" spans="14:16" s="94" customFormat="1">
      <c r="N746" s="112"/>
      <c r="O746" s="112"/>
      <c r="P746" s="112"/>
    </row>
    <row r="747" spans="14:16" s="94" customFormat="1">
      <c r="N747" s="112"/>
      <c r="O747" s="112"/>
      <c r="P747" s="112"/>
    </row>
    <row r="748" spans="14:16" s="94" customFormat="1">
      <c r="N748" s="112"/>
      <c r="O748" s="112"/>
      <c r="P748" s="112"/>
    </row>
    <row r="749" spans="14:16" s="94" customFormat="1">
      <c r="N749" s="112"/>
      <c r="O749" s="112"/>
      <c r="P749" s="112"/>
    </row>
    <row r="750" spans="14:16" s="94" customFormat="1">
      <c r="N750" s="112"/>
      <c r="O750" s="112"/>
      <c r="P750" s="112"/>
    </row>
    <row r="751" spans="14:16" s="94" customFormat="1">
      <c r="N751" s="112"/>
      <c r="O751" s="112"/>
      <c r="P751" s="112"/>
    </row>
    <row r="752" spans="14:16" s="94" customFormat="1">
      <c r="N752" s="112"/>
      <c r="O752" s="112"/>
      <c r="P752" s="112"/>
    </row>
    <row r="753" spans="14:16" s="94" customFormat="1">
      <c r="N753" s="112"/>
      <c r="O753" s="112"/>
      <c r="P753" s="112"/>
    </row>
    <row r="754" spans="14:16" s="94" customFormat="1">
      <c r="N754" s="112"/>
      <c r="O754" s="112"/>
      <c r="P754" s="112"/>
    </row>
    <row r="755" spans="14:16" s="94" customFormat="1">
      <c r="N755" s="112"/>
      <c r="O755" s="112"/>
      <c r="P755" s="112"/>
    </row>
    <row r="756" spans="14:16" s="94" customFormat="1">
      <c r="N756" s="112"/>
      <c r="O756" s="112"/>
      <c r="P756" s="112"/>
    </row>
    <row r="757" spans="14:16" s="94" customFormat="1">
      <c r="N757" s="112"/>
      <c r="O757" s="112"/>
      <c r="P757" s="112"/>
    </row>
    <row r="758" spans="14:16" s="94" customFormat="1">
      <c r="N758" s="112"/>
      <c r="O758" s="112"/>
      <c r="P758" s="112"/>
    </row>
    <row r="759" spans="14:16" s="94" customFormat="1">
      <c r="N759" s="112"/>
      <c r="O759" s="112"/>
      <c r="P759" s="112"/>
    </row>
    <row r="760" spans="14:16" s="94" customFormat="1">
      <c r="N760" s="112"/>
      <c r="O760" s="112"/>
      <c r="P760" s="112"/>
    </row>
    <row r="761" spans="14:16" s="94" customFormat="1">
      <c r="N761" s="112"/>
      <c r="O761" s="112"/>
      <c r="P761" s="112"/>
    </row>
    <row r="762" spans="14:16" s="94" customFormat="1">
      <c r="N762" s="112"/>
      <c r="O762" s="112"/>
      <c r="P762" s="112"/>
    </row>
    <row r="763" spans="14:16" s="94" customFormat="1">
      <c r="N763" s="112"/>
      <c r="O763" s="112"/>
      <c r="P763" s="112"/>
    </row>
    <row r="764" spans="14:16" s="94" customFormat="1">
      <c r="N764" s="112"/>
      <c r="O764" s="112"/>
      <c r="P764" s="112"/>
    </row>
    <row r="765" spans="14:16" s="94" customFormat="1">
      <c r="N765" s="112"/>
      <c r="O765" s="112"/>
      <c r="P765" s="112"/>
    </row>
    <row r="766" spans="14:16" s="94" customFormat="1">
      <c r="N766" s="112"/>
      <c r="O766" s="112"/>
      <c r="P766" s="112"/>
    </row>
    <row r="767" spans="14:16" s="94" customFormat="1">
      <c r="N767" s="112"/>
      <c r="O767" s="112"/>
      <c r="P767" s="112"/>
    </row>
    <row r="768" spans="14:16" s="94" customFormat="1">
      <c r="N768" s="112"/>
      <c r="O768" s="112"/>
      <c r="P768" s="112"/>
    </row>
    <row r="769" spans="14:16" s="94" customFormat="1">
      <c r="N769" s="112"/>
      <c r="O769" s="112"/>
      <c r="P769" s="112"/>
    </row>
    <row r="770" spans="14:16" s="94" customFormat="1">
      <c r="N770" s="112"/>
      <c r="O770" s="112"/>
      <c r="P770" s="112"/>
    </row>
    <row r="771" spans="14:16" s="94" customFormat="1">
      <c r="N771" s="112"/>
      <c r="O771" s="112"/>
      <c r="P771" s="112"/>
    </row>
    <row r="772" spans="14:16" s="94" customFormat="1">
      <c r="N772" s="112"/>
      <c r="O772" s="112"/>
      <c r="P772" s="112"/>
    </row>
    <row r="773" spans="14:16" s="94" customFormat="1">
      <c r="N773" s="112"/>
      <c r="O773" s="112"/>
      <c r="P773" s="112"/>
    </row>
    <row r="774" spans="14:16" s="94" customFormat="1">
      <c r="N774" s="112"/>
      <c r="O774" s="112"/>
      <c r="P774" s="112"/>
    </row>
    <row r="775" spans="14:16" s="94" customFormat="1">
      <c r="N775" s="112"/>
      <c r="O775" s="112"/>
      <c r="P775" s="112"/>
    </row>
    <row r="776" spans="14:16" s="94" customFormat="1">
      <c r="N776" s="112"/>
      <c r="O776" s="112"/>
      <c r="P776" s="112"/>
    </row>
    <row r="777" spans="14:16" s="94" customFormat="1">
      <c r="N777" s="112"/>
      <c r="O777" s="112"/>
      <c r="P777" s="112"/>
    </row>
    <row r="778" spans="14:16" s="94" customFormat="1">
      <c r="N778" s="112"/>
      <c r="O778" s="112"/>
      <c r="P778" s="112"/>
    </row>
    <row r="779" spans="14:16" s="94" customFormat="1">
      <c r="N779" s="112"/>
      <c r="O779" s="112"/>
      <c r="P779" s="112"/>
    </row>
    <row r="780" spans="14:16" s="94" customFormat="1">
      <c r="N780" s="112"/>
      <c r="O780" s="112"/>
      <c r="P780" s="112"/>
    </row>
    <row r="781" spans="14:16" s="94" customFormat="1">
      <c r="N781" s="112"/>
      <c r="O781" s="112"/>
      <c r="P781" s="112"/>
    </row>
    <row r="782" spans="14:16" s="94" customFormat="1">
      <c r="N782" s="112"/>
      <c r="O782" s="112"/>
      <c r="P782" s="112"/>
    </row>
    <row r="783" spans="14:16" s="94" customFormat="1">
      <c r="N783" s="112"/>
      <c r="O783" s="112"/>
      <c r="P783" s="112"/>
    </row>
    <row r="784" spans="14:16" s="94" customFormat="1">
      <c r="N784" s="112"/>
      <c r="O784" s="112"/>
      <c r="P784" s="112"/>
    </row>
    <row r="785" spans="14:16" s="94" customFormat="1">
      <c r="N785" s="112"/>
      <c r="O785" s="112"/>
      <c r="P785" s="112"/>
    </row>
    <row r="786" spans="14:16" s="94" customFormat="1">
      <c r="N786" s="112"/>
      <c r="O786" s="112"/>
      <c r="P786" s="112"/>
    </row>
    <row r="787" spans="14:16" s="94" customFormat="1">
      <c r="N787" s="112"/>
      <c r="O787" s="112"/>
      <c r="P787" s="112"/>
    </row>
    <row r="788" spans="14:16" s="94" customFormat="1">
      <c r="N788" s="112"/>
      <c r="O788" s="112"/>
      <c r="P788" s="112"/>
    </row>
    <row r="789" spans="14:16" s="94" customFormat="1">
      <c r="N789" s="112"/>
      <c r="O789" s="112"/>
      <c r="P789" s="112"/>
    </row>
    <row r="790" spans="14:16" s="94" customFormat="1">
      <c r="N790" s="112"/>
      <c r="O790" s="112"/>
      <c r="P790" s="112"/>
    </row>
    <row r="791" spans="14:16" s="94" customFormat="1">
      <c r="N791" s="112"/>
      <c r="O791" s="112"/>
      <c r="P791" s="112"/>
    </row>
    <row r="792" spans="14:16" s="94" customFormat="1">
      <c r="N792" s="112"/>
      <c r="O792" s="112"/>
      <c r="P792" s="112"/>
    </row>
    <row r="793" spans="14:16" s="94" customFormat="1">
      <c r="N793" s="112"/>
      <c r="O793" s="112"/>
      <c r="P793" s="112"/>
    </row>
    <row r="794" spans="14:16" s="94" customFormat="1">
      <c r="N794" s="112"/>
      <c r="O794" s="112"/>
      <c r="P794" s="112"/>
    </row>
    <row r="795" spans="14:16" s="94" customFormat="1">
      <c r="N795" s="112"/>
      <c r="O795" s="112"/>
      <c r="P795" s="112"/>
    </row>
    <row r="796" spans="14:16" s="94" customFormat="1">
      <c r="N796" s="112"/>
      <c r="O796" s="112"/>
      <c r="P796" s="112"/>
    </row>
    <row r="797" spans="14:16" s="94" customFormat="1">
      <c r="N797" s="112"/>
      <c r="O797" s="112"/>
      <c r="P797" s="112"/>
    </row>
    <row r="798" spans="14:16" s="94" customFormat="1">
      <c r="N798" s="112"/>
      <c r="O798" s="112"/>
      <c r="P798" s="112"/>
    </row>
    <row r="799" spans="14:16" s="94" customFormat="1">
      <c r="N799" s="112"/>
      <c r="O799" s="112"/>
      <c r="P799" s="112"/>
    </row>
    <row r="800" spans="14:16" s="94" customFormat="1">
      <c r="N800" s="112"/>
      <c r="O800" s="112"/>
      <c r="P800" s="112"/>
    </row>
    <row r="801" spans="14:16" s="94" customFormat="1">
      <c r="N801" s="112"/>
      <c r="O801" s="112"/>
      <c r="P801" s="112"/>
    </row>
    <row r="802" spans="14:16" s="94" customFormat="1">
      <c r="N802" s="112"/>
      <c r="O802" s="112"/>
      <c r="P802" s="112"/>
    </row>
    <row r="803" spans="14:16" s="94" customFormat="1">
      <c r="N803" s="112"/>
      <c r="O803" s="112"/>
      <c r="P803" s="112"/>
    </row>
    <row r="804" spans="14:16" s="94" customFormat="1">
      <c r="N804" s="112"/>
      <c r="O804" s="112"/>
      <c r="P804" s="112"/>
    </row>
    <row r="805" spans="14:16" s="94" customFormat="1">
      <c r="N805" s="112"/>
      <c r="O805" s="112"/>
      <c r="P805" s="112"/>
    </row>
    <row r="806" spans="14:16" s="94" customFormat="1">
      <c r="N806" s="112"/>
      <c r="O806" s="112"/>
      <c r="P806" s="112"/>
    </row>
    <row r="807" spans="14:16" s="94" customFormat="1">
      <c r="N807" s="112"/>
      <c r="O807" s="112"/>
      <c r="P807" s="112"/>
    </row>
    <row r="808" spans="14:16" s="94" customFormat="1">
      <c r="N808" s="112"/>
      <c r="O808" s="112"/>
      <c r="P808" s="112"/>
    </row>
    <row r="809" spans="14:16" s="94" customFormat="1">
      <c r="N809" s="112"/>
      <c r="O809" s="112"/>
      <c r="P809" s="112"/>
    </row>
    <row r="810" spans="14:16" s="94" customFormat="1">
      <c r="N810" s="112"/>
      <c r="O810" s="112"/>
      <c r="P810" s="112"/>
    </row>
    <row r="811" spans="14:16" s="94" customFormat="1">
      <c r="N811" s="112"/>
      <c r="O811" s="112"/>
      <c r="P811" s="112"/>
    </row>
    <row r="812" spans="14:16" s="94" customFormat="1">
      <c r="N812" s="112"/>
      <c r="O812" s="112"/>
      <c r="P812" s="112"/>
    </row>
    <row r="813" spans="14:16" s="94" customFormat="1">
      <c r="N813" s="112"/>
      <c r="O813" s="112"/>
      <c r="P813" s="112"/>
    </row>
    <row r="814" spans="14:16" s="94" customFormat="1">
      <c r="N814" s="112"/>
      <c r="O814" s="112"/>
      <c r="P814" s="112"/>
    </row>
    <row r="815" spans="14:16" s="94" customFormat="1">
      <c r="N815" s="112"/>
      <c r="O815" s="112"/>
      <c r="P815" s="112"/>
    </row>
    <row r="816" spans="14:16" s="94" customFormat="1">
      <c r="N816" s="112"/>
      <c r="O816" s="112"/>
      <c r="P816" s="112"/>
    </row>
    <row r="817" spans="14:16" s="94" customFormat="1">
      <c r="N817" s="112"/>
      <c r="O817" s="112"/>
      <c r="P817" s="112"/>
    </row>
    <row r="818" spans="14:16" s="94" customFormat="1">
      <c r="N818" s="112"/>
      <c r="O818" s="112"/>
      <c r="P818" s="112"/>
    </row>
    <row r="819" spans="14:16" s="94" customFormat="1">
      <c r="N819" s="112"/>
      <c r="O819" s="112"/>
      <c r="P819" s="112"/>
    </row>
    <row r="820" spans="14:16" s="94" customFormat="1">
      <c r="N820" s="112"/>
      <c r="O820" s="112"/>
      <c r="P820" s="112"/>
    </row>
    <row r="821" spans="14:16" s="94" customFormat="1">
      <c r="N821" s="112"/>
      <c r="O821" s="112"/>
      <c r="P821" s="112"/>
    </row>
    <row r="822" spans="14:16" s="94" customFormat="1">
      <c r="N822" s="112"/>
      <c r="O822" s="112"/>
      <c r="P822" s="112"/>
    </row>
    <row r="823" spans="14:16" s="94" customFormat="1">
      <c r="N823" s="112"/>
      <c r="O823" s="112"/>
      <c r="P823" s="112"/>
    </row>
    <row r="824" spans="14:16" s="94" customFormat="1">
      <c r="N824" s="112"/>
      <c r="O824" s="112"/>
      <c r="P824" s="112"/>
    </row>
    <row r="825" spans="14:16" s="94" customFormat="1">
      <c r="N825" s="112"/>
      <c r="O825" s="112"/>
      <c r="P825" s="112"/>
    </row>
    <row r="826" spans="14:16" s="94" customFormat="1">
      <c r="N826" s="112"/>
      <c r="O826" s="112"/>
      <c r="P826" s="112"/>
    </row>
    <row r="827" spans="14:16" s="94" customFormat="1">
      <c r="N827" s="112"/>
      <c r="O827" s="112"/>
      <c r="P827" s="112"/>
    </row>
    <row r="828" spans="14:16" s="94" customFormat="1">
      <c r="N828" s="112"/>
      <c r="O828" s="112"/>
      <c r="P828" s="112"/>
    </row>
    <row r="829" spans="14:16" s="94" customFormat="1">
      <c r="N829" s="112"/>
      <c r="O829" s="112"/>
      <c r="P829" s="112"/>
    </row>
    <row r="830" spans="14:16" s="94" customFormat="1">
      <c r="N830" s="112"/>
      <c r="O830" s="112"/>
      <c r="P830" s="112"/>
    </row>
    <row r="831" spans="14:16" s="94" customFormat="1">
      <c r="N831" s="112"/>
      <c r="O831" s="112"/>
      <c r="P831" s="112"/>
    </row>
    <row r="832" spans="14:16" s="94" customFormat="1">
      <c r="N832" s="112"/>
      <c r="O832" s="112"/>
      <c r="P832" s="112"/>
    </row>
    <row r="833" spans="14:16" s="94" customFormat="1">
      <c r="N833" s="112"/>
      <c r="O833" s="112"/>
      <c r="P833" s="112"/>
    </row>
    <row r="834" spans="14:16" s="94" customFormat="1">
      <c r="N834" s="112"/>
      <c r="O834" s="112"/>
      <c r="P834" s="112"/>
    </row>
    <row r="835" spans="14:16" s="94" customFormat="1">
      <c r="N835" s="112"/>
      <c r="O835" s="112"/>
      <c r="P835" s="112"/>
    </row>
    <row r="836" spans="14:16" s="94" customFormat="1">
      <c r="N836" s="112"/>
      <c r="O836" s="112"/>
      <c r="P836" s="112"/>
    </row>
    <row r="837" spans="14:16" s="94" customFormat="1">
      <c r="N837" s="112"/>
      <c r="O837" s="112"/>
      <c r="P837" s="112"/>
    </row>
    <row r="838" spans="14:16" s="94" customFormat="1">
      <c r="N838" s="112"/>
      <c r="O838" s="112"/>
      <c r="P838" s="112"/>
    </row>
    <row r="839" spans="14:16" s="94" customFormat="1">
      <c r="N839" s="112"/>
      <c r="O839" s="112"/>
      <c r="P839" s="112"/>
    </row>
    <row r="840" spans="14:16" s="94" customFormat="1">
      <c r="N840" s="112"/>
      <c r="O840" s="112"/>
      <c r="P840" s="112"/>
    </row>
    <row r="841" spans="14:16" s="94" customFormat="1">
      <c r="N841" s="112"/>
      <c r="O841" s="112"/>
      <c r="P841" s="112"/>
    </row>
    <row r="842" spans="14:16" s="94" customFormat="1">
      <c r="N842" s="112"/>
      <c r="O842" s="112"/>
      <c r="P842" s="112"/>
    </row>
    <row r="843" spans="14:16" s="94" customFormat="1">
      <c r="N843" s="112"/>
      <c r="O843" s="112"/>
      <c r="P843" s="112"/>
    </row>
    <row r="844" spans="14:16" s="94" customFormat="1">
      <c r="N844" s="112"/>
      <c r="O844" s="112"/>
      <c r="P844" s="112"/>
    </row>
    <row r="845" spans="14:16" s="94" customFormat="1">
      <c r="N845" s="112"/>
      <c r="O845" s="112"/>
      <c r="P845" s="112"/>
    </row>
    <row r="846" spans="14:16" s="94" customFormat="1">
      <c r="N846" s="112"/>
      <c r="O846" s="112"/>
      <c r="P846" s="112"/>
    </row>
    <row r="847" spans="14:16" s="94" customFormat="1">
      <c r="N847" s="112"/>
      <c r="O847" s="112"/>
      <c r="P847" s="112"/>
    </row>
    <row r="848" spans="14:16" s="94" customFormat="1">
      <c r="N848" s="112"/>
      <c r="O848" s="112"/>
      <c r="P848" s="112"/>
    </row>
    <row r="849" spans="14:16" s="94" customFormat="1">
      <c r="N849" s="112"/>
      <c r="O849" s="112"/>
      <c r="P849" s="112"/>
    </row>
    <row r="850" spans="14:16" s="94" customFormat="1">
      <c r="N850" s="112"/>
      <c r="O850" s="112"/>
      <c r="P850" s="112"/>
    </row>
    <row r="851" spans="14:16" s="94" customFormat="1">
      <c r="N851" s="112"/>
      <c r="O851" s="112"/>
      <c r="P851" s="112"/>
    </row>
    <row r="852" spans="14:16" s="94" customFormat="1">
      <c r="N852" s="112"/>
      <c r="O852" s="112"/>
      <c r="P852" s="112"/>
    </row>
    <row r="853" spans="14:16" s="94" customFormat="1">
      <c r="N853" s="112"/>
      <c r="O853" s="112"/>
      <c r="P853" s="112"/>
    </row>
    <row r="854" spans="14:16" s="94" customFormat="1">
      <c r="N854" s="112"/>
      <c r="O854" s="112"/>
      <c r="P854" s="112"/>
    </row>
    <row r="855" spans="14:16" s="94" customFormat="1">
      <c r="N855" s="112"/>
      <c r="O855" s="112"/>
      <c r="P855" s="112"/>
    </row>
    <row r="856" spans="14:16" s="94" customFormat="1">
      <c r="N856" s="112"/>
      <c r="O856" s="112"/>
      <c r="P856" s="112"/>
    </row>
    <row r="857" spans="14:16" s="94" customFormat="1">
      <c r="N857" s="112"/>
      <c r="O857" s="112"/>
      <c r="P857" s="112"/>
    </row>
    <row r="858" spans="14:16" s="94" customFormat="1">
      <c r="N858" s="112"/>
      <c r="O858" s="112"/>
      <c r="P858" s="112"/>
    </row>
    <row r="859" spans="14:16" s="94" customFormat="1">
      <c r="N859" s="112"/>
      <c r="O859" s="112"/>
      <c r="P859" s="112"/>
    </row>
    <row r="860" spans="14:16" s="94" customFormat="1">
      <c r="N860" s="112"/>
      <c r="O860" s="112"/>
      <c r="P860" s="112"/>
    </row>
    <row r="861" spans="14:16" s="94" customFormat="1">
      <c r="N861" s="112"/>
      <c r="O861" s="112"/>
      <c r="P861" s="112"/>
    </row>
    <row r="862" spans="14:16" s="94" customFormat="1">
      <c r="N862" s="112"/>
      <c r="O862" s="112"/>
      <c r="P862" s="112"/>
    </row>
    <row r="863" spans="14:16" s="94" customFormat="1">
      <c r="N863" s="112"/>
      <c r="O863" s="112"/>
      <c r="P863" s="112"/>
    </row>
    <row r="864" spans="14:16" s="94" customFormat="1">
      <c r="N864" s="112"/>
      <c r="O864" s="112"/>
      <c r="P864" s="112"/>
    </row>
    <row r="865" spans="14:16" s="94" customFormat="1">
      <c r="N865" s="112"/>
      <c r="O865" s="112"/>
      <c r="P865" s="112"/>
    </row>
    <row r="866" spans="14:16" s="94" customFormat="1">
      <c r="N866" s="112"/>
      <c r="O866" s="112"/>
      <c r="P866" s="112"/>
    </row>
    <row r="867" spans="14:16" s="94" customFormat="1">
      <c r="N867" s="112"/>
      <c r="O867" s="112"/>
      <c r="P867" s="112"/>
    </row>
    <row r="868" spans="14:16" s="94" customFormat="1">
      <c r="N868" s="112"/>
      <c r="O868" s="112"/>
      <c r="P868" s="112"/>
    </row>
    <row r="869" spans="14:16" s="94" customFormat="1">
      <c r="N869" s="112"/>
      <c r="O869" s="112"/>
      <c r="P869" s="112"/>
    </row>
    <row r="870" spans="14:16" s="94" customFormat="1">
      <c r="N870" s="112"/>
      <c r="O870" s="112"/>
      <c r="P870" s="112"/>
    </row>
    <row r="871" spans="14:16" s="94" customFormat="1">
      <c r="N871" s="112"/>
      <c r="O871" s="112"/>
      <c r="P871" s="112"/>
    </row>
    <row r="872" spans="14:16" s="94" customFormat="1">
      <c r="N872" s="112"/>
      <c r="O872" s="112"/>
      <c r="P872" s="112"/>
    </row>
    <row r="873" spans="14:16" s="94" customFormat="1">
      <c r="N873" s="112"/>
      <c r="O873" s="112"/>
      <c r="P873" s="112"/>
    </row>
    <row r="874" spans="14:16" s="94" customFormat="1">
      <c r="N874" s="112"/>
      <c r="O874" s="112"/>
      <c r="P874" s="112"/>
    </row>
    <row r="875" spans="14:16" s="94" customFormat="1">
      <c r="N875" s="112"/>
      <c r="O875" s="112"/>
      <c r="P875" s="112"/>
    </row>
    <row r="876" spans="14:16" s="94" customFormat="1">
      <c r="N876" s="112"/>
      <c r="O876" s="112"/>
      <c r="P876" s="112"/>
    </row>
    <row r="877" spans="14:16" s="94" customFormat="1">
      <c r="N877" s="112"/>
      <c r="O877" s="112"/>
      <c r="P877" s="112"/>
    </row>
    <row r="878" spans="14:16" s="94" customFormat="1">
      <c r="N878" s="112"/>
      <c r="O878" s="112"/>
      <c r="P878" s="112"/>
    </row>
    <row r="879" spans="14:16" s="94" customFormat="1">
      <c r="N879" s="112"/>
      <c r="O879" s="112"/>
      <c r="P879" s="112"/>
    </row>
    <row r="880" spans="14:16" s="94" customFormat="1">
      <c r="N880" s="112"/>
      <c r="O880" s="112"/>
      <c r="P880" s="112"/>
    </row>
    <row r="881" spans="14:16" s="94" customFormat="1">
      <c r="N881" s="112"/>
      <c r="O881" s="112"/>
      <c r="P881" s="112"/>
    </row>
    <row r="882" spans="14:16" s="94" customFormat="1">
      <c r="N882" s="112"/>
      <c r="O882" s="112"/>
      <c r="P882" s="112"/>
    </row>
    <row r="883" spans="14:16" s="94" customFormat="1">
      <c r="N883" s="112"/>
      <c r="O883" s="112"/>
      <c r="P883" s="112"/>
    </row>
    <row r="884" spans="14:16" s="94" customFormat="1">
      <c r="N884" s="112"/>
      <c r="O884" s="112"/>
      <c r="P884" s="112"/>
    </row>
    <row r="885" spans="14:16" s="94" customFormat="1">
      <c r="N885" s="112"/>
      <c r="O885" s="112"/>
      <c r="P885" s="112"/>
    </row>
    <row r="886" spans="14:16" s="94" customFormat="1">
      <c r="N886" s="112"/>
      <c r="O886" s="112"/>
      <c r="P886" s="112"/>
    </row>
    <row r="887" spans="14:16" s="94" customFormat="1">
      <c r="N887" s="112"/>
      <c r="O887" s="112"/>
      <c r="P887" s="112"/>
    </row>
    <row r="888" spans="14:16" s="94" customFormat="1">
      <c r="N888" s="112"/>
      <c r="O888" s="112"/>
      <c r="P888" s="112"/>
    </row>
    <row r="889" spans="14:16" s="94" customFormat="1">
      <c r="N889" s="112"/>
      <c r="O889" s="112"/>
      <c r="P889" s="112"/>
    </row>
    <row r="890" spans="14:16" s="94" customFormat="1">
      <c r="N890" s="112"/>
      <c r="O890" s="112"/>
      <c r="P890" s="112"/>
    </row>
    <row r="891" spans="14:16" s="94" customFormat="1">
      <c r="N891" s="112"/>
      <c r="O891" s="112"/>
      <c r="P891" s="112"/>
    </row>
    <row r="892" spans="14:16" s="94" customFormat="1">
      <c r="N892" s="112"/>
      <c r="O892" s="112"/>
      <c r="P892" s="112"/>
    </row>
    <row r="893" spans="14:16" s="94" customFormat="1">
      <c r="N893" s="112"/>
      <c r="O893" s="112"/>
      <c r="P893" s="112"/>
    </row>
    <row r="894" spans="14:16" s="94" customFormat="1">
      <c r="N894" s="112"/>
      <c r="O894" s="112"/>
      <c r="P894" s="112"/>
    </row>
    <row r="895" spans="14:16" s="94" customFormat="1">
      <c r="N895" s="112"/>
      <c r="O895" s="112"/>
      <c r="P895" s="112"/>
    </row>
    <row r="896" spans="14:16" s="94" customFormat="1">
      <c r="N896" s="112"/>
      <c r="O896" s="112"/>
      <c r="P896" s="112"/>
    </row>
    <row r="897" spans="14:16" s="94" customFormat="1">
      <c r="N897" s="112"/>
      <c r="O897" s="112"/>
      <c r="P897" s="112"/>
    </row>
    <row r="898" spans="14:16" s="94" customFormat="1">
      <c r="N898" s="112"/>
      <c r="O898" s="112"/>
      <c r="P898" s="112"/>
    </row>
    <row r="899" spans="14:16" s="94" customFormat="1">
      <c r="N899" s="112"/>
      <c r="O899" s="112"/>
      <c r="P899" s="112"/>
    </row>
    <row r="900" spans="14:16" s="94" customFormat="1">
      <c r="N900" s="112"/>
      <c r="O900" s="112"/>
      <c r="P900" s="112"/>
    </row>
    <row r="901" spans="14:16" s="94" customFormat="1">
      <c r="N901" s="112"/>
      <c r="O901" s="112"/>
      <c r="P901" s="112"/>
    </row>
    <row r="902" spans="14:16" s="94" customFormat="1">
      <c r="N902" s="112"/>
      <c r="O902" s="112"/>
      <c r="P902" s="112"/>
    </row>
    <row r="903" spans="14:16" s="94" customFormat="1">
      <c r="N903" s="112"/>
      <c r="O903" s="112"/>
      <c r="P903" s="112"/>
    </row>
    <row r="904" spans="14:16" s="94" customFormat="1">
      <c r="N904" s="112"/>
      <c r="O904" s="112"/>
      <c r="P904" s="112"/>
    </row>
    <row r="905" spans="14:16" s="94" customFormat="1">
      <c r="N905" s="112"/>
      <c r="O905" s="112"/>
      <c r="P905" s="112"/>
    </row>
    <row r="906" spans="14:16" s="94" customFormat="1">
      <c r="N906" s="112"/>
      <c r="O906" s="112"/>
      <c r="P906" s="112"/>
    </row>
    <row r="907" spans="14:16" s="94" customFormat="1">
      <c r="N907" s="112"/>
      <c r="O907" s="112"/>
      <c r="P907" s="112"/>
    </row>
    <row r="908" spans="14:16" s="94" customFormat="1">
      <c r="N908" s="112"/>
      <c r="O908" s="112"/>
      <c r="P908" s="112"/>
    </row>
    <row r="909" spans="14:16" s="94" customFormat="1">
      <c r="N909" s="112"/>
      <c r="O909" s="112"/>
      <c r="P909" s="112"/>
    </row>
    <row r="910" spans="14:16" s="94" customFormat="1">
      <c r="N910" s="112"/>
      <c r="O910" s="112"/>
      <c r="P910" s="112"/>
    </row>
    <row r="911" spans="14:16" s="94" customFormat="1">
      <c r="N911" s="112"/>
      <c r="O911" s="112"/>
      <c r="P911" s="112"/>
    </row>
    <row r="912" spans="14:16" s="94" customFormat="1">
      <c r="N912" s="112"/>
      <c r="O912" s="112"/>
      <c r="P912" s="112"/>
    </row>
    <row r="913" spans="14:16" s="94" customFormat="1">
      <c r="N913" s="112"/>
      <c r="O913" s="112"/>
      <c r="P913" s="112"/>
    </row>
    <row r="914" spans="14:16" s="94" customFormat="1">
      <c r="N914" s="112"/>
      <c r="O914" s="112"/>
      <c r="P914" s="112"/>
    </row>
    <row r="915" spans="14:16" s="94" customFormat="1">
      <c r="N915" s="112"/>
      <c r="O915" s="112"/>
      <c r="P915" s="112"/>
    </row>
    <row r="916" spans="14:16" s="94" customFormat="1">
      <c r="N916" s="112"/>
      <c r="O916" s="112"/>
      <c r="P916" s="112"/>
    </row>
    <row r="917" spans="14:16" s="94" customFormat="1">
      <c r="N917" s="112"/>
      <c r="O917" s="112"/>
      <c r="P917" s="112"/>
    </row>
    <row r="918" spans="14:16" s="94" customFormat="1">
      <c r="N918" s="112"/>
      <c r="O918" s="112"/>
      <c r="P918" s="112"/>
    </row>
    <row r="919" spans="14:16" s="94" customFormat="1">
      <c r="N919" s="112"/>
      <c r="O919" s="112"/>
      <c r="P919" s="112"/>
    </row>
    <row r="920" spans="14:16" s="94" customFormat="1">
      <c r="N920" s="112"/>
      <c r="O920" s="112"/>
      <c r="P920" s="112"/>
    </row>
    <row r="921" spans="14:16" s="94" customFormat="1">
      <c r="N921" s="112"/>
      <c r="O921" s="112"/>
      <c r="P921" s="112"/>
    </row>
    <row r="922" spans="14:16" s="94" customFormat="1">
      <c r="N922" s="112"/>
      <c r="O922" s="112"/>
      <c r="P922" s="112"/>
    </row>
    <row r="923" spans="14:16" s="94" customFormat="1">
      <c r="N923" s="112"/>
      <c r="O923" s="112"/>
      <c r="P923" s="112"/>
    </row>
    <row r="924" spans="14:16" s="94" customFormat="1">
      <c r="N924" s="112"/>
      <c r="O924" s="112"/>
      <c r="P924" s="112"/>
    </row>
    <row r="925" spans="14:16" s="94" customFormat="1">
      <c r="N925" s="112"/>
      <c r="O925" s="112"/>
      <c r="P925" s="112"/>
    </row>
    <row r="926" spans="14:16" s="94" customFormat="1">
      <c r="N926" s="112"/>
      <c r="O926" s="112"/>
      <c r="P926" s="112"/>
    </row>
    <row r="927" spans="14:16" s="94" customFormat="1">
      <c r="N927" s="112"/>
      <c r="O927" s="112"/>
      <c r="P927" s="112"/>
    </row>
    <row r="928" spans="14:16" s="94" customFormat="1">
      <c r="N928" s="112"/>
      <c r="O928" s="112"/>
      <c r="P928" s="112"/>
    </row>
    <row r="929" spans="14:16" s="94" customFormat="1">
      <c r="N929" s="112"/>
      <c r="O929" s="112"/>
      <c r="P929" s="112"/>
    </row>
    <row r="930" spans="14:16" s="94" customFormat="1">
      <c r="N930" s="112"/>
      <c r="O930" s="112"/>
      <c r="P930" s="112"/>
    </row>
    <row r="931" spans="14:16" s="94" customFormat="1">
      <c r="N931" s="112"/>
      <c r="O931" s="112"/>
      <c r="P931" s="112"/>
    </row>
    <row r="932" spans="14:16" s="94" customFormat="1">
      <c r="N932" s="112"/>
      <c r="O932" s="112"/>
      <c r="P932" s="112"/>
    </row>
    <row r="933" spans="14:16" s="94" customFormat="1">
      <c r="N933" s="112"/>
      <c r="O933" s="112"/>
      <c r="P933" s="112"/>
    </row>
    <row r="934" spans="14:16" s="94" customFormat="1">
      <c r="N934" s="112"/>
      <c r="O934" s="112"/>
      <c r="P934" s="112"/>
    </row>
    <row r="935" spans="14:16" s="94" customFormat="1">
      <c r="N935" s="112"/>
      <c r="O935" s="112"/>
      <c r="P935" s="112"/>
    </row>
    <row r="936" spans="14:16" s="94" customFormat="1">
      <c r="N936" s="112"/>
      <c r="O936" s="112"/>
      <c r="P936" s="112"/>
    </row>
    <row r="937" spans="14:16" s="94" customFormat="1">
      <c r="N937" s="112"/>
      <c r="O937" s="112"/>
      <c r="P937" s="112"/>
    </row>
    <row r="938" spans="14:16" s="94" customFormat="1">
      <c r="N938" s="112"/>
      <c r="O938" s="112"/>
      <c r="P938" s="112"/>
    </row>
    <row r="939" spans="14:16" s="94" customFormat="1">
      <c r="N939" s="112"/>
      <c r="O939" s="112"/>
      <c r="P939" s="112"/>
    </row>
    <row r="940" spans="14:16" s="94" customFormat="1">
      <c r="N940" s="112"/>
      <c r="O940" s="112"/>
      <c r="P940" s="112"/>
    </row>
    <row r="941" spans="14:16" s="94" customFormat="1">
      <c r="N941" s="112"/>
      <c r="O941" s="112"/>
      <c r="P941" s="112"/>
    </row>
    <row r="942" spans="14:16" s="94" customFormat="1">
      <c r="N942" s="112"/>
      <c r="O942" s="112"/>
      <c r="P942" s="112"/>
    </row>
    <row r="943" spans="14:16" s="94" customFormat="1">
      <c r="N943" s="112"/>
      <c r="O943" s="112"/>
      <c r="P943" s="112"/>
    </row>
    <row r="944" spans="14:16" s="94" customFormat="1">
      <c r="N944" s="112"/>
      <c r="O944" s="112"/>
      <c r="P944" s="112"/>
    </row>
    <row r="945" spans="14:16" s="94" customFormat="1">
      <c r="N945" s="112"/>
      <c r="O945" s="112"/>
      <c r="P945" s="112"/>
    </row>
    <row r="946" spans="14:16" s="94" customFormat="1">
      <c r="N946" s="112"/>
      <c r="O946" s="112"/>
      <c r="P946" s="112"/>
    </row>
    <row r="947" spans="14:16" s="94" customFormat="1">
      <c r="N947" s="112"/>
      <c r="O947" s="112"/>
      <c r="P947" s="112"/>
    </row>
    <row r="948" spans="14:16" s="94" customFormat="1">
      <c r="N948" s="112"/>
      <c r="O948" s="112"/>
      <c r="P948" s="112"/>
    </row>
    <row r="949" spans="14:16" s="94" customFormat="1">
      <c r="N949" s="112"/>
      <c r="O949" s="112"/>
      <c r="P949" s="112"/>
    </row>
    <row r="950" spans="14:16" s="94" customFormat="1">
      <c r="N950" s="112"/>
      <c r="O950" s="112"/>
      <c r="P950" s="112"/>
    </row>
    <row r="951" spans="14:16" s="94" customFormat="1">
      <c r="N951" s="112"/>
      <c r="O951" s="112"/>
      <c r="P951" s="112"/>
    </row>
    <row r="952" spans="14:16" s="94" customFormat="1">
      <c r="N952" s="112"/>
      <c r="O952" s="112"/>
      <c r="P952" s="112"/>
    </row>
    <row r="953" spans="14:16" s="94" customFormat="1">
      <c r="N953" s="112"/>
      <c r="O953" s="112"/>
      <c r="P953" s="112"/>
    </row>
    <row r="954" spans="14:16" s="94" customFormat="1">
      <c r="N954" s="112"/>
      <c r="O954" s="112"/>
      <c r="P954" s="112"/>
    </row>
    <row r="955" spans="14:16" s="94" customFormat="1">
      <c r="N955" s="112"/>
      <c r="O955" s="112"/>
      <c r="P955" s="112"/>
    </row>
    <row r="956" spans="14:16" s="94" customFormat="1">
      <c r="N956" s="112"/>
      <c r="O956" s="112"/>
      <c r="P956" s="112"/>
    </row>
    <row r="957" spans="14:16" s="94" customFormat="1">
      <c r="N957" s="112"/>
      <c r="O957" s="112"/>
      <c r="P957" s="112"/>
    </row>
    <row r="958" spans="14:16" s="94" customFormat="1">
      <c r="N958" s="112"/>
      <c r="O958" s="112"/>
      <c r="P958" s="112"/>
    </row>
    <row r="959" spans="14:16" s="94" customFormat="1">
      <c r="N959" s="112"/>
      <c r="O959" s="112"/>
      <c r="P959" s="112"/>
    </row>
    <row r="960" spans="14:16" s="94" customFormat="1">
      <c r="N960" s="112"/>
      <c r="O960" s="112"/>
      <c r="P960" s="112"/>
    </row>
    <row r="961" spans="14:16" s="94" customFormat="1">
      <c r="N961" s="112"/>
      <c r="O961" s="112"/>
      <c r="P961" s="112"/>
    </row>
    <row r="962" spans="14:16" s="94" customFormat="1">
      <c r="N962" s="112"/>
      <c r="O962" s="112"/>
      <c r="P962" s="112"/>
    </row>
    <row r="963" spans="14:16" s="94" customFormat="1">
      <c r="N963" s="112"/>
      <c r="O963" s="112"/>
      <c r="P963" s="112"/>
    </row>
    <row r="964" spans="14:16" s="94" customFormat="1">
      <c r="N964" s="112"/>
      <c r="O964" s="112"/>
      <c r="P964" s="112"/>
    </row>
    <row r="965" spans="14:16" s="94" customFormat="1">
      <c r="N965" s="112"/>
      <c r="O965" s="112"/>
      <c r="P965" s="112"/>
    </row>
    <row r="966" spans="14:16" s="94" customFormat="1">
      <c r="N966" s="112"/>
      <c r="O966" s="112"/>
      <c r="P966" s="112"/>
    </row>
    <row r="967" spans="14:16" s="94" customFormat="1">
      <c r="N967" s="112"/>
      <c r="O967" s="112"/>
      <c r="P967" s="112"/>
    </row>
    <row r="968" spans="14:16" s="94" customFormat="1">
      <c r="N968" s="112"/>
      <c r="O968" s="112"/>
      <c r="P968" s="112"/>
    </row>
    <row r="969" spans="14:16" s="94" customFormat="1">
      <c r="N969" s="112"/>
      <c r="O969" s="112"/>
      <c r="P969" s="112"/>
    </row>
    <row r="970" spans="14:16" s="94" customFormat="1">
      <c r="N970" s="112"/>
      <c r="O970" s="112"/>
      <c r="P970" s="112"/>
    </row>
    <row r="971" spans="14:16" s="94" customFormat="1">
      <c r="N971" s="112"/>
      <c r="O971" s="112"/>
      <c r="P971" s="112"/>
    </row>
    <row r="972" spans="14:16" s="94" customFormat="1">
      <c r="N972" s="112"/>
      <c r="O972" s="112"/>
      <c r="P972" s="112"/>
    </row>
    <row r="973" spans="14:16" s="94" customFormat="1">
      <c r="N973" s="112"/>
      <c r="O973" s="112"/>
      <c r="P973" s="112"/>
    </row>
    <row r="974" spans="14:16" s="94" customFormat="1">
      <c r="N974" s="112"/>
      <c r="O974" s="112"/>
      <c r="P974" s="112"/>
    </row>
    <row r="975" spans="14:16" s="94" customFormat="1">
      <c r="N975" s="112"/>
      <c r="O975" s="112"/>
      <c r="P975" s="112"/>
    </row>
    <row r="976" spans="14:16" s="94" customFormat="1">
      <c r="N976" s="112"/>
      <c r="O976" s="112"/>
      <c r="P976" s="112"/>
    </row>
    <row r="977" spans="14:16" s="94" customFormat="1">
      <c r="N977" s="112"/>
      <c r="O977" s="112"/>
      <c r="P977" s="112"/>
    </row>
    <row r="978" spans="14:16" s="94" customFormat="1">
      <c r="N978" s="112"/>
      <c r="O978" s="112"/>
      <c r="P978" s="112"/>
    </row>
    <row r="979" spans="14:16" s="94" customFormat="1">
      <c r="N979" s="112"/>
      <c r="O979" s="112"/>
      <c r="P979" s="112"/>
    </row>
    <row r="980" spans="14:16" s="94" customFormat="1">
      <c r="N980" s="112"/>
      <c r="O980" s="112"/>
      <c r="P980" s="112"/>
    </row>
    <row r="981" spans="14:16" s="94" customFormat="1">
      <c r="N981" s="112"/>
      <c r="O981" s="112"/>
      <c r="P981" s="112"/>
    </row>
    <row r="982" spans="14:16" s="94" customFormat="1">
      <c r="N982" s="112"/>
      <c r="O982" s="112"/>
      <c r="P982" s="112"/>
    </row>
    <row r="983" spans="14:16" s="94" customFormat="1">
      <c r="N983" s="112"/>
      <c r="O983" s="112"/>
      <c r="P983" s="112"/>
    </row>
    <row r="984" spans="14:16" s="94" customFormat="1">
      <c r="N984" s="112"/>
      <c r="O984" s="112"/>
      <c r="P984" s="112"/>
    </row>
    <row r="985" spans="14:16" s="94" customFormat="1">
      <c r="N985" s="112"/>
      <c r="O985" s="112"/>
      <c r="P985" s="112"/>
    </row>
    <row r="986" spans="14:16" s="94" customFormat="1">
      <c r="N986" s="112"/>
      <c r="O986" s="112"/>
      <c r="P986" s="112"/>
    </row>
    <row r="987" spans="14:16" s="94" customFormat="1">
      <c r="N987" s="112"/>
      <c r="O987" s="112"/>
      <c r="P987" s="112"/>
    </row>
    <row r="988" spans="14:16" s="94" customFormat="1">
      <c r="N988" s="112"/>
      <c r="O988" s="112"/>
      <c r="P988" s="112"/>
    </row>
    <row r="989" spans="14:16" s="94" customFormat="1">
      <c r="N989" s="112"/>
      <c r="O989" s="112"/>
      <c r="P989" s="112"/>
    </row>
    <row r="990" spans="14:16" s="94" customFormat="1">
      <c r="N990" s="112"/>
      <c r="O990" s="112"/>
      <c r="P990" s="112"/>
    </row>
    <row r="991" spans="14:16" s="94" customFormat="1">
      <c r="N991" s="112"/>
      <c r="O991" s="112"/>
      <c r="P991" s="112"/>
    </row>
    <row r="992" spans="14:16" s="94" customFormat="1">
      <c r="N992" s="112"/>
      <c r="O992" s="112"/>
      <c r="P992" s="112"/>
    </row>
    <row r="993" spans="14:16" s="94" customFormat="1">
      <c r="N993" s="112"/>
      <c r="O993" s="112"/>
      <c r="P993" s="112"/>
    </row>
    <row r="994" spans="14:16" s="94" customFormat="1">
      <c r="N994" s="112"/>
      <c r="O994" s="112"/>
      <c r="P994" s="112"/>
    </row>
    <row r="995" spans="14:16" s="94" customFormat="1">
      <c r="N995" s="112"/>
      <c r="O995" s="112"/>
      <c r="P995" s="112"/>
    </row>
    <row r="996" spans="14:16" s="94" customFormat="1">
      <c r="N996" s="112"/>
      <c r="O996" s="112"/>
      <c r="P996" s="112"/>
    </row>
    <row r="997" spans="14:16" s="94" customFormat="1">
      <c r="N997" s="112"/>
      <c r="O997" s="112"/>
      <c r="P997" s="112"/>
    </row>
    <row r="998" spans="14:16" s="94" customFormat="1">
      <c r="N998" s="112"/>
      <c r="O998" s="112"/>
      <c r="P998" s="112"/>
    </row>
    <row r="999" spans="14:16" s="94" customFormat="1">
      <c r="N999" s="112"/>
      <c r="O999" s="112"/>
      <c r="P999" s="112"/>
    </row>
    <row r="1000" spans="14:16" s="94" customFormat="1">
      <c r="N1000" s="112"/>
      <c r="O1000" s="112"/>
      <c r="P1000" s="112"/>
    </row>
    <row r="1001" spans="14:16" s="94" customFormat="1">
      <c r="N1001" s="112"/>
      <c r="O1001" s="112"/>
      <c r="P1001" s="112"/>
    </row>
    <row r="1002" spans="14:16" s="94" customFormat="1">
      <c r="N1002" s="112"/>
      <c r="O1002" s="112"/>
      <c r="P1002" s="112"/>
    </row>
    <row r="1003" spans="14:16" s="94" customFormat="1">
      <c r="N1003" s="112"/>
      <c r="O1003" s="112"/>
      <c r="P1003" s="112"/>
    </row>
    <row r="1004" spans="14:16" s="94" customFormat="1">
      <c r="N1004" s="112"/>
      <c r="O1004" s="112"/>
      <c r="P1004" s="112"/>
    </row>
    <row r="1005" spans="14:16" s="94" customFormat="1">
      <c r="N1005" s="112"/>
      <c r="O1005" s="112"/>
      <c r="P1005" s="112"/>
    </row>
    <row r="1006" spans="14:16" s="94" customFormat="1">
      <c r="N1006" s="112"/>
      <c r="O1006" s="112"/>
      <c r="P1006" s="112"/>
    </row>
    <row r="1007" spans="14:16" s="94" customFormat="1">
      <c r="N1007" s="112"/>
      <c r="O1007" s="112"/>
      <c r="P1007" s="112"/>
    </row>
    <row r="1008" spans="14:16" s="94" customFormat="1">
      <c r="N1008" s="112"/>
      <c r="O1008" s="112"/>
      <c r="P1008" s="112"/>
    </row>
    <row r="1009" spans="14:16" s="94" customFormat="1">
      <c r="N1009" s="112"/>
      <c r="O1009" s="112"/>
      <c r="P1009" s="112"/>
    </row>
    <row r="1010" spans="14:16" s="94" customFormat="1">
      <c r="N1010" s="112"/>
      <c r="O1010" s="112"/>
      <c r="P1010" s="112"/>
    </row>
    <row r="1011" spans="14:16" s="94" customFormat="1">
      <c r="N1011" s="112"/>
      <c r="O1011" s="112"/>
      <c r="P1011" s="112"/>
    </row>
    <row r="1012" spans="14:16" s="94" customFormat="1">
      <c r="N1012" s="112"/>
      <c r="O1012" s="112"/>
      <c r="P1012" s="112"/>
    </row>
    <row r="1013" spans="14:16" s="94" customFormat="1">
      <c r="N1013" s="112"/>
      <c r="O1013" s="112"/>
      <c r="P1013" s="112"/>
    </row>
    <row r="1014" spans="14:16" s="94" customFormat="1">
      <c r="N1014" s="112"/>
      <c r="O1014" s="112"/>
      <c r="P1014" s="112"/>
    </row>
    <row r="1015" spans="14:16" s="94" customFormat="1">
      <c r="N1015" s="112"/>
      <c r="O1015" s="112"/>
      <c r="P1015" s="112"/>
    </row>
    <row r="1016" spans="14:16" s="94" customFormat="1">
      <c r="N1016" s="112"/>
      <c r="O1016" s="112"/>
      <c r="P1016" s="112"/>
    </row>
    <row r="1017" spans="14:16" s="94" customFormat="1">
      <c r="N1017" s="112"/>
      <c r="O1017" s="112"/>
      <c r="P1017" s="112"/>
    </row>
    <row r="1018" spans="14:16" s="94" customFormat="1">
      <c r="N1018" s="112"/>
      <c r="O1018" s="112"/>
      <c r="P1018" s="112"/>
    </row>
    <row r="1019" spans="14:16" s="94" customFormat="1">
      <c r="N1019" s="112"/>
      <c r="O1019" s="112"/>
      <c r="P1019" s="112"/>
    </row>
    <row r="1020" spans="14:16" s="94" customFormat="1">
      <c r="N1020" s="112"/>
      <c r="O1020" s="112"/>
      <c r="P1020" s="112"/>
    </row>
    <row r="1021" spans="14:16" s="94" customFormat="1">
      <c r="N1021" s="112"/>
      <c r="O1021" s="112"/>
      <c r="P1021" s="112"/>
    </row>
    <row r="1022" spans="14:16" s="94" customFormat="1">
      <c r="N1022" s="112"/>
      <c r="O1022" s="112"/>
      <c r="P1022" s="112"/>
    </row>
    <row r="1023" spans="14:16" s="94" customFormat="1">
      <c r="N1023" s="112"/>
      <c r="O1023" s="112"/>
      <c r="P1023" s="112"/>
    </row>
    <row r="1024" spans="14:16" s="94" customFormat="1">
      <c r="N1024" s="112"/>
      <c r="O1024" s="112"/>
      <c r="P1024" s="112"/>
    </row>
    <row r="1025" spans="14:16" s="94" customFormat="1">
      <c r="N1025" s="112"/>
      <c r="O1025" s="112"/>
      <c r="P1025" s="112"/>
    </row>
    <row r="1026" spans="14:16" s="94" customFormat="1">
      <c r="N1026" s="112"/>
      <c r="O1026" s="112"/>
      <c r="P1026" s="112"/>
    </row>
    <row r="1027" spans="14:16" s="94" customFormat="1">
      <c r="N1027" s="112"/>
      <c r="O1027" s="112"/>
      <c r="P1027" s="112"/>
    </row>
    <row r="1028" spans="14:16" s="94" customFormat="1">
      <c r="N1028" s="112"/>
      <c r="O1028" s="112"/>
      <c r="P1028" s="112"/>
    </row>
    <row r="1029" spans="14:16" s="94" customFormat="1">
      <c r="N1029" s="112"/>
      <c r="O1029" s="112"/>
      <c r="P1029" s="112"/>
    </row>
    <row r="1030" spans="14:16" s="94" customFormat="1">
      <c r="N1030" s="112"/>
      <c r="O1030" s="112"/>
      <c r="P1030" s="112"/>
    </row>
    <row r="1031" spans="14:16" s="94" customFormat="1">
      <c r="N1031" s="112"/>
      <c r="O1031" s="112"/>
      <c r="P1031" s="112"/>
    </row>
    <row r="1032" spans="14:16" s="94" customFormat="1">
      <c r="N1032" s="112"/>
      <c r="O1032" s="112"/>
      <c r="P1032" s="112"/>
    </row>
    <row r="1033" spans="14:16" s="94" customFormat="1">
      <c r="N1033" s="112"/>
      <c r="O1033" s="112"/>
      <c r="P1033" s="112"/>
    </row>
    <row r="1034" spans="14:16" s="94" customFormat="1">
      <c r="N1034" s="112"/>
      <c r="O1034" s="112"/>
      <c r="P1034" s="112"/>
    </row>
    <row r="1035" spans="14:16" s="94" customFormat="1">
      <c r="N1035" s="112"/>
      <c r="O1035" s="112"/>
      <c r="P1035" s="112"/>
    </row>
    <row r="1036" spans="14:16" s="94" customFormat="1">
      <c r="N1036" s="112"/>
      <c r="O1036" s="112"/>
      <c r="P1036" s="112"/>
    </row>
    <row r="1037" spans="14:16" s="94" customFormat="1">
      <c r="N1037" s="112"/>
      <c r="O1037" s="112"/>
      <c r="P1037" s="112"/>
    </row>
    <row r="1038" spans="14:16" s="94" customFormat="1">
      <c r="N1038" s="112"/>
      <c r="O1038" s="112"/>
      <c r="P1038" s="112"/>
    </row>
    <row r="1039" spans="14:16" s="94" customFormat="1">
      <c r="N1039" s="112"/>
      <c r="O1039" s="112"/>
      <c r="P1039" s="112"/>
    </row>
    <row r="1040" spans="14:16" s="94" customFormat="1">
      <c r="N1040" s="112"/>
      <c r="O1040" s="112"/>
      <c r="P1040" s="112"/>
    </row>
    <row r="1041" spans="14:16" s="94" customFormat="1">
      <c r="N1041" s="112"/>
      <c r="O1041" s="112"/>
      <c r="P1041" s="112"/>
    </row>
    <row r="1042" spans="14:16" s="94" customFormat="1">
      <c r="N1042" s="112"/>
      <c r="O1042" s="112"/>
      <c r="P1042" s="112"/>
    </row>
    <row r="1043" spans="14:16" s="94" customFormat="1">
      <c r="N1043" s="112"/>
      <c r="O1043" s="112"/>
      <c r="P1043" s="112"/>
    </row>
    <row r="1044" spans="14:16" s="94" customFormat="1">
      <c r="N1044" s="112"/>
      <c r="O1044" s="112"/>
      <c r="P1044" s="112"/>
    </row>
    <row r="1045" spans="14:16" s="94" customFormat="1">
      <c r="N1045" s="112"/>
      <c r="O1045" s="112"/>
      <c r="P1045" s="112"/>
    </row>
    <row r="1046" spans="14:16" s="94" customFormat="1">
      <c r="N1046" s="112"/>
      <c r="O1046" s="112"/>
      <c r="P1046" s="112"/>
    </row>
    <row r="1047" spans="14:16" s="94" customFormat="1">
      <c r="N1047" s="112"/>
      <c r="O1047" s="112"/>
      <c r="P1047" s="112"/>
    </row>
    <row r="1048" spans="14:16" s="94" customFormat="1">
      <c r="N1048" s="112"/>
      <c r="O1048" s="112"/>
      <c r="P1048" s="112"/>
    </row>
    <row r="1049" spans="14:16" s="94" customFormat="1">
      <c r="N1049" s="112"/>
      <c r="O1049" s="112"/>
      <c r="P1049" s="112"/>
    </row>
    <row r="1050" spans="14:16" s="94" customFormat="1">
      <c r="N1050" s="112"/>
      <c r="O1050" s="112"/>
      <c r="P1050" s="112"/>
    </row>
    <row r="1051" spans="14:16" s="94" customFormat="1">
      <c r="N1051" s="112"/>
      <c r="O1051" s="112"/>
      <c r="P1051" s="112"/>
    </row>
    <row r="1052" spans="14:16" s="94" customFormat="1">
      <c r="N1052" s="112"/>
      <c r="O1052" s="112"/>
      <c r="P1052" s="112"/>
    </row>
    <row r="1053" spans="14:16" s="94" customFormat="1">
      <c r="N1053" s="112"/>
      <c r="O1053" s="112"/>
      <c r="P1053" s="112"/>
    </row>
    <row r="1054" spans="14:16" s="94" customFormat="1">
      <c r="N1054" s="112"/>
      <c r="O1054" s="112"/>
      <c r="P1054" s="112"/>
    </row>
    <row r="1055" spans="14:16" s="94" customFormat="1">
      <c r="N1055" s="112"/>
      <c r="O1055" s="112"/>
      <c r="P1055" s="112"/>
    </row>
    <row r="1056" spans="14:16" s="94" customFormat="1">
      <c r="N1056" s="112"/>
      <c r="O1056" s="112"/>
      <c r="P1056" s="112"/>
    </row>
    <row r="1057" spans="14:16" s="94" customFormat="1">
      <c r="N1057" s="112"/>
      <c r="O1057" s="112"/>
      <c r="P1057" s="112"/>
    </row>
    <row r="1058" spans="14:16" s="94" customFormat="1">
      <c r="N1058" s="112"/>
      <c r="O1058" s="112"/>
      <c r="P1058" s="112"/>
    </row>
    <row r="1059" spans="14:16" s="94" customFormat="1">
      <c r="N1059" s="112"/>
      <c r="O1059" s="112"/>
      <c r="P1059" s="112"/>
    </row>
    <row r="1060" spans="14:16" s="94" customFormat="1">
      <c r="N1060" s="112"/>
      <c r="O1060" s="112"/>
      <c r="P1060" s="112"/>
    </row>
    <row r="1061" spans="14:16" s="94" customFormat="1">
      <c r="N1061" s="112"/>
      <c r="O1061" s="112"/>
      <c r="P1061" s="112"/>
    </row>
    <row r="1062" spans="14:16" s="94" customFormat="1">
      <c r="N1062" s="112"/>
      <c r="O1062" s="112"/>
      <c r="P1062" s="112"/>
    </row>
    <row r="1063" spans="14:16" s="94" customFormat="1">
      <c r="N1063" s="112"/>
      <c r="O1063" s="112"/>
      <c r="P1063" s="112"/>
    </row>
    <row r="1064" spans="14:16" s="94" customFormat="1">
      <c r="N1064" s="112"/>
      <c r="O1064" s="112"/>
      <c r="P1064" s="112"/>
    </row>
    <row r="1065" spans="14:16" s="94" customFormat="1">
      <c r="N1065" s="112"/>
      <c r="O1065" s="112"/>
      <c r="P1065" s="112"/>
    </row>
    <row r="1066" spans="14:16" s="94" customFormat="1">
      <c r="N1066" s="112"/>
      <c r="O1066" s="112"/>
      <c r="P1066" s="112"/>
    </row>
    <row r="1067" spans="14:16" s="94" customFormat="1">
      <c r="N1067" s="112"/>
      <c r="O1067" s="112"/>
      <c r="P1067" s="112"/>
    </row>
    <row r="1068" spans="14:16" s="94" customFormat="1">
      <c r="N1068" s="112"/>
      <c r="O1068" s="112"/>
      <c r="P1068" s="112"/>
    </row>
    <row r="1069" spans="14:16" s="94" customFormat="1">
      <c r="N1069" s="112"/>
      <c r="O1069" s="112"/>
      <c r="P1069" s="112"/>
    </row>
    <row r="1070" spans="14:16" s="94" customFormat="1">
      <c r="N1070" s="112"/>
      <c r="O1070" s="112"/>
      <c r="P1070" s="112"/>
    </row>
    <row r="1071" spans="14:16" s="94" customFormat="1">
      <c r="N1071" s="112"/>
      <c r="O1071" s="112"/>
      <c r="P1071" s="112"/>
    </row>
    <row r="1072" spans="14:16" s="94" customFormat="1">
      <c r="N1072" s="112"/>
      <c r="O1072" s="112"/>
      <c r="P1072" s="112"/>
    </row>
    <row r="1073" spans="14:16" s="94" customFormat="1">
      <c r="N1073" s="112"/>
      <c r="O1073" s="112"/>
      <c r="P1073" s="112"/>
    </row>
    <row r="1074" spans="14:16" s="94" customFormat="1">
      <c r="N1074" s="112"/>
      <c r="O1074" s="112"/>
      <c r="P1074" s="112"/>
    </row>
    <row r="1075" spans="14:16" s="94" customFormat="1">
      <c r="N1075" s="112"/>
      <c r="O1075" s="112"/>
      <c r="P1075" s="112"/>
    </row>
    <row r="1076" spans="14:16" s="94" customFormat="1">
      <c r="N1076" s="112"/>
      <c r="O1076" s="112"/>
      <c r="P1076" s="112"/>
    </row>
    <row r="1077" spans="14:16" s="94" customFormat="1">
      <c r="N1077" s="112"/>
      <c r="O1077" s="112"/>
      <c r="P1077" s="112"/>
    </row>
    <row r="1078" spans="14:16" s="94" customFormat="1">
      <c r="N1078" s="112"/>
      <c r="O1078" s="112"/>
      <c r="P1078" s="112"/>
    </row>
    <row r="1079" spans="14:16" s="94" customFormat="1">
      <c r="N1079" s="112"/>
      <c r="O1079" s="112"/>
      <c r="P1079" s="112"/>
    </row>
    <row r="1080" spans="14:16" s="94" customFormat="1">
      <c r="N1080" s="112"/>
      <c r="O1080" s="112"/>
      <c r="P1080" s="112"/>
    </row>
    <row r="1081" spans="14:16" s="94" customFormat="1">
      <c r="N1081" s="112"/>
      <c r="O1081" s="112"/>
      <c r="P1081" s="112"/>
    </row>
    <row r="1082" spans="14:16" s="94" customFormat="1">
      <c r="N1082" s="112"/>
      <c r="O1082" s="112"/>
      <c r="P1082" s="112"/>
    </row>
    <row r="1083" spans="14:16" s="94" customFormat="1">
      <c r="N1083" s="112"/>
      <c r="O1083" s="112"/>
      <c r="P1083" s="112"/>
    </row>
    <row r="1084" spans="14:16" s="94" customFormat="1">
      <c r="N1084" s="112"/>
      <c r="O1084" s="112"/>
      <c r="P1084" s="112"/>
    </row>
    <row r="1085" spans="14:16" s="94" customFormat="1">
      <c r="N1085" s="112"/>
      <c r="O1085" s="112"/>
      <c r="P1085" s="112"/>
    </row>
    <row r="1086" spans="14:16" s="94" customFormat="1">
      <c r="N1086" s="112"/>
      <c r="O1086" s="112"/>
      <c r="P1086" s="112"/>
    </row>
    <row r="1087" spans="14:16" s="94" customFormat="1">
      <c r="N1087" s="112"/>
      <c r="O1087" s="112"/>
      <c r="P1087" s="112"/>
    </row>
    <row r="1088" spans="14:16" s="94" customFormat="1">
      <c r="N1088" s="112"/>
      <c r="O1088" s="112"/>
      <c r="P1088" s="112"/>
    </row>
    <row r="1089" spans="14:16" s="94" customFormat="1">
      <c r="N1089" s="112"/>
      <c r="O1089" s="112"/>
      <c r="P1089" s="112"/>
    </row>
    <row r="1090" spans="14:16" s="94" customFormat="1">
      <c r="N1090" s="112"/>
      <c r="O1090" s="112"/>
      <c r="P1090" s="112"/>
    </row>
    <row r="1091" spans="14:16" s="94" customFormat="1">
      <c r="N1091" s="112"/>
      <c r="O1091" s="112"/>
      <c r="P1091" s="112"/>
    </row>
    <row r="1092" spans="14:16" s="94" customFormat="1">
      <c r="N1092" s="112"/>
      <c r="O1092" s="112"/>
      <c r="P1092" s="112"/>
    </row>
    <row r="1093" spans="14:16" s="94" customFormat="1">
      <c r="N1093" s="112"/>
      <c r="O1093" s="112"/>
      <c r="P1093" s="112"/>
    </row>
    <row r="1094" spans="14:16" s="94" customFormat="1">
      <c r="N1094" s="112"/>
      <c r="O1094" s="112"/>
      <c r="P1094" s="112"/>
    </row>
    <row r="1095" spans="14:16" s="94" customFormat="1">
      <c r="N1095" s="112"/>
      <c r="O1095" s="112"/>
      <c r="P1095" s="112"/>
    </row>
    <row r="1096" spans="14:16" s="94" customFormat="1">
      <c r="N1096" s="112"/>
      <c r="O1096" s="112"/>
      <c r="P1096" s="112"/>
    </row>
    <row r="1097" spans="14:16" s="94" customFormat="1">
      <c r="N1097" s="112"/>
      <c r="O1097" s="112"/>
      <c r="P1097" s="112"/>
    </row>
    <row r="1098" spans="14:16" s="94" customFormat="1">
      <c r="N1098" s="112"/>
      <c r="O1098" s="112"/>
      <c r="P1098" s="112"/>
    </row>
    <row r="1099" spans="14:16" s="94" customFormat="1">
      <c r="N1099" s="112"/>
      <c r="O1099" s="112"/>
      <c r="P1099" s="112"/>
    </row>
    <row r="1100" spans="14:16" s="94" customFormat="1">
      <c r="N1100" s="112"/>
      <c r="O1100" s="112"/>
      <c r="P1100" s="112"/>
    </row>
    <row r="1101" spans="14:16" s="94" customFormat="1">
      <c r="N1101" s="112"/>
      <c r="O1101" s="112"/>
      <c r="P1101" s="112"/>
    </row>
    <row r="1102" spans="14:16" s="94" customFormat="1">
      <c r="N1102" s="112"/>
      <c r="O1102" s="112"/>
      <c r="P1102" s="112"/>
    </row>
    <row r="1103" spans="14:16" s="94" customFormat="1">
      <c r="N1103" s="112"/>
      <c r="O1103" s="112"/>
      <c r="P1103" s="112"/>
    </row>
    <row r="1104" spans="14:16" s="94" customFormat="1">
      <c r="N1104" s="112"/>
      <c r="O1104" s="112"/>
      <c r="P1104" s="112"/>
    </row>
    <row r="1105" spans="14:16" s="94" customFormat="1">
      <c r="N1105" s="112"/>
      <c r="O1105" s="112"/>
      <c r="P1105" s="112"/>
    </row>
    <row r="1106" spans="14:16" s="94" customFormat="1">
      <c r="N1106" s="112"/>
      <c r="O1106" s="112"/>
      <c r="P1106" s="112"/>
    </row>
    <row r="1107" spans="14:16" s="94" customFormat="1">
      <c r="N1107" s="112"/>
      <c r="O1107" s="112"/>
      <c r="P1107" s="112"/>
    </row>
    <row r="1108" spans="14:16" s="94" customFormat="1">
      <c r="N1108" s="112"/>
      <c r="O1108" s="112"/>
      <c r="P1108" s="112"/>
    </row>
    <row r="1109" spans="14:16" s="94" customFormat="1">
      <c r="N1109" s="112"/>
      <c r="O1109" s="112"/>
      <c r="P1109" s="112"/>
    </row>
    <row r="1110" spans="14:16" s="94" customFormat="1">
      <c r="N1110" s="112"/>
      <c r="O1110" s="112"/>
      <c r="P1110" s="112"/>
    </row>
    <row r="1111" spans="14:16" s="94" customFormat="1">
      <c r="N1111" s="112"/>
      <c r="O1111" s="112"/>
      <c r="P1111" s="112"/>
    </row>
    <row r="1112" spans="14:16" s="94" customFormat="1">
      <c r="N1112" s="112"/>
      <c r="O1112" s="112"/>
      <c r="P1112" s="112"/>
    </row>
    <row r="1113" spans="14:16" s="94" customFormat="1">
      <c r="N1113" s="112"/>
      <c r="O1113" s="112"/>
      <c r="P1113" s="112"/>
    </row>
    <row r="1114" spans="14:16" s="94" customFormat="1">
      <c r="N1114" s="112"/>
      <c r="O1114" s="112"/>
      <c r="P1114" s="112"/>
    </row>
    <row r="1115" spans="14:16" s="94" customFormat="1">
      <c r="N1115" s="112"/>
      <c r="O1115" s="112"/>
      <c r="P1115" s="112"/>
    </row>
    <row r="1116" spans="14:16" s="94" customFormat="1">
      <c r="N1116" s="112"/>
      <c r="O1116" s="112"/>
      <c r="P1116" s="112"/>
    </row>
    <row r="1117" spans="14:16" s="94" customFormat="1">
      <c r="N1117" s="112"/>
      <c r="O1117" s="112"/>
      <c r="P1117" s="112"/>
    </row>
    <row r="1118" spans="14:16" s="94" customFormat="1">
      <c r="N1118" s="112"/>
      <c r="O1118" s="112"/>
      <c r="P1118" s="112"/>
    </row>
    <row r="1119" spans="14:16" s="94" customFormat="1">
      <c r="N1119" s="112"/>
      <c r="O1119" s="112"/>
      <c r="P1119" s="112"/>
    </row>
    <row r="1120" spans="14:16" s="94" customFormat="1">
      <c r="N1120" s="112"/>
      <c r="O1120" s="112"/>
      <c r="P1120" s="112"/>
    </row>
    <row r="1121" spans="14:16" s="94" customFormat="1">
      <c r="N1121" s="112"/>
      <c r="O1121" s="112"/>
      <c r="P1121" s="112"/>
    </row>
    <row r="1122" spans="14:16" s="94" customFormat="1">
      <c r="N1122" s="112"/>
      <c r="O1122" s="112"/>
      <c r="P1122" s="112"/>
    </row>
    <row r="1123" spans="14:16" s="94" customFormat="1">
      <c r="N1123" s="112"/>
      <c r="O1123" s="112"/>
      <c r="P1123" s="112"/>
    </row>
    <row r="1124" spans="14:16" s="94" customFormat="1">
      <c r="N1124" s="112"/>
      <c r="O1124" s="112"/>
      <c r="P1124" s="112"/>
    </row>
    <row r="1125" spans="14:16" s="94" customFormat="1">
      <c r="N1125" s="112"/>
      <c r="O1125" s="112"/>
      <c r="P1125" s="112"/>
    </row>
    <row r="1126" spans="14:16" s="94" customFormat="1">
      <c r="N1126" s="112"/>
      <c r="O1126" s="112"/>
      <c r="P1126" s="112"/>
    </row>
    <row r="1127" spans="14:16" s="94" customFormat="1">
      <c r="N1127" s="112"/>
      <c r="O1127" s="112"/>
      <c r="P1127" s="112"/>
    </row>
    <row r="1128" spans="14:16" s="94" customFormat="1">
      <c r="N1128" s="112"/>
      <c r="O1128" s="112"/>
      <c r="P1128" s="112"/>
    </row>
    <row r="1129" spans="14:16" s="94" customFormat="1">
      <c r="N1129" s="112"/>
      <c r="O1129" s="112"/>
      <c r="P1129" s="112"/>
    </row>
    <row r="1130" spans="14:16" s="94" customFormat="1">
      <c r="N1130" s="112"/>
      <c r="O1130" s="112"/>
      <c r="P1130" s="112"/>
    </row>
    <row r="1131" spans="14:16" s="94" customFormat="1">
      <c r="N1131" s="112"/>
      <c r="O1131" s="112"/>
      <c r="P1131" s="112"/>
    </row>
    <row r="1132" spans="14:16" s="94" customFormat="1">
      <c r="N1132" s="112"/>
      <c r="O1132" s="112"/>
      <c r="P1132" s="112"/>
    </row>
    <row r="1133" spans="14:16" s="94" customFormat="1">
      <c r="N1133" s="112"/>
      <c r="O1133" s="112"/>
      <c r="P1133" s="112"/>
    </row>
    <row r="1134" spans="14:16" s="94" customFormat="1">
      <c r="N1134" s="112"/>
      <c r="O1134" s="112"/>
      <c r="P1134" s="112"/>
    </row>
    <row r="1135" spans="14:16" s="94" customFormat="1">
      <c r="N1135" s="112"/>
      <c r="O1135" s="112"/>
      <c r="P1135" s="112"/>
    </row>
    <row r="1136" spans="14:16" s="94" customFormat="1">
      <c r="N1136" s="112"/>
      <c r="O1136" s="112"/>
      <c r="P1136" s="112"/>
    </row>
    <row r="1137" spans="14:16" s="94" customFormat="1">
      <c r="N1137" s="112"/>
      <c r="O1137" s="112"/>
      <c r="P1137" s="112"/>
    </row>
    <row r="1138" spans="14:16" s="94" customFormat="1">
      <c r="N1138" s="112"/>
      <c r="O1138" s="112"/>
      <c r="P1138" s="112"/>
    </row>
    <row r="1139" spans="14:16" s="94" customFormat="1">
      <c r="N1139" s="112"/>
      <c r="O1139" s="112"/>
      <c r="P1139" s="112"/>
    </row>
    <row r="1140" spans="14:16" s="94" customFormat="1">
      <c r="N1140" s="112"/>
      <c r="O1140" s="112"/>
      <c r="P1140" s="112"/>
    </row>
    <row r="1141" spans="14:16" s="94" customFormat="1">
      <c r="N1141" s="112"/>
      <c r="O1141" s="112"/>
      <c r="P1141" s="112"/>
    </row>
    <row r="1142" spans="14:16" s="94" customFormat="1">
      <c r="N1142" s="112"/>
      <c r="O1142" s="112"/>
      <c r="P1142" s="112"/>
    </row>
    <row r="1143" spans="14:16" s="94" customFormat="1">
      <c r="N1143" s="112"/>
      <c r="O1143" s="112"/>
      <c r="P1143" s="112"/>
    </row>
    <row r="1144" spans="14:16" s="94" customFormat="1">
      <c r="N1144" s="112"/>
      <c r="O1144" s="112"/>
      <c r="P1144" s="112"/>
    </row>
    <row r="1145" spans="14:16" s="94" customFormat="1">
      <c r="N1145" s="112"/>
      <c r="O1145" s="112"/>
      <c r="P1145" s="112"/>
    </row>
    <row r="1146" spans="14:16" s="94" customFormat="1">
      <c r="N1146" s="112"/>
      <c r="O1146" s="112"/>
      <c r="P1146" s="112"/>
    </row>
    <row r="1147" spans="14:16" s="94" customFormat="1">
      <c r="N1147" s="112"/>
      <c r="O1147" s="112"/>
      <c r="P1147" s="112"/>
    </row>
    <row r="1148" spans="14:16" s="94" customFormat="1">
      <c r="N1148" s="112"/>
      <c r="O1148" s="112"/>
      <c r="P1148" s="112"/>
    </row>
    <row r="1149" spans="14:16" s="94" customFormat="1">
      <c r="N1149" s="112"/>
      <c r="O1149" s="112"/>
      <c r="P1149" s="112"/>
    </row>
    <row r="1150" spans="14:16" s="94" customFormat="1">
      <c r="N1150" s="112"/>
      <c r="O1150" s="112"/>
      <c r="P1150" s="112"/>
    </row>
    <row r="1151" spans="14:16" s="94" customFormat="1">
      <c r="N1151" s="112"/>
      <c r="O1151" s="112"/>
      <c r="P1151" s="112"/>
    </row>
    <row r="1152" spans="14:16" s="94" customFormat="1">
      <c r="N1152" s="112"/>
      <c r="O1152" s="112"/>
      <c r="P1152" s="112"/>
    </row>
    <row r="1153" spans="14:16" s="94" customFormat="1">
      <c r="N1153" s="112"/>
      <c r="O1153" s="112"/>
      <c r="P1153" s="112"/>
    </row>
    <row r="1154" spans="14:16" s="94" customFormat="1">
      <c r="N1154" s="112"/>
      <c r="O1154" s="112"/>
      <c r="P1154" s="112"/>
    </row>
    <row r="1155" spans="14:16" s="94" customFormat="1">
      <c r="N1155" s="112"/>
      <c r="O1155" s="112"/>
      <c r="P1155" s="112"/>
    </row>
    <row r="1156" spans="14:16" s="94" customFormat="1">
      <c r="N1156" s="112"/>
      <c r="O1156" s="112"/>
      <c r="P1156" s="112"/>
    </row>
    <row r="1157" spans="14:16" s="94" customFormat="1">
      <c r="N1157" s="112"/>
      <c r="O1157" s="112"/>
      <c r="P1157" s="112"/>
    </row>
    <row r="1158" spans="14:16" s="94" customFormat="1">
      <c r="N1158" s="112"/>
      <c r="O1158" s="112"/>
      <c r="P1158" s="112"/>
    </row>
    <row r="1159" spans="14:16" s="94" customFormat="1">
      <c r="N1159" s="112"/>
      <c r="O1159" s="112"/>
      <c r="P1159" s="112"/>
    </row>
    <row r="1160" spans="14:16" s="94" customFormat="1">
      <c r="N1160" s="112"/>
      <c r="O1160" s="112"/>
      <c r="P1160" s="112"/>
    </row>
    <row r="1161" spans="14:16" s="94" customFormat="1">
      <c r="N1161" s="112"/>
      <c r="O1161" s="112"/>
      <c r="P1161" s="112"/>
    </row>
    <row r="1162" spans="14:16" s="94" customFormat="1">
      <c r="N1162" s="112"/>
      <c r="O1162" s="112"/>
      <c r="P1162" s="112"/>
    </row>
    <row r="1163" spans="14:16" s="94" customFormat="1">
      <c r="N1163" s="112"/>
      <c r="O1163" s="112"/>
      <c r="P1163" s="112"/>
    </row>
    <row r="1164" spans="14:16" s="94" customFormat="1">
      <c r="N1164" s="112"/>
      <c r="O1164" s="112"/>
      <c r="P1164" s="112"/>
    </row>
    <row r="1165" spans="14:16" s="94" customFormat="1">
      <c r="N1165" s="112"/>
      <c r="O1165" s="112"/>
      <c r="P1165" s="112"/>
    </row>
    <row r="1166" spans="14:16" s="94" customFormat="1">
      <c r="N1166" s="112"/>
      <c r="O1166" s="112"/>
      <c r="P1166" s="112"/>
    </row>
    <row r="1167" spans="14:16" s="94" customFormat="1">
      <c r="N1167" s="112"/>
      <c r="O1167" s="112"/>
      <c r="P1167" s="112"/>
    </row>
    <row r="1168" spans="14:16" s="94" customFormat="1">
      <c r="N1168" s="112"/>
      <c r="O1168" s="112"/>
      <c r="P1168" s="112"/>
    </row>
    <row r="1169" spans="14:16" s="94" customFormat="1">
      <c r="N1169" s="112"/>
      <c r="O1169" s="112"/>
      <c r="P1169" s="112"/>
    </row>
    <row r="1170" spans="14:16" s="94" customFormat="1">
      <c r="N1170" s="112"/>
      <c r="O1170" s="112"/>
      <c r="P1170" s="112"/>
    </row>
    <row r="1171" spans="14:16" s="94" customFormat="1">
      <c r="N1171" s="112"/>
      <c r="O1171" s="112"/>
      <c r="P1171" s="112"/>
    </row>
    <row r="1172" spans="14:16" s="94" customFormat="1">
      <c r="N1172" s="112"/>
      <c r="O1172" s="112"/>
      <c r="P1172" s="112"/>
    </row>
    <row r="1173" spans="14:16" s="94" customFormat="1">
      <c r="N1173" s="112"/>
      <c r="O1173" s="112"/>
      <c r="P1173" s="112"/>
    </row>
    <row r="1174" spans="14:16" s="94" customFormat="1">
      <c r="N1174" s="112"/>
      <c r="O1174" s="112"/>
      <c r="P1174" s="112"/>
    </row>
    <row r="1175" spans="14:16" s="94" customFormat="1">
      <c r="N1175" s="112"/>
      <c r="O1175" s="112"/>
      <c r="P1175" s="112"/>
    </row>
    <row r="1176" spans="14:16" s="94" customFormat="1">
      <c r="N1176" s="112"/>
      <c r="O1176" s="112"/>
      <c r="P1176" s="112"/>
    </row>
    <row r="1177" spans="14:16" s="94" customFormat="1">
      <c r="N1177" s="112"/>
      <c r="O1177" s="112"/>
      <c r="P1177" s="112"/>
    </row>
    <row r="1178" spans="14:16" s="94" customFormat="1">
      <c r="N1178" s="112"/>
      <c r="O1178" s="112"/>
      <c r="P1178" s="112"/>
    </row>
    <row r="1179" spans="14:16" s="94" customFormat="1">
      <c r="N1179" s="112"/>
      <c r="O1179" s="112"/>
      <c r="P1179" s="112"/>
    </row>
    <row r="1180" spans="14:16" s="94" customFormat="1">
      <c r="N1180" s="112"/>
      <c r="O1180" s="112"/>
      <c r="P1180" s="112"/>
    </row>
    <row r="1181" spans="14:16" s="94" customFormat="1">
      <c r="N1181" s="112"/>
      <c r="O1181" s="112"/>
      <c r="P1181" s="112"/>
    </row>
    <row r="1182" spans="14:16" s="94" customFormat="1">
      <c r="N1182" s="112"/>
      <c r="O1182" s="112"/>
      <c r="P1182" s="112"/>
    </row>
    <row r="1183" spans="14:16" s="94" customFormat="1">
      <c r="N1183" s="112"/>
      <c r="O1183" s="112"/>
      <c r="P1183" s="112"/>
    </row>
    <row r="1184" spans="14:16" s="94" customFormat="1">
      <c r="N1184" s="112"/>
      <c r="O1184" s="112"/>
      <c r="P1184" s="112"/>
    </row>
    <row r="1185" spans="14:16" s="94" customFormat="1">
      <c r="N1185" s="112"/>
      <c r="O1185" s="112"/>
      <c r="P1185" s="112"/>
    </row>
    <row r="1186" spans="14:16" s="94" customFormat="1">
      <c r="N1186" s="112"/>
      <c r="O1186" s="112"/>
      <c r="P1186" s="112"/>
    </row>
    <row r="1187" spans="14:16" s="94" customFormat="1">
      <c r="N1187" s="112"/>
      <c r="O1187" s="112"/>
      <c r="P1187" s="112"/>
    </row>
    <row r="1188" spans="14:16" s="94" customFormat="1">
      <c r="N1188" s="112"/>
      <c r="O1188" s="112"/>
      <c r="P1188" s="112"/>
    </row>
    <row r="1189" spans="14:16" s="94" customFormat="1">
      <c r="N1189" s="112"/>
      <c r="O1189" s="112"/>
      <c r="P1189" s="112"/>
    </row>
    <row r="1190" spans="14:16" s="94" customFormat="1">
      <c r="N1190" s="112"/>
      <c r="O1190" s="112"/>
      <c r="P1190" s="112"/>
    </row>
    <row r="1191" spans="14:16" s="94" customFormat="1">
      <c r="N1191" s="112"/>
      <c r="O1191" s="112"/>
      <c r="P1191" s="112"/>
    </row>
    <row r="1192" spans="14:16" s="94" customFormat="1">
      <c r="N1192" s="112"/>
      <c r="O1192" s="112"/>
      <c r="P1192" s="112"/>
    </row>
    <row r="1193" spans="14:16" s="94" customFormat="1">
      <c r="N1193" s="112"/>
      <c r="O1193" s="112"/>
      <c r="P1193" s="112"/>
    </row>
    <row r="1194" spans="14:16" s="94" customFormat="1">
      <c r="N1194" s="112"/>
      <c r="O1194" s="112"/>
      <c r="P1194" s="112"/>
    </row>
    <row r="1195" spans="14:16" s="94" customFormat="1">
      <c r="N1195" s="112"/>
      <c r="O1195" s="112"/>
      <c r="P1195" s="112"/>
    </row>
    <row r="1196" spans="14:16" s="94" customFormat="1">
      <c r="N1196" s="112"/>
      <c r="O1196" s="112"/>
      <c r="P1196" s="112"/>
    </row>
    <row r="1197" spans="14:16" s="94" customFormat="1">
      <c r="N1197" s="112"/>
      <c r="O1197" s="112"/>
      <c r="P1197" s="112"/>
    </row>
    <row r="1198" spans="14:16" s="94" customFormat="1">
      <c r="N1198" s="112"/>
      <c r="O1198" s="112"/>
      <c r="P1198" s="112"/>
    </row>
    <row r="1199" spans="14:16" s="94" customFormat="1">
      <c r="N1199" s="112"/>
      <c r="O1199" s="112"/>
      <c r="P1199" s="112"/>
    </row>
    <row r="1200" spans="14:16" s="94" customFormat="1">
      <c r="N1200" s="112"/>
      <c r="O1200" s="112"/>
      <c r="P1200" s="112"/>
    </row>
    <row r="1201" spans="14:16" s="94" customFormat="1">
      <c r="N1201" s="112"/>
      <c r="O1201" s="112"/>
      <c r="P1201" s="112"/>
    </row>
    <row r="1202" spans="14:16" s="94" customFormat="1">
      <c r="N1202" s="112"/>
      <c r="O1202" s="112"/>
      <c r="P1202" s="112"/>
    </row>
    <row r="1203" spans="14:16" s="94" customFormat="1">
      <c r="N1203" s="112"/>
      <c r="O1203" s="112"/>
      <c r="P1203" s="112"/>
    </row>
    <row r="1204" spans="14:16" s="94" customFormat="1">
      <c r="N1204" s="112"/>
      <c r="O1204" s="112"/>
      <c r="P1204" s="112"/>
    </row>
    <row r="1205" spans="14:16" s="94" customFormat="1">
      <c r="N1205" s="112"/>
      <c r="O1205" s="112"/>
      <c r="P1205" s="112"/>
    </row>
    <row r="1206" spans="14:16" s="94" customFormat="1">
      <c r="N1206" s="112"/>
      <c r="O1206" s="112"/>
      <c r="P1206" s="112"/>
    </row>
    <row r="1207" spans="14:16" s="94" customFormat="1">
      <c r="N1207" s="112"/>
      <c r="O1207" s="112"/>
      <c r="P1207" s="112"/>
    </row>
    <row r="1208" spans="14:16" s="94" customFormat="1">
      <c r="N1208" s="112"/>
      <c r="O1208" s="112"/>
      <c r="P1208" s="112"/>
    </row>
    <row r="1209" spans="14:16" s="94" customFormat="1">
      <c r="N1209" s="112"/>
      <c r="O1209" s="112"/>
      <c r="P1209" s="112"/>
    </row>
    <row r="1210" spans="14:16" s="94" customFormat="1">
      <c r="N1210" s="112"/>
      <c r="O1210" s="112"/>
      <c r="P1210" s="112"/>
    </row>
    <row r="1211" spans="14:16" s="94" customFormat="1">
      <c r="N1211" s="112"/>
      <c r="O1211" s="112"/>
      <c r="P1211" s="112"/>
    </row>
    <row r="1212" spans="14:16" s="94" customFormat="1">
      <c r="N1212" s="112"/>
      <c r="O1212" s="112"/>
      <c r="P1212" s="112"/>
    </row>
    <row r="1213" spans="14:16" s="94" customFormat="1">
      <c r="N1213" s="112"/>
      <c r="O1213" s="112"/>
      <c r="P1213" s="112"/>
    </row>
    <row r="1214" spans="14:16" s="94" customFormat="1">
      <c r="N1214" s="112"/>
      <c r="O1214" s="112"/>
      <c r="P1214" s="112"/>
    </row>
    <row r="1215" spans="14:16" s="94" customFormat="1">
      <c r="N1215" s="112"/>
      <c r="O1215" s="112"/>
      <c r="P1215" s="112"/>
    </row>
    <row r="1216" spans="14:16" s="94" customFormat="1">
      <c r="N1216" s="112"/>
      <c r="O1216" s="112"/>
      <c r="P1216" s="112"/>
    </row>
    <row r="1217" spans="14:16" s="94" customFormat="1">
      <c r="N1217" s="112"/>
      <c r="O1217" s="112"/>
      <c r="P1217" s="112"/>
    </row>
    <row r="1218" spans="14:16" s="94" customFormat="1">
      <c r="N1218" s="112"/>
      <c r="O1218" s="112"/>
      <c r="P1218" s="112"/>
    </row>
    <row r="1219" spans="14:16" s="94" customFormat="1">
      <c r="N1219" s="112"/>
      <c r="O1219" s="112"/>
      <c r="P1219" s="112"/>
    </row>
    <row r="1220" spans="14:16" s="94" customFormat="1">
      <c r="N1220" s="112"/>
      <c r="O1220" s="112"/>
      <c r="P1220" s="112"/>
    </row>
    <row r="1221" spans="14:16" s="94" customFormat="1">
      <c r="N1221" s="112"/>
      <c r="O1221" s="112"/>
      <c r="P1221" s="112"/>
    </row>
    <row r="1222" spans="14:16" s="94" customFormat="1">
      <c r="N1222" s="112"/>
      <c r="O1222" s="112"/>
      <c r="P1222" s="112"/>
    </row>
    <row r="1223" spans="14:16" s="94" customFormat="1">
      <c r="N1223" s="112"/>
      <c r="O1223" s="112"/>
      <c r="P1223" s="112"/>
    </row>
    <row r="1224" spans="14:16" s="94" customFormat="1">
      <c r="N1224" s="112"/>
      <c r="O1224" s="112"/>
      <c r="P1224" s="112"/>
    </row>
    <row r="1225" spans="14:16" s="94" customFormat="1">
      <c r="N1225" s="112"/>
      <c r="O1225" s="112"/>
      <c r="P1225" s="112"/>
    </row>
    <row r="1226" spans="14:16" s="94" customFormat="1">
      <c r="N1226" s="112"/>
      <c r="O1226" s="112"/>
      <c r="P1226" s="112"/>
    </row>
    <row r="1227" spans="14:16" s="94" customFormat="1">
      <c r="N1227" s="112"/>
      <c r="O1227" s="112"/>
      <c r="P1227" s="112"/>
    </row>
    <row r="1228" spans="14:16" s="94" customFormat="1">
      <c r="N1228" s="112"/>
      <c r="O1228" s="112"/>
      <c r="P1228" s="112"/>
    </row>
    <row r="1229" spans="14:16" s="94" customFormat="1">
      <c r="N1229" s="112"/>
      <c r="O1229" s="112"/>
      <c r="P1229" s="112"/>
    </row>
    <row r="1230" spans="14:16" s="94" customFormat="1">
      <c r="N1230" s="112"/>
      <c r="O1230" s="112"/>
      <c r="P1230" s="112"/>
    </row>
    <row r="1231" spans="14:16" s="94" customFormat="1">
      <c r="N1231" s="112"/>
      <c r="O1231" s="112"/>
      <c r="P1231" s="112"/>
    </row>
    <row r="1232" spans="14:16" s="94" customFormat="1">
      <c r="N1232" s="112"/>
      <c r="O1232" s="112"/>
      <c r="P1232" s="112"/>
    </row>
    <row r="1233" spans="14:16" s="94" customFormat="1">
      <c r="N1233" s="112"/>
      <c r="O1233" s="112"/>
      <c r="P1233" s="112"/>
    </row>
    <row r="1234" spans="14:16" s="94" customFormat="1">
      <c r="N1234" s="112"/>
      <c r="O1234" s="112"/>
      <c r="P1234" s="112"/>
    </row>
    <row r="1235" spans="14:16" s="94" customFormat="1">
      <c r="N1235" s="112"/>
      <c r="O1235" s="112"/>
      <c r="P1235" s="112"/>
    </row>
    <row r="1236" spans="14:16" s="94" customFormat="1">
      <c r="N1236" s="112"/>
      <c r="O1236" s="112"/>
      <c r="P1236" s="112"/>
    </row>
    <row r="1237" spans="14:16" s="94" customFormat="1">
      <c r="N1237" s="112"/>
      <c r="O1237" s="112"/>
      <c r="P1237" s="112"/>
    </row>
    <row r="1238" spans="14:16" s="94" customFormat="1">
      <c r="N1238" s="112"/>
      <c r="O1238" s="112"/>
      <c r="P1238" s="112"/>
    </row>
    <row r="1239" spans="14:16" s="94" customFormat="1">
      <c r="N1239" s="112"/>
      <c r="O1239" s="112"/>
      <c r="P1239" s="112"/>
    </row>
    <row r="1240" spans="14:16" s="94" customFormat="1">
      <c r="N1240" s="112"/>
      <c r="O1240" s="112"/>
      <c r="P1240" s="112"/>
    </row>
    <row r="1241" spans="14:16" s="94" customFormat="1">
      <c r="N1241" s="112"/>
      <c r="O1241" s="112"/>
      <c r="P1241" s="112"/>
    </row>
    <row r="1242" spans="14:16" s="94" customFormat="1">
      <c r="N1242" s="112"/>
      <c r="O1242" s="112"/>
      <c r="P1242" s="112"/>
    </row>
    <row r="1243" spans="14:16" s="94" customFormat="1">
      <c r="N1243" s="112"/>
      <c r="O1243" s="112"/>
      <c r="P1243" s="112"/>
    </row>
    <row r="1244" spans="14:16" s="94" customFormat="1">
      <c r="N1244" s="112"/>
      <c r="O1244" s="112"/>
      <c r="P1244" s="112"/>
    </row>
    <row r="1245" spans="14:16" s="94" customFormat="1">
      <c r="N1245" s="112"/>
      <c r="O1245" s="112"/>
      <c r="P1245" s="112"/>
    </row>
    <row r="1246" spans="14:16" s="94" customFormat="1">
      <c r="N1246" s="112"/>
      <c r="O1246" s="112"/>
      <c r="P1246" s="112"/>
    </row>
    <row r="1247" spans="14:16" s="94" customFormat="1">
      <c r="N1247" s="112"/>
      <c r="O1247" s="112"/>
      <c r="P1247" s="112"/>
    </row>
    <row r="1248" spans="14:16" s="94" customFormat="1">
      <c r="N1248" s="112"/>
      <c r="O1248" s="112"/>
      <c r="P1248" s="112"/>
    </row>
    <row r="1249" spans="14:16" s="94" customFormat="1">
      <c r="N1249" s="112"/>
      <c r="O1249" s="112"/>
      <c r="P1249" s="112"/>
    </row>
    <row r="1250" spans="14:16" s="94" customFormat="1">
      <c r="N1250" s="112"/>
      <c r="O1250" s="112"/>
      <c r="P1250" s="112"/>
    </row>
    <row r="1251" spans="14:16" s="94" customFormat="1">
      <c r="N1251" s="112"/>
      <c r="O1251" s="112"/>
      <c r="P1251" s="112"/>
    </row>
    <row r="1252" spans="14:16" s="94" customFormat="1">
      <c r="N1252" s="112"/>
      <c r="O1252" s="112"/>
      <c r="P1252" s="112"/>
    </row>
    <row r="1253" spans="14:16" s="94" customFormat="1">
      <c r="N1253" s="112"/>
      <c r="O1253" s="112"/>
      <c r="P1253" s="112"/>
    </row>
    <row r="1254" spans="14:16" s="94" customFormat="1">
      <c r="N1254" s="112"/>
      <c r="O1254" s="112"/>
      <c r="P1254" s="112"/>
    </row>
    <row r="1255" spans="14:16" s="94" customFormat="1">
      <c r="N1255" s="112"/>
      <c r="O1255" s="112"/>
      <c r="P1255" s="112"/>
    </row>
    <row r="1256" spans="14:16" s="94" customFormat="1">
      <c r="N1256" s="112"/>
      <c r="O1256" s="112"/>
      <c r="P1256" s="112"/>
    </row>
    <row r="1257" spans="14:16" s="94" customFormat="1">
      <c r="N1257" s="112"/>
      <c r="O1257" s="112"/>
      <c r="P1257" s="112"/>
    </row>
    <row r="1258" spans="14:16" s="94" customFormat="1">
      <c r="N1258" s="112"/>
      <c r="O1258" s="112"/>
      <c r="P1258" s="112"/>
    </row>
    <row r="1259" spans="14:16" s="94" customFormat="1">
      <c r="N1259" s="112"/>
      <c r="O1259" s="112"/>
      <c r="P1259" s="112"/>
    </row>
    <row r="1260" spans="14:16" s="94" customFormat="1">
      <c r="N1260" s="112"/>
      <c r="O1260" s="112"/>
      <c r="P1260" s="112"/>
    </row>
    <row r="1261" spans="14:16" s="94" customFormat="1">
      <c r="N1261" s="112"/>
      <c r="O1261" s="112"/>
      <c r="P1261" s="112"/>
    </row>
    <row r="1262" spans="14:16" s="94" customFormat="1">
      <c r="N1262" s="112"/>
      <c r="O1262" s="112"/>
      <c r="P1262" s="112"/>
    </row>
    <row r="1263" spans="14:16" s="94" customFormat="1">
      <c r="N1263" s="112"/>
      <c r="O1263" s="112"/>
      <c r="P1263" s="112"/>
    </row>
    <row r="1264" spans="14:16" s="94" customFormat="1">
      <c r="N1264" s="112"/>
      <c r="O1264" s="112"/>
      <c r="P1264" s="112"/>
    </row>
    <row r="1265" spans="14:16" s="94" customFormat="1">
      <c r="N1265" s="112"/>
      <c r="O1265" s="112"/>
      <c r="P1265" s="112"/>
    </row>
    <row r="1266" spans="14:16" s="94" customFormat="1">
      <c r="N1266" s="112"/>
      <c r="O1266" s="112"/>
      <c r="P1266" s="112"/>
    </row>
    <row r="1267" spans="14:16" s="94" customFormat="1">
      <c r="N1267" s="112"/>
      <c r="O1267" s="112"/>
      <c r="P1267" s="112"/>
    </row>
    <row r="1268" spans="14:16" s="94" customFormat="1">
      <c r="N1268" s="112"/>
      <c r="O1268" s="112"/>
      <c r="P1268" s="112"/>
    </row>
    <row r="1269" spans="14:16" s="94" customFormat="1">
      <c r="N1269" s="112"/>
      <c r="O1269" s="112"/>
      <c r="P1269" s="112"/>
    </row>
    <row r="1270" spans="14:16" s="94" customFormat="1">
      <c r="N1270" s="112"/>
      <c r="O1270" s="112"/>
      <c r="P1270" s="112"/>
    </row>
    <row r="1271" spans="14:16" s="94" customFormat="1">
      <c r="N1271" s="112"/>
      <c r="O1271" s="112"/>
      <c r="P1271" s="112"/>
    </row>
    <row r="1272" spans="14:16" s="94" customFormat="1">
      <c r="N1272" s="112"/>
      <c r="O1272" s="112"/>
      <c r="P1272" s="112"/>
    </row>
    <row r="1273" spans="14:16" s="94" customFormat="1">
      <c r="N1273" s="112"/>
      <c r="O1273" s="112"/>
      <c r="P1273" s="112"/>
    </row>
    <row r="1274" spans="14:16" s="94" customFormat="1">
      <c r="N1274" s="112"/>
      <c r="O1274" s="112"/>
      <c r="P1274" s="112"/>
    </row>
    <row r="1275" spans="14:16" s="94" customFormat="1">
      <c r="N1275" s="112"/>
      <c r="O1275" s="112"/>
      <c r="P1275" s="112"/>
    </row>
    <row r="1276" spans="14:16" s="94" customFormat="1">
      <c r="N1276" s="112"/>
      <c r="O1276" s="112"/>
      <c r="P1276" s="112"/>
    </row>
    <row r="1277" spans="14:16" s="94" customFormat="1">
      <c r="N1277" s="112"/>
      <c r="O1277" s="112"/>
      <c r="P1277" s="112"/>
    </row>
    <row r="1278" spans="14:16" s="94" customFormat="1">
      <c r="N1278" s="112"/>
      <c r="O1278" s="112"/>
      <c r="P1278" s="112"/>
    </row>
    <row r="1279" spans="14:16" s="94" customFormat="1">
      <c r="N1279" s="112"/>
      <c r="O1279" s="112"/>
      <c r="P1279" s="112"/>
    </row>
    <row r="1280" spans="14:16" s="94" customFormat="1">
      <c r="N1280" s="112"/>
      <c r="O1280" s="112"/>
      <c r="P1280" s="112"/>
    </row>
    <row r="1281" spans="14:16" s="94" customFormat="1">
      <c r="N1281" s="112"/>
      <c r="O1281" s="112"/>
      <c r="P1281" s="112"/>
    </row>
    <row r="1282" spans="14:16" s="94" customFormat="1">
      <c r="N1282" s="112"/>
      <c r="O1282" s="112"/>
      <c r="P1282" s="112"/>
    </row>
    <row r="1283" spans="14:16" s="94" customFormat="1">
      <c r="N1283" s="112"/>
      <c r="O1283" s="112"/>
      <c r="P1283" s="112"/>
    </row>
    <row r="1284" spans="14:16" s="94" customFormat="1">
      <c r="N1284" s="112"/>
      <c r="O1284" s="112"/>
      <c r="P1284" s="112"/>
    </row>
    <row r="1285" spans="14:16" s="94" customFormat="1">
      <c r="N1285" s="112"/>
      <c r="O1285" s="112"/>
      <c r="P1285" s="112"/>
    </row>
    <row r="1286" spans="14:16" s="94" customFormat="1">
      <c r="N1286" s="112"/>
      <c r="O1286" s="112"/>
      <c r="P1286" s="112"/>
    </row>
    <row r="1287" spans="14:16" s="94" customFormat="1">
      <c r="N1287" s="112"/>
      <c r="O1287" s="112"/>
      <c r="P1287" s="112"/>
    </row>
    <row r="1288" spans="14:16" s="94" customFormat="1">
      <c r="N1288" s="112"/>
      <c r="O1288" s="112"/>
      <c r="P1288" s="112"/>
    </row>
    <row r="1289" spans="14:16" s="94" customFormat="1">
      <c r="N1289" s="112"/>
      <c r="O1289" s="112"/>
      <c r="P1289" s="112"/>
    </row>
    <row r="1290" spans="14:16" s="94" customFormat="1">
      <c r="N1290" s="112"/>
      <c r="O1290" s="112"/>
      <c r="P1290" s="112"/>
    </row>
    <row r="1291" spans="14:16" s="94" customFormat="1">
      <c r="N1291" s="112"/>
      <c r="O1291" s="112"/>
      <c r="P1291" s="112"/>
    </row>
    <row r="1292" spans="14:16" s="94" customFormat="1">
      <c r="N1292" s="112"/>
      <c r="O1292" s="112"/>
      <c r="P1292" s="112"/>
    </row>
    <row r="1293" spans="14:16" s="94" customFormat="1">
      <c r="N1293" s="112"/>
      <c r="O1293" s="112"/>
      <c r="P1293" s="112"/>
    </row>
    <row r="1294" spans="14:16" s="94" customFormat="1">
      <c r="N1294" s="112"/>
      <c r="O1294" s="112"/>
      <c r="P1294" s="112"/>
    </row>
    <row r="1295" spans="14:16" s="94" customFormat="1">
      <c r="N1295" s="112"/>
      <c r="O1295" s="112"/>
      <c r="P1295" s="112"/>
    </row>
    <row r="1296" spans="14:16" s="94" customFormat="1">
      <c r="N1296" s="112"/>
      <c r="O1296" s="112"/>
      <c r="P1296" s="112"/>
    </row>
    <row r="1297" spans="14:16" s="94" customFormat="1">
      <c r="N1297" s="112"/>
      <c r="O1297" s="112"/>
      <c r="P1297" s="112"/>
    </row>
    <row r="1298" spans="14:16" s="94" customFormat="1">
      <c r="N1298" s="112"/>
      <c r="O1298" s="112"/>
      <c r="P1298" s="112"/>
    </row>
    <row r="1299" spans="14:16" s="94" customFormat="1">
      <c r="N1299" s="112"/>
      <c r="O1299" s="112"/>
      <c r="P1299" s="112"/>
    </row>
    <row r="1300" spans="14:16" s="94" customFormat="1">
      <c r="N1300" s="112"/>
      <c r="O1300" s="112"/>
      <c r="P1300" s="112"/>
    </row>
    <row r="1301" spans="14:16" s="94" customFormat="1">
      <c r="N1301" s="112"/>
      <c r="O1301" s="112"/>
      <c r="P1301" s="112"/>
    </row>
    <row r="1302" spans="14:16" s="94" customFormat="1">
      <c r="N1302" s="112"/>
      <c r="O1302" s="112"/>
      <c r="P1302" s="112"/>
    </row>
    <row r="1303" spans="14:16" s="94" customFormat="1">
      <c r="N1303" s="112"/>
      <c r="O1303" s="112"/>
      <c r="P1303" s="112"/>
    </row>
    <row r="1304" spans="14:16" s="94" customFormat="1">
      <c r="N1304" s="112"/>
      <c r="O1304" s="112"/>
      <c r="P1304" s="112"/>
    </row>
    <row r="1305" spans="14:16" s="94" customFormat="1">
      <c r="N1305" s="112"/>
      <c r="O1305" s="112"/>
      <c r="P1305" s="112"/>
    </row>
    <row r="1306" spans="14:16" s="94" customFormat="1">
      <c r="N1306" s="112"/>
      <c r="O1306" s="112"/>
      <c r="P1306" s="112"/>
    </row>
    <row r="1307" spans="14:16" s="94" customFormat="1">
      <c r="N1307" s="112"/>
      <c r="O1307" s="112"/>
      <c r="P1307" s="112"/>
    </row>
    <row r="1308" spans="14:16" s="94" customFormat="1">
      <c r="N1308" s="112"/>
      <c r="O1308" s="112"/>
      <c r="P1308" s="112"/>
    </row>
    <row r="1309" spans="14:16" s="94" customFormat="1">
      <c r="N1309" s="112"/>
      <c r="O1309" s="112"/>
      <c r="P1309" s="112"/>
    </row>
    <row r="1310" spans="14:16" s="94" customFormat="1">
      <c r="N1310" s="112"/>
      <c r="O1310" s="112"/>
      <c r="P1310" s="112"/>
    </row>
    <row r="1311" spans="14:16" s="94" customFormat="1">
      <c r="N1311" s="112"/>
      <c r="O1311" s="112"/>
      <c r="P1311" s="112"/>
    </row>
    <row r="1312" spans="14:16" s="94" customFormat="1">
      <c r="N1312" s="112"/>
      <c r="O1312" s="112"/>
      <c r="P1312" s="112"/>
    </row>
    <row r="1313" spans="14:16" s="94" customFormat="1">
      <c r="N1313" s="112"/>
      <c r="O1313" s="112"/>
      <c r="P1313" s="112"/>
    </row>
    <row r="1314" spans="14:16" s="94" customFormat="1">
      <c r="N1314" s="112"/>
      <c r="O1314" s="112"/>
      <c r="P1314" s="112"/>
    </row>
    <row r="1315" spans="14:16" s="94" customFormat="1">
      <c r="N1315" s="112"/>
      <c r="O1315" s="112"/>
      <c r="P1315" s="112"/>
    </row>
    <row r="1316" spans="14:16" s="94" customFormat="1">
      <c r="N1316" s="112"/>
      <c r="O1316" s="112"/>
      <c r="P1316" s="112"/>
    </row>
    <row r="1317" spans="14:16" s="94" customFormat="1">
      <c r="N1317" s="112"/>
      <c r="O1317" s="112"/>
      <c r="P1317" s="112"/>
    </row>
    <row r="1318" spans="14:16" s="94" customFormat="1">
      <c r="N1318" s="112"/>
      <c r="O1318" s="112"/>
      <c r="P1318" s="112"/>
    </row>
    <row r="1319" spans="14:16" s="94" customFormat="1">
      <c r="N1319" s="112"/>
      <c r="O1319" s="112"/>
      <c r="P1319" s="112"/>
    </row>
    <row r="1320" spans="14:16" s="94" customFormat="1">
      <c r="N1320" s="112"/>
      <c r="O1320" s="112"/>
      <c r="P1320" s="112"/>
    </row>
    <row r="1321" spans="14:16" s="94" customFormat="1">
      <c r="N1321" s="112"/>
      <c r="O1321" s="112"/>
      <c r="P1321" s="112"/>
    </row>
    <row r="1322" spans="14:16" s="94" customFormat="1">
      <c r="N1322" s="112"/>
      <c r="O1322" s="112"/>
      <c r="P1322" s="112"/>
    </row>
    <row r="1323" spans="14:16" s="94" customFormat="1">
      <c r="N1323" s="112"/>
      <c r="O1323" s="112"/>
      <c r="P1323" s="112"/>
    </row>
    <row r="1324" spans="14:16" s="94" customFormat="1">
      <c r="N1324" s="112"/>
      <c r="O1324" s="112"/>
      <c r="P1324" s="112"/>
    </row>
    <row r="1325" spans="14:16" s="94" customFormat="1">
      <c r="N1325" s="112"/>
      <c r="O1325" s="112"/>
      <c r="P1325" s="112"/>
    </row>
    <row r="1326" spans="14:16" s="94" customFormat="1">
      <c r="N1326" s="112"/>
      <c r="O1326" s="112"/>
      <c r="P1326" s="112"/>
    </row>
    <row r="1327" spans="14:16" s="94" customFormat="1">
      <c r="N1327" s="112"/>
      <c r="O1327" s="112"/>
      <c r="P1327" s="112"/>
    </row>
    <row r="1328" spans="14:16" s="94" customFormat="1">
      <c r="N1328" s="112"/>
      <c r="O1328" s="112"/>
      <c r="P1328" s="112"/>
    </row>
    <row r="1329" spans="14:16" s="94" customFormat="1">
      <c r="N1329" s="112"/>
      <c r="O1329" s="112"/>
      <c r="P1329" s="112"/>
    </row>
    <row r="1330" spans="14:16" s="94" customFormat="1">
      <c r="N1330" s="112"/>
      <c r="O1330" s="112"/>
      <c r="P1330" s="112"/>
    </row>
    <row r="1331" spans="14:16" s="94" customFormat="1">
      <c r="N1331" s="112"/>
      <c r="O1331" s="112"/>
      <c r="P1331" s="112"/>
    </row>
    <row r="1332" spans="14:16" s="94" customFormat="1">
      <c r="N1332" s="112"/>
      <c r="O1332" s="112"/>
      <c r="P1332" s="112"/>
    </row>
    <row r="1333" spans="14:16" s="94" customFormat="1">
      <c r="N1333" s="112"/>
      <c r="O1333" s="112"/>
      <c r="P1333" s="112"/>
    </row>
    <row r="1334" spans="14:16" s="94" customFormat="1">
      <c r="N1334" s="112"/>
      <c r="O1334" s="112"/>
      <c r="P1334" s="112"/>
    </row>
    <row r="1335" spans="14:16" s="94" customFormat="1">
      <c r="N1335" s="112"/>
      <c r="O1335" s="112"/>
      <c r="P1335" s="112"/>
    </row>
    <row r="1336" spans="14:16" s="94" customFormat="1">
      <c r="N1336" s="112"/>
      <c r="O1336" s="112"/>
      <c r="P1336" s="112"/>
    </row>
    <row r="1337" spans="14:16" s="94" customFormat="1">
      <c r="N1337" s="112"/>
      <c r="O1337" s="112"/>
      <c r="P1337" s="112"/>
    </row>
    <row r="1338" spans="14:16" s="94" customFormat="1">
      <c r="N1338" s="112"/>
      <c r="O1338" s="112"/>
      <c r="P1338" s="112"/>
    </row>
    <row r="1339" spans="14:16" s="94" customFormat="1">
      <c r="N1339" s="112"/>
      <c r="O1339" s="112"/>
      <c r="P1339" s="112"/>
    </row>
    <row r="1340" spans="14:16" s="94" customFormat="1">
      <c r="N1340" s="112"/>
      <c r="O1340" s="112"/>
      <c r="P1340" s="112"/>
    </row>
    <row r="1341" spans="14:16" s="94" customFormat="1">
      <c r="N1341" s="112"/>
      <c r="O1341" s="112"/>
      <c r="P1341" s="112"/>
    </row>
    <row r="1342" spans="14:16" s="94" customFormat="1">
      <c r="N1342" s="112"/>
      <c r="O1342" s="112"/>
      <c r="P1342" s="112"/>
    </row>
    <row r="1343" spans="14:16" s="94" customFormat="1">
      <c r="N1343" s="112"/>
      <c r="O1343" s="112"/>
      <c r="P1343" s="112"/>
    </row>
    <row r="1344" spans="14:16" s="94" customFormat="1">
      <c r="N1344" s="112"/>
      <c r="O1344" s="112"/>
      <c r="P1344" s="112"/>
    </row>
    <row r="1345" spans="14:16" s="94" customFormat="1">
      <c r="N1345" s="112"/>
      <c r="O1345" s="112"/>
      <c r="P1345" s="112"/>
    </row>
    <row r="1346" spans="14:16" s="94" customFormat="1">
      <c r="N1346" s="112"/>
      <c r="O1346" s="112"/>
      <c r="P1346" s="112"/>
    </row>
    <row r="1347" spans="14:16" s="94" customFormat="1">
      <c r="N1347" s="112"/>
      <c r="O1347" s="112"/>
      <c r="P1347" s="112"/>
    </row>
    <row r="1348" spans="14:16" s="94" customFormat="1">
      <c r="N1348" s="112"/>
      <c r="O1348" s="112"/>
      <c r="P1348" s="112"/>
    </row>
    <row r="1349" spans="14:16" s="94" customFormat="1">
      <c r="N1349" s="112"/>
      <c r="O1349" s="112"/>
      <c r="P1349" s="112"/>
    </row>
    <row r="1350" spans="14:16" s="94" customFormat="1">
      <c r="N1350" s="112"/>
      <c r="O1350" s="112"/>
      <c r="P1350" s="112"/>
    </row>
    <row r="1351" spans="14:16" s="94" customFormat="1">
      <c r="N1351" s="112"/>
      <c r="O1351" s="112"/>
      <c r="P1351" s="112"/>
    </row>
    <row r="1352" spans="14:16" s="94" customFormat="1">
      <c r="N1352" s="112"/>
      <c r="O1352" s="112"/>
      <c r="P1352" s="112"/>
    </row>
    <row r="1353" spans="14:16" s="94" customFormat="1">
      <c r="N1353" s="112"/>
      <c r="O1353" s="112"/>
      <c r="P1353" s="112"/>
    </row>
    <row r="1354" spans="14:16" s="94" customFormat="1">
      <c r="N1354" s="112"/>
      <c r="O1354" s="112"/>
      <c r="P1354" s="112"/>
    </row>
    <row r="1355" spans="14:16" s="94" customFormat="1">
      <c r="N1355" s="112"/>
      <c r="O1355" s="112"/>
      <c r="P1355" s="112"/>
    </row>
    <row r="1356" spans="14:16" s="94" customFormat="1">
      <c r="N1356" s="112"/>
      <c r="O1356" s="112"/>
      <c r="P1356" s="112"/>
    </row>
    <row r="1357" spans="14:16" s="94" customFormat="1">
      <c r="N1357" s="112"/>
      <c r="O1357" s="112"/>
      <c r="P1357" s="112"/>
    </row>
    <row r="1358" spans="14:16" s="94" customFormat="1">
      <c r="N1358" s="112"/>
      <c r="O1358" s="112"/>
      <c r="P1358" s="112"/>
    </row>
    <row r="1359" spans="14:16" s="94" customFormat="1">
      <c r="N1359" s="112"/>
      <c r="O1359" s="112"/>
      <c r="P1359" s="112"/>
    </row>
    <row r="1360" spans="14:16" s="94" customFormat="1">
      <c r="N1360" s="112"/>
      <c r="O1360" s="112"/>
      <c r="P1360" s="112"/>
    </row>
    <row r="1361" spans="14:16" s="94" customFormat="1">
      <c r="N1361" s="112"/>
      <c r="O1361" s="112"/>
      <c r="P1361" s="112"/>
    </row>
    <row r="1362" spans="14:16" s="94" customFormat="1">
      <c r="N1362" s="112"/>
      <c r="O1362" s="112"/>
      <c r="P1362" s="112"/>
    </row>
    <row r="1363" spans="14:16" s="94" customFormat="1">
      <c r="N1363" s="112"/>
      <c r="O1363" s="112"/>
      <c r="P1363" s="112"/>
    </row>
    <row r="1364" spans="14:16" s="94" customFormat="1">
      <c r="N1364" s="112"/>
      <c r="O1364" s="112"/>
      <c r="P1364" s="112"/>
    </row>
    <row r="1365" spans="14:16" s="94" customFormat="1">
      <c r="N1365" s="112"/>
      <c r="O1365" s="112"/>
      <c r="P1365" s="112"/>
    </row>
    <row r="1366" spans="14:16" s="94" customFormat="1">
      <c r="N1366" s="112"/>
      <c r="O1366" s="112"/>
      <c r="P1366" s="112"/>
    </row>
    <row r="1367" spans="14:16" s="94" customFormat="1">
      <c r="N1367" s="112"/>
      <c r="O1367" s="112"/>
      <c r="P1367" s="112"/>
    </row>
    <row r="1368" spans="14:16" s="94" customFormat="1">
      <c r="N1368" s="112"/>
      <c r="O1368" s="112"/>
      <c r="P1368" s="112"/>
    </row>
    <row r="1369" spans="14:16" s="94" customFormat="1">
      <c r="N1369" s="112"/>
      <c r="O1369" s="112"/>
      <c r="P1369" s="112"/>
    </row>
    <row r="1370" spans="14:16" s="94" customFormat="1">
      <c r="N1370" s="112"/>
      <c r="O1370" s="112"/>
      <c r="P1370" s="112"/>
    </row>
    <row r="1371" spans="14:16" s="94" customFormat="1">
      <c r="N1371" s="112"/>
      <c r="O1371" s="112"/>
      <c r="P1371" s="112"/>
    </row>
    <row r="1372" spans="14:16" s="94" customFormat="1">
      <c r="N1372" s="112"/>
      <c r="O1372" s="112"/>
      <c r="P1372" s="112"/>
    </row>
    <row r="1373" spans="14:16" s="94" customFormat="1">
      <c r="N1373" s="112"/>
      <c r="O1373" s="112"/>
      <c r="P1373" s="112"/>
    </row>
    <row r="1374" spans="14:16" s="94" customFormat="1">
      <c r="N1374" s="112"/>
      <c r="O1374" s="112"/>
      <c r="P1374" s="112"/>
    </row>
    <row r="1375" spans="14:16" s="94" customFormat="1">
      <c r="N1375" s="112"/>
      <c r="O1375" s="112"/>
      <c r="P1375" s="112"/>
    </row>
    <row r="1376" spans="14:16" s="94" customFormat="1">
      <c r="N1376" s="112"/>
      <c r="O1376" s="112"/>
      <c r="P1376" s="112"/>
    </row>
    <row r="1377" spans="14:16" s="94" customFormat="1">
      <c r="N1377" s="112"/>
      <c r="O1377" s="112"/>
      <c r="P1377" s="112"/>
    </row>
    <row r="1378" spans="14:16" s="94" customFormat="1">
      <c r="N1378" s="112"/>
      <c r="O1378" s="112"/>
      <c r="P1378" s="112"/>
    </row>
    <row r="1379" spans="14:16" s="94" customFormat="1">
      <c r="N1379" s="112"/>
      <c r="O1379" s="112"/>
      <c r="P1379" s="112"/>
    </row>
    <row r="1380" spans="14:16" s="94" customFormat="1">
      <c r="N1380" s="112"/>
      <c r="O1380" s="112"/>
      <c r="P1380" s="112"/>
    </row>
    <row r="1381" spans="14:16" s="94" customFormat="1">
      <c r="N1381" s="112"/>
      <c r="O1381" s="112"/>
      <c r="P1381" s="112"/>
    </row>
    <row r="1382" spans="14:16" s="94" customFormat="1">
      <c r="N1382" s="112"/>
      <c r="O1382" s="112"/>
      <c r="P1382" s="112"/>
    </row>
    <row r="1383" spans="14:16" s="94" customFormat="1">
      <c r="N1383" s="112"/>
      <c r="O1383" s="112"/>
      <c r="P1383" s="112"/>
    </row>
    <row r="1384" spans="14:16" s="94" customFormat="1">
      <c r="N1384" s="112"/>
      <c r="O1384" s="112"/>
      <c r="P1384" s="112"/>
    </row>
    <row r="1385" spans="14:16" s="94" customFormat="1">
      <c r="N1385" s="112"/>
      <c r="O1385" s="112"/>
      <c r="P1385" s="112"/>
    </row>
    <row r="1386" spans="14:16" s="94" customFormat="1">
      <c r="N1386" s="112"/>
      <c r="O1386" s="112"/>
      <c r="P1386" s="112"/>
    </row>
    <row r="1387" spans="14:16" s="94" customFormat="1">
      <c r="N1387" s="112"/>
      <c r="O1387" s="112"/>
      <c r="P1387" s="112"/>
    </row>
    <row r="1388" spans="14:16" s="94" customFormat="1">
      <c r="N1388" s="112"/>
      <c r="O1388" s="112"/>
      <c r="P1388" s="112"/>
    </row>
    <row r="1389" spans="14:16" s="94" customFormat="1">
      <c r="N1389" s="112"/>
      <c r="O1389" s="112"/>
      <c r="P1389" s="112"/>
    </row>
    <row r="1390" spans="14:16" s="94" customFormat="1">
      <c r="N1390" s="112"/>
      <c r="O1390" s="112"/>
      <c r="P1390" s="112"/>
    </row>
    <row r="1391" spans="14:16" s="94" customFormat="1">
      <c r="N1391" s="112"/>
      <c r="O1391" s="112"/>
      <c r="P1391" s="112"/>
    </row>
    <row r="1392" spans="14:16" s="94" customFormat="1">
      <c r="N1392" s="112"/>
      <c r="O1392" s="112"/>
      <c r="P1392" s="112"/>
    </row>
    <row r="1393" spans="14:16" s="94" customFormat="1">
      <c r="N1393" s="112"/>
      <c r="O1393" s="112"/>
      <c r="P1393" s="112"/>
    </row>
    <row r="1394" spans="14:16" s="94" customFormat="1">
      <c r="N1394" s="112"/>
      <c r="O1394" s="112"/>
      <c r="P1394" s="112"/>
    </row>
    <row r="1395" spans="14:16" s="94" customFormat="1">
      <c r="N1395" s="112"/>
      <c r="O1395" s="112"/>
      <c r="P1395" s="112"/>
    </row>
    <row r="1396" spans="14:16" s="94" customFormat="1">
      <c r="N1396" s="112"/>
      <c r="O1396" s="112"/>
      <c r="P1396" s="112"/>
    </row>
    <row r="1397" spans="14:16" s="94" customFormat="1">
      <c r="N1397" s="112"/>
      <c r="O1397" s="112"/>
      <c r="P1397" s="112"/>
    </row>
    <row r="1398" spans="14:16" s="94" customFormat="1">
      <c r="N1398" s="112"/>
      <c r="O1398" s="112"/>
      <c r="P1398" s="112"/>
    </row>
    <row r="1399" spans="14:16" s="94" customFormat="1">
      <c r="N1399" s="112"/>
      <c r="O1399" s="112"/>
      <c r="P1399" s="112"/>
    </row>
    <row r="1400" spans="14:16" s="94" customFormat="1">
      <c r="N1400" s="112"/>
      <c r="O1400" s="112"/>
      <c r="P1400" s="112"/>
    </row>
    <row r="1401" spans="14:16" s="94" customFormat="1">
      <c r="N1401" s="112"/>
      <c r="O1401" s="112"/>
      <c r="P1401" s="112"/>
    </row>
    <row r="1402" spans="14:16" s="94" customFormat="1">
      <c r="N1402" s="112"/>
      <c r="O1402" s="112"/>
      <c r="P1402" s="112"/>
    </row>
    <row r="1403" spans="14:16" s="94" customFormat="1">
      <c r="N1403" s="112"/>
      <c r="O1403" s="112"/>
      <c r="P1403" s="112"/>
    </row>
    <row r="1404" spans="14:16" s="94" customFormat="1">
      <c r="N1404" s="112"/>
      <c r="O1404" s="112"/>
      <c r="P1404" s="112"/>
    </row>
    <row r="1405" spans="14:16" s="94" customFormat="1">
      <c r="N1405" s="112"/>
      <c r="O1405" s="112"/>
      <c r="P1405" s="112"/>
    </row>
    <row r="1406" spans="14:16" s="94" customFormat="1">
      <c r="N1406" s="112"/>
      <c r="O1406" s="112"/>
      <c r="P1406" s="112"/>
    </row>
    <row r="1407" spans="14:16" s="94" customFormat="1">
      <c r="N1407" s="112"/>
      <c r="O1407" s="112"/>
      <c r="P1407" s="112"/>
    </row>
    <row r="1408" spans="14:16" s="94" customFormat="1">
      <c r="N1408" s="112"/>
      <c r="O1408" s="112"/>
      <c r="P1408" s="112"/>
    </row>
    <row r="1409" spans="14:16" s="94" customFormat="1">
      <c r="N1409" s="112"/>
      <c r="O1409" s="112"/>
      <c r="P1409" s="112"/>
    </row>
    <row r="1410" spans="14:16" s="94" customFormat="1">
      <c r="N1410" s="112"/>
      <c r="O1410" s="112"/>
      <c r="P1410" s="112"/>
    </row>
    <row r="1411" spans="14:16" s="94" customFormat="1">
      <c r="N1411" s="112"/>
      <c r="O1411" s="112"/>
      <c r="P1411" s="112"/>
    </row>
    <row r="1412" spans="14:16" s="94" customFormat="1">
      <c r="N1412" s="112"/>
      <c r="O1412" s="112"/>
      <c r="P1412" s="112"/>
    </row>
    <row r="1413" spans="14:16" s="94" customFormat="1">
      <c r="N1413" s="112"/>
      <c r="O1413" s="112"/>
      <c r="P1413" s="112"/>
    </row>
    <row r="1414" spans="14:16" s="94" customFormat="1">
      <c r="N1414" s="112"/>
      <c r="O1414" s="112"/>
      <c r="P1414" s="112"/>
    </row>
    <row r="1415" spans="14:16" s="94" customFormat="1">
      <c r="N1415" s="112"/>
      <c r="O1415" s="112"/>
      <c r="P1415" s="112"/>
    </row>
    <row r="1416" spans="14:16" s="94" customFormat="1">
      <c r="N1416" s="112"/>
      <c r="O1416" s="112"/>
      <c r="P1416" s="112"/>
    </row>
    <row r="1417" spans="14:16" s="94" customFormat="1">
      <c r="N1417" s="112"/>
      <c r="O1417" s="112"/>
      <c r="P1417" s="112"/>
    </row>
    <row r="1418" spans="14:16" s="94" customFormat="1">
      <c r="N1418" s="112"/>
      <c r="O1418" s="112"/>
      <c r="P1418" s="112"/>
    </row>
    <row r="1419" spans="14:16" s="94" customFormat="1">
      <c r="N1419" s="112"/>
      <c r="O1419" s="112"/>
      <c r="P1419" s="112"/>
    </row>
    <row r="1420" spans="14:16" s="94" customFormat="1">
      <c r="N1420" s="112"/>
      <c r="O1420" s="112"/>
      <c r="P1420" s="112"/>
    </row>
    <row r="1421" spans="14:16" s="94" customFormat="1">
      <c r="N1421" s="112"/>
      <c r="O1421" s="112"/>
      <c r="P1421" s="112"/>
    </row>
    <row r="1422" spans="14:16" s="94" customFormat="1">
      <c r="N1422" s="112"/>
      <c r="O1422" s="112"/>
      <c r="P1422" s="112"/>
    </row>
    <row r="1423" spans="14:16" s="94" customFormat="1">
      <c r="N1423" s="112"/>
      <c r="O1423" s="112"/>
      <c r="P1423" s="112"/>
    </row>
    <row r="1424" spans="14:16" s="94" customFormat="1">
      <c r="N1424" s="112"/>
      <c r="O1424" s="112"/>
      <c r="P1424" s="112"/>
    </row>
    <row r="1425" spans="14:16" s="94" customFormat="1">
      <c r="N1425" s="112"/>
      <c r="O1425" s="112"/>
      <c r="P1425" s="112"/>
    </row>
    <row r="1426" spans="14:16" s="94" customFormat="1">
      <c r="N1426" s="112"/>
      <c r="O1426" s="112"/>
      <c r="P1426" s="112"/>
    </row>
    <row r="1427" spans="14:16" s="94" customFormat="1">
      <c r="N1427" s="112"/>
      <c r="O1427" s="112"/>
      <c r="P1427" s="112"/>
    </row>
    <row r="1428" spans="14:16" s="94" customFormat="1">
      <c r="N1428" s="112"/>
      <c r="O1428" s="112"/>
      <c r="P1428" s="112"/>
    </row>
    <row r="1429" spans="14:16" s="94" customFormat="1">
      <c r="N1429" s="112"/>
      <c r="O1429" s="112"/>
      <c r="P1429" s="112"/>
    </row>
    <row r="1430" spans="14:16" s="94" customFormat="1">
      <c r="N1430" s="112"/>
      <c r="O1430" s="112"/>
      <c r="P1430" s="112"/>
    </row>
    <row r="1431" spans="14:16" s="94" customFormat="1">
      <c r="N1431" s="112"/>
      <c r="O1431" s="112"/>
      <c r="P1431" s="112"/>
    </row>
    <row r="1432" spans="14:16" s="94" customFormat="1">
      <c r="N1432" s="112"/>
      <c r="O1432" s="112"/>
      <c r="P1432" s="112"/>
    </row>
    <row r="1433" spans="14:16" s="94" customFormat="1">
      <c r="N1433" s="112"/>
      <c r="O1433" s="112"/>
      <c r="P1433" s="112"/>
    </row>
    <row r="1434" spans="14:16" s="94" customFormat="1">
      <c r="N1434" s="112"/>
      <c r="O1434" s="112"/>
      <c r="P1434" s="112"/>
    </row>
    <row r="1435" spans="14:16" s="94" customFormat="1">
      <c r="N1435" s="112"/>
      <c r="O1435" s="112"/>
      <c r="P1435" s="112"/>
    </row>
    <row r="1436" spans="14:16" s="94" customFormat="1">
      <c r="N1436" s="112"/>
      <c r="O1436" s="112"/>
      <c r="P1436" s="112"/>
    </row>
    <row r="1437" spans="14:16" s="94" customFormat="1">
      <c r="N1437" s="112"/>
      <c r="O1437" s="112"/>
      <c r="P1437" s="112"/>
    </row>
    <row r="1438" spans="14:16" s="94" customFormat="1">
      <c r="N1438" s="112"/>
      <c r="O1438" s="112"/>
      <c r="P1438" s="112"/>
    </row>
    <row r="1439" spans="14:16" s="94" customFormat="1">
      <c r="N1439" s="112"/>
      <c r="O1439" s="112"/>
      <c r="P1439" s="112"/>
    </row>
    <row r="1440" spans="14:16" s="94" customFormat="1">
      <c r="N1440" s="112"/>
      <c r="O1440" s="112"/>
      <c r="P1440" s="112"/>
    </row>
    <row r="1441" spans="14:16" s="94" customFormat="1">
      <c r="N1441" s="112"/>
      <c r="O1441" s="112"/>
      <c r="P1441" s="112"/>
    </row>
    <row r="1442" spans="14:16" s="94" customFormat="1">
      <c r="N1442" s="112"/>
      <c r="O1442" s="112"/>
      <c r="P1442" s="112"/>
    </row>
    <row r="1443" spans="14:16" s="94" customFormat="1">
      <c r="N1443" s="112"/>
      <c r="O1443" s="112"/>
      <c r="P1443" s="112"/>
    </row>
    <row r="1444" spans="14:16" s="94" customFormat="1">
      <c r="N1444" s="112"/>
      <c r="O1444" s="112"/>
      <c r="P1444" s="112"/>
    </row>
    <row r="1445" spans="14:16" s="94" customFormat="1">
      <c r="N1445" s="112"/>
      <c r="O1445" s="112"/>
      <c r="P1445" s="112"/>
    </row>
    <row r="1446" spans="14:16" s="94" customFormat="1">
      <c r="N1446" s="112"/>
      <c r="O1446" s="112"/>
      <c r="P1446" s="112"/>
    </row>
    <row r="1447" spans="14:16" s="94" customFormat="1">
      <c r="N1447" s="112"/>
      <c r="O1447" s="112"/>
      <c r="P1447" s="112"/>
    </row>
    <row r="1448" spans="14:16" s="94" customFormat="1">
      <c r="N1448" s="112"/>
      <c r="O1448" s="112"/>
      <c r="P1448" s="112"/>
    </row>
    <row r="1449" spans="14:16" s="94" customFormat="1">
      <c r="N1449" s="112"/>
      <c r="O1449" s="112"/>
      <c r="P1449" s="112"/>
    </row>
    <row r="1450" spans="14:16" s="94" customFormat="1">
      <c r="N1450" s="112"/>
      <c r="O1450" s="112"/>
      <c r="P1450" s="112"/>
    </row>
    <row r="1451" spans="14:16" s="94" customFormat="1">
      <c r="N1451" s="112"/>
      <c r="O1451" s="112"/>
      <c r="P1451" s="112"/>
    </row>
    <row r="1452" spans="14:16" s="94" customFormat="1">
      <c r="N1452" s="112"/>
      <c r="O1452" s="112"/>
      <c r="P1452" s="112"/>
    </row>
    <row r="1453" spans="14:16" s="94" customFormat="1">
      <c r="N1453" s="112"/>
      <c r="O1453" s="112"/>
      <c r="P1453" s="112"/>
    </row>
    <row r="1454" spans="14:16" s="94" customFormat="1">
      <c r="N1454" s="112"/>
      <c r="O1454" s="112"/>
      <c r="P1454" s="112"/>
    </row>
    <row r="1455" spans="14:16" s="94" customFormat="1">
      <c r="N1455" s="112"/>
      <c r="O1455" s="112"/>
      <c r="P1455" s="112"/>
    </row>
    <row r="1456" spans="14:16" s="94" customFormat="1">
      <c r="N1456" s="112"/>
      <c r="O1456" s="112"/>
      <c r="P1456" s="112"/>
    </row>
    <row r="1457" spans="14:16" s="94" customFormat="1">
      <c r="N1457" s="112"/>
      <c r="O1457" s="112"/>
      <c r="P1457" s="112"/>
    </row>
    <row r="1458" spans="14:16" s="94" customFormat="1">
      <c r="N1458" s="112"/>
      <c r="O1458" s="112"/>
      <c r="P1458" s="112"/>
    </row>
    <row r="1459" spans="14:16" s="94" customFormat="1">
      <c r="N1459" s="112"/>
      <c r="O1459" s="112"/>
      <c r="P1459" s="112"/>
    </row>
    <row r="1460" spans="14:16" s="94" customFormat="1">
      <c r="N1460" s="112"/>
      <c r="O1460" s="112"/>
      <c r="P1460" s="112"/>
    </row>
    <row r="1461" spans="14:16" s="94" customFormat="1">
      <c r="N1461" s="112"/>
      <c r="O1461" s="112"/>
      <c r="P1461" s="112"/>
    </row>
    <row r="1462" spans="14:16" s="94" customFormat="1">
      <c r="N1462" s="112"/>
      <c r="O1462" s="112"/>
      <c r="P1462" s="112"/>
    </row>
    <row r="1463" spans="14:16" s="94" customFormat="1">
      <c r="N1463" s="112"/>
      <c r="O1463" s="112"/>
      <c r="P1463" s="112"/>
    </row>
    <row r="1464" spans="14:16" s="94" customFormat="1">
      <c r="N1464" s="112"/>
      <c r="O1464" s="112"/>
      <c r="P1464" s="112"/>
    </row>
    <row r="1465" spans="14:16" s="94" customFormat="1">
      <c r="N1465" s="112"/>
      <c r="O1465" s="112"/>
      <c r="P1465" s="112"/>
    </row>
    <row r="1466" spans="14:16" s="94" customFormat="1">
      <c r="N1466" s="112"/>
      <c r="O1466" s="112"/>
      <c r="P1466" s="112"/>
    </row>
    <row r="1467" spans="14:16" s="94" customFormat="1">
      <c r="N1467" s="112"/>
      <c r="O1467" s="112"/>
      <c r="P1467" s="112"/>
    </row>
    <row r="1468" spans="14:16" s="94" customFormat="1">
      <c r="N1468" s="112"/>
      <c r="O1468" s="112"/>
      <c r="P1468" s="112"/>
    </row>
    <row r="1469" spans="14:16" s="94" customFormat="1">
      <c r="N1469" s="112"/>
      <c r="O1469" s="112"/>
      <c r="P1469" s="112"/>
    </row>
    <row r="1470" spans="14:16" s="94" customFormat="1">
      <c r="N1470" s="112"/>
      <c r="O1470" s="112"/>
      <c r="P1470" s="112"/>
    </row>
    <row r="1471" spans="14:16" s="94" customFormat="1">
      <c r="N1471" s="112"/>
      <c r="O1471" s="112"/>
      <c r="P1471" s="112"/>
    </row>
    <row r="1472" spans="14:16" s="94" customFormat="1">
      <c r="N1472" s="112"/>
      <c r="O1472" s="112"/>
      <c r="P1472" s="112"/>
    </row>
    <row r="1473" spans="14:16" s="94" customFormat="1">
      <c r="N1473" s="112"/>
      <c r="O1473" s="112"/>
      <c r="P1473" s="112"/>
    </row>
    <row r="1474" spans="14:16" s="94" customFormat="1">
      <c r="N1474" s="112"/>
      <c r="O1474" s="112"/>
      <c r="P1474" s="112"/>
    </row>
    <row r="1475" spans="14:16" s="94" customFormat="1">
      <c r="N1475" s="112"/>
      <c r="O1475" s="112"/>
      <c r="P1475" s="112"/>
    </row>
    <row r="1476" spans="14:16" s="94" customFormat="1">
      <c r="N1476" s="112"/>
      <c r="O1476" s="112"/>
      <c r="P1476" s="112"/>
    </row>
    <row r="1477" spans="14:16" s="94" customFormat="1">
      <c r="N1477" s="112"/>
      <c r="O1477" s="112"/>
      <c r="P1477" s="112"/>
    </row>
    <row r="1478" spans="14:16" s="94" customFormat="1">
      <c r="N1478" s="112"/>
      <c r="O1478" s="112"/>
      <c r="P1478" s="112"/>
    </row>
    <row r="1479" spans="14:16" s="94" customFormat="1">
      <c r="N1479" s="112"/>
      <c r="O1479" s="112"/>
      <c r="P1479" s="112"/>
    </row>
    <row r="1480" spans="14:16" s="94" customFormat="1">
      <c r="N1480" s="112"/>
      <c r="O1480" s="112"/>
      <c r="P1480" s="112"/>
    </row>
    <row r="1481" spans="14:16" s="94" customFormat="1">
      <c r="N1481" s="112"/>
      <c r="O1481" s="112"/>
      <c r="P1481" s="112"/>
    </row>
    <row r="1482" spans="14:16" s="94" customFormat="1">
      <c r="N1482" s="112"/>
      <c r="O1482" s="112"/>
      <c r="P1482" s="112"/>
    </row>
    <row r="1483" spans="14:16" s="94" customFormat="1">
      <c r="N1483" s="112"/>
      <c r="O1483" s="112"/>
      <c r="P1483" s="112"/>
    </row>
    <row r="1484" spans="14:16" s="94" customFormat="1">
      <c r="N1484" s="112"/>
      <c r="O1484" s="112"/>
      <c r="P1484" s="112"/>
    </row>
    <row r="1485" spans="14:16" s="94" customFormat="1">
      <c r="N1485" s="112"/>
      <c r="O1485" s="112"/>
      <c r="P1485" s="112"/>
    </row>
    <row r="1486" spans="14:16" s="94" customFormat="1">
      <c r="N1486" s="112"/>
      <c r="O1486" s="112"/>
      <c r="P1486" s="112"/>
    </row>
    <row r="1487" spans="14:16" s="94" customFormat="1">
      <c r="N1487" s="112"/>
      <c r="O1487" s="112"/>
      <c r="P1487" s="112"/>
    </row>
    <row r="1488" spans="14:16" s="94" customFormat="1">
      <c r="N1488" s="112"/>
      <c r="O1488" s="112"/>
      <c r="P1488" s="112"/>
    </row>
    <row r="1489" spans="14:16" s="94" customFormat="1">
      <c r="N1489" s="112"/>
      <c r="O1489" s="112"/>
      <c r="P1489" s="112"/>
    </row>
    <row r="1490" spans="14:16" s="94" customFormat="1">
      <c r="N1490" s="112"/>
      <c r="O1490" s="112"/>
      <c r="P1490" s="112"/>
    </row>
    <row r="1491" spans="14:16" s="94" customFormat="1">
      <c r="N1491" s="112"/>
      <c r="O1491" s="112"/>
      <c r="P1491" s="112"/>
    </row>
    <row r="1492" spans="14:16" s="94" customFormat="1">
      <c r="N1492" s="112"/>
      <c r="O1492" s="112"/>
      <c r="P1492" s="112"/>
    </row>
    <row r="1493" spans="14:16" s="94" customFormat="1">
      <c r="N1493" s="112"/>
      <c r="O1493" s="112"/>
      <c r="P1493" s="112"/>
    </row>
    <row r="1494" spans="14:16" s="94" customFormat="1">
      <c r="N1494" s="112"/>
      <c r="O1494" s="112"/>
      <c r="P1494" s="112"/>
    </row>
    <row r="1495" spans="14:16" s="94" customFormat="1">
      <c r="N1495" s="112"/>
      <c r="O1495" s="112"/>
      <c r="P1495" s="112"/>
    </row>
    <row r="1496" spans="14:16" s="94" customFormat="1">
      <c r="N1496" s="112"/>
      <c r="O1496" s="112"/>
      <c r="P1496" s="112"/>
    </row>
    <row r="1497" spans="14:16" s="94" customFormat="1">
      <c r="N1497" s="112"/>
      <c r="O1497" s="112"/>
      <c r="P1497" s="112"/>
    </row>
    <row r="1498" spans="14:16" s="94" customFormat="1">
      <c r="N1498" s="112"/>
      <c r="O1498" s="112"/>
      <c r="P1498" s="112"/>
    </row>
    <row r="1499" spans="14:16" s="94" customFormat="1">
      <c r="N1499" s="112"/>
      <c r="O1499" s="112"/>
      <c r="P1499" s="112"/>
    </row>
    <row r="1500" spans="14:16" s="94" customFormat="1">
      <c r="N1500" s="112"/>
      <c r="O1500" s="112"/>
      <c r="P1500" s="112"/>
    </row>
    <row r="1501" spans="14:16" s="94" customFormat="1">
      <c r="N1501" s="112"/>
      <c r="O1501" s="112"/>
      <c r="P1501" s="112"/>
    </row>
    <row r="1502" spans="14:16" s="94" customFormat="1">
      <c r="N1502" s="112"/>
      <c r="O1502" s="112"/>
      <c r="P1502" s="112"/>
    </row>
    <row r="1503" spans="14:16" s="94" customFormat="1">
      <c r="N1503" s="112"/>
      <c r="O1503" s="112"/>
      <c r="P1503" s="112"/>
    </row>
    <row r="1504" spans="14:16" s="94" customFormat="1">
      <c r="N1504" s="112"/>
      <c r="O1504" s="112"/>
      <c r="P1504" s="112"/>
    </row>
    <row r="1505" spans="14:16" s="94" customFormat="1">
      <c r="N1505" s="112"/>
      <c r="O1505" s="112"/>
      <c r="P1505" s="112"/>
    </row>
    <row r="1506" spans="14:16" s="94" customFormat="1">
      <c r="N1506" s="112"/>
      <c r="O1506" s="112"/>
      <c r="P1506" s="112"/>
    </row>
    <row r="1507" spans="14:16" s="94" customFormat="1">
      <c r="N1507" s="112"/>
      <c r="O1507" s="112"/>
      <c r="P1507" s="112"/>
    </row>
    <row r="1508" spans="14:16" s="94" customFormat="1">
      <c r="N1508" s="112"/>
      <c r="O1508" s="112"/>
      <c r="P1508" s="112"/>
    </row>
    <row r="1509" spans="14:16" s="94" customFormat="1">
      <c r="N1509" s="112"/>
      <c r="O1509" s="112"/>
      <c r="P1509" s="112"/>
    </row>
    <row r="1510" spans="14:16" s="94" customFormat="1">
      <c r="N1510" s="112"/>
      <c r="O1510" s="112"/>
      <c r="P1510" s="112"/>
    </row>
    <row r="1511" spans="14:16" s="94" customFormat="1">
      <c r="N1511" s="112"/>
      <c r="O1511" s="112"/>
      <c r="P1511" s="112"/>
    </row>
    <row r="1512" spans="14:16" s="94" customFormat="1">
      <c r="N1512" s="112"/>
      <c r="O1512" s="112"/>
      <c r="P1512" s="112"/>
    </row>
    <row r="1513" spans="14:16" s="94" customFormat="1">
      <c r="N1513" s="112"/>
      <c r="O1513" s="112"/>
      <c r="P1513" s="112"/>
    </row>
    <row r="1514" spans="14:16" s="94" customFormat="1">
      <c r="N1514" s="112"/>
      <c r="O1514" s="112"/>
      <c r="P1514" s="112"/>
    </row>
    <row r="1515" spans="14:16" s="94" customFormat="1">
      <c r="N1515" s="112"/>
      <c r="O1515" s="112"/>
      <c r="P1515" s="112"/>
    </row>
    <row r="1516" spans="14:16" s="94" customFormat="1">
      <c r="N1516" s="112"/>
      <c r="O1516" s="112"/>
      <c r="P1516" s="112"/>
    </row>
    <row r="1517" spans="14:16" s="94" customFormat="1">
      <c r="N1517" s="112"/>
      <c r="O1517" s="112"/>
      <c r="P1517" s="112"/>
    </row>
    <row r="1518" spans="14:16" s="94" customFormat="1">
      <c r="N1518" s="112"/>
      <c r="O1518" s="112"/>
      <c r="P1518" s="112"/>
    </row>
    <row r="1519" spans="14:16" s="94" customFormat="1">
      <c r="N1519" s="112"/>
      <c r="O1519" s="112"/>
      <c r="P1519" s="112"/>
    </row>
    <row r="1520" spans="14:16" s="94" customFormat="1">
      <c r="N1520" s="112"/>
      <c r="O1520" s="112"/>
      <c r="P1520" s="112"/>
    </row>
    <row r="1521" spans="14:16" s="94" customFormat="1">
      <c r="N1521" s="112"/>
      <c r="O1521" s="112"/>
      <c r="P1521" s="112"/>
    </row>
    <row r="1522" spans="14:16" s="94" customFormat="1">
      <c r="N1522" s="112"/>
      <c r="O1522" s="112"/>
      <c r="P1522" s="112"/>
    </row>
    <row r="1523" spans="14:16" s="94" customFormat="1">
      <c r="N1523" s="112"/>
      <c r="O1523" s="112"/>
      <c r="P1523" s="112"/>
    </row>
    <row r="1524" spans="14:16" s="94" customFormat="1">
      <c r="N1524" s="112"/>
      <c r="O1524" s="112"/>
      <c r="P1524" s="112"/>
    </row>
    <row r="1525" spans="14:16" s="94" customFormat="1">
      <c r="N1525" s="112"/>
      <c r="O1525" s="112"/>
      <c r="P1525" s="112"/>
    </row>
    <row r="1526" spans="14:16" s="94" customFormat="1">
      <c r="N1526" s="112"/>
      <c r="O1526" s="112"/>
      <c r="P1526" s="112"/>
    </row>
    <row r="1527" spans="14:16" s="94" customFormat="1">
      <c r="N1527" s="112"/>
      <c r="O1527" s="112"/>
      <c r="P1527" s="112"/>
    </row>
    <row r="1528" spans="14:16" s="94" customFormat="1">
      <c r="N1528" s="112"/>
      <c r="O1528" s="112"/>
      <c r="P1528" s="112"/>
    </row>
    <row r="1529" spans="14:16" s="94" customFormat="1">
      <c r="N1529" s="112"/>
      <c r="O1529" s="112"/>
      <c r="P1529" s="112"/>
    </row>
    <row r="1530" spans="14:16" s="94" customFormat="1">
      <c r="N1530" s="112"/>
      <c r="O1530" s="112"/>
      <c r="P1530" s="112"/>
    </row>
    <row r="1531" spans="14:16" s="94" customFormat="1">
      <c r="N1531" s="112"/>
      <c r="O1531" s="112"/>
      <c r="P1531" s="112"/>
    </row>
    <row r="1532" spans="14:16" s="94" customFormat="1">
      <c r="N1532" s="112"/>
      <c r="O1532" s="112"/>
      <c r="P1532" s="112"/>
    </row>
    <row r="1533" spans="14:16" s="94" customFormat="1">
      <c r="N1533" s="112"/>
      <c r="O1533" s="112"/>
      <c r="P1533" s="112"/>
    </row>
    <row r="1534" spans="14:16" s="94" customFormat="1">
      <c r="N1534" s="112"/>
      <c r="O1534" s="112"/>
      <c r="P1534" s="112"/>
    </row>
    <row r="1535" spans="14:16" s="94" customFormat="1">
      <c r="N1535" s="112"/>
      <c r="O1535" s="112"/>
      <c r="P1535" s="112"/>
    </row>
    <row r="1536" spans="14:16" s="94" customFormat="1">
      <c r="N1536" s="112"/>
      <c r="O1536" s="112"/>
      <c r="P1536" s="112"/>
    </row>
    <row r="1537" spans="14:16" s="94" customFormat="1">
      <c r="N1537" s="112"/>
      <c r="O1537" s="112"/>
      <c r="P1537" s="112"/>
    </row>
    <row r="1538" spans="14:16" s="94" customFormat="1">
      <c r="N1538" s="112"/>
      <c r="O1538" s="112"/>
      <c r="P1538" s="112"/>
    </row>
    <row r="1539" spans="14:16" s="94" customFormat="1">
      <c r="N1539" s="112"/>
      <c r="O1539" s="112"/>
      <c r="P1539" s="112"/>
    </row>
    <row r="1540" spans="14:16" s="94" customFormat="1">
      <c r="N1540" s="112"/>
      <c r="O1540" s="112"/>
      <c r="P1540" s="112"/>
    </row>
    <row r="1541" spans="14:16" s="94" customFormat="1">
      <c r="N1541" s="112"/>
      <c r="O1541" s="112"/>
      <c r="P1541" s="112"/>
    </row>
    <row r="1542" spans="14:16" s="94" customFormat="1">
      <c r="N1542" s="112"/>
      <c r="O1542" s="112"/>
      <c r="P1542" s="112"/>
    </row>
    <row r="1543" spans="14:16" s="94" customFormat="1">
      <c r="N1543" s="112"/>
      <c r="O1543" s="112"/>
      <c r="P1543" s="112"/>
    </row>
    <row r="1544" spans="14:16" s="94" customFormat="1">
      <c r="N1544" s="112"/>
      <c r="O1544" s="112"/>
      <c r="P1544" s="112"/>
    </row>
    <row r="1545" spans="14:16" s="94" customFormat="1">
      <c r="N1545" s="112"/>
      <c r="O1545" s="112"/>
      <c r="P1545" s="112"/>
    </row>
    <row r="1546" spans="14:16" s="94" customFormat="1">
      <c r="N1546" s="112"/>
      <c r="O1546" s="112"/>
      <c r="P1546" s="112"/>
    </row>
    <row r="1547" spans="14:16" s="94" customFormat="1">
      <c r="N1547" s="112"/>
      <c r="O1547" s="112"/>
      <c r="P1547" s="112"/>
    </row>
    <row r="1548" spans="14:16" s="94" customFormat="1">
      <c r="N1548" s="112"/>
      <c r="O1548" s="112"/>
      <c r="P1548" s="112"/>
    </row>
    <row r="1549" spans="14:16" s="94" customFormat="1">
      <c r="N1549" s="112"/>
      <c r="O1549" s="112"/>
      <c r="P1549" s="112"/>
    </row>
    <row r="1550" spans="14:16" s="94" customFormat="1">
      <c r="N1550" s="112"/>
      <c r="O1550" s="112"/>
      <c r="P1550" s="112"/>
    </row>
    <row r="1551" spans="14:16" s="94" customFormat="1">
      <c r="N1551" s="112"/>
      <c r="O1551" s="112"/>
      <c r="P1551" s="112"/>
    </row>
    <row r="1552" spans="14:16" s="94" customFormat="1">
      <c r="N1552" s="112"/>
      <c r="O1552" s="112"/>
      <c r="P1552" s="112"/>
    </row>
    <row r="1553" spans="14:16" s="94" customFormat="1">
      <c r="N1553" s="112"/>
      <c r="O1553" s="112"/>
      <c r="P1553" s="112"/>
    </row>
    <row r="1554" spans="14:16" s="94" customFormat="1">
      <c r="N1554" s="112"/>
      <c r="O1554" s="112"/>
      <c r="P1554" s="112"/>
    </row>
    <row r="1555" spans="14:16" s="94" customFormat="1">
      <c r="N1555" s="112"/>
      <c r="O1555" s="112"/>
      <c r="P1555" s="112"/>
    </row>
    <row r="1556" spans="14:16" s="94" customFormat="1">
      <c r="N1556" s="112"/>
      <c r="O1556" s="112"/>
      <c r="P1556" s="112"/>
    </row>
    <row r="1557" spans="14:16" s="94" customFormat="1">
      <c r="N1557" s="112"/>
      <c r="O1557" s="112"/>
      <c r="P1557" s="112"/>
    </row>
    <row r="1558" spans="14:16" s="94" customFormat="1">
      <c r="N1558" s="112"/>
      <c r="O1558" s="112"/>
      <c r="P1558" s="112"/>
    </row>
    <row r="1559" spans="14:16" s="94" customFormat="1">
      <c r="N1559" s="112"/>
      <c r="O1559" s="112"/>
      <c r="P1559" s="112"/>
    </row>
    <row r="1560" spans="14:16" s="94" customFormat="1">
      <c r="N1560" s="112"/>
      <c r="O1560" s="112"/>
      <c r="P1560" s="112"/>
    </row>
    <row r="1561" spans="14:16" s="94" customFormat="1">
      <c r="N1561" s="112"/>
      <c r="O1561" s="112"/>
      <c r="P1561" s="112"/>
    </row>
    <row r="1562" spans="14:16" s="94" customFormat="1">
      <c r="N1562" s="112"/>
      <c r="O1562" s="112"/>
      <c r="P1562" s="112"/>
    </row>
    <row r="1563" spans="14:16" s="94" customFormat="1">
      <c r="N1563" s="112"/>
      <c r="O1563" s="112"/>
      <c r="P1563" s="112"/>
    </row>
    <row r="1564" spans="14:16" s="94" customFormat="1">
      <c r="N1564" s="112"/>
      <c r="O1564" s="112"/>
      <c r="P1564" s="112"/>
    </row>
    <row r="1565" spans="14:16" s="94" customFormat="1">
      <c r="N1565" s="112"/>
      <c r="O1565" s="112"/>
      <c r="P1565" s="112"/>
    </row>
    <row r="1566" spans="14:16" s="94" customFormat="1">
      <c r="N1566" s="112"/>
      <c r="O1566" s="112"/>
      <c r="P1566" s="112"/>
    </row>
    <row r="1567" spans="14:16" s="94" customFormat="1">
      <c r="N1567" s="112"/>
      <c r="O1567" s="112"/>
      <c r="P1567" s="112"/>
    </row>
    <row r="1568" spans="14:16" s="94" customFormat="1">
      <c r="N1568" s="112"/>
      <c r="O1568" s="112"/>
      <c r="P1568" s="112"/>
    </row>
    <row r="1569" spans="14:16" s="94" customFormat="1">
      <c r="N1569" s="112"/>
      <c r="O1569" s="112"/>
      <c r="P1569" s="112"/>
    </row>
    <row r="1570" spans="14:16" s="94" customFormat="1">
      <c r="N1570" s="112"/>
      <c r="O1570" s="112"/>
      <c r="P1570" s="112"/>
    </row>
    <row r="1571" spans="14:16" s="94" customFormat="1">
      <c r="N1571" s="112"/>
      <c r="O1571" s="112"/>
      <c r="P1571" s="112"/>
    </row>
    <row r="1572" spans="14:16" s="94" customFormat="1">
      <c r="N1572" s="112"/>
      <c r="O1572" s="112"/>
      <c r="P1572" s="112"/>
    </row>
    <row r="1573" spans="14:16" s="94" customFormat="1">
      <c r="N1573" s="112"/>
      <c r="O1573" s="112"/>
      <c r="P1573" s="112"/>
    </row>
    <row r="1574" spans="14:16" s="94" customFormat="1">
      <c r="N1574" s="112"/>
      <c r="O1574" s="112"/>
      <c r="P1574" s="112"/>
    </row>
    <row r="1575" spans="14:16" s="94" customFormat="1">
      <c r="N1575" s="112"/>
      <c r="O1575" s="112"/>
      <c r="P1575" s="112"/>
    </row>
    <row r="1576" spans="14:16" s="94" customFormat="1">
      <c r="N1576" s="112"/>
      <c r="O1576" s="112"/>
      <c r="P1576" s="112"/>
    </row>
    <row r="1577" spans="14:16" s="94" customFormat="1">
      <c r="N1577" s="112"/>
      <c r="O1577" s="112"/>
      <c r="P1577" s="112"/>
    </row>
    <row r="1578" spans="14:16" s="94" customFormat="1">
      <c r="N1578" s="112"/>
      <c r="O1578" s="112"/>
      <c r="P1578" s="112"/>
    </row>
    <row r="1579" spans="14:16" s="94" customFormat="1">
      <c r="N1579" s="112"/>
      <c r="O1579" s="112"/>
      <c r="P1579" s="112"/>
    </row>
    <row r="1580" spans="14:16" s="94" customFormat="1">
      <c r="N1580" s="112"/>
      <c r="O1580" s="112"/>
      <c r="P1580" s="112"/>
    </row>
    <row r="1581" spans="14:16" s="94" customFormat="1">
      <c r="N1581" s="112"/>
      <c r="O1581" s="112"/>
      <c r="P1581" s="112"/>
    </row>
    <row r="1582" spans="14:16" s="94" customFormat="1">
      <c r="N1582" s="112"/>
      <c r="O1582" s="112"/>
      <c r="P1582" s="112"/>
    </row>
    <row r="1583" spans="14:16" s="94" customFormat="1">
      <c r="N1583" s="112"/>
      <c r="O1583" s="112"/>
      <c r="P1583" s="112"/>
    </row>
    <row r="1584" spans="14:16" s="94" customFormat="1">
      <c r="N1584" s="112"/>
      <c r="O1584" s="112"/>
      <c r="P1584" s="112"/>
    </row>
    <row r="1585" spans="14:16" s="94" customFormat="1">
      <c r="N1585" s="112"/>
      <c r="O1585" s="112"/>
      <c r="P1585" s="112"/>
    </row>
    <row r="1586" spans="14:16" s="94" customFormat="1">
      <c r="N1586" s="112"/>
      <c r="O1586" s="112"/>
      <c r="P1586" s="112"/>
    </row>
    <row r="1587" spans="14:16" s="94" customFormat="1">
      <c r="N1587" s="112"/>
      <c r="O1587" s="112"/>
      <c r="P1587" s="112"/>
    </row>
    <row r="1588" spans="14:16" s="94" customFormat="1">
      <c r="N1588" s="112"/>
      <c r="O1588" s="112"/>
      <c r="P1588" s="112"/>
    </row>
    <row r="1589" spans="14:16" s="94" customFormat="1">
      <c r="N1589" s="112"/>
      <c r="O1589" s="112"/>
      <c r="P1589" s="112"/>
    </row>
    <row r="1590" spans="14:16" s="94" customFormat="1">
      <c r="N1590" s="112"/>
      <c r="O1590" s="112"/>
      <c r="P1590" s="112"/>
    </row>
    <row r="1591" spans="14:16" s="94" customFormat="1">
      <c r="N1591" s="112"/>
      <c r="O1591" s="112"/>
      <c r="P1591" s="112"/>
    </row>
    <row r="1592" spans="14:16" s="94" customFormat="1">
      <c r="N1592" s="112"/>
      <c r="O1592" s="112"/>
      <c r="P1592" s="112"/>
    </row>
    <row r="1593" spans="14:16" s="94" customFormat="1">
      <c r="N1593" s="112"/>
      <c r="O1593" s="112"/>
      <c r="P1593" s="112"/>
    </row>
    <row r="1594" spans="14:16" s="94" customFormat="1">
      <c r="N1594" s="112"/>
      <c r="O1594" s="112"/>
      <c r="P1594" s="112"/>
    </row>
    <row r="1595" spans="14:16" s="94" customFormat="1">
      <c r="N1595" s="112"/>
      <c r="O1595" s="112"/>
      <c r="P1595" s="112"/>
    </row>
    <row r="1596" spans="14:16" s="94" customFormat="1">
      <c r="N1596" s="112"/>
      <c r="O1596" s="112"/>
      <c r="P1596" s="112"/>
    </row>
    <row r="1597" spans="14:16" s="94" customFormat="1">
      <c r="N1597" s="112"/>
      <c r="O1597" s="112"/>
      <c r="P1597" s="112"/>
    </row>
    <row r="1598" spans="14:16" s="94" customFormat="1">
      <c r="N1598" s="112"/>
      <c r="O1598" s="112"/>
      <c r="P1598" s="112"/>
    </row>
    <row r="1599" spans="14:16" s="94" customFormat="1">
      <c r="N1599" s="112"/>
      <c r="O1599" s="112"/>
      <c r="P1599" s="112"/>
    </row>
    <row r="1600" spans="14:16" s="94" customFormat="1">
      <c r="N1600" s="112"/>
      <c r="O1600" s="112"/>
      <c r="P1600" s="112"/>
    </row>
    <row r="1601" spans="14:16" s="94" customFormat="1">
      <c r="N1601" s="112"/>
      <c r="O1601" s="112"/>
      <c r="P1601" s="112"/>
    </row>
    <row r="1602" spans="14:16" s="94" customFormat="1">
      <c r="N1602" s="112"/>
      <c r="O1602" s="112"/>
      <c r="P1602" s="112"/>
    </row>
    <row r="1603" spans="14:16" s="94" customFormat="1">
      <c r="N1603" s="112"/>
      <c r="O1603" s="112"/>
      <c r="P1603" s="112"/>
    </row>
    <row r="1604" spans="14:16" s="94" customFormat="1">
      <c r="N1604" s="112"/>
      <c r="O1604" s="112"/>
      <c r="P1604" s="112"/>
    </row>
    <row r="1605" spans="14:16" s="94" customFormat="1">
      <c r="N1605" s="112"/>
      <c r="O1605" s="112"/>
      <c r="P1605" s="112"/>
    </row>
    <row r="1606" spans="14:16" s="94" customFormat="1">
      <c r="N1606" s="112"/>
      <c r="O1606" s="112"/>
      <c r="P1606" s="112"/>
    </row>
    <row r="1607" spans="14:16" s="94" customFormat="1">
      <c r="N1607" s="112"/>
      <c r="O1607" s="112"/>
      <c r="P1607" s="112"/>
    </row>
    <row r="1608" spans="14:16" s="94" customFormat="1">
      <c r="N1608" s="112"/>
      <c r="O1608" s="112"/>
      <c r="P1608" s="112"/>
    </row>
    <row r="1609" spans="14:16" s="94" customFormat="1">
      <c r="N1609" s="112"/>
      <c r="O1609" s="112"/>
      <c r="P1609" s="112"/>
    </row>
    <row r="1610" spans="14:16" s="94" customFormat="1">
      <c r="N1610" s="112"/>
      <c r="O1610" s="112"/>
      <c r="P1610" s="112"/>
    </row>
    <row r="1611" spans="14:16" s="94" customFormat="1">
      <c r="N1611" s="112"/>
      <c r="O1611" s="112"/>
      <c r="P1611" s="112"/>
    </row>
    <row r="1612" spans="14:16" s="94" customFormat="1">
      <c r="N1612" s="112"/>
      <c r="O1612" s="112"/>
      <c r="P1612" s="112"/>
    </row>
    <row r="1613" spans="14:16" s="94" customFormat="1">
      <c r="N1613" s="112"/>
      <c r="O1613" s="112"/>
      <c r="P1613" s="112"/>
    </row>
    <row r="1614" spans="14:16" s="94" customFormat="1">
      <c r="N1614" s="112"/>
      <c r="O1614" s="112"/>
      <c r="P1614" s="112"/>
    </row>
    <row r="1615" spans="14:16" s="94" customFormat="1">
      <c r="N1615" s="112"/>
      <c r="O1615" s="112"/>
      <c r="P1615" s="112"/>
    </row>
    <row r="1616" spans="14:16" s="94" customFormat="1">
      <c r="N1616" s="112"/>
      <c r="O1616" s="112"/>
      <c r="P1616" s="112"/>
    </row>
    <row r="1617" spans="14:16" s="94" customFormat="1">
      <c r="N1617" s="112"/>
      <c r="O1617" s="112"/>
      <c r="P1617" s="112"/>
    </row>
    <row r="1618" spans="14:16" s="94" customFormat="1">
      <c r="N1618" s="112"/>
      <c r="O1618" s="112"/>
      <c r="P1618" s="112"/>
    </row>
    <row r="1619" spans="14:16" s="94" customFormat="1">
      <c r="N1619" s="112"/>
      <c r="O1619" s="112"/>
      <c r="P1619" s="112"/>
    </row>
    <row r="1620" spans="14:16" s="94" customFormat="1">
      <c r="N1620" s="112"/>
      <c r="O1620" s="112"/>
      <c r="P1620" s="112"/>
    </row>
    <row r="1621" spans="14:16" s="94" customFormat="1">
      <c r="N1621" s="112"/>
      <c r="O1621" s="112"/>
      <c r="P1621" s="112"/>
    </row>
    <row r="1622" spans="14:16" s="94" customFormat="1">
      <c r="N1622" s="112"/>
      <c r="O1622" s="112"/>
      <c r="P1622" s="112"/>
    </row>
    <row r="1623" spans="14:16" s="94" customFormat="1">
      <c r="N1623" s="112"/>
      <c r="O1623" s="112"/>
      <c r="P1623" s="112"/>
    </row>
    <row r="1624" spans="14:16" s="94" customFormat="1">
      <c r="N1624" s="112"/>
      <c r="O1624" s="112"/>
      <c r="P1624" s="112"/>
    </row>
    <row r="1625" spans="14:16" s="94" customFormat="1">
      <c r="N1625" s="112"/>
      <c r="O1625" s="112"/>
      <c r="P1625" s="112"/>
    </row>
    <row r="1626" spans="14:16" s="94" customFormat="1">
      <c r="N1626" s="112"/>
      <c r="O1626" s="112"/>
      <c r="P1626" s="112"/>
    </row>
    <row r="1627" spans="14:16" s="94" customFormat="1">
      <c r="N1627" s="112"/>
      <c r="O1627" s="112"/>
      <c r="P1627" s="112"/>
    </row>
    <row r="1628" spans="14:16" s="94" customFormat="1">
      <c r="N1628" s="112"/>
      <c r="O1628" s="112"/>
      <c r="P1628" s="112"/>
    </row>
    <row r="1629" spans="14:16" s="94" customFormat="1">
      <c r="N1629" s="112"/>
      <c r="O1629" s="112"/>
      <c r="P1629" s="112"/>
    </row>
    <row r="1630" spans="14:16" s="94" customFormat="1">
      <c r="N1630" s="112"/>
      <c r="O1630" s="112"/>
      <c r="P1630" s="112"/>
    </row>
    <row r="1631" spans="14:16" s="94" customFormat="1">
      <c r="N1631" s="112"/>
      <c r="O1631" s="112"/>
      <c r="P1631" s="112"/>
    </row>
    <row r="1632" spans="14:16" s="94" customFormat="1">
      <c r="N1632" s="112"/>
      <c r="O1632" s="112"/>
      <c r="P1632" s="112"/>
    </row>
    <row r="1633" spans="14:16" s="94" customFormat="1">
      <c r="N1633" s="112"/>
      <c r="O1633" s="112"/>
      <c r="P1633" s="112"/>
    </row>
    <row r="1634" spans="14:16" s="94" customFormat="1">
      <c r="N1634" s="112"/>
      <c r="O1634" s="112"/>
      <c r="P1634" s="112"/>
    </row>
    <row r="1635" spans="14:16" s="94" customFormat="1">
      <c r="N1635" s="112"/>
      <c r="O1635" s="112"/>
      <c r="P1635" s="112"/>
    </row>
    <row r="1636" spans="14:16" s="94" customFormat="1">
      <c r="N1636" s="112"/>
      <c r="O1636" s="112"/>
      <c r="P1636" s="112"/>
    </row>
    <row r="1637" spans="14:16" s="94" customFormat="1">
      <c r="N1637" s="112"/>
      <c r="O1637" s="112"/>
      <c r="P1637" s="112"/>
    </row>
    <row r="1638" spans="14:16" s="94" customFormat="1">
      <c r="N1638" s="112"/>
      <c r="O1638" s="112"/>
      <c r="P1638" s="112"/>
    </row>
    <row r="1639" spans="14:16" s="94" customFormat="1">
      <c r="N1639" s="112"/>
      <c r="O1639" s="112"/>
      <c r="P1639" s="112"/>
    </row>
    <row r="1640" spans="14:16" s="94" customFormat="1">
      <c r="N1640" s="112"/>
      <c r="O1640" s="112"/>
      <c r="P1640" s="112"/>
    </row>
    <row r="1641" spans="14:16" s="94" customFormat="1">
      <c r="N1641" s="112"/>
      <c r="O1641" s="112"/>
      <c r="P1641" s="112"/>
    </row>
    <row r="1642" spans="14:16" s="94" customFormat="1">
      <c r="N1642" s="112"/>
      <c r="O1642" s="112"/>
      <c r="P1642" s="112"/>
    </row>
    <row r="1643" spans="14:16" s="94" customFormat="1">
      <c r="N1643" s="112"/>
      <c r="O1643" s="112"/>
      <c r="P1643" s="112"/>
    </row>
    <row r="1644" spans="14:16" s="94" customFormat="1">
      <c r="N1644" s="112"/>
      <c r="O1644" s="112"/>
      <c r="P1644" s="112"/>
    </row>
    <row r="1645" spans="14:16" s="94" customFormat="1">
      <c r="N1645" s="112"/>
      <c r="O1645" s="112"/>
      <c r="P1645" s="112"/>
    </row>
    <row r="1646" spans="14:16" s="94" customFormat="1">
      <c r="N1646" s="112"/>
      <c r="O1646" s="112"/>
      <c r="P1646" s="112"/>
    </row>
    <row r="1647" spans="14:16" s="94" customFormat="1">
      <c r="N1647" s="112"/>
      <c r="O1647" s="112"/>
      <c r="P1647" s="112"/>
    </row>
    <row r="1648" spans="14:16" s="94" customFormat="1">
      <c r="N1648" s="112"/>
      <c r="O1648" s="112"/>
      <c r="P1648" s="112"/>
    </row>
    <row r="1649" spans="14:16" s="94" customFormat="1">
      <c r="N1649" s="112"/>
      <c r="O1649" s="112"/>
      <c r="P1649" s="112"/>
    </row>
    <row r="1650" spans="14:16" s="94" customFormat="1">
      <c r="N1650" s="112"/>
      <c r="O1650" s="112"/>
      <c r="P1650" s="112"/>
    </row>
    <row r="1651" spans="14:16" s="94" customFormat="1">
      <c r="N1651" s="112"/>
      <c r="O1651" s="112"/>
      <c r="P1651" s="112"/>
    </row>
    <row r="1652" spans="14:16" s="94" customFormat="1">
      <c r="N1652" s="112"/>
      <c r="O1652" s="112"/>
      <c r="P1652" s="112"/>
    </row>
    <row r="1653" spans="14:16" s="94" customFormat="1">
      <c r="N1653" s="112"/>
      <c r="O1653" s="112"/>
      <c r="P1653" s="112"/>
    </row>
    <row r="1654" spans="14:16" s="94" customFormat="1">
      <c r="N1654" s="112"/>
      <c r="O1654" s="112"/>
      <c r="P1654" s="112"/>
    </row>
    <row r="1655" spans="14:16" s="94" customFormat="1">
      <c r="N1655" s="112"/>
      <c r="O1655" s="112"/>
      <c r="P1655" s="112"/>
    </row>
    <row r="1656" spans="14:16" s="94" customFormat="1">
      <c r="N1656" s="112"/>
      <c r="O1656" s="112"/>
      <c r="P1656" s="112"/>
    </row>
    <row r="1657" spans="14:16" s="94" customFormat="1">
      <c r="N1657" s="112"/>
      <c r="O1657" s="112"/>
      <c r="P1657" s="112"/>
    </row>
    <row r="1658" spans="14:16" s="94" customFormat="1">
      <c r="N1658" s="112"/>
      <c r="O1658" s="112"/>
      <c r="P1658" s="112"/>
    </row>
    <row r="1659" spans="14:16" s="94" customFormat="1">
      <c r="N1659" s="112"/>
      <c r="O1659" s="112"/>
      <c r="P1659" s="112"/>
    </row>
    <row r="1660" spans="14:16" s="94" customFormat="1">
      <c r="N1660" s="112"/>
      <c r="O1660" s="112"/>
      <c r="P1660" s="112"/>
    </row>
    <row r="1661" spans="14:16" s="94" customFormat="1">
      <c r="N1661" s="112"/>
      <c r="O1661" s="112"/>
      <c r="P1661" s="112"/>
    </row>
    <row r="1662" spans="14:16" s="94" customFormat="1">
      <c r="N1662" s="112"/>
      <c r="O1662" s="112"/>
      <c r="P1662" s="112"/>
    </row>
    <row r="1663" spans="14:16" s="94" customFormat="1">
      <c r="N1663" s="112"/>
      <c r="O1663" s="112"/>
      <c r="P1663" s="112"/>
    </row>
    <row r="1664" spans="14:16" s="94" customFormat="1">
      <c r="N1664" s="112"/>
      <c r="O1664" s="112"/>
      <c r="P1664" s="112"/>
    </row>
    <row r="1665" spans="14:16" s="94" customFormat="1">
      <c r="N1665" s="112"/>
      <c r="O1665" s="112"/>
      <c r="P1665" s="112"/>
    </row>
    <row r="1666" spans="14:16" s="94" customFormat="1">
      <c r="N1666" s="112"/>
      <c r="O1666" s="112"/>
      <c r="P1666" s="112"/>
    </row>
    <row r="1667" spans="14:16" s="94" customFormat="1">
      <c r="N1667" s="112"/>
      <c r="O1667" s="112"/>
      <c r="P1667" s="112"/>
    </row>
    <row r="1668" spans="14:16" s="94" customFormat="1">
      <c r="N1668" s="112"/>
      <c r="O1668" s="112"/>
      <c r="P1668" s="112"/>
    </row>
    <row r="1669" spans="14:16" s="94" customFormat="1">
      <c r="N1669" s="112"/>
      <c r="O1669" s="112"/>
      <c r="P1669" s="112"/>
    </row>
    <row r="1670" spans="14:16" s="94" customFormat="1">
      <c r="N1670" s="112"/>
      <c r="O1670" s="112"/>
      <c r="P1670" s="112"/>
    </row>
    <row r="1671" spans="14:16" s="94" customFormat="1">
      <c r="N1671" s="112"/>
      <c r="O1671" s="112"/>
      <c r="P1671" s="112"/>
    </row>
    <row r="1672" spans="14:16" s="94" customFormat="1">
      <c r="N1672" s="112"/>
      <c r="O1672" s="112"/>
      <c r="P1672" s="112"/>
    </row>
    <row r="1673" spans="14:16" s="94" customFormat="1">
      <c r="N1673" s="112"/>
      <c r="O1673" s="112"/>
      <c r="P1673" s="112"/>
    </row>
    <row r="1674" spans="14:16" s="94" customFormat="1">
      <c r="N1674" s="112"/>
      <c r="O1674" s="112"/>
      <c r="P1674" s="112"/>
    </row>
    <row r="1675" spans="14:16" s="94" customFormat="1">
      <c r="N1675" s="112"/>
      <c r="O1675" s="112"/>
      <c r="P1675" s="112"/>
    </row>
    <row r="1676" spans="14:16" s="94" customFormat="1">
      <c r="N1676" s="112"/>
      <c r="O1676" s="112"/>
      <c r="P1676" s="112"/>
    </row>
    <row r="1677" spans="14:16" s="94" customFormat="1">
      <c r="N1677" s="112"/>
      <c r="O1677" s="112"/>
      <c r="P1677" s="112"/>
    </row>
    <row r="1678" spans="14:16" s="94" customFormat="1">
      <c r="N1678" s="112"/>
      <c r="O1678" s="112"/>
      <c r="P1678" s="112"/>
    </row>
    <row r="1679" spans="14:16" s="94" customFormat="1">
      <c r="N1679" s="112"/>
      <c r="O1679" s="112"/>
      <c r="P1679" s="112"/>
    </row>
    <row r="1680" spans="14:16" s="94" customFormat="1">
      <c r="N1680" s="112"/>
      <c r="O1680" s="112"/>
      <c r="P1680" s="112"/>
    </row>
    <row r="1681" spans="14:16" s="94" customFormat="1">
      <c r="N1681" s="112"/>
      <c r="O1681" s="112"/>
      <c r="P1681" s="112"/>
    </row>
    <row r="1682" spans="14:16" s="94" customFormat="1">
      <c r="N1682" s="112"/>
      <c r="O1682" s="112"/>
      <c r="P1682" s="112"/>
    </row>
    <row r="1683" spans="14:16" s="94" customFormat="1">
      <c r="N1683" s="112"/>
      <c r="O1683" s="112"/>
      <c r="P1683" s="112"/>
    </row>
    <row r="1684" spans="14:16" s="94" customFormat="1">
      <c r="N1684" s="112"/>
      <c r="O1684" s="112"/>
      <c r="P1684" s="112"/>
    </row>
    <row r="1685" spans="14:16" s="94" customFormat="1">
      <c r="N1685" s="112"/>
      <c r="O1685" s="112"/>
      <c r="P1685" s="112"/>
    </row>
    <row r="1686" spans="14:16" s="94" customFormat="1">
      <c r="N1686" s="112"/>
      <c r="O1686" s="112"/>
      <c r="P1686" s="112"/>
    </row>
    <row r="1687" spans="14:16" s="94" customFormat="1">
      <c r="N1687" s="112"/>
      <c r="O1687" s="112"/>
      <c r="P1687" s="112"/>
    </row>
    <row r="1688" spans="14:16" s="94" customFormat="1">
      <c r="N1688" s="112"/>
      <c r="O1688" s="112"/>
      <c r="P1688" s="112"/>
    </row>
    <row r="1689" spans="14:16" s="94" customFormat="1">
      <c r="N1689" s="112"/>
      <c r="O1689" s="112"/>
      <c r="P1689" s="112"/>
    </row>
    <row r="1690" spans="14:16" s="94" customFormat="1">
      <c r="N1690" s="112"/>
      <c r="O1690" s="112"/>
      <c r="P1690" s="112"/>
    </row>
    <row r="1691" spans="14:16" s="94" customFormat="1">
      <c r="N1691" s="112"/>
      <c r="O1691" s="112"/>
      <c r="P1691" s="112"/>
    </row>
    <row r="1692" spans="14:16" s="94" customFormat="1">
      <c r="N1692" s="112"/>
      <c r="O1692" s="112"/>
      <c r="P1692" s="112"/>
    </row>
    <row r="1693" spans="14:16" s="94" customFormat="1">
      <c r="N1693" s="112"/>
      <c r="O1693" s="112"/>
      <c r="P1693" s="112"/>
    </row>
    <row r="1694" spans="14:16" s="94" customFormat="1">
      <c r="N1694" s="112"/>
      <c r="O1694" s="112"/>
      <c r="P1694" s="112"/>
    </row>
    <row r="1695" spans="14:16" s="94" customFormat="1">
      <c r="N1695" s="112"/>
      <c r="O1695" s="112"/>
      <c r="P1695" s="112"/>
    </row>
    <row r="1696" spans="14:16" s="94" customFormat="1">
      <c r="N1696" s="112"/>
      <c r="O1696" s="112"/>
      <c r="P1696" s="112"/>
    </row>
    <row r="1697" spans="14:16" s="94" customFormat="1">
      <c r="N1697" s="112"/>
      <c r="O1697" s="112"/>
      <c r="P1697" s="112"/>
    </row>
    <row r="1698" spans="14:16" s="94" customFormat="1">
      <c r="N1698" s="112"/>
      <c r="O1698" s="112"/>
      <c r="P1698" s="112"/>
    </row>
    <row r="1699" spans="14:16" s="94" customFormat="1">
      <c r="N1699" s="112"/>
      <c r="O1699" s="112"/>
      <c r="P1699" s="112"/>
    </row>
    <row r="1700" spans="14:16" s="94" customFormat="1">
      <c r="N1700" s="112"/>
      <c r="O1700" s="112"/>
      <c r="P1700" s="112"/>
    </row>
    <row r="1701" spans="14:16" s="94" customFormat="1">
      <c r="N1701" s="112"/>
      <c r="O1701" s="112"/>
      <c r="P1701" s="112"/>
    </row>
    <row r="1702" spans="14:16" s="94" customFormat="1">
      <c r="N1702" s="112"/>
      <c r="O1702" s="112"/>
      <c r="P1702" s="112"/>
    </row>
    <row r="1703" spans="14:16" s="94" customFormat="1">
      <c r="N1703" s="112"/>
      <c r="O1703" s="112"/>
      <c r="P1703" s="112"/>
    </row>
    <row r="1704" spans="14:16" s="94" customFormat="1">
      <c r="N1704" s="112"/>
      <c r="O1704" s="112"/>
      <c r="P1704" s="112"/>
    </row>
    <row r="1705" spans="14:16" s="94" customFormat="1">
      <c r="N1705" s="112"/>
      <c r="O1705" s="112"/>
      <c r="P1705" s="112"/>
    </row>
    <row r="1706" spans="14:16" s="94" customFormat="1">
      <c r="N1706" s="112"/>
      <c r="O1706" s="112"/>
      <c r="P1706" s="112"/>
    </row>
    <row r="1707" spans="14:16" s="94" customFormat="1">
      <c r="N1707" s="112"/>
      <c r="O1707" s="112"/>
      <c r="P1707" s="112"/>
    </row>
    <row r="1708" spans="14:16" s="94" customFormat="1">
      <c r="N1708" s="112"/>
      <c r="O1708" s="112"/>
      <c r="P1708" s="112"/>
    </row>
    <row r="1709" spans="14:16" s="94" customFormat="1">
      <c r="N1709" s="112"/>
      <c r="O1709" s="112"/>
      <c r="P1709" s="112"/>
    </row>
    <row r="1710" spans="14:16" s="94" customFormat="1">
      <c r="N1710" s="112"/>
      <c r="O1710" s="112"/>
      <c r="P1710" s="112"/>
    </row>
    <row r="1711" spans="14:16" s="94" customFormat="1">
      <c r="N1711" s="112"/>
      <c r="O1711" s="112"/>
      <c r="P1711" s="112"/>
    </row>
    <row r="1712" spans="14:16" s="94" customFormat="1">
      <c r="N1712" s="112"/>
      <c r="O1712" s="112"/>
      <c r="P1712" s="112"/>
    </row>
    <row r="1713" spans="14:16" s="94" customFormat="1">
      <c r="N1713" s="112"/>
      <c r="O1713" s="112"/>
      <c r="P1713" s="112"/>
    </row>
    <row r="1714" spans="14:16" s="94" customFormat="1">
      <c r="N1714" s="112"/>
      <c r="O1714" s="112"/>
      <c r="P1714" s="112"/>
    </row>
    <row r="1715" spans="14:16" s="94" customFormat="1">
      <c r="N1715" s="112"/>
      <c r="O1715" s="112"/>
      <c r="P1715" s="112"/>
    </row>
    <row r="1716" spans="14:16" s="94" customFormat="1">
      <c r="N1716" s="112"/>
      <c r="O1716" s="112"/>
      <c r="P1716" s="112"/>
    </row>
    <row r="1717" spans="14:16" s="94" customFormat="1">
      <c r="N1717" s="112"/>
      <c r="O1717" s="112"/>
      <c r="P1717" s="112"/>
    </row>
    <row r="1718" spans="14:16" s="94" customFormat="1">
      <c r="N1718" s="112"/>
      <c r="O1718" s="112"/>
      <c r="P1718" s="112"/>
    </row>
    <row r="1719" spans="14:16" s="94" customFormat="1">
      <c r="N1719" s="112"/>
      <c r="O1719" s="112"/>
      <c r="P1719" s="112"/>
    </row>
    <row r="1720" spans="14:16" s="94" customFormat="1">
      <c r="N1720" s="112"/>
      <c r="O1720" s="112"/>
      <c r="P1720" s="112"/>
    </row>
    <row r="1721" spans="14:16" s="94" customFormat="1">
      <c r="N1721" s="112"/>
      <c r="O1721" s="112"/>
      <c r="P1721" s="112"/>
    </row>
    <row r="1722" spans="14:16" s="94" customFormat="1">
      <c r="N1722" s="112"/>
      <c r="O1722" s="112"/>
      <c r="P1722" s="112"/>
    </row>
    <row r="1723" spans="14:16" s="94" customFormat="1">
      <c r="N1723" s="112"/>
      <c r="O1723" s="112"/>
      <c r="P1723" s="112"/>
    </row>
    <row r="1724" spans="14:16" s="94" customFormat="1">
      <c r="N1724" s="112"/>
      <c r="O1724" s="112"/>
      <c r="P1724" s="112"/>
    </row>
    <row r="1725" spans="14:16" s="94" customFormat="1">
      <c r="N1725" s="112"/>
      <c r="O1725" s="112"/>
      <c r="P1725" s="112"/>
    </row>
    <row r="1726" spans="14:16" s="94" customFormat="1">
      <c r="N1726" s="112"/>
      <c r="O1726" s="112"/>
      <c r="P1726" s="112"/>
    </row>
    <row r="1727" spans="14:16" s="94" customFormat="1">
      <c r="N1727" s="112"/>
      <c r="O1727" s="112"/>
      <c r="P1727" s="112"/>
    </row>
    <row r="1728" spans="14:16" s="94" customFormat="1">
      <c r="N1728" s="112"/>
      <c r="O1728" s="112"/>
      <c r="P1728" s="112"/>
    </row>
    <row r="1729" spans="14:16" s="94" customFormat="1">
      <c r="N1729" s="112"/>
      <c r="O1729" s="112"/>
      <c r="P1729" s="112"/>
    </row>
    <row r="1730" spans="14:16" s="94" customFormat="1">
      <c r="N1730" s="112"/>
      <c r="O1730" s="112"/>
      <c r="P1730" s="112"/>
    </row>
    <row r="1731" spans="14:16" s="94" customFormat="1">
      <c r="N1731" s="112"/>
      <c r="O1731" s="112"/>
      <c r="P1731" s="112"/>
    </row>
    <row r="1732" spans="14:16" s="94" customFormat="1">
      <c r="N1732" s="112"/>
      <c r="O1732" s="112"/>
      <c r="P1732" s="112"/>
    </row>
    <row r="1733" spans="14:16" s="94" customFormat="1">
      <c r="N1733" s="112"/>
      <c r="O1733" s="112"/>
      <c r="P1733" s="112"/>
    </row>
    <row r="1734" spans="14:16" s="94" customFormat="1">
      <c r="N1734" s="112"/>
      <c r="O1734" s="112"/>
      <c r="P1734" s="112"/>
    </row>
    <row r="1735" spans="14:16" s="94" customFormat="1">
      <c r="N1735" s="112"/>
      <c r="O1735" s="112"/>
      <c r="P1735" s="112"/>
    </row>
    <row r="1736" spans="14:16" s="94" customFormat="1">
      <c r="N1736" s="112"/>
      <c r="O1736" s="112"/>
      <c r="P1736" s="112"/>
    </row>
    <row r="1737" spans="14:16" s="94" customFormat="1">
      <c r="N1737" s="112"/>
      <c r="O1737" s="112"/>
      <c r="P1737" s="112"/>
    </row>
    <row r="1738" spans="14:16" s="94" customFormat="1">
      <c r="N1738" s="112"/>
      <c r="O1738" s="112"/>
      <c r="P1738" s="112"/>
    </row>
    <row r="1739" spans="14:16" s="94" customFormat="1">
      <c r="N1739" s="112"/>
      <c r="O1739" s="112"/>
      <c r="P1739" s="112"/>
    </row>
    <row r="1740" spans="14:16" s="94" customFormat="1">
      <c r="N1740" s="112"/>
      <c r="O1740" s="112"/>
      <c r="P1740" s="112"/>
    </row>
    <row r="1741" spans="14:16" s="94" customFormat="1">
      <c r="N1741" s="112"/>
      <c r="O1741" s="112"/>
      <c r="P1741" s="112"/>
    </row>
    <row r="1742" spans="14:16" s="94" customFormat="1">
      <c r="N1742" s="112"/>
      <c r="O1742" s="112"/>
      <c r="P1742" s="112"/>
    </row>
    <row r="1743" spans="14:16" s="94" customFormat="1">
      <c r="N1743" s="112"/>
      <c r="O1743" s="112"/>
      <c r="P1743" s="112"/>
    </row>
    <row r="1744" spans="14:16" s="94" customFormat="1">
      <c r="N1744" s="112"/>
      <c r="O1744" s="112"/>
      <c r="P1744" s="112"/>
    </row>
    <row r="1745" spans="14:16" s="94" customFormat="1">
      <c r="N1745" s="112"/>
      <c r="O1745" s="112"/>
      <c r="P1745" s="112"/>
    </row>
    <row r="1746" spans="14:16" s="94" customFormat="1">
      <c r="N1746" s="112"/>
      <c r="O1746" s="112"/>
      <c r="P1746" s="112"/>
    </row>
    <row r="1747" spans="14:16" s="94" customFormat="1">
      <c r="N1747" s="112"/>
      <c r="O1747" s="112"/>
      <c r="P1747" s="112"/>
    </row>
    <row r="1748" spans="14:16" s="94" customFormat="1">
      <c r="N1748" s="112"/>
      <c r="O1748" s="112"/>
      <c r="P1748" s="112"/>
    </row>
    <row r="1749" spans="14:16" s="94" customFormat="1">
      <c r="N1749" s="112"/>
      <c r="O1749" s="112"/>
      <c r="P1749" s="112"/>
    </row>
    <row r="1750" spans="14:16" s="94" customFormat="1">
      <c r="N1750" s="112"/>
      <c r="O1750" s="112"/>
      <c r="P1750" s="112"/>
    </row>
    <row r="1751" spans="14:16" s="94" customFormat="1">
      <c r="N1751" s="112"/>
      <c r="O1751" s="112"/>
      <c r="P1751" s="112"/>
    </row>
    <row r="1752" spans="14:16" s="94" customFormat="1">
      <c r="N1752" s="112"/>
      <c r="O1752" s="112"/>
      <c r="P1752" s="112"/>
    </row>
    <row r="1753" spans="14:16" s="94" customFormat="1">
      <c r="N1753" s="112"/>
      <c r="O1753" s="112"/>
      <c r="P1753" s="112"/>
    </row>
    <row r="1754" spans="14:16" s="94" customFormat="1">
      <c r="N1754" s="112"/>
      <c r="O1754" s="112"/>
      <c r="P1754" s="112"/>
    </row>
    <row r="1755" spans="14:16" s="94" customFormat="1">
      <c r="N1755" s="112"/>
      <c r="O1755" s="112"/>
      <c r="P1755" s="112"/>
    </row>
    <row r="1756" spans="14:16" s="94" customFormat="1">
      <c r="N1756" s="112"/>
      <c r="O1756" s="112"/>
      <c r="P1756" s="112"/>
    </row>
    <row r="1757" spans="14:16" s="94" customFormat="1">
      <c r="N1757" s="112"/>
      <c r="O1757" s="112"/>
      <c r="P1757" s="112"/>
    </row>
    <row r="1758" spans="14:16" s="94" customFormat="1">
      <c r="N1758" s="112"/>
      <c r="O1758" s="112"/>
      <c r="P1758" s="112"/>
    </row>
    <row r="1759" spans="14:16" s="94" customFormat="1">
      <c r="N1759" s="112"/>
      <c r="O1759" s="112"/>
      <c r="P1759" s="112"/>
    </row>
    <row r="1760" spans="14:16" s="94" customFormat="1">
      <c r="N1760" s="112"/>
      <c r="O1760" s="112"/>
      <c r="P1760" s="112"/>
    </row>
    <row r="1761" spans="14:16" s="94" customFormat="1">
      <c r="N1761" s="112"/>
      <c r="O1761" s="112"/>
      <c r="P1761" s="112"/>
    </row>
    <row r="1762" spans="14:16" s="94" customFormat="1">
      <c r="N1762" s="112"/>
      <c r="O1762" s="112"/>
      <c r="P1762" s="112"/>
    </row>
    <row r="1763" spans="14:16" s="94" customFormat="1">
      <c r="N1763" s="112"/>
      <c r="O1763" s="112"/>
      <c r="P1763" s="112"/>
    </row>
    <row r="1764" spans="14:16" s="94" customFormat="1">
      <c r="N1764" s="112"/>
      <c r="O1764" s="112"/>
      <c r="P1764" s="112"/>
    </row>
    <row r="1765" spans="14:16" s="94" customFormat="1">
      <c r="N1765" s="112"/>
      <c r="O1765" s="112"/>
      <c r="P1765" s="112"/>
    </row>
    <row r="1766" spans="14:16" s="94" customFormat="1">
      <c r="N1766" s="112"/>
      <c r="O1766" s="112"/>
      <c r="P1766" s="112"/>
    </row>
    <row r="1767" spans="14:16" s="94" customFormat="1">
      <c r="N1767" s="112"/>
      <c r="O1767" s="112"/>
      <c r="P1767" s="112"/>
    </row>
    <row r="1768" spans="14:16" s="94" customFormat="1">
      <c r="N1768" s="112"/>
      <c r="O1768" s="112"/>
      <c r="P1768" s="112"/>
    </row>
    <row r="1769" spans="14:16" s="94" customFormat="1">
      <c r="N1769" s="112"/>
      <c r="O1769" s="112"/>
      <c r="P1769" s="112"/>
    </row>
    <row r="1770" spans="14:16" s="94" customFormat="1">
      <c r="N1770" s="112"/>
      <c r="O1770" s="112"/>
      <c r="P1770" s="112"/>
    </row>
    <row r="1771" spans="14:16" s="94" customFormat="1">
      <c r="N1771" s="112"/>
      <c r="O1771" s="112"/>
      <c r="P1771" s="112"/>
    </row>
    <row r="1772" spans="14:16" s="94" customFormat="1">
      <c r="N1772" s="112"/>
      <c r="O1772" s="112"/>
      <c r="P1772" s="112"/>
    </row>
    <row r="1773" spans="14:16" s="94" customFormat="1">
      <c r="N1773" s="112"/>
      <c r="O1773" s="112"/>
      <c r="P1773" s="112"/>
    </row>
    <row r="1774" spans="14:16" s="94" customFormat="1">
      <c r="N1774" s="112"/>
      <c r="O1774" s="112"/>
      <c r="P1774" s="112"/>
    </row>
    <row r="1775" spans="14:16" s="94" customFormat="1">
      <c r="N1775" s="112"/>
      <c r="O1775" s="112"/>
      <c r="P1775" s="112"/>
    </row>
    <row r="1776" spans="14:16" s="94" customFormat="1">
      <c r="N1776" s="112"/>
      <c r="O1776" s="112"/>
      <c r="P1776" s="112"/>
    </row>
    <row r="1777" spans="14:16" s="94" customFormat="1">
      <c r="N1777" s="112"/>
      <c r="O1777" s="112"/>
      <c r="P1777" s="112"/>
    </row>
    <row r="1778" spans="14:16" s="94" customFormat="1">
      <c r="N1778" s="112"/>
      <c r="O1778" s="112"/>
      <c r="P1778" s="112"/>
    </row>
    <row r="1779" spans="14:16" s="94" customFormat="1">
      <c r="N1779" s="112"/>
      <c r="O1779" s="112"/>
      <c r="P1779" s="112"/>
    </row>
    <row r="1780" spans="14:16" s="94" customFormat="1">
      <c r="N1780" s="112"/>
      <c r="O1780" s="112"/>
      <c r="P1780" s="112"/>
    </row>
    <row r="1781" spans="14:16" s="94" customFormat="1">
      <c r="N1781" s="112"/>
      <c r="O1781" s="112"/>
      <c r="P1781" s="112"/>
    </row>
    <row r="1782" spans="14:16" s="94" customFormat="1">
      <c r="N1782" s="112"/>
      <c r="O1782" s="112"/>
      <c r="P1782" s="112"/>
    </row>
    <row r="1783" spans="14:16" s="94" customFormat="1">
      <c r="N1783" s="112"/>
      <c r="O1783" s="112"/>
      <c r="P1783" s="112"/>
    </row>
    <row r="1784" spans="14:16" s="94" customFormat="1">
      <c r="N1784" s="112"/>
      <c r="O1784" s="112"/>
      <c r="P1784" s="112"/>
    </row>
    <row r="1785" spans="14:16" s="94" customFormat="1">
      <c r="N1785" s="112"/>
      <c r="O1785" s="112"/>
      <c r="P1785" s="112"/>
    </row>
    <row r="1786" spans="14:16" s="94" customFormat="1">
      <c r="N1786" s="112"/>
      <c r="O1786" s="112"/>
      <c r="P1786" s="112"/>
    </row>
    <row r="1787" spans="14:16" s="94" customFormat="1">
      <c r="N1787" s="112"/>
      <c r="O1787" s="112"/>
      <c r="P1787" s="112"/>
    </row>
    <row r="1788" spans="14:16" s="94" customFormat="1">
      <c r="N1788" s="112"/>
      <c r="O1788" s="112"/>
      <c r="P1788" s="112"/>
    </row>
    <row r="1789" spans="14:16" s="94" customFormat="1">
      <c r="N1789" s="112"/>
      <c r="O1789" s="112"/>
      <c r="P1789" s="112"/>
    </row>
    <row r="1790" spans="14:16" s="94" customFormat="1">
      <c r="N1790" s="112"/>
      <c r="O1790" s="112"/>
      <c r="P1790" s="112"/>
    </row>
    <row r="1791" spans="14:16" s="94" customFormat="1">
      <c r="N1791" s="112"/>
      <c r="O1791" s="112"/>
      <c r="P1791" s="112"/>
    </row>
    <row r="1792" spans="14:16" s="94" customFormat="1">
      <c r="N1792" s="112"/>
      <c r="O1792" s="112"/>
      <c r="P1792" s="112"/>
    </row>
    <row r="1793" spans="14:16" s="94" customFormat="1">
      <c r="N1793" s="112"/>
      <c r="O1793" s="112"/>
      <c r="P1793" s="112"/>
    </row>
    <row r="1794" spans="14:16" s="94" customFormat="1">
      <c r="N1794" s="112"/>
      <c r="O1794" s="112"/>
      <c r="P1794" s="112"/>
    </row>
    <row r="1795" spans="14:16" s="94" customFormat="1">
      <c r="N1795" s="112"/>
      <c r="O1795" s="112"/>
      <c r="P1795" s="112"/>
    </row>
    <row r="1796" spans="14:16" s="94" customFormat="1">
      <c r="N1796" s="112"/>
      <c r="O1796" s="112"/>
      <c r="P1796" s="112"/>
    </row>
    <row r="1797" spans="14:16" s="94" customFormat="1">
      <c r="N1797" s="112"/>
      <c r="O1797" s="112"/>
      <c r="P1797" s="112"/>
    </row>
    <row r="1798" spans="14:16" s="94" customFormat="1">
      <c r="N1798" s="112"/>
      <c r="O1798" s="112"/>
      <c r="P1798" s="112"/>
    </row>
    <row r="1799" spans="14:16" s="94" customFormat="1">
      <c r="N1799" s="112"/>
      <c r="O1799" s="112"/>
      <c r="P1799" s="112"/>
    </row>
    <row r="1800" spans="14:16" s="94" customFormat="1">
      <c r="N1800" s="112"/>
      <c r="O1800" s="112"/>
      <c r="P1800" s="112"/>
    </row>
    <row r="1801" spans="14:16" s="94" customFormat="1">
      <c r="N1801" s="112"/>
      <c r="O1801" s="112"/>
      <c r="P1801" s="112"/>
    </row>
    <row r="1802" spans="14:16" s="94" customFormat="1">
      <c r="N1802" s="112"/>
      <c r="O1802" s="112"/>
      <c r="P1802" s="112"/>
    </row>
    <row r="1803" spans="14:16" s="94" customFormat="1">
      <c r="N1803" s="112"/>
      <c r="O1803" s="112"/>
      <c r="P1803" s="112"/>
    </row>
    <row r="1804" spans="14:16" s="94" customFormat="1">
      <c r="N1804" s="112"/>
      <c r="O1804" s="112"/>
      <c r="P1804" s="112"/>
    </row>
    <row r="1805" spans="14:16" s="94" customFormat="1">
      <c r="N1805" s="112"/>
      <c r="O1805" s="112"/>
      <c r="P1805" s="112"/>
    </row>
    <row r="1806" spans="14:16" s="94" customFormat="1">
      <c r="N1806" s="112"/>
      <c r="O1806" s="112"/>
      <c r="P1806" s="112"/>
    </row>
    <row r="1807" spans="14:16" s="94" customFormat="1">
      <c r="N1807" s="112"/>
      <c r="O1807" s="112"/>
      <c r="P1807" s="112"/>
    </row>
    <row r="1808" spans="14:16" s="94" customFormat="1">
      <c r="N1808" s="112"/>
      <c r="O1808" s="112"/>
      <c r="P1808" s="112"/>
    </row>
    <row r="1809" spans="14:16" s="94" customFormat="1">
      <c r="N1809" s="112"/>
      <c r="O1809" s="112"/>
      <c r="P1809" s="112"/>
    </row>
    <row r="1810" spans="14:16" s="94" customFormat="1">
      <c r="N1810" s="112"/>
      <c r="O1810" s="112"/>
      <c r="P1810" s="112"/>
    </row>
    <row r="1811" spans="14:16" s="94" customFormat="1">
      <c r="N1811" s="112"/>
      <c r="O1811" s="112"/>
      <c r="P1811" s="112"/>
    </row>
    <row r="1812" spans="14:16" s="94" customFormat="1">
      <c r="N1812" s="112"/>
      <c r="O1812" s="112"/>
      <c r="P1812" s="112"/>
    </row>
    <row r="1813" spans="14:16" s="94" customFormat="1">
      <c r="N1813" s="112"/>
      <c r="O1813" s="112"/>
      <c r="P1813" s="112"/>
    </row>
    <row r="1814" spans="14:16" s="94" customFormat="1">
      <c r="N1814" s="112"/>
      <c r="O1814" s="112"/>
      <c r="P1814" s="112"/>
    </row>
    <row r="1815" spans="14:16" s="94" customFormat="1">
      <c r="N1815" s="112"/>
      <c r="O1815" s="112"/>
      <c r="P1815" s="112"/>
    </row>
    <row r="1816" spans="14:16" s="94" customFormat="1">
      <c r="N1816" s="112"/>
      <c r="O1816" s="112"/>
      <c r="P1816" s="112"/>
    </row>
    <row r="1817" spans="14:16" s="94" customFormat="1">
      <c r="N1817" s="112"/>
      <c r="O1817" s="112"/>
      <c r="P1817" s="112"/>
    </row>
    <row r="1818" spans="14:16" s="94" customFormat="1">
      <c r="N1818" s="112"/>
      <c r="O1818" s="112"/>
      <c r="P1818" s="112"/>
    </row>
    <row r="1819" spans="14:16" s="94" customFormat="1">
      <c r="N1819" s="112"/>
      <c r="O1819" s="112"/>
      <c r="P1819" s="112"/>
    </row>
    <row r="1820" spans="14:16" s="94" customFormat="1">
      <c r="N1820" s="112"/>
      <c r="O1820" s="112"/>
      <c r="P1820" s="112"/>
    </row>
    <row r="1821" spans="14:16" s="94" customFormat="1">
      <c r="N1821" s="112"/>
      <c r="O1821" s="112"/>
      <c r="P1821" s="112"/>
    </row>
    <row r="1822" spans="14:16" s="94" customFormat="1">
      <c r="N1822" s="112"/>
      <c r="O1822" s="112"/>
      <c r="P1822" s="112"/>
    </row>
    <row r="1823" spans="14:16" s="94" customFormat="1">
      <c r="N1823" s="112"/>
      <c r="O1823" s="112"/>
      <c r="P1823" s="112"/>
    </row>
    <row r="1824" spans="14:16" s="94" customFormat="1">
      <c r="N1824" s="112"/>
      <c r="O1824" s="112"/>
      <c r="P1824" s="112"/>
    </row>
    <row r="1825" spans="14:16" s="94" customFormat="1">
      <c r="N1825" s="112"/>
      <c r="O1825" s="112"/>
      <c r="P1825" s="112"/>
    </row>
    <row r="1826" spans="14:16" s="94" customFormat="1">
      <c r="N1826" s="112"/>
      <c r="O1826" s="112"/>
      <c r="P1826" s="112"/>
    </row>
    <row r="1827" spans="14:16" s="94" customFormat="1">
      <c r="N1827" s="112"/>
      <c r="O1827" s="112"/>
      <c r="P1827" s="112"/>
    </row>
    <row r="1828" spans="14:16" s="94" customFormat="1">
      <c r="N1828" s="112"/>
      <c r="O1828" s="112"/>
      <c r="P1828" s="112"/>
    </row>
    <row r="1829" spans="14:16" s="94" customFormat="1">
      <c r="N1829" s="112"/>
      <c r="O1829" s="112"/>
      <c r="P1829" s="112"/>
    </row>
    <row r="1830" spans="14:16" s="94" customFormat="1">
      <c r="N1830" s="112"/>
      <c r="O1830" s="112"/>
      <c r="P1830" s="112"/>
    </row>
    <row r="1831" spans="14:16" s="94" customFormat="1">
      <c r="N1831" s="112"/>
      <c r="O1831" s="112"/>
      <c r="P1831" s="112"/>
    </row>
    <row r="1832" spans="14:16" s="94" customFormat="1">
      <c r="N1832" s="112"/>
      <c r="O1832" s="112"/>
      <c r="P1832" s="112"/>
    </row>
    <row r="1833" spans="14:16" s="94" customFormat="1">
      <c r="N1833" s="112"/>
      <c r="O1833" s="112"/>
      <c r="P1833" s="112"/>
    </row>
    <row r="1834" spans="14:16" s="94" customFormat="1">
      <c r="N1834" s="112"/>
      <c r="O1834" s="112"/>
      <c r="P1834" s="112"/>
    </row>
    <row r="1835" spans="14:16" s="94" customFormat="1">
      <c r="N1835" s="112"/>
      <c r="O1835" s="112"/>
      <c r="P1835" s="112"/>
    </row>
    <row r="1836" spans="14:16" s="94" customFormat="1">
      <c r="N1836" s="112"/>
      <c r="O1836" s="112"/>
      <c r="P1836" s="112"/>
    </row>
    <row r="1837" spans="14:16" s="94" customFormat="1">
      <c r="N1837" s="112"/>
      <c r="O1837" s="112"/>
      <c r="P1837" s="112"/>
    </row>
    <row r="1838" spans="14:16" s="94" customFormat="1">
      <c r="N1838" s="112"/>
      <c r="O1838" s="112"/>
      <c r="P1838" s="112"/>
    </row>
    <row r="1839" spans="14:16" s="94" customFormat="1">
      <c r="N1839" s="112"/>
      <c r="O1839" s="112"/>
      <c r="P1839" s="112"/>
    </row>
    <row r="1840" spans="14:16" s="94" customFormat="1">
      <c r="N1840" s="112"/>
      <c r="O1840" s="112"/>
      <c r="P1840" s="112"/>
    </row>
    <row r="1841" spans="14:16" s="94" customFormat="1">
      <c r="N1841" s="112"/>
      <c r="O1841" s="112"/>
      <c r="P1841" s="112"/>
    </row>
    <row r="1842" spans="14:16" s="94" customFormat="1">
      <c r="N1842" s="112"/>
      <c r="O1842" s="112"/>
      <c r="P1842" s="112"/>
    </row>
    <row r="1843" spans="14:16" s="94" customFormat="1">
      <c r="N1843" s="112"/>
      <c r="O1843" s="112"/>
      <c r="P1843" s="112"/>
    </row>
    <row r="1844" spans="14:16" s="94" customFormat="1">
      <c r="N1844" s="112"/>
      <c r="O1844" s="112"/>
      <c r="P1844" s="112"/>
    </row>
    <row r="1845" spans="14:16" s="94" customFormat="1">
      <c r="N1845" s="112"/>
      <c r="O1845" s="112"/>
      <c r="P1845" s="112"/>
    </row>
    <row r="1846" spans="14:16" s="94" customFormat="1">
      <c r="N1846" s="112"/>
      <c r="O1846" s="112"/>
      <c r="P1846" s="112"/>
    </row>
    <row r="1847" spans="14:16" s="94" customFormat="1">
      <c r="N1847" s="112"/>
      <c r="O1847" s="112"/>
      <c r="P1847" s="112"/>
    </row>
    <row r="1848" spans="14:16" s="94" customFormat="1">
      <c r="N1848" s="112"/>
      <c r="O1848" s="112"/>
      <c r="P1848" s="112"/>
    </row>
    <row r="1849" spans="14:16" s="94" customFormat="1">
      <c r="N1849" s="112"/>
      <c r="O1849" s="112"/>
      <c r="P1849" s="112"/>
    </row>
    <row r="1850" spans="14:16" s="94" customFormat="1">
      <c r="N1850" s="112"/>
      <c r="O1850" s="112"/>
      <c r="P1850" s="112"/>
    </row>
    <row r="1851" spans="14:16" s="94" customFormat="1">
      <c r="N1851" s="112"/>
      <c r="O1851" s="112"/>
      <c r="P1851" s="112"/>
    </row>
    <row r="1852" spans="14:16" s="94" customFormat="1">
      <c r="N1852" s="112"/>
      <c r="O1852" s="112"/>
      <c r="P1852" s="112"/>
    </row>
    <row r="1853" spans="14:16" s="94" customFormat="1">
      <c r="N1853" s="112"/>
      <c r="O1853" s="112"/>
      <c r="P1853" s="112"/>
    </row>
    <row r="1854" spans="14:16" s="94" customFormat="1">
      <c r="N1854" s="112"/>
      <c r="O1854" s="112"/>
      <c r="P1854" s="112"/>
    </row>
    <row r="1855" spans="14:16" s="94" customFormat="1">
      <c r="N1855" s="112"/>
      <c r="O1855" s="112"/>
      <c r="P1855" s="112"/>
    </row>
    <row r="1856" spans="14:16" s="94" customFormat="1">
      <c r="N1856" s="112"/>
      <c r="O1856" s="112"/>
      <c r="P1856" s="112"/>
    </row>
    <row r="1857" spans="14:16" s="94" customFormat="1">
      <c r="N1857" s="112"/>
      <c r="O1857" s="112"/>
      <c r="P1857" s="112"/>
    </row>
    <row r="1858" spans="14:16" s="94" customFormat="1">
      <c r="N1858" s="112"/>
      <c r="O1858" s="112"/>
      <c r="P1858" s="112"/>
    </row>
    <row r="1859" spans="14:16" s="94" customFormat="1">
      <c r="N1859" s="112"/>
      <c r="O1859" s="112"/>
      <c r="P1859" s="112"/>
    </row>
    <row r="1860" spans="14:16" s="94" customFormat="1">
      <c r="N1860" s="112"/>
      <c r="O1860" s="112"/>
      <c r="P1860" s="112"/>
    </row>
    <row r="1861" spans="14:16" s="94" customFormat="1">
      <c r="N1861" s="112"/>
      <c r="O1861" s="112"/>
      <c r="P1861" s="112"/>
    </row>
    <row r="1862" spans="14:16" s="94" customFormat="1">
      <c r="N1862" s="112"/>
      <c r="O1862" s="112"/>
      <c r="P1862" s="112"/>
    </row>
    <row r="1863" spans="14:16" s="94" customFormat="1">
      <c r="N1863" s="112"/>
      <c r="O1863" s="112"/>
      <c r="P1863" s="112"/>
    </row>
    <row r="1864" spans="14:16" s="94" customFormat="1">
      <c r="N1864" s="112"/>
      <c r="O1864" s="112"/>
      <c r="P1864" s="112"/>
    </row>
    <row r="1865" spans="14:16" s="94" customFormat="1">
      <c r="N1865" s="112"/>
      <c r="O1865" s="112"/>
      <c r="P1865" s="112"/>
    </row>
    <row r="1866" spans="14:16" s="94" customFormat="1">
      <c r="N1866" s="112"/>
      <c r="O1866" s="112"/>
      <c r="P1866" s="112"/>
    </row>
    <row r="1867" spans="14:16" s="94" customFormat="1">
      <c r="N1867" s="112"/>
      <c r="O1867" s="112"/>
      <c r="P1867" s="112"/>
    </row>
    <row r="1868" spans="14:16" s="94" customFormat="1">
      <c r="N1868" s="112"/>
      <c r="O1868" s="112"/>
      <c r="P1868" s="112"/>
    </row>
    <row r="1869" spans="14:16" s="94" customFormat="1">
      <c r="N1869" s="112"/>
      <c r="O1869" s="112"/>
      <c r="P1869" s="112"/>
    </row>
    <row r="1870" spans="14:16" s="94" customFormat="1">
      <c r="N1870" s="112"/>
      <c r="O1870" s="112"/>
      <c r="P1870" s="112"/>
    </row>
    <row r="1871" spans="14:16" s="94" customFormat="1">
      <c r="N1871" s="112"/>
      <c r="O1871" s="112"/>
      <c r="P1871" s="112"/>
    </row>
    <row r="1872" spans="14:16" s="94" customFormat="1">
      <c r="N1872" s="112"/>
      <c r="O1872" s="112"/>
      <c r="P1872" s="112"/>
    </row>
    <row r="1873" spans="14:16" s="94" customFormat="1">
      <c r="N1873" s="112"/>
      <c r="O1873" s="112"/>
      <c r="P1873" s="112"/>
    </row>
    <row r="1874" spans="14:16" s="94" customFormat="1">
      <c r="N1874" s="112"/>
      <c r="O1874" s="112"/>
      <c r="P1874" s="112"/>
    </row>
    <row r="1875" spans="14:16" s="94" customFormat="1">
      <c r="N1875" s="112"/>
      <c r="O1875" s="112"/>
      <c r="P1875" s="112"/>
    </row>
    <row r="1876" spans="14:16" s="94" customFormat="1">
      <c r="N1876" s="112"/>
      <c r="O1876" s="112"/>
      <c r="P1876" s="112"/>
    </row>
    <row r="1877" spans="14:16" s="94" customFormat="1">
      <c r="N1877" s="112"/>
      <c r="O1877" s="112"/>
      <c r="P1877" s="112"/>
    </row>
    <row r="1878" spans="14:16" s="94" customFormat="1">
      <c r="N1878" s="112"/>
      <c r="O1878" s="112"/>
      <c r="P1878" s="112"/>
    </row>
    <row r="1879" spans="14:16" s="94" customFormat="1">
      <c r="N1879" s="112"/>
      <c r="O1879" s="112"/>
      <c r="P1879" s="112"/>
    </row>
    <row r="1880" spans="14:16" s="94" customFormat="1">
      <c r="N1880" s="112"/>
      <c r="O1880" s="112"/>
      <c r="P1880" s="112"/>
    </row>
    <row r="1881" spans="14:16" s="94" customFormat="1">
      <c r="N1881" s="112"/>
      <c r="O1881" s="112"/>
      <c r="P1881" s="112"/>
    </row>
    <row r="1882" spans="14:16" s="94" customFormat="1">
      <c r="N1882" s="112"/>
      <c r="O1882" s="112"/>
      <c r="P1882" s="112"/>
    </row>
    <row r="1883" spans="14:16" s="94" customFormat="1">
      <c r="N1883" s="112"/>
      <c r="O1883" s="112"/>
      <c r="P1883" s="112"/>
    </row>
    <row r="1884" spans="14:16" s="94" customFormat="1">
      <c r="N1884" s="112"/>
      <c r="O1884" s="112"/>
      <c r="P1884" s="112"/>
    </row>
    <row r="1885" spans="14:16" s="94" customFormat="1">
      <c r="N1885" s="112"/>
      <c r="O1885" s="112"/>
      <c r="P1885" s="112"/>
    </row>
    <row r="1886" spans="14:16" s="94" customFormat="1">
      <c r="N1886" s="112"/>
      <c r="O1886" s="112"/>
      <c r="P1886" s="112"/>
    </row>
    <row r="1887" spans="14:16" s="94" customFormat="1">
      <c r="N1887" s="112"/>
      <c r="O1887" s="112"/>
      <c r="P1887" s="112"/>
    </row>
    <row r="1888" spans="14:16" s="94" customFormat="1">
      <c r="N1888" s="112"/>
      <c r="O1888" s="112"/>
      <c r="P1888" s="112"/>
    </row>
    <row r="1889" spans="14:16" s="94" customFormat="1">
      <c r="N1889" s="112"/>
      <c r="O1889" s="112"/>
      <c r="P1889" s="112"/>
    </row>
    <row r="1890" spans="14:16" s="94" customFormat="1">
      <c r="N1890" s="112"/>
      <c r="O1890" s="112"/>
      <c r="P1890" s="112"/>
    </row>
    <row r="1891" spans="14:16" s="94" customFormat="1">
      <c r="N1891" s="112"/>
      <c r="O1891" s="112"/>
      <c r="P1891" s="112"/>
    </row>
    <row r="1892" spans="14:16" s="94" customFormat="1">
      <c r="N1892" s="112"/>
      <c r="O1892" s="112"/>
      <c r="P1892" s="112"/>
    </row>
    <row r="1893" spans="14:16" s="94" customFormat="1">
      <c r="N1893" s="112"/>
      <c r="O1893" s="112"/>
      <c r="P1893" s="112"/>
    </row>
    <row r="1894" spans="14:16" s="94" customFormat="1">
      <c r="N1894" s="112"/>
      <c r="O1894" s="112"/>
      <c r="P1894" s="112"/>
    </row>
    <row r="1895" spans="14:16" s="94" customFormat="1">
      <c r="N1895" s="112"/>
      <c r="O1895" s="112"/>
      <c r="P1895" s="112"/>
    </row>
    <row r="1896" spans="14:16" s="94" customFormat="1">
      <c r="N1896" s="112"/>
      <c r="O1896" s="112"/>
      <c r="P1896" s="112"/>
    </row>
    <row r="1897" spans="14:16" s="94" customFormat="1">
      <c r="N1897" s="112"/>
      <c r="O1897" s="112"/>
      <c r="P1897" s="112"/>
    </row>
    <row r="1898" spans="14:16" s="94" customFormat="1">
      <c r="N1898" s="112"/>
      <c r="O1898" s="112"/>
      <c r="P1898" s="112"/>
    </row>
    <row r="1899" spans="14:16" s="94" customFormat="1">
      <c r="N1899" s="112"/>
      <c r="O1899" s="112"/>
      <c r="P1899" s="112"/>
    </row>
    <row r="1900" spans="14:16" s="94" customFormat="1">
      <c r="N1900" s="112"/>
      <c r="O1900" s="112"/>
      <c r="P1900" s="112"/>
    </row>
    <row r="1901" spans="14:16" s="94" customFormat="1">
      <c r="N1901" s="112"/>
      <c r="O1901" s="112"/>
      <c r="P1901" s="112"/>
    </row>
    <row r="1902" spans="14:16" s="94" customFormat="1">
      <c r="N1902" s="112"/>
      <c r="O1902" s="112"/>
      <c r="P1902" s="112"/>
    </row>
    <row r="1903" spans="14:16" s="94" customFormat="1">
      <c r="N1903" s="112"/>
      <c r="O1903" s="112"/>
      <c r="P1903" s="112"/>
    </row>
    <row r="1904" spans="14:16" s="94" customFormat="1">
      <c r="N1904" s="112"/>
      <c r="O1904" s="112"/>
      <c r="P1904" s="112"/>
    </row>
    <row r="1905" spans="14:16" s="94" customFormat="1">
      <c r="N1905" s="112"/>
      <c r="O1905" s="112"/>
      <c r="P1905" s="112"/>
    </row>
    <row r="1906" spans="14:16" s="94" customFormat="1">
      <c r="N1906" s="112"/>
      <c r="O1906" s="112"/>
      <c r="P1906" s="112"/>
    </row>
    <row r="1907" spans="14:16" s="94" customFormat="1">
      <c r="N1907" s="112"/>
      <c r="O1907" s="112"/>
      <c r="P1907" s="112"/>
    </row>
    <row r="1908" spans="14:16" s="94" customFormat="1">
      <c r="N1908" s="112"/>
      <c r="O1908" s="112"/>
      <c r="P1908" s="112"/>
    </row>
    <row r="1909" spans="14:16" s="94" customFormat="1">
      <c r="N1909" s="112"/>
      <c r="O1909" s="112"/>
      <c r="P1909" s="112"/>
    </row>
    <row r="1910" spans="14:16" s="94" customFormat="1">
      <c r="N1910" s="112"/>
      <c r="O1910" s="112"/>
      <c r="P1910" s="112"/>
    </row>
    <row r="1911" spans="14:16" s="94" customFormat="1">
      <c r="N1911" s="112"/>
      <c r="O1911" s="112"/>
      <c r="P1911" s="112"/>
    </row>
    <row r="1912" spans="14:16" s="94" customFormat="1">
      <c r="N1912" s="112"/>
      <c r="O1912" s="112"/>
      <c r="P1912" s="112"/>
    </row>
    <row r="1913" spans="14:16" s="94" customFormat="1">
      <c r="N1913" s="112"/>
      <c r="O1913" s="112"/>
      <c r="P1913" s="112"/>
    </row>
    <row r="1914" spans="14:16" s="94" customFormat="1">
      <c r="N1914" s="112"/>
      <c r="O1914" s="112"/>
      <c r="P1914" s="112"/>
    </row>
    <row r="1915" spans="14:16" s="94" customFormat="1">
      <c r="N1915" s="112"/>
      <c r="O1915" s="112"/>
      <c r="P1915" s="112"/>
    </row>
    <row r="1916" spans="14:16" s="94" customFormat="1">
      <c r="N1916" s="112"/>
      <c r="O1916" s="112"/>
      <c r="P1916" s="112"/>
    </row>
    <row r="1917" spans="14:16" s="94" customFormat="1">
      <c r="N1917" s="112"/>
      <c r="O1917" s="112"/>
      <c r="P1917" s="112"/>
    </row>
    <row r="1918" spans="14:16" s="94" customFormat="1">
      <c r="N1918" s="112"/>
      <c r="O1918" s="112"/>
      <c r="P1918" s="112"/>
    </row>
    <row r="1919" spans="14:16" s="94" customFormat="1">
      <c r="N1919" s="112"/>
      <c r="O1919" s="112"/>
      <c r="P1919" s="112"/>
    </row>
    <row r="1920" spans="14:16" s="94" customFormat="1">
      <c r="N1920" s="112"/>
      <c r="O1920" s="112"/>
      <c r="P1920" s="112"/>
    </row>
    <row r="1921" spans="14:16" s="94" customFormat="1">
      <c r="N1921" s="112"/>
      <c r="O1921" s="112"/>
      <c r="P1921" s="112"/>
    </row>
    <row r="1922" spans="14:16" s="94" customFormat="1">
      <c r="N1922" s="112"/>
      <c r="O1922" s="112"/>
      <c r="P1922" s="112"/>
    </row>
    <row r="1923" spans="14:16" s="94" customFormat="1">
      <c r="N1923" s="112"/>
      <c r="O1923" s="112"/>
      <c r="P1923" s="112"/>
    </row>
    <row r="1924" spans="14:16" s="94" customFormat="1">
      <c r="N1924" s="112"/>
      <c r="O1924" s="112"/>
      <c r="P1924" s="112"/>
    </row>
    <row r="1925" spans="14:16" s="94" customFormat="1">
      <c r="N1925" s="112"/>
      <c r="O1925" s="112"/>
      <c r="P1925" s="112"/>
    </row>
    <row r="1926" spans="14:16" s="94" customFormat="1">
      <c r="N1926" s="112"/>
      <c r="O1926" s="112"/>
      <c r="P1926" s="112"/>
    </row>
    <row r="1927" spans="14:16" s="94" customFormat="1">
      <c r="N1927" s="112"/>
      <c r="O1927" s="112"/>
      <c r="P1927" s="112"/>
    </row>
    <row r="1928" spans="14:16" s="94" customFormat="1">
      <c r="N1928" s="112"/>
      <c r="O1928" s="112"/>
      <c r="P1928" s="112"/>
    </row>
    <row r="1929" spans="14:16" s="94" customFormat="1">
      <c r="N1929" s="112"/>
      <c r="O1929" s="112"/>
      <c r="P1929" s="112"/>
    </row>
    <row r="1930" spans="14:16" s="94" customFormat="1">
      <c r="N1930" s="112"/>
      <c r="O1930" s="112"/>
      <c r="P1930" s="112"/>
    </row>
    <row r="1931" spans="14:16" s="94" customFormat="1">
      <c r="N1931" s="112"/>
      <c r="O1931" s="112"/>
      <c r="P1931" s="112"/>
    </row>
    <row r="1932" spans="14:16" s="94" customFormat="1">
      <c r="N1932" s="112"/>
      <c r="O1932" s="112"/>
      <c r="P1932" s="112"/>
    </row>
    <row r="1933" spans="14:16" s="94" customFormat="1">
      <c r="N1933" s="112"/>
      <c r="O1933" s="112"/>
      <c r="P1933" s="112"/>
    </row>
    <row r="1934" spans="14:16" s="94" customFormat="1">
      <c r="N1934" s="112"/>
      <c r="O1934" s="112"/>
      <c r="P1934" s="112"/>
    </row>
    <row r="1935" spans="14:16" s="94" customFormat="1">
      <c r="N1935" s="112"/>
      <c r="O1935" s="112"/>
      <c r="P1935" s="112"/>
    </row>
    <row r="1936" spans="14:16" s="94" customFormat="1">
      <c r="N1936" s="112"/>
      <c r="O1936" s="112"/>
      <c r="P1936" s="112"/>
    </row>
    <row r="1937" spans="14:16" s="94" customFormat="1">
      <c r="N1937" s="112"/>
      <c r="O1937" s="112"/>
      <c r="P1937" s="112"/>
    </row>
    <row r="1938" spans="14:16" s="94" customFormat="1">
      <c r="N1938" s="112"/>
      <c r="O1938" s="112"/>
      <c r="P1938" s="112"/>
    </row>
    <row r="1939" spans="14:16" s="94" customFormat="1">
      <c r="N1939" s="112"/>
      <c r="O1939" s="112"/>
      <c r="P1939" s="112"/>
    </row>
    <row r="1940" spans="14:16" s="94" customFormat="1">
      <c r="N1940" s="112"/>
      <c r="O1940" s="112"/>
      <c r="P1940" s="112"/>
    </row>
    <row r="1941" spans="14:16" s="94" customFormat="1">
      <c r="N1941" s="112"/>
      <c r="O1941" s="112"/>
      <c r="P1941" s="112"/>
    </row>
    <row r="1942" spans="14:16" s="94" customFormat="1">
      <c r="N1942" s="112"/>
      <c r="O1942" s="112"/>
      <c r="P1942" s="112"/>
    </row>
    <row r="1943" spans="14:16" s="94" customFormat="1">
      <c r="N1943" s="112"/>
      <c r="O1943" s="112"/>
      <c r="P1943" s="112"/>
    </row>
    <row r="1944" spans="14:16" s="94" customFormat="1">
      <c r="N1944" s="112"/>
      <c r="O1944" s="112"/>
      <c r="P1944" s="112"/>
    </row>
    <row r="1945" spans="14:16" s="94" customFormat="1">
      <c r="N1945" s="112"/>
      <c r="O1945" s="112"/>
      <c r="P1945" s="112"/>
    </row>
    <row r="1946" spans="14:16" s="94" customFormat="1">
      <c r="N1946" s="112"/>
      <c r="O1946" s="112"/>
      <c r="P1946" s="112"/>
    </row>
    <row r="1947" spans="14:16" s="94" customFormat="1">
      <c r="N1947" s="112"/>
      <c r="O1947" s="112"/>
      <c r="P1947" s="112"/>
    </row>
    <row r="1948" spans="14:16" s="94" customFormat="1">
      <c r="N1948" s="112"/>
      <c r="O1948" s="112"/>
      <c r="P1948" s="112"/>
    </row>
    <row r="1949" spans="14:16" s="94" customFormat="1">
      <c r="N1949" s="112"/>
      <c r="O1949" s="112"/>
      <c r="P1949" s="112"/>
    </row>
    <row r="1950" spans="14:16" s="94" customFormat="1">
      <c r="N1950" s="112"/>
      <c r="O1950" s="112"/>
      <c r="P1950" s="112"/>
    </row>
    <row r="1951" spans="14:16" s="94" customFormat="1">
      <c r="N1951" s="112"/>
      <c r="O1951" s="112"/>
      <c r="P1951" s="112"/>
    </row>
    <row r="1952" spans="14:16" s="94" customFormat="1">
      <c r="N1952" s="112"/>
      <c r="O1952" s="112"/>
      <c r="P1952" s="112"/>
    </row>
    <row r="1953" spans="14:16" s="94" customFormat="1">
      <c r="N1953" s="112"/>
      <c r="O1953" s="112"/>
      <c r="P1953" s="112"/>
    </row>
    <row r="1954" spans="14:16" s="94" customFormat="1">
      <c r="N1954" s="112"/>
      <c r="O1954" s="112"/>
      <c r="P1954" s="112"/>
    </row>
    <row r="1955" spans="14:16" s="94" customFormat="1">
      <c r="N1955" s="112"/>
      <c r="O1955" s="112"/>
      <c r="P1955" s="112"/>
    </row>
    <row r="1956" spans="14:16" s="94" customFormat="1">
      <c r="N1956" s="112"/>
      <c r="O1956" s="112"/>
      <c r="P1956" s="112"/>
    </row>
    <row r="1957" spans="14:16" s="94" customFormat="1">
      <c r="N1957" s="112"/>
      <c r="O1957" s="112"/>
      <c r="P1957" s="112"/>
    </row>
    <row r="1958" spans="14:16" s="94" customFormat="1">
      <c r="N1958" s="112"/>
      <c r="O1958" s="112"/>
      <c r="P1958" s="112"/>
    </row>
    <row r="1959" spans="14:16" s="94" customFormat="1">
      <c r="N1959" s="112"/>
      <c r="O1959" s="112"/>
      <c r="P1959" s="112"/>
    </row>
    <row r="1960" spans="14:16" s="94" customFormat="1">
      <c r="N1960" s="112"/>
      <c r="O1960" s="112"/>
      <c r="P1960" s="112"/>
    </row>
    <row r="1961" spans="14:16" s="94" customFormat="1">
      <c r="N1961" s="112"/>
      <c r="O1961" s="112"/>
      <c r="P1961" s="112"/>
    </row>
    <row r="1962" spans="14:16" s="94" customFormat="1">
      <c r="N1962" s="112"/>
      <c r="O1962" s="112"/>
      <c r="P1962" s="112"/>
    </row>
    <row r="1963" spans="14:16" s="94" customFormat="1">
      <c r="N1963" s="112"/>
      <c r="O1963" s="112"/>
      <c r="P1963" s="112"/>
    </row>
    <row r="1964" spans="14:16" s="94" customFormat="1">
      <c r="N1964" s="112"/>
      <c r="O1964" s="112"/>
      <c r="P1964" s="112"/>
    </row>
    <row r="1965" spans="14:16" s="94" customFormat="1">
      <c r="N1965" s="112"/>
      <c r="O1965" s="112"/>
      <c r="P1965" s="112"/>
    </row>
    <row r="1966" spans="14:16" s="94" customFormat="1">
      <c r="N1966" s="112"/>
      <c r="O1966" s="112"/>
      <c r="P1966" s="112"/>
    </row>
    <row r="1967" spans="14:16" s="94" customFormat="1">
      <c r="N1967" s="112"/>
      <c r="O1967" s="112"/>
      <c r="P1967" s="112"/>
    </row>
    <row r="1968" spans="14:16" s="94" customFormat="1">
      <c r="N1968" s="112"/>
      <c r="O1968" s="112"/>
      <c r="P1968" s="112"/>
    </row>
    <row r="1969" spans="14:16" s="94" customFormat="1">
      <c r="N1969" s="112"/>
      <c r="O1969" s="112"/>
      <c r="P1969" s="112"/>
    </row>
    <row r="1970" spans="14:16" s="94" customFormat="1">
      <c r="N1970" s="112"/>
      <c r="O1970" s="112"/>
      <c r="P1970" s="112"/>
    </row>
    <row r="1971" spans="14:16" s="94" customFormat="1">
      <c r="N1971" s="112"/>
      <c r="O1971" s="112"/>
      <c r="P1971" s="112"/>
    </row>
    <row r="1972" spans="14:16" s="94" customFormat="1">
      <c r="N1972" s="112"/>
      <c r="O1972" s="112"/>
      <c r="P1972" s="112"/>
    </row>
    <row r="1973" spans="14:16" s="94" customFormat="1">
      <c r="N1973" s="112"/>
      <c r="O1973" s="112"/>
      <c r="P1973" s="112"/>
    </row>
    <row r="1974" spans="14:16" s="94" customFormat="1">
      <c r="N1974" s="112"/>
      <c r="O1974" s="112"/>
      <c r="P1974" s="112"/>
    </row>
    <row r="1975" spans="14:16" s="94" customFormat="1">
      <c r="N1975" s="112"/>
      <c r="O1975" s="112"/>
      <c r="P1975" s="112"/>
    </row>
    <row r="1976" spans="14:16" s="94" customFormat="1">
      <c r="N1976" s="112"/>
      <c r="O1976" s="112"/>
      <c r="P1976" s="112"/>
    </row>
    <row r="1977" spans="14:16" s="94" customFormat="1">
      <c r="N1977" s="112"/>
      <c r="O1977" s="112"/>
      <c r="P1977" s="112"/>
    </row>
    <row r="1978" spans="14:16" s="94" customFormat="1">
      <c r="N1978" s="112"/>
      <c r="O1978" s="112"/>
      <c r="P1978" s="112"/>
    </row>
    <row r="1979" spans="14:16" s="94" customFormat="1">
      <c r="N1979" s="112"/>
      <c r="O1979" s="112"/>
      <c r="P1979" s="112"/>
    </row>
    <row r="1980" spans="14:16" s="94" customFormat="1">
      <c r="N1980" s="112"/>
      <c r="O1980" s="112"/>
      <c r="P1980" s="112"/>
    </row>
    <row r="1981" spans="14:16" s="94" customFormat="1">
      <c r="N1981" s="112"/>
      <c r="O1981" s="112"/>
      <c r="P1981" s="112"/>
    </row>
    <row r="1982" spans="14:16" s="94" customFormat="1">
      <c r="N1982" s="112"/>
      <c r="O1982" s="112"/>
      <c r="P1982" s="112"/>
    </row>
    <row r="1983" spans="14:16" s="94" customFormat="1">
      <c r="N1983" s="112"/>
      <c r="O1983" s="112"/>
      <c r="P1983" s="112"/>
    </row>
    <row r="1984" spans="14:16" s="94" customFormat="1">
      <c r="N1984" s="112"/>
      <c r="O1984" s="112"/>
      <c r="P1984" s="112"/>
    </row>
    <row r="1985" spans="14:16" s="94" customFormat="1">
      <c r="N1985" s="112"/>
      <c r="O1985" s="112"/>
      <c r="P1985" s="112"/>
    </row>
    <row r="1986" spans="14:16" s="94" customFormat="1">
      <c r="N1986" s="112"/>
      <c r="O1986" s="112"/>
      <c r="P1986" s="112"/>
    </row>
    <row r="1987" spans="14:16" s="94" customFormat="1">
      <c r="N1987" s="112"/>
      <c r="O1987" s="112"/>
      <c r="P1987" s="112"/>
    </row>
    <row r="1988" spans="14:16" s="94" customFormat="1">
      <c r="N1988" s="112"/>
      <c r="O1988" s="112"/>
      <c r="P1988" s="112"/>
    </row>
    <row r="1989" spans="14:16" s="94" customFormat="1">
      <c r="N1989" s="112"/>
      <c r="O1989" s="112"/>
      <c r="P1989" s="112"/>
    </row>
    <row r="1990" spans="14:16" s="94" customFormat="1">
      <c r="N1990" s="112"/>
      <c r="O1990" s="112"/>
      <c r="P1990" s="112"/>
    </row>
    <row r="1991" spans="14:16" s="94" customFormat="1">
      <c r="N1991" s="112"/>
      <c r="O1991" s="112"/>
      <c r="P1991" s="112"/>
    </row>
    <row r="1992" spans="14:16" s="94" customFormat="1">
      <c r="N1992" s="112"/>
      <c r="O1992" s="112"/>
      <c r="P1992" s="112"/>
    </row>
    <row r="1993" spans="14:16" s="94" customFormat="1">
      <c r="N1993" s="112"/>
      <c r="O1993" s="112"/>
      <c r="P1993" s="112"/>
    </row>
    <row r="1994" spans="14:16" s="94" customFormat="1">
      <c r="N1994" s="112"/>
      <c r="O1994" s="112"/>
      <c r="P1994" s="112"/>
    </row>
    <row r="1995" spans="14:16" s="94" customFormat="1">
      <c r="N1995" s="112"/>
      <c r="O1995" s="112"/>
      <c r="P1995" s="112"/>
    </row>
    <row r="1996" spans="14:16" s="94" customFormat="1">
      <c r="N1996" s="112"/>
      <c r="O1996" s="112"/>
      <c r="P1996" s="112"/>
    </row>
    <row r="1997" spans="14:16" s="94" customFormat="1">
      <c r="N1997" s="112"/>
      <c r="O1997" s="112"/>
      <c r="P1997" s="112"/>
    </row>
    <row r="1998" spans="14:16" s="94" customFormat="1">
      <c r="N1998" s="112"/>
      <c r="O1998" s="112"/>
      <c r="P1998" s="112"/>
    </row>
    <row r="1999" spans="14:16" s="94" customFormat="1">
      <c r="N1999" s="112"/>
      <c r="O1999" s="112"/>
      <c r="P1999" s="112"/>
    </row>
    <row r="2000" spans="14:16" s="94" customFormat="1">
      <c r="N2000" s="112"/>
      <c r="O2000" s="112"/>
      <c r="P2000" s="112"/>
    </row>
    <row r="2001" spans="14:16" s="94" customFormat="1">
      <c r="N2001" s="112"/>
      <c r="O2001" s="112"/>
      <c r="P2001" s="112"/>
    </row>
    <row r="2002" spans="14:16" s="94" customFormat="1">
      <c r="N2002" s="112"/>
      <c r="O2002" s="112"/>
      <c r="P2002" s="112"/>
    </row>
    <row r="2003" spans="14:16" s="94" customFormat="1">
      <c r="N2003" s="112"/>
      <c r="O2003" s="112"/>
      <c r="P2003" s="112"/>
    </row>
    <row r="2004" spans="14:16" s="94" customFormat="1">
      <c r="N2004" s="112"/>
      <c r="O2004" s="112"/>
      <c r="P2004" s="112"/>
    </row>
    <row r="2005" spans="14:16" s="94" customFormat="1">
      <c r="N2005" s="112"/>
      <c r="O2005" s="112"/>
      <c r="P2005" s="112"/>
    </row>
    <row r="2006" spans="14:16" s="94" customFormat="1">
      <c r="N2006" s="112"/>
      <c r="O2006" s="112"/>
      <c r="P2006" s="112"/>
    </row>
    <row r="2007" spans="14:16" s="94" customFormat="1">
      <c r="N2007" s="112"/>
      <c r="O2007" s="112"/>
      <c r="P2007" s="112"/>
    </row>
    <row r="2008" spans="14:16" s="94" customFormat="1">
      <c r="N2008" s="112"/>
      <c r="O2008" s="112"/>
      <c r="P2008" s="112"/>
    </row>
    <row r="2009" spans="14:16" s="94" customFormat="1">
      <c r="N2009" s="112"/>
      <c r="O2009" s="112"/>
      <c r="P2009" s="112"/>
    </row>
    <row r="2010" spans="14:16" s="94" customFormat="1">
      <c r="N2010" s="112"/>
      <c r="O2010" s="112"/>
      <c r="P2010" s="112"/>
    </row>
    <row r="2011" spans="14:16" s="94" customFormat="1">
      <c r="N2011" s="112"/>
      <c r="O2011" s="112"/>
      <c r="P2011" s="112"/>
    </row>
    <row r="2012" spans="14:16" s="94" customFormat="1">
      <c r="N2012" s="112"/>
      <c r="O2012" s="112"/>
      <c r="P2012" s="112"/>
    </row>
    <row r="2013" spans="14:16" s="94" customFormat="1">
      <c r="N2013" s="112"/>
      <c r="O2013" s="112"/>
      <c r="P2013" s="112"/>
    </row>
    <row r="2014" spans="14:16" s="94" customFormat="1">
      <c r="N2014" s="112"/>
      <c r="O2014" s="112"/>
      <c r="P2014" s="112"/>
    </row>
    <row r="2015" spans="14:16" s="94" customFormat="1">
      <c r="N2015" s="112"/>
      <c r="O2015" s="112"/>
      <c r="P2015" s="112"/>
    </row>
    <row r="2016" spans="14:16" s="94" customFormat="1">
      <c r="N2016" s="112"/>
      <c r="O2016" s="112"/>
      <c r="P2016" s="112"/>
    </row>
    <row r="2017" spans="14:16" s="94" customFormat="1">
      <c r="N2017" s="112"/>
      <c r="O2017" s="112"/>
      <c r="P2017" s="112"/>
    </row>
    <row r="2018" spans="14:16" s="94" customFormat="1">
      <c r="N2018" s="112"/>
      <c r="O2018" s="112"/>
      <c r="P2018" s="112"/>
    </row>
    <row r="2019" spans="14:16" s="94" customFormat="1">
      <c r="N2019" s="112"/>
      <c r="O2019" s="112"/>
      <c r="P2019" s="112"/>
    </row>
    <row r="2020" spans="14:16" s="94" customFormat="1">
      <c r="N2020" s="112"/>
      <c r="O2020" s="112"/>
      <c r="P2020" s="112"/>
    </row>
    <row r="2021" spans="14:16" s="94" customFormat="1">
      <c r="N2021" s="112"/>
      <c r="O2021" s="112"/>
      <c r="P2021" s="112"/>
    </row>
    <row r="2022" spans="14:16" s="94" customFormat="1">
      <c r="N2022" s="112"/>
      <c r="O2022" s="112"/>
      <c r="P2022" s="112"/>
    </row>
    <row r="2023" spans="14:16" s="94" customFormat="1">
      <c r="N2023" s="112"/>
      <c r="O2023" s="112"/>
      <c r="P2023" s="112"/>
    </row>
    <row r="2024" spans="14:16" s="94" customFormat="1">
      <c r="N2024" s="112"/>
      <c r="O2024" s="112"/>
      <c r="P2024" s="112"/>
    </row>
    <row r="2025" spans="14:16" s="94" customFormat="1">
      <c r="N2025" s="112"/>
      <c r="O2025" s="112"/>
      <c r="P2025" s="112"/>
    </row>
    <row r="2026" spans="14:16" s="94" customFormat="1">
      <c r="N2026" s="112"/>
      <c r="O2026" s="112"/>
      <c r="P2026" s="112"/>
    </row>
    <row r="2027" spans="14:16" s="94" customFormat="1">
      <c r="N2027" s="112"/>
      <c r="O2027" s="112"/>
      <c r="P2027" s="112"/>
    </row>
    <row r="2028" spans="14:16" s="94" customFormat="1">
      <c r="N2028" s="112"/>
      <c r="O2028" s="112"/>
      <c r="P2028" s="112"/>
    </row>
    <row r="2029" spans="14:16" s="94" customFormat="1">
      <c r="N2029" s="112"/>
      <c r="O2029" s="112"/>
      <c r="P2029" s="112"/>
    </row>
    <row r="2030" spans="14:16" s="94" customFormat="1">
      <c r="N2030" s="112"/>
      <c r="O2030" s="112"/>
      <c r="P2030" s="112"/>
    </row>
    <row r="2031" spans="14:16" s="94" customFormat="1">
      <c r="N2031" s="112"/>
      <c r="O2031" s="112"/>
      <c r="P2031" s="112"/>
    </row>
    <row r="2032" spans="14:16" s="94" customFormat="1">
      <c r="N2032" s="112"/>
      <c r="O2032" s="112"/>
      <c r="P2032" s="112"/>
    </row>
    <row r="2033" spans="14:16" s="94" customFormat="1">
      <c r="N2033" s="112"/>
      <c r="O2033" s="112"/>
      <c r="P2033" s="112"/>
    </row>
    <row r="2034" spans="14:16" s="94" customFormat="1">
      <c r="N2034" s="112"/>
      <c r="O2034" s="112"/>
      <c r="P2034" s="112"/>
    </row>
    <row r="2035" spans="14:16" s="94" customFormat="1">
      <c r="N2035" s="112"/>
      <c r="O2035" s="112"/>
      <c r="P2035" s="112"/>
    </row>
    <row r="2036" spans="14:16" s="94" customFormat="1">
      <c r="N2036" s="112"/>
      <c r="O2036" s="112"/>
      <c r="P2036" s="112"/>
    </row>
    <row r="2037" spans="14:16" s="94" customFormat="1">
      <c r="N2037" s="112"/>
      <c r="O2037" s="112"/>
      <c r="P2037" s="112"/>
    </row>
    <row r="2038" spans="14:16" s="94" customFormat="1">
      <c r="N2038" s="112"/>
      <c r="O2038" s="112"/>
      <c r="P2038" s="112"/>
    </row>
    <row r="2039" spans="14:16" s="94" customFormat="1">
      <c r="N2039" s="112"/>
      <c r="O2039" s="112"/>
      <c r="P2039" s="112"/>
    </row>
    <row r="2040" spans="14:16" s="94" customFormat="1">
      <c r="N2040" s="112"/>
      <c r="O2040" s="112"/>
      <c r="P2040" s="112"/>
    </row>
    <row r="2041" spans="14:16" s="94" customFormat="1">
      <c r="N2041" s="112"/>
      <c r="O2041" s="112"/>
      <c r="P2041" s="112"/>
    </row>
    <row r="2042" spans="14:16" s="94" customFormat="1">
      <c r="N2042" s="112"/>
      <c r="O2042" s="112"/>
      <c r="P2042" s="112"/>
    </row>
    <row r="2043" spans="14:16" s="94" customFormat="1">
      <c r="N2043" s="112"/>
      <c r="O2043" s="112"/>
      <c r="P2043" s="112"/>
    </row>
    <row r="2044" spans="14:16" s="94" customFormat="1">
      <c r="N2044" s="112"/>
      <c r="O2044" s="112"/>
      <c r="P2044" s="112"/>
    </row>
    <row r="2045" spans="14:16" s="94" customFormat="1">
      <c r="N2045" s="112"/>
      <c r="O2045" s="112"/>
      <c r="P2045" s="112"/>
    </row>
    <row r="2046" spans="14:16" s="94" customFormat="1">
      <c r="N2046" s="112"/>
      <c r="O2046" s="112"/>
      <c r="P2046" s="112"/>
    </row>
    <row r="2047" spans="14:16" s="94" customFormat="1">
      <c r="N2047" s="112"/>
      <c r="O2047" s="112"/>
      <c r="P2047" s="112"/>
    </row>
    <row r="2048" spans="14:16" s="94" customFormat="1">
      <c r="N2048" s="112"/>
      <c r="O2048" s="112"/>
      <c r="P2048" s="112"/>
    </row>
    <row r="2049" spans="14:16" s="94" customFormat="1">
      <c r="N2049" s="112"/>
      <c r="O2049" s="112"/>
      <c r="P2049" s="112"/>
    </row>
    <row r="2050" spans="14:16" s="94" customFormat="1">
      <c r="N2050" s="112"/>
      <c r="O2050" s="112"/>
      <c r="P2050" s="112"/>
    </row>
    <row r="2051" spans="14:16" s="94" customFormat="1">
      <c r="N2051" s="112"/>
      <c r="O2051" s="112"/>
      <c r="P2051" s="112"/>
    </row>
    <row r="2052" spans="14:16" s="94" customFormat="1">
      <c r="N2052" s="112"/>
      <c r="O2052" s="112"/>
      <c r="P2052" s="112"/>
    </row>
    <row r="2053" spans="14:16" s="94" customFormat="1">
      <c r="N2053" s="112"/>
      <c r="O2053" s="112"/>
      <c r="P2053" s="112"/>
    </row>
    <row r="2054" spans="14:16" s="94" customFormat="1">
      <c r="N2054" s="112"/>
      <c r="O2054" s="112"/>
      <c r="P2054" s="112"/>
    </row>
    <row r="2055" spans="14:16" s="94" customFormat="1">
      <c r="N2055" s="112"/>
      <c r="O2055" s="112"/>
      <c r="P2055" s="112"/>
    </row>
    <row r="2056" spans="14:16" s="94" customFormat="1">
      <c r="N2056" s="112"/>
      <c r="O2056" s="112"/>
      <c r="P2056" s="112"/>
    </row>
    <row r="2057" spans="14:16" s="94" customFormat="1">
      <c r="N2057" s="112"/>
      <c r="O2057" s="112"/>
      <c r="P2057" s="112"/>
    </row>
    <row r="2058" spans="14:16" s="94" customFormat="1">
      <c r="N2058" s="112"/>
      <c r="O2058" s="112"/>
      <c r="P2058" s="112"/>
    </row>
    <row r="2059" spans="14:16" s="94" customFormat="1">
      <c r="N2059" s="112"/>
      <c r="O2059" s="112"/>
      <c r="P2059" s="112"/>
    </row>
    <row r="2060" spans="14:16" s="94" customFormat="1">
      <c r="N2060" s="112"/>
      <c r="O2060" s="112"/>
      <c r="P2060" s="112"/>
    </row>
    <row r="2061" spans="14:16" s="94" customFormat="1">
      <c r="N2061" s="112"/>
      <c r="O2061" s="112"/>
      <c r="P2061" s="112"/>
    </row>
    <row r="2062" spans="14:16" s="94" customFormat="1">
      <c r="N2062" s="112"/>
      <c r="O2062" s="112"/>
      <c r="P2062" s="112"/>
    </row>
    <row r="2063" spans="14:16" s="94" customFormat="1">
      <c r="N2063" s="112"/>
      <c r="O2063" s="112"/>
      <c r="P2063" s="112"/>
    </row>
    <row r="2064" spans="14:16" s="94" customFormat="1">
      <c r="N2064" s="112"/>
      <c r="O2064" s="112"/>
      <c r="P2064" s="112"/>
    </row>
    <row r="2065" spans="14:16" s="94" customFormat="1">
      <c r="N2065" s="112"/>
      <c r="O2065" s="112"/>
      <c r="P2065" s="112"/>
    </row>
    <row r="2066" spans="14:16" s="94" customFormat="1">
      <c r="N2066" s="112"/>
      <c r="O2066" s="112"/>
      <c r="P2066" s="112"/>
    </row>
    <row r="2067" spans="14:16" s="94" customFormat="1">
      <c r="N2067" s="112"/>
      <c r="O2067" s="112"/>
      <c r="P2067" s="112"/>
    </row>
    <row r="2068" spans="14:16" s="94" customFormat="1">
      <c r="N2068" s="112"/>
      <c r="O2068" s="112"/>
      <c r="P2068" s="112"/>
    </row>
    <row r="2069" spans="14:16" s="94" customFormat="1">
      <c r="N2069" s="112"/>
      <c r="O2069" s="112"/>
      <c r="P2069" s="112"/>
    </row>
    <row r="2070" spans="14:16" s="94" customFormat="1">
      <c r="N2070" s="112"/>
      <c r="O2070" s="112"/>
      <c r="P2070" s="112"/>
    </row>
    <row r="2071" spans="14:16" s="94" customFormat="1">
      <c r="N2071" s="112"/>
      <c r="O2071" s="112"/>
      <c r="P2071" s="112"/>
    </row>
    <row r="2072" spans="14:16" s="94" customFormat="1">
      <c r="N2072" s="112"/>
      <c r="O2072" s="112"/>
      <c r="P2072" s="112"/>
    </row>
    <row r="2073" spans="14:16" s="94" customFormat="1">
      <c r="N2073" s="112"/>
      <c r="O2073" s="112"/>
      <c r="P2073" s="112"/>
    </row>
    <row r="2074" spans="14:16" s="94" customFormat="1">
      <c r="N2074" s="112"/>
      <c r="O2074" s="112"/>
      <c r="P2074" s="112"/>
    </row>
    <row r="2075" spans="14:16" s="94" customFormat="1">
      <c r="N2075" s="112"/>
      <c r="O2075" s="112"/>
      <c r="P2075" s="112"/>
    </row>
    <row r="2076" spans="14:16" s="94" customFormat="1">
      <c r="N2076" s="112"/>
      <c r="O2076" s="112"/>
      <c r="P2076" s="112"/>
    </row>
    <row r="2077" spans="14:16" s="94" customFormat="1">
      <c r="N2077" s="112"/>
      <c r="O2077" s="112"/>
      <c r="P2077" s="112"/>
    </row>
    <row r="2078" spans="14:16" s="94" customFormat="1">
      <c r="N2078" s="112"/>
      <c r="O2078" s="112"/>
      <c r="P2078" s="112"/>
    </row>
    <row r="2079" spans="14:16" s="94" customFormat="1">
      <c r="N2079" s="112"/>
      <c r="O2079" s="112"/>
      <c r="P2079" s="112"/>
    </row>
    <row r="2080" spans="14:16" s="94" customFormat="1">
      <c r="N2080" s="112"/>
      <c r="O2080" s="112"/>
      <c r="P2080" s="112"/>
    </row>
    <row r="2081" spans="14:16" s="94" customFormat="1">
      <c r="N2081" s="112"/>
      <c r="O2081" s="112"/>
      <c r="P2081" s="112"/>
    </row>
    <row r="2082" spans="14:16" s="94" customFormat="1">
      <c r="N2082" s="112"/>
      <c r="O2082" s="112"/>
      <c r="P2082" s="112"/>
    </row>
    <row r="2083" spans="14:16" s="94" customFormat="1">
      <c r="N2083" s="112"/>
      <c r="O2083" s="112"/>
      <c r="P2083" s="112"/>
    </row>
    <row r="2084" spans="14:16" s="94" customFormat="1">
      <c r="N2084" s="112"/>
      <c r="O2084" s="112"/>
      <c r="P2084" s="112"/>
    </row>
    <row r="2085" spans="14:16" s="94" customFormat="1">
      <c r="N2085" s="112"/>
      <c r="O2085" s="112"/>
      <c r="P2085" s="112"/>
    </row>
    <row r="2086" spans="14:16" s="94" customFormat="1">
      <c r="N2086" s="112"/>
      <c r="O2086" s="112"/>
      <c r="P2086" s="112"/>
    </row>
    <row r="2087" spans="14:16" s="94" customFormat="1">
      <c r="N2087" s="112"/>
      <c r="O2087" s="112"/>
      <c r="P2087" s="112"/>
    </row>
    <row r="2088" spans="14:16" s="94" customFormat="1">
      <c r="N2088" s="112"/>
      <c r="O2088" s="112"/>
      <c r="P2088" s="112"/>
    </row>
    <row r="2089" spans="14:16" s="94" customFormat="1">
      <c r="N2089" s="112"/>
      <c r="O2089" s="112"/>
      <c r="P2089" s="112"/>
    </row>
    <row r="2090" spans="14:16" s="94" customFormat="1">
      <c r="N2090" s="112"/>
      <c r="O2090" s="112"/>
      <c r="P2090" s="112"/>
    </row>
    <row r="2091" spans="14:16" s="94" customFormat="1">
      <c r="N2091" s="112"/>
      <c r="O2091" s="112"/>
      <c r="P2091" s="112"/>
    </row>
    <row r="2092" spans="14:16" s="94" customFormat="1">
      <c r="N2092" s="112"/>
      <c r="O2092" s="112"/>
      <c r="P2092" s="112"/>
    </row>
    <row r="2093" spans="14:16" s="94" customFormat="1">
      <c r="N2093" s="112"/>
      <c r="O2093" s="112"/>
      <c r="P2093" s="112"/>
    </row>
    <row r="2094" spans="14:16" s="94" customFormat="1">
      <c r="N2094" s="112"/>
      <c r="O2094" s="112"/>
      <c r="P2094" s="112"/>
    </row>
    <row r="2095" spans="14:16" s="94" customFormat="1">
      <c r="N2095" s="112"/>
      <c r="O2095" s="112"/>
      <c r="P2095" s="112"/>
    </row>
    <row r="2096" spans="14:16" s="94" customFormat="1">
      <c r="N2096" s="112"/>
      <c r="O2096" s="112"/>
      <c r="P2096" s="112"/>
    </row>
    <row r="2097" spans="14:16" s="94" customFormat="1">
      <c r="N2097" s="112"/>
      <c r="O2097" s="112"/>
      <c r="P2097" s="112"/>
    </row>
    <row r="2098" spans="14:16" s="94" customFormat="1">
      <c r="N2098" s="112"/>
      <c r="O2098" s="112"/>
      <c r="P2098" s="112"/>
    </row>
    <row r="2099" spans="14:16" s="94" customFormat="1">
      <c r="N2099" s="112"/>
      <c r="O2099" s="112"/>
      <c r="P2099" s="112"/>
    </row>
    <row r="2100" spans="14:16" s="94" customFormat="1">
      <c r="N2100" s="112"/>
      <c r="O2100" s="112"/>
      <c r="P2100" s="112"/>
    </row>
    <row r="2101" spans="14:16" s="94" customFormat="1">
      <c r="N2101" s="112"/>
      <c r="O2101" s="112"/>
      <c r="P2101" s="112"/>
    </row>
    <row r="2102" spans="14:16" s="94" customFormat="1">
      <c r="N2102" s="112"/>
      <c r="O2102" s="112"/>
      <c r="P2102" s="112"/>
    </row>
    <row r="2103" spans="14:16" s="94" customFormat="1">
      <c r="N2103" s="112"/>
      <c r="O2103" s="112"/>
      <c r="P2103" s="112"/>
    </row>
    <row r="2104" spans="14:16" s="94" customFormat="1">
      <c r="N2104" s="112"/>
      <c r="O2104" s="112"/>
      <c r="P2104" s="112"/>
    </row>
    <row r="2105" spans="14:16" s="94" customFormat="1">
      <c r="N2105" s="112"/>
      <c r="O2105" s="112"/>
      <c r="P2105" s="112"/>
    </row>
    <row r="2106" spans="14:16" s="94" customFormat="1">
      <c r="N2106" s="112"/>
      <c r="O2106" s="112"/>
      <c r="P2106" s="112"/>
    </row>
    <row r="2107" spans="14:16" s="94" customFormat="1">
      <c r="N2107" s="112"/>
      <c r="O2107" s="112"/>
      <c r="P2107" s="112"/>
    </row>
    <row r="2108" spans="14:16" s="94" customFormat="1">
      <c r="N2108" s="112"/>
      <c r="O2108" s="112"/>
      <c r="P2108" s="112"/>
    </row>
    <row r="2109" spans="14:16" s="94" customFormat="1">
      <c r="N2109" s="112"/>
      <c r="O2109" s="112"/>
      <c r="P2109" s="112"/>
    </row>
    <row r="2110" spans="14:16" s="94" customFormat="1">
      <c r="N2110" s="112"/>
      <c r="O2110" s="112"/>
      <c r="P2110" s="112"/>
    </row>
    <row r="2111" spans="14:16" s="94" customFormat="1">
      <c r="N2111" s="112"/>
      <c r="O2111" s="112"/>
      <c r="P2111" s="112"/>
    </row>
    <row r="2112" spans="14:16" s="94" customFormat="1">
      <c r="N2112" s="112"/>
      <c r="O2112" s="112"/>
      <c r="P2112" s="112"/>
    </row>
    <row r="2113" spans="14:16" s="94" customFormat="1">
      <c r="N2113" s="112"/>
      <c r="O2113" s="112"/>
      <c r="P2113" s="112"/>
    </row>
    <row r="2114" spans="14:16" s="94" customFormat="1">
      <c r="N2114" s="112"/>
      <c r="O2114" s="112"/>
      <c r="P2114" s="112"/>
    </row>
    <row r="2115" spans="14:16" s="94" customFormat="1">
      <c r="N2115" s="112"/>
      <c r="O2115" s="112"/>
      <c r="P2115" s="112"/>
    </row>
    <row r="2116" spans="14:16" s="94" customFormat="1">
      <c r="N2116" s="112"/>
      <c r="O2116" s="112"/>
      <c r="P2116" s="112"/>
    </row>
    <row r="2117" spans="14:16" s="94" customFormat="1">
      <c r="N2117" s="112"/>
      <c r="O2117" s="112"/>
      <c r="P2117" s="112"/>
    </row>
    <row r="2118" spans="14:16" s="94" customFormat="1">
      <c r="N2118" s="112"/>
      <c r="O2118" s="112"/>
      <c r="P2118" s="112"/>
    </row>
    <row r="2119" spans="14:16" s="94" customFormat="1">
      <c r="N2119" s="112"/>
      <c r="O2119" s="112"/>
      <c r="P2119" s="112"/>
    </row>
    <row r="2120" spans="14:16" s="94" customFormat="1">
      <c r="N2120" s="112"/>
      <c r="O2120" s="112"/>
      <c r="P2120" s="112"/>
    </row>
    <row r="2121" spans="14:16" s="94" customFormat="1">
      <c r="N2121" s="112"/>
      <c r="O2121" s="112"/>
      <c r="P2121" s="112"/>
    </row>
    <row r="2122" spans="14:16" s="94" customFormat="1">
      <c r="N2122" s="112"/>
      <c r="O2122" s="112"/>
      <c r="P2122" s="112"/>
    </row>
    <row r="2123" spans="14:16" s="94" customFormat="1">
      <c r="N2123" s="112"/>
      <c r="O2123" s="112"/>
      <c r="P2123" s="112"/>
    </row>
    <row r="2124" spans="14:16" s="94" customFormat="1">
      <c r="N2124" s="112"/>
      <c r="O2124" s="112"/>
      <c r="P2124" s="112"/>
    </row>
    <row r="2125" spans="14:16" s="94" customFormat="1">
      <c r="N2125" s="112"/>
      <c r="O2125" s="112"/>
      <c r="P2125" s="112"/>
    </row>
    <row r="2126" spans="14:16" s="94" customFormat="1">
      <c r="N2126" s="112"/>
      <c r="O2126" s="112"/>
      <c r="P2126" s="112"/>
    </row>
    <row r="2127" spans="14:16" s="94" customFormat="1">
      <c r="N2127" s="112"/>
      <c r="O2127" s="112"/>
      <c r="P2127" s="112"/>
    </row>
    <row r="2128" spans="14:16" s="94" customFormat="1">
      <c r="N2128" s="112"/>
      <c r="O2128" s="112"/>
      <c r="P2128" s="112"/>
    </row>
    <row r="2129" spans="14:16" s="94" customFormat="1">
      <c r="N2129" s="112"/>
      <c r="O2129" s="112"/>
      <c r="P2129" s="112"/>
    </row>
    <row r="2130" spans="14:16" s="94" customFormat="1">
      <c r="N2130" s="112"/>
      <c r="O2130" s="112"/>
      <c r="P2130" s="112"/>
    </row>
    <row r="2131" spans="14:16" s="94" customFormat="1">
      <c r="N2131" s="112"/>
      <c r="O2131" s="112"/>
      <c r="P2131" s="112"/>
    </row>
    <row r="2132" spans="14:16" s="94" customFormat="1">
      <c r="N2132" s="112"/>
      <c r="O2132" s="112"/>
      <c r="P2132" s="112"/>
    </row>
    <row r="2133" spans="14:16" s="94" customFormat="1">
      <c r="N2133" s="112"/>
      <c r="O2133" s="112"/>
      <c r="P2133" s="112"/>
    </row>
    <row r="2134" spans="14:16" s="94" customFormat="1">
      <c r="N2134" s="112"/>
      <c r="O2134" s="112"/>
      <c r="P2134" s="112"/>
    </row>
    <row r="2135" spans="14:16" s="94" customFormat="1">
      <c r="N2135" s="112"/>
      <c r="O2135" s="112"/>
      <c r="P2135" s="112"/>
    </row>
    <row r="2136" spans="14:16" s="94" customFormat="1">
      <c r="N2136" s="112"/>
      <c r="O2136" s="112"/>
      <c r="P2136" s="112"/>
    </row>
    <row r="2137" spans="14:16" s="94" customFormat="1">
      <c r="N2137" s="112"/>
      <c r="O2137" s="112"/>
      <c r="P2137" s="112"/>
    </row>
    <row r="2138" spans="14:16" s="94" customFormat="1">
      <c r="N2138" s="112"/>
      <c r="O2138" s="112"/>
      <c r="P2138" s="112"/>
    </row>
    <row r="2139" spans="14:16" s="94" customFormat="1">
      <c r="N2139" s="112"/>
      <c r="O2139" s="112"/>
      <c r="P2139" s="112"/>
    </row>
    <row r="2140" spans="14:16" s="94" customFormat="1">
      <c r="N2140" s="112"/>
      <c r="O2140" s="112"/>
      <c r="P2140" s="112"/>
    </row>
    <row r="2141" spans="14:16" s="94" customFormat="1">
      <c r="N2141" s="112"/>
      <c r="O2141" s="112"/>
      <c r="P2141" s="112"/>
    </row>
    <row r="2142" spans="14:16" s="94" customFormat="1">
      <c r="N2142" s="112"/>
      <c r="O2142" s="112"/>
      <c r="P2142" s="112"/>
    </row>
    <row r="2143" spans="14:16" s="94" customFormat="1">
      <c r="N2143" s="112"/>
      <c r="O2143" s="112"/>
      <c r="P2143" s="112"/>
    </row>
    <row r="2144" spans="14:16" s="94" customFormat="1">
      <c r="N2144" s="112"/>
      <c r="O2144" s="112"/>
      <c r="P2144" s="112"/>
    </row>
    <row r="2145" spans="14:16" s="94" customFormat="1">
      <c r="N2145" s="112"/>
      <c r="O2145" s="112"/>
      <c r="P2145" s="112"/>
    </row>
    <row r="2146" spans="14:16" s="94" customFormat="1">
      <c r="N2146" s="112"/>
      <c r="O2146" s="112"/>
      <c r="P2146" s="112"/>
    </row>
    <row r="2147" spans="14:16" s="94" customFormat="1">
      <c r="N2147" s="112"/>
      <c r="O2147" s="112"/>
      <c r="P2147" s="112"/>
    </row>
    <row r="2148" spans="14:16" s="94" customFormat="1">
      <c r="N2148" s="112"/>
      <c r="O2148" s="112"/>
      <c r="P2148" s="112"/>
    </row>
    <row r="2149" spans="14:16" s="94" customFormat="1">
      <c r="N2149" s="112"/>
      <c r="O2149" s="112"/>
      <c r="P2149" s="112"/>
    </row>
    <row r="2150" spans="14:16" s="94" customFormat="1">
      <c r="N2150" s="112"/>
      <c r="O2150" s="112"/>
      <c r="P2150" s="112"/>
    </row>
    <row r="2151" spans="14:16" s="94" customFormat="1">
      <c r="N2151" s="112"/>
      <c r="O2151" s="112"/>
      <c r="P2151" s="112"/>
    </row>
    <row r="2152" spans="14:16" s="94" customFormat="1">
      <c r="N2152" s="112"/>
      <c r="O2152" s="112"/>
      <c r="P2152" s="112"/>
    </row>
    <row r="2153" spans="14:16" s="94" customFormat="1">
      <c r="N2153" s="112"/>
      <c r="O2153" s="112"/>
      <c r="P2153" s="112"/>
    </row>
    <row r="2154" spans="14:16" s="94" customFormat="1">
      <c r="N2154" s="112"/>
      <c r="O2154" s="112"/>
      <c r="P2154" s="112"/>
    </row>
    <row r="2155" spans="14:16" s="94" customFormat="1">
      <c r="N2155" s="112"/>
      <c r="O2155" s="112"/>
      <c r="P2155" s="112"/>
    </row>
    <row r="2156" spans="14:16" s="94" customFormat="1">
      <c r="N2156" s="112"/>
      <c r="O2156" s="112"/>
      <c r="P2156" s="112"/>
    </row>
    <row r="2157" spans="14:16" s="94" customFormat="1">
      <c r="N2157" s="112"/>
      <c r="O2157" s="112"/>
      <c r="P2157" s="112"/>
    </row>
    <row r="2158" spans="14:16" s="94" customFormat="1">
      <c r="N2158" s="112"/>
      <c r="O2158" s="112"/>
      <c r="P2158" s="112"/>
    </row>
    <row r="2159" spans="14:16" s="94" customFormat="1">
      <c r="N2159" s="112"/>
      <c r="O2159" s="112"/>
      <c r="P2159" s="112"/>
    </row>
    <row r="2160" spans="14:16" s="94" customFormat="1">
      <c r="N2160" s="112"/>
      <c r="O2160" s="112"/>
      <c r="P2160" s="112"/>
    </row>
    <row r="2161" spans="14:16" s="94" customFormat="1">
      <c r="N2161" s="112"/>
      <c r="O2161" s="112"/>
      <c r="P2161" s="112"/>
    </row>
    <row r="2162" spans="14:16" s="94" customFormat="1">
      <c r="N2162" s="112"/>
      <c r="O2162" s="112"/>
      <c r="P2162" s="112"/>
    </row>
    <row r="2163" spans="14:16" s="94" customFormat="1">
      <c r="N2163" s="112"/>
      <c r="O2163" s="112"/>
      <c r="P2163" s="112"/>
    </row>
    <row r="2164" spans="14:16" s="94" customFormat="1">
      <c r="N2164" s="112"/>
      <c r="O2164" s="112"/>
      <c r="P2164" s="112"/>
    </row>
    <row r="2165" spans="14:16" s="94" customFormat="1">
      <c r="N2165" s="112"/>
      <c r="O2165" s="112"/>
      <c r="P2165" s="112"/>
    </row>
    <row r="2166" spans="14:16" s="94" customFormat="1">
      <c r="N2166" s="112"/>
      <c r="O2166" s="112"/>
      <c r="P2166" s="112"/>
    </row>
    <row r="2167" spans="14:16" s="94" customFormat="1">
      <c r="N2167" s="112"/>
      <c r="O2167" s="112"/>
      <c r="P2167" s="112"/>
    </row>
    <row r="2168" spans="14:16" s="94" customFormat="1">
      <c r="N2168" s="112"/>
      <c r="O2168" s="112"/>
      <c r="P2168" s="112"/>
    </row>
    <row r="2169" spans="14:16" s="94" customFormat="1">
      <c r="N2169" s="112"/>
      <c r="O2169" s="112"/>
      <c r="P2169" s="112"/>
    </row>
    <row r="2170" spans="14:16" s="94" customFormat="1">
      <c r="N2170" s="112"/>
      <c r="O2170" s="112"/>
      <c r="P2170" s="112"/>
    </row>
    <row r="2171" spans="14:16" s="94" customFormat="1">
      <c r="N2171" s="112"/>
      <c r="O2171" s="112"/>
      <c r="P2171" s="112"/>
    </row>
    <row r="2172" spans="14:16" s="94" customFormat="1">
      <c r="N2172" s="112"/>
      <c r="O2172" s="112"/>
      <c r="P2172" s="112"/>
    </row>
    <row r="2173" spans="14:16" s="94" customFormat="1">
      <c r="N2173" s="112"/>
      <c r="O2173" s="112"/>
      <c r="P2173" s="112"/>
    </row>
    <row r="2174" spans="14:16" s="94" customFormat="1">
      <c r="N2174" s="112"/>
      <c r="O2174" s="112"/>
      <c r="P2174" s="112"/>
    </row>
    <row r="2175" spans="14:16" s="94" customFormat="1">
      <c r="N2175" s="112"/>
      <c r="O2175" s="112"/>
      <c r="P2175" s="112"/>
    </row>
    <row r="2176" spans="14:16" s="94" customFormat="1">
      <c r="N2176" s="112"/>
      <c r="O2176" s="112"/>
      <c r="P2176" s="112"/>
    </row>
    <row r="2177" spans="14:16" s="94" customFormat="1">
      <c r="N2177" s="112"/>
      <c r="O2177" s="112"/>
      <c r="P2177" s="112"/>
    </row>
    <row r="2178" spans="14:16" s="94" customFormat="1">
      <c r="N2178" s="112"/>
      <c r="O2178" s="112"/>
      <c r="P2178" s="112"/>
    </row>
    <row r="2179" spans="14:16" s="94" customFormat="1">
      <c r="N2179" s="112"/>
      <c r="O2179" s="112"/>
      <c r="P2179" s="112"/>
    </row>
    <row r="2180" spans="14:16" s="94" customFormat="1">
      <c r="N2180" s="112"/>
      <c r="O2180" s="112"/>
      <c r="P2180" s="112"/>
    </row>
    <row r="2181" spans="14:16" s="94" customFormat="1">
      <c r="N2181" s="112"/>
      <c r="O2181" s="112"/>
      <c r="P2181" s="112"/>
    </row>
    <row r="2182" spans="14:16" s="94" customFormat="1">
      <c r="N2182" s="112"/>
      <c r="O2182" s="112"/>
      <c r="P2182" s="112"/>
    </row>
    <row r="2183" spans="14:16" s="94" customFormat="1">
      <c r="N2183" s="112"/>
      <c r="O2183" s="112"/>
      <c r="P2183" s="112"/>
    </row>
    <row r="2184" spans="14:16" s="94" customFormat="1">
      <c r="N2184" s="112"/>
      <c r="O2184" s="112"/>
      <c r="P2184" s="112"/>
    </row>
    <row r="2185" spans="14:16" s="94" customFormat="1">
      <c r="N2185" s="112"/>
      <c r="O2185" s="112"/>
      <c r="P2185" s="112"/>
    </row>
    <row r="2186" spans="14:16" s="94" customFormat="1">
      <c r="N2186" s="112"/>
      <c r="O2186" s="112"/>
      <c r="P2186" s="112"/>
    </row>
    <row r="2187" spans="14:16" s="94" customFormat="1">
      <c r="N2187" s="112"/>
      <c r="O2187" s="112"/>
      <c r="P2187" s="112"/>
    </row>
    <row r="2188" spans="14:16" s="94" customFormat="1">
      <c r="N2188" s="112"/>
      <c r="O2188" s="112"/>
      <c r="P2188" s="112"/>
    </row>
    <row r="2189" spans="14:16" s="94" customFormat="1">
      <c r="N2189" s="112"/>
      <c r="O2189" s="112"/>
      <c r="P2189" s="112"/>
    </row>
    <row r="2190" spans="14:16" s="94" customFormat="1">
      <c r="N2190" s="112"/>
      <c r="O2190" s="112"/>
      <c r="P2190" s="112"/>
    </row>
    <row r="2191" spans="14:16" s="94" customFormat="1">
      <c r="N2191" s="112"/>
      <c r="O2191" s="112"/>
      <c r="P2191" s="112"/>
    </row>
    <row r="2192" spans="14:16" s="94" customFormat="1">
      <c r="N2192" s="112"/>
      <c r="O2192" s="112"/>
      <c r="P2192" s="112"/>
    </row>
    <row r="2193" spans="14:16" s="94" customFormat="1">
      <c r="N2193" s="112"/>
      <c r="O2193" s="112"/>
      <c r="P2193" s="112"/>
    </row>
    <row r="2194" spans="14:16" s="94" customFormat="1">
      <c r="N2194" s="112"/>
      <c r="O2194" s="112"/>
      <c r="P2194" s="112"/>
    </row>
    <row r="2195" spans="14:16" s="94" customFormat="1">
      <c r="N2195" s="112"/>
      <c r="O2195" s="112"/>
      <c r="P2195" s="112"/>
    </row>
    <row r="2196" spans="14:16" s="94" customFormat="1">
      <c r="N2196" s="112"/>
      <c r="O2196" s="112"/>
      <c r="P2196" s="112"/>
    </row>
    <row r="2197" spans="14:16" s="94" customFormat="1">
      <c r="N2197" s="112"/>
      <c r="O2197" s="112"/>
      <c r="P2197" s="112"/>
    </row>
    <row r="2198" spans="14:16" s="94" customFormat="1">
      <c r="N2198" s="112"/>
      <c r="O2198" s="112"/>
      <c r="P2198" s="112"/>
    </row>
    <row r="2199" spans="14:16" s="94" customFormat="1">
      <c r="N2199" s="112"/>
      <c r="O2199" s="112"/>
      <c r="P2199" s="112"/>
    </row>
    <row r="2200" spans="14:16" s="94" customFormat="1">
      <c r="N2200" s="112"/>
      <c r="O2200" s="112"/>
      <c r="P2200" s="112"/>
    </row>
    <row r="2201" spans="14:16" s="94" customFormat="1">
      <c r="N2201" s="112"/>
      <c r="O2201" s="112"/>
      <c r="P2201" s="112"/>
    </row>
    <row r="2202" spans="14:16" s="94" customFormat="1">
      <c r="N2202" s="112"/>
      <c r="O2202" s="112"/>
      <c r="P2202" s="112"/>
    </row>
    <row r="2203" spans="14:16" s="94" customFormat="1">
      <c r="N2203" s="112"/>
      <c r="O2203" s="112"/>
      <c r="P2203" s="112"/>
    </row>
    <row r="2204" spans="14:16" s="94" customFormat="1">
      <c r="N2204" s="112"/>
      <c r="O2204" s="112"/>
      <c r="P2204" s="112"/>
    </row>
    <row r="2205" spans="14:16" s="94" customFormat="1">
      <c r="N2205" s="112"/>
      <c r="O2205" s="112"/>
      <c r="P2205" s="112"/>
    </row>
    <row r="2206" spans="14:16" s="94" customFormat="1">
      <c r="N2206" s="112"/>
      <c r="O2206" s="112"/>
      <c r="P2206" s="112"/>
    </row>
    <row r="2207" spans="14:16" s="94" customFormat="1">
      <c r="N2207" s="112"/>
      <c r="O2207" s="112"/>
      <c r="P2207" s="112"/>
    </row>
    <row r="2208" spans="14:16" s="94" customFormat="1">
      <c r="N2208" s="112"/>
      <c r="O2208" s="112"/>
      <c r="P2208" s="112"/>
    </row>
    <row r="2209" spans="14:16" s="94" customFormat="1">
      <c r="N2209" s="112"/>
      <c r="O2209" s="112"/>
      <c r="P2209" s="112"/>
    </row>
    <row r="2210" spans="14:16" s="94" customFormat="1">
      <c r="N2210" s="112"/>
      <c r="O2210" s="112"/>
      <c r="P2210" s="112"/>
    </row>
    <row r="2211" spans="14:16" s="94" customFormat="1">
      <c r="N2211" s="112"/>
      <c r="O2211" s="112"/>
      <c r="P2211" s="112"/>
    </row>
    <row r="2212" spans="14:16" s="94" customFormat="1">
      <c r="N2212" s="112"/>
      <c r="O2212" s="112"/>
      <c r="P2212" s="112"/>
    </row>
    <row r="2213" spans="14:16" s="94" customFormat="1">
      <c r="N2213" s="112"/>
      <c r="O2213" s="112"/>
      <c r="P2213" s="112"/>
    </row>
    <row r="2214" spans="14:16" s="94" customFormat="1">
      <c r="N2214" s="112"/>
      <c r="O2214" s="112"/>
      <c r="P2214" s="112"/>
    </row>
  </sheetData>
  <mergeCells count="2">
    <mergeCell ref="A1:Q1"/>
    <mergeCell ref="A2:Q2"/>
  </mergeCells>
  <pageMargins left="0.7" right="0.7" top="0.75" bottom="0.75" header="0.3" footer="0.3"/>
  <pageSetup paperSize="9" scale="97" orientation="landscape" horizontalDpi="4294967295" verticalDpi="4294967295" r:id="rId1"/>
  <rowBreaks count="2" manualBreakCount="2">
    <brk id="25" max="17" man="1"/>
    <brk id="58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8.20 workings</vt:lpstr>
      <vt:lpstr>8.18</vt:lpstr>
      <vt:lpstr>'8.18'!Print_Area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2017-07-02T06:49:46Z</cp:lastPrinted>
  <dcterms:created xsi:type="dcterms:W3CDTF">2013-04-04T04:05:16Z</dcterms:created>
  <dcterms:modified xsi:type="dcterms:W3CDTF">2017-07-02T06:50:09Z</dcterms:modified>
</cp:coreProperties>
</file>