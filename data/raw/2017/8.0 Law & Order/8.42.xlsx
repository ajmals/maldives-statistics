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42" sheetId="6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1">'8.42'!$A$1:$L$49</definedName>
  </definedNames>
  <calcPr calcId="144525"/>
</workbook>
</file>

<file path=xl/calcChain.xml><?xml version="1.0" encoding="utf-8"?>
<calcChain xmlns="http://schemas.openxmlformats.org/spreadsheetml/2006/main">
  <c r="AA17" i="63" l="1"/>
  <c r="AA16" i="63"/>
  <c r="AA15" i="63"/>
  <c r="H15" i="63" l="1"/>
  <c r="E15" i="63"/>
  <c r="B15" i="63"/>
  <c r="H14" i="63"/>
  <c r="E14" i="63"/>
  <c r="B14" i="63"/>
  <c r="H13" i="63"/>
  <c r="E13" i="63"/>
  <c r="B13" i="63"/>
  <c r="H12" i="63"/>
  <c r="E12" i="63"/>
  <c r="B12" i="63"/>
  <c r="H11" i="63"/>
  <c r="E11" i="63"/>
  <c r="B11" i="63"/>
  <c r="H10" i="63"/>
  <c r="E10" i="63"/>
  <c r="B10" i="63"/>
  <c r="H9" i="63"/>
  <c r="E9" i="63"/>
  <c r="B9" i="63"/>
  <c r="H8" i="63"/>
  <c r="E8" i="63"/>
  <c r="B8" i="63"/>
  <c r="J7" i="63"/>
  <c r="I7" i="63"/>
  <c r="G7" i="63"/>
  <c r="F7" i="63"/>
  <c r="D7" i="63"/>
  <c r="C7" i="63"/>
  <c r="B7" i="63" s="1"/>
  <c r="E7" i="63" l="1"/>
  <c r="H7" i="6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<sst xmlns="http://schemas.openxmlformats.org/spreadsheetml/2006/main" count="202" uniqueCount="93">
  <si>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</si>
  <si>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</si>
  <si>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</si>
  <si>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</si>
  <si>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</si>
  <si>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</si>
  <si>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</si>
  <si>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</si>
  <si>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</si>
  <si>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</si>
  <si>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</si>
  <si>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</si>
  <si>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</si>
  <si>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</si>
  <si>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</si>
  <si>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</si>
  <si>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</si>
  <si>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</si>
  <si>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</si>
  <si>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</si>
  <si>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</si>
  <si>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</si>
  <si>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</si>
  <si>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</si>
  <si>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</si>
  <si>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</si>
  <si>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</si>
  <si>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</si>
  <si>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</si>
  <si>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</si>
  <si>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</si>
  <si>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</si>
  <si>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</si>
  <si>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</si>
  <si>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</si>
  <si>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</si>
  <si>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</si>
  <si>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</si>
  <si>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</si>
  <si>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</si>
  <si>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</si>
  <si>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</si>
  <si>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</si>
  <si>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</si>
  <si>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</si>
  <si>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</si>
  <si>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</si>
  <si>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</si>
  <si>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</si>
  <si>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</si>
  <si>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</si>
  <si>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</si>
  <si>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</si>
  <si>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</si>
  <si>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</si>
  <si>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</si>
  <si>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</si>
  <si>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</si>
  <si>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</si>
  <si>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</si>
  <si>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</si>
  <si>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</si>
  <si>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</si>
  <si>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</si>
  <si>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</si>
  <si>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Both sexes</t>
  </si>
  <si>
    <t>Wruf egurumuA</t>
  </si>
  <si>
    <t>cscnijed</t>
  </si>
  <si>
    <t>cnehirif</t>
  </si>
  <si>
    <t>cnehcnwa</t>
  </si>
  <si>
    <t>Age groups</t>
  </si>
  <si>
    <t>caerumua Whiruh</t>
  </si>
  <si>
    <t>All ages</t>
  </si>
  <si>
    <t>cSwdcnurwhwa 15</t>
  </si>
  <si>
    <t>Under 15</t>
  </si>
  <si>
    <t>15 - 19</t>
  </si>
  <si>
    <t>20 - 24</t>
  </si>
  <si>
    <t>25 - 29</t>
  </si>
  <si>
    <t>30 - 34</t>
  </si>
  <si>
    <t>35 - 39</t>
  </si>
  <si>
    <t>40 - 49</t>
  </si>
  <si>
    <t>itwmcnurwa 50</t>
  </si>
  <si>
    <t>50 &amp; Over</t>
  </si>
  <si>
    <t>Source:Maldives Correctional  Service</t>
  </si>
  <si>
    <t>މައުލޫމާތު ދެއްވީ: މޯލްޑިވްސް ކަރެކްޝަނަލް ސަރވިސް</t>
  </si>
  <si>
    <t xml:space="preserve">19 - 15 </t>
  </si>
  <si>
    <t>24 - 20</t>
  </si>
  <si>
    <t>29 - 25</t>
  </si>
  <si>
    <t>34 - 30</t>
  </si>
  <si>
    <t xml:space="preserve">39 - 35 </t>
  </si>
  <si>
    <t>49 - 40</t>
  </si>
  <si>
    <t>Table  8.42 : PERSONS SENTENCED, BY AGE AND SEX, 2014 - 2016</t>
  </si>
  <si>
    <t>2016- 2014,cnirevcSuk unuLeawDnwkWyin cSokcmukuK cnutogegWrufurumua iaWncnutogeguscnij : 8.42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</si>
</sst>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A_Randhoo"/>
    </font>
    <font>
      <b/>
      <sz val="12"/>
      <name val="A_Randhoo"/>
    </font>
    <font>
      <sz val="10"/>
      <name val="Courier"/>
      <family val="3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9"/>
      <name val="Arial"/>
      <family val="2"/>
    </font>
    <font>
      <b/>
      <sz val="10"/>
      <name val="Arial"/>
      <family val="2"/>
    </font>
    <font>
      <sz val="9"/>
      <name val="Akuru-Bodu Bold"/>
      <family val="2"/>
      <charset val="2"/>
    </font>
    <font>
      <sz val="9"/>
      <color theme="1"/>
      <name val="Arial"/>
      <family val="2"/>
    </font>
    <font>
      <sz val="9"/>
      <color theme="1"/>
      <name val="Akuru-Bodu Bold"/>
      <family val="2"/>
      <charset val="2"/>
    </font>
    <font>
      <b/>
      <sz val="9"/>
      <color theme="1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19" fillId="0" borderId="9" applyNumberFormat="0" applyFill="0" applyAlignment="0" applyProtection="0"/>
    <xf numFmtId="0" fontId="12" fillId="0" borderId="0"/>
    <xf numFmtId="166" fontId="2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13" applyNumberFormat="0" applyAlignment="0" applyProtection="0"/>
    <xf numFmtId="0" fontId="30" fillId="8" borderId="14" applyNumberFormat="0" applyAlignment="0" applyProtection="0"/>
    <xf numFmtId="0" fontId="31" fillId="8" borderId="13" applyNumberFormat="0" applyAlignment="0" applyProtection="0"/>
    <xf numFmtId="0" fontId="32" fillId="0" borderId="15" applyNumberFormat="0" applyFill="0" applyAlignment="0" applyProtection="0"/>
    <xf numFmtId="0" fontId="33" fillId="9" borderId="16" applyNumberFormat="0" applyAlignment="0" applyProtection="0"/>
    <xf numFmtId="0" fontId="21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5" fillId="34" borderId="0" applyNumberFormat="0" applyBorder="0" applyAlignment="0" applyProtection="0"/>
    <xf numFmtId="0" fontId="1" fillId="0" borderId="0"/>
    <xf numFmtId="0" fontId="12" fillId="0" borderId="0"/>
  </cellStyleXfs>
  <cellXfs count="12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0" fillId="2" borderId="19" xfId="0" applyNumberFormat="1" applyFill="1" applyBorder="1"/>
    <xf numFmtId="164" fontId="3" fillId="2" borderId="25" xfId="0" applyNumberFormat="1" applyFont="1" applyFill="1" applyBorder="1" applyAlignment="1">
      <alignment horizontal="right" vertical="center"/>
    </xf>
    <xf numFmtId="164" fontId="0" fillId="2" borderId="19" xfId="0" applyNumberFormat="1" applyFont="1" applyFill="1" applyBorder="1" applyAlignment="1">
      <alignment horizontal="center" vertical="center"/>
    </xf>
    <xf numFmtId="164" fontId="0" fillId="2" borderId="39" xfId="0" applyNumberFormat="1" applyFont="1" applyFill="1" applyBorder="1" applyAlignment="1">
      <alignment horizontal="center" vertical="center"/>
    </xf>
    <xf numFmtId="37" fontId="16" fillId="2" borderId="19" xfId="0" applyNumberFormat="1" applyFont="1" applyFill="1" applyBorder="1" applyAlignment="1" applyProtection="1">
      <alignment horizontal="center" vertical="center"/>
    </xf>
    <xf numFmtId="164" fontId="14" fillId="2" borderId="19" xfId="0" applyNumberFormat="1" applyFont="1" applyFill="1" applyBorder="1" applyAlignment="1">
      <alignment horizontal="center" vertical="center"/>
    </xf>
    <xf numFmtId="164" fontId="14" fillId="2" borderId="39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164" fontId="14" fillId="2" borderId="36" xfId="0" applyNumberFormat="1" applyFont="1" applyFill="1" applyBorder="1" applyAlignment="1">
      <alignment horizontal="center" vertical="center"/>
    </xf>
    <xf numFmtId="164" fontId="36" fillId="2" borderId="1" xfId="0" applyNumberFormat="1" applyFont="1" applyFill="1" applyBorder="1"/>
    <xf numFmtId="164" fontId="36" fillId="2" borderId="23" xfId="0" applyNumberFormat="1" applyFont="1" applyFill="1" applyBorder="1" applyAlignment="1" applyProtection="1">
      <alignment horizontal="left" vertical="center"/>
    </xf>
    <xf numFmtId="164" fontId="0" fillId="2" borderId="19" xfId="0" applyNumberFormat="1" applyFont="1" applyFill="1" applyBorder="1" applyAlignment="1">
      <alignment horizontal="center"/>
    </xf>
    <xf numFmtId="164" fontId="36" fillId="2" borderId="23" xfId="0" applyNumberFormat="1" applyFont="1" applyFill="1" applyBorder="1" applyAlignment="1" applyProtection="1">
      <alignment horizontal="left" vertical="center" wrapText="1"/>
    </xf>
    <xf numFmtId="164" fontId="0" fillId="2" borderId="23" xfId="0" applyNumberFormat="1" applyFill="1" applyBorder="1"/>
    <xf numFmtId="164" fontId="37" fillId="2" borderId="0" xfId="0" applyNumberFormat="1" applyFont="1" applyFill="1" applyBorder="1" applyAlignment="1">
      <alignment horizontal="right" vertical="center"/>
    </xf>
    <xf numFmtId="164" fontId="3" fillId="2" borderId="37" xfId="0" applyNumberFormat="1" applyFont="1" applyFill="1" applyBorder="1" applyAlignment="1">
      <alignment horizontal="right" vertical="center"/>
    </xf>
    <xf numFmtId="164" fontId="3" fillId="2" borderId="36" xfId="0" applyNumberFormat="1" applyFont="1" applyFill="1" applyBorder="1" applyAlignment="1">
      <alignment horizontal="right" vertical="center"/>
    </xf>
    <xf numFmtId="164" fontId="5" fillId="2" borderId="19" xfId="0" applyNumberFormat="1" applyFont="1" applyFill="1" applyBorder="1"/>
    <xf numFmtId="37" fontId="2" fillId="2" borderId="19" xfId="0" applyNumberFormat="1" applyFont="1" applyFill="1" applyBorder="1" applyAlignment="1" applyProtection="1">
      <alignment horizontal="center" vertical="center"/>
    </xf>
    <xf numFmtId="37" fontId="2" fillId="2" borderId="39" xfId="0" applyNumberFormat="1" applyFont="1" applyFill="1" applyBorder="1" applyAlignment="1" applyProtection="1">
      <alignment horizontal="center" vertical="center"/>
    </xf>
    <xf numFmtId="37" fontId="16" fillId="2" borderId="38" xfId="0" applyNumberFormat="1" applyFont="1" applyFill="1" applyBorder="1" applyAlignment="1" applyProtection="1">
      <alignment horizontal="center" vertical="center"/>
    </xf>
    <xf numFmtId="37" fontId="16" fillId="2" borderId="39" xfId="0" applyNumberFormat="1" applyFont="1" applyFill="1" applyBorder="1" applyAlignment="1" applyProtection="1">
      <alignment horizontal="center" vertical="center"/>
    </xf>
    <xf numFmtId="164" fontId="5" fillId="2" borderId="23" xfId="0" applyNumberFormat="1" applyFont="1" applyFill="1" applyBorder="1"/>
    <xf numFmtId="37" fontId="16" fillId="2" borderId="40" xfId="0" applyNumberFormat="1" applyFont="1" applyFill="1" applyBorder="1" applyAlignment="1" applyProtection="1">
      <alignment horizontal="center" vertical="center"/>
    </xf>
    <xf numFmtId="164" fontId="0" fillId="2" borderId="25" xfId="0" applyNumberFormat="1" applyFont="1" applyFill="1" applyBorder="1" applyAlignment="1">
      <alignment horizontal="center" vertical="center"/>
    </xf>
    <xf numFmtId="164" fontId="0" fillId="2" borderId="36" xfId="0" applyNumberFormat="1" applyFont="1" applyFill="1" applyBorder="1" applyAlignment="1">
      <alignment horizontal="center" vertical="center"/>
    </xf>
    <xf numFmtId="37" fontId="16" fillId="2" borderId="37" xfId="0" applyNumberFormat="1" applyFont="1" applyFill="1" applyBorder="1" applyAlignment="1" applyProtection="1">
      <alignment horizontal="center" vertical="center"/>
    </xf>
    <xf numFmtId="164" fontId="41" fillId="2" borderId="32" xfId="0" applyNumberFormat="1" applyFont="1" applyFill="1" applyBorder="1" applyAlignment="1">
      <alignment horizontal="center"/>
    </xf>
    <xf numFmtId="164" fontId="42" fillId="2" borderId="1" xfId="0" applyNumberFormat="1" applyFont="1" applyFill="1" applyBorder="1" applyAlignment="1">
      <alignment horizontal="center"/>
    </xf>
    <xf numFmtId="164" fontId="41" fillId="2" borderId="1" xfId="0" applyNumberFormat="1" applyFont="1" applyFill="1" applyBorder="1" applyAlignment="1">
      <alignment horizontal="center"/>
    </xf>
    <xf numFmtId="164" fontId="40" fillId="2" borderId="1" xfId="0" applyNumberFormat="1" applyFont="1" applyFill="1" applyBorder="1" applyAlignment="1">
      <alignment horizontal="right"/>
    </xf>
    <xf numFmtId="164" fontId="3" fillId="2" borderId="20" xfId="0" applyNumberFormat="1" applyFont="1" applyFill="1" applyBorder="1" applyAlignment="1">
      <alignment horizontal="right" vertical="center"/>
    </xf>
    <xf numFmtId="37" fontId="16" fillId="2" borderId="24" xfId="0" applyNumberFormat="1" applyFont="1" applyFill="1" applyBorder="1" applyAlignment="1" applyProtection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0" xfId="0" applyNumberFormat="1" applyFont="1" applyFill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right" vertical="center"/>
    </xf>
    <xf numFmtId="164" fontId="11" fillId="2" borderId="3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 applyProtection="1">
      <alignment horizontal="right" vertical="center"/>
    </xf>
    <xf numFmtId="164" fontId="7" fillId="2" borderId="22" xfId="0" applyNumberFormat="1" applyFont="1" applyFill="1" applyBorder="1" applyAlignment="1" applyProtection="1">
      <alignment horizontal="right" vertical="center"/>
    </xf>
    <xf numFmtId="164" fontId="5" fillId="2" borderId="23" xfId="0" applyNumberFormat="1" applyFont="1" applyFill="1" applyBorder="1" applyAlignment="1">
      <alignment horizontal="right" vertical="center"/>
    </xf>
    <xf numFmtId="164" fontId="7" fillId="2" borderId="2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 applyProtection="1">
      <alignment horizontal="left" vertical="center"/>
    </xf>
    <xf numFmtId="164" fontId="4" fillId="2" borderId="29" xfId="0" applyNumberFormat="1" applyFont="1" applyFill="1" applyBorder="1" applyAlignment="1" applyProtection="1">
      <alignment horizontal="left" vertical="center"/>
    </xf>
    <xf numFmtId="164" fontId="5" fillId="2" borderId="29" xfId="0" applyNumberFormat="1" applyFont="1" applyFill="1" applyBorder="1" applyAlignment="1" applyProtection="1">
      <alignment horizontal="left" vertical="center"/>
    </xf>
    <xf numFmtId="164" fontId="5" fillId="2" borderId="4" xfId="0" applyNumberFormat="1" applyFont="1" applyFill="1" applyBorder="1" applyAlignment="1" applyProtection="1">
      <alignment horizontal="left" vertical="center" wrapText="1"/>
    </xf>
    <xf numFmtId="164" fontId="11" fillId="2" borderId="21" xfId="0" applyNumberFormat="1" applyFont="1" applyFill="1" applyBorder="1" applyAlignment="1">
      <alignment horizontal="right" vertical="center"/>
    </xf>
    <xf numFmtId="37" fontId="2" fillId="2" borderId="22" xfId="0" applyNumberFormat="1" applyFont="1" applyFill="1" applyBorder="1" applyAlignment="1" applyProtection="1">
      <alignment horizontal="center" vertical="center"/>
    </xf>
    <xf numFmtId="37" fontId="2" fillId="2" borderId="23" xfId="0" applyNumberFormat="1" applyFont="1" applyFill="1" applyBorder="1" applyAlignment="1" applyProtection="1">
      <alignment horizontal="center" vertical="center"/>
    </xf>
    <xf numFmtId="37" fontId="2" fillId="2" borderId="21" xfId="0" applyNumberFormat="1" applyFont="1" applyFill="1" applyBorder="1" applyAlignment="1" applyProtection="1">
      <alignment horizontal="center" vertical="center"/>
    </xf>
    <xf numFmtId="164" fontId="43" fillId="2" borderId="31" xfId="0" applyNumberFormat="1" applyFont="1" applyFill="1" applyBorder="1" applyAlignment="1">
      <alignment horizontal="right" vertical="center"/>
    </xf>
    <xf numFmtId="164" fontId="43" fillId="2" borderId="32" xfId="0" applyNumberFormat="1" applyFont="1" applyFill="1" applyBorder="1" applyAlignment="1">
      <alignment horizontal="right" vertical="center"/>
    </xf>
    <xf numFmtId="164" fontId="43" fillId="2" borderId="34" xfId="0" applyNumberFormat="1" applyFont="1" applyFill="1" applyBorder="1" applyAlignment="1">
      <alignment horizontal="right" vertical="center"/>
    </xf>
    <xf numFmtId="164" fontId="6" fillId="2" borderId="35" xfId="0" applyNumberFormat="1" applyFont="1" applyFill="1" applyBorder="1" applyAlignment="1">
      <alignment horizontal="right" vertical="center"/>
    </xf>
    <xf numFmtId="164" fontId="6" fillId="2" borderId="32" xfId="0" applyNumberFormat="1" applyFont="1" applyFill="1" applyBorder="1" applyAlignment="1">
      <alignment horizontal="right" vertical="center"/>
    </xf>
    <xf numFmtId="164" fontId="6" fillId="2" borderId="34" xfId="0" applyNumberFormat="1" applyFont="1" applyFill="1" applyBorder="1" applyAlignment="1">
      <alignment horizontal="right" vertical="center"/>
    </xf>
    <xf numFmtId="164" fontId="6" fillId="2" borderId="41" xfId="0" applyNumberFormat="1" applyFont="1" applyFill="1" applyBorder="1" applyAlignment="1">
      <alignment horizontal="right" vertical="center"/>
    </xf>
    <xf numFmtId="164" fontId="18" fillId="2" borderId="22" xfId="0" applyNumberFormat="1" applyFont="1" applyFill="1" applyBorder="1" applyAlignment="1" applyProtection="1">
      <alignment horizontal="left" vertical="center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3" fillId="2" borderId="6" xfId="0" applyNumberFormat="1" applyFont="1" applyFill="1" applyBorder="1" applyAlignment="1" applyProtection="1">
      <alignment horizontal="left" vertical="center"/>
    </xf>
    <xf numFmtId="164" fontId="17" fillId="2" borderId="42" xfId="0" applyNumberFormat="1" applyFont="1" applyFill="1" applyBorder="1" applyAlignment="1">
      <alignment horizontal="right" vertical="center"/>
    </xf>
    <xf numFmtId="164" fontId="17" fillId="2" borderId="30" xfId="0" applyNumberFormat="1" applyFont="1" applyFill="1" applyBorder="1" applyAlignment="1">
      <alignment horizontal="right" vertical="center"/>
    </xf>
    <xf numFmtId="164" fontId="17" fillId="2" borderId="43" xfId="0" applyNumberFormat="1" applyFont="1" applyFill="1" applyBorder="1" applyAlignment="1">
      <alignment horizontal="right" vertical="center"/>
    </xf>
    <xf numFmtId="164" fontId="39" fillId="2" borderId="4" xfId="0" applyNumberFormat="1" applyFont="1" applyFill="1" applyBorder="1" applyAlignment="1" applyProtection="1">
      <alignment horizontal="center" vertical="center"/>
    </xf>
    <xf numFmtId="164" fontId="39" fillId="2" borderId="21" xfId="0" applyNumberFormat="1" applyFont="1" applyFill="1" applyBorder="1" applyAlignment="1" applyProtection="1">
      <alignment horizontal="center" vertical="center"/>
    </xf>
    <xf numFmtId="164" fontId="8" fillId="2" borderId="3" xfId="0" applyNumberFormat="1" applyFont="1" applyFill="1" applyBorder="1" applyAlignment="1">
      <alignment horizontal="center"/>
    </xf>
    <xf numFmtId="164" fontId="8" fillId="2" borderId="22" xfId="0" applyNumberFormat="1" applyFont="1" applyFill="1" applyBorder="1" applyAlignment="1">
      <alignment horizontal="center"/>
    </xf>
    <xf numFmtId="164" fontId="10" fillId="2" borderId="5" xfId="0" applyNumberFormat="1" applyFont="1" applyFill="1" applyBorder="1" applyAlignment="1" applyProtection="1">
      <alignment horizontal="center" vertical="center"/>
    </xf>
    <xf numFmtId="164" fontId="10" fillId="2" borderId="33" xfId="0" applyNumberFormat="1" applyFont="1" applyFill="1" applyBorder="1" applyAlignment="1" applyProtection="1">
      <alignment horizontal="center" vertical="center"/>
    </xf>
    <xf numFmtId="164" fontId="10" fillId="2" borderId="6" xfId="0" applyNumberFormat="1" applyFont="1" applyFill="1" applyBorder="1" applyAlignment="1" applyProtection="1">
      <alignment horizontal="center" vertical="center"/>
    </xf>
    <xf numFmtId="164" fontId="10" fillId="2" borderId="28" xfId="0" applyNumberFormat="1" applyFont="1" applyFill="1" applyBorder="1" applyAlignment="1" applyProtection="1">
      <alignment horizontal="center" vertical="center"/>
    </xf>
    <xf numFmtId="164" fontId="38" fillId="2" borderId="26" xfId="0" applyNumberFormat="1" applyFont="1" applyFill="1" applyBorder="1" applyAlignment="1" applyProtection="1">
      <alignment horizontal="center" vertical="center"/>
    </xf>
    <xf numFmtId="164" fontId="38" fillId="2" borderId="5" xfId="0" applyNumberFormat="1" applyFont="1" applyFill="1" applyBorder="1" applyAlignment="1" applyProtection="1">
      <alignment horizontal="center" vertical="center"/>
    </xf>
    <xf numFmtId="164" fontId="38" fillId="2" borderId="33" xfId="0" applyNumberFormat="1" applyFont="1" applyFill="1" applyBorder="1" applyAlignment="1" applyProtection="1">
      <alignment horizontal="center" vertical="center"/>
    </xf>
    <xf numFmtId="164" fontId="38" fillId="2" borderId="27" xfId="0" applyNumberFormat="1" applyFont="1" applyFill="1" applyBorder="1" applyAlignment="1" applyProtection="1">
      <alignment horizontal="center" vertical="center"/>
    </xf>
    <xf numFmtId="164" fontId="38" fillId="2" borderId="6" xfId="0" applyNumberFormat="1" applyFont="1" applyFill="1" applyBorder="1" applyAlignment="1" applyProtection="1">
      <alignment horizontal="center" vertical="center"/>
    </xf>
    <xf numFmtId="164" fontId="38" fillId="2" borderId="28" xfId="0" applyNumberFormat="1" applyFont="1" applyFill="1" applyBorder="1" applyAlignment="1" applyProtection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34464"/>
        <c:axId val="44336256"/>
      </c:barChart>
      <c:catAx>
        <c:axId val="443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336256"/>
        <c:crosses val="autoZero"/>
        <c:auto val="1"/>
        <c:lblAlgn val="ctr"/>
        <c:lblOffset val="100"/>
        <c:noMultiLvlLbl val="0"/>
      </c:catAx>
      <c:valAx>
        <c:axId val="44336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4334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62752"/>
        <c:axId val="46215936"/>
      </c:barChart>
      <c:catAx>
        <c:axId val="4436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15936"/>
        <c:crosses val="autoZero"/>
        <c:auto val="1"/>
        <c:lblAlgn val="ctr"/>
        <c:lblOffset val="100"/>
        <c:noMultiLvlLbl val="0"/>
      </c:catAx>
      <c:valAx>
        <c:axId val="46215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362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46528"/>
        <c:axId val="46252416"/>
      </c:barChart>
      <c:catAx>
        <c:axId val="4624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52416"/>
        <c:crosses val="autoZero"/>
        <c:auto val="1"/>
        <c:lblAlgn val="ctr"/>
        <c:lblOffset val="100"/>
        <c:noMultiLvlLbl val="0"/>
      </c:catAx>
      <c:valAx>
        <c:axId val="46252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46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78912"/>
        <c:axId val="46288896"/>
      </c:barChart>
      <c:catAx>
        <c:axId val="4627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88896"/>
        <c:crosses val="autoZero"/>
        <c:auto val="1"/>
        <c:lblAlgn val="ctr"/>
        <c:lblOffset val="100"/>
        <c:noMultiLvlLbl val="0"/>
      </c:catAx>
      <c:valAx>
        <c:axId val="46288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78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28064"/>
        <c:axId val="46477312"/>
      </c:barChart>
      <c:catAx>
        <c:axId val="463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6477312"/>
        <c:crosses val="autoZero"/>
        <c:auto val="1"/>
        <c:lblAlgn val="ctr"/>
        <c:lblOffset val="100"/>
        <c:noMultiLvlLbl val="0"/>
      </c:catAx>
      <c:valAx>
        <c:axId val="4647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4632806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94464"/>
        <c:axId val="46496000"/>
      </c:barChart>
      <c:catAx>
        <c:axId val="4649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6496000"/>
        <c:crosses val="autoZero"/>
        <c:auto val="1"/>
        <c:lblAlgn val="ctr"/>
        <c:lblOffset val="100"/>
        <c:noMultiLvlLbl val="0"/>
      </c:catAx>
      <c:valAx>
        <c:axId val="46496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46494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29920"/>
        <c:axId val="47195264"/>
      </c:barChart>
      <c:catAx>
        <c:axId val="4652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7195264"/>
        <c:crosses val="autoZero"/>
        <c:auto val="1"/>
        <c:lblAlgn val="ctr"/>
        <c:lblOffset val="100"/>
        <c:noMultiLvlLbl val="0"/>
      </c:catAx>
      <c:valAx>
        <c:axId val="47195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465299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962264150943396E-2"/>
          <c:y val="0.14605498902801084"/>
          <c:w val="0.93104273575301755"/>
          <c:h val="0.71394655995869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'8.42'!$I$6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'8.42'!$A$8:$A$15</c:f>
              <c:strCache>
                <c:ptCount val="8"/>
                <c:pt idx="0">
                  <c:v>Under 15</c:v>
                </c:pt>
                <c:pt idx="1">
                  <c:v>15 - 19</c:v>
                </c:pt>
                <c:pt idx="2">
                  <c:v>20 - 24</c:v>
                </c:pt>
                <c:pt idx="3">
                  <c:v>25 - 29</c:v>
                </c:pt>
                <c:pt idx="4">
                  <c:v>30 - 34</c:v>
                </c:pt>
                <c:pt idx="5">
                  <c:v>35 - 39</c:v>
                </c:pt>
                <c:pt idx="6">
                  <c:v>40 - 49</c:v>
                </c:pt>
                <c:pt idx="7">
                  <c:v>50 &amp; Over</c:v>
                </c:pt>
              </c:strCache>
            </c:strRef>
          </c:cat>
          <c:val>
            <c:numRef>
              <c:f>'8.42'!$I$8:$I$15</c:f>
              <c:numCache>
                <c:formatCode>General_)</c:formatCode>
                <c:ptCount val="8"/>
                <c:pt idx="0">
                  <c:v>0</c:v>
                </c:pt>
                <c:pt idx="1">
                  <c:v>34</c:v>
                </c:pt>
                <c:pt idx="2">
                  <c:v>161</c:v>
                </c:pt>
                <c:pt idx="3">
                  <c:v>185</c:v>
                </c:pt>
                <c:pt idx="4">
                  <c:v>157</c:v>
                </c:pt>
                <c:pt idx="5">
                  <c:v>80</c:v>
                </c:pt>
                <c:pt idx="6">
                  <c:v>88</c:v>
                </c:pt>
                <c:pt idx="7">
                  <c:v>47</c:v>
                </c:pt>
              </c:numCache>
            </c:numRef>
          </c:val>
        </c:ser>
        <c:ser>
          <c:idx val="1"/>
          <c:order val="1"/>
          <c:tx>
            <c:strRef>
              <c:f>'8.42'!$J$6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'8.42'!$A$8:$A$15</c:f>
              <c:strCache>
                <c:ptCount val="8"/>
                <c:pt idx="0">
                  <c:v>Under 15</c:v>
                </c:pt>
                <c:pt idx="1">
                  <c:v>15 - 19</c:v>
                </c:pt>
                <c:pt idx="2">
                  <c:v>20 - 24</c:v>
                </c:pt>
                <c:pt idx="3">
                  <c:v>25 - 29</c:v>
                </c:pt>
                <c:pt idx="4">
                  <c:v>30 - 34</c:v>
                </c:pt>
                <c:pt idx="5">
                  <c:v>35 - 39</c:v>
                </c:pt>
                <c:pt idx="6">
                  <c:v>40 - 49</c:v>
                </c:pt>
                <c:pt idx="7">
                  <c:v>50 &amp; Over</c:v>
                </c:pt>
              </c:strCache>
            </c:strRef>
          </c:cat>
          <c:val>
            <c:numRef>
              <c:f>'8.42'!$J$8:$J$15</c:f>
              <c:numCache>
                <c:formatCode>General_)</c:formatCode>
                <c:ptCount val="8"/>
                <c:pt idx="0">
                  <c:v>0</c:v>
                </c:pt>
                <c:pt idx="1">
                  <c:v>8</c:v>
                </c:pt>
                <c:pt idx="2">
                  <c:v>25</c:v>
                </c:pt>
                <c:pt idx="3">
                  <c:v>19</c:v>
                </c:pt>
                <c:pt idx="4">
                  <c:v>5</c:v>
                </c:pt>
                <c:pt idx="5">
                  <c:v>12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75936"/>
        <c:axId val="99977472"/>
      </c:barChart>
      <c:catAx>
        <c:axId val="9997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99977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977472"/>
        <c:scaling>
          <c:orientation val="minMax"/>
        </c:scaling>
        <c:delete val="0"/>
        <c:axPos val="l"/>
        <c:majorGridlines>
          <c:spPr>
            <a:ln w="3175">
              <a:solidFill>
                <a:srgbClr val="FABF8E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080108103054644E-3"/>
              <c:y val="6.9979041767531988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_)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975936"/>
        <c:crosses val="autoZero"/>
        <c:crossBetween val="between"/>
      </c:valAx>
      <c:spPr>
        <a:solidFill>
          <a:srgbClr val="FDEADA"/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693243612053101"/>
          <c:y val="0.2268765984688027"/>
          <c:w val="0.20562979139881798"/>
          <c:h val="4.950197726707009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18449256342959E-2"/>
          <c:y val="0.14850721784776902"/>
          <c:w val="0.92203042979002625"/>
          <c:h val="0.73551290463692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'8.42'!$AA$14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'8.42'!$Z$15:$Z$17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'8.42'!$AA$15:$AA$17</c:f>
              <c:numCache>
                <c:formatCode>General_)</c:formatCode>
                <c:ptCount val="3"/>
                <c:pt idx="0">
                  <c:v>401</c:v>
                </c:pt>
                <c:pt idx="1">
                  <c:v>358</c:v>
                </c:pt>
                <c:pt idx="2">
                  <c:v>828</c:v>
                </c:pt>
              </c:numCache>
            </c:numRef>
          </c:val>
        </c:ser>
        <c:ser>
          <c:idx val="1"/>
          <c:order val="1"/>
          <c:tx>
            <c:strRef>
              <c:f>'8.42'!$AB$14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'8.42'!$Z$15:$Z$17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'8.42'!$AB$15:$AB$17</c:f>
              <c:numCache>
                <c:formatCode>General_)</c:formatCode>
                <c:ptCount val="3"/>
                <c:pt idx="0">
                  <c:v>342</c:v>
                </c:pt>
                <c:pt idx="1">
                  <c:v>302</c:v>
                </c:pt>
                <c:pt idx="2">
                  <c:v>752</c:v>
                </c:pt>
              </c:numCache>
            </c:numRef>
          </c:val>
        </c:ser>
        <c:ser>
          <c:idx val="2"/>
          <c:order val="2"/>
          <c:tx>
            <c:strRef>
              <c:f>'8.42'!$AC$14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numRef>
              <c:f>'8.42'!$Z$15:$Z$17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'8.42'!$AC$15:$AC$17</c:f>
              <c:numCache>
                <c:formatCode>General_)</c:formatCode>
                <c:ptCount val="3"/>
                <c:pt idx="0">
                  <c:v>59</c:v>
                </c:pt>
                <c:pt idx="1">
                  <c:v>56</c:v>
                </c:pt>
                <c:pt idx="2">
                  <c:v>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81632"/>
        <c:axId val="99383168"/>
      </c:barChart>
      <c:catAx>
        <c:axId val="9938163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99383168"/>
        <c:crosses val="autoZero"/>
        <c:auto val="1"/>
        <c:lblAlgn val="ctr"/>
        <c:lblOffset val="100"/>
        <c:noMultiLvlLbl val="0"/>
      </c:catAx>
      <c:valAx>
        <c:axId val="99383168"/>
        <c:scaling>
          <c:orientation val="minMax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crossAx val="9938163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190165682414699"/>
          <c:y val="0.22853310002916302"/>
          <c:w val="0.26677889873140859"/>
          <c:h val="9.374416739574219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17</xdr:row>
      <xdr:rowOff>123825</xdr:rowOff>
    </xdr:from>
    <xdr:to>
      <xdr:col>10</xdr:col>
      <xdr:colOff>495688</xdr:colOff>
      <xdr:row>32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120132</xdr:colOff>
      <xdr:row>18</xdr:row>
      <xdr:rowOff>21011</xdr:rowOff>
    </xdr:from>
    <xdr:to>
      <xdr:col>8</xdr:col>
      <xdr:colOff>539284</xdr:colOff>
      <xdr:row>18</xdr:row>
      <xdr:rowOff>36320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396327" y="5000625"/>
          <a:ext cx="3710880" cy="15309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533400</xdr:colOff>
      <xdr:row>34</xdr:row>
      <xdr:rowOff>28575</xdr:rowOff>
    </xdr:from>
    <xdr:to>
      <xdr:col>10</xdr:col>
      <xdr:colOff>476250</xdr:colOff>
      <xdr:row>48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478481</xdr:colOff>
      <xdr:row>34</xdr:row>
      <xdr:rowOff>61074</xdr:rowOff>
    </xdr:from>
    <xdr:to>
      <xdr:col>9</xdr:col>
      <xdr:colOff>126067</xdr:colOff>
      <xdr:row>35</xdr:row>
      <xdr:rowOff>149115</xdr:rowOff>
    </xdr:to>
    <xdr:sp macro="" textlink="">
      <xdr:nvSpPr>
        <xdr:cNvPr id="6" name="TextBox 5"/>
        <xdr:cNvSpPr txBox="1"/>
      </xdr:nvSpPr>
      <xdr:spPr>
        <a:xfrm>
          <a:off x="2096330" y="8066276"/>
          <a:ext cx="4256005" cy="277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8.40: 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Persons sentenced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  sex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locality, 2014 -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2016</a:t>
          </a:r>
          <a:endParaRPr lang="en-US" sz="1100"/>
        </a:p>
      </xdr:txBody>
    </xdr:sp>
    <xdr:clientData/>
  </xdr:twoCellAnchor>
  <xdr:twoCellAnchor>
    <xdr:from>
      <xdr:col>3</xdr:col>
      <xdr:colOff>174582</xdr:colOff>
      <xdr:row>35</xdr:row>
      <xdr:rowOff>129668</xdr:rowOff>
    </xdr:from>
    <xdr:to>
      <xdr:col>9</xdr:col>
      <xdr:colOff>168089</xdr:colOff>
      <xdr:row>35</xdr:row>
      <xdr:rowOff>133070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450777" y="8323969"/>
          <a:ext cx="3943580" cy="340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0.25794</cdr:x>
      <cdr:y>0.02381</cdr:y>
    </cdr:from>
    <cdr:to>
      <cdr:x>0.84847</cdr:x>
      <cdr:y>0.11782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70291" y="70563"/>
          <a:ext cx="4052984" cy="2785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100" b="1" i="0" strike="noStrike">
              <a:solidFill>
                <a:schemeClr val="tx1"/>
              </a:solidFill>
              <a:latin typeface="+mn-lt"/>
              <a:cs typeface="Arial"/>
            </a:rPr>
            <a:t>Figure 8.39:  </a:t>
          </a:r>
          <a:r>
            <a:rPr lang="en-US" sz="1100" b="1" i="0" strike="noStrike">
              <a:solidFill>
                <a:srgbClr val="000000"/>
              </a:solidFill>
              <a:latin typeface="+mn-lt"/>
              <a:cs typeface="Arial"/>
            </a:rPr>
            <a:t>Persons sentenced, by age group an</a:t>
          </a:r>
          <a:r>
            <a:rPr lang="en-US" sz="1050" b="1" i="0" strike="noStrike">
              <a:solidFill>
                <a:srgbClr val="000000"/>
              </a:solidFill>
              <a:latin typeface="+mn-lt"/>
              <a:cs typeface="Arial"/>
            </a:rPr>
            <a:t>d sex,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95" t="s">
        <v>50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</row>
    <row r="2" spans="1:36">
      <c r="A2" s="96" t="s">
        <v>43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6" ht="15" customHeight="1">
      <c r="A3" s="97"/>
      <c r="B3" s="97"/>
      <c r="C3" s="99" t="s">
        <v>39</v>
      </c>
      <c r="D3" s="99"/>
      <c r="E3" s="99"/>
      <c r="F3" s="99"/>
      <c r="G3" s="99"/>
      <c r="H3" s="29"/>
      <c r="I3" s="29"/>
      <c r="J3" s="100" t="s">
        <v>5</v>
      </c>
      <c r="K3" s="100"/>
      <c r="L3" s="100"/>
      <c r="M3" s="100"/>
      <c r="N3" s="100"/>
      <c r="O3" s="24"/>
      <c r="P3" s="100" t="s">
        <v>6</v>
      </c>
      <c r="Q3" s="100"/>
      <c r="R3" s="100"/>
      <c r="S3" s="100"/>
      <c r="T3" s="100"/>
      <c r="U3" s="6"/>
      <c r="V3" s="6"/>
      <c r="W3" s="6"/>
      <c r="X3" s="101" t="s">
        <v>7</v>
      </c>
      <c r="Y3" s="101"/>
      <c r="Z3" s="101"/>
      <c r="AA3" s="101"/>
      <c r="AB3" s="101"/>
      <c r="AC3" s="25"/>
      <c r="AD3" s="25"/>
      <c r="AE3" s="101" t="s">
        <v>8</v>
      </c>
      <c r="AF3" s="101"/>
      <c r="AG3" s="101"/>
      <c r="AH3" s="101"/>
      <c r="AI3" s="101"/>
    </row>
    <row r="4" spans="1:36" ht="25.5">
      <c r="A4" s="98"/>
      <c r="B4" s="98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45</v>
      </c>
      <c r="I4" s="30" t="s">
        <v>51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45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45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45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39</v>
      </c>
      <c r="C37" s="27" t="s">
        <v>46</v>
      </c>
      <c r="D37" s="27" t="s">
        <v>40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39</v>
      </c>
      <c r="C43" s="27" t="s">
        <v>46</v>
      </c>
      <c r="D43" s="27" t="s">
        <v>40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39</v>
      </c>
      <c r="C50" s="27" t="s">
        <v>46</v>
      </c>
      <c r="D50" s="27" t="s">
        <v>40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tabSelected="1" zoomScaleNormal="100" zoomScaleSheetLayoutView="80" workbookViewId="0">
      <selection activeCell="T18" sqref="T18"/>
    </sheetView>
  </sheetViews>
  <sheetFormatPr defaultColWidth="17.28515625" defaultRowHeight="15"/>
  <cols>
    <col min="1" max="1" width="14.42578125" style="51" customWidth="1"/>
    <col min="2" max="4" width="9.85546875" style="49" customWidth="1"/>
    <col min="5" max="10" width="9.85546875" style="38" customWidth="1"/>
    <col min="11" max="11" width="14" style="38" customWidth="1"/>
    <col min="12" max="12" width="1.5703125" style="38" customWidth="1"/>
    <col min="13" max="14" width="17.28515625" style="38"/>
    <col min="15" max="19" width="4.85546875" style="38" customWidth="1"/>
    <col min="20" max="25" width="17.28515625" style="38"/>
    <col min="26" max="29" width="8.28515625" style="38" customWidth="1"/>
    <col min="30" max="16384" width="17.28515625" style="38"/>
  </cols>
  <sheetData>
    <row r="1" spans="1:29" ht="26.25" customHeight="1">
      <c r="A1" s="110" t="s">
        <v>92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</row>
    <row r="2" spans="1:29" ht="26.25" customHeight="1">
      <c r="A2" s="108" t="s">
        <v>91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29" ht="12.75" customHeight="1">
      <c r="A3" s="102" t="s">
        <v>70</v>
      </c>
      <c r="B3" s="112">
        <v>2014</v>
      </c>
      <c r="C3" s="112"/>
      <c r="D3" s="113"/>
      <c r="E3" s="116">
        <v>2015</v>
      </c>
      <c r="F3" s="117"/>
      <c r="G3" s="118"/>
      <c r="H3" s="116">
        <v>2016</v>
      </c>
      <c r="I3" s="117"/>
      <c r="J3" s="117"/>
      <c r="K3" s="105" t="s">
        <v>66</v>
      </c>
    </row>
    <row r="4" spans="1:29" ht="6.75" customHeight="1">
      <c r="A4" s="103"/>
      <c r="B4" s="114"/>
      <c r="C4" s="114"/>
      <c r="D4" s="115"/>
      <c r="E4" s="119"/>
      <c r="F4" s="120"/>
      <c r="G4" s="121"/>
      <c r="H4" s="119"/>
      <c r="I4" s="120"/>
      <c r="J4" s="120"/>
      <c r="K4" s="106"/>
    </row>
    <row r="5" spans="1:29" ht="21" customHeight="1">
      <c r="A5" s="103"/>
      <c r="B5" s="87" t="s">
        <v>67</v>
      </c>
      <c r="C5" s="88" t="s">
        <v>68</v>
      </c>
      <c r="D5" s="89" t="s">
        <v>69</v>
      </c>
      <c r="E5" s="90" t="s">
        <v>67</v>
      </c>
      <c r="F5" s="91" t="s">
        <v>68</v>
      </c>
      <c r="G5" s="92" t="s">
        <v>69</v>
      </c>
      <c r="H5" s="90" t="s">
        <v>67</v>
      </c>
      <c r="I5" s="91" t="s">
        <v>68</v>
      </c>
      <c r="J5" s="93" t="s">
        <v>69</v>
      </c>
      <c r="K5" s="106"/>
    </row>
    <row r="6" spans="1:29" s="55" customFormat="1" ht="26.25" customHeight="1">
      <c r="A6" s="104"/>
      <c r="B6" s="83" t="s">
        <v>65</v>
      </c>
      <c r="C6" s="73" t="s">
        <v>2</v>
      </c>
      <c r="D6" s="74" t="s">
        <v>3</v>
      </c>
      <c r="E6" s="53" t="s">
        <v>65</v>
      </c>
      <c r="F6" s="39" t="s">
        <v>2</v>
      </c>
      <c r="G6" s="54" t="s">
        <v>3</v>
      </c>
      <c r="H6" s="53" t="s">
        <v>65</v>
      </c>
      <c r="I6" s="39" t="s">
        <v>2</v>
      </c>
      <c r="J6" s="69" t="s">
        <v>3</v>
      </c>
      <c r="K6" s="107"/>
    </row>
    <row r="7" spans="1:29" s="55" customFormat="1" ht="14.25" customHeight="1">
      <c r="A7" s="79" t="s">
        <v>72</v>
      </c>
      <c r="B7" s="84">
        <f>C7+D7</f>
        <v>401</v>
      </c>
      <c r="C7" s="56">
        <f>SUM(C8:C15)</f>
        <v>342</v>
      </c>
      <c r="D7" s="57">
        <f>SUM(D8:D15)</f>
        <v>59</v>
      </c>
      <c r="E7" s="58">
        <f>SUM(F7:G7)</f>
        <v>358</v>
      </c>
      <c r="F7" s="42">
        <f>SUM(F8:F15)</f>
        <v>302</v>
      </c>
      <c r="G7" s="59">
        <f>SUM(G8:G15)</f>
        <v>56</v>
      </c>
      <c r="H7" s="58">
        <f>I7+J7</f>
        <v>828</v>
      </c>
      <c r="I7" s="42">
        <f>SUM(I8:I15)</f>
        <v>752</v>
      </c>
      <c r="J7" s="70">
        <f>SUM(J8:J15)</f>
        <v>76</v>
      </c>
      <c r="K7" s="75" t="s">
        <v>71</v>
      </c>
      <c r="L7" s="60"/>
    </row>
    <row r="8" spans="1:29" s="55" customFormat="1" ht="21" customHeight="1">
      <c r="A8" s="80" t="s">
        <v>74</v>
      </c>
      <c r="B8" s="85">
        <f>C8+D8</f>
        <v>0</v>
      </c>
      <c r="C8" s="40">
        <v>0</v>
      </c>
      <c r="D8" s="41">
        <v>0</v>
      </c>
      <c r="E8" s="61">
        <f>F8+G8</f>
        <v>0</v>
      </c>
      <c r="F8" s="43">
        <v>0</v>
      </c>
      <c r="G8" s="44">
        <v>0</v>
      </c>
      <c r="H8" s="61">
        <f>I8+J8</f>
        <v>0</v>
      </c>
      <c r="I8" s="43">
        <v>0</v>
      </c>
      <c r="J8" s="71">
        <v>0</v>
      </c>
      <c r="K8" s="76" t="s">
        <v>73</v>
      </c>
    </row>
    <row r="9" spans="1:29" s="55" customFormat="1" ht="26.25" customHeight="1">
      <c r="A9" s="81" t="s">
        <v>75</v>
      </c>
      <c r="B9" s="85">
        <f t="shared" ref="B9:B15" si="0">C9+D9</f>
        <v>15</v>
      </c>
      <c r="C9" s="40">
        <v>8</v>
      </c>
      <c r="D9" s="41">
        <v>7</v>
      </c>
      <c r="E9" s="61">
        <f t="shared" ref="E9:E14" si="1">F9+G9</f>
        <v>18</v>
      </c>
      <c r="F9" s="43">
        <v>8</v>
      </c>
      <c r="G9" s="44">
        <v>10</v>
      </c>
      <c r="H9" s="61">
        <f t="shared" ref="H9:H14" si="2">I9+J9</f>
        <v>42</v>
      </c>
      <c r="I9" s="43">
        <v>34</v>
      </c>
      <c r="J9" s="71">
        <v>8</v>
      </c>
      <c r="K9" s="77" t="s">
        <v>85</v>
      </c>
    </row>
    <row r="10" spans="1:29" s="55" customFormat="1" ht="26.25" customHeight="1">
      <c r="A10" s="81" t="s">
        <v>76</v>
      </c>
      <c r="B10" s="85">
        <f t="shared" si="0"/>
        <v>76</v>
      </c>
      <c r="C10" s="40">
        <v>62</v>
      </c>
      <c r="D10" s="41">
        <v>14</v>
      </c>
      <c r="E10" s="61">
        <f t="shared" si="1"/>
        <v>49</v>
      </c>
      <c r="F10" s="43">
        <v>37</v>
      </c>
      <c r="G10" s="44">
        <v>12</v>
      </c>
      <c r="H10" s="61">
        <f t="shared" si="2"/>
        <v>186</v>
      </c>
      <c r="I10" s="43">
        <v>161</v>
      </c>
      <c r="J10" s="71">
        <v>25</v>
      </c>
      <c r="K10" s="77" t="s">
        <v>86</v>
      </c>
    </row>
    <row r="11" spans="1:29" s="55" customFormat="1" ht="26.25" customHeight="1">
      <c r="A11" s="81" t="s">
        <v>77</v>
      </c>
      <c r="B11" s="85">
        <f t="shared" si="0"/>
        <v>79</v>
      </c>
      <c r="C11" s="40">
        <v>65</v>
      </c>
      <c r="D11" s="41">
        <v>14</v>
      </c>
      <c r="E11" s="61">
        <f t="shared" si="1"/>
        <v>79</v>
      </c>
      <c r="F11" s="43">
        <v>65</v>
      </c>
      <c r="G11" s="44">
        <v>14</v>
      </c>
      <c r="H11" s="61">
        <f t="shared" si="2"/>
        <v>204</v>
      </c>
      <c r="I11" s="43">
        <v>185</v>
      </c>
      <c r="J11" s="71">
        <v>19</v>
      </c>
      <c r="K11" s="77" t="s">
        <v>87</v>
      </c>
    </row>
    <row r="12" spans="1:29" s="55" customFormat="1" ht="26.25" customHeight="1">
      <c r="A12" s="81" t="s">
        <v>78</v>
      </c>
      <c r="B12" s="85">
        <f t="shared" si="0"/>
        <v>74</v>
      </c>
      <c r="C12" s="40">
        <v>66</v>
      </c>
      <c r="D12" s="41">
        <v>8</v>
      </c>
      <c r="E12" s="61">
        <f t="shared" si="1"/>
        <v>78</v>
      </c>
      <c r="F12" s="43">
        <v>66</v>
      </c>
      <c r="G12" s="44">
        <v>12</v>
      </c>
      <c r="H12" s="61">
        <f t="shared" si="2"/>
        <v>162</v>
      </c>
      <c r="I12" s="43">
        <v>157</v>
      </c>
      <c r="J12" s="71">
        <v>5</v>
      </c>
      <c r="K12" s="77" t="s">
        <v>88</v>
      </c>
    </row>
    <row r="13" spans="1:29" s="55" customFormat="1" ht="26.25" customHeight="1">
      <c r="A13" s="81" t="s">
        <v>79</v>
      </c>
      <c r="B13" s="85">
        <f t="shared" si="0"/>
        <v>58</v>
      </c>
      <c r="C13" s="40">
        <v>48</v>
      </c>
      <c r="D13" s="41">
        <v>10</v>
      </c>
      <c r="E13" s="61">
        <f t="shared" si="1"/>
        <v>55</v>
      </c>
      <c r="F13" s="43">
        <v>53</v>
      </c>
      <c r="G13" s="44">
        <v>2</v>
      </c>
      <c r="H13" s="61">
        <f t="shared" si="2"/>
        <v>92</v>
      </c>
      <c r="I13" s="43">
        <v>80</v>
      </c>
      <c r="J13" s="71">
        <v>12</v>
      </c>
      <c r="K13" s="77" t="s">
        <v>89</v>
      </c>
    </row>
    <row r="14" spans="1:29" s="55" customFormat="1" ht="26.25" customHeight="1">
      <c r="A14" s="81" t="s">
        <v>80</v>
      </c>
      <c r="B14" s="85">
        <f t="shared" si="0"/>
        <v>67</v>
      </c>
      <c r="C14" s="40">
        <v>61</v>
      </c>
      <c r="D14" s="41">
        <v>6</v>
      </c>
      <c r="E14" s="61">
        <f t="shared" si="1"/>
        <v>52</v>
      </c>
      <c r="F14" s="43">
        <v>49</v>
      </c>
      <c r="G14" s="44">
        <v>3</v>
      </c>
      <c r="H14" s="61">
        <f t="shared" si="2"/>
        <v>94</v>
      </c>
      <c r="I14" s="43">
        <v>88</v>
      </c>
      <c r="J14" s="71">
        <v>6</v>
      </c>
      <c r="K14" s="77" t="s">
        <v>90</v>
      </c>
      <c r="AA14" s="55" t="s">
        <v>65</v>
      </c>
      <c r="AB14" s="55" t="s">
        <v>2</v>
      </c>
      <c r="AC14" s="55" t="s">
        <v>3</v>
      </c>
    </row>
    <row r="15" spans="1:29" s="55" customFormat="1">
      <c r="A15" s="82" t="s">
        <v>82</v>
      </c>
      <c r="B15" s="86">
        <f t="shared" si="0"/>
        <v>32</v>
      </c>
      <c r="C15" s="62">
        <v>32</v>
      </c>
      <c r="D15" s="63">
        <v>0</v>
      </c>
      <c r="E15" s="64">
        <f t="shared" ref="E15" si="3">F15+G15</f>
        <v>27</v>
      </c>
      <c r="F15" s="45">
        <v>24</v>
      </c>
      <c r="G15" s="46">
        <v>3</v>
      </c>
      <c r="H15" s="64">
        <f t="shared" ref="H15" si="4">I15+J15</f>
        <v>48</v>
      </c>
      <c r="I15" s="45">
        <v>47</v>
      </c>
      <c r="J15" s="72">
        <v>1</v>
      </c>
      <c r="K15" s="78" t="s">
        <v>81</v>
      </c>
      <c r="Z15" s="55">
        <v>2014</v>
      </c>
      <c r="AA15" s="55">
        <f>B7</f>
        <v>401</v>
      </c>
      <c r="AB15" s="55">
        <v>342</v>
      </c>
      <c r="AC15" s="55">
        <v>59</v>
      </c>
    </row>
    <row r="16" spans="1:29" ht="17.25">
      <c r="A16" s="94" t="s">
        <v>83</v>
      </c>
      <c r="B16" s="65"/>
      <c r="C16" s="66"/>
      <c r="D16" s="67"/>
      <c r="E16" s="47"/>
      <c r="F16" s="68"/>
      <c r="G16" s="47"/>
      <c r="H16" s="47"/>
      <c r="I16" s="68"/>
      <c r="J16" s="47"/>
      <c r="K16" s="52" t="s">
        <v>84</v>
      </c>
      <c r="Z16" s="55">
        <v>2015</v>
      </c>
      <c r="AA16" s="55">
        <f>E7</f>
        <v>358</v>
      </c>
      <c r="AB16" s="55">
        <v>302</v>
      </c>
      <c r="AC16" s="55">
        <v>56</v>
      </c>
    </row>
    <row r="17" spans="1:29" ht="17.25">
      <c r="A17" s="94"/>
      <c r="B17" s="67"/>
      <c r="C17" s="66"/>
      <c r="D17" s="67"/>
      <c r="E17" s="47"/>
      <c r="F17" s="68"/>
      <c r="G17" s="47"/>
      <c r="H17" s="47"/>
      <c r="I17" s="68"/>
      <c r="J17" s="47"/>
      <c r="K17" s="52"/>
      <c r="Z17" s="55">
        <v>2016</v>
      </c>
      <c r="AA17" s="55">
        <f>H7</f>
        <v>828</v>
      </c>
      <c r="AB17" s="55">
        <v>752</v>
      </c>
      <c r="AC17" s="55">
        <v>76</v>
      </c>
    </row>
    <row r="18" spans="1:29" ht="29.25" customHeight="1">
      <c r="A18" s="48"/>
    </row>
    <row r="19" spans="1:29">
      <c r="A19" s="48"/>
      <c r="Z19" s="55"/>
      <c r="AA19" s="55"/>
      <c r="AB19" s="55"/>
      <c r="AC19" s="55"/>
    </row>
    <row r="20" spans="1:29">
      <c r="A20" s="48"/>
    </row>
    <row r="21" spans="1:29">
      <c r="A21" s="48"/>
    </row>
    <row r="22" spans="1:29">
      <c r="A22" s="48"/>
    </row>
    <row r="23" spans="1:29">
      <c r="A23" s="48"/>
    </row>
    <row r="24" spans="1:29">
      <c r="A24" s="50"/>
    </row>
    <row r="37" spans="1:4">
      <c r="A37" s="38"/>
      <c r="B37" s="38"/>
      <c r="C37" s="38"/>
      <c r="D37" s="38"/>
    </row>
    <row r="38" spans="1:4">
      <c r="A38" s="38"/>
      <c r="B38" s="38"/>
      <c r="C38" s="38"/>
      <c r="D38" s="38"/>
    </row>
    <row r="39" spans="1:4">
      <c r="A39" s="38"/>
      <c r="B39" s="38"/>
      <c r="C39" s="38"/>
      <c r="D39" s="38"/>
    </row>
    <row r="40" spans="1:4">
      <c r="A40" s="38"/>
      <c r="B40" s="38"/>
      <c r="C40" s="38"/>
      <c r="D40" s="38"/>
    </row>
    <row r="41" spans="1:4">
      <c r="A41" s="38"/>
      <c r="B41" s="38"/>
      <c r="C41" s="38"/>
      <c r="D41" s="38"/>
    </row>
    <row r="42" spans="1:4">
      <c r="A42" s="38"/>
      <c r="B42" s="38"/>
      <c r="C42" s="38"/>
      <c r="D42" s="38"/>
    </row>
    <row r="43" spans="1:4">
      <c r="A43" s="38"/>
      <c r="B43" s="38"/>
      <c r="C43" s="38"/>
      <c r="D43" s="38"/>
    </row>
    <row r="44" spans="1:4">
      <c r="A44" s="38"/>
      <c r="B44" s="38"/>
      <c r="C44" s="38"/>
      <c r="D44" s="38"/>
    </row>
    <row r="45" spans="1:4">
      <c r="A45" s="38"/>
      <c r="B45" s="38"/>
      <c r="C45" s="38"/>
      <c r="D45" s="38"/>
    </row>
  </sheetData>
  <mergeCells count="7">
    <mergeCell ref="A3:A6"/>
    <mergeCell ref="K3:K6"/>
    <mergeCell ref="A2:K2"/>
    <mergeCell ref="A1:K1"/>
    <mergeCell ref="B3:D4"/>
    <mergeCell ref="E3:G4"/>
    <mergeCell ref="H3:J4"/>
  </mergeCells>
  <pageMargins left="0.7" right="0.7" top="0.75" bottom="0.75" header="0.3" footer="0.3"/>
  <pageSetup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8.42</vt:lpstr>
      <vt:lpstr>'8.42'!Print_Area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2017-07-04T06:25:00Z</cp:lastPrinted>
  <dcterms:created xsi:type="dcterms:W3CDTF">2013-04-04T04:05:16Z</dcterms:created>
  <dcterms:modified xsi:type="dcterms:W3CDTF">2017-07-04T06:25:15Z</dcterms:modified>
</cp:coreProperties>
</file>