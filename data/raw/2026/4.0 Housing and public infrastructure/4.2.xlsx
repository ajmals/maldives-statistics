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4. Housing\"/>
    </mc:Choice>
  </mc:AlternateContent>
  <xr:revisionPtr revIDLastSave="0" documentId="13_ncr:1_{D5C5BC65-67BA-4D41-805E-80CA9643EFC4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4.2" sheetId="23" r:id="rId1"/>
  </sheets>
  <definedNames>
    <definedName name="_xlnm.Print_Area" localSheetId="0">'4.2'!$A$1:$H$45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3" l="1"/>
  <c r="D6" i="23"/>
  <c r="E6" i="23"/>
  <c r="C6" i="23" l="1"/>
  <c r="B6" i="23" l="1"/>
</calcChain>
</file>

<file path=xl/sharedStrings.xml><?xml version="1.0" encoding="utf-8"?>
<sst xmlns="http://schemas.openxmlformats.org/spreadsheetml/2006/main" count="33" uniqueCount="33">
  <si>
    <t>Month</t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</si>
  <si>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</si>
  <si>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</si>
  <si>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</si>
  <si>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</si>
  <si>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</si>
  <si>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</si>
  <si>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</si>
  <si>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</si>
  <si>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</si>
  <si>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</si>
  <si>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</si>
  <si>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</si>
  <si>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</si>
  <si>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</si>
  <si>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</si>
  <si>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</si>
  <si>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</si>
  <si>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</si>
  <si>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</si>
  <si>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</si>
  <si>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</si>
  <si>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</si>
  <si>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</si>
  <si>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</si>
  <si>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</si>
  <si>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</si>
  <si>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</si>
  <si>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Note:  The decline inMay 2015 is due to the hold in the authorizations along with the  amendments  made in administrative process.</t>
  </si>
  <si>
    <t>މަޢުލޫމާތުދެއްވި ފަރާތް:  މާލޭ ސިޓީ ކައުންސިލުގެ އިދާރާ</t>
  </si>
  <si>
    <t>Source: Male" City Council</t>
  </si>
  <si>
    <t>TABLE 4.2:  AREA OF BUILDINGS AUTHORISED FOR CONSTRUCTION BY MONTH, 2021-2025</t>
  </si>
  <si>
    <t>ތާވަލު 4.2: މަސްމަހުގެ ގޮތުން އިމާރާތްކުރުމުގެ ހުއްދަ ދެވުނު ތަނުގެ ބޮޑުމިން، 2021 - 2025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</si>
</sst>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25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2" borderId="0" xfId="1" applyFill="1"/>
    <xf numFmtId="0" fontId="9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right" indent="1"/>
    </xf>
    <xf numFmtId="0" fontId="15" fillId="2" borderId="0" xfId="1" applyFont="1" applyFill="1" applyAlignment="1">
      <alignment horizontal="left" vertical="center" indent="3"/>
    </xf>
    <xf numFmtId="166" fontId="10" fillId="2" borderId="0" xfId="6" applyNumberFormat="1" applyFont="1" applyFill="1" applyBorder="1" applyAlignment="1">
      <alignment vertical="center"/>
    </xf>
    <xf numFmtId="0" fontId="16" fillId="2" borderId="0" xfId="1" applyFont="1" applyFill="1" applyAlignment="1">
      <alignment horizontal="right" vertical="center" indent="2"/>
    </xf>
    <xf numFmtId="0" fontId="17" fillId="2" borderId="0" xfId="1" applyFont="1" applyFill="1" applyAlignment="1">
      <alignment vertical="center" wrapText="1"/>
    </xf>
    <xf numFmtId="0" fontId="15" fillId="2" borderId="1" xfId="1" applyFont="1" applyFill="1" applyBorder="1" applyAlignment="1">
      <alignment horizontal="left" vertical="center" indent="3"/>
    </xf>
    <xf numFmtId="166" fontId="10" fillId="2" borderId="1" xfId="6" applyNumberFormat="1" applyFont="1" applyFill="1" applyBorder="1" applyAlignment="1">
      <alignment vertical="center"/>
    </xf>
    <xf numFmtId="0" fontId="16" fillId="2" borderId="1" xfId="1" applyFont="1" applyFill="1" applyBorder="1" applyAlignment="1">
      <alignment horizontal="right" vertical="center" indent="2"/>
    </xf>
    <xf numFmtId="166" fontId="11" fillId="2" borderId="0" xfId="6" applyNumberFormat="1" applyFont="1" applyFill="1" applyBorder="1"/>
    <xf numFmtId="167" fontId="18" fillId="2" borderId="0" xfId="2" applyNumberFormat="1" applyFont="1" applyFill="1" applyAlignment="1">
      <alignment horizontal="right" vertical="center"/>
    </xf>
    <xf numFmtId="166" fontId="1" fillId="2" borderId="0" xfId="1" applyNumberFormat="1" applyFont="1" applyFill="1"/>
    <xf numFmtId="166" fontId="10" fillId="2" borderId="0" xfId="12" applyNumberFormat="1" applyFont="1" applyFill="1" applyBorder="1" applyAlignment="1">
      <alignment vertical="center"/>
    </xf>
    <xf numFmtId="166" fontId="10" fillId="2" borderId="1" xfId="12" applyNumberFormat="1" applyFont="1" applyFill="1" applyBorder="1" applyAlignment="1">
      <alignment vertical="center"/>
    </xf>
    <xf numFmtId="0" fontId="6" fillId="2" borderId="1" xfId="1" applyFont="1" applyFill="1" applyBorder="1"/>
    <xf numFmtId="0" fontId="3" fillId="2" borderId="0" xfId="1" applyFont="1" applyFill="1" applyAlignment="1">
      <alignment horizontal="center"/>
    </xf>
    <xf numFmtId="0" fontId="12" fillId="2" borderId="0" xfId="1" applyFont="1" applyFill="1" applyAlignment="1">
      <alignment horizontal="center"/>
    </xf>
    <xf numFmtId="0" fontId="13" fillId="2" borderId="2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right" vertical="center" indent="2"/>
    </xf>
    <xf numFmtId="0" fontId="14" fillId="2" borderId="1" xfId="1" applyFont="1" applyFill="1" applyBorder="1" applyAlignment="1">
      <alignment horizontal="right" vertical="center" indent="2"/>
    </xf>
    <xf numFmtId="0" fontId="9" fillId="2" borderId="3" xfId="1" applyFont="1" applyFill="1" applyBorder="1" applyAlignment="1">
      <alignment horizontal="center" vertic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003300"/>
      <color rgb="FF336600"/>
      <color rgb="FFF4F7ED"/>
      <color rgb="FF2F75B5"/>
      <color rgb="FFFF3399"/>
      <color rgb="FFFF9B9B"/>
      <color rgb="FFFFC9C9"/>
      <color rgb="FFFFF7F7"/>
      <color rgb="FFFFE5E5"/>
      <color rgb="FFF2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2022</a:t>
            </a:r>
            <a:r>
              <a:rPr lang="en-US" sz="1000" baseline="0"/>
              <a:t> - 2025</a:t>
            </a:r>
            <a:r>
              <a:rPr lang="en-US" sz="1000"/>
              <a:t>   </a:t>
            </a:r>
          </a:p>
        </c:rich>
      </c:tx>
      <c:layout>
        <c:manualLayout>
          <c:xMode val="edge"/>
          <c:yMode val="edge"/>
          <c:x val="0.1432127109685562"/>
          <c:y val="3.67277188177564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83101150817687"/>
          <c:y val="0.12874443683669975"/>
          <c:w val="0.8752897233999597"/>
          <c:h val="0.494715280155197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'4.2'!$C$5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'4.2'!$C$7:$C$18</c:f>
              <c:numCache>
                <c:formatCode>_(* #,##0_);_(* \(#,##0\);_(* "-"??_);_(@_)</c:formatCode>
                <c:ptCount val="12"/>
                <c:pt idx="0">
                  <c:v>9220.2099999999991</c:v>
                </c:pt>
                <c:pt idx="1">
                  <c:v>12060.89</c:v>
                </c:pt>
                <c:pt idx="2">
                  <c:v>19847.419999999998</c:v>
                </c:pt>
                <c:pt idx="3">
                  <c:v>11172.77</c:v>
                </c:pt>
                <c:pt idx="4">
                  <c:v>12783.25</c:v>
                </c:pt>
                <c:pt idx="5">
                  <c:v>19132.583999999999</c:v>
                </c:pt>
                <c:pt idx="6">
                  <c:v>6024.8689999999997</c:v>
                </c:pt>
                <c:pt idx="7">
                  <c:v>13553.115</c:v>
                </c:pt>
                <c:pt idx="8">
                  <c:v>17064.222000000002</c:v>
                </c:pt>
                <c:pt idx="9">
                  <c:v>14655.231</c:v>
                </c:pt>
                <c:pt idx="10">
                  <c:v>8826.1110000000008</c:v>
                </c:pt>
                <c:pt idx="11">
                  <c:v>15852.058999999999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'4.2'!$D$5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'4.2'!$D$7:$D$18</c:f>
              <c:numCache>
                <c:formatCode>_(* #,##0_);_(* \(#,##0\);_(* "-"??_);_(@_)</c:formatCode>
                <c:ptCount val="12"/>
                <c:pt idx="0">
                  <c:v>15454</c:v>
                </c:pt>
                <c:pt idx="1">
                  <c:v>8496.2900000000009</c:v>
                </c:pt>
                <c:pt idx="2">
                  <c:v>8435.6299999999992</c:v>
                </c:pt>
                <c:pt idx="3">
                  <c:v>12347.38</c:v>
                </c:pt>
                <c:pt idx="4">
                  <c:v>10529.76</c:v>
                </c:pt>
                <c:pt idx="5">
                  <c:v>8511.82</c:v>
                </c:pt>
                <c:pt idx="6">
                  <c:v>5074.87</c:v>
                </c:pt>
                <c:pt idx="7">
                  <c:v>11218.47</c:v>
                </c:pt>
                <c:pt idx="8">
                  <c:v>7260.55</c:v>
                </c:pt>
                <c:pt idx="9">
                  <c:v>10656.79</c:v>
                </c:pt>
                <c:pt idx="10">
                  <c:v>10173.73</c:v>
                </c:pt>
                <c:pt idx="11">
                  <c:v>10833.37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ser>
          <c:idx val="0"/>
          <c:order val="2"/>
          <c:tx>
            <c:strRef>
              <c:f>'4.2'!$E$5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'4.2'!$E$7:$E$18</c:f>
              <c:numCache>
                <c:formatCode>_(* #,##0_);_(* \(#,##0\);_(* "-"??_);_(@_)</c:formatCode>
                <c:ptCount val="12"/>
                <c:pt idx="0">
                  <c:v>10720.49</c:v>
                </c:pt>
                <c:pt idx="1">
                  <c:v>3556.4250000000002</c:v>
                </c:pt>
                <c:pt idx="2">
                  <c:v>8205.9102000000003</c:v>
                </c:pt>
                <c:pt idx="3">
                  <c:v>5233.49</c:v>
                </c:pt>
                <c:pt idx="4">
                  <c:v>9961.9930000000004</c:v>
                </c:pt>
                <c:pt idx="5">
                  <c:v>8361.866</c:v>
                </c:pt>
                <c:pt idx="6">
                  <c:v>8714.15</c:v>
                </c:pt>
                <c:pt idx="7">
                  <c:v>11891.11</c:v>
                </c:pt>
                <c:pt idx="8">
                  <c:v>12841.777</c:v>
                </c:pt>
                <c:pt idx="9">
                  <c:v>16030.962</c:v>
                </c:pt>
                <c:pt idx="10">
                  <c:v>8099.8519999999999</c:v>
                </c:pt>
                <c:pt idx="11">
                  <c:v>2163.0709999999999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E-4F0F-835E-BB0E0E94FDC8}"/>
            </c:ext>
          </c:extLst>
        </c:ser>
        <c:ser>
          <c:idx val="3"/>
          <c:order val="3"/>
          <c:tx>
            <c:strRef>
              <c:f>'4.2'!$F$5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'4.2'!$F$7:$F$18</c:f>
              <c:numCache>
                <c:formatCode>_(* #,##0_);_(* \(#,##0\);_(* "-"??_);_(@_)</c:formatCode>
                <c:ptCount val="12"/>
                <c:pt idx="0">
                  <c:v>11241.3</c:v>
                </c:pt>
                <c:pt idx="1">
                  <c:v>11915.57</c:v>
                </c:pt>
                <c:pt idx="2">
                  <c:v>11014.77</c:v>
                </c:pt>
                <c:pt idx="3">
                  <c:v>24590.76</c:v>
                </c:pt>
                <c:pt idx="4">
                  <c:v>17597.55</c:v>
                </c:pt>
                <c:pt idx="5">
                  <c:v>7883.96</c:v>
                </c:pt>
                <c:pt idx="6">
                  <c:v>26368.799999999999</c:v>
                </c:pt>
                <c:pt idx="7">
                  <c:v>8663.58</c:v>
                </c:pt>
                <c:pt idx="8">
                  <c:v>8250.89</c:v>
                </c:pt>
                <c:pt idx="9">
                  <c:v>21340.63</c:v>
                </c:pt>
                <c:pt idx="10">
                  <c:v>11302.11</c:v>
                </c:pt>
                <c:pt idx="11">
                  <c:v>29111.040000000001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8-4E12-A98A-6363BECC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2528"/>
        <c:axId val="403902136"/>
      </c:barChart>
      <c:catAx>
        <c:axId val="4039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8183390537721249"/>
              <c:y val="0.9271787629807145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03902136"/>
        <c:crosses val="autoZero"/>
        <c:auto val="1"/>
        <c:lblAlgn val="ctr"/>
        <c:lblOffset val="100"/>
        <c:noMultiLvlLbl val="0"/>
      </c:catAx>
      <c:valAx>
        <c:axId val="403902136"/>
        <c:scaling>
          <c:orientation val="minMax"/>
          <c:max val="4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4685779662157615E-2"/>
              <c:y val="0.253670831906881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9025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00"/>
            </a:pPr>
            <a:endParaRPr lang="en-US"/>
          </a:p>
        </c:txPr>
      </c:dTable>
      <c:spPr>
        <a:solidFill>
          <a:srgbClr val="F4F7ED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072360185746026"/>
          <c:y val="0.15820552322264064"/>
          <c:w val="0.29202516993068173"/>
          <c:h val="8.54362090608239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76200</xdr:rowOff>
    </xdr:from>
    <xdr:to>
      <xdr:col>6</xdr:col>
      <xdr:colOff>171450</xdr:colOff>
      <xdr:row>42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abSelected="1" zoomScaleNormal="100" workbookViewId="0">
      <selection activeCell="H24" sqref="H24"/>
    </sheetView>
  </sheetViews>
  <sheetFormatPr defaultColWidth="9.140625" defaultRowHeight="12.75" x14ac:dyDescent="0.2"/>
  <cols>
    <col min="1" max="1" width="16.42578125" style="2" customWidth="1"/>
    <col min="2" max="6" width="18.140625" style="2" customWidth="1"/>
    <col min="7" max="7" width="19" style="2" customWidth="1"/>
    <col min="8" max="8" width="10.5703125" style="2" customWidth="1"/>
    <col min="9" max="9" width="8" style="2" customWidth="1"/>
    <col min="10" max="10" width="39.42578125" style="2" customWidth="1"/>
    <col min="11" max="16" width="10.5703125" style="2" customWidth="1"/>
    <col min="17" max="17" width="34" style="2" customWidth="1"/>
    <col min="18" max="18" width="5.28515625" style="2" customWidth="1"/>
    <col min="19" max="22" width="9.140625" style="2"/>
    <col min="23" max="23" width="21.7109375" style="2" customWidth="1"/>
    <col min="24" max="16384" width="9.140625" style="2"/>
  </cols>
  <sheetData>
    <row r="1" spans="1:10" ht="21.75" x14ac:dyDescent="0.55000000000000004">
      <c r="A1" s="18" t="s">
        <v>32</v>
      </c>
      <c r="B1" s="18"/>
      <c r="C1" s="18"/>
      <c r="D1" s="18"/>
      <c r="E1" s="18"/>
      <c r="F1" s="18"/>
      <c r="G1" s="18"/>
    </row>
    <row r="2" spans="1:10" ht="15" x14ac:dyDescent="0.25">
      <c r="A2" s="19" t="s">
        <v>31</v>
      </c>
      <c r="B2" s="19"/>
      <c r="C2" s="19"/>
      <c r="D2" s="19"/>
      <c r="E2" s="19"/>
      <c r="F2" s="19"/>
      <c r="G2" s="19"/>
    </row>
    <row r="4" spans="1:10" x14ac:dyDescent="0.2">
      <c r="A4" s="20" t="s">
        <v>0</v>
      </c>
      <c r="B4" s="24"/>
      <c r="C4" s="24"/>
      <c r="D4" s="24"/>
      <c r="E4" s="24"/>
      <c r="F4" s="24"/>
      <c r="G4" s="22" t="s">
        <v>1</v>
      </c>
    </row>
    <row r="5" spans="1:10" ht="15" x14ac:dyDescent="0.25">
      <c r="A5" s="21"/>
      <c r="B5" s="17">
        <v>2021</v>
      </c>
      <c r="C5" s="17">
        <v>2022</v>
      </c>
      <c r="D5" s="17">
        <v>2023</v>
      </c>
      <c r="E5" s="17">
        <v>2024</v>
      </c>
      <c r="F5" s="17">
        <v>2025</v>
      </c>
      <c r="G5" s="23"/>
    </row>
    <row r="6" spans="1:10" ht="18.75" x14ac:dyDescent="0.5">
      <c r="A6" s="3" t="s">
        <v>2</v>
      </c>
      <c r="B6" s="14">
        <f t="shared" ref="B6:F6" si="0">SUM(B7:B18)</f>
        <v>136533.21500000003</v>
      </c>
      <c r="C6" s="14">
        <f t="shared" si="0"/>
        <v>160192.73100000003</v>
      </c>
      <c r="D6" s="14">
        <f t="shared" si="0"/>
        <v>118992.65999999999</v>
      </c>
      <c r="E6" s="14">
        <f t="shared" si="0"/>
        <v>105781.0962</v>
      </c>
      <c r="F6" s="14">
        <f t="shared" si="0"/>
        <v>189280.96</v>
      </c>
      <c r="G6" s="4" t="s">
        <v>3</v>
      </c>
    </row>
    <row r="7" spans="1:10" ht="18.75" x14ac:dyDescent="0.2">
      <c r="A7" s="5" t="s">
        <v>4</v>
      </c>
      <c r="B7" s="6">
        <v>11178.51</v>
      </c>
      <c r="C7" s="15">
        <v>9220.2099999999991</v>
      </c>
      <c r="D7" s="15">
        <v>15454</v>
      </c>
      <c r="E7" s="15">
        <v>10720.49</v>
      </c>
      <c r="F7" s="15">
        <v>11241.3</v>
      </c>
      <c r="G7" s="7" t="s">
        <v>5</v>
      </c>
    </row>
    <row r="8" spans="1:10" ht="18.75" x14ac:dyDescent="0.2">
      <c r="A8" s="5" t="s">
        <v>6</v>
      </c>
      <c r="B8" s="6">
        <v>5028.9399999999996</v>
      </c>
      <c r="C8" s="15">
        <v>12060.89</v>
      </c>
      <c r="D8" s="15">
        <v>8496.2900000000009</v>
      </c>
      <c r="E8" s="15">
        <v>3556.4250000000002</v>
      </c>
      <c r="F8" s="15">
        <v>11915.57</v>
      </c>
      <c r="G8" s="7" t="s">
        <v>7</v>
      </c>
    </row>
    <row r="9" spans="1:10" ht="18.75" x14ac:dyDescent="0.2">
      <c r="A9" s="5" t="s">
        <v>8</v>
      </c>
      <c r="B9" s="6">
        <v>10290.39</v>
      </c>
      <c r="C9" s="15">
        <v>19847.419999999998</v>
      </c>
      <c r="D9" s="15">
        <v>8435.6299999999992</v>
      </c>
      <c r="E9" s="15">
        <v>8205.9102000000003</v>
      </c>
      <c r="F9" s="15">
        <v>11014.77</v>
      </c>
      <c r="G9" s="7" t="s">
        <v>9</v>
      </c>
      <c r="J9" s="8"/>
    </row>
    <row r="10" spans="1:10" ht="18.75" x14ac:dyDescent="0.2">
      <c r="A10" s="5" t="s">
        <v>10</v>
      </c>
      <c r="B10" s="6">
        <v>6096.85</v>
      </c>
      <c r="C10" s="15">
        <v>11172.77</v>
      </c>
      <c r="D10" s="15">
        <v>12347.38</v>
      </c>
      <c r="E10" s="15">
        <v>5233.49</v>
      </c>
      <c r="F10" s="15">
        <v>24590.76</v>
      </c>
      <c r="G10" s="7" t="s">
        <v>11</v>
      </c>
    </row>
    <row r="11" spans="1:10" ht="18.75" x14ac:dyDescent="0.2">
      <c r="A11" s="5" t="s">
        <v>12</v>
      </c>
      <c r="B11" s="6">
        <v>7296.18</v>
      </c>
      <c r="C11" s="15">
        <v>12783.25</v>
      </c>
      <c r="D11" s="15">
        <v>10529.76</v>
      </c>
      <c r="E11" s="15">
        <v>9961.9930000000004</v>
      </c>
      <c r="F11" s="15">
        <v>17597.55</v>
      </c>
      <c r="G11" s="7" t="s">
        <v>13</v>
      </c>
    </row>
    <row r="12" spans="1:10" ht="18.75" x14ac:dyDescent="0.2">
      <c r="A12" s="5" t="s">
        <v>14</v>
      </c>
      <c r="B12" s="6">
        <v>12007.3</v>
      </c>
      <c r="C12" s="15">
        <v>19132.583999999999</v>
      </c>
      <c r="D12" s="15">
        <v>8511.82</v>
      </c>
      <c r="E12" s="15">
        <v>8361.866</v>
      </c>
      <c r="F12" s="15">
        <v>7883.96</v>
      </c>
      <c r="G12" s="7" t="s">
        <v>15</v>
      </c>
    </row>
    <row r="13" spans="1:10" ht="18.75" x14ac:dyDescent="0.2">
      <c r="A13" s="5" t="s">
        <v>16</v>
      </c>
      <c r="B13" s="6">
        <v>3887.8209999999999</v>
      </c>
      <c r="C13" s="15">
        <v>6024.8689999999997</v>
      </c>
      <c r="D13" s="15">
        <v>5074.87</v>
      </c>
      <c r="E13" s="15">
        <v>8714.15</v>
      </c>
      <c r="F13" s="15">
        <v>26368.799999999999</v>
      </c>
      <c r="G13" s="7" t="s">
        <v>17</v>
      </c>
    </row>
    <row r="14" spans="1:10" ht="18.75" x14ac:dyDescent="0.2">
      <c r="A14" s="5" t="s">
        <v>18</v>
      </c>
      <c r="B14" s="6">
        <v>6207.9440000000004</v>
      </c>
      <c r="C14" s="15">
        <v>13553.115</v>
      </c>
      <c r="D14" s="15">
        <v>11218.47</v>
      </c>
      <c r="E14" s="15">
        <v>11891.11</v>
      </c>
      <c r="F14" s="15">
        <v>8663.58</v>
      </c>
      <c r="G14" s="7" t="s">
        <v>19</v>
      </c>
    </row>
    <row r="15" spans="1:10" ht="18.75" x14ac:dyDescent="0.2">
      <c r="A15" s="5" t="s">
        <v>20</v>
      </c>
      <c r="B15" s="6">
        <v>17878.54</v>
      </c>
      <c r="C15" s="15">
        <v>17064.222000000002</v>
      </c>
      <c r="D15" s="15">
        <v>7260.55</v>
      </c>
      <c r="E15" s="15">
        <v>12841.777</v>
      </c>
      <c r="F15" s="15">
        <v>8250.89</v>
      </c>
      <c r="G15" s="7" t="s">
        <v>21</v>
      </c>
    </row>
    <row r="16" spans="1:10" ht="18.75" x14ac:dyDescent="0.2">
      <c r="A16" s="5" t="s">
        <v>22</v>
      </c>
      <c r="B16" s="6">
        <v>26513.1</v>
      </c>
      <c r="C16" s="15">
        <v>14655.231</v>
      </c>
      <c r="D16" s="15">
        <v>10656.79</v>
      </c>
      <c r="E16" s="15">
        <v>16030.962</v>
      </c>
      <c r="F16" s="15">
        <v>21340.63</v>
      </c>
      <c r="G16" s="7" t="s">
        <v>23</v>
      </c>
    </row>
    <row r="17" spans="1:9" ht="18.75" x14ac:dyDescent="0.2">
      <c r="A17" s="5" t="s">
        <v>24</v>
      </c>
      <c r="B17" s="6">
        <v>14234.54</v>
      </c>
      <c r="C17" s="15">
        <v>8826.1110000000008</v>
      </c>
      <c r="D17" s="15">
        <v>10173.73</v>
      </c>
      <c r="E17" s="15">
        <v>8099.8519999999999</v>
      </c>
      <c r="F17" s="15">
        <v>11302.11</v>
      </c>
      <c r="G17" s="7" t="s">
        <v>25</v>
      </c>
    </row>
    <row r="18" spans="1:9" ht="18.75" x14ac:dyDescent="0.2">
      <c r="A18" s="9" t="s">
        <v>26</v>
      </c>
      <c r="B18" s="10">
        <v>15913.1</v>
      </c>
      <c r="C18" s="16">
        <v>15852.058999999999</v>
      </c>
      <c r="D18" s="16">
        <v>10833.37</v>
      </c>
      <c r="E18" s="16">
        <v>2163.0709999999999</v>
      </c>
      <c r="F18" s="16">
        <v>29111.040000000001</v>
      </c>
      <c r="G18" s="11" t="s">
        <v>27</v>
      </c>
      <c r="I18" s="12"/>
    </row>
    <row r="19" spans="1:9" ht="16.5" hidden="1" customHeight="1" x14ac:dyDescent="0.2">
      <c r="A19" s="1" t="s">
        <v>28</v>
      </c>
    </row>
    <row r="20" spans="1:9" ht="14.25" customHeight="1" x14ac:dyDescent="0.2">
      <c r="A20" s="1" t="s">
        <v>30</v>
      </c>
      <c r="G20" s="13" t="s">
        <v>29</v>
      </c>
    </row>
  </sheetData>
  <mergeCells count="5">
    <mergeCell ref="A1:G1"/>
    <mergeCell ref="A2:G2"/>
    <mergeCell ref="A4:A5"/>
    <mergeCell ref="G4:G5"/>
    <mergeCell ref="B4:F4"/>
  </mergeCells>
  <pageMargins left="0.7" right="0.7" top="0.75" bottom="0.75" header="0.3" footer="0.3"/>
  <pageSetup paperSize="9" scale="63" orientation="portrait" horizontalDpi="4294967295" verticalDpi="4294967295" r:id="rId1"/>
  <colBreaks count="1" manualBreakCount="1">
    <brk id="8" max="4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4.2</vt:lpstr>
      <vt:lpstr>'4.2'!Print_Area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2026-05-03T05:10:39Z</cp:lastPrinted>
  <dcterms:created xsi:type="dcterms:W3CDTF">2014-03-04T07:02:54Z</dcterms:created>
  <dcterms:modified xsi:type="dcterms:W3CDTF">2026-05-03T05:10:50Z</dcterms:modified>
</cp:coreProperties>
</file>