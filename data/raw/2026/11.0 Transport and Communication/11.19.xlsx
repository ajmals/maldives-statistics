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31D14AFD-F7F0-4037-8F89-09CE79867C68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19 " sheetId="6" r:id="rId2"/>
  </sheets>
  <definedNames>
    <definedName name="_xlnm.Print_Area" localSheetId="1">'11.19 '!$A$1:$K$22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6" l="1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I6" i="6"/>
  <c r="H6" i="6"/>
  <c r="F6" i="6"/>
  <c r="E6" i="6"/>
  <c r="D6" i="6"/>
  <c r="B14" i="6" l="1"/>
  <c r="B8" i="6"/>
  <c r="B16" i="6"/>
  <c r="B18" i="6"/>
  <c r="B13" i="6"/>
  <c r="B7" i="6"/>
  <c r="B17" i="6"/>
  <c r="B15" i="6"/>
  <c r="B10" i="6"/>
  <c r="G6" i="6"/>
  <c r="B9" i="6"/>
  <c r="B11" i="6"/>
  <c r="C6" i="6"/>
  <c r="B12" i="6"/>
  <c r="B6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<sst xmlns="http://schemas.openxmlformats.org/spreadsheetml/2006/main" count="219" uniqueCount="72">
  <si>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</si>
  <si>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</si>
  <si>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</si>
  <si>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</si>
  <si>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</si>
  <si>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</si>
  <si>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</si>
  <si>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</si>
  <si>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</si>
  <si>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</si>
  <si>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</si>
  <si>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</si>
  <si>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</si>
  <si>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</si>
  <si>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</si>
  <si>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</si>
  <si>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</si>
  <si>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</si>
  <si>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</si>
  <si>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</si>
  <si>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</si>
  <si>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</si>
  <si>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</si>
  <si>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</si>
  <si>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</si>
  <si>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</si>
  <si>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</si>
  <si>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</si>
  <si>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</si>
  <si>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</si>
  <si>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</si>
  <si>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</si>
  <si>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</si>
  <si>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</si>
  <si>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</si>
  <si>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</si>
  <si>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</si>
  <si>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</si>
  <si>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</si>
  <si>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</si>
  <si>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</si>
  <si>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</si>
  <si>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</si>
  <si>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</si>
  <si>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</si>
  <si>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</si>
  <si>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</si>
  <si>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</si>
  <si>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</si>
  <si>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</si>
  <si>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</si>
  <si>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</si>
  <si>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</si>
  <si>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</si>
  <si>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</si>
  <si>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</si>
  <si>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</si>
  <si>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</si>
  <si>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</si>
  <si>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</si>
  <si>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</si>
  <si>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</si>
  <si>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</si>
  <si>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</si>
  <si>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</si>
  <si>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</si>
  <si>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</si>
  <si>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</si>
  <si>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</si>
  <si>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</si>
  <si>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11.19: މަސްމަހުގެ ގޮތުން ގަން އިންޓަރނޭޝަނަލް އެއަރޕޯޓުން ދަތުރުކުރި ފްލައިޓްތައް، 2025</t>
  </si>
  <si>
    <t>Table 11.19 :  AIRCRAFT MOVEMENT AT GAN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</si>
</sst>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8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>
      <alignment vertical="center"/>
    </xf>
    <xf numFmtId="40" fontId="42" fillId="0" borderId="0" applyFont="0" applyFill="0" applyBorder="0" applyAlignment="0" applyProtection="0"/>
    <xf numFmtId="167" fontId="41" fillId="0" borderId="0" applyFont="0" applyFill="0" applyBorder="0" applyAlignment="0" applyProtection="0"/>
    <xf numFmtId="164" fontId="41" fillId="0" borderId="0"/>
    <xf numFmtId="165" fontId="41" fillId="0" borderId="0"/>
    <xf numFmtId="165" fontId="41" fillId="0" borderId="0"/>
  </cellStyleXfs>
  <cellXfs count="172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6" fillId="2" borderId="0" xfId="2" applyFont="1" applyFill="1" applyAlignment="1">
      <alignment horizontal="right" vertical="center"/>
    </xf>
    <xf numFmtId="3" fontId="6" fillId="2" borderId="9" xfId="2" applyNumberFormat="1" applyFont="1" applyFill="1" applyBorder="1" applyAlignment="1">
      <alignment horizontal="right" vertical="center"/>
    </xf>
    <xf numFmtId="3" fontId="6" fillId="2" borderId="10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2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1" fillId="2" borderId="0" xfId="0" applyNumberFormat="1" applyFont="1" applyFill="1"/>
    <xf numFmtId="164" fontId="0" fillId="2" borderId="0" xfId="0" applyNumberFormat="1" applyFill="1" applyAlignment="1">
      <alignment horizontal="right" vertical="center"/>
    </xf>
    <xf numFmtId="164" fontId="6" fillId="2" borderId="17" xfId="2" applyFont="1" applyFill="1" applyBorder="1" applyAlignment="1">
      <alignment horizontal="lef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6" fillId="2" borderId="17" xfId="2" applyNumberFormat="1" applyFont="1" applyFill="1" applyBorder="1" applyAlignment="1">
      <alignment horizontal="right" vertical="center"/>
    </xf>
    <xf numFmtId="3" fontId="6" fillId="2" borderId="44" xfId="2" applyNumberFormat="1" applyFont="1" applyFill="1" applyBorder="1" applyAlignment="1">
      <alignment horizontal="right" vertical="center"/>
    </xf>
    <xf numFmtId="3" fontId="6" fillId="2" borderId="4" xfId="2" applyNumberFormat="1" applyFont="1" applyFill="1" applyBorder="1" applyAlignment="1">
      <alignment horizontal="right" vertical="center"/>
    </xf>
    <xf numFmtId="3" fontId="6" fillId="2" borderId="6" xfId="2" applyNumberFormat="1" applyFont="1" applyFill="1" applyBorder="1" applyAlignment="1">
      <alignment horizontal="right" vertical="center"/>
    </xf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6" fillId="2" borderId="45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1" fillId="2" borderId="45" xfId="2" applyFont="1" applyFill="1" applyBorder="1" applyAlignment="1">
      <alignment horizontal="left" vertical="center"/>
    </xf>
    <xf numFmtId="164" fontId="19" fillId="2" borderId="45" xfId="2" applyFont="1" applyFill="1" applyBorder="1" applyAlignment="1">
      <alignment horizontal="right" vertical="center"/>
    </xf>
    <xf numFmtId="0" fontId="6" fillId="2" borderId="45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0" fontId="26" fillId="2" borderId="17" xfId="5" applyFont="1" applyFill="1" applyBorder="1" applyAlignment="1">
      <alignment horizontal="right"/>
    </xf>
    <xf numFmtId="0" fontId="31" fillId="2" borderId="1" xfId="5" applyFont="1" applyFill="1" applyBorder="1" applyAlignment="1">
      <alignment horizontal="right"/>
    </xf>
    <xf numFmtId="0" fontId="31" fillId="2" borderId="5" xfId="5" applyFont="1" applyFill="1" applyBorder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5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5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164" fontId="6" fillId="2" borderId="51" xfId="2" applyFont="1" applyFill="1" applyBorder="1" applyAlignment="1">
      <alignment horizontal="right" vertical="center"/>
    </xf>
    <xf numFmtId="164" fontId="6" fillId="2" borderId="52" xfId="2" applyFont="1" applyFill="1" applyBorder="1" applyAlignment="1">
      <alignment horizontal="right" vertical="center" wrapText="1"/>
    </xf>
    <xf numFmtId="164" fontId="6" fillId="2" borderId="50" xfId="2" applyFont="1" applyFill="1" applyBorder="1" applyAlignment="1">
      <alignment horizontal="right" vertical="center"/>
    </xf>
    <xf numFmtId="164" fontId="4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45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0" fontId="26" fillId="2" borderId="0" xfId="5" applyFont="1" applyFill="1" applyAlignment="1">
      <alignment horizontal="right" vertical="center"/>
    </xf>
    <xf numFmtId="0" fontId="26" fillId="2" borderId="50" xfId="5" applyFont="1" applyFill="1" applyBorder="1" applyAlignment="1">
      <alignment horizontal="right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45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19" fillId="2" borderId="45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5" xfId="2" applyFont="1" applyFill="1" applyBorder="1" applyAlignment="1">
      <alignment horizontal="right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9" fillId="2" borderId="0" xfId="2" applyFont="1" applyFill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164" fontId="16" fillId="2" borderId="49" xfId="2" applyFont="1" applyFill="1" applyBorder="1" applyAlignment="1">
      <alignment horizontal="center" vertical="center"/>
    </xf>
    <xf numFmtId="164" fontId="6" fillId="2" borderId="50" xfId="2" applyFont="1" applyFill="1" applyBorder="1" applyAlignment="1">
      <alignment horizontal="right" vertical="center" wrapText="1"/>
    </xf>
    <xf numFmtId="164" fontId="6" fillId="2" borderId="46" xfId="2" applyFont="1" applyFill="1" applyBorder="1" applyAlignment="1">
      <alignment horizontal="center" vertical="center"/>
    </xf>
    <xf numFmtId="164" fontId="6" fillId="2" borderId="48" xfId="2" applyFont="1" applyFill="1" applyBorder="1" applyAlignment="1">
      <alignment horizontal="center" vertical="center"/>
    </xf>
    <xf numFmtId="164" fontId="6" fillId="2" borderId="47" xfId="2" applyFont="1" applyFill="1" applyBorder="1" applyAlignment="1">
      <alignment horizontal="center" vertical="center"/>
    </xf>
    <xf numFmtId="164" fontId="9" fillId="2" borderId="50" xfId="2" applyFont="1" applyFill="1" applyBorder="1" applyAlignment="1">
      <alignment horizontal="center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6" t="s">
        <v>68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</row>
    <row r="2" spans="1:29" ht="15.75">
      <c r="A2" s="120" t="s">
        <v>69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4" spans="1:29" s="9" customFormat="1" ht="19.5">
      <c r="A4" s="121" t="s">
        <v>8</v>
      </c>
      <c r="B4" s="157" t="s">
        <v>34</v>
      </c>
      <c r="C4" s="157"/>
      <c r="D4" s="87"/>
      <c r="E4" s="157" t="s">
        <v>35</v>
      </c>
      <c r="F4" s="157"/>
      <c r="G4" s="87"/>
      <c r="H4" s="157" t="s">
        <v>36</v>
      </c>
      <c r="I4" s="157"/>
      <c r="J4" s="87"/>
      <c r="K4" s="157" t="s">
        <v>37</v>
      </c>
      <c r="L4" s="157"/>
      <c r="M4" s="87"/>
      <c r="N4" s="157" t="s">
        <v>38</v>
      </c>
      <c r="O4" s="157"/>
      <c r="P4" s="87"/>
      <c r="Q4" s="157" t="s">
        <v>39</v>
      </c>
      <c r="R4" s="157"/>
      <c r="S4" s="87"/>
      <c r="T4" s="157" t="s">
        <v>40</v>
      </c>
      <c r="U4" s="157"/>
      <c r="V4" s="87"/>
      <c r="W4" s="157" t="s">
        <v>41</v>
      </c>
      <c r="X4" s="157"/>
      <c r="Y4" s="87"/>
      <c r="Z4" s="157" t="s">
        <v>42</v>
      </c>
      <c r="AA4" s="157"/>
      <c r="AB4" s="159" t="s">
        <v>9</v>
      </c>
    </row>
    <row r="5" spans="1:29" s="15" customFormat="1" ht="15" customHeight="1">
      <c r="A5" s="123"/>
      <c r="B5" s="158" t="s">
        <v>43</v>
      </c>
      <c r="C5" s="158"/>
      <c r="D5" s="14"/>
      <c r="E5" s="158" t="s">
        <v>44</v>
      </c>
      <c r="F5" s="158"/>
      <c r="G5" s="14"/>
      <c r="H5" s="158" t="s">
        <v>45</v>
      </c>
      <c r="I5" s="158"/>
      <c r="J5" s="14"/>
      <c r="K5" s="158" t="s">
        <v>46</v>
      </c>
      <c r="L5" s="158"/>
      <c r="M5" s="14"/>
      <c r="N5" s="158" t="s">
        <v>47</v>
      </c>
      <c r="O5" s="158"/>
      <c r="P5" s="14"/>
      <c r="Q5" s="158" t="s">
        <v>48</v>
      </c>
      <c r="R5" s="158"/>
      <c r="S5" s="14"/>
      <c r="T5" s="158" t="s">
        <v>49</v>
      </c>
      <c r="U5" s="158"/>
      <c r="V5" s="14"/>
      <c r="W5" s="158" t="s">
        <v>50</v>
      </c>
      <c r="X5" s="158"/>
      <c r="Y5" s="14"/>
      <c r="Z5" s="158" t="s">
        <v>51</v>
      </c>
      <c r="AA5" s="158"/>
      <c r="AB5" s="160"/>
      <c r="AC5" s="2"/>
    </row>
    <row r="6" spans="1:29" s="83" customFormat="1" ht="14.25">
      <c r="A6" s="123"/>
      <c r="B6" s="74" t="s">
        <v>0</v>
      </c>
      <c r="C6" s="74" t="s">
        <v>1</v>
      </c>
      <c r="D6" s="74"/>
      <c r="E6" s="74" t="s">
        <v>0</v>
      </c>
      <c r="F6" s="74" t="s">
        <v>1</v>
      </c>
      <c r="G6" s="74"/>
      <c r="H6" s="74" t="s">
        <v>0</v>
      </c>
      <c r="I6" s="74" t="s">
        <v>1</v>
      </c>
      <c r="J6" s="74"/>
      <c r="K6" s="74" t="s">
        <v>0</v>
      </c>
      <c r="L6" s="74" t="s">
        <v>1</v>
      </c>
      <c r="M6" s="74"/>
      <c r="N6" s="74" t="s">
        <v>0</v>
      </c>
      <c r="O6" s="74" t="s">
        <v>1</v>
      </c>
      <c r="P6" s="74"/>
      <c r="Q6" s="74" t="s">
        <v>0</v>
      </c>
      <c r="R6" s="74" t="s">
        <v>1</v>
      </c>
      <c r="S6" s="74"/>
      <c r="T6" s="74" t="s">
        <v>0</v>
      </c>
      <c r="U6" s="74" t="s">
        <v>1</v>
      </c>
      <c r="V6" s="74"/>
      <c r="W6" s="74" t="s">
        <v>0</v>
      </c>
      <c r="X6" s="74" t="s">
        <v>1</v>
      </c>
      <c r="Y6" s="74"/>
      <c r="Z6" s="74" t="s">
        <v>0</v>
      </c>
      <c r="AA6" s="74" t="s">
        <v>1</v>
      </c>
      <c r="AB6" s="160"/>
    </row>
    <row r="7" spans="1:29" s="15" customFormat="1" ht="14.25">
      <c r="A7" s="122"/>
      <c r="B7" s="76" t="s">
        <v>2</v>
      </c>
      <c r="C7" s="76" t="s">
        <v>3</v>
      </c>
      <c r="D7" s="76"/>
      <c r="E7" s="76" t="s">
        <v>2</v>
      </c>
      <c r="F7" s="76" t="s">
        <v>3</v>
      </c>
      <c r="G7" s="76"/>
      <c r="H7" s="76" t="s">
        <v>2</v>
      </c>
      <c r="I7" s="76" t="s">
        <v>3</v>
      </c>
      <c r="J7" s="76"/>
      <c r="K7" s="76" t="s">
        <v>2</v>
      </c>
      <c r="L7" s="76" t="s">
        <v>3</v>
      </c>
      <c r="M7" s="76"/>
      <c r="N7" s="76" t="s">
        <v>2</v>
      </c>
      <c r="O7" s="76" t="s">
        <v>3</v>
      </c>
      <c r="P7" s="76"/>
      <c r="Q7" s="76" t="s">
        <v>2</v>
      </c>
      <c r="R7" s="76" t="s">
        <v>3</v>
      </c>
      <c r="S7" s="76"/>
      <c r="T7" s="76" t="s">
        <v>2</v>
      </c>
      <c r="U7" s="76" t="s">
        <v>3</v>
      </c>
      <c r="V7" s="76"/>
      <c r="W7" s="76" t="s">
        <v>2</v>
      </c>
      <c r="X7" s="76" t="s">
        <v>3</v>
      </c>
      <c r="Y7" s="76"/>
      <c r="Z7" s="76" t="s">
        <v>2</v>
      </c>
      <c r="AA7" s="76" t="s">
        <v>3</v>
      </c>
      <c r="AB7" s="161"/>
    </row>
    <row r="8" spans="1:29" s="9" customFormat="1" ht="15.75">
      <c r="A8" s="3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82" t="s">
        <v>5</v>
      </c>
    </row>
    <row r="9" spans="1:29" s="9" customFormat="1" ht="15.75">
      <c r="A9" s="4" t="s">
        <v>10</v>
      </c>
      <c r="B9" s="94"/>
      <c r="C9" s="94"/>
      <c r="D9" s="94"/>
      <c r="E9" s="95"/>
      <c r="F9" s="95"/>
      <c r="G9" s="95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6"/>
      <c r="Z9" s="96"/>
      <c r="AA9" s="96"/>
      <c r="AB9" s="84" t="s">
        <v>11</v>
      </c>
    </row>
    <row r="10" spans="1:29" s="9" customFormat="1" ht="15.75">
      <c r="A10" s="4" t="s">
        <v>12</v>
      </c>
      <c r="B10" s="94"/>
      <c r="C10" s="94"/>
      <c r="D10" s="94"/>
      <c r="E10" s="95"/>
      <c r="F10" s="95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6"/>
      <c r="Z10" s="96"/>
      <c r="AA10" s="96"/>
      <c r="AB10" s="84" t="s">
        <v>13</v>
      </c>
    </row>
    <row r="11" spans="1:29" s="9" customFormat="1" ht="15.75">
      <c r="A11" s="4" t="s">
        <v>14</v>
      </c>
      <c r="B11" s="94"/>
      <c r="C11" s="94"/>
      <c r="D11" s="94"/>
      <c r="E11" s="95"/>
      <c r="F11" s="95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6"/>
      <c r="Z11" s="96"/>
      <c r="AA11" s="96"/>
      <c r="AB11" s="84" t="s">
        <v>15</v>
      </c>
    </row>
    <row r="12" spans="1:29" s="9" customFormat="1" ht="15.75">
      <c r="A12" s="4" t="s">
        <v>16</v>
      </c>
      <c r="B12" s="94"/>
      <c r="C12" s="94"/>
      <c r="D12" s="94"/>
      <c r="E12" s="95"/>
      <c r="F12" s="95"/>
      <c r="G12" s="95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6"/>
      <c r="Z12" s="96"/>
      <c r="AA12" s="96"/>
      <c r="AB12" s="84" t="s">
        <v>17</v>
      </c>
    </row>
    <row r="13" spans="1:29" s="9" customFormat="1" ht="15.75">
      <c r="A13" s="4" t="s">
        <v>18</v>
      </c>
      <c r="B13" s="94"/>
      <c r="C13" s="94"/>
      <c r="D13" s="94"/>
      <c r="E13" s="95"/>
      <c r="F13" s="95"/>
      <c r="G13" s="95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6"/>
      <c r="Z13" s="96"/>
      <c r="AA13" s="96"/>
      <c r="AB13" s="84" t="s">
        <v>19</v>
      </c>
    </row>
    <row r="14" spans="1:29" s="9" customFormat="1" ht="15.75">
      <c r="A14" s="4" t="s">
        <v>20</v>
      </c>
      <c r="B14" s="94"/>
      <c r="C14" s="94"/>
      <c r="D14" s="94"/>
      <c r="E14" s="95"/>
      <c r="F14" s="95"/>
      <c r="G14" s="95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6"/>
      <c r="Z14" s="96"/>
      <c r="AA14" s="96"/>
      <c r="AB14" s="84" t="s">
        <v>21</v>
      </c>
    </row>
    <row r="15" spans="1:29" s="9" customFormat="1" ht="15.75">
      <c r="A15" s="4" t="s">
        <v>22</v>
      </c>
      <c r="B15" s="94"/>
      <c r="C15" s="94"/>
      <c r="D15" s="94"/>
      <c r="E15" s="95"/>
      <c r="F15" s="95"/>
      <c r="G15" s="95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6"/>
      <c r="Z15" s="96"/>
      <c r="AA15" s="96"/>
      <c r="AB15" s="84" t="s">
        <v>23</v>
      </c>
    </row>
    <row r="16" spans="1:29" s="9" customFormat="1" ht="15.75">
      <c r="A16" s="4" t="s">
        <v>24</v>
      </c>
      <c r="B16" s="94"/>
      <c r="C16" s="94"/>
      <c r="D16" s="94"/>
      <c r="E16" s="95"/>
      <c r="F16" s="95"/>
      <c r="G16" s="95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6"/>
      <c r="Z16" s="96"/>
      <c r="AA16" s="96"/>
      <c r="AB16" s="84" t="s">
        <v>25</v>
      </c>
    </row>
    <row r="17" spans="1:44" s="9" customFormat="1" ht="15.75">
      <c r="A17" s="4" t="s">
        <v>26</v>
      </c>
      <c r="B17" s="94"/>
      <c r="C17" s="94"/>
      <c r="D17" s="94"/>
      <c r="E17" s="95"/>
      <c r="F17" s="95"/>
      <c r="G17" s="95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6"/>
      <c r="Z17" s="96"/>
      <c r="AA17" s="96"/>
      <c r="AB17" s="84" t="s">
        <v>27</v>
      </c>
    </row>
    <row r="18" spans="1:44" s="9" customFormat="1" ht="15.75">
      <c r="A18" s="4" t="s">
        <v>28</v>
      </c>
      <c r="B18" s="94"/>
      <c r="C18" s="94"/>
      <c r="D18" s="94"/>
      <c r="E18" s="95"/>
      <c r="F18" s="95"/>
      <c r="G18" s="95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6"/>
      <c r="Z18" s="96"/>
      <c r="AA18" s="96"/>
      <c r="AB18" s="84" t="s">
        <v>29</v>
      </c>
    </row>
    <row r="19" spans="1:44" s="9" customFormat="1" ht="15.75">
      <c r="A19" s="4" t="s">
        <v>30</v>
      </c>
      <c r="B19" s="94"/>
      <c r="C19" s="94"/>
      <c r="D19" s="94"/>
      <c r="E19" s="95"/>
      <c r="F19" s="95"/>
      <c r="G19" s="95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6"/>
      <c r="Z19" s="96"/>
      <c r="AA19" s="96"/>
      <c r="AB19" s="84" t="s">
        <v>31</v>
      </c>
    </row>
    <row r="20" spans="1:44" s="9" customFormat="1" ht="15.75">
      <c r="A20" s="75" t="s">
        <v>32</v>
      </c>
      <c r="B20" s="97"/>
      <c r="C20" s="97"/>
      <c r="D20" s="97"/>
      <c r="E20" s="98"/>
      <c r="F20" s="98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9"/>
      <c r="Z20" s="99"/>
      <c r="AA20" s="99"/>
      <c r="AB20" s="85" t="s">
        <v>33</v>
      </c>
    </row>
    <row r="21" spans="1:44" ht="18.75">
      <c r="A21" s="5" t="s">
        <v>6</v>
      </c>
      <c r="AB21" s="8" t="s">
        <v>7</v>
      </c>
      <c r="AO21" s="9"/>
      <c r="AP21" s="73" t="s">
        <v>2</v>
      </c>
      <c r="AQ21" s="73" t="s">
        <v>3</v>
      </c>
    </row>
    <row r="22" spans="1:44" ht="15" customHeight="1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4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4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52</v>
      </c>
      <c r="AP28" s="1">
        <f>T8</f>
        <v>0</v>
      </c>
      <c r="AQ28" s="1">
        <f>U8</f>
        <v>0</v>
      </c>
    </row>
    <row r="29" spans="1:44" ht="17.25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1" customFormat="1" ht="21.75" customHeight="1">
      <c r="A44" s="148" t="s">
        <v>8</v>
      </c>
      <c r="B44" s="102"/>
      <c r="D44" s="103"/>
      <c r="F44" s="103"/>
      <c r="G44" s="151" t="s">
        <v>34</v>
      </c>
      <c r="H44" s="152"/>
      <c r="I44" s="152"/>
      <c r="J44" s="152"/>
      <c r="K44" s="153"/>
      <c r="L44" s="90"/>
      <c r="M44" s="104"/>
      <c r="N44" s="90"/>
      <c r="O44" s="104"/>
      <c r="P44" s="154" t="s">
        <v>35</v>
      </c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03"/>
      <c r="AC44" s="142" t="s">
        <v>36</v>
      </c>
      <c r="AD44" s="143"/>
      <c r="AE44" s="143"/>
      <c r="AF44" s="143"/>
      <c r="AG44" s="143"/>
      <c r="AH44" s="143"/>
      <c r="AI44" s="143"/>
      <c r="AJ44" s="143"/>
      <c r="AK44" s="89"/>
      <c r="AL44" s="142" t="s">
        <v>37</v>
      </c>
      <c r="AM44" s="143"/>
      <c r="AN44" s="143"/>
      <c r="AO44" s="143"/>
      <c r="AP44" s="143"/>
      <c r="AQ44" s="143"/>
      <c r="AR44" s="143"/>
      <c r="AS44" s="89"/>
      <c r="AT44" s="142" t="s">
        <v>38</v>
      </c>
      <c r="AU44" s="143"/>
      <c r="AV44" s="143"/>
      <c r="AW44" s="143"/>
      <c r="AX44" s="143"/>
      <c r="AY44" s="100"/>
      <c r="AZ44" s="89"/>
      <c r="BA44" s="142" t="s">
        <v>39</v>
      </c>
      <c r="BB44" s="143"/>
      <c r="BC44" s="143"/>
      <c r="BD44" s="143"/>
      <c r="BE44" s="144"/>
      <c r="BF44" s="88"/>
      <c r="BG44" s="145" t="s">
        <v>40</v>
      </c>
      <c r="BH44" s="146"/>
      <c r="BI44" s="146"/>
      <c r="BJ44" s="146"/>
      <c r="BK44" s="147"/>
      <c r="BL44" s="142" t="s">
        <v>41</v>
      </c>
      <c r="BM44" s="143"/>
      <c r="BN44" s="143"/>
      <c r="BO44" s="143"/>
      <c r="BP44" s="144"/>
      <c r="BQ44" s="142" t="s">
        <v>42</v>
      </c>
      <c r="BR44" s="143"/>
      <c r="BS44" s="143"/>
      <c r="BT44" s="126" t="s">
        <v>9</v>
      </c>
    </row>
    <row r="45" spans="1:80" s="92" customFormat="1" ht="16.5" customHeight="1">
      <c r="A45" s="149"/>
      <c r="B45" s="105"/>
      <c r="D45" s="106"/>
      <c r="F45" s="106"/>
      <c r="G45" s="129" t="s">
        <v>43</v>
      </c>
      <c r="H45" s="130"/>
      <c r="I45" s="130"/>
      <c r="J45" s="130"/>
      <c r="K45" s="131"/>
      <c r="M45" s="106"/>
      <c r="O45" s="106"/>
      <c r="P45" s="132" t="s">
        <v>44</v>
      </c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06"/>
      <c r="AC45" s="134" t="s">
        <v>61</v>
      </c>
      <c r="AD45" s="135"/>
      <c r="AE45" s="135"/>
      <c r="AF45" s="135"/>
      <c r="AG45" s="135"/>
      <c r="AH45" s="135"/>
      <c r="AI45" s="135"/>
      <c r="AJ45" s="135"/>
      <c r="AK45" s="93"/>
      <c r="AL45" s="134" t="s">
        <v>62</v>
      </c>
      <c r="AM45" s="135"/>
      <c r="AN45" s="135"/>
      <c r="AO45" s="135"/>
      <c r="AP45" s="135"/>
      <c r="AQ45" s="135"/>
      <c r="AR45" s="135"/>
      <c r="AS45" s="93"/>
      <c r="AT45" s="134" t="s">
        <v>63</v>
      </c>
      <c r="AU45" s="135"/>
      <c r="AV45" s="135"/>
      <c r="AW45" s="135"/>
      <c r="AX45" s="135"/>
      <c r="AY45" s="101"/>
      <c r="AZ45" s="93"/>
      <c r="BA45" s="136" t="s">
        <v>64</v>
      </c>
      <c r="BB45" s="137"/>
      <c r="BC45" s="137"/>
      <c r="BD45" s="137"/>
      <c r="BE45" s="138"/>
      <c r="BG45" s="139" t="s">
        <v>65</v>
      </c>
      <c r="BH45" s="140"/>
      <c r="BI45" s="140"/>
      <c r="BJ45" s="140"/>
      <c r="BK45" s="141"/>
      <c r="BL45" s="136" t="s">
        <v>66</v>
      </c>
      <c r="BM45" s="137"/>
      <c r="BN45" s="137"/>
      <c r="BO45" s="137"/>
      <c r="BP45" s="138"/>
      <c r="BQ45" s="136" t="s">
        <v>67</v>
      </c>
      <c r="BR45" s="137"/>
      <c r="BS45" s="137"/>
      <c r="BT45" s="127"/>
    </row>
    <row r="46" spans="1:80" ht="23.25" customHeight="1">
      <c r="A46" s="150"/>
      <c r="B46" s="107"/>
      <c r="C46" s="108">
        <v>2011</v>
      </c>
      <c r="D46" s="108">
        <v>2012</v>
      </c>
      <c r="E46" s="109">
        <v>2013</v>
      </c>
      <c r="F46" s="110">
        <v>2014</v>
      </c>
      <c r="G46" s="111">
        <v>2015</v>
      </c>
      <c r="H46" s="112">
        <v>2016</v>
      </c>
      <c r="I46" s="113">
        <v>2017</v>
      </c>
      <c r="J46" s="113">
        <v>2018</v>
      </c>
      <c r="K46" s="113">
        <v>2019</v>
      </c>
      <c r="L46" s="114">
        <v>2011</v>
      </c>
      <c r="M46" s="114">
        <v>2012</v>
      </c>
      <c r="N46" s="114">
        <v>2013</v>
      </c>
      <c r="O46" s="113">
        <v>2014</v>
      </c>
      <c r="P46" s="111">
        <v>2015</v>
      </c>
      <c r="Q46" s="113">
        <v>2016</v>
      </c>
      <c r="R46" s="114">
        <v>2011</v>
      </c>
      <c r="S46" s="114">
        <v>2012</v>
      </c>
      <c r="T46" s="113">
        <v>2013</v>
      </c>
      <c r="U46" s="113">
        <v>2014</v>
      </c>
      <c r="V46" s="114">
        <v>2011</v>
      </c>
      <c r="W46" s="114">
        <v>2012</v>
      </c>
      <c r="X46" s="113">
        <v>2013</v>
      </c>
      <c r="Y46" s="113">
        <v>2017</v>
      </c>
      <c r="Z46" s="113">
        <v>2018</v>
      </c>
      <c r="AA46" s="115">
        <v>2019</v>
      </c>
      <c r="AB46" s="113">
        <v>2014</v>
      </c>
      <c r="AC46" s="26">
        <v>2015</v>
      </c>
      <c r="AD46" s="26">
        <v>2016</v>
      </c>
      <c r="AE46" s="77">
        <v>2011</v>
      </c>
      <c r="AF46" s="77">
        <v>2012</v>
      </c>
      <c r="AG46" s="77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77">
        <v>2012</v>
      </c>
      <c r="AQ46" s="77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77">
        <v>2013</v>
      </c>
      <c r="AW46" s="26">
        <v>2017</v>
      </c>
      <c r="AX46" s="26">
        <v>2018</v>
      </c>
      <c r="AY46" s="26">
        <v>2019</v>
      </c>
      <c r="AZ46" s="77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77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28"/>
      <c r="BU46" s="2"/>
    </row>
    <row r="47" spans="1:80" ht="23.25" customHeight="1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86" t="s">
        <v>5</v>
      </c>
    </row>
    <row r="48" spans="1:80" ht="23.25" customHeight="1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84" t="s">
        <v>11</v>
      </c>
      <c r="BY48" s="24"/>
      <c r="BZ48" s="24"/>
      <c r="CA48" s="24"/>
      <c r="CB48" s="24"/>
    </row>
    <row r="49" spans="1:80" ht="23.25" customHeight="1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84" t="s">
        <v>13</v>
      </c>
    </row>
    <row r="50" spans="1:80" ht="23.25" customHeight="1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84" t="s">
        <v>15</v>
      </c>
    </row>
    <row r="51" spans="1:80" ht="23.25" customHeight="1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84" t="s">
        <v>17</v>
      </c>
      <c r="BY51" s="24"/>
      <c r="BZ51" s="24"/>
      <c r="CA51" s="24"/>
      <c r="CB51" s="24"/>
    </row>
    <row r="52" spans="1:80" ht="23.25" customHeight="1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84" t="s">
        <v>19</v>
      </c>
    </row>
    <row r="53" spans="1:80" ht="23.25" customHeight="1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84" t="s">
        <v>21</v>
      </c>
    </row>
    <row r="54" spans="1:80" ht="23.25" customHeight="1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84" t="s">
        <v>23</v>
      </c>
      <c r="BY54" s="24"/>
      <c r="BZ54" s="24"/>
      <c r="CA54" s="24"/>
      <c r="CB54" s="24"/>
    </row>
    <row r="55" spans="1:80" ht="23.25" customHeight="1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84" t="s">
        <v>25</v>
      </c>
    </row>
    <row r="56" spans="1:80" ht="23.25" customHeight="1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84" t="s">
        <v>27</v>
      </c>
    </row>
    <row r="57" spans="1:80" ht="23.25" customHeight="1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4" t="s">
        <v>29</v>
      </c>
      <c r="BY57" s="24"/>
      <c r="BZ57" s="24"/>
      <c r="CA57" s="24"/>
      <c r="CB57" s="24"/>
    </row>
    <row r="58" spans="1:80" ht="23.25" customHeight="1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4" t="s">
        <v>31</v>
      </c>
    </row>
    <row r="59" spans="1:80" ht="23.25" customHeight="1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5" t="s">
        <v>33</v>
      </c>
    </row>
    <row r="60" spans="1:80" ht="18.75">
      <c r="A60" s="5" t="s">
        <v>6</v>
      </c>
      <c r="B60" s="5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8"/>
      <c r="BY60" s="24"/>
      <c r="BZ60" s="24"/>
      <c r="CA60" s="24"/>
      <c r="CB60" s="2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O19"/>
  <sheetViews>
    <sheetView tabSelected="1" zoomScale="95" zoomScaleNormal="95" workbookViewId="0">
      <selection activeCell="M28" sqref="M28"/>
    </sheetView>
  </sheetViews>
  <sheetFormatPr defaultColWidth="9.140625" defaultRowHeight="12.75" customHeight="1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8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5" ht="19.5">
      <c r="A1" s="63"/>
      <c r="B1" s="63"/>
      <c r="C1" s="23"/>
      <c r="D1" s="23"/>
      <c r="E1" s="23"/>
      <c r="F1" s="23"/>
      <c r="G1" s="23"/>
      <c r="H1" s="23"/>
      <c r="I1" s="23"/>
      <c r="K1" s="23"/>
      <c r="L1" s="23"/>
      <c r="M1" s="23"/>
      <c r="N1" s="23"/>
      <c r="O1" s="23"/>
    </row>
    <row r="2" spans="1:15" ht="21">
      <c r="A2" s="162" t="s">
        <v>70</v>
      </c>
      <c r="B2" s="163"/>
      <c r="C2" s="163"/>
      <c r="D2" s="163"/>
      <c r="E2" s="163"/>
      <c r="F2" s="163"/>
      <c r="G2" s="163"/>
      <c r="H2" s="163"/>
      <c r="I2" s="163"/>
      <c r="J2" s="163"/>
    </row>
    <row r="3" spans="1:15" ht="15">
      <c r="A3" s="166" t="s">
        <v>71</v>
      </c>
      <c r="B3" s="166"/>
      <c r="C3" s="166"/>
      <c r="D3" s="166"/>
      <c r="E3" s="166"/>
      <c r="F3" s="166"/>
      <c r="G3" s="166"/>
      <c r="H3" s="166"/>
      <c r="I3" s="166"/>
      <c r="J3" s="166"/>
    </row>
    <row r="4" spans="1:15" ht="15">
      <c r="A4" s="171" t="s">
        <v>8</v>
      </c>
      <c r="B4" s="167" t="s">
        <v>55</v>
      </c>
      <c r="C4" s="168" t="s">
        <v>59</v>
      </c>
      <c r="D4" s="169"/>
      <c r="E4" s="169"/>
      <c r="F4" s="170"/>
      <c r="G4" s="169" t="s">
        <v>60</v>
      </c>
      <c r="H4" s="169"/>
      <c r="I4" s="169"/>
      <c r="J4" s="125" t="s">
        <v>9</v>
      </c>
    </row>
    <row r="5" spans="1:15" s="64" customFormat="1" ht="15">
      <c r="A5" s="164"/>
      <c r="B5" s="165"/>
      <c r="C5" s="117" t="s">
        <v>4</v>
      </c>
      <c r="D5" s="10" t="s">
        <v>56</v>
      </c>
      <c r="E5" s="10" t="s">
        <v>57</v>
      </c>
      <c r="F5" s="118" t="s">
        <v>58</v>
      </c>
      <c r="G5" s="119" t="s">
        <v>4</v>
      </c>
      <c r="H5" s="10" t="s">
        <v>56</v>
      </c>
      <c r="I5" s="116" t="s">
        <v>58</v>
      </c>
      <c r="J5" s="124"/>
    </row>
    <row r="6" spans="1:15" s="64" customFormat="1" ht="15.75">
      <c r="A6" s="65" t="s">
        <v>4</v>
      </c>
      <c r="B6" s="12">
        <f t="shared" ref="B6:B18" si="0">SUM(C6+G6)</f>
        <v>4952</v>
      </c>
      <c r="C6" s="66">
        <f>SUM(D6:F6)</f>
        <v>318</v>
      </c>
      <c r="D6" s="67">
        <f>SUM(D7:D18)</f>
        <v>231</v>
      </c>
      <c r="E6" s="67">
        <f>SUM(E7:E18)</f>
        <v>0</v>
      </c>
      <c r="F6" s="68">
        <f>SUM(F7:F18)</f>
        <v>87</v>
      </c>
      <c r="G6" s="11">
        <f t="shared" ref="G6:G18" si="1">SUM(H6:I6)</f>
        <v>4634</v>
      </c>
      <c r="H6" s="67">
        <f>SUM(H7:H18)</f>
        <v>2494</v>
      </c>
      <c r="I6" s="67">
        <f>SUM(I7:I18)</f>
        <v>2140</v>
      </c>
      <c r="J6" s="79" t="s">
        <v>5</v>
      </c>
    </row>
    <row r="7" spans="1:15" s="64" customFormat="1" ht="15.75">
      <c r="A7" s="71" t="s">
        <v>10</v>
      </c>
      <c r="B7" s="69">
        <f t="shared" si="0"/>
        <v>454</v>
      </c>
      <c r="C7" s="54">
        <f>SUM(D7:F7)</f>
        <v>32</v>
      </c>
      <c r="D7" s="55">
        <v>25</v>
      </c>
      <c r="E7" s="55">
        <v>0</v>
      </c>
      <c r="F7" s="56">
        <v>7</v>
      </c>
      <c r="G7" s="57">
        <f t="shared" si="1"/>
        <v>422</v>
      </c>
      <c r="H7" s="55">
        <v>234</v>
      </c>
      <c r="I7" s="55">
        <v>188</v>
      </c>
      <c r="J7" s="80" t="s">
        <v>11</v>
      </c>
    </row>
    <row r="8" spans="1:15" s="64" customFormat="1" ht="15.75">
      <c r="A8" s="71" t="s">
        <v>12</v>
      </c>
      <c r="B8" s="69">
        <f t="shared" si="0"/>
        <v>398</v>
      </c>
      <c r="C8" s="54">
        <f t="shared" ref="C8:C18" si="2">SUM(D8:F8)</f>
        <v>26</v>
      </c>
      <c r="D8" s="55">
        <v>18</v>
      </c>
      <c r="E8" s="55">
        <v>0</v>
      </c>
      <c r="F8" s="56">
        <v>8</v>
      </c>
      <c r="G8" s="57">
        <f t="shared" si="1"/>
        <v>372</v>
      </c>
      <c r="H8" s="55">
        <v>234</v>
      </c>
      <c r="I8" s="55">
        <v>138</v>
      </c>
      <c r="J8" s="80" t="s">
        <v>13</v>
      </c>
    </row>
    <row r="9" spans="1:15" s="64" customFormat="1" ht="15.75">
      <c r="A9" s="71" t="s">
        <v>14</v>
      </c>
      <c r="B9" s="69">
        <f t="shared" si="0"/>
        <v>394</v>
      </c>
      <c r="C9" s="54">
        <f t="shared" si="2"/>
        <v>32</v>
      </c>
      <c r="D9" s="55">
        <v>20</v>
      </c>
      <c r="E9" s="55">
        <v>0</v>
      </c>
      <c r="F9" s="56">
        <v>12</v>
      </c>
      <c r="G9" s="57">
        <f t="shared" si="1"/>
        <v>362</v>
      </c>
      <c r="H9" s="55">
        <v>236</v>
      </c>
      <c r="I9" s="55">
        <v>126</v>
      </c>
      <c r="J9" s="80" t="s">
        <v>15</v>
      </c>
    </row>
    <row r="10" spans="1:15" s="64" customFormat="1" ht="15.75">
      <c r="A10" s="71" t="s">
        <v>16</v>
      </c>
      <c r="B10" s="69">
        <f t="shared" si="0"/>
        <v>298</v>
      </c>
      <c r="C10" s="54">
        <f t="shared" si="2"/>
        <v>26</v>
      </c>
      <c r="D10" s="55">
        <v>20</v>
      </c>
      <c r="E10" s="55">
        <v>0</v>
      </c>
      <c r="F10" s="56">
        <v>6</v>
      </c>
      <c r="G10" s="57">
        <f t="shared" si="1"/>
        <v>272</v>
      </c>
      <c r="H10" s="55">
        <v>196</v>
      </c>
      <c r="I10" s="55">
        <v>76</v>
      </c>
      <c r="J10" s="80" t="s">
        <v>17</v>
      </c>
    </row>
    <row r="11" spans="1:15" s="64" customFormat="1" ht="15.75">
      <c r="A11" s="71" t="s">
        <v>18</v>
      </c>
      <c r="B11" s="69">
        <f t="shared" si="0"/>
        <v>264</v>
      </c>
      <c r="C11" s="54">
        <f t="shared" si="2"/>
        <v>18</v>
      </c>
      <c r="D11" s="55">
        <v>18</v>
      </c>
      <c r="E11" s="55">
        <v>0</v>
      </c>
      <c r="F11" s="56">
        <v>0</v>
      </c>
      <c r="G11" s="57">
        <f t="shared" si="1"/>
        <v>246</v>
      </c>
      <c r="H11" s="55">
        <v>178</v>
      </c>
      <c r="I11" s="55">
        <v>68</v>
      </c>
      <c r="J11" s="80" t="s">
        <v>19</v>
      </c>
    </row>
    <row r="12" spans="1:15" s="64" customFormat="1" ht="15.75">
      <c r="A12" s="71" t="s">
        <v>20</v>
      </c>
      <c r="B12" s="69">
        <f t="shared" si="0"/>
        <v>306</v>
      </c>
      <c r="C12" s="54">
        <f t="shared" si="2"/>
        <v>28</v>
      </c>
      <c r="D12" s="55">
        <v>20</v>
      </c>
      <c r="E12" s="55">
        <v>0</v>
      </c>
      <c r="F12" s="56">
        <v>8</v>
      </c>
      <c r="G12" s="57">
        <f t="shared" si="1"/>
        <v>278</v>
      </c>
      <c r="H12" s="55">
        <v>184</v>
      </c>
      <c r="I12" s="55">
        <v>94</v>
      </c>
      <c r="J12" s="80" t="s">
        <v>21</v>
      </c>
    </row>
    <row r="13" spans="1:15" s="64" customFormat="1" ht="15.75">
      <c r="A13" s="71" t="s">
        <v>22</v>
      </c>
      <c r="B13" s="69">
        <f t="shared" si="0"/>
        <v>400</v>
      </c>
      <c r="C13" s="54">
        <f t="shared" si="2"/>
        <v>22</v>
      </c>
      <c r="D13" s="55">
        <v>20</v>
      </c>
      <c r="E13" s="55">
        <v>0</v>
      </c>
      <c r="F13" s="56">
        <v>2</v>
      </c>
      <c r="G13" s="57">
        <f t="shared" si="1"/>
        <v>378</v>
      </c>
      <c r="H13" s="55">
        <v>180</v>
      </c>
      <c r="I13" s="55">
        <v>198</v>
      </c>
      <c r="J13" s="80" t="s">
        <v>23</v>
      </c>
    </row>
    <row r="14" spans="1:15" s="64" customFormat="1" ht="15.75">
      <c r="A14" s="71" t="s">
        <v>24</v>
      </c>
      <c r="B14" s="69">
        <f t="shared" si="0"/>
        <v>453</v>
      </c>
      <c r="C14" s="54">
        <f t="shared" si="2"/>
        <v>27</v>
      </c>
      <c r="D14" s="55">
        <v>20</v>
      </c>
      <c r="E14" s="55">
        <v>0</v>
      </c>
      <c r="F14" s="56">
        <v>7</v>
      </c>
      <c r="G14" s="57">
        <f t="shared" si="1"/>
        <v>426</v>
      </c>
      <c r="H14" s="55">
        <v>194</v>
      </c>
      <c r="I14" s="55">
        <v>232</v>
      </c>
      <c r="J14" s="80" t="s">
        <v>25</v>
      </c>
    </row>
    <row r="15" spans="1:15" s="64" customFormat="1" ht="15.75">
      <c r="A15" s="71" t="s">
        <v>26</v>
      </c>
      <c r="B15" s="69">
        <f t="shared" si="0"/>
        <v>447</v>
      </c>
      <c r="C15" s="54">
        <f t="shared" si="2"/>
        <v>31</v>
      </c>
      <c r="D15" s="55">
        <v>18</v>
      </c>
      <c r="E15" s="55">
        <v>0</v>
      </c>
      <c r="F15" s="56">
        <v>13</v>
      </c>
      <c r="G15" s="57">
        <f t="shared" si="1"/>
        <v>416</v>
      </c>
      <c r="H15" s="55">
        <v>190</v>
      </c>
      <c r="I15" s="55">
        <v>226</v>
      </c>
      <c r="J15" s="80" t="s">
        <v>27</v>
      </c>
    </row>
    <row r="16" spans="1:15" s="64" customFormat="1" ht="15.75">
      <c r="A16" s="71" t="s">
        <v>28</v>
      </c>
      <c r="B16" s="69">
        <f t="shared" si="0"/>
        <v>382</v>
      </c>
      <c r="C16" s="54">
        <f t="shared" si="2"/>
        <v>28</v>
      </c>
      <c r="D16" s="55">
        <v>16</v>
      </c>
      <c r="E16" s="55">
        <v>0</v>
      </c>
      <c r="F16" s="56">
        <v>12</v>
      </c>
      <c r="G16" s="57">
        <f t="shared" si="1"/>
        <v>354</v>
      </c>
      <c r="H16" s="55">
        <v>202</v>
      </c>
      <c r="I16" s="55">
        <v>152</v>
      </c>
      <c r="J16" s="80" t="s">
        <v>29</v>
      </c>
    </row>
    <row r="17" spans="1:10" s="64" customFormat="1" ht="15.75">
      <c r="A17" s="71" t="s">
        <v>30</v>
      </c>
      <c r="B17" s="69">
        <f t="shared" si="0"/>
        <v>604</v>
      </c>
      <c r="C17" s="54">
        <f t="shared" si="2"/>
        <v>22</v>
      </c>
      <c r="D17" s="55">
        <v>16</v>
      </c>
      <c r="E17" s="55">
        <v>0</v>
      </c>
      <c r="F17" s="56">
        <v>6</v>
      </c>
      <c r="G17" s="57">
        <f t="shared" si="1"/>
        <v>582</v>
      </c>
      <c r="H17" s="55">
        <v>216</v>
      </c>
      <c r="I17" s="55">
        <v>366</v>
      </c>
      <c r="J17" s="80" t="s">
        <v>31</v>
      </c>
    </row>
    <row r="18" spans="1:10" s="64" customFormat="1" ht="15.75">
      <c r="A18" s="72" t="s">
        <v>32</v>
      </c>
      <c r="B18" s="70">
        <f t="shared" si="0"/>
        <v>552</v>
      </c>
      <c r="C18" s="58">
        <f t="shared" si="2"/>
        <v>26</v>
      </c>
      <c r="D18" s="59">
        <v>20</v>
      </c>
      <c r="E18" s="59">
        <v>0</v>
      </c>
      <c r="F18" s="60">
        <v>6</v>
      </c>
      <c r="G18" s="61">
        <f t="shared" si="1"/>
        <v>526</v>
      </c>
      <c r="H18" s="59">
        <v>250</v>
      </c>
      <c r="I18" s="59">
        <v>276</v>
      </c>
      <c r="J18" s="81" t="s">
        <v>33</v>
      </c>
    </row>
    <row r="19" spans="1:10" ht="18.75">
      <c r="A19" s="5" t="s">
        <v>6</v>
      </c>
      <c r="B19" s="5"/>
      <c r="C19" s="6"/>
      <c r="D19" s="6"/>
      <c r="E19" s="6"/>
      <c r="F19" s="6"/>
      <c r="G19" s="6"/>
      <c r="H19" s="62"/>
      <c r="J19" s="8" t="s">
        <v>7</v>
      </c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scale="6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11.19 </vt:lpstr>
      <vt:lpstr>'11.19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2026-07-08T05:34:59Z</cp:lastPrinted>
  <dcterms:created xsi:type="dcterms:W3CDTF">2019-03-24T03:32:16Z</dcterms:created>
  <dcterms:modified xsi:type="dcterms:W3CDTF">2026-07-08T05:35:09Z</dcterms:modified>
</cp:coreProperties>
</file>