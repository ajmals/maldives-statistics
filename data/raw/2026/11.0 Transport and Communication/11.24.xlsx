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E88F0D04-2F76-4C0B-B59B-18B123441F0E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 11.24" sheetId="8" r:id="rId2"/>
  </sheets>
  <definedNames>
    <definedName name="_xlnm.Print_Area" localSheetId="1">' 11.24'!$A$1:$H$22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8" l="1"/>
  <c r="B18" i="8"/>
  <c r="B17" i="8"/>
  <c r="B16" i="8"/>
  <c r="B15" i="8"/>
  <c r="B14" i="8"/>
  <c r="B13" i="8"/>
  <c r="B12" i="8"/>
  <c r="B11" i="8"/>
  <c r="B10" i="8"/>
  <c r="B9" i="8"/>
  <c r="B8" i="8"/>
  <c r="F7" i="8"/>
  <c r="E7" i="8"/>
  <c r="D7" i="8"/>
  <c r="C7" i="8"/>
  <c r="B7" i="8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<sst xmlns="http://schemas.openxmlformats.org/spreadsheetml/2006/main" count="217" uniqueCount="72">
  <si>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</si>
  <si>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</si>
  <si>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</si>
  <si>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</si>
  <si>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</si>
  <si>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</si>
  <si>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</si>
  <si>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</si>
  <si>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</si>
  <si>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</si>
  <si>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</si>
  <si>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</si>
  <si>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</si>
  <si>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</si>
  <si>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</si>
  <si>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</si>
  <si>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</si>
  <si>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</si>
  <si>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</si>
  <si>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</si>
  <si>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</si>
  <si>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</si>
  <si>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</si>
  <si>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</si>
  <si>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</si>
  <si>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</si>
  <si>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</si>
  <si>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</si>
  <si>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</si>
  <si>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</si>
  <si>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</si>
  <si>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</si>
  <si>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</si>
  <si>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</si>
  <si>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</si>
  <si>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</si>
  <si>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</si>
  <si>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</si>
  <si>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</si>
  <si>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</si>
  <si>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</si>
  <si>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</si>
  <si>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</si>
  <si>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</si>
  <si>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</si>
  <si>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</si>
  <si>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</si>
  <si>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</si>
  <si>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</si>
  <si>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</si>
  <si>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</si>
  <si>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</si>
  <si>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</si>
  <si>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</si>
  <si>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</si>
  <si>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</si>
  <si>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</si>
  <si>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Inward</t>
  </si>
  <si>
    <t>Outward</t>
  </si>
  <si>
    <t xml:space="preserve"> Total </t>
  </si>
  <si>
    <t xml:space="preserve">(in Kg)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</si>
  <si>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</si>
  <si>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</si>
  <si>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</si>
  <si>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</si>
  <si>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</si>
  <si>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</si>
  <si>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</si>
  <si>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</si>
  <si>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</si>
  <si>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11.24: މަސްމަހުގެ ގޮތުން އިބްރާހީމް ނާސިރު އިންޓަރނޭޝަނަލް އެއަރޕޯޓުން އުފުލުނު މެއިލް، 2025</t>
  </si>
  <si>
    <t>Table  11.24 :  MAIL HANDLED AT IBRAHIM NASIR INTERNATIONAL AIRPORT 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</si>
</sst>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#,##0.0_);[Red]\(#,##0.0\)"/>
    <numFmt numFmtId="167" formatCode="0.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3" fillId="0" borderId="0" applyFont="0" applyFill="0" applyBorder="0" applyAlignment="0" applyProtection="0"/>
    <xf numFmtId="167" fontId="42" fillId="0" borderId="0" applyFont="0" applyFill="0" applyBorder="0" applyAlignment="0" applyProtection="0"/>
    <xf numFmtId="164" fontId="42" fillId="0" borderId="0"/>
    <xf numFmtId="165" fontId="42" fillId="0" borderId="0"/>
    <xf numFmtId="165" fontId="42" fillId="0" borderId="0"/>
  </cellStyleXfs>
  <cellXfs count="183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3" xfId="0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8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0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17" xfId="2" applyNumberFormat="1" applyFont="1" applyFill="1" applyBorder="1" applyAlignment="1">
      <alignment horizontal="center" vertical="center"/>
    </xf>
    <xf numFmtId="164" fontId="8" fillId="2" borderId="3" xfId="2" applyFont="1" applyFill="1" applyBorder="1" applyAlignment="1">
      <alignment horizontal="left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1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3" fontId="14" fillId="2" borderId="8" xfId="3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164" fontId="14" fillId="2" borderId="6" xfId="2" applyFont="1" applyFill="1" applyBorder="1" applyAlignment="1">
      <alignment horizontal="left" vertical="center"/>
    </xf>
    <xf numFmtId="3" fontId="14" fillId="2" borderId="6" xfId="3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14" fillId="2" borderId="23" xfId="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164" fontId="10" fillId="2" borderId="0" xfId="0" applyNumberFormat="1" applyFont="1" applyFill="1"/>
    <xf numFmtId="164" fontId="22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 wrapText="1"/>
    </xf>
    <xf numFmtId="164" fontId="5" fillId="2" borderId="41" xfId="2" applyFont="1" applyFill="1" applyBorder="1" applyAlignment="1">
      <alignment horizontal="right" vertical="center"/>
    </xf>
    <xf numFmtId="166" fontId="5" fillId="2" borderId="10" xfId="3" applyNumberFormat="1" applyFont="1" applyFill="1" applyBorder="1" applyAlignment="1" applyProtection="1">
      <alignment horizontal="right" vertical="center"/>
    </xf>
    <xf numFmtId="166" fontId="5" fillId="2" borderId="18" xfId="3" applyNumberFormat="1" applyFont="1" applyFill="1" applyBorder="1" applyAlignment="1" applyProtection="1">
      <alignment horizontal="right" vertical="center"/>
    </xf>
    <xf numFmtId="166" fontId="5" fillId="2" borderId="11" xfId="3" applyNumberFormat="1" applyFont="1" applyFill="1" applyBorder="1" applyAlignment="1" applyProtection="1">
      <alignment horizontal="right" vertical="center"/>
    </xf>
    <xf numFmtId="166" fontId="5" fillId="2" borderId="40" xfId="3" applyNumberFormat="1" applyFont="1" applyFill="1" applyBorder="1" applyAlignment="1" applyProtection="1">
      <alignment horizontal="right" vertical="center"/>
    </xf>
    <xf numFmtId="166" fontId="5" fillId="2" borderId="0" xfId="3" applyNumberFormat="1" applyFont="1" applyFill="1" applyBorder="1" applyAlignment="1" applyProtection="1">
      <alignment horizontal="right" vertical="center"/>
    </xf>
    <xf numFmtId="166" fontId="5" fillId="2" borderId="12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  <protection locked="0"/>
    </xf>
    <xf numFmtId="166" fontId="5" fillId="2" borderId="42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</xf>
    <xf numFmtId="0" fontId="22" fillId="2" borderId="4" xfId="0" applyFont="1" applyFill="1" applyBorder="1" applyAlignment="1">
      <alignment horizontal="right" vertical="center"/>
    </xf>
    <xf numFmtId="164" fontId="24" fillId="2" borderId="0" xfId="2" applyFont="1" applyFill="1" applyAlignment="1">
      <alignment vertical="center"/>
    </xf>
    <xf numFmtId="0" fontId="4" fillId="2" borderId="0" xfId="6" applyFill="1" applyAlignment="1">
      <alignment vertical="center"/>
    </xf>
    <xf numFmtId="164" fontId="5" fillId="2" borderId="47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47" xfId="2" applyFont="1" applyFill="1" applyBorder="1" applyAlignment="1">
      <alignment horizontal="left" vertical="center"/>
    </xf>
    <xf numFmtId="164" fontId="18" fillId="2" borderId="47" xfId="2" applyFont="1" applyFill="1" applyBorder="1" applyAlignment="1">
      <alignment horizontal="right" vertical="center"/>
    </xf>
    <xf numFmtId="0" fontId="5" fillId="2" borderId="47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166" fontId="5" fillId="2" borderId="48" xfId="3" applyNumberFormat="1" applyFont="1" applyFill="1" applyBorder="1" applyAlignment="1" applyProtection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2" xfId="5" applyFont="1" applyFill="1" applyBorder="1" applyAlignment="1">
      <alignment horizontal="right"/>
    </xf>
    <xf numFmtId="0" fontId="33" fillId="2" borderId="13" xfId="5" applyFont="1" applyFill="1" applyBorder="1" applyAlignment="1">
      <alignment horizontal="right"/>
    </xf>
    <xf numFmtId="0" fontId="28" fillId="2" borderId="14" xfId="5" applyFont="1" applyFill="1" applyBorder="1" applyAlignment="1">
      <alignment horizontal="right"/>
    </xf>
    <xf numFmtId="164" fontId="34" fillId="2" borderId="9" xfId="2" applyFont="1" applyFill="1" applyBorder="1" applyAlignment="1">
      <alignment horizontal="center" vertical="center"/>
    </xf>
    <xf numFmtId="164" fontId="36" fillId="2" borderId="9" xfId="0" applyNumberFormat="1" applyFont="1" applyFill="1" applyBorder="1"/>
    <xf numFmtId="164" fontId="35" fillId="2" borderId="19" xfId="2" applyFont="1" applyFill="1" applyBorder="1" applyAlignment="1">
      <alignment vertical="center"/>
    </xf>
    <xf numFmtId="164" fontId="37" fillId="2" borderId="9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3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6" xfId="2" applyNumberFormat="1" applyFont="1" applyFill="1" applyBorder="1" applyAlignment="1">
      <alignment horizontal="right" vertical="center"/>
    </xf>
    <xf numFmtId="3" fontId="10" fillId="3" borderId="6" xfId="3" applyNumberFormat="1" applyFont="1" applyFill="1" applyBorder="1" applyAlignment="1">
      <alignment horizontal="right" vertical="center"/>
    </xf>
    <xf numFmtId="3" fontId="10" fillId="3" borderId="47" xfId="2" applyNumberFormat="1" applyFont="1" applyFill="1" applyBorder="1" applyAlignment="1">
      <alignment horizontal="right" vertical="center"/>
    </xf>
    <xf numFmtId="164" fontId="35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40" fillId="2" borderId="18" xfId="2" applyFont="1" applyFill="1" applyBorder="1" applyAlignment="1">
      <alignment horizontal="left" vertical="center"/>
    </xf>
    <xf numFmtId="164" fontId="40" fillId="2" borderId="19" xfId="2" applyFont="1" applyFill="1" applyBorder="1" applyAlignment="1">
      <alignment vertical="center"/>
    </xf>
    <xf numFmtId="164" fontId="32" fillId="2" borderId="19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3" xfId="2" applyFont="1" applyFill="1" applyBorder="1" applyAlignment="1">
      <alignment vertical="center" wrapText="1"/>
    </xf>
    <xf numFmtId="164" fontId="26" fillId="2" borderId="6" xfId="2" applyFont="1" applyFill="1" applyBorder="1" applyAlignment="1">
      <alignment horizontal="left" vertical="center"/>
    </xf>
    <xf numFmtId="0" fontId="41" fillId="2" borderId="27" xfId="2" applyNumberFormat="1" applyFont="1" applyFill="1" applyBorder="1" applyAlignment="1">
      <alignment horizontal="center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47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164" fontId="8" fillId="2" borderId="0" xfId="2" applyFont="1" applyFill="1" applyAlignment="1">
      <alignment horizontal="right" vertical="center"/>
    </xf>
    <xf numFmtId="164" fontId="8" fillId="2" borderId="50" xfId="2" applyFont="1" applyFill="1" applyBorder="1" applyAlignment="1">
      <alignment horizontal="left" vertical="center"/>
    </xf>
    <xf numFmtId="0" fontId="33" fillId="2" borderId="49" xfId="5" applyFont="1" applyFill="1" applyBorder="1" applyAlignment="1">
      <alignment horizontal="right"/>
    </xf>
    <xf numFmtId="164" fontId="5" fillId="2" borderId="50" xfId="2" applyFont="1" applyFill="1" applyBorder="1" applyAlignment="1">
      <alignment horizontal="left" vertical="center"/>
    </xf>
    <xf numFmtId="164" fontId="14" fillId="2" borderId="49" xfId="2" applyFont="1" applyFill="1" applyBorder="1" applyAlignment="1">
      <alignment horizontal="left" vertical="center"/>
    </xf>
    <xf numFmtId="164" fontId="5" fillId="2" borderId="54" xfId="2" applyFont="1" applyFill="1" applyBorder="1" applyAlignment="1">
      <alignment horizontal="right" vertical="center"/>
    </xf>
    <xf numFmtId="166" fontId="14" fillId="2" borderId="1" xfId="3" applyNumberFormat="1" applyFont="1" applyFill="1" applyBorder="1" applyAlignment="1">
      <alignment horizontal="right"/>
    </xf>
    <xf numFmtId="166" fontId="14" fillId="2" borderId="5" xfId="3" applyNumberFormat="1" applyFont="1" applyFill="1" applyBorder="1" applyAlignment="1">
      <alignment horizontal="right"/>
    </xf>
    <xf numFmtId="166" fontId="14" fillId="2" borderId="39" xfId="3" applyNumberFormat="1" applyFont="1" applyFill="1" applyBorder="1" applyAlignment="1" applyProtection="1">
      <alignment horizontal="right" vertical="center"/>
      <protection locked="0"/>
    </xf>
    <xf numFmtId="166" fontId="14" fillId="2" borderId="5" xfId="3" applyNumberFormat="1" applyFont="1" applyFill="1" applyBorder="1" applyAlignment="1" applyProtection="1">
      <alignment horizontal="right" vertical="center"/>
      <protection locked="0"/>
    </xf>
    <xf numFmtId="166" fontId="14" fillId="2" borderId="2" xfId="3" applyNumberFormat="1" applyFont="1" applyFill="1" applyBorder="1" applyAlignment="1">
      <alignment horizontal="right"/>
    </xf>
    <xf numFmtId="166" fontId="14" fillId="2" borderId="43" xfId="3" applyNumberFormat="1" applyFont="1" applyFill="1" applyBorder="1" applyAlignment="1">
      <alignment horizontal="right"/>
    </xf>
    <xf numFmtId="166" fontId="14" fillId="2" borderId="44" xfId="3" applyNumberFormat="1" applyFont="1" applyFill="1" applyBorder="1" applyAlignment="1" applyProtection="1">
      <alignment horizontal="right" vertical="center"/>
      <protection locked="0"/>
    </xf>
    <xf numFmtId="166" fontId="14" fillId="2" borderId="43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>
      <alignment horizontal="right"/>
    </xf>
    <xf numFmtId="166" fontId="14" fillId="2" borderId="52" xfId="3" applyNumberFormat="1" applyFont="1" applyFill="1" applyBorder="1" applyAlignment="1" applyProtection="1">
      <alignment horizontal="right" vertical="center"/>
      <protection locked="0"/>
    </xf>
    <xf numFmtId="166" fontId="14" fillId="2" borderId="27" xfId="3" applyNumberFormat="1" applyFont="1" applyFill="1" applyBorder="1" applyAlignment="1">
      <alignment horizontal="right"/>
    </xf>
    <xf numFmtId="166" fontId="14" fillId="2" borderId="45" xfId="3" applyNumberFormat="1" applyFont="1" applyFill="1" applyBorder="1" applyAlignment="1">
      <alignment horizontal="right"/>
    </xf>
    <xf numFmtId="166" fontId="14" fillId="2" borderId="46" xfId="3" applyNumberFormat="1" applyFont="1" applyFill="1" applyBorder="1" applyAlignment="1" applyProtection="1">
      <alignment horizontal="right" vertical="center"/>
    </xf>
    <xf numFmtId="166" fontId="14" fillId="2" borderId="45" xfId="3" applyNumberFormat="1" applyFont="1" applyFill="1" applyBorder="1" applyAlignment="1" applyProtection="1">
      <alignment horizontal="right" vertical="center"/>
    </xf>
    <xf numFmtId="164" fontId="16" fillId="2" borderId="0" xfId="2" applyFont="1" applyFill="1" applyAlignment="1">
      <alignment horizontal="center" vertical="center"/>
    </xf>
    <xf numFmtId="164" fontId="5" fillId="2" borderId="49" xfId="2" applyFont="1" applyFill="1" applyBorder="1" applyAlignment="1">
      <alignment horizontal="center" vertical="center"/>
    </xf>
    <xf numFmtId="164" fontId="28" fillId="2" borderId="9" xfId="2" applyFont="1" applyFill="1" applyBorder="1" applyAlignment="1">
      <alignment horizontal="right" vertical="center"/>
    </xf>
    <xf numFmtId="164" fontId="28" fillId="2" borderId="47" xfId="2" applyFont="1" applyFill="1" applyBorder="1" applyAlignment="1">
      <alignment horizontal="right" vertical="center"/>
    </xf>
    <xf numFmtId="164" fontId="18" fillId="2" borderId="47" xfId="2" applyFont="1" applyFill="1" applyBorder="1" applyAlignment="1">
      <alignment horizontal="center" vertical="center" wrapText="1"/>
    </xf>
    <xf numFmtId="164" fontId="34" fillId="2" borderId="9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7" xfId="2" applyFont="1" applyFill="1" applyBorder="1" applyAlignment="1">
      <alignment horizontal="left" vertical="center"/>
    </xf>
    <xf numFmtId="164" fontId="28" fillId="2" borderId="0" xfId="2" applyFont="1" applyFill="1" applyAlignment="1">
      <alignment horizontal="right" vertical="center"/>
    </xf>
    <xf numFmtId="164" fontId="8" fillId="2" borderId="18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6" xfId="2" applyFont="1" applyFill="1" applyBorder="1" applyAlignment="1">
      <alignment horizontal="left" vertical="center"/>
    </xf>
    <xf numFmtId="164" fontId="32" fillId="2" borderId="11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164" fontId="32" fillId="2" borderId="20" xfId="2" applyFont="1" applyFill="1" applyBorder="1" applyAlignment="1">
      <alignment horizontal="center" vertical="center"/>
    </xf>
    <xf numFmtId="164" fontId="32" fillId="2" borderId="16" xfId="2" applyFont="1" applyFill="1" applyBorder="1" applyAlignment="1">
      <alignment horizontal="center" vertical="center"/>
    </xf>
    <xf numFmtId="164" fontId="32" fillId="2" borderId="9" xfId="2" applyFont="1" applyFill="1" applyBorder="1" applyAlignment="1">
      <alignment horizontal="center" vertical="center"/>
    </xf>
    <xf numFmtId="164" fontId="35" fillId="2" borderId="16" xfId="2" applyFont="1" applyFill="1" applyBorder="1" applyAlignment="1">
      <alignment horizontal="center" vertical="center"/>
    </xf>
    <xf numFmtId="164" fontId="35" fillId="2" borderId="9" xfId="2" applyFont="1" applyFill="1" applyBorder="1" applyAlignment="1">
      <alignment horizontal="center" vertical="center"/>
    </xf>
    <xf numFmtId="0" fontId="28" fillId="2" borderId="10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0" fontId="28" fillId="2" borderId="13" xfId="5" applyFont="1" applyFill="1" applyBorder="1" applyAlignment="1">
      <alignment horizontal="right" vertical="center"/>
    </xf>
    <xf numFmtId="164" fontId="25" fillId="2" borderId="7" xfId="2" applyFont="1" applyFill="1" applyBorder="1" applyAlignment="1">
      <alignment horizontal="center" vertical="center" wrapText="1"/>
    </xf>
    <xf numFmtId="164" fontId="25" fillId="2" borderId="23" xfId="2" applyFont="1" applyFill="1" applyBorder="1" applyAlignment="1">
      <alignment horizontal="center" vertical="center" wrapText="1"/>
    </xf>
    <xf numFmtId="164" fontId="25" fillId="2" borderId="24" xfId="2" applyFont="1" applyFill="1" applyBorder="1" applyAlignment="1">
      <alignment horizontal="center" vertical="center" wrapText="1"/>
    </xf>
    <xf numFmtId="164" fontId="25" fillId="2" borderId="15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6" fillId="2" borderId="15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7" xfId="2" applyFont="1" applyFill="1" applyBorder="1" applyAlignment="1">
      <alignment horizontal="center" vertical="center" wrapText="1"/>
    </xf>
    <xf numFmtId="164" fontId="16" fillId="2" borderId="47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35" fillId="2" borderId="22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/>
    </xf>
    <xf numFmtId="164" fontId="5" fillId="2" borderId="0" xfId="2" applyFont="1" applyFill="1" applyAlignment="1">
      <alignment horizontal="center" vertical="center"/>
    </xf>
    <xf numFmtId="164" fontId="5" fillId="2" borderId="50" xfId="2" applyFont="1" applyFill="1" applyBorder="1" applyAlignment="1">
      <alignment horizontal="center" vertical="center" wrapText="1"/>
    </xf>
    <xf numFmtId="164" fontId="5" fillId="2" borderId="51" xfId="2" applyFont="1" applyFill="1" applyBorder="1" applyAlignment="1">
      <alignment horizontal="center" vertical="center" wrapText="1"/>
    </xf>
    <xf numFmtId="164" fontId="5" fillId="2" borderId="53" xfId="2" applyFont="1" applyFill="1" applyBorder="1" applyAlignment="1">
      <alignment horizontal="center" vertical="center" wrapText="1"/>
    </xf>
    <xf numFmtId="0" fontId="28" fillId="2" borderId="50" xfId="5" applyFont="1" applyFill="1" applyBorder="1" applyAlignment="1">
      <alignment horizontal="right" vertical="center"/>
    </xf>
    <xf numFmtId="0" fontId="28" fillId="2" borderId="49" xfId="5" applyFont="1" applyFill="1" applyBorder="1" applyAlignment="1">
      <alignment horizontal="right" vertical="center"/>
    </xf>
  </cellXfs>
  <cellStyles count="24">
    <cellStyle name="1" xfId="16" xr:uid="{00000000-0005-0000-0000-000000000000}"/>
    <cellStyle name="Comma" xfId="1" builtinId="3"/>
    <cellStyle name="Comma 2" xfId="3" xr:uid="{00000000-0005-0000-0000-000002000000}"/>
    <cellStyle name="Comma 2 2" xfId="19" xr:uid="{48E8CCD3-C770-4AB0-8A19-B38BE3FD4A18}"/>
    <cellStyle name="Comma 3" xfId="15" xr:uid="{00000000-0005-0000-0000-000003000000}"/>
    <cellStyle name="Comma 4" xfId="9" xr:uid="{00000000-0005-0000-0000-000004000000}"/>
    <cellStyle name="Comma 4 2" xfId="20" xr:uid="{8F34C6FB-390F-4F5A-AB5F-93E3E739AA91}"/>
    <cellStyle name="Hyperlink 2" xfId="10" xr:uid="{00000000-0005-0000-0000-000005000000}"/>
    <cellStyle name="Normal" xfId="0" builtinId="0"/>
    <cellStyle name="Normal 2" xfId="2" xr:uid="{00000000-0005-0000-0000-000007000000}"/>
    <cellStyle name="Normal 2 2" xfId="21" xr:uid="{8E367283-515D-4612-BAC4-236186BD41B3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3 3" xfId="22" xr:uid="{49517F84-42EB-42C6-BF6E-68456CE66A1A}"/>
    <cellStyle name="Normal 4" xfId="8" xr:uid="{00000000-0005-0000-0000-00000B000000}"/>
    <cellStyle name="Normal 4 2" xfId="23" xr:uid="{B993CCAE-6F7A-4757-8F79-DA782D7FF014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4" xr:uid="{00000000-0005-0000-0000-00000E000000}"/>
    <cellStyle name="Normal_IX-8 (Trans &amp; Comm)" xfId="6" xr:uid="{00000000-0005-0000-0000-000010000000}"/>
    <cellStyle name="Normal_X-5 (Electricity)" xfId="5" xr:uid="{00000000-0005-0000-0000-000012000000}"/>
    <cellStyle name="Percent 2" xfId="18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40" t="s">
        <v>68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29" ht="15.75">
      <c r="A2" s="141" t="s">
        <v>69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</row>
    <row r="4" spans="1:29" s="11" customFormat="1" ht="19.5">
      <c r="A4" s="142" t="s">
        <v>9</v>
      </c>
      <c r="B4" s="139" t="s">
        <v>36</v>
      </c>
      <c r="C4" s="139"/>
      <c r="D4" s="85"/>
      <c r="E4" s="139" t="s">
        <v>37</v>
      </c>
      <c r="F4" s="139"/>
      <c r="G4" s="85"/>
      <c r="H4" s="139" t="s">
        <v>38</v>
      </c>
      <c r="I4" s="139"/>
      <c r="J4" s="85"/>
      <c r="K4" s="139" t="s">
        <v>39</v>
      </c>
      <c r="L4" s="139"/>
      <c r="M4" s="85"/>
      <c r="N4" s="139" t="s">
        <v>40</v>
      </c>
      <c r="O4" s="139"/>
      <c r="P4" s="85"/>
      <c r="Q4" s="139" t="s">
        <v>41</v>
      </c>
      <c r="R4" s="139"/>
      <c r="S4" s="85"/>
      <c r="T4" s="139" t="s">
        <v>42</v>
      </c>
      <c r="U4" s="139"/>
      <c r="V4" s="85"/>
      <c r="W4" s="139" t="s">
        <v>43</v>
      </c>
      <c r="X4" s="139"/>
      <c r="Y4" s="85"/>
      <c r="Z4" s="139" t="s">
        <v>44</v>
      </c>
      <c r="AA4" s="139"/>
      <c r="AB4" s="136" t="s">
        <v>11</v>
      </c>
    </row>
    <row r="5" spans="1:29" s="16" customFormat="1" ht="15" customHeight="1">
      <c r="A5" s="143"/>
      <c r="B5" s="138" t="s">
        <v>45</v>
      </c>
      <c r="C5" s="138"/>
      <c r="D5" s="15"/>
      <c r="E5" s="138" t="s">
        <v>46</v>
      </c>
      <c r="F5" s="138"/>
      <c r="G5" s="15"/>
      <c r="H5" s="138" t="s">
        <v>47</v>
      </c>
      <c r="I5" s="138"/>
      <c r="J5" s="15"/>
      <c r="K5" s="138" t="s">
        <v>48</v>
      </c>
      <c r="L5" s="138"/>
      <c r="M5" s="15"/>
      <c r="N5" s="138" t="s">
        <v>49</v>
      </c>
      <c r="O5" s="138"/>
      <c r="P5" s="15"/>
      <c r="Q5" s="138" t="s">
        <v>50</v>
      </c>
      <c r="R5" s="138"/>
      <c r="S5" s="15"/>
      <c r="T5" s="138" t="s">
        <v>51</v>
      </c>
      <c r="U5" s="138"/>
      <c r="V5" s="15"/>
      <c r="W5" s="138" t="s">
        <v>52</v>
      </c>
      <c r="X5" s="138"/>
      <c r="Y5" s="15"/>
      <c r="Z5" s="138" t="s">
        <v>53</v>
      </c>
      <c r="AA5" s="138"/>
      <c r="AB5" s="145"/>
      <c r="AC5" s="2"/>
    </row>
    <row r="6" spans="1:29" s="81" customFormat="1" ht="14.25">
      <c r="A6" s="143"/>
      <c r="B6" s="73" t="s">
        <v>0</v>
      </c>
      <c r="C6" s="73" t="s">
        <v>1</v>
      </c>
      <c r="D6" s="73"/>
      <c r="E6" s="73" t="s">
        <v>0</v>
      </c>
      <c r="F6" s="73" t="s">
        <v>1</v>
      </c>
      <c r="G6" s="73"/>
      <c r="H6" s="73" t="s">
        <v>0</v>
      </c>
      <c r="I6" s="73" t="s">
        <v>1</v>
      </c>
      <c r="J6" s="73"/>
      <c r="K6" s="73" t="s">
        <v>0</v>
      </c>
      <c r="L6" s="73" t="s">
        <v>1</v>
      </c>
      <c r="M6" s="73"/>
      <c r="N6" s="73" t="s">
        <v>0</v>
      </c>
      <c r="O6" s="73" t="s">
        <v>1</v>
      </c>
      <c r="P6" s="73"/>
      <c r="Q6" s="73" t="s">
        <v>0</v>
      </c>
      <c r="R6" s="73" t="s">
        <v>1</v>
      </c>
      <c r="S6" s="73"/>
      <c r="T6" s="73" t="s">
        <v>0</v>
      </c>
      <c r="U6" s="73" t="s">
        <v>1</v>
      </c>
      <c r="V6" s="73"/>
      <c r="W6" s="73" t="s">
        <v>0</v>
      </c>
      <c r="X6" s="73" t="s">
        <v>1</v>
      </c>
      <c r="Y6" s="73"/>
      <c r="Z6" s="73" t="s">
        <v>0</v>
      </c>
      <c r="AA6" s="73" t="s">
        <v>1</v>
      </c>
      <c r="AB6" s="145"/>
    </row>
    <row r="7" spans="1:29" s="16" customFormat="1" ht="14.25">
      <c r="A7" s="144"/>
      <c r="B7" s="75" t="s">
        <v>2</v>
      </c>
      <c r="C7" s="75" t="s">
        <v>3</v>
      </c>
      <c r="D7" s="75"/>
      <c r="E7" s="75" t="s">
        <v>2</v>
      </c>
      <c r="F7" s="75" t="s">
        <v>3</v>
      </c>
      <c r="G7" s="75"/>
      <c r="H7" s="75" t="s">
        <v>2</v>
      </c>
      <c r="I7" s="75" t="s">
        <v>3</v>
      </c>
      <c r="J7" s="75"/>
      <c r="K7" s="75" t="s">
        <v>2</v>
      </c>
      <c r="L7" s="75" t="s">
        <v>3</v>
      </c>
      <c r="M7" s="75"/>
      <c r="N7" s="75" t="s">
        <v>2</v>
      </c>
      <c r="O7" s="75" t="s">
        <v>3</v>
      </c>
      <c r="P7" s="75"/>
      <c r="Q7" s="75" t="s">
        <v>2</v>
      </c>
      <c r="R7" s="75" t="s">
        <v>3</v>
      </c>
      <c r="S7" s="75"/>
      <c r="T7" s="75" t="s">
        <v>2</v>
      </c>
      <c r="U7" s="75" t="s">
        <v>3</v>
      </c>
      <c r="V7" s="75"/>
      <c r="W7" s="75" t="s">
        <v>2</v>
      </c>
      <c r="X7" s="75" t="s">
        <v>3</v>
      </c>
      <c r="Y7" s="75"/>
      <c r="Z7" s="75" t="s">
        <v>2</v>
      </c>
      <c r="AA7" s="75" t="s">
        <v>3</v>
      </c>
      <c r="AB7" s="137"/>
    </row>
    <row r="8" spans="1:29" s="11" customFormat="1" ht="15.75">
      <c r="A8" s="4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80" t="s">
        <v>5</v>
      </c>
    </row>
    <row r="9" spans="1:29" s="11" customFormat="1" ht="15.75">
      <c r="A9" s="5" t="s">
        <v>12</v>
      </c>
      <c r="B9" s="92"/>
      <c r="C9" s="92"/>
      <c r="D9" s="92"/>
      <c r="E9" s="93"/>
      <c r="F9" s="93"/>
      <c r="G9" s="93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4"/>
      <c r="Z9" s="94"/>
      <c r="AA9" s="94"/>
      <c r="AB9" s="82" t="s">
        <v>13</v>
      </c>
    </row>
    <row r="10" spans="1:29" s="11" customFormat="1" ht="15.75">
      <c r="A10" s="5" t="s">
        <v>14</v>
      </c>
      <c r="B10" s="92"/>
      <c r="C10" s="92"/>
      <c r="D10" s="92"/>
      <c r="E10" s="93"/>
      <c r="F10" s="93"/>
      <c r="G10" s="93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4"/>
      <c r="Z10" s="94"/>
      <c r="AA10" s="94"/>
      <c r="AB10" s="82" t="s">
        <v>15</v>
      </c>
    </row>
    <row r="11" spans="1:29" s="11" customFormat="1" ht="15.75">
      <c r="A11" s="5" t="s">
        <v>16</v>
      </c>
      <c r="B11" s="92"/>
      <c r="C11" s="92"/>
      <c r="D11" s="92"/>
      <c r="E11" s="93"/>
      <c r="F11" s="93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4"/>
      <c r="Z11" s="94"/>
      <c r="AA11" s="94"/>
      <c r="AB11" s="82" t="s">
        <v>17</v>
      </c>
    </row>
    <row r="12" spans="1:29" s="11" customFormat="1" ht="15.75">
      <c r="A12" s="5" t="s">
        <v>18</v>
      </c>
      <c r="B12" s="92"/>
      <c r="C12" s="92"/>
      <c r="D12" s="92"/>
      <c r="E12" s="93"/>
      <c r="F12" s="93"/>
      <c r="G12" s="93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4"/>
      <c r="Z12" s="94"/>
      <c r="AA12" s="94"/>
      <c r="AB12" s="82" t="s">
        <v>19</v>
      </c>
    </row>
    <row r="13" spans="1:29" s="11" customFormat="1" ht="15.75">
      <c r="A13" s="5" t="s">
        <v>20</v>
      </c>
      <c r="B13" s="92"/>
      <c r="C13" s="92"/>
      <c r="D13" s="92"/>
      <c r="E13" s="93"/>
      <c r="F13" s="93"/>
      <c r="G13" s="93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4"/>
      <c r="Z13" s="94"/>
      <c r="AA13" s="94"/>
      <c r="AB13" s="82" t="s">
        <v>21</v>
      </c>
    </row>
    <row r="14" spans="1:29" s="11" customFormat="1" ht="15.75">
      <c r="A14" s="5" t="s">
        <v>22</v>
      </c>
      <c r="B14" s="92"/>
      <c r="C14" s="92"/>
      <c r="D14" s="92"/>
      <c r="E14" s="93"/>
      <c r="F14" s="93"/>
      <c r="G14" s="93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4"/>
      <c r="Z14" s="94"/>
      <c r="AA14" s="94"/>
      <c r="AB14" s="82" t="s">
        <v>23</v>
      </c>
    </row>
    <row r="15" spans="1:29" s="11" customFormat="1" ht="15.75">
      <c r="A15" s="5" t="s">
        <v>24</v>
      </c>
      <c r="B15" s="92"/>
      <c r="C15" s="92"/>
      <c r="D15" s="92"/>
      <c r="E15" s="93"/>
      <c r="F15" s="93"/>
      <c r="G15" s="93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4"/>
      <c r="Z15" s="94"/>
      <c r="AA15" s="94"/>
      <c r="AB15" s="82" t="s">
        <v>25</v>
      </c>
    </row>
    <row r="16" spans="1:29" s="11" customFormat="1" ht="15.75">
      <c r="A16" s="5" t="s">
        <v>26</v>
      </c>
      <c r="B16" s="92"/>
      <c r="C16" s="92"/>
      <c r="D16" s="92"/>
      <c r="E16" s="93"/>
      <c r="F16" s="93"/>
      <c r="G16" s="93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4"/>
      <c r="Z16" s="94"/>
      <c r="AA16" s="94"/>
      <c r="AB16" s="82" t="s">
        <v>27</v>
      </c>
    </row>
    <row r="17" spans="1:44" s="11" customFormat="1" ht="15.75">
      <c r="A17" s="5" t="s">
        <v>28</v>
      </c>
      <c r="B17" s="92"/>
      <c r="C17" s="92"/>
      <c r="D17" s="92"/>
      <c r="E17" s="93"/>
      <c r="F17" s="93"/>
      <c r="G17" s="93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4"/>
      <c r="Z17" s="94"/>
      <c r="AA17" s="94"/>
      <c r="AB17" s="82" t="s">
        <v>29</v>
      </c>
    </row>
    <row r="18" spans="1:44" s="11" customFormat="1" ht="15.75">
      <c r="A18" s="5" t="s">
        <v>30</v>
      </c>
      <c r="B18" s="92"/>
      <c r="C18" s="92"/>
      <c r="D18" s="92"/>
      <c r="E18" s="93"/>
      <c r="F18" s="93"/>
      <c r="G18" s="93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4"/>
      <c r="Z18" s="94"/>
      <c r="AA18" s="94"/>
      <c r="AB18" s="82" t="s">
        <v>31</v>
      </c>
    </row>
    <row r="19" spans="1:44" s="11" customFormat="1" ht="15.75">
      <c r="A19" s="5" t="s">
        <v>32</v>
      </c>
      <c r="B19" s="92"/>
      <c r="C19" s="92"/>
      <c r="D19" s="92"/>
      <c r="E19" s="93"/>
      <c r="F19" s="93"/>
      <c r="G19" s="93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4"/>
      <c r="Z19" s="94"/>
      <c r="AA19" s="94"/>
      <c r="AB19" s="82" t="s">
        <v>33</v>
      </c>
    </row>
    <row r="20" spans="1:44" s="11" customFormat="1" ht="15.75">
      <c r="A20" s="74" t="s">
        <v>34</v>
      </c>
      <c r="B20" s="95"/>
      <c r="C20" s="95"/>
      <c r="D20" s="95"/>
      <c r="E20" s="96"/>
      <c r="F20" s="96"/>
      <c r="G20" s="96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7"/>
      <c r="Z20" s="97"/>
      <c r="AA20" s="97"/>
      <c r="AB20" s="83" t="s">
        <v>35</v>
      </c>
    </row>
    <row r="21" spans="1:44" ht="18.75">
      <c r="A21" s="6" t="s">
        <v>7</v>
      </c>
      <c r="AB21" s="9" t="s">
        <v>8</v>
      </c>
      <c r="AO21" s="11"/>
      <c r="AP21" s="72" t="s">
        <v>2</v>
      </c>
      <c r="AQ21" s="72" t="s">
        <v>3</v>
      </c>
    </row>
    <row r="22" spans="1:44" ht="15" customHeight="1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5"/>
      <c r="Q24" s="14"/>
      <c r="T24" s="14"/>
      <c r="W24" s="1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54</v>
      </c>
      <c r="AP28" s="1">
        <f>T8</f>
        <v>0</v>
      </c>
      <c r="AQ28" s="1">
        <f>U8</f>
        <v>0</v>
      </c>
    </row>
    <row r="29" spans="1:44" ht="17.25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9" customFormat="1" ht="21.75" customHeight="1">
      <c r="A44" s="146" t="s">
        <v>9</v>
      </c>
      <c r="B44" s="100"/>
      <c r="D44" s="101"/>
      <c r="F44" s="101"/>
      <c r="G44" s="149" t="s">
        <v>36</v>
      </c>
      <c r="H44" s="150"/>
      <c r="I44" s="150"/>
      <c r="J44" s="150"/>
      <c r="K44" s="151"/>
      <c r="L44" s="88"/>
      <c r="M44" s="102"/>
      <c r="N44" s="88"/>
      <c r="O44" s="102"/>
      <c r="P44" s="152" t="s">
        <v>37</v>
      </c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01"/>
      <c r="AC44" s="154" t="s">
        <v>38</v>
      </c>
      <c r="AD44" s="155"/>
      <c r="AE44" s="155"/>
      <c r="AF44" s="155"/>
      <c r="AG44" s="155"/>
      <c r="AH44" s="155"/>
      <c r="AI44" s="155"/>
      <c r="AJ44" s="155"/>
      <c r="AK44" s="87"/>
      <c r="AL44" s="154" t="s">
        <v>39</v>
      </c>
      <c r="AM44" s="155"/>
      <c r="AN44" s="155"/>
      <c r="AO44" s="155"/>
      <c r="AP44" s="155"/>
      <c r="AQ44" s="155"/>
      <c r="AR44" s="155"/>
      <c r="AS44" s="87"/>
      <c r="AT44" s="154" t="s">
        <v>40</v>
      </c>
      <c r="AU44" s="155"/>
      <c r="AV44" s="155"/>
      <c r="AW44" s="155"/>
      <c r="AX44" s="155"/>
      <c r="AY44" s="98"/>
      <c r="AZ44" s="87"/>
      <c r="BA44" s="154" t="s">
        <v>41</v>
      </c>
      <c r="BB44" s="155"/>
      <c r="BC44" s="155"/>
      <c r="BD44" s="155"/>
      <c r="BE44" s="172"/>
      <c r="BF44" s="86"/>
      <c r="BG44" s="173" t="s">
        <v>42</v>
      </c>
      <c r="BH44" s="174"/>
      <c r="BI44" s="174"/>
      <c r="BJ44" s="174"/>
      <c r="BK44" s="175"/>
      <c r="BL44" s="154" t="s">
        <v>43</v>
      </c>
      <c r="BM44" s="155"/>
      <c r="BN44" s="155"/>
      <c r="BO44" s="155"/>
      <c r="BP44" s="172"/>
      <c r="BQ44" s="154" t="s">
        <v>44</v>
      </c>
      <c r="BR44" s="155"/>
      <c r="BS44" s="155"/>
      <c r="BT44" s="156" t="s">
        <v>11</v>
      </c>
    </row>
    <row r="45" spans="1:80" s="90" customFormat="1" ht="16.5" customHeight="1">
      <c r="A45" s="147"/>
      <c r="B45" s="103"/>
      <c r="D45" s="104"/>
      <c r="F45" s="104"/>
      <c r="G45" s="159" t="s">
        <v>45</v>
      </c>
      <c r="H45" s="160"/>
      <c r="I45" s="160"/>
      <c r="J45" s="160"/>
      <c r="K45" s="161"/>
      <c r="M45" s="104"/>
      <c r="O45" s="104"/>
      <c r="P45" s="162" t="s">
        <v>46</v>
      </c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04"/>
      <c r="AC45" s="164" t="s">
        <v>61</v>
      </c>
      <c r="AD45" s="165"/>
      <c r="AE45" s="165"/>
      <c r="AF45" s="165"/>
      <c r="AG45" s="165"/>
      <c r="AH45" s="165"/>
      <c r="AI45" s="165"/>
      <c r="AJ45" s="165"/>
      <c r="AK45" s="91"/>
      <c r="AL45" s="164" t="s">
        <v>62</v>
      </c>
      <c r="AM45" s="165"/>
      <c r="AN45" s="165"/>
      <c r="AO45" s="165"/>
      <c r="AP45" s="165"/>
      <c r="AQ45" s="165"/>
      <c r="AR45" s="165"/>
      <c r="AS45" s="91"/>
      <c r="AT45" s="164" t="s">
        <v>63</v>
      </c>
      <c r="AU45" s="165"/>
      <c r="AV45" s="165"/>
      <c r="AW45" s="165"/>
      <c r="AX45" s="165"/>
      <c r="AY45" s="99"/>
      <c r="AZ45" s="91"/>
      <c r="BA45" s="166" t="s">
        <v>64</v>
      </c>
      <c r="BB45" s="167"/>
      <c r="BC45" s="167"/>
      <c r="BD45" s="167"/>
      <c r="BE45" s="168"/>
      <c r="BG45" s="169" t="s">
        <v>65</v>
      </c>
      <c r="BH45" s="170"/>
      <c r="BI45" s="170"/>
      <c r="BJ45" s="170"/>
      <c r="BK45" s="171"/>
      <c r="BL45" s="166" t="s">
        <v>66</v>
      </c>
      <c r="BM45" s="167"/>
      <c r="BN45" s="167"/>
      <c r="BO45" s="167"/>
      <c r="BP45" s="168"/>
      <c r="BQ45" s="166" t="s">
        <v>67</v>
      </c>
      <c r="BR45" s="167"/>
      <c r="BS45" s="167"/>
      <c r="BT45" s="157"/>
    </row>
    <row r="46" spans="1:80" ht="23.25" customHeight="1">
      <c r="A46" s="148"/>
      <c r="B46" s="105"/>
      <c r="C46" s="106">
        <v>2011</v>
      </c>
      <c r="D46" s="106">
        <v>2012</v>
      </c>
      <c r="E46" s="107">
        <v>2013</v>
      </c>
      <c r="F46" s="108">
        <v>2014</v>
      </c>
      <c r="G46" s="109">
        <v>2015</v>
      </c>
      <c r="H46" s="110">
        <v>2016</v>
      </c>
      <c r="I46" s="111">
        <v>2017</v>
      </c>
      <c r="J46" s="111">
        <v>2018</v>
      </c>
      <c r="K46" s="111">
        <v>2019</v>
      </c>
      <c r="L46" s="112">
        <v>2011</v>
      </c>
      <c r="M46" s="112">
        <v>2012</v>
      </c>
      <c r="N46" s="112">
        <v>2013</v>
      </c>
      <c r="O46" s="111">
        <v>2014</v>
      </c>
      <c r="P46" s="109">
        <v>2015</v>
      </c>
      <c r="Q46" s="111">
        <v>2016</v>
      </c>
      <c r="R46" s="112">
        <v>2011</v>
      </c>
      <c r="S46" s="112">
        <v>2012</v>
      </c>
      <c r="T46" s="111">
        <v>2013</v>
      </c>
      <c r="U46" s="111">
        <v>2014</v>
      </c>
      <c r="V46" s="112">
        <v>2011</v>
      </c>
      <c r="W46" s="112">
        <v>2012</v>
      </c>
      <c r="X46" s="111">
        <v>2013</v>
      </c>
      <c r="Y46" s="111">
        <v>2017</v>
      </c>
      <c r="Z46" s="111">
        <v>2018</v>
      </c>
      <c r="AA46" s="113">
        <v>2019</v>
      </c>
      <c r="AB46" s="111">
        <v>2014</v>
      </c>
      <c r="AC46" s="26">
        <v>2015</v>
      </c>
      <c r="AD46" s="26">
        <v>2016</v>
      </c>
      <c r="AE46" s="76">
        <v>2011</v>
      </c>
      <c r="AF46" s="76">
        <v>2012</v>
      </c>
      <c r="AG46" s="76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76">
        <v>2012</v>
      </c>
      <c r="AQ46" s="76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76">
        <v>2013</v>
      </c>
      <c r="AW46" s="26">
        <v>2017</v>
      </c>
      <c r="AX46" s="26">
        <v>2018</v>
      </c>
      <c r="AY46" s="26">
        <v>2019</v>
      </c>
      <c r="AZ46" s="76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76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58"/>
      <c r="BU46" s="2"/>
    </row>
    <row r="47" spans="1:80" ht="23.25" customHeight="1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84" t="s">
        <v>5</v>
      </c>
    </row>
    <row r="48" spans="1:80" ht="23.25" customHeight="1">
      <c r="A48" s="37" t="s">
        <v>12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55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55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55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56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56</v>
      </c>
      <c r="BR48" s="42">
        <v>171</v>
      </c>
      <c r="BS48" s="42">
        <v>176</v>
      </c>
      <c r="BT48" s="82" t="s">
        <v>13</v>
      </c>
      <c r="BY48" s="24"/>
      <c r="BZ48" s="24"/>
      <c r="CA48" s="24"/>
      <c r="CB48" s="24"/>
    </row>
    <row r="49" spans="1:80" ht="23.25" customHeight="1">
      <c r="A49" s="37" t="s">
        <v>14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55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55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55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56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56</v>
      </c>
      <c r="BR49" s="42">
        <v>168</v>
      </c>
      <c r="BS49" s="42">
        <v>181</v>
      </c>
      <c r="BT49" s="82" t="s">
        <v>15</v>
      </c>
    </row>
    <row r="50" spans="1:80" ht="23.25" customHeight="1">
      <c r="A50" s="37" t="s">
        <v>16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55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55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55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56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56</v>
      </c>
      <c r="BR50" s="42">
        <v>150</v>
      </c>
      <c r="BS50" s="42">
        <v>202</v>
      </c>
      <c r="BT50" s="82" t="s">
        <v>17</v>
      </c>
    </row>
    <row r="51" spans="1:80" ht="23.25" customHeight="1">
      <c r="A51" s="37" t="s">
        <v>18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55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55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55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56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56</v>
      </c>
      <c r="BR51" s="42">
        <v>161</v>
      </c>
      <c r="BS51" s="42">
        <v>181</v>
      </c>
      <c r="BT51" s="82" t="s">
        <v>19</v>
      </c>
      <c r="BY51" s="24"/>
      <c r="BZ51" s="24"/>
      <c r="CA51" s="24"/>
      <c r="CB51" s="24"/>
    </row>
    <row r="52" spans="1:80" ht="23.25" customHeight="1">
      <c r="A52" s="37" t="s">
        <v>20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55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55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55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56</v>
      </c>
      <c r="BR52" s="42">
        <v>148</v>
      </c>
      <c r="BS52" s="42">
        <v>184</v>
      </c>
      <c r="BT52" s="82" t="s">
        <v>21</v>
      </c>
    </row>
    <row r="53" spans="1:80" ht="23.25" customHeight="1">
      <c r="A53" s="37" t="s">
        <v>22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55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55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55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56</v>
      </c>
      <c r="BR53" s="42">
        <v>123</v>
      </c>
      <c r="BS53" s="42">
        <v>166</v>
      </c>
      <c r="BT53" s="82" t="s">
        <v>23</v>
      </c>
    </row>
    <row r="54" spans="1:80" ht="23.25" customHeight="1">
      <c r="A54" s="37" t="s">
        <v>24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55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55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55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56</v>
      </c>
      <c r="BR54" s="42">
        <v>157</v>
      </c>
      <c r="BS54" s="42">
        <v>176</v>
      </c>
      <c r="BT54" s="82" t="s">
        <v>25</v>
      </c>
      <c r="BY54" s="24"/>
      <c r="BZ54" s="24"/>
      <c r="CA54" s="24"/>
      <c r="CB54" s="24"/>
    </row>
    <row r="55" spans="1:80" ht="23.25" customHeight="1">
      <c r="A55" s="37" t="s">
        <v>26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55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55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55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56</v>
      </c>
      <c r="BR55" s="42">
        <v>172</v>
      </c>
      <c r="BS55" s="42">
        <v>189</v>
      </c>
      <c r="BT55" s="82" t="s">
        <v>27</v>
      </c>
    </row>
    <row r="56" spans="1:80" ht="23.25" customHeight="1">
      <c r="A56" s="37" t="s">
        <v>28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55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55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55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56</v>
      </c>
      <c r="BR56" s="42">
        <v>165</v>
      </c>
      <c r="BS56" s="42">
        <v>161</v>
      </c>
      <c r="BT56" s="82" t="s">
        <v>29</v>
      </c>
    </row>
    <row r="57" spans="1:80" ht="23.25" customHeight="1">
      <c r="A57" s="37" t="s">
        <v>30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2" t="s">
        <v>31</v>
      </c>
      <c r="BY57" s="24"/>
      <c r="BZ57" s="24"/>
      <c r="CA57" s="24"/>
      <c r="CB57" s="24"/>
    </row>
    <row r="58" spans="1:80" ht="23.25" customHeight="1">
      <c r="A58" s="37" t="s">
        <v>32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2" t="s">
        <v>33</v>
      </c>
    </row>
    <row r="59" spans="1:80" ht="23.25" customHeight="1">
      <c r="A59" s="46" t="s">
        <v>34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3" t="s">
        <v>35</v>
      </c>
    </row>
    <row r="60" spans="1:80" ht="18.7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8</v>
      </c>
      <c r="BX60" s="19"/>
      <c r="BY60" s="24"/>
      <c r="BZ60" s="24"/>
      <c r="CA60" s="24"/>
      <c r="CB60" s="2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L22"/>
  <sheetViews>
    <sheetView tabSelected="1" topLeftCell="B1" zoomScale="142" zoomScaleNormal="142" workbookViewId="0">
      <selection activeCell="J19" sqref="J19"/>
    </sheetView>
  </sheetViews>
  <sheetFormatPr defaultColWidth="9.140625" defaultRowHeight="15"/>
  <cols>
    <col min="1" max="1" width="12.140625" style="10" customWidth="1"/>
    <col min="2" max="10" width="14.5703125" style="10" customWidth="1"/>
    <col min="11" max="11" width="9.140625" style="10"/>
    <col min="12" max="12" width="8.85546875" style="10" customWidth="1"/>
    <col min="13" max="16384" width="9.140625" style="10"/>
  </cols>
  <sheetData>
    <row r="1" spans="1:12">
      <c r="K1" s="3"/>
    </row>
    <row r="2" spans="1:12" ht="23.25" customHeight="1">
      <c r="A2" s="176" t="s">
        <v>70</v>
      </c>
      <c r="B2" s="176"/>
      <c r="C2" s="176"/>
      <c r="D2" s="176"/>
      <c r="E2" s="176"/>
      <c r="F2" s="176"/>
      <c r="G2" s="176"/>
      <c r="H2" s="56"/>
      <c r="I2" s="56"/>
      <c r="J2" s="56"/>
      <c r="K2" s="3"/>
      <c r="L2" s="3"/>
    </row>
    <row r="3" spans="1:12" ht="15" customHeight="1">
      <c r="A3" s="134" t="s">
        <v>71</v>
      </c>
      <c r="B3" s="134"/>
      <c r="C3" s="134"/>
      <c r="D3" s="134"/>
      <c r="E3" s="134"/>
      <c r="F3" s="134"/>
      <c r="G3" s="134"/>
      <c r="H3" s="57"/>
      <c r="I3" s="57"/>
      <c r="J3" s="57"/>
      <c r="K3" s="3"/>
      <c r="L3" s="3"/>
    </row>
    <row r="4" spans="1:12">
      <c r="A4" s="135" t="s">
        <v>60</v>
      </c>
      <c r="B4" s="135"/>
      <c r="C4" s="135"/>
      <c r="D4" s="135"/>
      <c r="E4" s="135"/>
      <c r="F4" s="135"/>
      <c r="G4" s="135"/>
      <c r="H4" s="177"/>
      <c r="I4" s="177"/>
      <c r="J4" s="177"/>
      <c r="K4" s="3"/>
      <c r="L4" s="3"/>
    </row>
    <row r="5" spans="1:12" ht="15" customHeight="1">
      <c r="A5" s="115"/>
      <c r="B5" s="115"/>
      <c r="C5" s="178" t="s">
        <v>6</v>
      </c>
      <c r="D5" s="178"/>
      <c r="E5" s="179" t="s">
        <v>10</v>
      </c>
      <c r="F5" s="180"/>
      <c r="G5" s="181" t="s">
        <v>11</v>
      </c>
      <c r="H5" s="58"/>
      <c r="I5" s="58"/>
      <c r="K5" s="3"/>
      <c r="L5" s="3"/>
    </row>
    <row r="6" spans="1:12" ht="15" customHeight="1">
      <c r="A6" s="4" t="s">
        <v>9</v>
      </c>
      <c r="B6" s="114" t="s">
        <v>59</v>
      </c>
      <c r="C6" s="119" t="s">
        <v>57</v>
      </c>
      <c r="D6" s="119" t="s">
        <v>58</v>
      </c>
      <c r="E6" s="59" t="s">
        <v>57</v>
      </c>
      <c r="F6" s="119" t="s">
        <v>58</v>
      </c>
      <c r="G6" s="182"/>
      <c r="H6" s="12"/>
      <c r="K6" s="3"/>
      <c r="L6" s="3"/>
    </row>
    <row r="7" spans="1:12" ht="17.25">
      <c r="A7" s="117" t="s">
        <v>4</v>
      </c>
      <c r="B7" s="60">
        <f t="shared" ref="B7:B19" si="0">SUM(C7:H7)</f>
        <v>261947.6</v>
      </c>
      <c r="C7" s="61">
        <f>SUM(C8:C19)</f>
        <v>147343.6</v>
      </c>
      <c r="D7" s="62">
        <f>SUM(D8:D19)</f>
        <v>24606.799999999999</v>
      </c>
      <c r="E7" s="63">
        <f>SUM(E8:E19)</f>
        <v>3146.7000000000003</v>
      </c>
      <c r="F7" s="62">
        <f>SUM(F8:F19)</f>
        <v>86850.5</v>
      </c>
      <c r="G7" s="77" t="s">
        <v>5</v>
      </c>
      <c r="H7" s="64"/>
      <c r="K7" s="3"/>
      <c r="L7" s="3"/>
    </row>
    <row r="8" spans="1:12" ht="17.25">
      <c r="A8" s="13" t="s">
        <v>12</v>
      </c>
      <c r="B8" s="65">
        <f t="shared" si="0"/>
        <v>26861.600000000006</v>
      </c>
      <c r="C8" s="120">
        <v>25907.700000000004</v>
      </c>
      <c r="D8" s="121">
        <v>448.40000000000009</v>
      </c>
      <c r="E8" s="122">
        <v>96.600000000000009</v>
      </c>
      <c r="F8" s="123">
        <v>408.90000000000003</v>
      </c>
      <c r="G8" s="78" t="s">
        <v>13</v>
      </c>
      <c r="H8" s="66"/>
      <c r="K8" s="3"/>
      <c r="L8" s="3"/>
    </row>
    <row r="9" spans="1:12" ht="17.25">
      <c r="A9" s="13" t="s">
        <v>14</v>
      </c>
      <c r="B9" s="65">
        <f t="shared" si="0"/>
        <v>19385.600000000002</v>
      </c>
      <c r="C9" s="120">
        <v>17877.100000000002</v>
      </c>
      <c r="D9" s="121">
        <v>822.5</v>
      </c>
      <c r="E9" s="122">
        <v>60</v>
      </c>
      <c r="F9" s="123">
        <v>626</v>
      </c>
      <c r="G9" s="78" t="s">
        <v>15</v>
      </c>
      <c r="H9" s="66"/>
      <c r="K9" s="3"/>
      <c r="L9" s="3"/>
    </row>
    <row r="10" spans="1:12" ht="17.25">
      <c r="A10" s="13" t="s">
        <v>16</v>
      </c>
      <c r="B10" s="65">
        <f t="shared" si="0"/>
        <v>26047.600000000006</v>
      </c>
      <c r="C10" s="120">
        <v>24269.000000000004</v>
      </c>
      <c r="D10" s="121">
        <v>541.4</v>
      </c>
      <c r="E10" s="122">
        <v>72</v>
      </c>
      <c r="F10" s="123">
        <v>1165.2</v>
      </c>
      <c r="G10" s="78" t="s">
        <v>17</v>
      </c>
      <c r="H10" s="66"/>
      <c r="K10" s="3"/>
      <c r="L10" s="3"/>
    </row>
    <row r="11" spans="1:12" ht="17.25">
      <c r="A11" s="13" t="s">
        <v>18</v>
      </c>
      <c r="B11" s="65">
        <f t="shared" si="0"/>
        <v>38180.600000000006</v>
      </c>
      <c r="C11" s="120">
        <v>14361.800000000003</v>
      </c>
      <c r="D11" s="121">
        <v>458.09999999999997</v>
      </c>
      <c r="E11" s="122">
        <v>343.5</v>
      </c>
      <c r="F11" s="123">
        <v>23017.200000000001</v>
      </c>
      <c r="G11" s="78" t="s">
        <v>19</v>
      </c>
      <c r="H11" s="66"/>
      <c r="K11" s="54"/>
      <c r="L11" s="3"/>
    </row>
    <row r="12" spans="1:12" ht="17.25">
      <c r="A12" s="13" t="s">
        <v>20</v>
      </c>
      <c r="B12" s="65">
        <f t="shared" si="0"/>
        <v>47372.7</v>
      </c>
      <c r="C12" s="120">
        <v>12275.500000000002</v>
      </c>
      <c r="D12" s="121">
        <v>701.4</v>
      </c>
      <c r="E12" s="122">
        <v>482.6</v>
      </c>
      <c r="F12" s="123">
        <v>33913.199999999997</v>
      </c>
      <c r="G12" s="78" t="s">
        <v>21</v>
      </c>
      <c r="H12" s="66"/>
      <c r="K12" s="54"/>
      <c r="L12" s="54"/>
    </row>
    <row r="13" spans="1:12" ht="17.25">
      <c r="A13" s="13" t="s">
        <v>22</v>
      </c>
      <c r="B13" s="65">
        <f t="shared" si="0"/>
        <v>23928.7</v>
      </c>
      <c r="C13" s="120">
        <v>7599.1000000000013</v>
      </c>
      <c r="D13" s="121">
        <v>2242.6</v>
      </c>
      <c r="E13" s="122">
        <v>424.9</v>
      </c>
      <c r="F13" s="123">
        <v>13662.1</v>
      </c>
      <c r="G13" s="78" t="s">
        <v>23</v>
      </c>
      <c r="H13" s="66"/>
      <c r="K13" s="54"/>
      <c r="L13" s="54"/>
    </row>
    <row r="14" spans="1:12" ht="17.25">
      <c r="A14" s="13" t="s">
        <v>24</v>
      </c>
      <c r="B14" s="65">
        <f t="shared" si="0"/>
        <v>29237.500000000004</v>
      </c>
      <c r="C14" s="120">
        <v>8216.9</v>
      </c>
      <c r="D14" s="121">
        <v>15121.5</v>
      </c>
      <c r="E14" s="122">
        <v>620.4</v>
      </c>
      <c r="F14" s="123">
        <v>5278.7</v>
      </c>
      <c r="G14" s="78" t="s">
        <v>25</v>
      </c>
      <c r="H14" s="66"/>
      <c r="K14" s="54"/>
      <c r="L14" s="54"/>
    </row>
    <row r="15" spans="1:12" ht="17.25">
      <c r="A15" s="13" t="s">
        <v>26</v>
      </c>
      <c r="B15" s="65">
        <f t="shared" si="0"/>
        <v>10439.5</v>
      </c>
      <c r="C15" s="120">
        <v>6943.4</v>
      </c>
      <c r="D15" s="121">
        <v>862.5</v>
      </c>
      <c r="E15" s="122">
        <v>248.7</v>
      </c>
      <c r="F15" s="123">
        <v>2384.9</v>
      </c>
      <c r="G15" s="78" t="s">
        <v>27</v>
      </c>
      <c r="H15" s="66"/>
      <c r="K15" s="54"/>
      <c r="L15" s="54"/>
    </row>
    <row r="16" spans="1:12" ht="17.25">
      <c r="A16" s="13" t="s">
        <v>28</v>
      </c>
      <c r="B16" s="65">
        <f t="shared" si="0"/>
        <v>10036.6</v>
      </c>
      <c r="C16" s="120">
        <v>6604.6</v>
      </c>
      <c r="D16" s="121">
        <v>1765.1</v>
      </c>
      <c r="E16" s="122">
        <v>228.3</v>
      </c>
      <c r="F16" s="123">
        <v>1438.6</v>
      </c>
      <c r="G16" s="78" t="s">
        <v>29</v>
      </c>
      <c r="H16" s="66"/>
      <c r="K16" s="54"/>
      <c r="L16" s="54"/>
    </row>
    <row r="17" spans="1:12" ht="17.25">
      <c r="A17" s="13" t="s">
        <v>30</v>
      </c>
      <c r="B17" s="67">
        <f t="shared" si="0"/>
        <v>9930.9000000000015</v>
      </c>
      <c r="C17" s="124">
        <v>6984.3</v>
      </c>
      <c r="D17" s="125">
        <v>709.3</v>
      </c>
      <c r="E17" s="126">
        <v>254.8</v>
      </c>
      <c r="F17" s="127">
        <v>1982.5</v>
      </c>
      <c r="G17" s="78" t="s">
        <v>31</v>
      </c>
      <c r="H17" s="66"/>
      <c r="K17" s="54"/>
      <c r="L17" s="54"/>
    </row>
    <row r="18" spans="1:12" ht="17.25">
      <c r="A18" s="13" t="s">
        <v>32</v>
      </c>
      <c r="B18" s="64">
        <f t="shared" si="0"/>
        <v>9631.6999999999989</v>
      </c>
      <c r="C18" s="128">
        <v>7967.9999999999991</v>
      </c>
      <c r="D18" s="128">
        <v>385.5</v>
      </c>
      <c r="E18" s="129">
        <v>138.9</v>
      </c>
      <c r="F18" s="66">
        <v>1139.3</v>
      </c>
      <c r="G18" s="78" t="s">
        <v>33</v>
      </c>
      <c r="H18" s="66"/>
      <c r="K18" s="54"/>
      <c r="L18" s="54"/>
    </row>
    <row r="19" spans="1:12" ht="17.25">
      <c r="A19" s="118" t="s">
        <v>34</v>
      </c>
      <c r="B19" s="79">
        <f t="shared" si="0"/>
        <v>10894.599999999999</v>
      </c>
      <c r="C19" s="130">
        <v>8336.1999999999989</v>
      </c>
      <c r="D19" s="131">
        <v>548.5</v>
      </c>
      <c r="E19" s="132">
        <v>176</v>
      </c>
      <c r="F19" s="133">
        <v>1833.9</v>
      </c>
      <c r="G19" s="116" t="s">
        <v>35</v>
      </c>
      <c r="H19" s="68"/>
      <c r="K19" s="54"/>
      <c r="L19" s="54"/>
    </row>
    <row r="20" spans="1:12" ht="18.75">
      <c r="A20" s="6" t="s">
        <v>7</v>
      </c>
      <c r="B20" s="6"/>
      <c r="C20" s="7"/>
      <c r="D20" s="7"/>
      <c r="E20" s="7"/>
      <c r="F20" s="7"/>
      <c r="G20" s="69" t="s">
        <v>8</v>
      </c>
      <c r="H20" s="7"/>
      <c r="I20" s="14"/>
      <c r="K20" s="54"/>
      <c r="L20" s="54"/>
    </row>
    <row r="21" spans="1:12">
      <c r="A21" s="70"/>
      <c r="B21" s="71"/>
      <c r="C21" s="71"/>
      <c r="D21" s="71"/>
      <c r="E21" s="71"/>
      <c r="F21" s="71"/>
      <c r="G21" s="71"/>
      <c r="H21" s="71"/>
      <c r="I21" s="71"/>
    </row>
    <row r="22" spans="1:12" ht="17.25">
      <c r="A22" s="71"/>
      <c r="B22" s="71"/>
      <c r="C22" s="71"/>
      <c r="D22" s="71"/>
      <c r="E22" s="71"/>
      <c r="F22" s="71"/>
      <c r="G22" s="71"/>
      <c r="H22" s="71"/>
      <c r="I22" s="71"/>
      <c r="J22" s="55"/>
    </row>
  </sheetData>
  <mergeCells count="6">
    <mergeCell ref="A2:G2"/>
    <mergeCell ref="A3:G3"/>
    <mergeCell ref="A4:J4"/>
    <mergeCell ref="C5:D5"/>
    <mergeCell ref="E5:F5"/>
    <mergeCell ref="G5:G6"/>
  </mergeCells>
  <pageMargins left="0.7" right="0.7" top="0.75" bottom="0.75" header="0.3" footer="0.3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 11.24</vt:lpstr>
      <vt:lpstr>' 11.24'!Print_Area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2026-07-08T05:57:09Z</cp:lastPrinted>
  <dcterms:created xsi:type="dcterms:W3CDTF">2019-03-24T03:32:16Z</dcterms:created>
  <dcterms:modified xsi:type="dcterms:W3CDTF">2026-07-08T05:57:59Z</dcterms:modified>
</cp:coreProperties>
</file>