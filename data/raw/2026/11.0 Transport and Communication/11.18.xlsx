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Transport and Communication\"/>
    </mc:Choice>
  </mc:AlternateContent>
  <xr:revisionPtr revIDLastSave="0" documentId="13_ncr:1_{866489A6-216D-4A34-BC29-EF4E251C78E2}" xr6:coauthVersionLast="47" xr6:coauthVersionMax="47" xr10:uidLastSave="{00000000-0000-0000-0000-000000000000}"/>
  <bookViews>
    <workbookView xWindow="-120" yWindow="-120" windowWidth="29040" windowHeight="15720" tabRatio="896" firstSheet="1" activeTab="1" xr2:uid="{00000000-000D-0000-FFFF-FFFF00000000}"/>
  </bookViews>
  <sheets>
    <sheet name="11.15" sheetId="4" state="hidden" r:id="rId1"/>
    <sheet name="11.18" sheetId="6" r:id="rId2"/>
  </sheets>
  <definedNames>
    <definedName name="_xlnm.Print_Area" localSheetId="1">'11.18'!$A$1:$J$61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7" i="6" l="1"/>
  <c r="C17" i="6"/>
  <c r="G16" i="6"/>
  <c r="C16" i="6"/>
  <c r="G15" i="6"/>
  <c r="C15" i="6"/>
  <c r="G14" i="6"/>
  <c r="C14" i="6"/>
  <c r="G13" i="6"/>
  <c r="C13" i="6"/>
  <c r="G12" i="6"/>
  <c r="C12" i="6"/>
  <c r="G11" i="6"/>
  <c r="C11" i="6"/>
  <c r="G10" i="6"/>
  <c r="C10" i="6"/>
  <c r="G9" i="6"/>
  <c r="C9" i="6"/>
  <c r="G8" i="6"/>
  <c r="C8" i="6"/>
  <c r="G7" i="6"/>
  <c r="C7" i="6"/>
  <c r="G6" i="6"/>
  <c r="C6" i="6"/>
  <c r="I5" i="6"/>
  <c r="H5" i="6"/>
  <c r="F5" i="6"/>
  <c r="E5" i="6"/>
  <c r="D5" i="6"/>
  <c r="B17" i="6" l="1"/>
  <c r="B15" i="6"/>
  <c r="B14" i="6"/>
  <c r="B13" i="6"/>
  <c r="B6" i="6"/>
  <c r="B16" i="6"/>
  <c r="B7" i="6"/>
  <c r="G5" i="6"/>
  <c r="B12" i="6"/>
  <c r="B10" i="6"/>
  <c r="B8" i="6"/>
  <c r="B11" i="6"/>
  <c r="B9" i="6"/>
  <c r="C5" i="6"/>
  <c r="B5" i="6" l="1"/>
  <c r="BS47" i="4" l="1"/>
  <c r="BR47" i="4"/>
  <c r="BQ47" i="4"/>
  <c r="BP47" i="4"/>
  <c r="BO47" i="4"/>
  <c r="BN47" i="4"/>
  <c r="BM47" i="4"/>
  <c r="BL47" i="4"/>
  <c r="BK47" i="4"/>
  <c r="BJ47" i="4"/>
  <c r="BI47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AO22" i="4" l="1"/>
  <c r="AO23" i="4"/>
  <c r="AO24" i="4"/>
  <c r="AO25" i="4"/>
  <c r="AO26" i="4"/>
  <c r="AO27" i="4"/>
  <c r="AO29" i="4"/>
  <c r="AO30" i="4"/>
  <c r="AA8" i="4" l="1"/>
  <c r="AQ30" i="4" s="1"/>
  <c r="Z8" i="4"/>
  <c r="AP30" i="4" s="1"/>
  <c r="X8" i="4"/>
  <c r="AQ29" i="4" s="1"/>
  <c r="W8" i="4"/>
  <c r="AP29" i="4" s="1"/>
  <c r="U8" i="4"/>
  <c r="AQ28" i="4" s="1"/>
  <c r="T8" i="4"/>
  <c r="AP28" i="4" s="1"/>
  <c r="R8" i="4"/>
  <c r="AQ27" i="4" s="1"/>
  <c r="Q8" i="4"/>
  <c r="AP27" i="4" s="1"/>
  <c r="O8" i="4"/>
  <c r="AQ26" i="4" s="1"/>
  <c r="N8" i="4"/>
  <c r="AP26" i="4" s="1"/>
  <c r="L8" i="4"/>
  <c r="AQ25" i="4" s="1"/>
  <c r="K8" i="4"/>
  <c r="AP25" i="4" s="1"/>
  <c r="I8" i="4"/>
  <c r="AQ24" i="4" s="1"/>
  <c r="H8" i="4"/>
  <c r="AP24" i="4" s="1"/>
  <c r="F8" i="4"/>
  <c r="AQ23" i="4" s="1"/>
  <c r="E8" i="4"/>
  <c r="AP23" i="4" s="1"/>
  <c r="C8" i="4"/>
  <c r="AQ22" i="4" s="1"/>
  <c r="B8" i="4"/>
  <c r="AP22" i="4" l="1"/>
  <c r="AP32" i="4" s="1"/>
  <c r="AQ32" i="4"/>
  <c r="AR32" i="4" l="1"/>
</calcChain>
</file>

<file path=xl/sharedStrings.xml><?xml version="1.0" encoding="utf-8"?>
<sst xmlns="http://schemas.openxmlformats.org/spreadsheetml/2006/main" count="219" uniqueCount="72">
  <si>
    <t>iawa</t>
  </si>
  <si>
    <t>iruf</t>
  </si>
  <si>
    <t>In</t>
  </si>
  <si>
    <t>Out</t>
  </si>
  <si>
    <t>Total</t>
  </si>
  <si>
    <t>wlcmuj</t>
  </si>
  <si>
    <t>International Flights</t>
  </si>
  <si>
    <t>Source: Civil Aviation Authority</t>
  </si>
  <si>
    <t>މައުލޫމާތު ދެއްވީ: ސިވިލް އޭވިއޭޝަން އޮތޯރިޓީ</t>
  </si>
  <si>
    <t>Month</t>
  </si>
  <si>
    <t>Domestic Flights</t>
  </si>
  <si>
    <t>cswm</t>
  </si>
  <si>
    <t>January</t>
  </si>
  <si>
    <t>Irwaunej</t>
  </si>
  <si>
    <t>February</t>
  </si>
  <si>
    <t>Irwaurcbef</t>
  </si>
  <si>
    <t>March</t>
  </si>
  <si>
    <t>cCrWm</t>
  </si>
  <si>
    <t>April</t>
  </si>
  <si>
    <t>clircpEa</t>
  </si>
  <si>
    <t>May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</si>
  <si>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</si>
  <si>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</si>
  <si>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</si>
  <si>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</si>
  <si>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</si>
  <si>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</si>
  <si>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</si>
  <si>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</si>
  <si>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</si>
  <si>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</si>
  <si>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</si>
  <si>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</si>
  <si>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</si>
  <si>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</si>
  <si>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</si>
  <si>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Udcawk .l</t>
  </si>
  <si>
    <t>UdcaeDWk .dg</t>
  </si>
  <si>
    <t>ޏ.ފުވައްމުލައް</t>
  </si>
  <si>
    <t>އދ.މާމިގިލި</t>
  </si>
  <si>
    <t>ބ.ދަރަވަންދޫ</t>
  </si>
  <si>
    <t>ގއ.ކޫއްޑޫ</t>
  </si>
  <si>
    <t>ތ.ތިމަރަފުށި</t>
  </si>
  <si>
    <t>ރ.އިފުރު</t>
  </si>
  <si>
    <t>ދ.ކުޑަހުވަދޫ</t>
  </si>
  <si>
    <t>L.Kadhdhoo</t>
  </si>
  <si>
    <t>GDh.Kaadedhdhoo</t>
  </si>
  <si>
    <t xml:space="preserve">Gn.Fuvahmulah </t>
  </si>
  <si>
    <t>ADh.Maamigili</t>
  </si>
  <si>
    <t>B.Dharavandhoo</t>
  </si>
  <si>
    <t>GA. Koodoo</t>
  </si>
  <si>
    <t xml:space="preserve">Th. Thimarafushi  </t>
  </si>
  <si>
    <t xml:space="preserve">R.Ifuru  </t>
  </si>
  <si>
    <t>Dh.kudahuvadhoo</t>
  </si>
  <si>
    <t xml:space="preserve">THA. Thimarafushi  </t>
  </si>
  <si>
    <t>_</t>
  </si>
  <si>
    <t>-</t>
  </si>
  <si>
    <t>Grand total</t>
  </si>
  <si>
    <t>Scheduled</t>
  </si>
  <si>
    <t>Chartered</t>
  </si>
  <si>
    <t>Non-Scheduled</t>
  </si>
  <si>
    <r>
      <t xml:space="preserve">Gn.Fuvahmulah </t>
    </r>
    <r>
      <rPr>
        <b/>
        <vertAlign val="superscript"/>
        <sz val="11"/>
        <rFont val="Calibri"/>
        <family val="2"/>
        <scheme val="minor"/>
      </rPr>
      <t>1_/</t>
    </r>
  </si>
  <si>
    <r>
      <t xml:space="preserve">ADh.Maamigili </t>
    </r>
    <r>
      <rPr>
        <b/>
        <vertAlign val="superscript"/>
        <sz val="11"/>
        <rFont val="Calibri"/>
        <family val="2"/>
        <scheme val="minor"/>
      </rPr>
      <t xml:space="preserve">1_/ </t>
    </r>
  </si>
  <si>
    <r>
      <t xml:space="preserve">B.Dharavandhoo </t>
    </r>
    <r>
      <rPr>
        <b/>
        <vertAlign val="superscript"/>
        <sz val="11"/>
        <rFont val="Calibri"/>
        <family val="2"/>
        <scheme val="minor"/>
      </rPr>
      <t xml:space="preserve">2_/ </t>
    </r>
  </si>
  <si>
    <r>
      <t xml:space="preserve">GA.Koodoo </t>
    </r>
    <r>
      <rPr>
        <b/>
        <vertAlign val="superscript"/>
        <sz val="11"/>
        <rFont val="Calibri"/>
        <family val="2"/>
        <scheme val="minor"/>
      </rPr>
      <t xml:space="preserve">3_/ </t>
    </r>
  </si>
  <si>
    <r>
      <t xml:space="preserve">Th. Thimarafushi  </t>
    </r>
    <r>
      <rPr>
        <b/>
        <vertAlign val="superscript"/>
        <sz val="11"/>
        <rFont val="Calibri"/>
        <family val="2"/>
        <scheme val="minor"/>
      </rPr>
      <t xml:space="preserve">4_/ </t>
    </r>
  </si>
  <si>
    <r>
      <t xml:space="preserve">Raa.Ifuru </t>
    </r>
    <r>
      <rPr>
        <b/>
        <vertAlign val="superscript"/>
        <sz val="11"/>
        <rFont val="Calibri"/>
        <family val="2"/>
        <scheme val="minor"/>
      </rPr>
      <t xml:space="preserve"> 5_/ </t>
    </r>
  </si>
  <si>
    <r>
      <t>Dh.kudahuvadhoo</t>
    </r>
    <r>
      <rPr>
        <b/>
        <vertAlign val="superscript"/>
        <sz val="11"/>
        <rFont val="Calibri"/>
        <family val="2"/>
        <scheme val="minor"/>
      </rPr>
      <t xml:space="preserve">6_/ </t>
    </r>
  </si>
  <si>
    <t>2020 ,ctogiruh urutwfurutwd egcnurwjcniswf iawgukwturwdnwb egiawv egEjcaWr cnutogeguhwmcswm  :11.15 ulwvWt</t>
  </si>
  <si>
    <t>Table 11.15 :  PASSENGER MOVEMENTS AT DOMESTIC AIRPORTS BY MONTH, 2020</t>
  </si>
  <si>
    <t>ތާވަލު 11.18: މަސްމަހުގެ ގޮތުން ބައިނަލް އަޤްވާމީ ވައިގެބަނދަރުން ދަތުރުކުރި ފްލައިޓްތައް، 2025</t>
  </si>
  <si>
    <t>Table  11.18 :  AIRCRAFT MOVEMENT AT VELANA INTERNATIONAL AIRPORT BY MONTH,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</si>
</sst>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General_)"/>
    <numFmt numFmtId="165" formatCode="_(* #,##0_);_(* \(#,##0\);_(* &quot;-&quot;??_);_(@_)"/>
    <numFmt numFmtId="167" formatCode="0.0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A_Randhoo"/>
    </font>
    <font>
      <b/>
      <sz val="12"/>
      <name val="Calibri"/>
      <family val="2"/>
      <scheme val="minor"/>
    </font>
    <font>
      <sz val="10"/>
      <name val="Arial"/>
      <family val="2"/>
    </font>
    <font>
      <b/>
      <sz val="9"/>
      <name val="Calibri"/>
      <family val="2"/>
      <scheme val="minor"/>
    </font>
    <font>
      <sz val="9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Calibri"/>
      <family val="2"/>
      <scheme val="minor"/>
    </font>
    <font>
      <sz val="10"/>
      <name val="A_Randhoo"/>
    </font>
    <font>
      <sz val="10"/>
      <name val="Faruma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sz val="9"/>
      <name val="A_Randhoo"/>
    </font>
    <font>
      <b/>
      <sz val="11"/>
      <name val="Calibri"/>
      <family val="2"/>
      <scheme val="minor"/>
    </font>
    <font>
      <b/>
      <sz val="11"/>
      <color theme="1"/>
      <name val="Faruma"/>
    </font>
    <font>
      <sz val="10"/>
      <name val="Garamond"/>
      <family val="1"/>
    </font>
    <font>
      <b/>
      <sz val="10.5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name val="Arial"/>
      <family val="2"/>
    </font>
    <font>
      <sz val="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A_Faseyha"/>
    </font>
    <font>
      <b/>
      <sz val="11"/>
      <name val="A_Faseyha"/>
    </font>
    <font>
      <u/>
      <sz val="10"/>
      <color indexed="12"/>
      <name val="Arial"/>
      <family val="2"/>
    </font>
    <font>
      <b/>
      <sz val="9"/>
      <name val="A_Faseyha"/>
    </font>
    <font>
      <b/>
      <sz val="12"/>
      <color theme="1"/>
      <name val="A_Faseyha"/>
    </font>
    <font>
      <sz val="10"/>
      <name val="A_Faseyha"/>
    </font>
    <font>
      <sz val="11"/>
      <color theme="1"/>
      <name val="A_Faseyha"/>
    </font>
    <font>
      <b/>
      <sz val="10.5"/>
      <name val="Faruma"/>
    </font>
    <font>
      <b/>
      <sz val="12"/>
      <name val="Faruma"/>
    </font>
    <font>
      <sz val="12"/>
      <color theme="1"/>
      <name val="Faruma"/>
    </font>
    <font>
      <sz val="12"/>
      <color theme="1"/>
      <name val="A_Faseyha"/>
    </font>
    <font>
      <b/>
      <vertAlign val="superscript"/>
      <sz val="11"/>
      <name val="Calibri"/>
      <family val="2"/>
      <scheme val="minor"/>
    </font>
    <font>
      <sz val="10"/>
      <name val="Arial"/>
      <family val="2"/>
    </font>
    <font>
      <b/>
      <sz val="12"/>
      <color theme="1"/>
      <name val="Faruma"/>
    </font>
    <font>
      <b/>
      <sz val="9"/>
      <color theme="1"/>
      <name val="Calibri"/>
      <family val="2"/>
      <scheme val="minor"/>
    </font>
    <font>
      <sz val="10"/>
      <name val="Courier"/>
      <charset val="134"/>
    </font>
    <font>
      <sz val="10"/>
      <name val="MS Sans Serif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5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 style="thin">
        <color theme="0"/>
      </bottom>
      <diagonal/>
    </border>
    <border>
      <left style="hair">
        <color indexed="64"/>
      </left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/>
      <top style="thin">
        <color theme="0"/>
      </top>
      <bottom style="thin">
        <color theme="0"/>
      </bottom>
      <diagonal/>
    </border>
    <border>
      <left/>
      <right style="hair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indexed="64"/>
      </right>
      <top/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3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40" fontId="10" fillId="0" borderId="0" applyFont="0" applyFill="0" applyBorder="0" applyAlignment="0" applyProtection="0"/>
    <xf numFmtId="0" fontId="5" fillId="0" borderId="0"/>
    <xf numFmtId="0" fontId="19" fillId="0" borderId="0"/>
    <xf numFmtId="165" fontId="2" fillId="0" borderId="0"/>
    <xf numFmtId="165" fontId="2" fillId="0" borderId="0"/>
    <xf numFmtId="167" fontId="2" fillId="0" borderId="0" applyFont="0" applyFill="0" applyBorder="0" applyAlignment="0" applyProtection="0"/>
    <xf numFmtId="0" fontId="29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5" fillId="0" borderId="0"/>
    <xf numFmtId="0" fontId="5" fillId="0" borderId="0"/>
    <xf numFmtId="0" fontId="39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9" fontId="1" fillId="0" borderId="0" applyFont="0" applyFill="0" applyBorder="0" applyAlignment="0" applyProtection="0">
      <alignment vertical="center"/>
    </xf>
    <xf numFmtId="40" fontId="43" fillId="0" borderId="0" applyFont="0" applyFill="0" applyBorder="0" applyAlignment="0" applyProtection="0"/>
    <xf numFmtId="167" fontId="42" fillId="0" borderId="0" applyFont="0" applyFill="0" applyBorder="0" applyAlignment="0" applyProtection="0"/>
    <xf numFmtId="164" fontId="42" fillId="0" borderId="0"/>
    <xf numFmtId="165" fontId="42" fillId="0" borderId="0"/>
    <xf numFmtId="165" fontId="42" fillId="0" borderId="0"/>
  </cellStyleXfs>
  <cellXfs count="176">
    <xf numFmtId="0" fontId="0" fillId="0" borderId="0" xfId="0"/>
    <xf numFmtId="164" fontId="0" fillId="2" borderId="0" xfId="0" applyNumberFormat="1" applyFill="1"/>
    <xf numFmtId="164" fontId="6" fillId="2" borderId="0" xfId="2" applyFont="1" applyFill="1" applyAlignment="1">
      <alignment horizontal="left" vertical="center"/>
    </xf>
    <xf numFmtId="164" fontId="8" fillId="2" borderId="0" xfId="0" applyNumberFormat="1" applyFont="1" applyFill="1"/>
    <xf numFmtId="164" fontId="9" fillId="2" borderId="0" xfId="2" applyFont="1" applyFill="1" applyAlignment="1">
      <alignment horizontal="left" vertical="center"/>
    </xf>
    <xf numFmtId="164" fontId="11" fillId="2" borderId="0" xfId="2" applyFont="1" applyFill="1" applyAlignment="1">
      <alignment horizontal="left" vertical="center"/>
    </xf>
    <xf numFmtId="164" fontId="14" fillId="2" borderId="0" xfId="2" applyFont="1" applyFill="1" applyAlignment="1">
      <alignment horizontal="left" vertical="center"/>
    </xf>
    <xf numFmtId="37" fontId="15" fillId="2" borderId="0" xfId="2" applyNumberFormat="1" applyFont="1" applyFill="1" applyAlignment="1">
      <alignment vertical="center"/>
    </xf>
    <xf numFmtId="37" fontId="7" fillId="2" borderId="0" xfId="2" applyNumberFormat="1" applyFont="1" applyFill="1" applyAlignment="1">
      <alignment vertical="center"/>
    </xf>
    <xf numFmtId="0" fontId="16" fillId="2" borderId="0" xfId="4" applyFont="1" applyFill="1" applyAlignment="1">
      <alignment vertical="center"/>
    </xf>
    <xf numFmtId="0" fontId="13" fillId="2" borderId="2" xfId="0" applyFont="1" applyFill="1" applyBorder="1" applyAlignment="1">
      <alignment horizontal="right" vertical="center"/>
    </xf>
    <xf numFmtId="164" fontId="2" fillId="2" borderId="0" xfId="0" applyNumberFormat="1" applyFont="1" applyFill="1"/>
    <xf numFmtId="164" fontId="15" fillId="2" borderId="0" xfId="2" applyFont="1" applyFill="1" applyAlignment="1">
      <alignment horizontal="left" vertical="center"/>
    </xf>
    <xf numFmtId="3" fontId="15" fillId="2" borderId="0" xfId="2" applyNumberFormat="1" applyFont="1" applyFill="1" applyAlignment="1" applyProtection="1">
      <alignment horizontal="right" vertical="center"/>
      <protection locked="0"/>
    </xf>
    <xf numFmtId="0" fontId="13" fillId="2" borderId="0" xfId="0" applyFont="1" applyFill="1" applyAlignment="1">
      <alignment horizontal="right" vertical="center"/>
    </xf>
    <xf numFmtId="164" fontId="20" fillId="2" borderId="0" xfId="2" applyFont="1" applyFill="1" applyAlignment="1">
      <alignment horizontal="center" vertical="center" wrapText="1"/>
    </xf>
    <xf numFmtId="164" fontId="21" fillId="2" borderId="0" xfId="0" applyNumberFormat="1" applyFont="1" applyFill="1"/>
    <xf numFmtId="3" fontId="9" fillId="2" borderId="17" xfId="2" applyNumberFormat="1" applyFont="1" applyFill="1" applyBorder="1" applyAlignment="1">
      <alignment horizontal="right" vertical="center"/>
    </xf>
    <xf numFmtId="3" fontId="9" fillId="2" borderId="0" xfId="2" applyNumberFormat="1" applyFont="1" applyFill="1" applyAlignment="1">
      <alignment horizontal="right" vertical="center"/>
    </xf>
    <xf numFmtId="165" fontId="0" fillId="2" borderId="0" xfId="1" applyNumberFormat="1" applyFont="1" applyFill="1"/>
    <xf numFmtId="164" fontId="22" fillId="2" borderId="0" xfId="2" applyFont="1" applyFill="1" applyAlignment="1">
      <alignment horizontal="left" vertical="center"/>
    </xf>
    <xf numFmtId="37" fontId="5" fillId="2" borderId="0" xfId="2" applyNumberFormat="1" applyFont="1" applyFill="1" applyAlignment="1">
      <alignment vertical="center"/>
    </xf>
    <xf numFmtId="164" fontId="12" fillId="2" borderId="0" xfId="2" applyFont="1" applyFill="1"/>
    <xf numFmtId="0" fontId="12" fillId="2" borderId="0" xfId="4" applyFont="1" applyFill="1" applyAlignment="1">
      <alignment vertical="center"/>
    </xf>
    <xf numFmtId="164" fontId="3" fillId="2" borderId="0" xfId="2" applyFont="1" applyFill="1" applyAlignment="1">
      <alignment vertical="center"/>
    </xf>
    <xf numFmtId="164" fontId="0" fillId="2" borderId="0" xfId="0" applyNumberFormat="1" applyFill="1" applyAlignment="1">
      <alignment horizontal="center" vertical="center"/>
    </xf>
    <xf numFmtId="0" fontId="6" fillId="2" borderId="29" xfId="2" applyNumberFormat="1" applyFont="1" applyFill="1" applyBorder="1" applyAlignment="1">
      <alignment horizontal="center" vertical="center"/>
    </xf>
    <xf numFmtId="0" fontId="6" fillId="2" borderId="31" xfId="2" applyNumberFormat="1" applyFont="1" applyFill="1" applyBorder="1" applyAlignment="1">
      <alignment horizontal="center" vertical="center"/>
    </xf>
    <xf numFmtId="0" fontId="6" fillId="2" borderId="32" xfId="2" applyNumberFormat="1" applyFont="1" applyFill="1" applyBorder="1" applyAlignment="1">
      <alignment horizontal="center" vertical="center"/>
    </xf>
    <xf numFmtId="0" fontId="6" fillId="2" borderId="16" xfId="2" applyNumberFormat="1" applyFont="1" applyFill="1" applyBorder="1" applyAlignment="1">
      <alignment horizontal="center" vertical="center"/>
    </xf>
    <xf numFmtId="164" fontId="9" fillId="2" borderId="2" xfId="2" applyFont="1" applyFill="1" applyBorder="1" applyAlignment="1">
      <alignment horizontal="left" vertical="center"/>
    </xf>
    <xf numFmtId="3" fontId="6" fillId="2" borderId="2" xfId="2" applyNumberFormat="1" applyFont="1" applyFill="1" applyBorder="1" applyAlignment="1">
      <alignment horizontal="center" vertical="center"/>
    </xf>
    <xf numFmtId="3" fontId="6" fillId="2" borderId="3" xfId="2" applyNumberFormat="1" applyFont="1" applyFill="1" applyBorder="1" applyAlignment="1">
      <alignment horizontal="center" vertical="center"/>
    </xf>
    <xf numFmtId="3" fontId="6" fillId="2" borderId="33" xfId="2" applyNumberFormat="1" applyFont="1" applyFill="1" applyBorder="1" applyAlignment="1">
      <alignment horizontal="center" vertical="center"/>
    </xf>
    <xf numFmtId="3" fontId="6" fillId="2" borderId="13" xfId="2" applyNumberFormat="1" applyFont="1" applyFill="1" applyBorder="1" applyAlignment="1">
      <alignment horizontal="center" vertical="center"/>
    </xf>
    <xf numFmtId="3" fontId="6" fillId="2" borderId="34" xfId="2" applyNumberFormat="1" applyFont="1" applyFill="1" applyBorder="1" applyAlignment="1">
      <alignment horizontal="center" vertical="center"/>
    </xf>
    <xf numFmtId="3" fontId="6" fillId="2" borderId="35" xfId="2" applyNumberFormat="1" applyFont="1" applyFill="1" applyBorder="1" applyAlignment="1">
      <alignment horizontal="center" vertical="center"/>
    </xf>
    <xf numFmtId="3" fontId="6" fillId="2" borderId="18" xfId="2" applyNumberFormat="1" applyFont="1" applyFill="1" applyBorder="1" applyAlignment="1">
      <alignment horizontal="center" vertical="center"/>
    </xf>
    <xf numFmtId="164" fontId="15" fillId="2" borderId="1" xfId="2" applyFont="1" applyFill="1" applyBorder="1" applyAlignment="1">
      <alignment horizontal="left" vertical="center"/>
    </xf>
    <xf numFmtId="3" fontId="15" fillId="2" borderId="1" xfId="3" applyNumberFormat="1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5" fillId="2" borderId="36" xfId="0" applyFont="1" applyFill="1" applyBorder="1" applyAlignment="1">
      <alignment horizontal="center" vertical="center"/>
    </xf>
    <xf numFmtId="0" fontId="15" fillId="2" borderId="11" xfId="0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/>
    </xf>
    <xf numFmtId="3" fontId="15" fillId="2" borderId="7" xfId="3" applyNumberFormat="1" applyFont="1" applyFill="1" applyBorder="1" applyAlignment="1">
      <alignment horizontal="center" vertical="center"/>
    </xf>
    <xf numFmtId="0" fontId="23" fillId="2" borderId="7" xfId="0" applyFont="1" applyFill="1" applyBorder="1" applyAlignment="1">
      <alignment horizontal="center" vertical="center"/>
    </xf>
    <xf numFmtId="0" fontId="15" fillId="2" borderId="37" xfId="0" applyFont="1" applyFill="1" applyBorder="1" applyAlignment="1">
      <alignment horizontal="center" vertical="center"/>
    </xf>
    <xf numFmtId="164" fontId="15" fillId="2" borderId="5" xfId="2" applyFont="1" applyFill="1" applyBorder="1" applyAlignment="1">
      <alignment horizontal="left" vertical="center"/>
    </xf>
    <xf numFmtId="3" fontId="15" fillId="2" borderId="5" xfId="3" applyNumberFormat="1" applyFont="1" applyFill="1" applyBorder="1" applyAlignment="1">
      <alignment horizontal="center" vertical="center"/>
    </xf>
    <xf numFmtId="0" fontId="15" fillId="2" borderId="6" xfId="0" applyFont="1" applyFill="1" applyBorder="1" applyAlignment="1">
      <alignment horizontal="center" vertical="center"/>
    </xf>
    <xf numFmtId="0" fontId="15" fillId="2" borderId="24" xfId="0" applyFont="1" applyFill="1" applyBorder="1" applyAlignment="1">
      <alignment horizontal="center" vertical="center"/>
    </xf>
    <xf numFmtId="0" fontId="15" fillId="2" borderId="12" xfId="0" applyFont="1" applyFill="1" applyBorder="1" applyAlignment="1">
      <alignment horizontal="center" vertical="center"/>
    </xf>
    <xf numFmtId="0" fontId="15" fillId="2" borderId="22" xfId="0" applyFont="1" applyFill="1" applyBorder="1" applyAlignment="1">
      <alignment horizontal="center" vertical="center"/>
    </xf>
    <xf numFmtId="3" fontId="15" fillId="2" borderId="22" xfId="3" applyNumberFormat="1" applyFont="1" applyFill="1" applyBorder="1" applyAlignment="1">
      <alignment horizontal="center" vertical="center"/>
    </xf>
    <xf numFmtId="0" fontId="15" fillId="2" borderId="23" xfId="0" applyFont="1" applyFill="1" applyBorder="1" applyAlignment="1">
      <alignment horizontal="center" vertical="center"/>
    </xf>
    <xf numFmtId="3" fontId="6" fillId="2" borderId="0" xfId="2" applyNumberFormat="1" applyFont="1" applyFill="1" applyAlignment="1">
      <alignment horizontal="right" vertical="center"/>
    </xf>
    <xf numFmtId="3" fontId="6" fillId="2" borderId="41" xfId="2" applyNumberFormat="1" applyFont="1" applyFill="1" applyBorder="1" applyAlignment="1">
      <alignment horizontal="right" vertical="center"/>
    </xf>
    <xf numFmtId="3" fontId="6" fillId="2" borderId="2" xfId="2" applyNumberFormat="1" applyFont="1" applyFill="1" applyBorder="1" applyAlignment="1">
      <alignment horizontal="right" vertical="center"/>
    </xf>
    <xf numFmtId="3" fontId="6" fillId="2" borderId="42" xfId="2" applyNumberFormat="1" applyFont="1" applyFill="1" applyBorder="1" applyAlignment="1">
      <alignment horizontal="right" vertical="center"/>
    </xf>
    <xf numFmtId="3" fontId="6" fillId="2" borderId="13" xfId="2" applyNumberFormat="1" applyFont="1" applyFill="1" applyBorder="1" applyAlignment="1">
      <alignment horizontal="right" vertical="center"/>
    </xf>
    <xf numFmtId="3" fontId="6" fillId="2" borderId="43" xfId="2" applyNumberFormat="1" applyFont="1" applyFill="1" applyBorder="1" applyAlignment="1">
      <alignment horizontal="right" vertical="center"/>
    </xf>
    <xf numFmtId="3" fontId="15" fillId="2" borderId="1" xfId="2" applyNumberFormat="1" applyFont="1" applyFill="1" applyBorder="1" applyAlignment="1" applyProtection="1">
      <alignment horizontal="right" vertical="center"/>
      <protection locked="0"/>
    </xf>
    <xf numFmtId="3" fontId="15" fillId="2" borderId="44" xfId="2" applyNumberFormat="1" applyFont="1" applyFill="1" applyBorder="1" applyAlignment="1" applyProtection="1">
      <alignment horizontal="right" vertical="center"/>
      <protection locked="0"/>
    </xf>
    <xf numFmtId="3" fontId="6" fillId="2" borderId="11" xfId="2" applyNumberFormat="1" applyFont="1" applyFill="1" applyBorder="1" applyAlignment="1">
      <alignment horizontal="right" vertical="center"/>
    </xf>
    <xf numFmtId="3" fontId="6" fillId="2" borderId="39" xfId="2" applyNumberFormat="1" applyFont="1" applyFill="1" applyBorder="1" applyAlignment="1">
      <alignment horizontal="right" vertical="center"/>
    </xf>
    <xf numFmtId="3" fontId="15" fillId="2" borderId="5" xfId="2" applyNumberFormat="1" applyFont="1" applyFill="1" applyBorder="1" applyAlignment="1" applyProtection="1">
      <alignment horizontal="right" vertical="center"/>
      <protection locked="0"/>
    </xf>
    <xf numFmtId="3" fontId="15" fillId="2" borderId="40" xfId="2" applyNumberFormat="1" applyFont="1" applyFill="1" applyBorder="1" applyAlignment="1" applyProtection="1">
      <alignment horizontal="right" vertical="center"/>
      <protection locked="0"/>
    </xf>
    <xf numFmtId="3" fontId="6" fillId="2" borderId="12" xfId="2" applyNumberFormat="1" applyFont="1" applyFill="1" applyBorder="1" applyAlignment="1">
      <alignment horizontal="right" vertical="center"/>
    </xf>
    <xf numFmtId="0" fontId="15" fillId="2" borderId="0" xfId="4" applyFont="1" applyFill="1" applyAlignment="1">
      <alignment vertical="center"/>
    </xf>
    <xf numFmtId="164" fontId="16" fillId="2" borderId="0" xfId="2" applyFont="1" applyFill="1"/>
    <xf numFmtId="164" fontId="11" fillId="2" borderId="0" xfId="0" applyNumberFormat="1" applyFont="1" applyFill="1"/>
    <xf numFmtId="164" fontId="6" fillId="2" borderId="46" xfId="2" applyFont="1" applyFill="1" applyBorder="1" applyAlignment="1">
      <alignment horizontal="right" vertical="center"/>
    </xf>
    <xf numFmtId="164" fontId="30" fillId="2" borderId="0" xfId="2" applyFont="1" applyFill="1" applyAlignment="1">
      <alignment horizontal="right" vertical="center"/>
    </xf>
    <xf numFmtId="164" fontId="11" fillId="2" borderId="46" xfId="2" applyFont="1" applyFill="1" applyBorder="1" applyAlignment="1">
      <alignment horizontal="left" vertical="center"/>
    </xf>
    <xf numFmtId="164" fontId="20" fillId="2" borderId="46" xfId="2" applyFont="1" applyFill="1" applyBorder="1" applyAlignment="1">
      <alignment horizontal="right" vertical="center"/>
    </xf>
    <xf numFmtId="0" fontId="6" fillId="2" borderId="46" xfId="2" applyNumberFormat="1" applyFont="1" applyFill="1" applyBorder="1" applyAlignment="1">
      <alignment horizontal="center" vertical="center"/>
    </xf>
    <xf numFmtId="0" fontId="27" fillId="2" borderId="0" xfId="5" applyFont="1" applyFill="1" applyAlignment="1">
      <alignment horizontal="right"/>
    </xf>
    <xf numFmtId="0" fontId="32" fillId="2" borderId="0" xfId="5" applyFont="1" applyFill="1" applyAlignment="1">
      <alignment horizontal="right"/>
    </xf>
    <xf numFmtId="164" fontId="33" fillId="2" borderId="0" xfId="0" applyNumberFormat="1" applyFont="1" applyFill="1"/>
    <xf numFmtId="0" fontId="32" fillId="2" borderId="0" xfId="0" applyFont="1" applyFill="1" applyAlignment="1">
      <alignment horizontal="right" vertical="center"/>
    </xf>
    <xf numFmtId="164" fontId="33" fillId="2" borderId="0" xfId="0" applyNumberFormat="1" applyFont="1" applyFill="1" applyAlignment="1">
      <alignment horizontal="right" vertical="center"/>
    </xf>
    <xf numFmtId="164" fontId="27" fillId="2" borderId="0" xfId="2" applyFont="1" applyFill="1" applyAlignment="1">
      <alignment horizontal="right" vertical="center"/>
    </xf>
    <xf numFmtId="164" fontId="26" fillId="2" borderId="0" xfId="0" applyNumberFormat="1" applyFont="1" applyFill="1"/>
    <xf numFmtId="0" fontId="32" fillId="2" borderId="11" xfId="5" applyFont="1" applyFill="1" applyBorder="1" applyAlignment="1">
      <alignment horizontal="right"/>
    </xf>
    <xf numFmtId="0" fontId="32" fillId="2" borderId="12" xfId="5" applyFont="1" applyFill="1" applyBorder="1" applyAlignment="1">
      <alignment horizontal="right"/>
    </xf>
    <xf numFmtId="0" fontId="27" fillId="2" borderId="13" xfId="5" applyFont="1" applyFill="1" applyBorder="1" applyAlignment="1">
      <alignment horizontal="right"/>
    </xf>
    <xf numFmtId="164" fontId="34" fillId="2" borderId="8" xfId="2" applyFont="1" applyFill="1" applyBorder="1" applyAlignment="1">
      <alignment horizontal="center" vertical="center"/>
    </xf>
    <xf numFmtId="164" fontId="36" fillId="2" borderId="8" xfId="0" applyNumberFormat="1" applyFont="1" applyFill="1" applyBorder="1"/>
    <xf numFmtId="164" fontId="35" fillId="2" borderId="18" xfId="2" applyFont="1" applyFill="1" applyBorder="1" applyAlignment="1">
      <alignment vertical="center"/>
    </xf>
    <xf numFmtId="164" fontId="37" fillId="2" borderId="8" xfId="0" applyNumberFormat="1" applyFont="1" applyFill="1" applyBorder="1"/>
    <xf numFmtId="164" fontId="36" fillId="2" borderId="0" xfId="0" applyNumberFormat="1" applyFont="1" applyFill="1"/>
    <xf numFmtId="164" fontId="1" fillId="2" borderId="0" xfId="0" applyNumberFormat="1" applyFont="1" applyFill="1" applyAlignment="1">
      <alignment horizontal="center" vertical="center"/>
    </xf>
    <xf numFmtId="164" fontId="17" fillId="2" borderId="22" xfId="2" applyFont="1" applyFill="1" applyBorder="1" applyAlignment="1">
      <alignment vertical="center" wrapText="1"/>
    </xf>
    <xf numFmtId="164" fontId="6" fillId="2" borderId="45" xfId="2" applyFont="1" applyFill="1" applyBorder="1" applyAlignment="1">
      <alignment horizontal="right" vertical="center"/>
    </xf>
    <xf numFmtId="164" fontId="6" fillId="2" borderId="26" xfId="2" applyFont="1" applyFill="1" applyBorder="1" applyAlignment="1">
      <alignment horizontal="right" vertical="center"/>
    </xf>
    <xf numFmtId="164" fontId="6" fillId="2" borderId="48" xfId="2" applyFont="1" applyFill="1" applyBorder="1" applyAlignment="1">
      <alignment horizontal="right" vertical="center" wrapText="1"/>
    </xf>
    <xf numFmtId="164" fontId="6" fillId="2" borderId="47" xfId="2" applyFont="1" applyFill="1" applyBorder="1" applyAlignment="1">
      <alignment horizontal="right" vertical="center"/>
    </xf>
    <xf numFmtId="164" fontId="6" fillId="2" borderId="26" xfId="2" applyFont="1" applyFill="1" applyBorder="1" applyAlignment="1">
      <alignment horizontal="right" vertical="center" wrapText="1"/>
    </xf>
    <xf numFmtId="3" fontId="11" fillId="3" borderId="1" xfId="2" applyNumberFormat="1" applyFont="1" applyFill="1" applyBorder="1" applyAlignment="1">
      <alignment horizontal="right" vertical="center"/>
    </xf>
    <xf numFmtId="3" fontId="11" fillId="3" borderId="1" xfId="3" applyNumberFormat="1" applyFont="1" applyFill="1" applyBorder="1" applyAlignment="1">
      <alignment horizontal="right" vertical="center"/>
    </xf>
    <xf numFmtId="3" fontId="11" fillId="3" borderId="0" xfId="2" applyNumberFormat="1" applyFont="1" applyFill="1" applyAlignment="1">
      <alignment horizontal="right" vertical="center"/>
    </xf>
    <xf numFmtId="3" fontId="11" fillId="3" borderId="5" xfId="2" applyNumberFormat="1" applyFont="1" applyFill="1" applyBorder="1" applyAlignment="1">
      <alignment horizontal="right" vertical="center"/>
    </xf>
    <xf numFmtId="3" fontId="11" fillId="3" borderId="5" xfId="3" applyNumberFormat="1" applyFont="1" applyFill="1" applyBorder="1" applyAlignment="1">
      <alignment horizontal="right" vertical="center"/>
    </xf>
    <xf numFmtId="3" fontId="11" fillId="3" borderId="46" xfId="2" applyNumberFormat="1" applyFont="1" applyFill="1" applyBorder="1" applyAlignment="1">
      <alignment horizontal="right" vertical="center"/>
    </xf>
    <xf numFmtId="164" fontId="35" fillId="2" borderId="8" xfId="2" applyFont="1" applyFill="1" applyBorder="1" applyAlignment="1">
      <alignment horizontal="center" vertical="center"/>
    </xf>
    <xf numFmtId="164" fontId="17" fillId="2" borderId="0" xfId="2" applyFont="1" applyFill="1" applyAlignment="1">
      <alignment horizontal="center" vertical="center" wrapText="1"/>
    </xf>
    <xf numFmtId="164" fontId="40" fillId="2" borderId="17" xfId="2" applyFont="1" applyFill="1" applyBorder="1" applyAlignment="1">
      <alignment horizontal="left" vertical="center"/>
    </xf>
    <xf numFmtId="164" fontId="40" fillId="2" borderId="18" xfId="2" applyFont="1" applyFill="1" applyBorder="1" applyAlignment="1">
      <alignment vertical="center"/>
    </xf>
    <xf numFmtId="164" fontId="31" fillId="2" borderId="18" xfId="2" applyFont="1" applyFill="1" applyBorder="1" applyAlignment="1">
      <alignment vertical="center"/>
    </xf>
    <xf numFmtId="164" fontId="24" fillId="2" borderId="1" xfId="2" applyFont="1" applyFill="1" applyBorder="1" applyAlignment="1">
      <alignment horizontal="center" vertical="center"/>
    </xf>
    <xf numFmtId="164" fontId="24" fillId="2" borderId="22" xfId="2" applyFont="1" applyFill="1" applyBorder="1" applyAlignment="1">
      <alignment vertical="center" wrapText="1"/>
    </xf>
    <xf numFmtId="164" fontId="25" fillId="2" borderId="5" xfId="2" applyFont="1" applyFill="1" applyBorder="1" applyAlignment="1">
      <alignment horizontal="left" vertical="center"/>
    </xf>
    <xf numFmtId="0" fontId="41" fillId="2" borderId="26" xfId="2" applyNumberFormat="1" applyFont="1" applyFill="1" applyBorder="1" applyAlignment="1">
      <alignment horizontal="center" vertical="center"/>
    </xf>
    <xf numFmtId="0" fontId="41" fillId="2" borderId="27" xfId="2" applyNumberFormat="1" applyFont="1" applyFill="1" applyBorder="1" applyAlignment="1">
      <alignment horizontal="center" vertical="center"/>
    </xf>
    <xf numFmtId="0" fontId="41" fillId="2" borderId="28" xfId="2" applyNumberFormat="1" applyFont="1" applyFill="1" applyBorder="1" applyAlignment="1">
      <alignment horizontal="center" vertical="center"/>
    </xf>
    <xf numFmtId="0" fontId="41" fillId="2" borderId="29" xfId="2" applyNumberFormat="1" applyFont="1" applyFill="1" applyBorder="1" applyAlignment="1">
      <alignment horizontal="center" vertical="center"/>
    </xf>
    <xf numFmtId="0" fontId="41" fillId="2" borderId="30" xfId="2" applyNumberFormat="1" applyFont="1" applyFill="1" applyBorder="1" applyAlignment="1">
      <alignment horizontal="center" vertical="center"/>
    </xf>
    <xf numFmtId="0" fontId="41" fillId="2" borderId="31" xfId="2" applyNumberFormat="1" applyFont="1" applyFill="1" applyBorder="1" applyAlignment="1">
      <alignment horizontal="center" vertical="center"/>
    </xf>
    <xf numFmtId="0" fontId="41" fillId="2" borderId="46" xfId="2" applyNumberFormat="1" applyFont="1" applyFill="1" applyBorder="1" applyAlignment="1">
      <alignment horizontal="center" vertical="center"/>
    </xf>
    <xf numFmtId="0" fontId="41" fillId="2" borderId="32" xfId="2" applyNumberFormat="1" applyFont="1" applyFill="1" applyBorder="1" applyAlignment="1">
      <alignment horizontal="center" vertical="center"/>
    </xf>
    <xf numFmtId="164" fontId="15" fillId="2" borderId="0" xfId="2" applyFont="1" applyFill="1" applyAlignment="1">
      <alignment horizontal="left" vertical="center" indent="1"/>
    </xf>
    <xf numFmtId="164" fontId="15" fillId="2" borderId="52" xfId="2" applyFont="1" applyFill="1" applyBorder="1" applyAlignment="1">
      <alignment horizontal="left" vertical="center" indent="1"/>
    </xf>
    <xf numFmtId="0" fontId="32" fillId="2" borderId="52" xfId="5" applyFont="1" applyFill="1" applyBorder="1" applyAlignment="1">
      <alignment horizontal="right"/>
    </xf>
    <xf numFmtId="3" fontId="6" fillId="2" borderId="52" xfId="2" applyNumberFormat="1" applyFont="1" applyFill="1" applyBorder="1" applyAlignment="1">
      <alignment horizontal="right" vertical="center"/>
    </xf>
    <xf numFmtId="164" fontId="4" fillId="2" borderId="0" xfId="2" applyFont="1" applyFill="1" applyAlignment="1">
      <alignment horizontal="center" vertical="center"/>
    </xf>
    <xf numFmtId="164" fontId="9" fillId="2" borderId="8" xfId="2" applyFont="1" applyFill="1" applyBorder="1" applyAlignment="1">
      <alignment horizontal="left" vertical="center"/>
    </xf>
    <xf numFmtId="164" fontId="9" fillId="2" borderId="46" xfId="2" applyFont="1" applyFill="1" applyBorder="1" applyAlignment="1">
      <alignment horizontal="left" vertical="center"/>
    </xf>
    <xf numFmtId="164" fontId="9" fillId="2" borderId="0" xfId="2" applyFont="1" applyFill="1" applyAlignment="1">
      <alignment horizontal="left" vertical="center"/>
    </xf>
    <xf numFmtId="164" fontId="9" fillId="2" borderId="53" xfId="2" applyFont="1" applyFill="1" applyBorder="1" applyAlignment="1">
      <alignment horizontal="left" vertical="center"/>
    </xf>
    <xf numFmtId="0" fontId="27" fillId="2" borderId="53" xfId="5" applyFont="1" applyFill="1" applyBorder="1" applyAlignment="1">
      <alignment horizontal="right" vertical="center"/>
    </xf>
    <xf numFmtId="164" fontId="9" fillId="2" borderId="52" xfId="2" applyFont="1" applyFill="1" applyBorder="1" applyAlignment="1">
      <alignment horizontal="left" vertical="center"/>
    </xf>
    <xf numFmtId="0" fontId="27" fillId="2" borderId="52" xfId="5" applyFont="1" applyFill="1" applyBorder="1" applyAlignment="1">
      <alignment horizontal="right" vertical="center"/>
    </xf>
    <xf numFmtId="0" fontId="27" fillId="2" borderId="9" xfId="5" applyFont="1" applyFill="1" applyBorder="1" applyAlignment="1">
      <alignment horizontal="right" vertical="center"/>
    </xf>
    <xf numFmtId="0" fontId="27" fillId="2" borderId="11" xfId="5" applyFont="1" applyFill="1" applyBorder="1" applyAlignment="1">
      <alignment horizontal="right" vertical="center"/>
    </xf>
    <xf numFmtId="0" fontId="27" fillId="2" borderId="12" xfId="5" applyFont="1" applyFill="1" applyBorder="1" applyAlignment="1">
      <alignment horizontal="right" vertical="center"/>
    </xf>
    <xf numFmtId="164" fontId="24" fillId="2" borderId="6" xfId="2" applyFont="1" applyFill="1" applyBorder="1" applyAlignment="1">
      <alignment horizontal="center" vertical="center" wrapText="1"/>
    </xf>
    <xf numFmtId="164" fontId="24" fillId="2" borderId="22" xfId="2" applyFont="1" applyFill="1" applyBorder="1" applyAlignment="1">
      <alignment horizontal="center" vertical="center" wrapText="1"/>
    </xf>
    <xf numFmtId="164" fontId="24" fillId="2" borderId="23" xfId="2" applyFont="1" applyFill="1" applyBorder="1" applyAlignment="1">
      <alignment horizontal="center" vertical="center" wrapText="1"/>
    </xf>
    <xf numFmtId="164" fontId="24" fillId="2" borderId="14" xfId="2" applyFont="1" applyFill="1" applyBorder="1" applyAlignment="1">
      <alignment horizontal="center" vertical="center" wrapText="1"/>
    </xf>
    <xf numFmtId="164" fontId="24" fillId="2" borderId="0" xfId="2" applyFont="1" applyFill="1" applyAlignment="1">
      <alignment horizontal="center" vertical="center" wrapText="1"/>
    </xf>
    <xf numFmtId="164" fontId="17" fillId="2" borderId="14" xfId="2" applyFont="1" applyFill="1" applyBorder="1" applyAlignment="1">
      <alignment horizontal="center" vertical="center" wrapText="1"/>
    </xf>
    <xf numFmtId="164" fontId="17" fillId="2" borderId="0" xfId="2" applyFont="1" applyFill="1" applyAlignment="1">
      <alignment horizontal="center" vertical="center" wrapText="1"/>
    </xf>
    <xf numFmtId="164" fontId="17" fillId="2" borderId="16" xfId="2" applyFont="1" applyFill="1" applyBorder="1" applyAlignment="1">
      <alignment horizontal="center" vertical="center" wrapText="1"/>
    </xf>
    <xf numFmtId="164" fontId="17" fillId="2" borderId="46" xfId="2" applyFont="1" applyFill="1" applyBorder="1" applyAlignment="1">
      <alignment horizontal="center" vertical="center" wrapText="1"/>
    </xf>
    <xf numFmtId="164" fontId="17" fillId="2" borderId="25" xfId="2" applyFont="1" applyFill="1" applyBorder="1" applyAlignment="1">
      <alignment horizontal="center" vertical="center" wrapText="1"/>
    </xf>
    <xf numFmtId="164" fontId="17" fillId="2" borderId="24" xfId="2" applyFont="1" applyFill="1" applyBorder="1" applyAlignment="1">
      <alignment horizontal="center" vertical="center" wrapText="1"/>
    </xf>
    <xf numFmtId="164" fontId="17" fillId="2" borderId="22" xfId="2" applyFont="1" applyFill="1" applyBorder="1" applyAlignment="1">
      <alignment horizontal="center" vertical="center" wrapText="1"/>
    </xf>
    <xf numFmtId="164" fontId="17" fillId="2" borderId="23" xfId="2" applyFont="1" applyFill="1" applyBorder="1" applyAlignment="1">
      <alignment horizontal="center" vertical="center" wrapText="1"/>
    </xf>
    <xf numFmtId="164" fontId="35" fillId="2" borderId="15" xfId="2" applyFont="1" applyFill="1" applyBorder="1" applyAlignment="1">
      <alignment horizontal="center" vertical="center"/>
    </xf>
    <xf numFmtId="164" fontId="35" fillId="2" borderId="8" xfId="2" applyFont="1" applyFill="1" applyBorder="1" applyAlignment="1">
      <alignment horizontal="center" vertical="center"/>
    </xf>
    <xf numFmtId="164" fontId="35" fillId="2" borderId="21" xfId="2" applyFont="1" applyFill="1" applyBorder="1" applyAlignment="1">
      <alignment horizontal="center" vertical="center"/>
    </xf>
    <xf numFmtId="164" fontId="35" fillId="2" borderId="20" xfId="2" applyFont="1" applyFill="1" applyBorder="1" applyAlignment="1">
      <alignment horizontal="center" vertical="center"/>
    </xf>
    <xf numFmtId="164" fontId="35" fillId="2" borderId="18" xfId="2" applyFont="1" applyFill="1" applyBorder="1" applyAlignment="1">
      <alignment horizontal="center" vertical="center"/>
    </xf>
    <xf numFmtId="164" fontId="35" fillId="2" borderId="19" xfId="2" applyFont="1" applyFill="1" applyBorder="1" applyAlignment="1">
      <alignment horizontal="center" vertical="center"/>
    </xf>
    <xf numFmtId="164" fontId="9" fillId="2" borderId="17" xfId="2" applyFont="1" applyFill="1" applyBorder="1" applyAlignment="1">
      <alignment horizontal="left" vertical="center"/>
    </xf>
    <xf numFmtId="164" fontId="9" fillId="2" borderId="1" xfId="2" applyFont="1" applyFill="1" applyBorder="1" applyAlignment="1">
      <alignment horizontal="left" vertical="center"/>
    </xf>
    <xf numFmtId="164" fontId="9" fillId="2" borderId="5" xfId="2" applyFont="1" applyFill="1" applyBorder="1" applyAlignment="1">
      <alignment horizontal="left" vertical="center"/>
    </xf>
    <xf numFmtId="164" fontId="31" fillId="2" borderId="10" xfId="2" applyFont="1" applyFill="1" applyBorder="1" applyAlignment="1">
      <alignment horizontal="center" vertical="center"/>
    </xf>
    <xf numFmtId="164" fontId="31" fillId="2" borderId="18" xfId="2" applyFont="1" applyFill="1" applyBorder="1" applyAlignment="1">
      <alignment horizontal="center" vertical="center"/>
    </xf>
    <xf numFmtId="164" fontId="31" fillId="2" borderId="19" xfId="2" applyFont="1" applyFill="1" applyBorder="1" applyAlignment="1">
      <alignment horizontal="center" vertical="center"/>
    </xf>
    <xf numFmtId="164" fontId="31" fillId="2" borderId="15" xfId="2" applyFont="1" applyFill="1" applyBorder="1" applyAlignment="1">
      <alignment horizontal="center" vertical="center"/>
    </xf>
    <xf numFmtId="164" fontId="31" fillId="2" borderId="8" xfId="2" applyFont="1" applyFill="1" applyBorder="1" applyAlignment="1">
      <alignment horizontal="center" vertical="center"/>
    </xf>
    <xf numFmtId="164" fontId="28" fillId="2" borderId="0" xfId="2" applyFont="1" applyFill="1" applyAlignment="1">
      <alignment horizontal="center" vertical="center"/>
    </xf>
    <xf numFmtId="164" fontId="34" fillId="2" borderId="8" xfId="2" applyFont="1" applyFill="1" applyBorder="1" applyAlignment="1">
      <alignment horizontal="center" vertical="center"/>
    </xf>
    <xf numFmtId="164" fontId="20" fillId="2" borderId="46" xfId="2" applyFont="1" applyFill="1" applyBorder="1" applyAlignment="1">
      <alignment horizontal="center" vertical="center" wrapText="1"/>
    </xf>
    <xf numFmtId="164" fontId="27" fillId="2" borderId="8" xfId="2" applyFont="1" applyFill="1" applyBorder="1" applyAlignment="1">
      <alignment horizontal="right" vertical="center"/>
    </xf>
    <xf numFmtId="164" fontId="27" fillId="2" borderId="0" xfId="2" applyFont="1" applyFill="1" applyAlignment="1">
      <alignment horizontal="right" vertical="center"/>
    </xf>
    <xf numFmtId="164" fontId="27" fillId="2" borderId="46" xfId="2" applyFont="1" applyFill="1" applyBorder="1" applyAlignment="1">
      <alignment horizontal="right" vertical="center"/>
    </xf>
    <xf numFmtId="0" fontId="18" fillId="2" borderId="38" xfId="0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164" fontId="17" fillId="2" borderId="52" xfId="2" applyFont="1" applyFill="1" applyBorder="1" applyAlignment="1">
      <alignment horizontal="center" vertical="center"/>
    </xf>
    <xf numFmtId="164" fontId="6" fillId="2" borderId="53" xfId="2" applyFont="1" applyFill="1" applyBorder="1" applyAlignment="1">
      <alignment horizontal="right" vertical="center" wrapText="1"/>
    </xf>
    <xf numFmtId="164" fontId="6" fillId="2" borderId="52" xfId="2" applyFont="1" applyFill="1" applyBorder="1" applyAlignment="1">
      <alignment horizontal="right" vertical="center" wrapText="1"/>
    </xf>
    <xf numFmtId="164" fontId="6" fillId="2" borderId="49" xfId="2" applyFont="1" applyFill="1" applyBorder="1" applyAlignment="1">
      <alignment horizontal="center" vertical="center"/>
    </xf>
    <xf numFmtId="164" fontId="6" fillId="2" borderId="51" xfId="2" applyFont="1" applyFill="1" applyBorder="1" applyAlignment="1">
      <alignment horizontal="center" vertical="center"/>
    </xf>
    <xf numFmtId="164" fontId="6" fillId="2" borderId="50" xfId="2" applyFont="1" applyFill="1" applyBorder="1" applyAlignment="1">
      <alignment horizontal="center" vertical="center"/>
    </xf>
  </cellXfs>
  <cellStyles count="23">
    <cellStyle name="1" xfId="15" xr:uid="{00000000-0005-0000-0000-000000000000}"/>
    <cellStyle name="Comma" xfId="1" builtinId="3"/>
    <cellStyle name="Comma 2" xfId="3" xr:uid="{00000000-0005-0000-0000-000002000000}"/>
    <cellStyle name="Comma 2 2" xfId="18" xr:uid="{48E8CCD3-C770-4AB0-8A19-B38BE3FD4A18}"/>
    <cellStyle name="Comma 3" xfId="14" xr:uid="{00000000-0005-0000-0000-000003000000}"/>
    <cellStyle name="Comma 4" xfId="8" xr:uid="{00000000-0005-0000-0000-000004000000}"/>
    <cellStyle name="Comma 4 2" xfId="19" xr:uid="{8F34C6FB-390F-4F5A-AB5F-93E3E739AA91}"/>
    <cellStyle name="Hyperlink 2" xfId="9" xr:uid="{00000000-0005-0000-0000-000005000000}"/>
    <cellStyle name="Normal" xfId="0" builtinId="0"/>
    <cellStyle name="Normal 2" xfId="2" xr:uid="{00000000-0005-0000-0000-000007000000}"/>
    <cellStyle name="Normal 2 2" xfId="20" xr:uid="{8E367283-515D-4612-BAC4-236186BD41B3}"/>
    <cellStyle name="Normal 2 3" xfId="11" xr:uid="{00000000-0005-0000-0000-000008000000}"/>
    <cellStyle name="Normal 3" xfId="6" xr:uid="{00000000-0005-0000-0000-000009000000}"/>
    <cellStyle name="Normal 3 2" xfId="12" xr:uid="{00000000-0005-0000-0000-00000A000000}"/>
    <cellStyle name="Normal 3 3" xfId="21" xr:uid="{49517F84-42EB-42C6-BF6E-68456CE66A1A}"/>
    <cellStyle name="Normal 4" xfId="7" xr:uid="{00000000-0005-0000-0000-00000B000000}"/>
    <cellStyle name="Normal 4 2" xfId="22" xr:uid="{B993CCAE-6F7A-4757-8F79-DA782D7FF014}"/>
    <cellStyle name="Normal 5" xfId="10" xr:uid="{00000000-0005-0000-0000-00000C000000}"/>
    <cellStyle name="Normal 6" xfId="13" xr:uid="{00000000-0005-0000-0000-00000D000000}"/>
    <cellStyle name="Normal 6 2" xfId="16" xr:uid="{0F4CAA6B-809C-4AB7-8802-87F8F4DEEF07}"/>
    <cellStyle name="Normal_IX-6(Trans &amp; Comm)" xfId="4" xr:uid="{00000000-0005-0000-0000-00000E000000}"/>
    <cellStyle name="Normal_X-5 (Electricity)" xfId="5" xr:uid="{00000000-0005-0000-0000-000012000000}"/>
    <cellStyle name="Percent 2" xfId="17" xr:uid="{E7FD0333-C679-428A-ADF6-79FC8E3774E4}"/>
  </cellStyles>
  <dxfs count="0"/>
  <tableStyles count="0" defaultTableStyle="TableStyleMedium2" defaultPivotStyle="PivotStyleLight16"/>
  <colors>
    <mruColors>
      <color rgb="FF33CCCC"/>
      <color rgb="FF249390"/>
      <color rgb="FF196563"/>
      <color rgb="FF57B7FF"/>
      <color rgb="FFFF9900"/>
      <color rgb="FFEAFAFA"/>
      <color rgb="FFCF9F6F"/>
      <color rgb="FF996633"/>
      <color rgb="FFC28446"/>
      <color rgb="FF66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100">
                <a:latin typeface="Consolas" pitchFamily="49" charset="0"/>
                <a:cs typeface="Consolas" pitchFamily="49" charset="0"/>
              </a:defRPr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 11.10: Passanger movement at Domestic airports, 2019</a:t>
            </a:r>
          </a:p>
        </c:rich>
      </c:tx>
      <c:layout>
        <c:manualLayout>
          <c:xMode val="edge"/>
          <c:yMode val="edge"/>
          <c:x val="0.26093412785515935"/>
          <c:y val="4.367609343924457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1035039001789891E-2"/>
          <c:y val="0.15175900044906082"/>
          <c:w val="0.89363709798202262"/>
          <c:h val="0.730538759673742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'11.15'!$AP$21</c:f>
              <c:strCache>
                <c:ptCount val="1"/>
                <c:pt idx="0">
                  <c:v>In</c:v>
                </c:pt>
              </c:strCache>
            </c:strRef>
          </c:tx>
          <c:spPr>
            <a:solidFill>
              <a:srgbClr val="9A4D00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'11.15'!$AP$22:$AP$30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DF-4A8D-B6BC-32BD3BA19818}"/>
            </c:ext>
          </c:extLst>
        </c:ser>
        <c:ser>
          <c:idx val="1"/>
          <c:order val="1"/>
          <c:tx>
            <c:strRef>
              <c:f>'11.15'!$AQ$21</c:f>
              <c:strCache>
                <c:ptCount val="1"/>
                <c:pt idx="0">
                  <c:v>Out</c:v>
                </c:pt>
              </c:strCache>
            </c:strRef>
          </c:tx>
          <c:spPr>
            <a:solidFill>
              <a:srgbClr val="CF9F6F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'11.15'!$AQ$22:$AQ$30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DF-4A8D-B6BC-32BD3BA198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2981960"/>
        <c:axId val="412978432"/>
      </c:barChart>
      <c:catAx>
        <c:axId val="412981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/>
            </a:pPr>
            <a:endParaRPr lang="en-US"/>
          </a:p>
        </c:txPr>
        <c:crossAx val="412978432"/>
        <c:crosses val="autoZero"/>
        <c:auto val="1"/>
        <c:lblAlgn val="ctr"/>
        <c:lblOffset val="100"/>
        <c:noMultiLvlLbl val="0"/>
      </c:catAx>
      <c:valAx>
        <c:axId val="41297843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7.1291299536675387E-3"/>
              <c:y val="0.3557682846174902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n-US"/>
          </a:p>
        </c:txPr>
        <c:crossAx val="412981960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7486452562396716"/>
          <c:y val="0.227916852781404"/>
          <c:w val="0.14073558596968916"/>
          <c:h val="9.5300486094918216E-2"/>
        </c:manualLayout>
      </c:layout>
      <c:overlay val="1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278" l="0.70000000000000062" r="0.70000000000000062" t="0.75000000000000278" header="0.30000000000000032" footer="0.3000000000000003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en-US" sz="1100" b="1" i="0" baseline="0">
                <a:effectLst/>
              </a:rPr>
              <a:t>Figure 11.12: International aircraft movements at Ibrahim Nasir International airport, 2018 </a:t>
            </a:r>
            <a:endParaRPr lang="en-US" sz="700">
              <a:effectLst/>
            </a:endParaRPr>
          </a:p>
        </c:rich>
      </c:tx>
      <c:layout>
        <c:manualLayout>
          <c:xMode val="edge"/>
          <c:yMode val="edge"/>
          <c:x val="0.15698713475385942"/>
          <c:y val="3.980171828415119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571225554871111E-2"/>
          <c:y val="0.17790155524102708"/>
          <c:w val="0.89587312365699012"/>
          <c:h val="0.73055589786783981"/>
        </c:manualLayout>
      </c:layout>
      <c:barChart>
        <c:barDir val="col"/>
        <c:grouping val="clustered"/>
        <c:varyColors val="0"/>
        <c:ser>
          <c:idx val="0"/>
          <c:order val="0"/>
          <c:tx>
            <c:v>Scheduled</c:v>
          </c:tx>
          <c:spPr>
            <a:solidFill>
              <a:schemeClr val="accent4">
                <a:lumMod val="60000"/>
                <a:lumOff val="40000"/>
              </a:schemeClr>
            </a:solidFill>
          </c:spPr>
          <c:invertIfNegative val="0"/>
          <c:cat>
            <c:strLit>
              <c:ptCount val="12"/>
              <c:pt idx="0">
                <c:v>Jan</c:v>
              </c:pt>
              <c:pt idx="1">
                <c:v>Feb</c:v>
              </c:pt>
              <c:pt idx="2">
                <c:v>March</c:v>
              </c:pt>
              <c:pt idx="3">
                <c:v>April</c:v>
              </c:pt>
              <c:pt idx="4">
                <c:v>May</c:v>
              </c:pt>
              <c:pt idx="5">
                <c:v>June</c:v>
              </c:pt>
              <c:pt idx="6">
                <c:v>July</c:v>
              </c:pt>
              <c:pt idx="7">
                <c:v>Aug</c:v>
              </c:pt>
              <c:pt idx="8">
                <c:v>Sep</c:v>
              </c:pt>
              <c:pt idx="9">
                <c:v>Oct</c:v>
              </c:pt>
              <c:pt idx="10">
                <c:v>Nov</c:v>
              </c:pt>
              <c:pt idx="11">
                <c:v>Dec</c:v>
              </c:pt>
            </c:strLit>
          </c:cat>
          <c:val>
            <c:numLit>
              <c:formatCode>General</c:formatCode>
              <c:ptCount val="12"/>
              <c:pt idx="0">
                <c:v>2116</c:v>
              </c:pt>
              <c:pt idx="1">
                <c:v>1980</c:v>
              </c:pt>
              <c:pt idx="2">
                <c:v>1938</c:v>
              </c:pt>
              <c:pt idx="3">
                <c:v>1726</c:v>
              </c:pt>
              <c:pt idx="4">
                <c:v>1614</c:v>
              </c:pt>
              <c:pt idx="5">
                <c:v>1612</c:v>
              </c:pt>
              <c:pt idx="6">
                <c:v>1732</c:v>
              </c:pt>
              <c:pt idx="7">
                <c:v>1666</c:v>
              </c:pt>
              <c:pt idx="8">
                <c:v>1618</c:v>
              </c:pt>
              <c:pt idx="9">
                <c:v>1856</c:v>
              </c:pt>
              <c:pt idx="10">
                <c:v>2132</c:v>
              </c:pt>
              <c:pt idx="11">
                <c:v>2290</c:v>
              </c:pt>
            </c:numLit>
          </c:val>
          <c:extLst>
            <c:ext xmlns:c16="http://schemas.microsoft.com/office/drawing/2014/chart" uri="{C3380CC4-5D6E-409C-BE32-E72D297353CC}">
              <c16:uniqueId val="{00000000-2FC6-4075-A702-C6E3D898E736}"/>
            </c:ext>
          </c:extLst>
        </c:ser>
        <c:ser>
          <c:idx val="2"/>
          <c:order val="2"/>
          <c:tx>
            <c:v>Non-Scheduled</c:v>
          </c:tx>
          <c:spPr>
            <a:solidFill>
              <a:schemeClr val="accent4">
                <a:lumMod val="50000"/>
              </a:schemeClr>
            </a:solidFill>
          </c:spPr>
          <c:invertIfNegative val="0"/>
          <c:cat>
            <c:strLit>
              <c:ptCount val="12"/>
              <c:pt idx="0">
                <c:v>Jan</c:v>
              </c:pt>
              <c:pt idx="1">
                <c:v>Feb</c:v>
              </c:pt>
              <c:pt idx="2">
                <c:v>March</c:v>
              </c:pt>
              <c:pt idx="3">
                <c:v>April</c:v>
              </c:pt>
              <c:pt idx="4">
                <c:v>May</c:v>
              </c:pt>
              <c:pt idx="5">
                <c:v>June</c:v>
              </c:pt>
              <c:pt idx="6">
                <c:v>July</c:v>
              </c:pt>
              <c:pt idx="7">
                <c:v>Aug</c:v>
              </c:pt>
              <c:pt idx="8">
                <c:v>Sep</c:v>
              </c:pt>
              <c:pt idx="9">
                <c:v>Oct</c:v>
              </c:pt>
              <c:pt idx="10">
                <c:v>Nov</c:v>
              </c:pt>
              <c:pt idx="11">
                <c:v>Dec</c:v>
              </c:pt>
            </c:strLit>
          </c:cat>
          <c:val>
            <c:numLit>
              <c:formatCode>General</c:formatCode>
              <c:ptCount val="12"/>
              <c:pt idx="0">
                <c:v>320</c:v>
              </c:pt>
              <c:pt idx="1">
                <c:v>162</c:v>
              </c:pt>
              <c:pt idx="2">
                <c:v>140</c:v>
              </c:pt>
              <c:pt idx="3">
                <c:v>192</c:v>
              </c:pt>
              <c:pt idx="4">
                <c:v>96</c:v>
              </c:pt>
              <c:pt idx="5">
                <c:v>48</c:v>
              </c:pt>
              <c:pt idx="6">
                <c:v>72</c:v>
              </c:pt>
              <c:pt idx="7">
                <c:v>58</c:v>
              </c:pt>
              <c:pt idx="8">
                <c:v>34</c:v>
              </c:pt>
              <c:pt idx="9">
                <c:v>20</c:v>
              </c:pt>
              <c:pt idx="10">
                <c:v>154</c:v>
              </c:pt>
              <c:pt idx="11">
                <c:v>244</c:v>
              </c:pt>
            </c:numLit>
          </c:val>
          <c:extLst>
            <c:ext xmlns:c16="http://schemas.microsoft.com/office/drawing/2014/chart" uri="{C3380CC4-5D6E-409C-BE32-E72D297353CC}">
              <c16:uniqueId val="{00000001-2FC6-4075-A702-C6E3D898E7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4"/>
        <c:axId val="412982352"/>
        <c:axId val="412977256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v>Chartered</c:v>
                </c:tx>
                <c:spPr>
                  <a:solidFill>
                    <a:srgbClr val="FAC090"/>
                  </a:solidFill>
                </c:spPr>
                <c:invertIfNegative val="0"/>
                <c:cat>
                  <c:strLit>
                    <c:ptCount val="12"/>
                    <c:pt idx="0">
                      <c:v>Jan</c:v>
                    </c:pt>
                    <c:pt idx="1">
                      <c:v>Feb</c:v>
                    </c:pt>
                    <c:pt idx="2">
                      <c:v>March</c:v>
                    </c:pt>
                    <c:pt idx="3">
                      <c:v>April</c:v>
                    </c:pt>
                    <c:pt idx="4">
                      <c:v>May</c:v>
                    </c:pt>
                    <c:pt idx="5">
                      <c:v>June</c:v>
                    </c:pt>
                    <c:pt idx="6">
                      <c:v>July</c:v>
                    </c:pt>
                    <c:pt idx="7">
                      <c:v>Aug</c:v>
                    </c:pt>
                    <c:pt idx="8">
                      <c:v>Sep</c:v>
                    </c:pt>
                    <c:pt idx="9">
                      <c:v>Oct</c:v>
                    </c:pt>
                    <c:pt idx="10">
                      <c:v>Nov</c:v>
                    </c:pt>
                    <c:pt idx="11">
                      <c:v>Dec</c:v>
                    </c:pt>
                  </c:strLit>
                </c:cat>
                <c:val>
                  <c:numLit>
                    <c:formatCode>General</c:formatCode>
                    <c:ptCount val="12"/>
                    <c:pt idx="0">
                      <c:v>0</c:v>
                    </c:pt>
                    <c:pt idx="1">
                      <c:v>0</c:v>
                    </c:pt>
                    <c:pt idx="2">
                      <c:v>0</c:v>
                    </c:pt>
                    <c:pt idx="3">
                      <c:v>0</c:v>
                    </c:pt>
                    <c:pt idx="4">
                      <c:v>0</c:v>
                    </c:pt>
                    <c:pt idx="5">
                      <c:v>0</c:v>
                    </c:pt>
                    <c:pt idx="6">
                      <c:v>0</c:v>
                    </c:pt>
                    <c:pt idx="7">
                      <c:v>0</c:v>
                    </c:pt>
                    <c:pt idx="8">
                      <c:v>0</c:v>
                    </c:pt>
                    <c:pt idx="9">
                      <c:v>0</c:v>
                    </c:pt>
                    <c:pt idx="10">
                      <c:v>0</c:v>
                    </c:pt>
                    <c:pt idx="11">
                      <c:v>0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2FC6-4075-A702-C6E3D898E736}"/>
                  </c:ext>
                </c:extLst>
              </c15:ser>
            </c15:filteredBarSeries>
          </c:ext>
        </c:extLst>
      </c:barChart>
      <c:catAx>
        <c:axId val="412982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412977256"/>
        <c:crosses val="autoZero"/>
        <c:auto val="1"/>
        <c:lblAlgn val="ctr"/>
        <c:lblOffset val="100"/>
        <c:noMultiLvlLbl val="0"/>
      </c:catAx>
      <c:valAx>
        <c:axId val="412977256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525">
            <a:noFill/>
          </a:ln>
        </c:spPr>
        <c:txPr>
          <a:bodyPr/>
          <a:lstStyle/>
          <a:p>
            <a:pPr>
              <a:defRPr sz="900"/>
            </a:pPr>
            <a:endParaRPr lang="en-US"/>
          </a:p>
        </c:txPr>
        <c:crossAx val="412982352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legend>
      <c:legendPos val="t"/>
      <c:layout>
        <c:manualLayout>
          <c:xMode val="edge"/>
          <c:yMode val="edge"/>
          <c:x val="0.40934008744283451"/>
          <c:y val="0.21476779063409662"/>
          <c:w val="0.27913190830982315"/>
          <c:h val="7.3739041729491708E-2"/>
        </c:manualLayout>
      </c:layout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en-US" sz="1050" b="1" i="0" baseline="0">
                <a:effectLst/>
              </a:rPr>
              <a:t>Figure 11.13: Domestic aircraft  movements at at Velana International airport, 2025 </a:t>
            </a:r>
            <a:endParaRPr lang="en-US" sz="1050">
              <a:effectLst/>
            </a:endParaRPr>
          </a:p>
        </c:rich>
      </c:tx>
      <c:layout>
        <c:manualLayout>
          <c:xMode val="edge"/>
          <c:yMode val="edge"/>
          <c:x val="0.17992726940970508"/>
          <c:y val="3.482573203688741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571225554871111E-2"/>
          <c:y val="0.17790155524102708"/>
          <c:w val="0.89587312365699012"/>
          <c:h val="0.7305558978678398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'11.18'!$H$4</c:f>
              <c:strCache>
                <c:ptCount val="1"/>
                <c:pt idx="0">
                  <c:v>Scheduled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</c:spPr>
          <c:invertIfNegative val="0"/>
          <c:cat>
            <c:strRef>
              <c:f>'11.18'!$A$6:$A$17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'11.18'!$H$6:$H$17</c:f>
              <c:numCache>
                <c:formatCode>#,##0</c:formatCode>
                <c:ptCount val="12"/>
                <c:pt idx="0">
                  <c:v>2548</c:v>
                </c:pt>
                <c:pt idx="1">
                  <c:v>2408</c:v>
                </c:pt>
                <c:pt idx="2">
                  <c:v>2452</c:v>
                </c:pt>
                <c:pt idx="3">
                  <c:v>2204</c:v>
                </c:pt>
                <c:pt idx="4">
                  <c:v>1820</c:v>
                </c:pt>
                <c:pt idx="5">
                  <c:v>2128</c:v>
                </c:pt>
                <c:pt idx="6">
                  <c:v>2090</c:v>
                </c:pt>
                <c:pt idx="7">
                  <c:v>2176</c:v>
                </c:pt>
                <c:pt idx="8">
                  <c:v>1952</c:v>
                </c:pt>
                <c:pt idx="9">
                  <c:v>2070</c:v>
                </c:pt>
                <c:pt idx="10">
                  <c:v>2342</c:v>
                </c:pt>
                <c:pt idx="11">
                  <c:v>2524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0C-49C9-8689-CFB43F94081F}"/>
            </c:ext>
          </c:extLst>
        </c:ser>
        <c:ser>
          <c:idx val="1"/>
          <c:order val="1"/>
          <c:tx>
            <c:strRef>
              <c:f>'11.18'!$I$4</c:f>
              <c:strCache>
                <c:ptCount val="1"/>
                <c:pt idx="0">
                  <c:v>Non-Scheduled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</c:spPr>
          <c:invertIfNegative val="0"/>
          <c:cat>
            <c:strRef>
              <c:f>'11.18'!$A$6:$A$17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'11.18'!$I$6:$I$17</c:f>
              <c:numCache>
                <c:formatCode>#,##0</c:formatCode>
                <c:ptCount val="12"/>
                <c:pt idx="0">
                  <c:v>17687</c:v>
                </c:pt>
                <c:pt idx="1">
                  <c:v>17278</c:v>
                </c:pt>
                <c:pt idx="2">
                  <c:v>16586</c:v>
                </c:pt>
                <c:pt idx="3">
                  <c:v>17302</c:v>
                </c:pt>
                <c:pt idx="4">
                  <c:v>12598</c:v>
                </c:pt>
                <c:pt idx="5">
                  <c:v>12000</c:v>
                </c:pt>
                <c:pt idx="6">
                  <c:v>15210</c:v>
                </c:pt>
                <c:pt idx="7">
                  <c:v>16080</c:v>
                </c:pt>
                <c:pt idx="8">
                  <c:v>12127</c:v>
                </c:pt>
                <c:pt idx="9">
                  <c:v>16093</c:v>
                </c:pt>
                <c:pt idx="10">
                  <c:v>16500</c:v>
                </c:pt>
                <c:pt idx="11">
                  <c:v>18062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0C-49C9-8689-CFB43F9408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4"/>
        <c:axId val="412978040"/>
        <c:axId val="412975296"/>
      </c:barChart>
      <c:catAx>
        <c:axId val="4129780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412975296"/>
        <c:crosses val="autoZero"/>
        <c:auto val="1"/>
        <c:lblAlgn val="ctr"/>
        <c:lblOffset val="100"/>
        <c:noMultiLvlLbl val="0"/>
      </c:catAx>
      <c:valAx>
        <c:axId val="412975296"/>
        <c:scaling>
          <c:orientation val="minMax"/>
          <c:max val="20000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525">
            <a:noFill/>
          </a:ln>
        </c:spPr>
        <c:txPr>
          <a:bodyPr/>
          <a:lstStyle/>
          <a:p>
            <a:pPr>
              <a:defRPr sz="900"/>
            </a:pPr>
            <a:endParaRPr lang="en-US"/>
          </a:p>
        </c:txPr>
        <c:crossAx val="412978040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legend>
      <c:legendPos val="t"/>
      <c:layout>
        <c:manualLayout>
          <c:xMode val="edge"/>
          <c:yMode val="edge"/>
          <c:x val="0.39168738418540799"/>
          <c:y val="0.21091652492876864"/>
          <c:w val="0.249562887705949"/>
          <c:h val="7.7518681881717538E-2"/>
        </c:manualLayout>
      </c:layout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en-US" sz="1100" b="1" i="0" baseline="0">
                <a:effectLst/>
              </a:rPr>
              <a:t>Figure 11.12: International aircraft movements at Velana International airport, 2025 </a:t>
            </a:r>
            <a:endParaRPr lang="en-US" sz="700">
              <a:effectLst/>
            </a:endParaRPr>
          </a:p>
        </c:rich>
      </c:tx>
      <c:layout>
        <c:manualLayout>
          <c:xMode val="edge"/>
          <c:yMode val="edge"/>
          <c:x val="0.15698713475385942"/>
          <c:y val="3.980171828415119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5900623056199873E-2"/>
          <c:y val="0.16243976644354782"/>
          <c:w val="0.89587312365699012"/>
          <c:h val="0.7344214534944594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'11.18'!$D$4</c:f>
              <c:strCache>
                <c:ptCount val="1"/>
                <c:pt idx="0">
                  <c:v>Scheduled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</c:spPr>
          <c:invertIfNegative val="0"/>
          <c:cat>
            <c:strRef>
              <c:f>'11.18'!$A$6:$A$17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'11.18'!$D$6:$D$17</c:f>
              <c:numCache>
                <c:formatCode>#,##0</c:formatCode>
                <c:ptCount val="12"/>
                <c:pt idx="0">
                  <c:v>3194</c:v>
                </c:pt>
                <c:pt idx="1">
                  <c:v>2778</c:v>
                </c:pt>
                <c:pt idx="2">
                  <c:v>2920</c:v>
                </c:pt>
                <c:pt idx="3">
                  <c:v>2730</c:v>
                </c:pt>
                <c:pt idx="4">
                  <c:v>2306</c:v>
                </c:pt>
                <c:pt idx="5">
                  <c:v>2256</c:v>
                </c:pt>
                <c:pt idx="6">
                  <c:v>2478</c:v>
                </c:pt>
                <c:pt idx="7">
                  <c:v>2570</c:v>
                </c:pt>
                <c:pt idx="8">
                  <c:v>2292</c:v>
                </c:pt>
                <c:pt idx="9">
                  <c:v>2506</c:v>
                </c:pt>
                <c:pt idx="10">
                  <c:v>2730</c:v>
                </c:pt>
                <c:pt idx="11">
                  <c:v>3122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C6-4075-A702-C6E3D898E736}"/>
            </c:ext>
          </c:extLst>
        </c:ser>
        <c:ser>
          <c:idx val="1"/>
          <c:order val="1"/>
          <c:tx>
            <c:strRef>
              <c:f>'11.18'!$E$4</c:f>
              <c:strCache>
                <c:ptCount val="1"/>
                <c:pt idx="0">
                  <c:v>Chartered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</c:spPr>
          <c:invertIfNegative val="0"/>
          <c:cat>
            <c:strRef>
              <c:f>'11.18'!$A$6:$A$17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'11.18'!$E$6:$E$17</c:f>
              <c:numCache>
                <c:formatCode>#,##0</c:formatCode>
                <c:ptCount val="12"/>
                <c:pt idx="0">
                  <c:v>60</c:v>
                </c:pt>
                <c:pt idx="1">
                  <c:v>34</c:v>
                </c:pt>
                <c:pt idx="2">
                  <c:v>60</c:v>
                </c:pt>
                <c:pt idx="3">
                  <c:v>26</c:v>
                </c:pt>
                <c:pt idx="4">
                  <c:v>34</c:v>
                </c:pt>
                <c:pt idx="5">
                  <c:v>64</c:v>
                </c:pt>
                <c:pt idx="6">
                  <c:v>82</c:v>
                </c:pt>
                <c:pt idx="7">
                  <c:v>100</c:v>
                </c:pt>
                <c:pt idx="8">
                  <c:v>76</c:v>
                </c:pt>
                <c:pt idx="9">
                  <c:v>80</c:v>
                </c:pt>
                <c:pt idx="10">
                  <c:v>122</c:v>
                </c:pt>
                <c:pt idx="11">
                  <c:v>148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2-2FC6-4075-A702-C6E3D898E736}"/>
            </c:ext>
          </c:extLst>
        </c:ser>
        <c:ser>
          <c:idx val="2"/>
          <c:order val="2"/>
          <c:tx>
            <c:strRef>
              <c:f>'11.18'!$F$4</c:f>
              <c:strCache>
                <c:ptCount val="1"/>
                <c:pt idx="0">
                  <c:v>Non-Scheduled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</c:spPr>
          <c:invertIfNegative val="0"/>
          <c:cat>
            <c:strRef>
              <c:f>'11.18'!$A$6:$A$17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'11.18'!$F$6:$F$17</c:f>
              <c:numCache>
                <c:formatCode>#,##0</c:formatCode>
                <c:ptCount val="12"/>
                <c:pt idx="0">
                  <c:v>334</c:v>
                </c:pt>
                <c:pt idx="1">
                  <c:v>210</c:v>
                </c:pt>
                <c:pt idx="2">
                  <c:v>170</c:v>
                </c:pt>
                <c:pt idx="3">
                  <c:v>212</c:v>
                </c:pt>
                <c:pt idx="4">
                  <c:v>160</c:v>
                </c:pt>
                <c:pt idx="5">
                  <c:v>68</c:v>
                </c:pt>
                <c:pt idx="6">
                  <c:v>132</c:v>
                </c:pt>
                <c:pt idx="7">
                  <c:v>144</c:v>
                </c:pt>
                <c:pt idx="8">
                  <c:v>64</c:v>
                </c:pt>
                <c:pt idx="9">
                  <c:v>182</c:v>
                </c:pt>
                <c:pt idx="10">
                  <c:v>144</c:v>
                </c:pt>
                <c:pt idx="11">
                  <c:v>220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C6-4075-A702-C6E3D898E7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4"/>
        <c:axId val="412979608"/>
        <c:axId val="412976472"/>
        <c:extLst/>
      </c:barChart>
      <c:catAx>
        <c:axId val="41297960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412976472"/>
        <c:crosses val="autoZero"/>
        <c:auto val="1"/>
        <c:lblAlgn val="ctr"/>
        <c:lblOffset val="100"/>
        <c:noMultiLvlLbl val="0"/>
      </c:catAx>
      <c:valAx>
        <c:axId val="412976472"/>
        <c:scaling>
          <c:orientation val="minMax"/>
          <c:max val="3500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525">
            <a:noFill/>
          </a:ln>
        </c:spPr>
        <c:txPr>
          <a:bodyPr/>
          <a:lstStyle/>
          <a:p>
            <a:pPr>
              <a:defRPr sz="900"/>
            </a:pPr>
            <a:endParaRPr lang="en-US"/>
          </a:p>
        </c:txPr>
        <c:crossAx val="412979608"/>
        <c:crosses val="autoZero"/>
        <c:crossBetween val="between"/>
        <c:majorUnit val="500"/>
      </c:valAx>
      <c:spPr>
        <a:ln>
          <a:solidFill>
            <a:schemeClr val="bg1">
              <a:lumMod val="75000"/>
            </a:schemeClr>
          </a:solidFill>
        </a:ln>
      </c:spPr>
    </c:plotArea>
    <c:legend>
      <c:legendPos val="t"/>
      <c:layout>
        <c:manualLayout>
          <c:xMode val="edge"/>
          <c:yMode val="edge"/>
          <c:x val="0.28040385114984312"/>
          <c:y val="0.19157513275589352"/>
          <c:w val="0.40276942555962336"/>
          <c:h val="7.3739041729491708E-2"/>
        </c:manualLayout>
      </c:layout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21</xdr:row>
      <xdr:rowOff>0</xdr:rowOff>
    </xdr:from>
    <xdr:to>
      <xdr:col>22</xdr:col>
      <xdr:colOff>581025</xdr:colOff>
      <xdr:row>37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524847</xdr:colOff>
      <xdr:row>21</xdr:row>
      <xdr:rowOff>77755</xdr:rowOff>
    </xdr:from>
    <xdr:to>
      <xdr:col>8</xdr:col>
      <xdr:colOff>787270</xdr:colOff>
      <xdr:row>21</xdr:row>
      <xdr:rowOff>77755</xdr:rowOff>
    </xdr:to>
    <xdr:sp macro="" textlink="">
      <xdr:nvSpPr>
        <xdr:cNvPr id="4" name="Line 4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>
          <a:spLocks noChangeShapeType="1"/>
        </xdr:cNvSpPr>
      </xdr:nvSpPr>
      <xdr:spPr bwMode="auto">
        <a:xfrm flipV="1">
          <a:off x="1305897" y="12565030"/>
          <a:ext cx="5386873" cy="0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0</xdr:col>
      <xdr:colOff>437374</xdr:colOff>
      <xdr:row>19</xdr:row>
      <xdr:rowOff>223546</xdr:rowOff>
    </xdr:from>
    <xdr:to>
      <xdr:col>9</xdr:col>
      <xdr:colOff>789799</xdr:colOff>
      <xdr:row>37</xdr:row>
      <xdr:rowOff>89615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515128</xdr:colOff>
      <xdr:row>20</xdr:row>
      <xdr:rowOff>106913</xdr:rowOff>
    </xdr:from>
    <xdr:to>
      <xdr:col>1</xdr:col>
      <xdr:colOff>592883</xdr:colOff>
      <xdr:row>21</xdr:row>
      <xdr:rowOff>58316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 txBox="1"/>
      </xdr:nvSpPr>
      <xdr:spPr>
        <a:xfrm>
          <a:off x="515128" y="12356063"/>
          <a:ext cx="858805" cy="1895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 numbers</a:t>
          </a:r>
          <a:endParaRPr lang="en-US">
            <a:effectLst/>
          </a:endParaRPr>
        </a:p>
        <a:p>
          <a:endParaRPr lang="en-US" sz="1100"/>
        </a:p>
      </xdr:txBody>
    </xdr:sp>
    <xdr:clientData/>
  </xdr:twoCellAnchor>
  <xdr:twoCellAnchor>
    <xdr:from>
      <xdr:col>0</xdr:col>
      <xdr:colOff>409575</xdr:colOff>
      <xdr:row>38</xdr:row>
      <xdr:rowOff>151897</xdr:rowOff>
    </xdr:from>
    <xdr:to>
      <xdr:col>9</xdr:col>
      <xdr:colOff>762000</xdr:colOff>
      <xdr:row>57</xdr:row>
      <xdr:rowOff>47123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524847</xdr:colOff>
      <xdr:row>21</xdr:row>
      <xdr:rowOff>77755</xdr:rowOff>
    </xdr:from>
    <xdr:to>
      <xdr:col>8</xdr:col>
      <xdr:colOff>787270</xdr:colOff>
      <xdr:row>21</xdr:row>
      <xdr:rowOff>77755</xdr:rowOff>
    </xdr:to>
    <xdr:sp macro="" textlink="">
      <xdr:nvSpPr>
        <xdr:cNvPr id="10" name="Line 4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>
          <a:spLocks noChangeShapeType="1"/>
        </xdr:cNvSpPr>
      </xdr:nvSpPr>
      <xdr:spPr bwMode="auto">
        <a:xfrm flipV="1">
          <a:off x="1305897" y="11650630"/>
          <a:ext cx="5386873" cy="0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0</xdr:col>
      <xdr:colOff>437374</xdr:colOff>
      <xdr:row>19</xdr:row>
      <xdr:rowOff>223546</xdr:rowOff>
    </xdr:from>
    <xdr:to>
      <xdr:col>9</xdr:col>
      <xdr:colOff>789799</xdr:colOff>
      <xdr:row>37</xdr:row>
      <xdr:rowOff>89615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534178</xdr:colOff>
      <xdr:row>21</xdr:row>
      <xdr:rowOff>30713</xdr:rowOff>
    </xdr:from>
    <xdr:to>
      <xdr:col>1</xdr:col>
      <xdr:colOff>611933</xdr:colOff>
      <xdr:row>22</xdr:row>
      <xdr:rowOff>85725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 txBox="1"/>
      </xdr:nvSpPr>
      <xdr:spPr>
        <a:xfrm>
          <a:off x="534178" y="12308438"/>
          <a:ext cx="858805" cy="2836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 numbers</a:t>
          </a:r>
          <a:endParaRPr lang="en-US">
            <a:effectLst/>
          </a:endParaRPr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CB60"/>
  <sheetViews>
    <sheetView zoomScaleNormal="100" workbookViewId="0">
      <selection activeCell="A2" sqref="A2:AB2"/>
    </sheetView>
  </sheetViews>
  <sheetFormatPr defaultColWidth="9.140625" defaultRowHeight="15"/>
  <cols>
    <col min="1" max="3" width="12.5703125" style="1" customWidth="1"/>
    <col min="4" max="4" width="2.42578125" style="1" customWidth="1"/>
    <col min="5" max="6" width="12.5703125" style="1" customWidth="1"/>
    <col min="7" max="7" width="2" style="1" customWidth="1"/>
    <col min="8" max="9" width="12.5703125" style="1" customWidth="1"/>
    <col min="10" max="10" width="2.28515625" style="1" customWidth="1"/>
    <col min="11" max="12" width="12.5703125" style="1" customWidth="1"/>
    <col min="13" max="13" width="2.28515625" style="1" customWidth="1"/>
    <col min="14" max="15" width="12.5703125" style="1" customWidth="1"/>
    <col min="16" max="16" width="1.28515625" style="1" customWidth="1"/>
    <col min="17" max="17" width="9.7109375" style="1" customWidth="1"/>
    <col min="18" max="18" width="11.140625" style="1" customWidth="1"/>
    <col min="19" max="19" width="1.28515625" style="1" customWidth="1"/>
    <col min="20" max="20" width="9.7109375" style="1" customWidth="1"/>
    <col min="21" max="21" width="11.140625" style="1" customWidth="1"/>
    <col min="22" max="22" width="1.28515625" style="1" customWidth="1"/>
    <col min="23" max="23" width="9.7109375" style="1" customWidth="1"/>
    <col min="24" max="24" width="11.140625" style="1" customWidth="1"/>
    <col min="25" max="25" width="1.28515625" style="1" customWidth="1"/>
    <col min="26" max="27" width="9.7109375" style="1" customWidth="1"/>
    <col min="28" max="28" width="13.7109375" style="1" customWidth="1"/>
    <col min="29" max="40" width="9.140625" style="1"/>
    <col min="41" max="41" width="25.7109375" style="1" customWidth="1"/>
    <col min="42" max="16384" width="9.140625" style="1"/>
  </cols>
  <sheetData>
    <row r="1" spans="1:29" ht="18">
      <c r="A1" s="162" t="s">
        <v>68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2"/>
      <c r="V1" s="162"/>
      <c r="W1" s="162"/>
      <c r="X1" s="162"/>
      <c r="Y1" s="162"/>
      <c r="Z1" s="162"/>
      <c r="AA1" s="162"/>
      <c r="AB1" s="162"/>
    </row>
    <row r="2" spans="1:29" ht="15.75">
      <c r="A2" s="124" t="s">
        <v>69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4"/>
      <c r="T2" s="124"/>
      <c r="U2" s="124"/>
      <c r="V2" s="124"/>
      <c r="W2" s="124"/>
      <c r="X2" s="124"/>
      <c r="Y2" s="124"/>
      <c r="Z2" s="124"/>
      <c r="AA2" s="124"/>
      <c r="AB2" s="124"/>
    </row>
    <row r="4" spans="1:29" s="11" customFormat="1" ht="19.5">
      <c r="A4" s="125" t="s">
        <v>9</v>
      </c>
      <c r="B4" s="163" t="s">
        <v>36</v>
      </c>
      <c r="C4" s="163"/>
      <c r="D4" s="86"/>
      <c r="E4" s="163" t="s">
        <v>37</v>
      </c>
      <c r="F4" s="163"/>
      <c r="G4" s="86"/>
      <c r="H4" s="163" t="s">
        <v>38</v>
      </c>
      <c r="I4" s="163"/>
      <c r="J4" s="86"/>
      <c r="K4" s="163" t="s">
        <v>39</v>
      </c>
      <c r="L4" s="163"/>
      <c r="M4" s="86"/>
      <c r="N4" s="163" t="s">
        <v>40</v>
      </c>
      <c r="O4" s="163"/>
      <c r="P4" s="86"/>
      <c r="Q4" s="163" t="s">
        <v>41</v>
      </c>
      <c r="R4" s="163"/>
      <c r="S4" s="86"/>
      <c r="T4" s="163" t="s">
        <v>42</v>
      </c>
      <c r="U4" s="163"/>
      <c r="V4" s="86"/>
      <c r="W4" s="163" t="s">
        <v>43</v>
      </c>
      <c r="X4" s="163"/>
      <c r="Y4" s="86"/>
      <c r="Z4" s="163" t="s">
        <v>44</v>
      </c>
      <c r="AA4" s="163"/>
      <c r="AB4" s="165" t="s">
        <v>11</v>
      </c>
    </row>
    <row r="5" spans="1:29" s="16" customFormat="1" ht="15" customHeight="1">
      <c r="A5" s="127"/>
      <c r="B5" s="164" t="s">
        <v>45</v>
      </c>
      <c r="C5" s="164"/>
      <c r="D5" s="15"/>
      <c r="E5" s="164" t="s">
        <v>46</v>
      </c>
      <c r="F5" s="164"/>
      <c r="G5" s="15"/>
      <c r="H5" s="164" t="s">
        <v>47</v>
      </c>
      <c r="I5" s="164"/>
      <c r="J5" s="15"/>
      <c r="K5" s="164" t="s">
        <v>48</v>
      </c>
      <c r="L5" s="164"/>
      <c r="M5" s="15"/>
      <c r="N5" s="164" t="s">
        <v>49</v>
      </c>
      <c r="O5" s="164"/>
      <c r="P5" s="15"/>
      <c r="Q5" s="164" t="s">
        <v>50</v>
      </c>
      <c r="R5" s="164"/>
      <c r="S5" s="15"/>
      <c r="T5" s="164" t="s">
        <v>51</v>
      </c>
      <c r="U5" s="164"/>
      <c r="V5" s="15"/>
      <c r="W5" s="164" t="s">
        <v>52</v>
      </c>
      <c r="X5" s="164"/>
      <c r="Y5" s="15"/>
      <c r="Z5" s="164" t="s">
        <v>53</v>
      </c>
      <c r="AA5" s="164"/>
      <c r="AB5" s="166"/>
      <c r="AC5" s="3"/>
    </row>
    <row r="6" spans="1:29" s="82" customFormat="1" ht="14.25">
      <c r="A6" s="127"/>
      <c r="B6" s="72" t="s">
        <v>0</v>
      </c>
      <c r="C6" s="72" t="s">
        <v>1</v>
      </c>
      <c r="D6" s="72"/>
      <c r="E6" s="72" t="s">
        <v>0</v>
      </c>
      <c r="F6" s="72" t="s">
        <v>1</v>
      </c>
      <c r="G6" s="72"/>
      <c r="H6" s="72" t="s">
        <v>0</v>
      </c>
      <c r="I6" s="72" t="s">
        <v>1</v>
      </c>
      <c r="J6" s="72"/>
      <c r="K6" s="72" t="s">
        <v>0</v>
      </c>
      <c r="L6" s="72" t="s">
        <v>1</v>
      </c>
      <c r="M6" s="72"/>
      <c r="N6" s="72" t="s">
        <v>0</v>
      </c>
      <c r="O6" s="72" t="s">
        <v>1</v>
      </c>
      <c r="P6" s="72"/>
      <c r="Q6" s="72" t="s">
        <v>0</v>
      </c>
      <c r="R6" s="72" t="s">
        <v>1</v>
      </c>
      <c r="S6" s="72"/>
      <c r="T6" s="72" t="s">
        <v>0</v>
      </c>
      <c r="U6" s="72" t="s">
        <v>1</v>
      </c>
      <c r="V6" s="72"/>
      <c r="W6" s="72" t="s">
        <v>0</v>
      </c>
      <c r="X6" s="72" t="s">
        <v>1</v>
      </c>
      <c r="Y6" s="72"/>
      <c r="Z6" s="72" t="s">
        <v>0</v>
      </c>
      <c r="AA6" s="72" t="s">
        <v>1</v>
      </c>
      <c r="AB6" s="166"/>
    </row>
    <row r="7" spans="1:29" s="16" customFormat="1" ht="14.25">
      <c r="A7" s="126"/>
      <c r="B7" s="74" t="s">
        <v>2</v>
      </c>
      <c r="C7" s="74" t="s">
        <v>3</v>
      </c>
      <c r="D7" s="74"/>
      <c r="E7" s="74" t="s">
        <v>2</v>
      </c>
      <c r="F7" s="74" t="s">
        <v>3</v>
      </c>
      <c r="G7" s="74"/>
      <c r="H7" s="74" t="s">
        <v>2</v>
      </c>
      <c r="I7" s="74" t="s">
        <v>3</v>
      </c>
      <c r="J7" s="74"/>
      <c r="K7" s="74" t="s">
        <v>2</v>
      </c>
      <c r="L7" s="74" t="s">
        <v>3</v>
      </c>
      <c r="M7" s="74"/>
      <c r="N7" s="74" t="s">
        <v>2</v>
      </c>
      <c r="O7" s="74" t="s">
        <v>3</v>
      </c>
      <c r="P7" s="74"/>
      <c r="Q7" s="74" t="s">
        <v>2</v>
      </c>
      <c r="R7" s="74" t="s">
        <v>3</v>
      </c>
      <c r="S7" s="74"/>
      <c r="T7" s="74" t="s">
        <v>2</v>
      </c>
      <c r="U7" s="74" t="s">
        <v>3</v>
      </c>
      <c r="V7" s="74"/>
      <c r="W7" s="74" t="s">
        <v>2</v>
      </c>
      <c r="X7" s="74" t="s">
        <v>3</v>
      </c>
      <c r="Y7" s="74"/>
      <c r="Z7" s="74" t="s">
        <v>2</v>
      </c>
      <c r="AA7" s="74" t="s">
        <v>3</v>
      </c>
      <c r="AB7" s="167"/>
    </row>
    <row r="8" spans="1:29" s="11" customFormat="1" ht="15.75">
      <c r="A8" s="4" t="s">
        <v>4</v>
      </c>
      <c r="B8" s="17">
        <f>SUM(B9:B20)</f>
        <v>0</v>
      </c>
      <c r="C8" s="17">
        <f>SUM(C9:C20)</f>
        <v>0</v>
      </c>
      <c r="D8" s="17"/>
      <c r="E8" s="17">
        <f>SUM(E9:E20)</f>
        <v>0</v>
      </c>
      <c r="F8" s="17">
        <f>SUM(F9:F20)</f>
        <v>0</v>
      </c>
      <c r="G8" s="17"/>
      <c r="H8" s="17">
        <f>SUM(H9:H20)</f>
        <v>0</v>
      </c>
      <c r="I8" s="17">
        <f>SUM(I9:I20)</f>
        <v>0</v>
      </c>
      <c r="J8" s="17"/>
      <c r="K8" s="17">
        <f>SUM(K9:K20)</f>
        <v>0</v>
      </c>
      <c r="L8" s="17">
        <f>SUM(L9:L20)</f>
        <v>0</v>
      </c>
      <c r="M8" s="17"/>
      <c r="N8" s="17">
        <f>SUM(N9:N20)</f>
        <v>0</v>
      </c>
      <c r="O8" s="17">
        <f>SUM(O9:O20)</f>
        <v>0</v>
      </c>
      <c r="P8" s="17"/>
      <c r="Q8" s="17">
        <f>SUM(Q9:Q20)</f>
        <v>0</v>
      </c>
      <c r="R8" s="17">
        <f>SUM(R9:R20)</f>
        <v>0</v>
      </c>
      <c r="S8" s="17"/>
      <c r="T8" s="17">
        <f>SUM(T9:T20)</f>
        <v>0</v>
      </c>
      <c r="U8" s="17">
        <f>SUM(U9:U20)</f>
        <v>0</v>
      </c>
      <c r="V8" s="17"/>
      <c r="W8" s="17">
        <f>SUM(W9:W20)</f>
        <v>0</v>
      </c>
      <c r="X8" s="17">
        <f>SUM(X9:X20)</f>
        <v>0</v>
      </c>
      <c r="Y8" s="18"/>
      <c r="Z8" s="17">
        <f>SUM(Z9:Z20)</f>
        <v>0</v>
      </c>
      <c r="AA8" s="17">
        <f>SUM(AA9:AA20)</f>
        <v>0</v>
      </c>
      <c r="AB8" s="81" t="s">
        <v>5</v>
      </c>
    </row>
    <row r="9" spans="1:29" s="11" customFormat="1" ht="15.75">
      <c r="A9" s="5" t="s">
        <v>12</v>
      </c>
      <c r="B9" s="98"/>
      <c r="C9" s="98"/>
      <c r="D9" s="98"/>
      <c r="E9" s="99"/>
      <c r="F9" s="99"/>
      <c r="G9" s="99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100"/>
      <c r="Z9" s="100"/>
      <c r="AA9" s="100"/>
      <c r="AB9" s="83" t="s">
        <v>13</v>
      </c>
    </row>
    <row r="10" spans="1:29" s="11" customFormat="1" ht="15.75">
      <c r="A10" s="5" t="s">
        <v>14</v>
      </c>
      <c r="B10" s="98"/>
      <c r="C10" s="98"/>
      <c r="D10" s="98"/>
      <c r="E10" s="99"/>
      <c r="F10" s="99"/>
      <c r="G10" s="99"/>
      <c r="H10" s="98"/>
      <c r="I10" s="98"/>
      <c r="J10" s="98"/>
      <c r="K10" s="98"/>
      <c r="L10" s="98"/>
      <c r="M10" s="98"/>
      <c r="N10" s="98"/>
      <c r="O10" s="98"/>
      <c r="P10" s="98"/>
      <c r="Q10" s="98"/>
      <c r="R10" s="98"/>
      <c r="S10" s="98"/>
      <c r="T10" s="98"/>
      <c r="U10" s="98"/>
      <c r="V10" s="98"/>
      <c r="W10" s="98"/>
      <c r="X10" s="98"/>
      <c r="Y10" s="100"/>
      <c r="Z10" s="100"/>
      <c r="AA10" s="100"/>
      <c r="AB10" s="83" t="s">
        <v>15</v>
      </c>
    </row>
    <row r="11" spans="1:29" s="11" customFormat="1" ht="15.75">
      <c r="A11" s="5" t="s">
        <v>16</v>
      </c>
      <c r="B11" s="98"/>
      <c r="C11" s="98"/>
      <c r="D11" s="98"/>
      <c r="E11" s="99"/>
      <c r="F11" s="99"/>
      <c r="G11" s="99"/>
      <c r="H11" s="98"/>
      <c r="I11" s="98"/>
      <c r="J11" s="98"/>
      <c r="K11" s="98"/>
      <c r="L11" s="98"/>
      <c r="M11" s="98"/>
      <c r="N11" s="98"/>
      <c r="O11" s="98"/>
      <c r="P11" s="98"/>
      <c r="Q11" s="98"/>
      <c r="R11" s="98"/>
      <c r="S11" s="98"/>
      <c r="T11" s="98"/>
      <c r="U11" s="98"/>
      <c r="V11" s="98"/>
      <c r="W11" s="98"/>
      <c r="X11" s="98"/>
      <c r="Y11" s="100"/>
      <c r="Z11" s="100"/>
      <c r="AA11" s="100"/>
      <c r="AB11" s="83" t="s">
        <v>17</v>
      </c>
    </row>
    <row r="12" spans="1:29" s="11" customFormat="1" ht="15.75">
      <c r="A12" s="5" t="s">
        <v>18</v>
      </c>
      <c r="B12" s="98"/>
      <c r="C12" s="98"/>
      <c r="D12" s="98"/>
      <c r="E12" s="99"/>
      <c r="F12" s="99"/>
      <c r="G12" s="99"/>
      <c r="H12" s="98"/>
      <c r="I12" s="98"/>
      <c r="J12" s="98"/>
      <c r="K12" s="98"/>
      <c r="L12" s="98"/>
      <c r="M12" s="98"/>
      <c r="N12" s="98"/>
      <c r="O12" s="98"/>
      <c r="P12" s="98"/>
      <c r="Q12" s="98"/>
      <c r="R12" s="98"/>
      <c r="S12" s="98"/>
      <c r="T12" s="98"/>
      <c r="U12" s="98"/>
      <c r="V12" s="98"/>
      <c r="W12" s="98"/>
      <c r="X12" s="98"/>
      <c r="Y12" s="100"/>
      <c r="Z12" s="100"/>
      <c r="AA12" s="100"/>
      <c r="AB12" s="83" t="s">
        <v>19</v>
      </c>
    </row>
    <row r="13" spans="1:29" s="11" customFormat="1" ht="15.75">
      <c r="A13" s="5" t="s">
        <v>20</v>
      </c>
      <c r="B13" s="98"/>
      <c r="C13" s="98"/>
      <c r="D13" s="98"/>
      <c r="E13" s="99"/>
      <c r="F13" s="99"/>
      <c r="G13" s="99"/>
      <c r="H13" s="98"/>
      <c r="I13" s="98"/>
      <c r="J13" s="98"/>
      <c r="K13" s="98"/>
      <c r="L13" s="98"/>
      <c r="M13" s="98"/>
      <c r="N13" s="98"/>
      <c r="O13" s="98"/>
      <c r="P13" s="98"/>
      <c r="Q13" s="98"/>
      <c r="R13" s="98"/>
      <c r="S13" s="98"/>
      <c r="T13" s="98"/>
      <c r="U13" s="98"/>
      <c r="V13" s="98"/>
      <c r="W13" s="98"/>
      <c r="X13" s="98"/>
      <c r="Y13" s="100"/>
      <c r="Z13" s="100"/>
      <c r="AA13" s="100"/>
      <c r="AB13" s="83" t="s">
        <v>21</v>
      </c>
    </row>
    <row r="14" spans="1:29" s="11" customFormat="1" ht="15.75">
      <c r="A14" s="5" t="s">
        <v>22</v>
      </c>
      <c r="B14" s="98"/>
      <c r="C14" s="98"/>
      <c r="D14" s="98"/>
      <c r="E14" s="99"/>
      <c r="F14" s="99"/>
      <c r="G14" s="99"/>
      <c r="H14" s="98"/>
      <c r="I14" s="98"/>
      <c r="J14" s="98"/>
      <c r="K14" s="98"/>
      <c r="L14" s="98"/>
      <c r="M14" s="98"/>
      <c r="N14" s="98"/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100"/>
      <c r="Z14" s="100"/>
      <c r="AA14" s="100"/>
      <c r="AB14" s="83" t="s">
        <v>23</v>
      </c>
    </row>
    <row r="15" spans="1:29" s="11" customFormat="1" ht="15.75">
      <c r="A15" s="5" t="s">
        <v>24</v>
      </c>
      <c r="B15" s="98"/>
      <c r="C15" s="98"/>
      <c r="D15" s="98"/>
      <c r="E15" s="99"/>
      <c r="F15" s="99"/>
      <c r="G15" s="99"/>
      <c r="H15" s="98"/>
      <c r="I15" s="98"/>
      <c r="J15" s="98"/>
      <c r="K15" s="98"/>
      <c r="L15" s="98"/>
      <c r="M15" s="98"/>
      <c r="N15" s="98"/>
      <c r="O15" s="98"/>
      <c r="P15" s="98"/>
      <c r="Q15" s="98"/>
      <c r="R15" s="98"/>
      <c r="S15" s="98"/>
      <c r="T15" s="98"/>
      <c r="U15" s="98"/>
      <c r="V15" s="98"/>
      <c r="W15" s="98"/>
      <c r="X15" s="98"/>
      <c r="Y15" s="100"/>
      <c r="Z15" s="100"/>
      <c r="AA15" s="100"/>
      <c r="AB15" s="83" t="s">
        <v>25</v>
      </c>
    </row>
    <row r="16" spans="1:29" s="11" customFormat="1" ht="15.75">
      <c r="A16" s="5" t="s">
        <v>26</v>
      </c>
      <c r="B16" s="98"/>
      <c r="C16" s="98"/>
      <c r="D16" s="98"/>
      <c r="E16" s="99"/>
      <c r="F16" s="99"/>
      <c r="G16" s="99"/>
      <c r="H16" s="98"/>
      <c r="I16" s="98"/>
      <c r="J16" s="98"/>
      <c r="K16" s="98"/>
      <c r="L16" s="98"/>
      <c r="M16" s="98"/>
      <c r="N16" s="98"/>
      <c r="O16" s="98"/>
      <c r="P16" s="98"/>
      <c r="Q16" s="98"/>
      <c r="R16" s="98"/>
      <c r="S16" s="98"/>
      <c r="T16" s="98"/>
      <c r="U16" s="98"/>
      <c r="V16" s="98"/>
      <c r="W16" s="98"/>
      <c r="X16" s="98"/>
      <c r="Y16" s="100"/>
      <c r="Z16" s="100"/>
      <c r="AA16" s="100"/>
      <c r="AB16" s="83" t="s">
        <v>27</v>
      </c>
    </row>
    <row r="17" spans="1:44" s="11" customFormat="1" ht="15.75">
      <c r="A17" s="5" t="s">
        <v>28</v>
      </c>
      <c r="B17" s="98"/>
      <c r="C17" s="98"/>
      <c r="D17" s="98"/>
      <c r="E17" s="99"/>
      <c r="F17" s="99"/>
      <c r="G17" s="99"/>
      <c r="H17" s="98"/>
      <c r="I17" s="98"/>
      <c r="J17" s="98"/>
      <c r="K17" s="98"/>
      <c r="L17" s="98"/>
      <c r="M17" s="98"/>
      <c r="N17" s="98"/>
      <c r="O17" s="98"/>
      <c r="P17" s="98"/>
      <c r="Q17" s="98"/>
      <c r="R17" s="98"/>
      <c r="S17" s="98"/>
      <c r="T17" s="98"/>
      <c r="U17" s="98"/>
      <c r="V17" s="98"/>
      <c r="W17" s="98"/>
      <c r="X17" s="98"/>
      <c r="Y17" s="100"/>
      <c r="Z17" s="100"/>
      <c r="AA17" s="100"/>
      <c r="AB17" s="83" t="s">
        <v>29</v>
      </c>
    </row>
    <row r="18" spans="1:44" s="11" customFormat="1" ht="15.75">
      <c r="A18" s="5" t="s">
        <v>30</v>
      </c>
      <c r="B18" s="98"/>
      <c r="C18" s="98"/>
      <c r="D18" s="98"/>
      <c r="E18" s="99"/>
      <c r="F18" s="99"/>
      <c r="G18" s="99"/>
      <c r="H18" s="98"/>
      <c r="I18" s="98"/>
      <c r="J18" s="98"/>
      <c r="K18" s="98"/>
      <c r="L18" s="98"/>
      <c r="M18" s="98"/>
      <c r="N18" s="98"/>
      <c r="O18" s="98"/>
      <c r="P18" s="98"/>
      <c r="Q18" s="98"/>
      <c r="R18" s="98"/>
      <c r="S18" s="98"/>
      <c r="T18" s="98"/>
      <c r="U18" s="98"/>
      <c r="V18" s="98"/>
      <c r="W18" s="98"/>
      <c r="X18" s="98"/>
      <c r="Y18" s="100"/>
      <c r="Z18" s="100"/>
      <c r="AA18" s="100"/>
      <c r="AB18" s="83" t="s">
        <v>31</v>
      </c>
    </row>
    <row r="19" spans="1:44" s="11" customFormat="1" ht="15.75">
      <c r="A19" s="5" t="s">
        <v>32</v>
      </c>
      <c r="B19" s="98"/>
      <c r="C19" s="98"/>
      <c r="D19" s="98"/>
      <c r="E19" s="99"/>
      <c r="F19" s="99"/>
      <c r="G19" s="99"/>
      <c r="H19" s="98"/>
      <c r="I19" s="98"/>
      <c r="J19" s="98"/>
      <c r="K19" s="98"/>
      <c r="L19" s="98"/>
      <c r="M19" s="98"/>
      <c r="N19" s="98"/>
      <c r="O19" s="98"/>
      <c r="P19" s="98"/>
      <c r="Q19" s="98"/>
      <c r="R19" s="98"/>
      <c r="S19" s="98"/>
      <c r="T19" s="98"/>
      <c r="U19" s="98"/>
      <c r="V19" s="98"/>
      <c r="W19" s="98"/>
      <c r="X19" s="98"/>
      <c r="Y19" s="100"/>
      <c r="Z19" s="100"/>
      <c r="AA19" s="100"/>
      <c r="AB19" s="83" t="s">
        <v>33</v>
      </c>
    </row>
    <row r="20" spans="1:44" s="11" customFormat="1" ht="15.75">
      <c r="A20" s="73" t="s">
        <v>34</v>
      </c>
      <c r="B20" s="101"/>
      <c r="C20" s="101"/>
      <c r="D20" s="101"/>
      <c r="E20" s="102"/>
      <c r="F20" s="102"/>
      <c r="G20" s="102"/>
      <c r="H20" s="101"/>
      <c r="I20" s="101"/>
      <c r="J20" s="101"/>
      <c r="K20" s="101"/>
      <c r="L20" s="101"/>
      <c r="M20" s="101"/>
      <c r="N20" s="101"/>
      <c r="O20" s="101"/>
      <c r="P20" s="101"/>
      <c r="Q20" s="101"/>
      <c r="R20" s="101"/>
      <c r="S20" s="101"/>
      <c r="T20" s="101"/>
      <c r="U20" s="101"/>
      <c r="V20" s="101"/>
      <c r="W20" s="101"/>
      <c r="X20" s="101"/>
      <c r="Y20" s="103"/>
      <c r="Z20" s="103"/>
      <c r="AA20" s="103"/>
      <c r="AB20" s="84" t="s">
        <v>35</v>
      </c>
    </row>
    <row r="21" spans="1:44" ht="18.75">
      <c r="A21" s="6" t="s">
        <v>7</v>
      </c>
      <c r="AB21" s="10" t="s">
        <v>8</v>
      </c>
      <c r="AO21" s="11"/>
      <c r="AP21" s="71" t="s">
        <v>2</v>
      </c>
      <c r="AQ21" s="71" t="s">
        <v>3</v>
      </c>
    </row>
    <row r="22" spans="1:44" ht="15" customHeight="1">
      <c r="AN22" s="19"/>
      <c r="AO22" s="19" t="str">
        <f>B5</f>
        <v>L.Kadhdhoo</v>
      </c>
      <c r="AP22" s="1">
        <f>B8</f>
        <v>0</v>
      </c>
      <c r="AQ22" s="1">
        <f>C8</f>
        <v>0</v>
      </c>
    </row>
    <row r="23" spans="1:44" s="11" customFormat="1" ht="17.25">
      <c r="B23" s="20"/>
      <c r="C23" s="21"/>
      <c r="D23" s="21"/>
      <c r="E23" s="21"/>
      <c r="F23" s="22"/>
      <c r="G23" s="22"/>
      <c r="R23" s="23"/>
      <c r="S23" s="23"/>
      <c r="U23" s="23"/>
      <c r="V23" s="23"/>
      <c r="X23" s="23"/>
      <c r="Y23" s="23"/>
      <c r="Z23" s="23"/>
      <c r="AA23" s="23"/>
      <c r="AB23" s="23"/>
      <c r="AE23" s="23"/>
      <c r="AM23" s="1"/>
      <c r="AN23" s="19"/>
      <c r="AO23" s="19" t="str">
        <f>E5</f>
        <v>GDh.Kaadedhdhoo</v>
      </c>
      <c r="AP23" s="1">
        <f>E8</f>
        <v>0</v>
      </c>
      <c r="AQ23" s="1">
        <f>F8</f>
        <v>0</v>
      </c>
    </row>
    <row r="24" spans="1:44" ht="18.75">
      <c r="A24" s="5"/>
      <c r="Q24" s="14"/>
      <c r="T24" s="14"/>
      <c r="W24" s="14"/>
      <c r="AO24" s="11" t="str">
        <f>H5</f>
        <v xml:space="preserve">Gn.Fuvahmulah </v>
      </c>
      <c r="AP24" s="1">
        <f>H8</f>
        <v>0</v>
      </c>
      <c r="AQ24" s="1">
        <f>I8</f>
        <v>0</v>
      </c>
    </row>
    <row r="25" spans="1:44" s="11" customFormat="1" ht="17.25">
      <c r="B25" s="20"/>
      <c r="C25" s="21"/>
      <c r="D25" s="21"/>
      <c r="E25" s="21"/>
      <c r="F25" s="22"/>
      <c r="G25" s="22"/>
      <c r="R25" s="23"/>
      <c r="S25" s="23"/>
      <c r="U25" s="23"/>
      <c r="V25" s="23"/>
      <c r="X25" s="23"/>
      <c r="Y25" s="23"/>
      <c r="Z25" s="23"/>
      <c r="AA25" s="23"/>
      <c r="AB25" s="23"/>
      <c r="AE25" s="23"/>
      <c r="AO25" s="1" t="str">
        <f>K5</f>
        <v>ADh.Maamigili</v>
      </c>
      <c r="AP25" s="1">
        <f>K8</f>
        <v>0</v>
      </c>
      <c r="AQ25" s="1">
        <f>L8</f>
        <v>0</v>
      </c>
    </row>
    <row r="26" spans="1:44" ht="18.75">
      <c r="A26" s="5"/>
      <c r="Q26" s="14"/>
      <c r="T26" s="14"/>
      <c r="W26" s="14"/>
      <c r="AO26" s="1" t="str">
        <f>N5</f>
        <v>B.Dharavandhoo</v>
      </c>
      <c r="AP26" s="1">
        <f>N8</f>
        <v>0</v>
      </c>
      <c r="AQ26" s="1">
        <f>O8</f>
        <v>0</v>
      </c>
    </row>
    <row r="27" spans="1:44">
      <c r="AO27" s="1" t="str">
        <f>Q5</f>
        <v>GA. Koodoo</v>
      </c>
      <c r="AP27" s="1">
        <f>Q8</f>
        <v>0</v>
      </c>
      <c r="AQ27" s="1">
        <f>R8</f>
        <v>0</v>
      </c>
    </row>
    <row r="28" spans="1:44">
      <c r="AO28" s="1" t="s">
        <v>54</v>
      </c>
      <c r="AP28" s="1">
        <f>T8</f>
        <v>0</v>
      </c>
      <c r="AQ28" s="1">
        <f>U8</f>
        <v>0</v>
      </c>
    </row>
    <row r="29" spans="1:44" ht="17.25">
      <c r="D29" s="21"/>
      <c r="E29" s="21"/>
      <c r="F29" s="22"/>
      <c r="G29" s="22"/>
      <c r="AO29" s="1" t="str">
        <f>W5</f>
        <v xml:space="preserve">R.Ifuru  </v>
      </c>
      <c r="AP29" s="1">
        <f>W8</f>
        <v>0</v>
      </c>
      <c r="AQ29" s="1">
        <f>X8</f>
        <v>0</v>
      </c>
    </row>
    <row r="30" spans="1:44">
      <c r="AO30" s="1" t="str">
        <f>Z5</f>
        <v>Dh.kudahuvadhoo</v>
      </c>
      <c r="AP30" s="1">
        <f>Z8</f>
        <v>0</v>
      </c>
      <c r="AQ30" s="1">
        <f>AA8</f>
        <v>0</v>
      </c>
    </row>
    <row r="32" spans="1:44">
      <c r="AP32" s="1">
        <f>SUM(AP22:AP30)</f>
        <v>0</v>
      </c>
      <c r="AQ32" s="1">
        <f>SUM(AQ22:AQ30)</f>
        <v>0</v>
      </c>
      <c r="AR32" s="1">
        <f>SUM(AP32:AQ32)</f>
        <v>0</v>
      </c>
    </row>
    <row r="44" spans="1:80" s="90" customFormat="1" ht="21.75" customHeight="1">
      <c r="A44" s="154" t="s">
        <v>9</v>
      </c>
      <c r="B44" s="106"/>
      <c r="D44" s="107"/>
      <c r="F44" s="107"/>
      <c r="G44" s="157" t="s">
        <v>36</v>
      </c>
      <c r="H44" s="158"/>
      <c r="I44" s="158"/>
      <c r="J44" s="158"/>
      <c r="K44" s="159"/>
      <c r="L44" s="89"/>
      <c r="M44" s="108"/>
      <c r="N44" s="89"/>
      <c r="O44" s="108"/>
      <c r="P44" s="160" t="s">
        <v>37</v>
      </c>
      <c r="Q44" s="161"/>
      <c r="R44" s="161"/>
      <c r="S44" s="161"/>
      <c r="T44" s="161"/>
      <c r="U44" s="161"/>
      <c r="V44" s="161"/>
      <c r="W44" s="161"/>
      <c r="X44" s="161"/>
      <c r="Y44" s="161"/>
      <c r="Z44" s="161"/>
      <c r="AA44" s="161"/>
      <c r="AB44" s="107"/>
      <c r="AC44" s="148" t="s">
        <v>38</v>
      </c>
      <c r="AD44" s="149"/>
      <c r="AE44" s="149"/>
      <c r="AF44" s="149"/>
      <c r="AG44" s="149"/>
      <c r="AH44" s="149"/>
      <c r="AI44" s="149"/>
      <c r="AJ44" s="149"/>
      <c r="AK44" s="88"/>
      <c r="AL44" s="148" t="s">
        <v>39</v>
      </c>
      <c r="AM44" s="149"/>
      <c r="AN44" s="149"/>
      <c r="AO44" s="149"/>
      <c r="AP44" s="149"/>
      <c r="AQ44" s="149"/>
      <c r="AR44" s="149"/>
      <c r="AS44" s="88"/>
      <c r="AT44" s="148" t="s">
        <v>40</v>
      </c>
      <c r="AU44" s="149"/>
      <c r="AV44" s="149"/>
      <c r="AW44" s="149"/>
      <c r="AX44" s="149"/>
      <c r="AY44" s="104"/>
      <c r="AZ44" s="88"/>
      <c r="BA44" s="148" t="s">
        <v>41</v>
      </c>
      <c r="BB44" s="149"/>
      <c r="BC44" s="149"/>
      <c r="BD44" s="149"/>
      <c r="BE44" s="150"/>
      <c r="BF44" s="87"/>
      <c r="BG44" s="151" t="s">
        <v>42</v>
      </c>
      <c r="BH44" s="152"/>
      <c r="BI44" s="152"/>
      <c r="BJ44" s="152"/>
      <c r="BK44" s="153"/>
      <c r="BL44" s="148" t="s">
        <v>43</v>
      </c>
      <c r="BM44" s="149"/>
      <c r="BN44" s="149"/>
      <c r="BO44" s="149"/>
      <c r="BP44" s="150"/>
      <c r="BQ44" s="148" t="s">
        <v>44</v>
      </c>
      <c r="BR44" s="149"/>
      <c r="BS44" s="149"/>
      <c r="BT44" s="132" t="s">
        <v>11</v>
      </c>
    </row>
    <row r="45" spans="1:80" s="91" customFormat="1" ht="16.5" customHeight="1">
      <c r="A45" s="155"/>
      <c r="B45" s="109"/>
      <c r="D45" s="110"/>
      <c r="F45" s="110"/>
      <c r="G45" s="135" t="s">
        <v>45</v>
      </c>
      <c r="H45" s="136"/>
      <c r="I45" s="136"/>
      <c r="J45" s="136"/>
      <c r="K45" s="137"/>
      <c r="M45" s="110"/>
      <c r="O45" s="110"/>
      <c r="P45" s="138" t="s">
        <v>46</v>
      </c>
      <c r="Q45" s="139"/>
      <c r="R45" s="139"/>
      <c r="S45" s="139"/>
      <c r="T45" s="139"/>
      <c r="U45" s="139"/>
      <c r="V45" s="139"/>
      <c r="W45" s="139"/>
      <c r="X45" s="139"/>
      <c r="Y45" s="139"/>
      <c r="Z45" s="139"/>
      <c r="AA45" s="139"/>
      <c r="AB45" s="110"/>
      <c r="AC45" s="140" t="s">
        <v>61</v>
      </c>
      <c r="AD45" s="141"/>
      <c r="AE45" s="141"/>
      <c r="AF45" s="141"/>
      <c r="AG45" s="141"/>
      <c r="AH45" s="141"/>
      <c r="AI45" s="141"/>
      <c r="AJ45" s="141"/>
      <c r="AK45" s="92"/>
      <c r="AL45" s="140" t="s">
        <v>62</v>
      </c>
      <c r="AM45" s="141"/>
      <c r="AN45" s="141"/>
      <c r="AO45" s="141"/>
      <c r="AP45" s="141"/>
      <c r="AQ45" s="141"/>
      <c r="AR45" s="141"/>
      <c r="AS45" s="92"/>
      <c r="AT45" s="140" t="s">
        <v>63</v>
      </c>
      <c r="AU45" s="141"/>
      <c r="AV45" s="141"/>
      <c r="AW45" s="141"/>
      <c r="AX45" s="141"/>
      <c r="AY45" s="105"/>
      <c r="AZ45" s="92"/>
      <c r="BA45" s="142" t="s">
        <v>64</v>
      </c>
      <c r="BB45" s="143"/>
      <c r="BC45" s="143"/>
      <c r="BD45" s="143"/>
      <c r="BE45" s="144"/>
      <c r="BG45" s="145" t="s">
        <v>65</v>
      </c>
      <c r="BH45" s="146"/>
      <c r="BI45" s="146"/>
      <c r="BJ45" s="146"/>
      <c r="BK45" s="147"/>
      <c r="BL45" s="142" t="s">
        <v>66</v>
      </c>
      <c r="BM45" s="143"/>
      <c r="BN45" s="143"/>
      <c r="BO45" s="143"/>
      <c r="BP45" s="144"/>
      <c r="BQ45" s="142" t="s">
        <v>67</v>
      </c>
      <c r="BR45" s="143"/>
      <c r="BS45" s="143"/>
      <c r="BT45" s="133"/>
    </row>
    <row r="46" spans="1:80" ht="23.25" customHeight="1">
      <c r="A46" s="156"/>
      <c r="B46" s="111"/>
      <c r="C46" s="112">
        <v>2011</v>
      </c>
      <c r="D46" s="112">
        <v>2012</v>
      </c>
      <c r="E46" s="113">
        <v>2013</v>
      </c>
      <c r="F46" s="114">
        <v>2014</v>
      </c>
      <c r="G46" s="115">
        <v>2015</v>
      </c>
      <c r="H46" s="116">
        <v>2016</v>
      </c>
      <c r="I46" s="117">
        <v>2017</v>
      </c>
      <c r="J46" s="117">
        <v>2018</v>
      </c>
      <c r="K46" s="117">
        <v>2019</v>
      </c>
      <c r="L46" s="118">
        <v>2011</v>
      </c>
      <c r="M46" s="118">
        <v>2012</v>
      </c>
      <c r="N46" s="118">
        <v>2013</v>
      </c>
      <c r="O46" s="117">
        <v>2014</v>
      </c>
      <c r="P46" s="115">
        <v>2015</v>
      </c>
      <c r="Q46" s="117">
        <v>2016</v>
      </c>
      <c r="R46" s="118">
        <v>2011</v>
      </c>
      <c r="S46" s="118">
        <v>2012</v>
      </c>
      <c r="T46" s="117">
        <v>2013</v>
      </c>
      <c r="U46" s="117">
        <v>2014</v>
      </c>
      <c r="V46" s="118">
        <v>2011</v>
      </c>
      <c r="W46" s="118">
        <v>2012</v>
      </c>
      <c r="X46" s="117">
        <v>2013</v>
      </c>
      <c r="Y46" s="117">
        <v>2017</v>
      </c>
      <c r="Z46" s="117">
        <v>2018</v>
      </c>
      <c r="AA46" s="119">
        <v>2019</v>
      </c>
      <c r="AB46" s="117">
        <v>2014</v>
      </c>
      <c r="AC46" s="27">
        <v>2015</v>
      </c>
      <c r="AD46" s="27">
        <v>2016</v>
      </c>
      <c r="AE46" s="75">
        <v>2011</v>
      </c>
      <c r="AF46" s="75">
        <v>2012</v>
      </c>
      <c r="AG46" s="75">
        <v>2013</v>
      </c>
      <c r="AH46" s="27">
        <v>2017</v>
      </c>
      <c r="AI46" s="27">
        <v>2018</v>
      </c>
      <c r="AJ46" s="27">
        <v>2019</v>
      </c>
      <c r="AK46" s="27">
        <v>2014</v>
      </c>
      <c r="AL46" s="26">
        <v>2015</v>
      </c>
      <c r="AM46" s="27">
        <v>2016</v>
      </c>
      <c r="AN46" s="27">
        <v>2017</v>
      </c>
      <c r="AO46" s="27">
        <v>2018</v>
      </c>
      <c r="AP46" s="75">
        <v>2012</v>
      </c>
      <c r="AQ46" s="75">
        <v>2013</v>
      </c>
      <c r="AR46" s="27">
        <v>2019</v>
      </c>
      <c r="AS46" s="27">
        <v>2014</v>
      </c>
      <c r="AT46" s="26">
        <v>2015</v>
      </c>
      <c r="AU46" s="27">
        <v>2016</v>
      </c>
      <c r="AV46" s="75">
        <v>2013</v>
      </c>
      <c r="AW46" s="27">
        <v>2017</v>
      </c>
      <c r="AX46" s="27">
        <v>2018</v>
      </c>
      <c r="AY46" s="27">
        <v>2019</v>
      </c>
      <c r="AZ46" s="75">
        <v>2014</v>
      </c>
      <c r="BA46" s="26">
        <v>2015</v>
      </c>
      <c r="BB46" s="27">
        <v>2016</v>
      </c>
      <c r="BC46" s="27">
        <v>2017</v>
      </c>
      <c r="BD46" s="27">
        <v>2018</v>
      </c>
      <c r="BE46" s="27">
        <v>2019</v>
      </c>
      <c r="BF46" s="75">
        <v>2014</v>
      </c>
      <c r="BG46" s="26">
        <v>2015</v>
      </c>
      <c r="BH46" s="27">
        <v>2016</v>
      </c>
      <c r="BI46" s="27">
        <v>2017</v>
      </c>
      <c r="BJ46" s="27">
        <v>2018</v>
      </c>
      <c r="BK46" s="28">
        <v>2019</v>
      </c>
      <c r="BL46" s="29">
        <v>2015</v>
      </c>
      <c r="BM46" s="27">
        <v>2016</v>
      </c>
      <c r="BN46" s="27">
        <v>2017</v>
      </c>
      <c r="BO46" s="27">
        <v>2018</v>
      </c>
      <c r="BP46" s="27">
        <v>2019</v>
      </c>
      <c r="BQ46" s="26">
        <v>2017</v>
      </c>
      <c r="BR46" s="27">
        <v>2018</v>
      </c>
      <c r="BS46" s="27">
        <v>2019</v>
      </c>
      <c r="BT46" s="134"/>
      <c r="BU46" s="3"/>
    </row>
    <row r="47" spans="1:80" ht="23.25" customHeight="1">
      <c r="A47" s="30" t="s">
        <v>4</v>
      </c>
      <c r="B47" s="30"/>
      <c r="C47" s="31">
        <f t="shared" ref="C47:AZ47" si="0">SUM(C48:C59)</f>
        <v>1542</v>
      </c>
      <c r="D47" s="31">
        <f t="shared" si="0"/>
        <v>1816</v>
      </c>
      <c r="E47" s="31">
        <f t="shared" si="0"/>
        <v>2310</v>
      </c>
      <c r="F47" s="32">
        <f t="shared" si="0"/>
        <v>2220</v>
      </c>
      <c r="G47" s="33">
        <f t="shared" si="0"/>
        <v>2088</v>
      </c>
      <c r="H47" s="34">
        <f t="shared" si="0"/>
        <v>2392</v>
      </c>
      <c r="I47" s="35">
        <f t="shared" si="0"/>
        <v>2619</v>
      </c>
      <c r="J47" s="35">
        <f t="shared" si="0"/>
        <v>2559</v>
      </c>
      <c r="K47" s="35">
        <f t="shared" si="0"/>
        <v>2583</v>
      </c>
      <c r="L47" s="35">
        <f t="shared" si="0"/>
        <v>3226</v>
      </c>
      <c r="M47" s="35">
        <f t="shared" si="0"/>
        <v>3982</v>
      </c>
      <c r="N47" s="35">
        <f t="shared" si="0"/>
        <v>4121</v>
      </c>
      <c r="O47" s="35">
        <f t="shared" si="0"/>
        <v>4410</v>
      </c>
      <c r="P47" s="33">
        <f>SUM(P48:P59)</f>
        <v>4290</v>
      </c>
      <c r="Q47" s="35">
        <f t="shared" ref="Q47" si="1">SUM(Q48:Q59)</f>
        <v>4978</v>
      </c>
      <c r="R47" s="35">
        <f t="shared" si="0"/>
        <v>1637</v>
      </c>
      <c r="S47" s="35">
        <f t="shared" si="0"/>
        <v>1397</v>
      </c>
      <c r="T47" s="35">
        <f t="shared" si="0"/>
        <v>1949</v>
      </c>
      <c r="U47" s="35">
        <f t="shared" si="0"/>
        <v>1977</v>
      </c>
      <c r="V47" s="35">
        <f t="shared" si="0"/>
        <v>262</v>
      </c>
      <c r="W47" s="35">
        <f t="shared" si="0"/>
        <v>710</v>
      </c>
      <c r="X47" s="35">
        <f>SUM(X48:X59)</f>
        <v>2432</v>
      </c>
      <c r="Y47" s="35">
        <f t="shared" ref="Y47:AB47" si="2">SUM(Y48:Y59)</f>
        <v>5182</v>
      </c>
      <c r="Z47" s="35">
        <f t="shared" si="2"/>
        <v>4726</v>
      </c>
      <c r="AA47" s="36">
        <f t="shared" si="2"/>
        <v>4794</v>
      </c>
      <c r="AB47" s="35">
        <f t="shared" si="2"/>
        <v>2773</v>
      </c>
      <c r="AC47" s="35">
        <f>SUM(AC48:AC59)</f>
        <v>2151</v>
      </c>
      <c r="AD47" s="35">
        <f t="shared" ref="AD47" si="3">SUM(AD48:AD59)</f>
        <v>1998</v>
      </c>
      <c r="AE47" s="35">
        <f t="shared" si="0"/>
        <v>769</v>
      </c>
      <c r="AF47" s="35">
        <f t="shared" si="0"/>
        <v>3315</v>
      </c>
      <c r="AG47" s="35">
        <f>SUM(AG48:AG59)</f>
        <v>4519</v>
      </c>
      <c r="AH47" s="35">
        <f t="shared" ref="AH47:AK47" si="4">SUM(AH48:AH59)</f>
        <v>1845</v>
      </c>
      <c r="AI47" s="35">
        <f t="shared" si="4"/>
        <v>1799</v>
      </c>
      <c r="AJ47" s="35">
        <f t="shared" si="4"/>
        <v>2485</v>
      </c>
      <c r="AK47" s="35">
        <f t="shared" si="4"/>
        <v>4924</v>
      </c>
      <c r="AL47" s="33">
        <f>SUM(AL48:AL59)</f>
        <v>4265</v>
      </c>
      <c r="AM47" s="35">
        <f t="shared" ref="AM47:AO47" si="5">SUM(AM48:AM59)</f>
        <v>3963</v>
      </c>
      <c r="AN47" s="35">
        <f t="shared" si="5"/>
        <v>4305</v>
      </c>
      <c r="AO47" s="35">
        <f t="shared" si="5"/>
        <v>4824</v>
      </c>
      <c r="AP47" s="35">
        <f t="shared" si="0"/>
        <v>173</v>
      </c>
      <c r="AQ47" s="35">
        <f t="shared" si="0"/>
        <v>3515</v>
      </c>
      <c r="AR47" s="35">
        <f t="shared" si="0"/>
        <v>4798</v>
      </c>
      <c r="AS47" s="35">
        <f t="shared" si="0"/>
        <v>4248</v>
      </c>
      <c r="AT47" s="33">
        <f>SUM(AT48:AT59)</f>
        <v>3934</v>
      </c>
      <c r="AU47" s="35">
        <f t="shared" ref="AU47:AY47" si="6">SUM(AU48:AU59)</f>
        <v>3870</v>
      </c>
      <c r="AV47" s="35">
        <f t="shared" si="0"/>
        <v>2906</v>
      </c>
      <c r="AW47" s="35">
        <f t="shared" si="0"/>
        <v>4198</v>
      </c>
      <c r="AX47" s="35">
        <f t="shared" si="6"/>
        <v>4532</v>
      </c>
      <c r="AY47" s="35">
        <f t="shared" si="6"/>
        <v>5159</v>
      </c>
      <c r="AZ47" s="35">
        <f t="shared" si="0"/>
        <v>2076</v>
      </c>
      <c r="BA47" s="33">
        <f>SUM(BA48:BA59)</f>
        <v>1988</v>
      </c>
      <c r="BB47" s="35">
        <f t="shared" ref="BB47:BF47" si="7">SUM(BB48:BB59)</f>
        <v>1916</v>
      </c>
      <c r="BC47" s="35">
        <f t="shared" si="7"/>
        <v>1916</v>
      </c>
      <c r="BD47" s="35">
        <f t="shared" si="7"/>
        <v>1975</v>
      </c>
      <c r="BE47" s="35">
        <f t="shared" si="7"/>
        <v>2043</v>
      </c>
      <c r="BF47" s="35">
        <f t="shared" si="7"/>
        <v>826</v>
      </c>
      <c r="BG47" s="33">
        <f>SUM(BG48:BG59)</f>
        <v>331</v>
      </c>
      <c r="BH47" s="35">
        <f t="shared" ref="BH47:BK47" si="8">SUM(BH48:BH59)</f>
        <v>269</v>
      </c>
      <c r="BI47" s="35">
        <f t="shared" si="8"/>
        <v>245</v>
      </c>
      <c r="BJ47" s="35">
        <f t="shared" si="8"/>
        <v>246</v>
      </c>
      <c r="BK47" s="36">
        <f t="shared" si="8"/>
        <v>241</v>
      </c>
      <c r="BL47" s="33">
        <f>SUM(BL48:BL59)</f>
        <v>552</v>
      </c>
      <c r="BM47" s="35">
        <f t="shared" ref="BM47:BS47" si="9">SUM(BM48:BM59)</f>
        <v>1475</v>
      </c>
      <c r="BN47" s="35">
        <f t="shared" si="9"/>
        <v>1911</v>
      </c>
      <c r="BO47" s="35">
        <f t="shared" si="9"/>
        <v>1898</v>
      </c>
      <c r="BP47" s="35">
        <f t="shared" si="9"/>
        <v>1940</v>
      </c>
      <c r="BQ47" s="33">
        <f t="shared" si="9"/>
        <v>488</v>
      </c>
      <c r="BR47" s="37">
        <f t="shared" si="9"/>
        <v>1941</v>
      </c>
      <c r="BS47" s="37">
        <f t="shared" si="9"/>
        <v>2224</v>
      </c>
      <c r="BT47" s="85" t="s">
        <v>5</v>
      </c>
    </row>
    <row r="48" spans="1:80" ht="23.25" customHeight="1">
      <c r="A48" s="38" t="s">
        <v>12</v>
      </c>
      <c r="B48" s="38"/>
      <c r="C48" s="39">
        <v>87</v>
      </c>
      <c r="D48" s="39">
        <v>140</v>
      </c>
      <c r="E48" s="39">
        <v>189</v>
      </c>
      <c r="F48" s="40">
        <v>215</v>
      </c>
      <c r="G48" s="41">
        <v>166</v>
      </c>
      <c r="H48" s="42">
        <v>174</v>
      </c>
      <c r="I48" s="43">
        <v>199</v>
      </c>
      <c r="J48" s="43">
        <v>264</v>
      </c>
      <c r="K48" s="43">
        <v>232</v>
      </c>
      <c r="L48" s="44">
        <v>290</v>
      </c>
      <c r="M48" s="44">
        <v>428</v>
      </c>
      <c r="N48" s="44">
        <v>290</v>
      </c>
      <c r="O48" s="43">
        <v>356</v>
      </c>
      <c r="P48" s="41">
        <v>376</v>
      </c>
      <c r="Q48" s="43">
        <v>400</v>
      </c>
      <c r="R48" s="43">
        <v>137</v>
      </c>
      <c r="S48" s="43">
        <v>111</v>
      </c>
      <c r="T48" s="43">
        <v>175</v>
      </c>
      <c r="U48" s="43">
        <v>164</v>
      </c>
      <c r="V48" s="45" t="s">
        <v>55</v>
      </c>
      <c r="W48" s="43">
        <v>48</v>
      </c>
      <c r="X48" s="43">
        <v>115</v>
      </c>
      <c r="Y48" s="43">
        <v>496</v>
      </c>
      <c r="Z48" s="43">
        <v>406</v>
      </c>
      <c r="AA48" s="46">
        <v>408</v>
      </c>
      <c r="AB48" s="43">
        <v>227</v>
      </c>
      <c r="AC48" s="43">
        <v>230</v>
      </c>
      <c r="AD48" s="43">
        <v>166</v>
      </c>
      <c r="AE48" s="45" t="s">
        <v>55</v>
      </c>
      <c r="AF48" s="43">
        <v>351</v>
      </c>
      <c r="AG48" s="43">
        <v>339</v>
      </c>
      <c r="AH48" s="43">
        <v>157</v>
      </c>
      <c r="AI48" s="43">
        <v>117</v>
      </c>
      <c r="AJ48" s="43">
        <v>261</v>
      </c>
      <c r="AK48" s="43">
        <v>400</v>
      </c>
      <c r="AL48" s="41">
        <v>359</v>
      </c>
      <c r="AM48" s="43">
        <v>339</v>
      </c>
      <c r="AN48" s="43">
        <v>321</v>
      </c>
      <c r="AO48" s="43">
        <v>400</v>
      </c>
      <c r="AP48" s="45" t="s">
        <v>55</v>
      </c>
      <c r="AQ48" s="43">
        <v>191</v>
      </c>
      <c r="AR48" s="43">
        <v>441</v>
      </c>
      <c r="AS48" s="43">
        <v>361</v>
      </c>
      <c r="AT48" s="41">
        <v>331</v>
      </c>
      <c r="AU48" s="43">
        <v>342</v>
      </c>
      <c r="AV48" s="43">
        <v>288</v>
      </c>
      <c r="AW48" s="43">
        <v>351</v>
      </c>
      <c r="AX48" s="43">
        <v>415</v>
      </c>
      <c r="AY48" s="43">
        <v>414</v>
      </c>
      <c r="AZ48" s="43">
        <v>174</v>
      </c>
      <c r="BA48" s="41">
        <v>181</v>
      </c>
      <c r="BB48" s="43">
        <v>164</v>
      </c>
      <c r="BC48" s="43">
        <v>155</v>
      </c>
      <c r="BD48" s="43">
        <v>179</v>
      </c>
      <c r="BE48" s="43">
        <v>169</v>
      </c>
      <c r="BF48" s="43">
        <v>57</v>
      </c>
      <c r="BG48" s="41">
        <v>30</v>
      </c>
      <c r="BH48" s="43">
        <v>29</v>
      </c>
      <c r="BI48" s="43">
        <v>19</v>
      </c>
      <c r="BJ48" s="43">
        <v>23</v>
      </c>
      <c r="BK48" s="46">
        <v>24</v>
      </c>
      <c r="BL48" s="41" t="s">
        <v>56</v>
      </c>
      <c r="BM48" s="43">
        <v>124</v>
      </c>
      <c r="BN48" s="43">
        <v>142</v>
      </c>
      <c r="BO48" s="43">
        <v>178</v>
      </c>
      <c r="BP48" s="43">
        <v>156</v>
      </c>
      <c r="BQ48" s="41" t="s">
        <v>56</v>
      </c>
      <c r="BR48" s="43">
        <v>171</v>
      </c>
      <c r="BS48" s="43">
        <v>176</v>
      </c>
      <c r="BT48" s="83" t="s">
        <v>13</v>
      </c>
      <c r="BY48" s="25"/>
      <c r="BZ48" s="25"/>
      <c r="CA48" s="25"/>
      <c r="CB48" s="25"/>
    </row>
    <row r="49" spans="1:80" ht="23.25" customHeight="1">
      <c r="A49" s="38" t="s">
        <v>14</v>
      </c>
      <c r="B49" s="38"/>
      <c r="C49" s="39">
        <v>69</v>
      </c>
      <c r="D49" s="39">
        <v>128</v>
      </c>
      <c r="E49" s="39">
        <v>161</v>
      </c>
      <c r="F49" s="40">
        <v>192</v>
      </c>
      <c r="G49" s="41">
        <v>161</v>
      </c>
      <c r="H49" s="42">
        <v>195</v>
      </c>
      <c r="I49" s="43">
        <v>195</v>
      </c>
      <c r="J49" s="43">
        <v>213</v>
      </c>
      <c r="K49" s="43">
        <v>223</v>
      </c>
      <c r="L49" s="44">
        <v>268</v>
      </c>
      <c r="M49" s="44">
        <v>332</v>
      </c>
      <c r="N49" s="44">
        <v>314</v>
      </c>
      <c r="O49" s="43">
        <v>360</v>
      </c>
      <c r="P49" s="41">
        <v>336</v>
      </c>
      <c r="Q49" s="43">
        <v>428</v>
      </c>
      <c r="R49" s="43">
        <v>185</v>
      </c>
      <c r="S49" s="43">
        <v>109</v>
      </c>
      <c r="T49" s="43">
        <v>158</v>
      </c>
      <c r="U49" s="43">
        <v>176</v>
      </c>
      <c r="V49" s="45" t="s">
        <v>55</v>
      </c>
      <c r="W49" s="43">
        <v>40</v>
      </c>
      <c r="X49" s="43">
        <v>83</v>
      </c>
      <c r="Y49" s="43">
        <v>462</v>
      </c>
      <c r="Z49" s="43">
        <v>408</v>
      </c>
      <c r="AA49" s="46">
        <v>356</v>
      </c>
      <c r="AB49" s="43">
        <v>212</v>
      </c>
      <c r="AC49" s="43">
        <v>199</v>
      </c>
      <c r="AD49" s="43">
        <v>120</v>
      </c>
      <c r="AE49" s="45" t="s">
        <v>55</v>
      </c>
      <c r="AF49" s="43">
        <v>351</v>
      </c>
      <c r="AG49" s="43">
        <v>427</v>
      </c>
      <c r="AH49" s="43">
        <v>102</v>
      </c>
      <c r="AI49" s="43">
        <v>89</v>
      </c>
      <c r="AJ49" s="43">
        <v>221</v>
      </c>
      <c r="AK49" s="43">
        <v>380</v>
      </c>
      <c r="AL49" s="41">
        <v>407</v>
      </c>
      <c r="AM49" s="43">
        <v>323</v>
      </c>
      <c r="AN49" s="43">
        <v>260</v>
      </c>
      <c r="AO49" s="43">
        <v>373</v>
      </c>
      <c r="AP49" s="45" t="s">
        <v>55</v>
      </c>
      <c r="AQ49" s="43">
        <v>213</v>
      </c>
      <c r="AR49" s="43">
        <v>375</v>
      </c>
      <c r="AS49" s="43">
        <v>356</v>
      </c>
      <c r="AT49" s="41">
        <v>304</v>
      </c>
      <c r="AU49" s="43">
        <v>320</v>
      </c>
      <c r="AV49" s="43">
        <v>304</v>
      </c>
      <c r="AW49" s="43">
        <v>308</v>
      </c>
      <c r="AX49" s="43">
        <v>365</v>
      </c>
      <c r="AY49" s="43">
        <v>376</v>
      </c>
      <c r="AZ49" s="43">
        <v>159</v>
      </c>
      <c r="BA49" s="41">
        <v>169</v>
      </c>
      <c r="BB49" s="43">
        <v>159</v>
      </c>
      <c r="BC49" s="43">
        <v>161</v>
      </c>
      <c r="BD49" s="43">
        <v>164</v>
      </c>
      <c r="BE49" s="43">
        <v>164</v>
      </c>
      <c r="BF49" s="43">
        <v>83</v>
      </c>
      <c r="BG49" s="41">
        <v>23</v>
      </c>
      <c r="BH49" s="43">
        <v>23</v>
      </c>
      <c r="BI49" s="43">
        <v>17</v>
      </c>
      <c r="BJ49" s="43">
        <v>15</v>
      </c>
      <c r="BK49" s="46">
        <v>19</v>
      </c>
      <c r="BL49" s="41" t="s">
        <v>56</v>
      </c>
      <c r="BM49" s="43">
        <v>143</v>
      </c>
      <c r="BN49" s="43">
        <v>136</v>
      </c>
      <c r="BO49" s="43">
        <v>180</v>
      </c>
      <c r="BP49" s="43">
        <v>161</v>
      </c>
      <c r="BQ49" s="41" t="s">
        <v>56</v>
      </c>
      <c r="BR49" s="43">
        <v>168</v>
      </c>
      <c r="BS49" s="43">
        <v>181</v>
      </c>
      <c r="BT49" s="83" t="s">
        <v>15</v>
      </c>
    </row>
    <row r="50" spans="1:80" ht="23.25" customHeight="1">
      <c r="A50" s="38" t="s">
        <v>16</v>
      </c>
      <c r="B50" s="38"/>
      <c r="C50" s="39">
        <v>80</v>
      </c>
      <c r="D50" s="39">
        <v>161</v>
      </c>
      <c r="E50" s="39">
        <v>184</v>
      </c>
      <c r="F50" s="40">
        <v>214</v>
      </c>
      <c r="G50" s="41">
        <v>173</v>
      </c>
      <c r="H50" s="42">
        <v>201</v>
      </c>
      <c r="I50" s="43">
        <v>193</v>
      </c>
      <c r="J50" s="43">
        <v>258</v>
      </c>
      <c r="K50" s="43">
        <v>218</v>
      </c>
      <c r="L50" s="44">
        <v>202</v>
      </c>
      <c r="M50" s="44">
        <v>320</v>
      </c>
      <c r="N50" s="44">
        <v>358</v>
      </c>
      <c r="O50" s="43">
        <v>388</v>
      </c>
      <c r="P50" s="41">
        <v>396</v>
      </c>
      <c r="Q50" s="43">
        <v>402</v>
      </c>
      <c r="R50" s="43">
        <v>131</v>
      </c>
      <c r="S50" s="43">
        <v>98</v>
      </c>
      <c r="T50" s="43">
        <v>141</v>
      </c>
      <c r="U50" s="43">
        <v>190</v>
      </c>
      <c r="V50" s="45" t="s">
        <v>55</v>
      </c>
      <c r="W50" s="43">
        <v>56</v>
      </c>
      <c r="X50" s="43">
        <v>197</v>
      </c>
      <c r="Y50" s="43">
        <v>446</v>
      </c>
      <c r="Z50" s="43">
        <v>388</v>
      </c>
      <c r="AA50" s="46">
        <v>400</v>
      </c>
      <c r="AB50" s="43">
        <v>246</v>
      </c>
      <c r="AC50" s="43">
        <v>235</v>
      </c>
      <c r="AD50" s="43">
        <v>168</v>
      </c>
      <c r="AE50" s="45" t="s">
        <v>55</v>
      </c>
      <c r="AF50" s="43">
        <v>233</v>
      </c>
      <c r="AG50" s="43">
        <v>348</v>
      </c>
      <c r="AH50" s="43">
        <v>183</v>
      </c>
      <c r="AI50" s="43">
        <v>149</v>
      </c>
      <c r="AJ50" s="43">
        <v>277</v>
      </c>
      <c r="AK50" s="43">
        <v>391</v>
      </c>
      <c r="AL50" s="41">
        <v>377</v>
      </c>
      <c r="AM50" s="43">
        <v>314</v>
      </c>
      <c r="AN50" s="43">
        <v>281</v>
      </c>
      <c r="AO50" s="43">
        <v>369</v>
      </c>
      <c r="AP50" s="45" t="s">
        <v>55</v>
      </c>
      <c r="AQ50" s="43">
        <v>231</v>
      </c>
      <c r="AR50" s="43">
        <v>436</v>
      </c>
      <c r="AS50" s="43">
        <v>393</v>
      </c>
      <c r="AT50" s="41">
        <v>356</v>
      </c>
      <c r="AU50" s="43">
        <v>343</v>
      </c>
      <c r="AV50" s="43">
        <v>364</v>
      </c>
      <c r="AW50" s="43">
        <v>327</v>
      </c>
      <c r="AX50" s="43">
        <v>397</v>
      </c>
      <c r="AY50" s="43">
        <v>414</v>
      </c>
      <c r="AZ50" s="43">
        <v>176</v>
      </c>
      <c r="BA50" s="41">
        <v>170</v>
      </c>
      <c r="BB50" s="43">
        <v>163</v>
      </c>
      <c r="BC50" s="43">
        <v>174</v>
      </c>
      <c r="BD50" s="43">
        <v>169</v>
      </c>
      <c r="BE50" s="43">
        <v>178</v>
      </c>
      <c r="BF50" s="43">
        <v>108</v>
      </c>
      <c r="BG50" s="41">
        <v>25</v>
      </c>
      <c r="BH50" s="43">
        <v>23</v>
      </c>
      <c r="BI50" s="43">
        <v>20</v>
      </c>
      <c r="BJ50" s="43">
        <v>19</v>
      </c>
      <c r="BK50" s="46">
        <v>17</v>
      </c>
      <c r="BL50" s="41" t="s">
        <v>56</v>
      </c>
      <c r="BM50" s="43">
        <v>114</v>
      </c>
      <c r="BN50" s="43">
        <v>148</v>
      </c>
      <c r="BO50" s="43">
        <v>156</v>
      </c>
      <c r="BP50" s="43">
        <v>160</v>
      </c>
      <c r="BQ50" s="41" t="s">
        <v>56</v>
      </c>
      <c r="BR50" s="43">
        <v>150</v>
      </c>
      <c r="BS50" s="43">
        <v>202</v>
      </c>
      <c r="BT50" s="83" t="s">
        <v>17</v>
      </c>
    </row>
    <row r="51" spans="1:80" ht="23.25" customHeight="1">
      <c r="A51" s="38" t="s">
        <v>18</v>
      </c>
      <c r="B51" s="38"/>
      <c r="C51" s="39">
        <v>147</v>
      </c>
      <c r="D51" s="39">
        <v>149</v>
      </c>
      <c r="E51" s="39">
        <v>190</v>
      </c>
      <c r="F51" s="40">
        <v>192</v>
      </c>
      <c r="G51" s="41">
        <v>173</v>
      </c>
      <c r="H51" s="42">
        <v>192</v>
      </c>
      <c r="I51" s="43">
        <v>211</v>
      </c>
      <c r="J51" s="43">
        <v>245</v>
      </c>
      <c r="K51" s="43">
        <v>213</v>
      </c>
      <c r="L51" s="44">
        <v>192</v>
      </c>
      <c r="M51" s="44">
        <v>358</v>
      </c>
      <c r="N51" s="44">
        <v>268</v>
      </c>
      <c r="O51" s="43">
        <v>354</v>
      </c>
      <c r="P51" s="41">
        <v>390</v>
      </c>
      <c r="Q51" s="43">
        <v>368</v>
      </c>
      <c r="R51" s="43">
        <v>167</v>
      </c>
      <c r="S51" s="43">
        <v>131</v>
      </c>
      <c r="T51" s="43">
        <v>174</v>
      </c>
      <c r="U51" s="43">
        <v>166</v>
      </c>
      <c r="V51" s="45" t="s">
        <v>55</v>
      </c>
      <c r="W51" s="43">
        <v>42</v>
      </c>
      <c r="X51" s="43">
        <v>241</v>
      </c>
      <c r="Y51" s="43">
        <v>436</v>
      </c>
      <c r="Z51" s="43">
        <v>438</v>
      </c>
      <c r="AA51" s="46">
        <v>412</v>
      </c>
      <c r="AB51" s="43">
        <v>230</v>
      </c>
      <c r="AC51" s="43">
        <v>229</v>
      </c>
      <c r="AD51" s="43">
        <v>139</v>
      </c>
      <c r="AE51" s="45" t="s">
        <v>55</v>
      </c>
      <c r="AF51" s="43">
        <v>226</v>
      </c>
      <c r="AG51" s="43">
        <v>284</v>
      </c>
      <c r="AH51" s="43">
        <v>138</v>
      </c>
      <c r="AI51" s="43">
        <v>120</v>
      </c>
      <c r="AJ51" s="43">
        <v>278</v>
      </c>
      <c r="AK51" s="43">
        <v>390</v>
      </c>
      <c r="AL51" s="41">
        <v>367</v>
      </c>
      <c r="AM51" s="43">
        <v>314</v>
      </c>
      <c r="AN51" s="43">
        <v>289</v>
      </c>
      <c r="AO51" s="43">
        <v>346</v>
      </c>
      <c r="AP51" s="45" t="s">
        <v>55</v>
      </c>
      <c r="AQ51" s="43">
        <v>239</v>
      </c>
      <c r="AR51" s="43">
        <v>437</v>
      </c>
      <c r="AS51" s="43">
        <v>358</v>
      </c>
      <c r="AT51" s="41">
        <v>341</v>
      </c>
      <c r="AU51" s="43">
        <v>328</v>
      </c>
      <c r="AV51" s="43">
        <v>289</v>
      </c>
      <c r="AW51" s="43">
        <v>316</v>
      </c>
      <c r="AX51" s="43">
        <v>353</v>
      </c>
      <c r="AY51" s="43">
        <v>471</v>
      </c>
      <c r="AZ51" s="43">
        <v>175</v>
      </c>
      <c r="BA51" s="41">
        <v>175</v>
      </c>
      <c r="BB51" s="43">
        <v>154</v>
      </c>
      <c r="BC51" s="43">
        <v>158</v>
      </c>
      <c r="BD51" s="43">
        <v>164</v>
      </c>
      <c r="BE51" s="43">
        <v>165</v>
      </c>
      <c r="BF51" s="43">
        <v>112</v>
      </c>
      <c r="BG51" s="41">
        <v>26</v>
      </c>
      <c r="BH51" s="43">
        <v>21</v>
      </c>
      <c r="BI51" s="43">
        <v>22</v>
      </c>
      <c r="BJ51" s="43">
        <v>21</v>
      </c>
      <c r="BK51" s="46">
        <v>21</v>
      </c>
      <c r="BL51" s="41" t="s">
        <v>56</v>
      </c>
      <c r="BM51" s="43">
        <v>106</v>
      </c>
      <c r="BN51" s="43">
        <v>156</v>
      </c>
      <c r="BO51" s="43">
        <v>146</v>
      </c>
      <c r="BP51" s="43">
        <v>156</v>
      </c>
      <c r="BQ51" s="41" t="s">
        <v>56</v>
      </c>
      <c r="BR51" s="43">
        <v>161</v>
      </c>
      <c r="BS51" s="43">
        <v>181</v>
      </c>
      <c r="BT51" s="83" t="s">
        <v>19</v>
      </c>
      <c r="BY51" s="25"/>
      <c r="BZ51" s="25"/>
      <c r="CA51" s="25"/>
      <c r="CB51" s="25"/>
    </row>
    <row r="52" spans="1:80" ht="23.25" customHeight="1">
      <c r="A52" s="38" t="s">
        <v>20</v>
      </c>
      <c r="B52" s="38"/>
      <c r="C52" s="39">
        <v>128</v>
      </c>
      <c r="D52" s="39">
        <v>139</v>
      </c>
      <c r="E52" s="39">
        <v>178</v>
      </c>
      <c r="F52" s="40">
        <v>186</v>
      </c>
      <c r="G52" s="41">
        <v>182</v>
      </c>
      <c r="H52" s="42">
        <v>194</v>
      </c>
      <c r="I52" s="43">
        <v>209</v>
      </c>
      <c r="J52" s="43">
        <v>200</v>
      </c>
      <c r="K52" s="43">
        <v>220</v>
      </c>
      <c r="L52" s="44">
        <v>274</v>
      </c>
      <c r="M52" s="44">
        <v>284</v>
      </c>
      <c r="N52" s="44">
        <v>274</v>
      </c>
      <c r="O52" s="43">
        <v>368</v>
      </c>
      <c r="P52" s="41">
        <v>356</v>
      </c>
      <c r="Q52" s="43">
        <v>364</v>
      </c>
      <c r="R52" s="43">
        <v>102</v>
      </c>
      <c r="S52" s="43">
        <v>99</v>
      </c>
      <c r="T52" s="43">
        <v>130</v>
      </c>
      <c r="U52" s="43">
        <v>154</v>
      </c>
      <c r="V52" s="45" t="s">
        <v>55</v>
      </c>
      <c r="W52" s="43">
        <v>68</v>
      </c>
      <c r="X52" s="43">
        <v>233</v>
      </c>
      <c r="Y52" s="43">
        <v>380</v>
      </c>
      <c r="Z52" s="43">
        <v>372</v>
      </c>
      <c r="AA52" s="46">
        <v>426</v>
      </c>
      <c r="AB52" s="43">
        <v>236</v>
      </c>
      <c r="AC52" s="43">
        <v>222</v>
      </c>
      <c r="AD52" s="43">
        <v>136</v>
      </c>
      <c r="AE52" s="45" t="s">
        <v>55</v>
      </c>
      <c r="AF52" s="43">
        <v>180</v>
      </c>
      <c r="AG52" s="43">
        <v>382</v>
      </c>
      <c r="AH52" s="43">
        <v>168</v>
      </c>
      <c r="AI52" s="43">
        <v>147</v>
      </c>
      <c r="AJ52" s="43">
        <v>211</v>
      </c>
      <c r="AK52" s="43">
        <v>411</v>
      </c>
      <c r="AL52" s="41">
        <v>397</v>
      </c>
      <c r="AM52" s="43">
        <v>370</v>
      </c>
      <c r="AN52" s="43">
        <v>325</v>
      </c>
      <c r="AO52" s="43">
        <v>527</v>
      </c>
      <c r="AP52" s="45" t="s">
        <v>55</v>
      </c>
      <c r="AQ52" s="43">
        <v>288</v>
      </c>
      <c r="AR52" s="43">
        <v>454</v>
      </c>
      <c r="AS52" s="43">
        <v>370</v>
      </c>
      <c r="AT52" s="41">
        <v>341</v>
      </c>
      <c r="AU52" s="43">
        <v>321</v>
      </c>
      <c r="AV52" s="43">
        <v>259</v>
      </c>
      <c r="AW52" s="43">
        <v>319</v>
      </c>
      <c r="AX52" s="43">
        <v>336</v>
      </c>
      <c r="AY52" s="43">
        <v>428</v>
      </c>
      <c r="AZ52" s="43">
        <v>181</v>
      </c>
      <c r="BA52" s="41">
        <v>166</v>
      </c>
      <c r="BB52" s="43">
        <v>163</v>
      </c>
      <c r="BC52" s="43">
        <v>142</v>
      </c>
      <c r="BD52" s="43">
        <v>158</v>
      </c>
      <c r="BE52" s="43">
        <v>149</v>
      </c>
      <c r="BF52" s="43">
        <v>91</v>
      </c>
      <c r="BG52" s="41">
        <v>28</v>
      </c>
      <c r="BH52" s="43">
        <v>21</v>
      </c>
      <c r="BI52" s="43">
        <v>20</v>
      </c>
      <c r="BJ52" s="43">
        <v>16</v>
      </c>
      <c r="BK52" s="46">
        <v>15</v>
      </c>
      <c r="BL52" s="41">
        <v>9</v>
      </c>
      <c r="BM52" s="43">
        <v>90</v>
      </c>
      <c r="BN52" s="43">
        <v>160</v>
      </c>
      <c r="BO52" s="43">
        <v>146</v>
      </c>
      <c r="BP52" s="43">
        <v>182</v>
      </c>
      <c r="BQ52" s="41" t="s">
        <v>56</v>
      </c>
      <c r="BR52" s="43">
        <v>148</v>
      </c>
      <c r="BS52" s="43">
        <v>184</v>
      </c>
      <c r="BT52" s="83" t="s">
        <v>21</v>
      </c>
    </row>
    <row r="53" spans="1:80" ht="23.25" customHeight="1">
      <c r="A53" s="38" t="s">
        <v>22</v>
      </c>
      <c r="B53" s="38"/>
      <c r="C53" s="39">
        <v>137</v>
      </c>
      <c r="D53" s="39">
        <v>136</v>
      </c>
      <c r="E53" s="39">
        <v>192</v>
      </c>
      <c r="F53" s="40">
        <v>180</v>
      </c>
      <c r="G53" s="41">
        <v>174</v>
      </c>
      <c r="H53" s="42">
        <v>185</v>
      </c>
      <c r="I53" s="43">
        <v>192</v>
      </c>
      <c r="J53" s="43">
        <v>175</v>
      </c>
      <c r="K53" s="43">
        <v>185</v>
      </c>
      <c r="L53" s="44">
        <v>278</v>
      </c>
      <c r="M53" s="44">
        <v>318</v>
      </c>
      <c r="N53" s="44">
        <v>328</v>
      </c>
      <c r="O53" s="43">
        <v>346</v>
      </c>
      <c r="P53" s="41">
        <v>340</v>
      </c>
      <c r="Q53" s="43">
        <v>336</v>
      </c>
      <c r="R53" s="43">
        <v>127</v>
      </c>
      <c r="S53" s="43">
        <v>102</v>
      </c>
      <c r="T53" s="43">
        <v>173</v>
      </c>
      <c r="U53" s="43">
        <v>169</v>
      </c>
      <c r="V53" s="45" t="s">
        <v>55</v>
      </c>
      <c r="W53" s="43">
        <v>58</v>
      </c>
      <c r="X53" s="43">
        <v>225</v>
      </c>
      <c r="Y53" s="43">
        <v>376</v>
      </c>
      <c r="Z53" s="43">
        <v>356</v>
      </c>
      <c r="AA53" s="46">
        <v>406</v>
      </c>
      <c r="AB53" s="43">
        <v>231</v>
      </c>
      <c r="AC53" s="43">
        <v>138</v>
      </c>
      <c r="AD53" s="43">
        <v>198</v>
      </c>
      <c r="AE53" s="45" t="s">
        <v>55</v>
      </c>
      <c r="AF53" s="43">
        <v>150</v>
      </c>
      <c r="AG53" s="43">
        <v>354</v>
      </c>
      <c r="AH53" s="43">
        <v>168</v>
      </c>
      <c r="AI53" s="43">
        <v>137</v>
      </c>
      <c r="AJ53" s="43">
        <v>190</v>
      </c>
      <c r="AK53" s="43">
        <v>407</v>
      </c>
      <c r="AL53" s="41">
        <v>345</v>
      </c>
      <c r="AM53" s="43">
        <v>327</v>
      </c>
      <c r="AN53" s="43">
        <v>395</v>
      </c>
      <c r="AO53" s="43">
        <v>374</v>
      </c>
      <c r="AP53" s="45" t="s">
        <v>55</v>
      </c>
      <c r="AQ53" s="43">
        <v>292</v>
      </c>
      <c r="AR53" s="43">
        <v>442</v>
      </c>
      <c r="AS53" s="43">
        <v>331</v>
      </c>
      <c r="AT53" s="41">
        <v>302</v>
      </c>
      <c r="AU53" s="43">
        <v>286</v>
      </c>
      <c r="AV53" s="43">
        <v>341</v>
      </c>
      <c r="AW53" s="43">
        <v>310</v>
      </c>
      <c r="AX53" s="43">
        <v>340</v>
      </c>
      <c r="AY53" s="43">
        <v>450</v>
      </c>
      <c r="AZ53" s="43">
        <v>168</v>
      </c>
      <c r="BA53" s="41">
        <v>146</v>
      </c>
      <c r="BB53" s="43">
        <v>144</v>
      </c>
      <c r="BC53" s="43">
        <v>145</v>
      </c>
      <c r="BD53" s="43">
        <v>155</v>
      </c>
      <c r="BE53" s="43">
        <v>153</v>
      </c>
      <c r="BF53" s="43">
        <v>68</v>
      </c>
      <c r="BG53" s="41">
        <v>28</v>
      </c>
      <c r="BH53" s="43">
        <v>18</v>
      </c>
      <c r="BI53" s="43">
        <v>20</v>
      </c>
      <c r="BJ53" s="43">
        <v>19</v>
      </c>
      <c r="BK53" s="46">
        <v>20</v>
      </c>
      <c r="BL53" s="41">
        <v>43</v>
      </c>
      <c r="BM53" s="43">
        <v>86</v>
      </c>
      <c r="BN53" s="43">
        <v>147</v>
      </c>
      <c r="BO53" s="43">
        <v>150</v>
      </c>
      <c r="BP53" s="43">
        <v>151</v>
      </c>
      <c r="BQ53" s="41" t="s">
        <v>56</v>
      </c>
      <c r="BR53" s="43">
        <v>123</v>
      </c>
      <c r="BS53" s="43">
        <v>166</v>
      </c>
      <c r="BT53" s="83" t="s">
        <v>23</v>
      </c>
    </row>
    <row r="54" spans="1:80" ht="23.25" customHeight="1">
      <c r="A54" s="38" t="s">
        <v>24</v>
      </c>
      <c r="B54" s="38"/>
      <c r="C54" s="39">
        <v>178</v>
      </c>
      <c r="D54" s="39">
        <v>154</v>
      </c>
      <c r="E54" s="39">
        <v>189</v>
      </c>
      <c r="F54" s="40">
        <v>178</v>
      </c>
      <c r="G54" s="41">
        <v>168</v>
      </c>
      <c r="H54" s="42">
        <v>193</v>
      </c>
      <c r="I54" s="43">
        <v>215</v>
      </c>
      <c r="J54" s="43">
        <v>195</v>
      </c>
      <c r="K54" s="43">
        <v>195</v>
      </c>
      <c r="L54" s="44">
        <v>322</v>
      </c>
      <c r="M54" s="44">
        <v>372</v>
      </c>
      <c r="N54" s="44">
        <v>308</v>
      </c>
      <c r="O54" s="43">
        <v>362</v>
      </c>
      <c r="P54" s="41">
        <v>356</v>
      </c>
      <c r="Q54" s="43">
        <v>402</v>
      </c>
      <c r="R54" s="43">
        <v>161</v>
      </c>
      <c r="S54" s="43">
        <v>146</v>
      </c>
      <c r="T54" s="43">
        <v>124</v>
      </c>
      <c r="U54" s="43">
        <v>161</v>
      </c>
      <c r="V54" s="45" t="s">
        <v>55</v>
      </c>
      <c r="W54" s="43">
        <v>60</v>
      </c>
      <c r="X54" s="43">
        <v>228</v>
      </c>
      <c r="Y54" s="43">
        <v>442</v>
      </c>
      <c r="Z54" s="43">
        <v>370</v>
      </c>
      <c r="AA54" s="46">
        <v>402</v>
      </c>
      <c r="AB54" s="43">
        <v>247</v>
      </c>
      <c r="AC54" s="43">
        <v>132</v>
      </c>
      <c r="AD54" s="43">
        <v>211</v>
      </c>
      <c r="AE54" s="45" t="s">
        <v>55</v>
      </c>
      <c r="AF54" s="43">
        <v>226</v>
      </c>
      <c r="AG54" s="43">
        <v>337</v>
      </c>
      <c r="AH54" s="43">
        <v>189</v>
      </c>
      <c r="AI54" s="43">
        <v>148</v>
      </c>
      <c r="AJ54" s="43">
        <v>151</v>
      </c>
      <c r="AK54" s="43">
        <v>452</v>
      </c>
      <c r="AL54" s="41">
        <v>353</v>
      </c>
      <c r="AM54" s="43">
        <v>338</v>
      </c>
      <c r="AN54" s="43">
        <v>428</v>
      </c>
      <c r="AO54" s="43">
        <v>403</v>
      </c>
      <c r="AP54" s="45" t="s">
        <v>55</v>
      </c>
      <c r="AQ54" s="43">
        <v>302</v>
      </c>
      <c r="AR54" s="43">
        <v>430</v>
      </c>
      <c r="AS54" s="43">
        <v>346</v>
      </c>
      <c r="AT54" s="41">
        <v>330</v>
      </c>
      <c r="AU54" s="43">
        <v>296</v>
      </c>
      <c r="AV54" s="43">
        <v>254</v>
      </c>
      <c r="AW54" s="43">
        <v>366</v>
      </c>
      <c r="AX54" s="43">
        <v>378</v>
      </c>
      <c r="AY54" s="43">
        <v>478</v>
      </c>
      <c r="AZ54" s="43">
        <v>173</v>
      </c>
      <c r="BA54" s="41">
        <v>152</v>
      </c>
      <c r="BB54" s="43">
        <v>162</v>
      </c>
      <c r="BC54" s="43">
        <v>154</v>
      </c>
      <c r="BD54" s="43">
        <v>166</v>
      </c>
      <c r="BE54" s="43">
        <v>153</v>
      </c>
      <c r="BF54" s="43">
        <v>58</v>
      </c>
      <c r="BG54" s="41">
        <v>26</v>
      </c>
      <c r="BH54" s="43">
        <v>25</v>
      </c>
      <c r="BI54" s="43">
        <v>21</v>
      </c>
      <c r="BJ54" s="43">
        <v>19</v>
      </c>
      <c r="BK54" s="46">
        <v>23</v>
      </c>
      <c r="BL54" s="41">
        <v>39</v>
      </c>
      <c r="BM54" s="43">
        <v>120</v>
      </c>
      <c r="BN54" s="43">
        <v>155</v>
      </c>
      <c r="BO54" s="43">
        <v>169</v>
      </c>
      <c r="BP54" s="43">
        <v>165</v>
      </c>
      <c r="BQ54" s="41" t="s">
        <v>56</v>
      </c>
      <c r="BR54" s="43">
        <v>157</v>
      </c>
      <c r="BS54" s="43">
        <v>176</v>
      </c>
      <c r="BT54" s="83" t="s">
        <v>25</v>
      </c>
      <c r="BY54" s="25"/>
      <c r="BZ54" s="25"/>
      <c r="CA54" s="25"/>
      <c r="CB54" s="25"/>
    </row>
    <row r="55" spans="1:80" ht="23.25" customHeight="1">
      <c r="A55" s="38" t="s">
        <v>26</v>
      </c>
      <c r="B55" s="38"/>
      <c r="C55" s="39">
        <v>139</v>
      </c>
      <c r="D55" s="39">
        <v>153</v>
      </c>
      <c r="E55" s="39">
        <v>200</v>
      </c>
      <c r="F55" s="40">
        <v>189</v>
      </c>
      <c r="G55" s="41">
        <v>173</v>
      </c>
      <c r="H55" s="42">
        <v>214</v>
      </c>
      <c r="I55" s="43">
        <v>217</v>
      </c>
      <c r="J55" s="43">
        <v>210</v>
      </c>
      <c r="K55" s="43">
        <v>221</v>
      </c>
      <c r="L55" s="44">
        <v>254</v>
      </c>
      <c r="M55" s="44">
        <v>362</v>
      </c>
      <c r="N55" s="44">
        <v>464</v>
      </c>
      <c r="O55" s="43">
        <v>392</v>
      </c>
      <c r="P55" s="41">
        <v>346</v>
      </c>
      <c r="Q55" s="43">
        <v>438</v>
      </c>
      <c r="R55" s="43">
        <v>121</v>
      </c>
      <c r="S55" s="43">
        <v>145</v>
      </c>
      <c r="T55" s="43">
        <v>138</v>
      </c>
      <c r="U55" s="43">
        <v>159</v>
      </c>
      <c r="V55" s="45" t="s">
        <v>55</v>
      </c>
      <c r="W55" s="43">
        <v>66</v>
      </c>
      <c r="X55" s="43">
        <v>226</v>
      </c>
      <c r="Y55" s="43">
        <v>436</v>
      </c>
      <c r="Z55" s="43">
        <v>412</v>
      </c>
      <c r="AA55" s="46">
        <v>424</v>
      </c>
      <c r="AB55" s="43">
        <v>226</v>
      </c>
      <c r="AC55" s="43">
        <v>99</v>
      </c>
      <c r="AD55" s="43">
        <v>149</v>
      </c>
      <c r="AE55" s="45" t="s">
        <v>55</v>
      </c>
      <c r="AF55" s="43">
        <v>250</v>
      </c>
      <c r="AG55" s="43">
        <v>402</v>
      </c>
      <c r="AH55" s="43">
        <v>146</v>
      </c>
      <c r="AI55" s="43">
        <v>180</v>
      </c>
      <c r="AJ55" s="43">
        <v>177</v>
      </c>
      <c r="AK55" s="43">
        <v>464</v>
      </c>
      <c r="AL55" s="41">
        <v>365</v>
      </c>
      <c r="AM55" s="43">
        <v>381</v>
      </c>
      <c r="AN55" s="43">
        <v>421</v>
      </c>
      <c r="AO55" s="43">
        <v>450</v>
      </c>
      <c r="AP55" s="45" t="s">
        <v>55</v>
      </c>
      <c r="AQ55" s="43">
        <v>333</v>
      </c>
      <c r="AR55" s="43">
        <v>420</v>
      </c>
      <c r="AS55" s="43">
        <v>370</v>
      </c>
      <c r="AT55" s="41">
        <v>341</v>
      </c>
      <c r="AU55" s="43">
        <v>329</v>
      </c>
      <c r="AV55" s="43">
        <v>159</v>
      </c>
      <c r="AW55" s="43">
        <v>397</v>
      </c>
      <c r="AX55" s="43">
        <v>430</v>
      </c>
      <c r="AY55" s="43">
        <v>480</v>
      </c>
      <c r="AZ55" s="43">
        <v>172</v>
      </c>
      <c r="BA55" s="41">
        <v>163</v>
      </c>
      <c r="BB55" s="43">
        <v>156</v>
      </c>
      <c r="BC55" s="43">
        <v>148</v>
      </c>
      <c r="BD55" s="43">
        <v>165</v>
      </c>
      <c r="BE55" s="43">
        <v>161</v>
      </c>
      <c r="BF55" s="43">
        <v>60</v>
      </c>
      <c r="BG55" s="41">
        <v>26</v>
      </c>
      <c r="BH55" s="43">
        <v>19</v>
      </c>
      <c r="BI55" s="43">
        <v>22</v>
      </c>
      <c r="BJ55" s="43">
        <v>27</v>
      </c>
      <c r="BK55" s="46">
        <v>30</v>
      </c>
      <c r="BL55" s="41">
        <v>54</v>
      </c>
      <c r="BM55" s="43">
        <v>149</v>
      </c>
      <c r="BN55" s="43">
        <v>173</v>
      </c>
      <c r="BO55" s="43">
        <v>147</v>
      </c>
      <c r="BP55" s="43">
        <v>155</v>
      </c>
      <c r="BQ55" s="41" t="s">
        <v>56</v>
      </c>
      <c r="BR55" s="43">
        <v>172</v>
      </c>
      <c r="BS55" s="43">
        <v>189</v>
      </c>
      <c r="BT55" s="83" t="s">
        <v>27</v>
      </c>
    </row>
    <row r="56" spans="1:80" ht="23.25" customHeight="1">
      <c r="A56" s="38" t="s">
        <v>28</v>
      </c>
      <c r="B56" s="38"/>
      <c r="C56" s="39">
        <v>148</v>
      </c>
      <c r="D56" s="39">
        <v>155</v>
      </c>
      <c r="E56" s="39">
        <v>200</v>
      </c>
      <c r="F56" s="40">
        <v>185</v>
      </c>
      <c r="G56" s="41">
        <v>177</v>
      </c>
      <c r="H56" s="42">
        <v>233</v>
      </c>
      <c r="I56" s="43">
        <v>242</v>
      </c>
      <c r="J56" s="43">
        <v>215</v>
      </c>
      <c r="K56" s="43">
        <v>228</v>
      </c>
      <c r="L56" s="44">
        <v>272</v>
      </c>
      <c r="M56" s="44">
        <v>286</v>
      </c>
      <c r="N56" s="44">
        <v>376</v>
      </c>
      <c r="O56" s="43">
        <v>346</v>
      </c>
      <c r="P56" s="41">
        <v>320</v>
      </c>
      <c r="Q56" s="43">
        <v>432</v>
      </c>
      <c r="R56" s="43">
        <v>139</v>
      </c>
      <c r="S56" s="43">
        <v>100</v>
      </c>
      <c r="T56" s="43">
        <v>202</v>
      </c>
      <c r="U56" s="43">
        <v>139</v>
      </c>
      <c r="V56" s="45" t="s">
        <v>55</v>
      </c>
      <c r="W56" s="43">
        <v>54</v>
      </c>
      <c r="X56" s="43">
        <v>199</v>
      </c>
      <c r="Y56" s="43">
        <v>434</v>
      </c>
      <c r="Z56" s="43">
        <v>402</v>
      </c>
      <c r="AA56" s="46">
        <v>392</v>
      </c>
      <c r="AB56" s="43">
        <v>223</v>
      </c>
      <c r="AC56" s="43">
        <v>185</v>
      </c>
      <c r="AD56" s="43">
        <v>167</v>
      </c>
      <c r="AE56" s="45" t="s">
        <v>55</v>
      </c>
      <c r="AF56" s="43">
        <v>308</v>
      </c>
      <c r="AG56" s="43">
        <v>387</v>
      </c>
      <c r="AH56" s="43">
        <v>172</v>
      </c>
      <c r="AI56" s="43">
        <v>191</v>
      </c>
      <c r="AJ56" s="43">
        <v>178</v>
      </c>
      <c r="AK56" s="43">
        <v>409</v>
      </c>
      <c r="AL56" s="41">
        <v>341</v>
      </c>
      <c r="AM56" s="43">
        <v>317</v>
      </c>
      <c r="AN56" s="43">
        <v>419</v>
      </c>
      <c r="AO56" s="43">
        <v>375</v>
      </c>
      <c r="AP56" s="45" t="s">
        <v>55</v>
      </c>
      <c r="AQ56" s="43">
        <v>335</v>
      </c>
      <c r="AR56" s="43">
        <v>318</v>
      </c>
      <c r="AS56" s="43">
        <v>357</v>
      </c>
      <c r="AT56" s="41">
        <v>314</v>
      </c>
      <c r="AU56" s="43">
        <v>331</v>
      </c>
      <c r="AV56" s="43">
        <v>159</v>
      </c>
      <c r="AW56" s="43">
        <v>362</v>
      </c>
      <c r="AX56" s="43">
        <v>360</v>
      </c>
      <c r="AY56" s="43">
        <v>380</v>
      </c>
      <c r="AZ56" s="43">
        <v>166</v>
      </c>
      <c r="BA56" s="41">
        <v>151</v>
      </c>
      <c r="BB56" s="43">
        <v>155</v>
      </c>
      <c r="BC56" s="43">
        <v>166</v>
      </c>
      <c r="BD56" s="43">
        <v>158</v>
      </c>
      <c r="BE56" s="43">
        <v>154</v>
      </c>
      <c r="BF56" s="43">
        <v>46</v>
      </c>
      <c r="BG56" s="41">
        <v>32</v>
      </c>
      <c r="BH56" s="43">
        <v>24</v>
      </c>
      <c r="BI56" s="43">
        <v>21</v>
      </c>
      <c r="BJ56" s="43">
        <v>23</v>
      </c>
      <c r="BK56" s="46">
        <v>21</v>
      </c>
      <c r="BL56" s="41">
        <v>69</v>
      </c>
      <c r="BM56" s="43">
        <v>130</v>
      </c>
      <c r="BN56" s="43">
        <v>173</v>
      </c>
      <c r="BO56" s="43">
        <v>141</v>
      </c>
      <c r="BP56" s="43">
        <v>154</v>
      </c>
      <c r="BQ56" s="41" t="s">
        <v>56</v>
      </c>
      <c r="BR56" s="43">
        <v>165</v>
      </c>
      <c r="BS56" s="43">
        <v>161</v>
      </c>
      <c r="BT56" s="83" t="s">
        <v>29</v>
      </c>
    </row>
    <row r="57" spans="1:80" ht="23.25" customHeight="1">
      <c r="A57" s="38" t="s">
        <v>30</v>
      </c>
      <c r="B57" s="38"/>
      <c r="C57" s="39">
        <v>144</v>
      </c>
      <c r="D57" s="39">
        <v>157</v>
      </c>
      <c r="E57" s="39">
        <v>204</v>
      </c>
      <c r="F57" s="40">
        <v>180</v>
      </c>
      <c r="G57" s="41">
        <v>163</v>
      </c>
      <c r="H57" s="42">
        <v>228</v>
      </c>
      <c r="I57" s="43">
        <v>238</v>
      </c>
      <c r="J57" s="43">
        <v>168</v>
      </c>
      <c r="K57" s="43">
        <v>217</v>
      </c>
      <c r="L57" s="44">
        <v>190</v>
      </c>
      <c r="M57" s="44">
        <v>272</v>
      </c>
      <c r="N57" s="44">
        <v>380</v>
      </c>
      <c r="O57" s="43">
        <v>366</v>
      </c>
      <c r="P57" s="41">
        <v>334</v>
      </c>
      <c r="Q57" s="43">
        <v>492</v>
      </c>
      <c r="R57" s="43">
        <v>104</v>
      </c>
      <c r="S57" s="43">
        <v>122</v>
      </c>
      <c r="T57" s="43">
        <v>165</v>
      </c>
      <c r="U57" s="43">
        <v>177</v>
      </c>
      <c r="V57" s="43">
        <v>4</v>
      </c>
      <c r="W57" s="43">
        <v>52</v>
      </c>
      <c r="X57" s="43">
        <v>210</v>
      </c>
      <c r="Y57" s="43">
        <v>446</v>
      </c>
      <c r="Z57" s="43">
        <v>394</v>
      </c>
      <c r="AA57" s="46">
        <v>408</v>
      </c>
      <c r="AB57" s="43">
        <v>251</v>
      </c>
      <c r="AC57" s="43">
        <v>104</v>
      </c>
      <c r="AD57" s="43">
        <v>172</v>
      </c>
      <c r="AE57" s="43">
        <v>186</v>
      </c>
      <c r="AF57" s="43">
        <v>365</v>
      </c>
      <c r="AG57" s="43">
        <v>439</v>
      </c>
      <c r="AH57" s="43">
        <v>122</v>
      </c>
      <c r="AI57" s="43">
        <v>105</v>
      </c>
      <c r="AJ57" s="43">
        <v>151</v>
      </c>
      <c r="AK57" s="43">
        <v>451</v>
      </c>
      <c r="AL57" s="41">
        <v>336</v>
      </c>
      <c r="AM57" s="43">
        <v>326</v>
      </c>
      <c r="AN57" s="43">
        <v>402</v>
      </c>
      <c r="AO57" s="43">
        <v>414</v>
      </c>
      <c r="AP57" s="43">
        <v>30</v>
      </c>
      <c r="AQ57" s="43">
        <v>357</v>
      </c>
      <c r="AR57" s="43">
        <v>350</v>
      </c>
      <c r="AS57" s="43">
        <v>368</v>
      </c>
      <c r="AT57" s="41">
        <v>328</v>
      </c>
      <c r="AU57" s="43">
        <v>321</v>
      </c>
      <c r="AV57" s="43">
        <v>160</v>
      </c>
      <c r="AW57" s="43">
        <v>387</v>
      </c>
      <c r="AX57" s="43">
        <v>392</v>
      </c>
      <c r="AY57" s="43">
        <v>441</v>
      </c>
      <c r="AZ57" s="43">
        <v>185</v>
      </c>
      <c r="BA57" s="41">
        <v>173</v>
      </c>
      <c r="BB57" s="43">
        <v>167</v>
      </c>
      <c r="BC57" s="43">
        <v>163</v>
      </c>
      <c r="BD57" s="43">
        <v>167</v>
      </c>
      <c r="BE57" s="43">
        <v>165</v>
      </c>
      <c r="BF57" s="43">
        <v>54</v>
      </c>
      <c r="BG57" s="41">
        <v>27</v>
      </c>
      <c r="BH57" s="43">
        <v>20</v>
      </c>
      <c r="BI57" s="43">
        <v>19</v>
      </c>
      <c r="BJ57" s="43">
        <v>18</v>
      </c>
      <c r="BK57" s="46">
        <v>19</v>
      </c>
      <c r="BL57" s="41">
        <v>87</v>
      </c>
      <c r="BM57" s="43">
        <v>150</v>
      </c>
      <c r="BN57" s="43">
        <v>188</v>
      </c>
      <c r="BO57" s="43">
        <v>171</v>
      </c>
      <c r="BP57" s="43">
        <v>171</v>
      </c>
      <c r="BQ57" s="41">
        <v>132</v>
      </c>
      <c r="BR57" s="43">
        <v>180</v>
      </c>
      <c r="BS57" s="43">
        <v>186</v>
      </c>
      <c r="BT57" s="83" t="s">
        <v>31</v>
      </c>
      <c r="BY57" s="25"/>
      <c r="BZ57" s="25"/>
      <c r="CA57" s="25"/>
      <c r="CB57" s="25"/>
    </row>
    <row r="58" spans="1:80" ht="23.25" customHeight="1">
      <c r="A58" s="38" t="s">
        <v>32</v>
      </c>
      <c r="B58" s="38"/>
      <c r="C58" s="39">
        <v>151</v>
      </c>
      <c r="D58" s="39">
        <v>170</v>
      </c>
      <c r="E58" s="39">
        <v>203</v>
      </c>
      <c r="F58" s="40">
        <v>147</v>
      </c>
      <c r="G58" s="41">
        <v>179</v>
      </c>
      <c r="H58" s="42">
        <v>202</v>
      </c>
      <c r="I58" s="43">
        <v>241</v>
      </c>
      <c r="J58" s="43">
        <v>204</v>
      </c>
      <c r="K58" s="43">
        <v>226</v>
      </c>
      <c r="L58" s="44">
        <v>354</v>
      </c>
      <c r="M58" s="44">
        <v>282</v>
      </c>
      <c r="N58" s="44">
        <v>390</v>
      </c>
      <c r="O58" s="43">
        <v>374</v>
      </c>
      <c r="P58" s="41">
        <v>334</v>
      </c>
      <c r="Q58" s="43">
        <v>458</v>
      </c>
      <c r="R58" s="43">
        <v>142</v>
      </c>
      <c r="S58" s="43">
        <v>129</v>
      </c>
      <c r="T58" s="43">
        <v>199</v>
      </c>
      <c r="U58" s="43">
        <v>160</v>
      </c>
      <c r="V58" s="43">
        <v>144</v>
      </c>
      <c r="W58" s="43">
        <v>84</v>
      </c>
      <c r="X58" s="43">
        <v>253</v>
      </c>
      <c r="Y58" s="43">
        <v>410</v>
      </c>
      <c r="Z58" s="43">
        <v>390</v>
      </c>
      <c r="AA58" s="46">
        <v>348</v>
      </c>
      <c r="AB58" s="43">
        <v>224</v>
      </c>
      <c r="AC58" s="43">
        <v>162</v>
      </c>
      <c r="AD58" s="43">
        <v>177</v>
      </c>
      <c r="AE58" s="43">
        <v>275</v>
      </c>
      <c r="AF58" s="43">
        <v>325</v>
      </c>
      <c r="AG58" s="43">
        <v>415</v>
      </c>
      <c r="AH58" s="43">
        <v>133</v>
      </c>
      <c r="AI58" s="43">
        <v>148</v>
      </c>
      <c r="AJ58" s="43">
        <v>173</v>
      </c>
      <c r="AK58" s="43">
        <v>375</v>
      </c>
      <c r="AL58" s="41">
        <v>304</v>
      </c>
      <c r="AM58" s="43">
        <v>298</v>
      </c>
      <c r="AN58" s="43">
        <v>365</v>
      </c>
      <c r="AO58" s="43">
        <v>383</v>
      </c>
      <c r="AP58" s="43">
        <v>49</v>
      </c>
      <c r="AQ58" s="43">
        <v>365</v>
      </c>
      <c r="AR58" s="43">
        <v>349</v>
      </c>
      <c r="AS58" s="43">
        <v>309</v>
      </c>
      <c r="AT58" s="41">
        <v>319</v>
      </c>
      <c r="AU58" s="43">
        <v>324</v>
      </c>
      <c r="AV58" s="43">
        <v>159</v>
      </c>
      <c r="AW58" s="43">
        <v>370</v>
      </c>
      <c r="AX58" s="43">
        <v>379</v>
      </c>
      <c r="AY58" s="43">
        <v>374</v>
      </c>
      <c r="AZ58" s="43">
        <v>169</v>
      </c>
      <c r="BA58" s="41">
        <v>164</v>
      </c>
      <c r="BB58" s="43">
        <v>160</v>
      </c>
      <c r="BC58" s="43">
        <v>170</v>
      </c>
      <c r="BD58" s="43">
        <v>159</v>
      </c>
      <c r="BE58" s="43">
        <v>177</v>
      </c>
      <c r="BF58" s="43">
        <v>50</v>
      </c>
      <c r="BG58" s="41">
        <v>30</v>
      </c>
      <c r="BH58" s="43">
        <v>22</v>
      </c>
      <c r="BI58" s="43">
        <v>21</v>
      </c>
      <c r="BJ58" s="43">
        <v>24</v>
      </c>
      <c r="BK58" s="46">
        <v>17</v>
      </c>
      <c r="BL58" s="41">
        <v>127</v>
      </c>
      <c r="BM58" s="43">
        <v>132</v>
      </c>
      <c r="BN58" s="43">
        <v>164</v>
      </c>
      <c r="BO58" s="43">
        <v>156</v>
      </c>
      <c r="BP58" s="43">
        <v>168</v>
      </c>
      <c r="BQ58" s="41">
        <v>178</v>
      </c>
      <c r="BR58" s="43">
        <v>175</v>
      </c>
      <c r="BS58" s="43">
        <v>210</v>
      </c>
      <c r="BT58" s="83" t="s">
        <v>33</v>
      </c>
    </row>
    <row r="59" spans="1:80" ht="23.25" customHeight="1">
      <c r="A59" s="47" t="s">
        <v>34</v>
      </c>
      <c r="B59" s="47"/>
      <c r="C59" s="48">
        <v>134</v>
      </c>
      <c r="D59" s="48">
        <v>174</v>
      </c>
      <c r="E59" s="48">
        <v>220</v>
      </c>
      <c r="F59" s="49">
        <v>162</v>
      </c>
      <c r="G59" s="50">
        <v>199</v>
      </c>
      <c r="H59" s="51">
        <v>181</v>
      </c>
      <c r="I59" s="52">
        <v>267</v>
      </c>
      <c r="J59" s="52">
        <v>212</v>
      </c>
      <c r="K59" s="52">
        <v>205</v>
      </c>
      <c r="L59" s="53">
        <v>330</v>
      </c>
      <c r="M59" s="53">
        <v>368</v>
      </c>
      <c r="N59" s="53">
        <v>371</v>
      </c>
      <c r="O59" s="52">
        <v>398</v>
      </c>
      <c r="P59" s="50">
        <v>406</v>
      </c>
      <c r="Q59" s="52">
        <v>458</v>
      </c>
      <c r="R59" s="52">
        <v>121</v>
      </c>
      <c r="S59" s="52">
        <v>105</v>
      </c>
      <c r="T59" s="52">
        <v>170</v>
      </c>
      <c r="U59" s="52">
        <v>162</v>
      </c>
      <c r="V59" s="52">
        <v>114</v>
      </c>
      <c r="W59" s="52">
        <v>82</v>
      </c>
      <c r="X59" s="52">
        <v>222</v>
      </c>
      <c r="Y59" s="52">
        <v>418</v>
      </c>
      <c r="Z59" s="52">
        <v>390</v>
      </c>
      <c r="AA59" s="54">
        <v>412</v>
      </c>
      <c r="AB59" s="52">
        <v>220</v>
      </c>
      <c r="AC59" s="52">
        <v>216</v>
      </c>
      <c r="AD59" s="52">
        <v>195</v>
      </c>
      <c r="AE59" s="52">
        <v>308</v>
      </c>
      <c r="AF59" s="52">
        <v>350</v>
      </c>
      <c r="AG59" s="52">
        <v>405</v>
      </c>
      <c r="AH59" s="52">
        <v>167</v>
      </c>
      <c r="AI59" s="52">
        <v>268</v>
      </c>
      <c r="AJ59" s="52">
        <v>217</v>
      </c>
      <c r="AK59" s="52">
        <v>394</v>
      </c>
      <c r="AL59" s="50">
        <v>314</v>
      </c>
      <c r="AM59" s="52">
        <v>316</v>
      </c>
      <c r="AN59" s="52">
        <v>399</v>
      </c>
      <c r="AO59" s="52">
        <v>410</v>
      </c>
      <c r="AP59" s="52">
        <v>94</v>
      </c>
      <c r="AQ59" s="52">
        <v>369</v>
      </c>
      <c r="AR59" s="52">
        <v>346</v>
      </c>
      <c r="AS59" s="52">
        <v>329</v>
      </c>
      <c r="AT59" s="50">
        <v>327</v>
      </c>
      <c r="AU59" s="52">
        <v>329</v>
      </c>
      <c r="AV59" s="52">
        <v>170</v>
      </c>
      <c r="AW59" s="52">
        <v>385</v>
      </c>
      <c r="AX59" s="52">
        <v>387</v>
      </c>
      <c r="AY59" s="52">
        <v>453</v>
      </c>
      <c r="AZ59" s="52">
        <v>178</v>
      </c>
      <c r="BA59" s="50">
        <v>178</v>
      </c>
      <c r="BB59" s="52">
        <v>169</v>
      </c>
      <c r="BC59" s="52">
        <v>180</v>
      </c>
      <c r="BD59" s="52">
        <v>171</v>
      </c>
      <c r="BE59" s="52">
        <v>255</v>
      </c>
      <c r="BF59" s="52">
        <v>39</v>
      </c>
      <c r="BG59" s="50">
        <v>30</v>
      </c>
      <c r="BH59" s="52">
        <v>24</v>
      </c>
      <c r="BI59" s="52">
        <v>23</v>
      </c>
      <c r="BJ59" s="52">
        <v>22</v>
      </c>
      <c r="BK59" s="54">
        <v>15</v>
      </c>
      <c r="BL59" s="50">
        <v>124</v>
      </c>
      <c r="BM59" s="52">
        <v>131</v>
      </c>
      <c r="BN59" s="52">
        <v>169</v>
      </c>
      <c r="BO59" s="52">
        <v>158</v>
      </c>
      <c r="BP59" s="52">
        <v>161</v>
      </c>
      <c r="BQ59" s="50">
        <v>178</v>
      </c>
      <c r="BR59" s="52">
        <v>171</v>
      </c>
      <c r="BS59" s="52">
        <v>212</v>
      </c>
      <c r="BT59" s="84" t="s">
        <v>35</v>
      </c>
    </row>
    <row r="60" spans="1:80" ht="18.75">
      <c r="A60" s="6" t="s">
        <v>7</v>
      </c>
      <c r="B60" s="6"/>
      <c r="C60" s="8"/>
      <c r="D60" s="8"/>
      <c r="E60" s="8"/>
      <c r="F60" s="8"/>
      <c r="G60" s="8"/>
      <c r="H60" s="8"/>
      <c r="I60" s="8"/>
      <c r="J60" s="8"/>
      <c r="K60" s="8"/>
      <c r="BT60" s="10" t="s">
        <v>8</v>
      </c>
      <c r="BX60" s="19"/>
      <c r="BY60" s="25"/>
      <c r="BZ60" s="25"/>
      <c r="CA60" s="25"/>
      <c r="CB60" s="25"/>
    </row>
  </sheetData>
  <mergeCells count="42">
    <mergeCell ref="W5:X5"/>
    <mergeCell ref="Z5:AA5"/>
    <mergeCell ref="W4:X4"/>
    <mergeCell ref="Z4:AA4"/>
    <mergeCell ref="Q5:R5"/>
    <mergeCell ref="T5:U5"/>
    <mergeCell ref="A1:AB1"/>
    <mergeCell ref="A2:AB2"/>
    <mergeCell ref="A4:A7"/>
    <mergeCell ref="B4:C4"/>
    <mergeCell ref="E4:F4"/>
    <mergeCell ref="H4:I4"/>
    <mergeCell ref="K4:L4"/>
    <mergeCell ref="N4:O4"/>
    <mergeCell ref="Q4:R4"/>
    <mergeCell ref="T4:U4"/>
    <mergeCell ref="B5:C5"/>
    <mergeCell ref="E5:F5"/>
    <mergeCell ref="H5:I5"/>
    <mergeCell ref="K5:L5"/>
    <mergeCell ref="AB4:AB7"/>
    <mergeCell ref="N5:O5"/>
    <mergeCell ref="A44:A46"/>
    <mergeCell ref="G44:K44"/>
    <mergeCell ref="P44:AA44"/>
    <mergeCell ref="AC44:AJ44"/>
    <mergeCell ref="AL44:AR44"/>
    <mergeCell ref="BT44:BT46"/>
    <mergeCell ref="G45:K45"/>
    <mergeCell ref="P45:AA45"/>
    <mergeCell ref="AC45:AJ45"/>
    <mergeCell ref="AL45:AR45"/>
    <mergeCell ref="AT45:AX45"/>
    <mergeCell ref="BA45:BE45"/>
    <mergeCell ref="BG45:BK45"/>
    <mergeCell ref="BL45:BP45"/>
    <mergeCell ref="BQ45:BS45"/>
    <mergeCell ref="AT44:AX44"/>
    <mergeCell ref="BA44:BE44"/>
    <mergeCell ref="BG44:BK44"/>
    <mergeCell ref="BL44:BP44"/>
    <mergeCell ref="BQ44:BS4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O24"/>
  <sheetViews>
    <sheetView tabSelected="1" zoomScale="95" zoomScaleNormal="95" workbookViewId="0">
      <selection activeCell="R45" sqref="R45"/>
    </sheetView>
  </sheetViews>
  <sheetFormatPr defaultColWidth="9.140625" defaultRowHeight="12.75" customHeight="1"/>
  <cols>
    <col min="1" max="1" width="11.7109375" style="1" customWidth="1"/>
    <col min="2" max="2" width="10.5703125" style="1" customWidth="1"/>
    <col min="3" max="3" width="10.7109375" style="1" customWidth="1"/>
    <col min="4" max="4" width="10.28515625" style="1" customWidth="1"/>
    <col min="5" max="5" width="10.7109375" style="1" customWidth="1"/>
    <col min="6" max="6" width="13.140625" style="1" customWidth="1"/>
    <col min="7" max="8" width="10.7109375" style="1" customWidth="1"/>
    <col min="9" max="9" width="14.28515625" style="1" customWidth="1"/>
    <col min="10" max="10" width="16.28515625" style="78" customWidth="1"/>
    <col min="11" max="11" width="11.7109375" style="1" customWidth="1"/>
    <col min="12" max="21" width="7.42578125" style="1" customWidth="1"/>
    <col min="22" max="22" width="37.7109375" style="1" customWidth="1"/>
    <col min="23" max="16384" width="9.140625" style="1"/>
  </cols>
  <sheetData>
    <row r="1" spans="1:11" ht="21">
      <c r="A1" s="168" t="s">
        <v>70</v>
      </c>
      <c r="B1" s="169"/>
      <c r="C1" s="169"/>
      <c r="D1" s="169"/>
      <c r="E1" s="169"/>
      <c r="F1" s="169"/>
      <c r="G1" s="169"/>
      <c r="H1" s="169"/>
      <c r="I1" s="169"/>
      <c r="J1" s="169"/>
    </row>
    <row r="2" spans="1:11" ht="15">
      <c r="A2" s="170" t="s">
        <v>71</v>
      </c>
      <c r="B2" s="170"/>
      <c r="C2" s="170"/>
      <c r="D2" s="170"/>
      <c r="E2" s="170"/>
      <c r="F2" s="170"/>
      <c r="G2" s="170"/>
      <c r="H2" s="170"/>
      <c r="I2" s="170"/>
      <c r="J2" s="170"/>
    </row>
    <row r="3" spans="1:11" ht="15">
      <c r="A3" s="128" t="s">
        <v>9</v>
      </c>
      <c r="B3" s="171" t="s">
        <v>57</v>
      </c>
      <c r="C3" s="173" t="s">
        <v>6</v>
      </c>
      <c r="D3" s="174"/>
      <c r="E3" s="174"/>
      <c r="F3" s="175"/>
      <c r="G3" s="174" t="s">
        <v>10</v>
      </c>
      <c r="H3" s="174"/>
      <c r="I3" s="174"/>
      <c r="J3" s="129" t="s">
        <v>11</v>
      </c>
    </row>
    <row r="4" spans="1:11" s="25" customFormat="1" ht="15">
      <c r="A4" s="130"/>
      <c r="B4" s="172"/>
      <c r="C4" s="93" t="s">
        <v>4</v>
      </c>
      <c r="D4" s="94" t="s">
        <v>58</v>
      </c>
      <c r="E4" s="94" t="s">
        <v>59</v>
      </c>
      <c r="F4" s="95" t="s">
        <v>60</v>
      </c>
      <c r="G4" s="96" t="s">
        <v>4</v>
      </c>
      <c r="H4" s="94" t="s">
        <v>58</v>
      </c>
      <c r="I4" s="97" t="s">
        <v>60</v>
      </c>
      <c r="J4" s="131"/>
      <c r="K4" s="3"/>
    </row>
    <row r="5" spans="1:11" ht="17.25">
      <c r="A5" s="2" t="s">
        <v>4</v>
      </c>
      <c r="B5" s="55">
        <f>SUM(C5+G5)</f>
        <v>249045</v>
      </c>
      <c r="C5" s="56">
        <f>SUM(D5+E5+F5)</f>
        <v>34808</v>
      </c>
      <c r="D5" s="57">
        <f>SUM(D6:D17)</f>
        <v>31882</v>
      </c>
      <c r="E5" s="57">
        <f>SUM(E6:E17)</f>
        <v>886</v>
      </c>
      <c r="F5" s="58">
        <f>SUM(F6:F17)</f>
        <v>2040</v>
      </c>
      <c r="G5" s="59">
        <f>SUM(H5+I5)</f>
        <v>214237</v>
      </c>
      <c r="H5" s="57">
        <f>SUM(H6:H17)</f>
        <v>26714</v>
      </c>
      <c r="I5" s="57">
        <f>SUM(I6:I17)</f>
        <v>187523</v>
      </c>
      <c r="J5" s="76" t="s">
        <v>5</v>
      </c>
    </row>
    <row r="6" spans="1:11" ht="17.25">
      <c r="A6" s="120" t="s">
        <v>12</v>
      </c>
      <c r="B6" s="55">
        <f>SUM(C6+G6)</f>
        <v>23823</v>
      </c>
      <c r="C6" s="60">
        <f>SUM(D6+E6+F6)</f>
        <v>3588</v>
      </c>
      <c r="D6" s="61">
        <v>3194</v>
      </c>
      <c r="E6" s="61">
        <v>60</v>
      </c>
      <c r="F6" s="62">
        <v>334</v>
      </c>
      <c r="G6" s="63">
        <f>SUM(H6+I6)</f>
        <v>20235</v>
      </c>
      <c r="H6" s="61">
        <v>2548</v>
      </c>
      <c r="I6" s="61">
        <v>17687</v>
      </c>
      <c r="J6" s="77" t="s">
        <v>13</v>
      </c>
    </row>
    <row r="7" spans="1:11" ht="17.25">
      <c r="A7" s="120" t="s">
        <v>14</v>
      </c>
      <c r="B7" s="55">
        <f t="shared" ref="B7:B17" si="0">SUM(C7+G7)</f>
        <v>22708</v>
      </c>
      <c r="C7" s="60">
        <f>SUM(D7+E7+F7)</f>
        <v>3022</v>
      </c>
      <c r="D7" s="61">
        <v>2778</v>
      </c>
      <c r="E7" s="61">
        <v>34</v>
      </c>
      <c r="F7" s="62">
        <v>210</v>
      </c>
      <c r="G7" s="63">
        <f t="shared" ref="G7:G17" si="1">SUM(H7+I7)</f>
        <v>19686</v>
      </c>
      <c r="H7" s="61">
        <v>2408</v>
      </c>
      <c r="I7" s="61">
        <v>17278</v>
      </c>
      <c r="J7" s="77" t="s">
        <v>15</v>
      </c>
    </row>
    <row r="8" spans="1:11" ht="17.25">
      <c r="A8" s="120" t="s">
        <v>16</v>
      </c>
      <c r="B8" s="55">
        <f t="shared" si="0"/>
        <v>22188</v>
      </c>
      <c r="C8" s="60">
        <f t="shared" ref="C8:C17" si="2">SUM(D8+E8+F8)</f>
        <v>3150</v>
      </c>
      <c r="D8" s="61">
        <v>2920</v>
      </c>
      <c r="E8" s="61">
        <v>60</v>
      </c>
      <c r="F8" s="62">
        <v>170</v>
      </c>
      <c r="G8" s="63">
        <f t="shared" si="1"/>
        <v>19038</v>
      </c>
      <c r="H8" s="61">
        <v>2452</v>
      </c>
      <c r="I8" s="61">
        <v>16586</v>
      </c>
      <c r="J8" s="77" t="s">
        <v>17</v>
      </c>
    </row>
    <row r="9" spans="1:11" ht="17.25">
      <c r="A9" s="120" t="s">
        <v>18</v>
      </c>
      <c r="B9" s="55">
        <f t="shared" si="0"/>
        <v>22474</v>
      </c>
      <c r="C9" s="60">
        <f t="shared" si="2"/>
        <v>2968</v>
      </c>
      <c r="D9" s="61">
        <v>2730</v>
      </c>
      <c r="E9" s="61">
        <v>26</v>
      </c>
      <c r="F9" s="62">
        <v>212</v>
      </c>
      <c r="G9" s="63">
        <f t="shared" si="1"/>
        <v>19506</v>
      </c>
      <c r="H9" s="61">
        <v>2204</v>
      </c>
      <c r="I9" s="61">
        <v>17302</v>
      </c>
      <c r="J9" s="77" t="s">
        <v>19</v>
      </c>
    </row>
    <row r="10" spans="1:11" ht="17.25">
      <c r="A10" s="120" t="s">
        <v>20</v>
      </c>
      <c r="B10" s="55">
        <f t="shared" si="0"/>
        <v>16918</v>
      </c>
      <c r="C10" s="60">
        <f t="shared" si="2"/>
        <v>2500</v>
      </c>
      <c r="D10" s="61">
        <v>2306</v>
      </c>
      <c r="E10" s="61">
        <v>34</v>
      </c>
      <c r="F10" s="62">
        <v>160</v>
      </c>
      <c r="G10" s="63">
        <f t="shared" si="1"/>
        <v>14418</v>
      </c>
      <c r="H10" s="61">
        <v>1820</v>
      </c>
      <c r="I10" s="61">
        <v>12598</v>
      </c>
      <c r="J10" s="77" t="s">
        <v>21</v>
      </c>
    </row>
    <row r="11" spans="1:11" ht="17.25">
      <c r="A11" s="120" t="s">
        <v>22</v>
      </c>
      <c r="B11" s="55">
        <f t="shared" si="0"/>
        <v>16516</v>
      </c>
      <c r="C11" s="60">
        <f t="shared" si="2"/>
        <v>2388</v>
      </c>
      <c r="D11" s="61">
        <v>2256</v>
      </c>
      <c r="E11" s="61">
        <v>64</v>
      </c>
      <c r="F11" s="62">
        <v>68</v>
      </c>
      <c r="G11" s="63">
        <f t="shared" si="1"/>
        <v>14128</v>
      </c>
      <c r="H11" s="61">
        <v>2128</v>
      </c>
      <c r="I11" s="61">
        <v>12000</v>
      </c>
      <c r="J11" s="77" t="s">
        <v>23</v>
      </c>
    </row>
    <row r="12" spans="1:11" ht="17.25">
      <c r="A12" s="120" t="s">
        <v>24</v>
      </c>
      <c r="B12" s="55">
        <f t="shared" si="0"/>
        <v>19992</v>
      </c>
      <c r="C12" s="60">
        <f t="shared" si="2"/>
        <v>2692</v>
      </c>
      <c r="D12" s="61">
        <v>2478</v>
      </c>
      <c r="E12" s="61">
        <v>82</v>
      </c>
      <c r="F12" s="62">
        <v>132</v>
      </c>
      <c r="G12" s="63">
        <f t="shared" si="1"/>
        <v>17300</v>
      </c>
      <c r="H12" s="61">
        <v>2090</v>
      </c>
      <c r="I12" s="61">
        <v>15210</v>
      </c>
      <c r="J12" s="77" t="s">
        <v>25</v>
      </c>
    </row>
    <row r="13" spans="1:11" ht="17.25">
      <c r="A13" s="120" t="s">
        <v>26</v>
      </c>
      <c r="B13" s="55">
        <f t="shared" si="0"/>
        <v>21070</v>
      </c>
      <c r="C13" s="60">
        <f t="shared" si="2"/>
        <v>2814</v>
      </c>
      <c r="D13" s="61">
        <v>2570</v>
      </c>
      <c r="E13" s="61">
        <v>100</v>
      </c>
      <c r="F13" s="62">
        <v>144</v>
      </c>
      <c r="G13" s="63">
        <f t="shared" si="1"/>
        <v>18256</v>
      </c>
      <c r="H13" s="61">
        <v>2176</v>
      </c>
      <c r="I13" s="61">
        <v>16080</v>
      </c>
      <c r="J13" s="77" t="s">
        <v>27</v>
      </c>
    </row>
    <row r="14" spans="1:11" ht="17.25">
      <c r="A14" s="120" t="s">
        <v>28</v>
      </c>
      <c r="B14" s="55">
        <f t="shared" si="0"/>
        <v>16511</v>
      </c>
      <c r="C14" s="60">
        <f t="shared" si="2"/>
        <v>2432</v>
      </c>
      <c r="D14" s="61">
        <v>2292</v>
      </c>
      <c r="E14" s="61">
        <v>76</v>
      </c>
      <c r="F14" s="62">
        <v>64</v>
      </c>
      <c r="G14" s="63">
        <f t="shared" si="1"/>
        <v>14079</v>
      </c>
      <c r="H14" s="61">
        <v>1952</v>
      </c>
      <c r="I14" s="61">
        <v>12127</v>
      </c>
      <c r="J14" s="77" t="s">
        <v>29</v>
      </c>
    </row>
    <row r="15" spans="1:11" ht="17.25">
      <c r="A15" s="120" t="s">
        <v>30</v>
      </c>
      <c r="B15" s="55">
        <f t="shared" si="0"/>
        <v>20931</v>
      </c>
      <c r="C15" s="60">
        <f t="shared" si="2"/>
        <v>2768</v>
      </c>
      <c r="D15" s="61">
        <v>2506</v>
      </c>
      <c r="E15" s="61">
        <v>80</v>
      </c>
      <c r="F15" s="62">
        <v>182</v>
      </c>
      <c r="G15" s="63">
        <f t="shared" si="1"/>
        <v>18163</v>
      </c>
      <c r="H15" s="61">
        <v>2070</v>
      </c>
      <c r="I15" s="61">
        <v>16093</v>
      </c>
      <c r="J15" s="77" t="s">
        <v>31</v>
      </c>
    </row>
    <row r="16" spans="1:11" ht="17.25">
      <c r="A16" s="120" t="s">
        <v>32</v>
      </c>
      <c r="B16" s="55">
        <f t="shared" si="0"/>
        <v>21838</v>
      </c>
      <c r="C16" s="60">
        <f t="shared" si="2"/>
        <v>2996</v>
      </c>
      <c r="D16" s="61">
        <v>2730</v>
      </c>
      <c r="E16" s="61">
        <v>122</v>
      </c>
      <c r="F16" s="62">
        <v>144</v>
      </c>
      <c r="G16" s="63">
        <f t="shared" si="1"/>
        <v>18842</v>
      </c>
      <c r="H16" s="61">
        <v>2342</v>
      </c>
      <c r="I16" s="61">
        <v>16500</v>
      </c>
      <c r="J16" s="77" t="s">
        <v>33</v>
      </c>
    </row>
    <row r="17" spans="1:15" ht="17.25">
      <c r="A17" s="121" t="s">
        <v>34</v>
      </c>
      <c r="B17" s="123">
        <f t="shared" si="0"/>
        <v>24076</v>
      </c>
      <c r="C17" s="64">
        <f t="shared" si="2"/>
        <v>3490</v>
      </c>
      <c r="D17" s="65">
        <v>3122</v>
      </c>
      <c r="E17" s="65">
        <v>148</v>
      </c>
      <c r="F17" s="66">
        <v>220</v>
      </c>
      <c r="G17" s="67">
        <f t="shared" si="1"/>
        <v>20586</v>
      </c>
      <c r="H17" s="65">
        <v>2524</v>
      </c>
      <c r="I17" s="65">
        <v>18062</v>
      </c>
      <c r="J17" s="122" t="s">
        <v>35</v>
      </c>
    </row>
    <row r="18" spans="1:15" ht="18.75">
      <c r="A18" s="6" t="s">
        <v>7</v>
      </c>
      <c r="B18" s="6"/>
      <c r="C18" s="7"/>
      <c r="D18" s="7"/>
      <c r="E18" s="7"/>
      <c r="F18" s="7"/>
      <c r="G18" s="7"/>
      <c r="H18" s="68"/>
      <c r="I18" s="10"/>
      <c r="J18" s="10" t="s">
        <v>8</v>
      </c>
      <c r="L18" s="69"/>
      <c r="M18" s="9"/>
    </row>
    <row r="19" spans="1:15" ht="19.5">
      <c r="A19" s="70"/>
      <c r="B19" s="70"/>
      <c r="C19" s="24"/>
      <c r="D19" s="24"/>
      <c r="E19" s="24"/>
      <c r="F19" s="24"/>
      <c r="G19" s="24"/>
      <c r="H19" s="24"/>
      <c r="I19" s="24"/>
      <c r="K19" s="24"/>
      <c r="L19" s="24"/>
      <c r="M19" s="24"/>
      <c r="N19" s="24"/>
      <c r="O19" s="24"/>
    </row>
    <row r="20" spans="1:15" ht="12.75" customHeight="1">
      <c r="A20" s="6"/>
      <c r="B20" s="6"/>
      <c r="C20" s="7"/>
      <c r="D20" s="7"/>
      <c r="E20" s="7"/>
      <c r="F20" s="7"/>
      <c r="G20" s="7"/>
      <c r="H20" s="68"/>
      <c r="J20" s="79"/>
    </row>
    <row r="21" spans="1:15" ht="12.75" customHeight="1">
      <c r="A21" s="6"/>
      <c r="B21" s="6"/>
      <c r="C21" s="7"/>
      <c r="D21" s="7"/>
      <c r="E21" s="7"/>
      <c r="F21" s="7"/>
      <c r="G21" s="7"/>
      <c r="H21" s="68"/>
      <c r="J21" s="79"/>
    </row>
    <row r="23" spans="1:15" ht="12.75" customHeight="1">
      <c r="A23" s="12"/>
      <c r="B23" s="55"/>
      <c r="C23" s="55"/>
      <c r="D23" s="13"/>
      <c r="E23" s="13"/>
      <c r="F23" s="13"/>
      <c r="G23" s="55"/>
      <c r="H23" s="13"/>
      <c r="I23" s="13"/>
      <c r="J23" s="80"/>
    </row>
    <row r="24" spans="1:15" ht="12.75" customHeight="1">
      <c r="A24" s="6"/>
      <c r="B24" s="6"/>
      <c r="C24" s="7"/>
      <c r="D24" s="7"/>
      <c r="E24" s="7"/>
      <c r="F24" s="7"/>
      <c r="G24" s="7"/>
      <c r="H24" s="68"/>
      <c r="I24" s="14"/>
    </row>
  </sheetData>
  <mergeCells count="7">
    <mergeCell ref="A1:J1"/>
    <mergeCell ref="A2:J2"/>
    <mergeCell ref="A3:A4"/>
    <mergeCell ref="B3:B4"/>
    <mergeCell ref="C3:F3"/>
    <mergeCell ref="G3:I3"/>
    <mergeCell ref="J3:J4"/>
  </mergeCells>
  <pageMargins left="0.7" right="0.7" top="0.75" bottom="0.75" header="0.3" footer="0.3"/>
  <pageSetup scale="75" orientation="portrait" r:id="rId1"/>
  <colBreaks count="1" manualBreakCount="1">
    <brk id="10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11.15</vt:lpstr>
      <vt:lpstr>11.18</vt:lpstr>
      <vt:lpstr>'11.18'!Print_Area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2026-07-08T05:31:50Z</cp:lastPrinted>
  <dcterms:created xsi:type="dcterms:W3CDTF">2019-03-24T03:32:16Z</dcterms:created>
  <dcterms:modified xsi:type="dcterms:W3CDTF">2026-07-08T05:32:47Z</dcterms:modified>
</cp:coreProperties>
</file>