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A9ED5C09-5782-4379-85FE-B5CAA229976E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18, 11.19 &amp;11.20" sheetId="6" r:id="rId2"/>
  </sheets>
  <definedNames>
    <definedName name="_xlnm.Print_Area" localSheetId="1">'11.18, 11.19 &amp;11.20'!$A$1:$K$20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E6" i="6"/>
  <c r="D6" i="6"/>
  <c r="B14" i="6" l="1"/>
  <c r="B17" i="6"/>
  <c r="B10" i="6"/>
  <c r="B8" i="6"/>
  <c r="B16" i="6"/>
  <c r="B15" i="6"/>
  <c r="B7" i="6"/>
  <c r="B13" i="6"/>
  <c r="G6" i="6"/>
  <c r="B12" i="6"/>
  <c r="B11" i="6"/>
  <c r="B18" i="6"/>
  <c r="B9" i="6"/>
  <c r="C6" i="6"/>
  <c r="B6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<sst xmlns="http://schemas.openxmlformats.org/spreadsheetml/2006/main" count="219" uniqueCount="72">
  <si>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</si>
  <si>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</si>
  <si>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</si>
  <si>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</si>
  <si>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</si>
  <si>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</si>
  <si>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</si>
  <si>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</si>
  <si>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</si>
  <si>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</si>
  <si>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</si>
  <si>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</si>
  <si>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</si>
  <si>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</si>
  <si>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</si>
  <si>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</si>
  <si>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</si>
  <si>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</si>
  <si>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</si>
  <si>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</si>
  <si>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</si>
  <si>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</si>
  <si>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</si>
  <si>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</si>
  <si>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</si>
  <si>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</si>
  <si>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</si>
  <si>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</si>
  <si>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</si>
  <si>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</si>
  <si>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</si>
  <si>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</si>
  <si>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</si>
  <si>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</si>
  <si>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</si>
  <si>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</si>
  <si>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</si>
  <si>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</si>
  <si>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</si>
  <si>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</si>
  <si>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</si>
  <si>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</si>
  <si>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</si>
  <si>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</si>
  <si>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</si>
  <si>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</si>
  <si>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</si>
  <si>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</si>
  <si>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</si>
  <si>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</si>
  <si>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</si>
  <si>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</si>
  <si>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</si>
  <si>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</si>
  <si>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</si>
  <si>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</si>
  <si>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</si>
  <si>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</si>
  <si>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</si>
  <si>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</si>
  <si>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</si>
  <si>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</si>
  <si>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</si>
  <si>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</si>
  <si>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</si>
  <si>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</si>
  <si>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</si>
  <si>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</si>
  <si>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</si>
  <si>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</si>
  <si>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11.20: މަސްމަހުގެ ގޮތުން ގަން އިންޓަރނޭޝަނަލް އެއަރޕޯޓުން ދަތުރުކުރި ފްލައިޓްތައް، 2025</t>
  </si>
  <si>
    <t>Table 11.20 :  AIRCRAFT MOVEMENT AT HANIMAADHOO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</si>
</sst>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1" fillId="0" borderId="0" applyFont="0" applyFill="0" applyBorder="0" applyAlignment="0" applyProtection="0"/>
    <xf numFmtId="167" fontId="40" fillId="0" borderId="0" applyFont="0" applyFill="0" applyBorder="0" applyAlignment="0" applyProtection="0"/>
    <xf numFmtId="164" fontId="40" fillId="0" borderId="0"/>
    <xf numFmtId="165" fontId="40" fillId="0" borderId="0"/>
    <xf numFmtId="165" fontId="40" fillId="0" borderId="0"/>
  </cellStyleXfs>
  <cellXfs count="163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Font="1" applyFill="1" applyAlignment="1">
      <alignment horizontal="lef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4" fillId="2" borderId="0" xfId="4" applyFont="1" applyFill="1" applyAlignment="1">
      <alignment vertical="center"/>
    </xf>
    <xf numFmtId="164" fontId="5" fillId="2" borderId="3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0" fillId="2" borderId="39" xfId="2" applyFont="1" applyFill="1" applyBorder="1" applyAlignment="1">
      <alignment horizontal="left" vertical="center"/>
    </xf>
    <xf numFmtId="164" fontId="18" fillId="2" borderId="39" xfId="2" applyFont="1" applyFill="1" applyBorder="1" applyAlignment="1">
      <alignment horizontal="right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25" fillId="2" borderId="0" xfId="5" applyFont="1" applyFill="1" applyAlignment="1">
      <alignment horizontal="right"/>
    </xf>
    <xf numFmtId="0" fontId="30" fillId="2" borderId="0" xfId="5" applyFont="1" applyFill="1" applyAlignment="1">
      <alignment horizontal="right"/>
    </xf>
    <xf numFmtId="164" fontId="31" fillId="2" borderId="0" xfId="0" applyNumberFormat="1" applyFont="1" applyFill="1"/>
    <xf numFmtId="0" fontId="30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9" xfId="2" applyNumberFormat="1" applyFont="1" applyFill="1" applyBorder="1" applyAlignment="1">
      <alignment horizontal="right" vertical="center"/>
    </xf>
    <xf numFmtId="164" fontId="33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8" fillId="2" borderId="17" xfId="2" applyFont="1" applyFill="1" applyBorder="1" applyAlignment="1">
      <alignment horizontal="left" vertical="center"/>
    </xf>
    <xf numFmtId="164" fontId="38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5" fillId="2" borderId="43" xfId="2" applyFont="1" applyFill="1" applyBorder="1" applyAlignment="1">
      <alignment horizontal="right" vertical="center"/>
    </xf>
    <xf numFmtId="0" fontId="30" fillId="2" borderId="43" xfId="5" applyFont="1" applyFill="1" applyBorder="1" applyAlignment="1">
      <alignment horizontal="right"/>
    </xf>
    <xf numFmtId="3" fontId="5" fillId="2" borderId="44" xfId="2" applyNumberFormat="1" applyFont="1" applyFill="1" applyBorder="1" applyAlignment="1">
      <alignment horizontal="righ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5" fillId="2" borderId="43" xfId="2" applyFont="1" applyFill="1" applyBorder="1" applyAlignment="1">
      <alignment horizontal="right" vertical="center" wrapText="1"/>
    </xf>
    <xf numFmtId="3" fontId="5" fillId="2" borderId="43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5" fillId="2" borderId="48" xfId="2" applyFont="1" applyFill="1" applyBorder="1" applyAlignment="1">
      <alignment horizontal="right" vertical="center" wrapText="1"/>
    </xf>
    <xf numFmtId="164" fontId="5" fillId="2" borderId="40" xfId="2" applyFont="1" applyFill="1" applyBorder="1" applyAlignment="1">
      <alignment horizontal="right" vertical="center"/>
    </xf>
    <xf numFmtId="3" fontId="5" fillId="2" borderId="46" xfId="2" applyNumberFormat="1" applyFont="1" applyFill="1" applyBorder="1" applyAlignment="1">
      <alignment horizontal="right" vertical="center"/>
    </xf>
    <xf numFmtId="3" fontId="5" fillId="2" borderId="47" xfId="2" applyNumberFormat="1" applyFont="1" applyFill="1" applyBorder="1" applyAlignment="1">
      <alignment horizontal="right" vertical="center"/>
    </xf>
    <xf numFmtId="164" fontId="14" fillId="2" borderId="43" xfId="2" applyFont="1" applyFill="1" applyBorder="1" applyAlignment="1">
      <alignment horizontal="left" vertical="center"/>
    </xf>
    <xf numFmtId="3" fontId="5" fillId="2" borderId="45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5" fillId="2" borderId="44" xfId="5" applyFont="1" applyFill="1" applyBorder="1" applyAlignment="1">
      <alignment horizontal="right" vertical="center"/>
    </xf>
    <xf numFmtId="0" fontId="25" fillId="2" borderId="43" xfId="5" applyFont="1" applyFill="1" applyBorder="1" applyAlignment="1">
      <alignment horizontal="right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9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18" fillId="2" borderId="39" xfId="2" applyFont="1" applyFill="1" applyBorder="1" applyAlignment="1">
      <alignment horizontal="center" vertical="center" wrapText="1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39" xfId="2" applyFont="1" applyFill="1" applyBorder="1" applyAlignment="1">
      <alignment horizontal="right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5" fillId="2" borderId="43" xfId="2" applyFont="1" applyFill="1" applyBorder="1" applyAlignment="1">
      <alignment horizontal="center" vertical="center"/>
    </xf>
    <xf numFmtId="164" fontId="5" fillId="2" borderId="44" xfId="2" applyFont="1" applyFill="1" applyBorder="1" applyAlignment="1">
      <alignment horizontal="right" vertical="center" wrapText="1"/>
    </xf>
    <xf numFmtId="164" fontId="5" fillId="2" borderId="43" xfId="2" applyFont="1" applyFill="1" applyBorder="1" applyAlignment="1">
      <alignment horizontal="right" vertical="center" wrapText="1"/>
    </xf>
    <xf numFmtId="164" fontId="5" fillId="2" borderId="40" xfId="2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164" fontId="8" fillId="2" borderId="44" xfId="2" applyFont="1" applyFill="1" applyBorder="1" applyAlignment="1">
      <alignment horizontal="center" vertical="center"/>
    </xf>
    <xf numFmtId="164" fontId="8" fillId="2" borderId="43" xfId="2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47" t="s">
        <v>68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</row>
    <row r="2" spans="1:29" ht="15.75">
      <c r="A2" s="111" t="s">
        <v>69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0" customFormat="1" ht="19.5">
      <c r="A4" s="112" t="s">
        <v>8</v>
      </c>
      <c r="B4" s="148" t="s">
        <v>34</v>
      </c>
      <c r="C4" s="148"/>
      <c r="D4" s="69"/>
      <c r="E4" s="148" t="s">
        <v>35</v>
      </c>
      <c r="F4" s="148"/>
      <c r="G4" s="69"/>
      <c r="H4" s="148" t="s">
        <v>36</v>
      </c>
      <c r="I4" s="148"/>
      <c r="J4" s="69"/>
      <c r="K4" s="148" t="s">
        <v>37</v>
      </c>
      <c r="L4" s="148"/>
      <c r="M4" s="69"/>
      <c r="N4" s="148" t="s">
        <v>38</v>
      </c>
      <c r="O4" s="148"/>
      <c r="P4" s="69"/>
      <c r="Q4" s="148" t="s">
        <v>39</v>
      </c>
      <c r="R4" s="148"/>
      <c r="S4" s="69"/>
      <c r="T4" s="148" t="s">
        <v>40</v>
      </c>
      <c r="U4" s="148"/>
      <c r="V4" s="69"/>
      <c r="W4" s="148" t="s">
        <v>41</v>
      </c>
      <c r="X4" s="148"/>
      <c r="Y4" s="69"/>
      <c r="Z4" s="148" t="s">
        <v>42</v>
      </c>
      <c r="AA4" s="148"/>
      <c r="AB4" s="150" t="s">
        <v>9</v>
      </c>
    </row>
    <row r="5" spans="1:29" s="15" customFormat="1" ht="15" customHeight="1">
      <c r="A5" s="114"/>
      <c r="B5" s="149" t="s">
        <v>43</v>
      </c>
      <c r="C5" s="149"/>
      <c r="D5" s="14"/>
      <c r="E5" s="149" t="s">
        <v>44</v>
      </c>
      <c r="F5" s="149"/>
      <c r="G5" s="14"/>
      <c r="H5" s="149" t="s">
        <v>45</v>
      </c>
      <c r="I5" s="149"/>
      <c r="J5" s="14"/>
      <c r="K5" s="149" t="s">
        <v>46</v>
      </c>
      <c r="L5" s="149"/>
      <c r="M5" s="14"/>
      <c r="N5" s="149" t="s">
        <v>47</v>
      </c>
      <c r="O5" s="149"/>
      <c r="P5" s="14"/>
      <c r="Q5" s="149" t="s">
        <v>48</v>
      </c>
      <c r="R5" s="149"/>
      <c r="S5" s="14"/>
      <c r="T5" s="149" t="s">
        <v>49</v>
      </c>
      <c r="U5" s="149"/>
      <c r="V5" s="14"/>
      <c r="W5" s="149" t="s">
        <v>50</v>
      </c>
      <c r="X5" s="149"/>
      <c r="Y5" s="14"/>
      <c r="Z5" s="149" t="s">
        <v>51</v>
      </c>
      <c r="AA5" s="149"/>
      <c r="AB5" s="151"/>
      <c r="AC5" s="3"/>
    </row>
    <row r="6" spans="1:29" s="65" customFormat="1" ht="14.25">
      <c r="A6" s="114"/>
      <c r="B6" s="56" t="s">
        <v>0</v>
      </c>
      <c r="C6" s="56" t="s">
        <v>1</v>
      </c>
      <c r="D6" s="56"/>
      <c r="E6" s="56" t="s">
        <v>0</v>
      </c>
      <c r="F6" s="56" t="s">
        <v>1</v>
      </c>
      <c r="G6" s="56"/>
      <c r="H6" s="56" t="s">
        <v>0</v>
      </c>
      <c r="I6" s="56" t="s">
        <v>1</v>
      </c>
      <c r="J6" s="56"/>
      <c r="K6" s="56" t="s">
        <v>0</v>
      </c>
      <c r="L6" s="56" t="s">
        <v>1</v>
      </c>
      <c r="M6" s="56"/>
      <c r="N6" s="56" t="s">
        <v>0</v>
      </c>
      <c r="O6" s="56" t="s">
        <v>1</v>
      </c>
      <c r="P6" s="56"/>
      <c r="Q6" s="56" t="s">
        <v>0</v>
      </c>
      <c r="R6" s="56" t="s">
        <v>1</v>
      </c>
      <c r="S6" s="56"/>
      <c r="T6" s="56" t="s">
        <v>0</v>
      </c>
      <c r="U6" s="56" t="s">
        <v>1</v>
      </c>
      <c r="V6" s="56"/>
      <c r="W6" s="56" t="s">
        <v>0</v>
      </c>
      <c r="X6" s="56" t="s">
        <v>1</v>
      </c>
      <c r="Y6" s="56"/>
      <c r="Z6" s="56" t="s">
        <v>0</v>
      </c>
      <c r="AA6" s="56" t="s">
        <v>1</v>
      </c>
      <c r="AB6" s="151"/>
    </row>
    <row r="7" spans="1:29" s="15" customFormat="1" ht="14.25">
      <c r="A7" s="113"/>
      <c r="B7" s="58" t="s">
        <v>2</v>
      </c>
      <c r="C7" s="58" t="s">
        <v>3</v>
      </c>
      <c r="D7" s="58"/>
      <c r="E7" s="58" t="s">
        <v>2</v>
      </c>
      <c r="F7" s="58" t="s">
        <v>3</v>
      </c>
      <c r="G7" s="58"/>
      <c r="H7" s="58" t="s">
        <v>2</v>
      </c>
      <c r="I7" s="58" t="s">
        <v>3</v>
      </c>
      <c r="J7" s="58"/>
      <c r="K7" s="58" t="s">
        <v>2</v>
      </c>
      <c r="L7" s="58" t="s">
        <v>3</v>
      </c>
      <c r="M7" s="58"/>
      <c r="N7" s="58" t="s">
        <v>2</v>
      </c>
      <c r="O7" s="58" t="s">
        <v>3</v>
      </c>
      <c r="P7" s="58"/>
      <c r="Q7" s="58" t="s">
        <v>2</v>
      </c>
      <c r="R7" s="58" t="s">
        <v>3</v>
      </c>
      <c r="S7" s="58"/>
      <c r="T7" s="58" t="s">
        <v>2</v>
      </c>
      <c r="U7" s="58" t="s">
        <v>3</v>
      </c>
      <c r="V7" s="58"/>
      <c r="W7" s="58" t="s">
        <v>2</v>
      </c>
      <c r="X7" s="58" t="s">
        <v>3</v>
      </c>
      <c r="Y7" s="58"/>
      <c r="Z7" s="58" t="s">
        <v>2</v>
      </c>
      <c r="AA7" s="58" t="s">
        <v>3</v>
      </c>
      <c r="AB7" s="152"/>
    </row>
    <row r="8" spans="1:29" s="10" customFormat="1" ht="15.7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64" t="s">
        <v>5</v>
      </c>
    </row>
    <row r="9" spans="1:29" s="10" customFormat="1" ht="15.75">
      <c r="A9" s="5" t="s">
        <v>10</v>
      </c>
      <c r="B9" s="76"/>
      <c r="C9" s="76"/>
      <c r="D9" s="76"/>
      <c r="E9" s="77"/>
      <c r="F9" s="77"/>
      <c r="G9" s="77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8"/>
      <c r="Z9" s="78"/>
      <c r="AA9" s="78"/>
      <c r="AB9" s="66" t="s">
        <v>11</v>
      </c>
    </row>
    <row r="10" spans="1:29" s="10" customFormat="1" ht="15.75">
      <c r="A10" s="5" t="s">
        <v>12</v>
      </c>
      <c r="B10" s="76"/>
      <c r="C10" s="76"/>
      <c r="D10" s="76"/>
      <c r="E10" s="77"/>
      <c r="F10" s="77"/>
      <c r="G10" s="77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8"/>
      <c r="Z10" s="78"/>
      <c r="AA10" s="78"/>
      <c r="AB10" s="66" t="s">
        <v>13</v>
      </c>
    </row>
    <row r="11" spans="1:29" s="10" customFormat="1" ht="15.75">
      <c r="A11" s="5" t="s">
        <v>14</v>
      </c>
      <c r="B11" s="76"/>
      <c r="C11" s="76"/>
      <c r="D11" s="76"/>
      <c r="E11" s="77"/>
      <c r="F11" s="77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8"/>
      <c r="Z11" s="78"/>
      <c r="AA11" s="78"/>
      <c r="AB11" s="66" t="s">
        <v>15</v>
      </c>
    </row>
    <row r="12" spans="1:29" s="10" customFormat="1" ht="15.75">
      <c r="A12" s="5" t="s">
        <v>16</v>
      </c>
      <c r="B12" s="76"/>
      <c r="C12" s="76"/>
      <c r="D12" s="76"/>
      <c r="E12" s="77"/>
      <c r="F12" s="77"/>
      <c r="G12" s="77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8"/>
      <c r="Z12" s="78"/>
      <c r="AA12" s="78"/>
      <c r="AB12" s="66" t="s">
        <v>17</v>
      </c>
    </row>
    <row r="13" spans="1:29" s="10" customFormat="1" ht="15.75">
      <c r="A13" s="5" t="s">
        <v>18</v>
      </c>
      <c r="B13" s="76"/>
      <c r="C13" s="76"/>
      <c r="D13" s="76"/>
      <c r="E13" s="77"/>
      <c r="F13" s="77"/>
      <c r="G13" s="77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8"/>
      <c r="Z13" s="78"/>
      <c r="AA13" s="78"/>
      <c r="AB13" s="66" t="s">
        <v>19</v>
      </c>
    </row>
    <row r="14" spans="1:29" s="10" customFormat="1" ht="15.75">
      <c r="A14" s="5" t="s">
        <v>20</v>
      </c>
      <c r="B14" s="76"/>
      <c r="C14" s="76"/>
      <c r="D14" s="76"/>
      <c r="E14" s="77"/>
      <c r="F14" s="77"/>
      <c r="G14" s="77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8"/>
      <c r="Z14" s="78"/>
      <c r="AA14" s="78"/>
      <c r="AB14" s="66" t="s">
        <v>21</v>
      </c>
    </row>
    <row r="15" spans="1:29" s="10" customFormat="1" ht="15.75">
      <c r="A15" s="5" t="s">
        <v>22</v>
      </c>
      <c r="B15" s="76"/>
      <c r="C15" s="76"/>
      <c r="D15" s="76"/>
      <c r="E15" s="77"/>
      <c r="F15" s="77"/>
      <c r="G15" s="77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8"/>
      <c r="Z15" s="78"/>
      <c r="AA15" s="78"/>
      <c r="AB15" s="66" t="s">
        <v>23</v>
      </c>
    </row>
    <row r="16" spans="1:29" s="10" customFormat="1" ht="15.75">
      <c r="A16" s="5" t="s">
        <v>24</v>
      </c>
      <c r="B16" s="76"/>
      <c r="C16" s="76"/>
      <c r="D16" s="76"/>
      <c r="E16" s="77"/>
      <c r="F16" s="77"/>
      <c r="G16" s="77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8"/>
      <c r="Z16" s="78"/>
      <c r="AA16" s="78"/>
      <c r="AB16" s="66" t="s">
        <v>25</v>
      </c>
    </row>
    <row r="17" spans="1:44" s="10" customFormat="1" ht="15.75">
      <c r="A17" s="5" t="s">
        <v>26</v>
      </c>
      <c r="B17" s="76"/>
      <c r="C17" s="76"/>
      <c r="D17" s="76"/>
      <c r="E17" s="77"/>
      <c r="F17" s="77"/>
      <c r="G17" s="77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8"/>
      <c r="Z17" s="78"/>
      <c r="AA17" s="78"/>
      <c r="AB17" s="66" t="s">
        <v>27</v>
      </c>
    </row>
    <row r="18" spans="1:44" s="10" customFormat="1" ht="15.75">
      <c r="A18" s="5" t="s">
        <v>28</v>
      </c>
      <c r="B18" s="76"/>
      <c r="C18" s="76"/>
      <c r="D18" s="76"/>
      <c r="E18" s="77"/>
      <c r="F18" s="77"/>
      <c r="G18" s="77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8"/>
      <c r="Z18" s="78"/>
      <c r="AA18" s="78"/>
      <c r="AB18" s="66" t="s">
        <v>29</v>
      </c>
    </row>
    <row r="19" spans="1:44" s="10" customFormat="1" ht="15.75">
      <c r="A19" s="5" t="s">
        <v>30</v>
      </c>
      <c r="B19" s="76"/>
      <c r="C19" s="76"/>
      <c r="D19" s="76"/>
      <c r="E19" s="77"/>
      <c r="F19" s="77"/>
      <c r="G19" s="77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8"/>
      <c r="Z19" s="78"/>
      <c r="AA19" s="78"/>
      <c r="AB19" s="66" t="s">
        <v>31</v>
      </c>
    </row>
    <row r="20" spans="1:44" s="10" customFormat="1" ht="15.75">
      <c r="A20" s="57" t="s">
        <v>32</v>
      </c>
      <c r="B20" s="79"/>
      <c r="C20" s="79"/>
      <c r="D20" s="79"/>
      <c r="E20" s="80"/>
      <c r="F20" s="80"/>
      <c r="G20" s="80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1"/>
      <c r="Z20" s="81"/>
      <c r="AA20" s="81"/>
      <c r="AB20" s="67" t="s">
        <v>33</v>
      </c>
    </row>
    <row r="21" spans="1:44" ht="18.75">
      <c r="A21" s="6" t="s">
        <v>6</v>
      </c>
      <c r="AB21" s="9" t="s">
        <v>7</v>
      </c>
      <c r="AO21" s="10"/>
      <c r="AP21" s="55" t="s">
        <v>2</v>
      </c>
      <c r="AQ21" s="55" t="s">
        <v>3</v>
      </c>
    </row>
    <row r="22" spans="1:44" ht="15" customHeight="1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3"/>
      <c r="T24" s="13"/>
      <c r="W24" s="13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3" customFormat="1" ht="21.75" customHeight="1">
      <c r="A44" s="139" t="s">
        <v>8</v>
      </c>
      <c r="B44" s="84"/>
      <c r="D44" s="85"/>
      <c r="F44" s="85"/>
      <c r="G44" s="142" t="s">
        <v>34</v>
      </c>
      <c r="H44" s="143"/>
      <c r="I44" s="143"/>
      <c r="J44" s="143"/>
      <c r="K44" s="144"/>
      <c r="L44" s="72"/>
      <c r="M44" s="86"/>
      <c r="N44" s="72"/>
      <c r="O44" s="86"/>
      <c r="P44" s="145" t="s">
        <v>35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85"/>
      <c r="AC44" s="133" t="s">
        <v>36</v>
      </c>
      <c r="AD44" s="134"/>
      <c r="AE44" s="134"/>
      <c r="AF44" s="134"/>
      <c r="AG44" s="134"/>
      <c r="AH44" s="134"/>
      <c r="AI44" s="134"/>
      <c r="AJ44" s="134"/>
      <c r="AK44" s="71"/>
      <c r="AL44" s="133" t="s">
        <v>37</v>
      </c>
      <c r="AM44" s="134"/>
      <c r="AN44" s="134"/>
      <c r="AO44" s="134"/>
      <c r="AP44" s="134"/>
      <c r="AQ44" s="134"/>
      <c r="AR44" s="134"/>
      <c r="AS44" s="71"/>
      <c r="AT44" s="133" t="s">
        <v>38</v>
      </c>
      <c r="AU44" s="134"/>
      <c r="AV44" s="134"/>
      <c r="AW44" s="134"/>
      <c r="AX44" s="134"/>
      <c r="AY44" s="82"/>
      <c r="AZ44" s="71"/>
      <c r="BA44" s="133" t="s">
        <v>39</v>
      </c>
      <c r="BB44" s="134"/>
      <c r="BC44" s="134"/>
      <c r="BD44" s="134"/>
      <c r="BE44" s="135"/>
      <c r="BF44" s="70"/>
      <c r="BG44" s="136" t="s">
        <v>40</v>
      </c>
      <c r="BH44" s="137"/>
      <c r="BI44" s="137"/>
      <c r="BJ44" s="137"/>
      <c r="BK44" s="138"/>
      <c r="BL44" s="133" t="s">
        <v>41</v>
      </c>
      <c r="BM44" s="134"/>
      <c r="BN44" s="134"/>
      <c r="BO44" s="134"/>
      <c r="BP44" s="135"/>
      <c r="BQ44" s="133" t="s">
        <v>42</v>
      </c>
      <c r="BR44" s="134"/>
      <c r="BS44" s="134"/>
      <c r="BT44" s="117" t="s">
        <v>9</v>
      </c>
    </row>
    <row r="45" spans="1:80" s="74" customFormat="1" ht="16.5" customHeight="1">
      <c r="A45" s="140"/>
      <c r="B45" s="87"/>
      <c r="D45" s="88"/>
      <c r="F45" s="88"/>
      <c r="G45" s="120" t="s">
        <v>43</v>
      </c>
      <c r="H45" s="121"/>
      <c r="I45" s="121"/>
      <c r="J45" s="121"/>
      <c r="K45" s="122"/>
      <c r="M45" s="88"/>
      <c r="O45" s="88"/>
      <c r="P45" s="123" t="s">
        <v>44</v>
      </c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88"/>
      <c r="AC45" s="125" t="s">
        <v>61</v>
      </c>
      <c r="AD45" s="126"/>
      <c r="AE45" s="126"/>
      <c r="AF45" s="126"/>
      <c r="AG45" s="126"/>
      <c r="AH45" s="126"/>
      <c r="AI45" s="126"/>
      <c r="AJ45" s="126"/>
      <c r="AK45" s="75"/>
      <c r="AL45" s="125" t="s">
        <v>62</v>
      </c>
      <c r="AM45" s="126"/>
      <c r="AN45" s="126"/>
      <c r="AO45" s="126"/>
      <c r="AP45" s="126"/>
      <c r="AQ45" s="126"/>
      <c r="AR45" s="126"/>
      <c r="AS45" s="75"/>
      <c r="AT45" s="125" t="s">
        <v>63</v>
      </c>
      <c r="AU45" s="126"/>
      <c r="AV45" s="126"/>
      <c r="AW45" s="126"/>
      <c r="AX45" s="126"/>
      <c r="AY45" s="83"/>
      <c r="AZ45" s="75"/>
      <c r="BA45" s="127" t="s">
        <v>64</v>
      </c>
      <c r="BB45" s="128"/>
      <c r="BC45" s="128"/>
      <c r="BD45" s="128"/>
      <c r="BE45" s="129"/>
      <c r="BG45" s="130" t="s">
        <v>65</v>
      </c>
      <c r="BH45" s="131"/>
      <c r="BI45" s="131"/>
      <c r="BJ45" s="131"/>
      <c r="BK45" s="132"/>
      <c r="BL45" s="127" t="s">
        <v>66</v>
      </c>
      <c r="BM45" s="128"/>
      <c r="BN45" s="128"/>
      <c r="BO45" s="128"/>
      <c r="BP45" s="129"/>
      <c r="BQ45" s="127" t="s">
        <v>67</v>
      </c>
      <c r="BR45" s="128"/>
      <c r="BS45" s="128"/>
      <c r="BT45" s="118"/>
    </row>
    <row r="46" spans="1:80" ht="23.25" customHeight="1">
      <c r="A46" s="141"/>
      <c r="B46" s="89"/>
      <c r="C46" s="90">
        <v>2011</v>
      </c>
      <c r="D46" s="90">
        <v>2012</v>
      </c>
      <c r="E46" s="91">
        <v>2013</v>
      </c>
      <c r="F46" s="92">
        <v>2014</v>
      </c>
      <c r="G46" s="93">
        <v>2015</v>
      </c>
      <c r="H46" s="94">
        <v>2016</v>
      </c>
      <c r="I46" s="95">
        <v>2017</v>
      </c>
      <c r="J46" s="95">
        <v>2018</v>
      </c>
      <c r="K46" s="95">
        <v>2019</v>
      </c>
      <c r="L46" s="96">
        <v>2011</v>
      </c>
      <c r="M46" s="96">
        <v>2012</v>
      </c>
      <c r="N46" s="96">
        <v>2013</v>
      </c>
      <c r="O46" s="95">
        <v>2014</v>
      </c>
      <c r="P46" s="93">
        <v>2015</v>
      </c>
      <c r="Q46" s="95">
        <v>2016</v>
      </c>
      <c r="R46" s="96">
        <v>2011</v>
      </c>
      <c r="S46" s="96">
        <v>2012</v>
      </c>
      <c r="T46" s="95">
        <v>2013</v>
      </c>
      <c r="U46" s="95">
        <v>2014</v>
      </c>
      <c r="V46" s="96">
        <v>2011</v>
      </c>
      <c r="W46" s="96">
        <v>2012</v>
      </c>
      <c r="X46" s="95">
        <v>2013</v>
      </c>
      <c r="Y46" s="95">
        <v>2017</v>
      </c>
      <c r="Z46" s="95">
        <v>2018</v>
      </c>
      <c r="AA46" s="97">
        <v>2019</v>
      </c>
      <c r="AB46" s="95">
        <v>2014</v>
      </c>
      <c r="AC46" s="25">
        <v>2015</v>
      </c>
      <c r="AD46" s="25">
        <v>2016</v>
      </c>
      <c r="AE46" s="59">
        <v>2011</v>
      </c>
      <c r="AF46" s="59">
        <v>2012</v>
      </c>
      <c r="AG46" s="59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59">
        <v>2012</v>
      </c>
      <c r="AQ46" s="59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59">
        <v>2013</v>
      </c>
      <c r="AW46" s="25">
        <v>2017</v>
      </c>
      <c r="AX46" s="25">
        <v>2018</v>
      </c>
      <c r="AY46" s="25">
        <v>2019</v>
      </c>
      <c r="AZ46" s="59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59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19"/>
      <c r="BU46" s="3"/>
    </row>
    <row r="47" spans="1:80" ht="23.25" customHeight="1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68" t="s">
        <v>5</v>
      </c>
    </row>
    <row r="48" spans="1:80" ht="23.25" customHeight="1">
      <c r="A48" s="36" t="s">
        <v>10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53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53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53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54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54</v>
      </c>
      <c r="BR48" s="41">
        <v>171</v>
      </c>
      <c r="BS48" s="41">
        <v>176</v>
      </c>
      <c r="BT48" s="66" t="s">
        <v>11</v>
      </c>
      <c r="BY48" s="23"/>
      <c r="BZ48" s="23"/>
      <c r="CA48" s="23"/>
      <c r="CB48" s="23"/>
    </row>
    <row r="49" spans="1:80" ht="23.25" customHeight="1">
      <c r="A49" s="36" t="s">
        <v>12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53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53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53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54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54</v>
      </c>
      <c r="BR49" s="41">
        <v>168</v>
      </c>
      <c r="BS49" s="41">
        <v>181</v>
      </c>
      <c r="BT49" s="66" t="s">
        <v>13</v>
      </c>
    </row>
    <row r="50" spans="1:80" ht="23.25" customHeight="1">
      <c r="A50" s="36" t="s">
        <v>14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53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53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53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54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54</v>
      </c>
      <c r="BR50" s="41">
        <v>150</v>
      </c>
      <c r="BS50" s="41">
        <v>202</v>
      </c>
      <c r="BT50" s="66" t="s">
        <v>15</v>
      </c>
    </row>
    <row r="51" spans="1:80" ht="23.25" customHeight="1">
      <c r="A51" s="36" t="s">
        <v>16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53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53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53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54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54</v>
      </c>
      <c r="BR51" s="41">
        <v>161</v>
      </c>
      <c r="BS51" s="41">
        <v>181</v>
      </c>
      <c r="BT51" s="66" t="s">
        <v>17</v>
      </c>
      <c r="BY51" s="23"/>
      <c r="BZ51" s="23"/>
      <c r="CA51" s="23"/>
      <c r="CB51" s="23"/>
    </row>
    <row r="52" spans="1:80" ht="23.25" customHeight="1">
      <c r="A52" s="36" t="s">
        <v>18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53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53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53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54</v>
      </c>
      <c r="BR52" s="41">
        <v>148</v>
      </c>
      <c r="BS52" s="41">
        <v>184</v>
      </c>
      <c r="BT52" s="66" t="s">
        <v>19</v>
      </c>
    </row>
    <row r="53" spans="1:80" ht="23.25" customHeight="1">
      <c r="A53" s="36" t="s">
        <v>20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53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53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53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54</v>
      </c>
      <c r="BR53" s="41">
        <v>123</v>
      </c>
      <c r="BS53" s="41">
        <v>166</v>
      </c>
      <c r="BT53" s="66" t="s">
        <v>21</v>
      </c>
    </row>
    <row r="54" spans="1:80" ht="23.25" customHeight="1">
      <c r="A54" s="36" t="s">
        <v>22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53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53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53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54</v>
      </c>
      <c r="BR54" s="41">
        <v>157</v>
      </c>
      <c r="BS54" s="41">
        <v>176</v>
      </c>
      <c r="BT54" s="66" t="s">
        <v>23</v>
      </c>
      <c r="BY54" s="23"/>
      <c r="BZ54" s="23"/>
      <c r="CA54" s="23"/>
      <c r="CB54" s="23"/>
    </row>
    <row r="55" spans="1:80" ht="23.25" customHeight="1">
      <c r="A55" s="36" t="s">
        <v>24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53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53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53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54</v>
      </c>
      <c r="BR55" s="41">
        <v>172</v>
      </c>
      <c r="BS55" s="41">
        <v>189</v>
      </c>
      <c r="BT55" s="66" t="s">
        <v>25</v>
      </c>
    </row>
    <row r="56" spans="1:80" ht="23.25" customHeight="1">
      <c r="A56" s="36" t="s">
        <v>26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53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53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53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54</v>
      </c>
      <c r="BR56" s="41">
        <v>165</v>
      </c>
      <c r="BS56" s="41">
        <v>161</v>
      </c>
      <c r="BT56" s="66" t="s">
        <v>27</v>
      </c>
    </row>
    <row r="57" spans="1:80" ht="23.25" customHeight="1">
      <c r="A57" s="36" t="s">
        <v>28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66" t="s">
        <v>29</v>
      </c>
      <c r="BY57" s="23"/>
      <c r="BZ57" s="23"/>
      <c r="CA57" s="23"/>
      <c r="CB57" s="23"/>
    </row>
    <row r="58" spans="1:80" ht="23.25" customHeight="1">
      <c r="A58" s="36" t="s">
        <v>30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66" t="s">
        <v>31</v>
      </c>
    </row>
    <row r="59" spans="1:80" ht="23.25" customHeight="1">
      <c r="A59" s="45" t="s">
        <v>32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67" t="s">
        <v>33</v>
      </c>
    </row>
    <row r="60" spans="1:80" ht="18.7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8"/>
      <c r="BY60" s="23"/>
      <c r="BZ60" s="23"/>
      <c r="CA60" s="23"/>
      <c r="CB60" s="2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19"/>
  <sheetViews>
    <sheetView tabSelected="1" zoomScale="95" zoomScaleNormal="95" workbookViewId="0">
      <selection activeCell="G35" sqref="G35"/>
    </sheetView>
  </sheetViews>
  <sheetFormatPr defaultColWidth="9.140625" defaultRowHeight="12.75" customHeight="1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62" customWidth="1"/>
    <col min="11" max="11" width="5.285156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15.75">
      <c r="A1" s="6"/>
      <c r="B1" s="6"/>
      <c r="C1" s="7"/>
      <c r="D1" s="7"/>
      <c r="E1" s="7"/>
      <c r="F1" s="7"/>
      <c r="G1" s="7"/>
      <c r="H1" s="54"/>
      <c r="J1" s="63"/>
    </row>
    <row r="2" spans="1:10" ht="21">
      <c r="A2" s="153" t="s">
        <v>70</v>
      </c>
      <c r="B2" s="154"/>
      <c r="C2" s="154"/>
      <c r="D2" s="154"/>
      <c r="E2" s="154"/>
      <c r="F2" s="154"/>
      <c r="G2" s="154"/>
      <c r="H2" s="154"/>
      <c r="I2" s="154"/>
      <c r="J2" s="154"/>
    </row>
    <row r="3" spans="1:10" ht="15">
      <c r="A3" s="155" t="s">
        <v>71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15">
      <c r="A4" s="161" t="s">
        <v>8</v>
      </c>
      <c r="B4" s="156" t="s">
        <v>55</v>
      </c>
      <c r="C4" s="158" t="s">
        <v>59</v>
      </c>
      <c r="D4" s="159"/>
      <c r="E4" s="159"/>
      <c r="F4" s="160"/>
      <c r="G4" s="158" t="s">
        <v>60</v>
      </c>
      <c r="H4" s="159"/>
      <c r="I4" s="159"/>
      <c r="J4" s="115" t="s">
        <v>9</v>
      </c>
    </row>
    <row r="5" spans="1:10" ht="15">
      <c r="A5" s="162"/>
      <c r="B5" s="157"/>
      <c r="C5" s="104" t="s">
        <v>4</v>
      </c>
      <c r="D5" s="98" t="s">
        <v>56</v>
      </c>
      <c r="E5" s="98" t="s">
        <v>57</v>
      </c>
      <c r="F5" s="105" t="s">
        <v>58</v>
      </c>
      <c r="G5" s="106" t="s">
        <v>4</v>
      </c>
      <c r="H5" s="98" t="s">
        <v>56</v>
      </c>
      <c r="I5" s="102" t="s">
        <v>58</v>
      </c>
      <c r="J5" s="116"/>
    </row>
    <row r="6" spans="1:10" ht="17.25">
      <c r="A6" s="2" t="s">
        <v>4</v>
      </c>
      <c r="B6" s="53">
        <f t="shared" ref="B6:B18" si="0">SUM(C6+G6)</f>
        <v>2859</v>
      </c>
      <c r="C6" s="107">
        <f>SUM(D6:F6)</f>
        <v>248</v>
      </c>
      <c r="D6" s="53">
        <f>SUM(D7:D18)</f>
        <v>204</v>
      </c>
      <c r="E6" s="53">
        <f>SUM(E7:E18)</f>
        <v>40</v>
      </c>
      <c r="F6" s="108">
        <f>SUM(F7:F18)</f>
        <v>4</v>
      </c>
      <c r="G6" s="107">
        <f t="shared" ref="G6:G18" si="1">SUM(H6:I6)</f>
        <v>2611</v>
      </c>
      <c r="H6" s="100">
        <f>SUM(H7:H18)</f>
        <v>2427</v>
      </c>
      <c r="I6" s="100">
        <f>SUM(I7:I18)</f>
        <v>184</v>
      </c>
      <c r="J6" s="60" t="s">
        <v>5</v>
      </c>
    </row>
    <row r="7" spans="1:10" ht="17.25">
      <c r="A7" s="11" t="s">
        <v>10</v>
      </c>
      <c r="B7" s="53">
        <f t="shared" si="0"/>
        <v>246</v>
      </c>
      <c r="C7" s="107">
        <f t="shared" ref="C7:C18" si="2">SUM(D7:F7)</f>
        <v>19</v>
      </c>
      <c r="D7" s="12">
        <v>18</v>
      </c>
      <c r="E7" s="12">
        <v>0</v>
      </c>
      <c r="F7" s="12">
        <v>1</v>
      </c>
      <c r="G7" s="107">
        <f t="shared" si="1"/>
        <v>227</v>
      </c>
      <c r="H7" s="12">
        <v>209</v>
      </c>
      <c r="I7" s="12">
        <v>18</v>
      </c>
      <c r="J7" s="61" t="s">
        <v>11</v>
      </c>
    </row>
    <row r="8" spans="1:10" ht="17.25">
      <c r="A8" s="11" t="s">
        <v>12</v>
      </c>
      <c r="B8" s="53">
        <f t="shared" si="0"/>
        <v>218</v>
      </c>
      <c r="C8" s="107">
        <f t="shared" si="2"/>
        <v>12</v>
      </c>
      <c r="D8" s="12">
        <v>12</v>
      </c>
      <c r="E8" s="12">
        <v>0</v>
      </c>
      <c r="F8" s="12">
        <v>0</v>
      </c>
      <c r="G8" s="107">
        <f t="shared" si="1"/>
        <v>206</v>
      </c>
      <c r="H8" s="12">
        <v>206</v>
      </c>
      <c r="I8" s="12">
        <v>0</v>
      </c>
      <c r="J8" s="61" t="s">
        <v>13</v>
      </c>
    </row>
    <row r="9" spans="1:10" ht="17.25">
      <c r="A9" s="11" t="s">
        <v>14</v>
      </c>
      <c r="B9" s="53">
        <f t="shared" si="0"/>
        <v>234</v>
      </c>
      <c r="C9" s="107">
        <f t="shared" si="2"/>
        <v>10</v>
      </c>
      <c r="D9" s="12">
        <v>10</v>
      </c>
      <c r="E9" s="12">
        <v>0</v>
      </c>
      <c r="F9" s="12">
        <v>0</v>
      </c>
      <c r="G9" s="107">
        <f t="shared" si="1"/>
        <v>224</v>
      </c>
      <c r="H9" s="12">
        <v>204</v>
      </c>
      <c r="I9" s="12">
        <v>20</v>
      </c>
      <c r="J9" s="61" t="s">
        <v>15</v>
      </c>
    </row>
    <row r="10" spans="1:10" ht="17.25">
      <c r="A10" s="11" t="s">
        <v>16</v>
      </c>
      <c r="B10" s="53">
        <f t="shared" si="0"/>
        <v>232</v>
      </c>
      <c r="C10" s="107">
        <f t="shared" si="2"/>
        <v>16</v>
      </c>
      <c r="D10" s="12">
        <v>16</v>
      </c>
      <c r="E10" s="12">
        <v>0</v>
      </c>
      <c r="F10" s="12">
        <v>0</v>
      </c>
      <c r="G10" s="107">
        <f t="shared" si="1"/>
        <v>216</v>
      </c>
      <c r="H10" s="12">
        <v>190</v>
      </c>
      <c r="I10" s="12">
        <v>26</v>
      </c>
      <c r="J10" s="61" t="s">
        <v>17</v>
      </c>
    </row>
    <row r="11" spans="1:10" ht="17.25">
      <c r="A11" s="11" t="s">
        <v>18</v>
      </c>
      <c r="B11" s="53">
        <f t="shared" si="0"/>
        <v>200</v>
      </c>
      <c r="C11" s="107">
        <f t="shared" si="2"/>
        <v>26</v>
      </c>
      <c r="D11" s="12">
        <v>26</v>
      </c>
      <c r="E11" s="12">
        <v>0</v>
      </c>
      <c r="F11" s="12">
        <v>0</v>
      </c>
      <c r="G11" s="107">
        <f t="shared" si="1"/>
        <v>174</v>
      </c>
      <c r="H11" s="12">
        <v>154</v>
      </c>
      <c r="I11" s="12">
        <v>20</v>
      </c>
      <c r="J11" s="61" t="s">
        <v>19</v>
      </c>
    </row>
    <row r="12" spans="1:10" ht="17.25">
      <c r="A12" s="11" t="s">
        <v>20</v>
      </c>
      <c r="B12" s="53">
        <f t="shared" si="0"/>
        <v>232</v>
      </c>
      <c r="C12" s="107">
        <f t="shared" si="2"/>
        <v>20</v>
      </c>
      <c r="D12" s="12">
        <v>20</v>
      </c>
      <c r="E12" s="12">
        <v>0</v>
      </c>
      <c r="F12" s="12">
        <v>0</v>
      </c>
      <c r="G12" s="107">
        <f t="shared" si="1"/>
        <v>212</v>
      </c>
      <c r="H12" s="12">
        <v>196</v>
      </c>
      <c r="I12" s="12">
        <v>16</v>
      </c>
      <c r="J12" s="61" t="s">
        <v>21</v>
      </c>
    </row>
    <row r="13" spans="1:10" ht="17.25">
      <c r="A13" s="11" t="s">
        <v>22</v>
      </c>
      <c r="B13" s="53">
        <f t="shared" si="0"/>
        <v>206</v>
      </c>
      <c r="C13" s="107">
        <f t="shared" si="2"/>
        <v>16</v>
      </c>
      <c r="D13" s="12">
        <v>16</v>
      </c>
      <c r="E13" s="12">
        <v>0</v>
      </c>
      <c r="F13" s="12">
        <v>0</v>
      </c>
      <c r="G13" s="107">
        <f t="shared" si="1"/>
        <v>190</v>
      </c>
      <c r="H13" s="12">
        <v>184</v>
      </c>
      <c r="I13" s="12">
        <v>6</v>
      </c>
      <c r="J13" s="61" t="s">
        <v>23</v>
      </c>
    </row>
    <row r="14" spans="1:10" ht="17.25">
      <c r="A14" s="11" t="s">
        <v>24</v>
      </c>
      <c r="B14" s="53">
        <f t="shared" si="0"/>
        <v>240</v>
      </c>
      <c r="C14" s="107">
        <f t="shared" si="2"/>
        <v>16</v>
      </c>
      <c r="D14" s="12">
        <v>16</v>
      </c>
      <c r="E14" s="12">
        <v>0</v>
      </c>
      <c r="F14" s="12">
        <v>0</v>
      </c>
      <c r="G14" s="107">
        <f t="shared" si="1"/>
        <v>224</v>
      </c>
      <c r="H14" s="12">
        <v>220</v>
      </c>
      <c r="I14" s="12">
        <v>4</v>
      </c>
      <c r="J14" s="61" t="s">
        <v>25</v>
      </c>
    </row>
    <row r="15" spans="1:10" ht="17.25">
      <c r="A15" s="11" t="s">
        <v>26</v>
      </c>
      <c r="B15" s="53">
        <f t="shared" si="0"/>
        <v>226</v>
      </c>
      <c r="C15" s="107">
        <f t="shared" si="2"/>
        <v>18</v>
      </c>
      <c r="D15" s="12">
        <v>18</v>
      </c>
      <c r="E15" s="12">
        <v>0</v>
      </c>
      <c r="F15" s="12">
        <v>0</v>
      </c>
      <c r="G15" s="107">
        <f t="shared" si="1"/>
        <v>208</v>
      </c>
      <c r="H15" s="12">
        <v>198</v>
      </c>
      <c r="I15" s="12">
        <v>10</v>
      </c>
      <c r="J15" s="61" t="s">
        <v>27</v>
      </c>
    </row>
    <row r="16" spans="1:10" ht="17.25">
      <c r="A16" s="11" t="s">
        <v>28</v>
      </c>
      <c r="B16" s="53">
        <f t="shared" si="0"/>
        <v>220</v>
      </c>
      <c r="C16" s="107">
        <f t="shared" si="2"/>
        <v>18</v>
      </c>
      <c r="D16" s="12">
        <v>18</v>
      </c>
      <c r="E16" s="12">
        <v>0</v>
      </c>
      <c r="F16" s="12">
        <v>0</v>
      </c>
      <c r="G16" s="107">
        <f t="shared" si="1"/>
        <v>202</v>
      </c>
      <c r="H16" s="12">
        <v>186</v>
      </c>
      <c r="I16" s="12">
        <v>16</v>
      </c>
      <c r="J16" s="61" t="s">
        <v>29</v>
      </c>
    </row>
    <row r="17" spans="1:10" ht="17.25">
      <c r="A17" s="11" t="s">
        <v>30</v>
      </c>
      <c r="B17" s="53">
        <f t="shared" si="0"/>
        <v>300</v>
      </c>
      <c r="C17" s="107">
        <f t="shared" si="2"/>
        <v>56</v>
      </c>
      <c r="D17" s="12">
        <v>16</v>
      </c>
      <c r="E17" s="12">
        <v>40</v>
      </c>
      <c r="F17" s="12">
        <v>0</v>
      </c>
      <c r="G17" s="107">
        <f t="shared" si="1"/>
        <v>244</v>
      </c>
      <c r="H17" s="12">
        <v>216</v>
      </c>
      <c r="I17" s="12">
        <v>28</v>
      </c>
      <c r="J17" s="61" t="s">
        <v>31</v>
      </c>
    </row>
    <row r="18" spans="1:10" ht="17.25">
      <c r="A18" s="109" t="s">
        <v>32</v>
      </c>
      <c r="B18" s="103">
        <f t="shared" si="0"/>
        <v>305</v>
      </c>
      <c r="C18" s="110">
        <f t="shared" si="2"/>
        <v>21</v>
      </c>
      <c r="D18" s="101">
        <v>18</v>
      </c>
      <c r="E18" s="101">
        <v>0</v>
      </c>
      <c r="F18" s="101">
        <v>3</v>
      </c>
      <c r="G18" s="110">
        <f t="shared" si="1"/>
        <v>284</v>
      </c>
      <c r="H18" s="101">
        <v>264</v>
      </c>
      <c r="I18" s="101">
        <v>20</v>
      </c>
      <c r="J18" s="99" t="s">
        <v>33</v>
      </c>
    </row>
    <row r="19" spans="1:10" ht="18.75">
      <c r="A19" s="6" t="s">
        <v>6</v>
      </c>
      <c r="B19" s="6"/>
      <c r="C19" s="7"/>
      <c r="D19" s="7"/>
      <c r="E19" s="7"/>
      <c r="F19" s="7"/>
      <c r="G19" s="7"/>
      <c r="H19" s="54"/>
      <c r="J19" s="9" t="s">
        <v>7</v>
      </c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11.18, 11.19 &amp;11.20</vt:lpstr>
      <vt:lpstr>'11.18, 11.19 &amp;11.20'!Print_Area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2026-07-08T05:37:26Z</cp:lastPrinted>
  <dcterms:created xsi:type="dcterms:W3CDTF">2019-03-24T03:32:16Z</dcterms:created>
  <dcterms:modified xsi:type="dcterms:W3CDTF">2026-07-08T05:37:32Z</dcterms:modified>
</cp:coreProperties>
</file>