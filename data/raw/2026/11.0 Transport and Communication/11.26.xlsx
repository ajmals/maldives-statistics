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6\Final\Transport and Communication\"/>
    </mc:Choice>
  </mc:AlternateContent>
  <xr:revisionPtr revIDLastSave="0" documentId="13_ncr:1_{21551496-8F0C-442A-A4C7-A9707F5901F7}" xr6:coauthVersionLast="47" xr6:coauthVersionMax="47" xr10:uidLastSave="{00000000-0000-0000-0000-000000000000}"/>
  <bookViews>
    <workbookView xWindow="-120" yWindow="-120" windowWidth="29040" windowHeight="15720" tabRatio="896" firstSheet="1" activeTab="1" xr2:uid="{00000000-000D-0000-FFFF-FFFF00000000}"/>
  </bookViews>
  <sheets>
    <sheet name="11.15" sheetId="4" state="hidden" r:id="rId1"/>
    <sheet name="11.26" sheetId="16" r:id="rId2"/>
  </sheets>
  <definedNames>
    <definedName name="_xlnm.Print_Area" localSheetId="1">'11.26'!$A$1:$U$166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S47" i="4" l="1"/>
  <c r="BR47" i="4"/>
  <c r="BQ47" i="4"/>
  <c r="BP47" i="4"/>
  <c r="BO47" i="4"/>
  <c r="BN47" i="4"/>
  <c r="BM47" i="4"/>
  <c r="BL47" i="4"/>
  <c r="BK47" i="4"/>
  <c r="BJ47" i="4"/>
  <c r="BI47" i="4"/>
  <c r="BH47" i="4"/>
  <c r="BG47" i="4"/>
  <c r="BF47" i="4"/>
  <c r="BE47" i="4"/>
  <c r="BD47" i="4"/>
  <c r="BC47" i="4"/>
  <c r="BB47" i="4"/>
  <c r="BA47" i="4"/>
  <c r="AZ47" i="4"/>
  <c r="AY47" i="4"/>
  <c r="AX47" i="4"/>
  <c r="AW47" i="4"/>
  <c r="AV47" i="4"/>
  <c r="AU47" i="4"/>
  <c r="AT47" i="4"/>
  <c r="AS47" i="4"/>
  <c r="AR47" i="4"/>
  <c r="AQ47" i="4"/>
  <c r="AP47" i="4"/>
  <c r="AO47" i="4"/>
  <c r="AN47" i="4"/>
  <c r="AM47" i="4"/>
  <c r="AL47" i="4"/>
  <c r="AK47" i="4"/>
  <c r="AJ47" i="4"/>
  <c r="AI47" i="4"/>
  <c r="AH47" i="4"/>
  <c r="AG47" i="4"/>
  <c r="AF47" i="4"/>
  <c r="AE47" i="4"/>
  <c r="AD47" i="4"/>
  <c r="AC47" i="4"/>
  <c r="AB47" i="4"/>
  <c r="AA47" i="4"/>
  <c r="Z47" i="4"/>
  <c r="Y47" i="4"/>
  <c r="X47" i="4"/>
  <c r="W47" i="4"/>
  <c r="V47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H47" i="4"/>
  <c r="G47" i="4"/>
  <c r="F47" i="4"/>
  <c r="E47" i="4"/>
  <c r="D47" i="4"/>
  <c r="C47" i="4"/>
  <c r="AO22" i="4" l="1"/>
  <c r="AO23" i="4"/>
  <c r="AO24" i="4"/>
  <c r="AO25" i="4"/>
  <c r="AO26" i="4"/>
  <c r="AO27" i="4"/>
  <c r="AO29" i="4"/>
  <c r="AO30" i="4"/>
  <c r="AA8" i="4" l="1"/>
  <c r="AQ30" i="4" s="1"/>
  <c r="Z8" i="4"/>
  <c r="AP30" i="4" s="1"/>
  <c r="X8" i="4"/>
  <c r="AQ29" i="4" s="1"/>
  <c r="W8" i="4"/>
  <c r="AP29" i="4" s="1"/>
  <c r="U8" i="4"/>
  <c r="AQ28" i="4" s="1"/>
  <c r="T8" i="4"/>
  <c r="AP28" i="4" s="1"/>
  <c r="R8" i="4"/>
  <c r="AQ27" i="4" s="1"/>
  <c r="Q8" i="4"/>
  <c r="AP27" i="4" s="1"/>
  <c r="O8" i="4"/>
  <c r="AQ26" i="4" s="1"/>
  <c r="N8" i="4"/>
  <c r="AP26" i="4" s="1"/>
  <c r="L8" i="4"/>
  <c r="AQ25" i="4" s="1"/>
  <c r="K8" i="4"/>
  <c r="AP25" i="4" s="1"/>
  <c r="I8" i="4"/>
  <c r="AQ24" i="4" s="1"/>
  <c r="H8" i="4"/>
  <c r="AP24" i="4" s="1"/>
  <c r="F8" i="4"/>
  <c r="AQ23" i="4" s="1"/>
  <c r="E8" i="4"/>
  <c r="AP23" i="4" s="1"/>
  <c r="C8" i="4"/>
  <c r="AQ22" i="4" s="1"/>
  <c r="B8" i="4"/>
  <c r="AP22" i="4" l="1"/>
  <c r="AP32" i="4" s="1"/>
  <c r="AQ32" i="4"/>
  <c r="AR32" i="4" l="1"/>
</calcChain>
</file>

<file path=xl/sharedStrings.xml><?xml version="1.0" encoding="utf-8"?>
<sst xmlns="http://schemas.openxmlformats.org/spreadsheetml/2006/main" count="663" uniqueCount="121">
  <si>
    <t>iawa</t>
  </si>
  <si>
    <t>iruf</t>
  </si>
  <si>
    <t>In</t>
  </si>
  <si>
    <t>Out</t>
  </si>
  <si>
    <t>Total</t>
  </si>
  <si>
    <t>wlcmuj</t>
  </si>
  <si>
    <t>Source: Civil Aviation Authority</t>
  </si>
  <si>
    <t>މައުލޫމާތު ދެއްވީ: ސިވިލް އޭވިއޭޝަން އޮތޯރިޓީ</t>
  </si>
  <si>
    <t>Month</t>
  </si>
  <si>
    <t>cswm</t>
  </si>
  <si>
    <t>January</t>
  </si>
  <si>
    <t>Irwaunej</t>
  </si>
  <si>
    <t>February</t>
  </si>
  <si>
    <t>Irwaurcbef</t>
  </si>
  <si>
    <t>March</t>
  </si>
  <si>
    <t>cCrWm</t>
  </si>
  <si>
    <t>April</t>
  </si>
  <si>
    <t>clircpEa</t>
  </si>
  <si>
    <t>May</t>
  </si>
  <si>
    <t>Em</t>
  </si>
  <si>
    <t>June</t>
  </si>
  <si>
    <t>cnUj</t>
  </si>
  <si>
    <t>July</t>
  </si>
  <si>
    <t>iawluj</t>
  </si>
  <si>
    <t>August</t>
  </si>
  <si>
    <t>cTcswgoa</t>
  </si>
  <si>
    <t>September</t>
  </si>
  <si>
    <t>rwbcmeTcpes</t>
  </si>
  <si>
    <t>October</t>
  </si>
  <si>
    <t>rwbUTckoa</t>
  </si>
  <si>
    <t>November</t>
  </si>
  <si>
    <t>rwbcmevon</t>
  </si>
  <si>
    <t>December</t>
  </si>
  <si>
    <t>rwbcmesiD</t>
  </si>
  <si>
    <t>Udcawk .l</t>
  </si>
  <si>
    <t>UdcaeDWk .dg</t>
  </si>
  <si>
    <t>ޏ.ފުވައްމުލައް</t>
  </si>
  <si>
    <t>އދ.މާމިގިލި</t>
  </si>
  <si>
    <t>ބ.ދަރަވަންދޫ</t>
  </si>
  <si>
    <t>ގއ.ކޫއްޑޫ</t>
  </si>
  <si>
    <t>ތ.ތިމަރަފުށި</t>
  </si>
  <si>
    <t>ރ.އިފުރު</t>
  </si>
  <si>
    <t>ދ.ކުޑަހުވަދޫ</t>
  </si>
  <si>
    <t>L.Kadhdhoo</t>
  </si>
  <si>
    <t>GDh.Kaadedhdhoo</t>
  </si>
  <si>
    <t xml:space="preserve">Gn.Fuvahmulah </t>
  </si>
  <si>
    <t>ADh.Maamigili</t>
  </si>
  <si>
    <t>B.Dharavandhoo</t>
  </si>
  <si>
    <t>GA. Koodoo</t>
  </si>
  <si>
    <t xml:space="preserve">Th. Thimarafushi  </t>
  </si>
  <si>
    <t xml:space="preserve">R.Ifuru  </t>
  </si>
  <si>
    <t>Dh.kudahuvadhoo</t>
  </si>
  <si>
    <t xml:space="preserve">THA. Thimarafushi  </t>
  </si>
  <si>
    <t>_</t>
  </si>
  <si>
    <t>-</t>
  </si>
  <si>
    <r>
      <t xml:space="preserve">Gn.Fuvahmulah </t>
    </r>
    <r>
      <rPr>
        <b/>
        <vertAlign val="superscript"/>
        <sz val="11"/>
        <rFont val="Calibri"/>
        <family val="2"/>
        <scheme val="minor"/>
      </rPr>
      <t>1_/</t>
    </r>
  </si>
  <si>
    <r>
      <t xml:space="preserve">ADh.Maamigili </t>
    </r>
    <r>
      <rPr>
        <b/>
        <vertAlign val="superscript"/>
        <sz val="11"/>
        <rFont val="Calibri"/>
        <family val="2"/>
        <scheme val="minor"/>
      </rPr>
      <t xml:space="preserve">1_/ </t>
    </r>
  </si>
  <si>
    <r>
      <t xml:space="preserve">B.Dharavandhoo </t>
    </r>
    <r>
      <rPr>
        <b/>
        <vertAlign val="superscript"/>
        <sz val="11"/>
        <rFont val="Calibri"/>
        <family val="2"/>
        <scheme val="minor"/>
      </rPr>
      <t xml:space="preserve">2_/ </t>
    </r>
  </si>
  <si>
    <r>
      <t xml:space="preserve">GA.Koodoo </t>
    </r>
    <r>
      <rPr>
        <b/>
        <vertAlign val="superscript"/>
        <sz val="11"/>
        <rFont val="Calibri"/>
        <family val="2"/>
        <scheme val="minor"/>
      </rPr>
      <t xml:space="preserve">3_/ </t>
    </r>
  </si>
  <si>
    <r>
      <t xml:space="preserve">Th. Thimarafushi  </t>
    </r>
    <r>
      <rPr>
        <b/>
        <vertAlign val="superscript"/>
        <sz val="11"/>
        <rFont val="Calibri"/>
        <family val="2"/>
        <scheme val="minor"/>
      </rPr>
      <t xml:space="preserve">4_/ </t>
    </r>
  </si>
  <si>
    <r>
      <t xml:space="preserve">Raa.Ifuru </t>
    </r>
    <r>
      <rPr>
        <b/>
        <vertAlign val="superscript"/>
        <sz val="11"/>
        <rFont val="Calibri"/>
        <family val="2"/>
        <scheme val="minor"/>
      </rPr>
      <t xml:space="preserve"> 5_/ </t>
    </r>
  </si>
  <si>
    <r>
      <t>Dh.kudahuvadhoo</t>
    </r>
    <r>
      <rPr>
        <b/>
        <vertAlign val="superscript"/>
        <sz val="11"/>
        <rFont val="Calibri"/>
        <family val="2"/>
        <scheme val="minor"/>
      </rPr>
      <t xml:space="preserve">6_/ </t>
    </r>
  </si>
  <si>
    <t>2020 ,ctogiruh urutwfurutwd egcnurwjcniswf iawgukwturwdnwb egiawv egEjcaWr cnutogeguhwmcswm  :11.15 ulwvWt</t>
  </si>
  <si>
    <t>Table 11.15 :  PASSENGER MOVEMENTS AT DOMESTIC AIRPORTS BY MONTH, 2020</t>
  </si>
  <si>
    <t>MONTH</t>
  </si>
  <si>
    <t>ACFT MVTS</t>
  </si>
  <si>
    <t>PASSENGERS</t>
  </si>
  <si>
    <t>CARGO (kg)</t>
  </si>
  <si>
    <t>MAIL (kg)</t>
  </si>
  <si>
    <t>IN</t>
  </si>
  <si>
    <t>OUT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</si>
  <si>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</si>
  <si>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</si>
  <si>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</si>
  <si>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</si>
  <si>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</si>
  <si>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</si>
  <si>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</si>
  <si>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</si>
  <si>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</si>
  <si>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</si>
  <si>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</si>
  <si>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</si>
  <si>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 xml:space="preserve"> </t>
  </si>
  <si>
    <t>4</t>
  </si>
  <si>
    <t>3</t>
  </si>
  <si>
    <t>3526</t>
  </si>
  <si>
    <t>13798</t>
  </si>
  <si>
    <t>3076</t>
  </si>
  <si>
    <t>12656</t>
  </si>
  <si>
    <t>5198</t>
  </si>
  <si>
    <t>10832</t>
  </si>
  <si>
    <t>2934</t>
  </si>
  <si>
    <t>9388</t>
  </si>
  <si>
    <t>2845</t>
  </si>
  <si>
    <t>10895</t>
  </si>
  <si>
    <t>Table 11:26: Monthly Traffic at Domestic Airports, 2025</t>
  </si>
  <si>
    <t>MONTHLY TRAFFIC AT KAADEDHDHOO AIRPORT - 2025</t>
  </si>
  <si>
    <t>MONTHLY TRAFFIC AT KADHDHOO AIRPORT - 2025</t>
  </si>
  <si>
    <t>23</t>
  </si>
  <si>
    <t>28</t>
  </si>
  <si>
    <t>7</t>
  </si>
  <si>
    <t>163</t>
  </si>
  <si>
    <t>1892</t>
  </si>
  <si>
    <t>27</t>
  </si>
  <si>
    <t>2004</t>
  </si>
  <si>
    <t>65</t>
  </si>
  <si>
    <t>MONTHLY TRAFFIC AT FOAMULAH AIRPORT - 2025</t>
  </si>
  <si>
    <t>MONTHLY TRAFFIC AT DHARAVANDHOO AIRPORT - 2025</t>
  </si>
  <si>
    <t>MONTHLY TRAFFIC AT KOODDOO AIRPORT - 2025</t>
  </si>
  <si>
    <t>MONTHLY TRAFFIC AT THIMARAFUSHI AIRPORT - 2025</t>
  </si>
  <si>
    <t>MONTHLY TRAFFIC AT R.IFURU AIRPORT - 2025</t>
  </si>
  <si>
    <t>MONTHLY TRAFFIC AT DHAALU AIRPORT - 2025</t>
  </si>
  <si>
    <t>MONTHLY TRAFFIC AT MAAMIGILLI AIRPORT -2025</t>
  </si>
  <si>
    <t>MONTHLY TRAFFIC AT MAAVRULU AIRPORT - 2025</t>
  </si>
  <si>
    <t>MONTHLY TRAFFIC AT FUNADHOO AIRPORT - 2025</t>
  </si>
  <si>
    <t>MONTHLY TRAFFIC AT KULHUDHUFFUSHI AIRPORT - 2025</t>
  </si>
  <si>
    <t>MONTHLY TRAFFIC AT HOARAFUSHI AIRPORT - 2025</t>
  </si>
  <si>
    <t>MONTHLY TRAFFIC AT MADIVARU AIRPORT - 2025</t>
  </si>
  <si>
    <t>MONTHLY TRAFFIC AT FARESMAATHODA AIRPORT - 2025</t>
  </si>
  <si>
    <t>MONTHLY TRAFFIC AT MULI AIRPORT - 2025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</si>
</sst>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General_)"/>
    <numFmt numFmtId="165" formatCode="_(* #,##0_);_(* \(#,##0\);_(* &quot;-&quot;??_);_(@_)"/>
    <numFmt numFmtId="167" formatCode="0.0"/>
    <numFmt numFmtId="168" formatCode="mmmmm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2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9"/>
      <name val="Calibri"/>
      <family val="2"/>
      <scheme val="minor"/>
    </font>
    <font>
      <sz val="9"/>
      <name val="Arial"/>
      <family val="2"/>
    </font>
    <font>
      <b/>
      <sz val="11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MS Sans Serif"/>
      <family val="2"/>
    </font>
    <font>
      <sz val="10"/>
      <name val="Calibri"/>
      <family val="2"/>
      <scheme val="minor"/>
    </font>
    <font>
      <sz val="10"/>
      <name val="A_Randhoo"/>
    </font>
    <font>
      <sz val="10"/>
      <name val="Faruma"/>
    </font>
    <font>
      <i/>
      <sz val="9"/>
      <name val="Calibri"/>
      <family val="2"/>
      <scheme val="minor"/>
    </font>
    <font>
      <sz val="9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Garamond"/>
      <family val="1"/>
    </font>
    <font>
      <b/>
      <sz val="10.5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0"/>
      <name val="Arial"/>
      <family val="2"/>
    </font>
    <font>
      <sz val="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name val="A_Faseyha"/>
    </font>
    <font>
      <b/>
      <sz val="11"/>
      <name val="A_Faseyha"/>
    </font>
    <font>
      <u/>
      <sz val="10"/>
      <color indexed="12"/>
      <name val="Arial"/>
      <family val="2"/>
    </font>
    <font>
      <b/>
      <sz val="9"/>
      <name val="A_Faseyha"/>
    </font>
    <font>
      <b/>
      <sz val="12"/>
      <color theme="1"/>
      <name val="A_Faseyha"/>
    </font>
    <font>
      <sz val="10"/>
      <name val="A_Faseyha"/>
    </font>
    <font>
      <b/>
      <sz val="10.5"/>
      <name val="Faruma"/>
    </font>
    <font>
      <b/>
      <sz val="12"/>
      <name val="Faruma"/>
    </font>
    <font>
      <sz val="12"/>
      <color theme="1"/>
      <name val="Faruma"/>
    </font>
    <font>
      <sz val="12"/>
      <color theme="1"/>
      <name val="A_Faseyha"/>
    </font>
    <font>
      <b/>
      <vertAlign val="superscript"/>
      <sz val="11"/>
      <name val="Calibri"/>
      <family val="2"/>
      <scheme val="minor"/>
    </font>
    <font>
      <sz val="10"/>
      <name val="Arial"/>
      <family val="2"/>
    </font>
    <font>
      <sz val="9"/>
      <name val="Univers Condensed"/>
      <family val="2"/>
    </font>
    <font>
      <b/>
      <sz val="9"/>
      <name val="Univers Condensed"/>
      <family val="2"/>
    </font>
    <font>
      <b/>
      <sz val="12"/>
      <color theme="1"/>
      <name val="Faruma"/>
    </font>
    <font>
      <b/>
      <sz val="9"/>
      <color theme="1"/>
      <name val="Calibri"/>
      <family val="2"/>
      <scheme val="minor"/>
    </font>
    <font>
      <b/>
      <sz val="9"/>
      <color theme="1"/>
      <name val="Univers Condensed"/>
      <family val="2"/>
    </font>
    <font>
      <sz val="10"/>
      <name val="Courier"/>
      <charset val="134"/>
    </font>
    <font>
      <sz val="10"/>
      <name val="MS Sans Serif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9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 style="hair">
        <color indexed="64"/>
      </right>
      <top style="thin">
        <color indexed="64"/>
      </top>
      <bottom style="thin">
        <color theme="0"/>
      </bottom>
      <diagonal/>
    </border>
    <border>
      <left style="hair">
        <color indexed="64"/>
      </left>
      <right/>
      <top style="thin">
        <color indexed="64"/>
      </top>
      <bottom style="thin">
        <color theme="0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/>
      <top style="thin">
        <color theme="0"/>
      </top>
      <bottom style="thin">
        <color indexed="64"/>
      </bottom>
      <diagonal/>
    </border>
    <border>
      <left/>
      <right style="hair">
        <color indexed="64"/>
      </right>
      <top style="thin">
        <color theme="0"/>
      </top>
      <bottom style="thin">
        <color indexed="64"/>
      </bottom>
      <diagonal/>
    </border>
    <border>
      <left style="hair">
        <color indexed="64"/>
      </left>
      <right/>
      <top style="thin">
        <color theme="0"/>
      </top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hair">
        <color indexed="64"/>
      </right>
      <top/>
      <bottom style="thin">
        <color theme="0"/>
      </bottom>
      <diagonal/>
    </border>
    <border>
      <left style="hair">
        <color indexed="64"/>
      </left>
      <right/>
      <top style="thin">
        <color theme="0"/>
      </top>
      <bottom style="thin">
        <color theme="0"/>
      </bottom>
      <diagonal/>
    </border>
    <border>
      <left/>
      <right style="hair">
        <color indexed="64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thin">
        <color auto="1"/>
      </top>
      <bottom/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hair">
        <color auto="1"/>
      </bottom>
      <diagonal/>
    </border>
  </borders>
  <cellStyleXfs count="23">
    <xf numFmtId="0" fontId="0" fillId="0" borderId="0"/>
    <xf numFmtId="43" fontId="1" fillId="0" borderId="0" applyFont="0" applyFill="0" applyBorder="0" applyAlignment="0" applyProtection="0"/>
    <xf numFmtId="164" fontId="2" fillId="0" borderId="0"/>
    <xf numFmtId="40" fontId="10" fillId="0" borderId="0" applyFont="0" applyFill="0" applyBorder="0" applyAlignment="0" applyProtection="0"/>
    <xf numFmtId="0" fontId="4" fillId="0" borderId="0"/>
    <xf numFmtId="0" fontId="17" fillId="0" borderId="0"/>
    <xf numFmtId="165" fontId="2" fillId="0" borderId="0"/>
    <xf numFmtId="165" fontId="2" fillId="0" borderId="0"/>
    <xf numFmtId="167" fontId="2" fillId="0" borderId="0" applyFont="0" applyFill="0" applyBorder="0" applyAlignment="0" applyProtection="0"/>
    <xf numFmtId="0" fontId="27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4" fillId="0" borderId="0"/>
    <xf numFmtId="0" fontId="4" fillId="0" borderId="0"/>
    <xf numFmtId="0" fontId="36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9" fontId="1" fillId="0" borderId="0" applyFont="0" applyFill="0" applyBorder="0" applyAlignment="0" applyProtection="0">
      <alignment vertical="center"/>
    </xf>
    <xf numFmtId="40" fontId="43" fillId="0" borderId="0" applyFont="0" applyFill="0" applyBorder="0" applyAlignment="0" applyProtection="0"/>
    <xf numFmtId="167" fontId="42" fillId="0" borderId="0" applyFont="0" applyFill="0" applyBorder="0" applyAlignment="0" applyProtection="0"/>
    <xf numFmtId="164" fontId="42" fillId="0" borderId="0"/>
    <xf numFmtId="165" fontId="42" fillId="0" borderId="0"/>
    <xf numFmtId="165" fontId="42" fillId="0" borderId="0"/>
  </cellStyleXfs>
  <cellXfs count="175">
    <xf numFmtId="0" fontId="0" fillId="0" borderId="0" xfId="0"/>
    <xf numFmtId="164" fontId="0" fillId="2" borderId="0" xfId="0" applyNumberFormat="1" applyFill="1"/>
    <xf numFmtId="164" fontId="8" fillId="2" borderId="0" xfId="0" applyNumberFormat="1" applyFont="1" applyFill="1"/>
    <xf numFmtId="38" fontId="9" fillId="2" borderId="0" xfId="3" applyNumberFormat="1" applyFont="1" applyFill="1" applyBorder="1" applyAlignment="1">
      <alignment horizontal="right" vertical="center" wrapText="1"/>
    </xf>
    <xf numFmtId="164" fontId="9" fillId="2" borderId="0" xfId="2" applyFont="1" applyFill="1" applyAlignment="1">
      <alignment horizontal="left" vertical="center"/>
    </xf>
    <xf numFmtId="164" fontId="11" fillId="2" borderId="0" xfId="2" applyFont="1" applyFill="1" applyAlignment="1">
      <alignment horizontal="left" vertical="center"/>
    </xf>
    <xf numFmtId="164" fontId="14" fillId="2" borderId="0" xfId="2" applyFont="1" applyFill="1" applyAlignment="1">
      <alignment horizontal="left" vertical="center"/>
    </xf>
    <xf numFmtId="37" fontId="15" fillId="2" borderId="0" xfId="2" applyNumberFormat="1" applyFont="1" applyFill="1" applyAlignment="1">
      <alignment vertical="center"/>
    </xf>
    <xf numFmtId="37" fontId="7" fillId="2" borderId="0" xfId="2" applyNumberFormat="1" applyFont="1" applyFill="1" applyAlignment="1">
      <alignment vertical="center"/>
    </xf>
    <xf numFmtId="0" fontId="13" fillId="2" borderId="2" xfId="0" applyFont="1" applyFill="1" applyBorder="1" applyAlignment="1">
      <alignment horizontal="right" vertical="center"/>
    </xf>
    <xf numFmtId="164" fontId="2" fillId="2" borderId="0" xfId="0" applyNumberFormat="1" applyFont="1" applyFill="1"/>
    <xf numFmtId="0" fontId="13" fillId="2" borderId="13" xfId="0" applyFont="1" applyFill="1" applyBorder="1" applyAlignment="1">
      <alignment horizontal="right" vertical="center"/>
    </xf>
    <xf numFmtId="0" fontId="13" fillId="2" borderId="0" xfId="0" applyFont="1" applyFill="1" applyAlignment="1">
      <alignment horizontal="right" vertical="center"/>
    </xf>
    <xf numFmtId="164" fontId="18" fillId="2" borderId="0" xfId="2" applyFont="1" applyFill="1" applyAlignment="1">
      <alignment horizontal="center" vertical="center" wrapText="1"/>
    </xf>
    <xf numFmtId="164" fontId="19" fillId="2" borderId="0" xfId="0" applyNumberFormat="1" applyFont="1" applyFill="1"/>
    <xf numFmtId="3" fontId="9" fillId="2" borderId="17" xfId="2" applyNumberFormat="1" applyFont="1" applyFill="1" applyBorder="1" applyAlignment="1">
      <alignment horizontal="right" vertical="center"/>
    </xf>
    <xf numFmtId="3" fontId="9" fillId="2" borderId="0" xfId="2" applyNumberFormat="1" applyFont="1" applyFill="1" applyAlignment="1">
      <alignment horizontal="right" vertical="center"/>
    </xf>
    <xf numFmtId="165" fontId="0" fillId="2" borderId="0" xfId="1" applyNumberFormat="1" applyFont="1" applyFill="1"/>
    <xf numFmtId="164" fontId="20" fillId="2" borderId="0" xfId="2" applyFont="1" applyFill="1" applyAlignment="1">
      <alignment horizontal="left" vertical="center"/>
    </xf>
    <xf numFmtId="37" fontId="4" fillId="2" borderId="0" xfId="2" applyNumberFormat="1" applyFont="1" applyFill="1" applyAlignment="1">
      <alignment vertical="center"/>
    </xf>
    <xf numFmtId="164" fontId="12" fillId="2" borderId="0" xfId="2" applyFont="1" applyFill="1"/>
    <xf numFmtId="0" fontId="12" fillId="2" borderId="0" xfId="4" applyFont="1" applyFill="1" applyAlignment="1">
      <alignment vertical="center"/>
    </xf>
    <xf numFmtId="164" fontId="0" fillId="2" borderId="0" xfId="0" applyNumberFormat="1" applyFill="1" applyAlignment="1">
      <alignment horizontal="center" vertical="center"/>
    </xf>
    <xf numFmtId="0" fontId="6" fillId="2" borderId="29" xfId="2" applyNumberFormat="1" applyFont="1" applyFill="1" applyBorder="1" applyAlignment="1">
      <alignment horizontal="center" vertical="center"/>
    </xf>
    <xf numFmtId="0" fontId="6" fillId="2" borderId="31" xfId="2" applyNumberFormat="1" applyFont="1" applyFill="1" applyBorder="1" applyAlignment="1">
      <alignment horizontal="center" vertical="center"/>
    </xf>
    <xf numFmtId="0" fontId="6" fillId="2" borderId="32" xfId="2" applyNumberFormat="1" applyFont="1" applyFill="1" applyBorder="1" applyAlignment="1">
      <alignment horizontal="center" vertical="center"/>
    </xf>
    <xf numFmtId="0" fontId="6" fillId="2" borderId="16" xfId="2" applyNumberFormat="1" applyFont="1" applyFill="1" applyBorder="1" applyAlignment="1">
      <alignment horizontal="center" vertical="center"/>
    </xf>
    <xf numFmtId="164" fontId="9" fillId="2" borderId="2" xfId="2" applyFont="1" applyFill="1" applyBorder="1" applyAlignment="1">
      <alignment horizontal="left" vertical="center"/>
    </xf>
    <xf numFmtId="3" fontId="6" fillId="2" borderId="2" xfId="2" applyNumberFormat="1" applyFont="1" applyFill="1" applyBorder="1" applyAlignment="1">
      <alignment horizontal="center" vertical="center"/>
    </xf>
    <xf numFmtId="3" fontId="6" fillId="2" borderId="3" xfId="2" applyNumberFormat="1" applyFont="1" applyFill="1" applyBorder="1" applyAlignment="1">
      <alignment horizontal="center" vertical="center"/>
    </xf>
    <xf numFmtId="3" fontId="6" fillId="2" borderId="33" xfId="2" applyNumberFormat="1" applyFont="1" applyFill="1" applyBorder="1" applyAlignment="1">
      <alignment horizontal="center" vertical="center"/>
    </xf>
    <xf numFmtId="3" fontId="6" fillId="2" borderId="13" xfId="2" applyNumberFormat="1" applyFont="1" applyFill="1" applyBorder="1" applyAlignment="1">
      <alignment horizontal="center" vertical="center"/>
    </xf>
    <xf numFmtId="3" fontId="6" fillId="2" borderId="34" xfId="2" applyNumberFormat="1" applyFont="1" applyFill="1" applyBorder="1" applyAlignment="1">
      <alignment horizontal="center" vertical="center"/>
    </xf>
    <xf numFmtId="3" fontId="6" fillId="2" borderId="35" xfId="2" applyNumberFormat="1" applyFont="1" applyFill="1" applyBorder="1" applyAlignment="1">
      <alignment horizontal="center" vertical="center"/>
    </xf>
    <xf numFmtId="3" fontId="6" fillId="2" borderId="18" xfId="2" applyNumberFormat="1" applyFont="1" applyFill="1" applyBorder="1" applyAlignment="1">
      <alignment horizontal="center" vertical="center"/>
    </xf>
    <xf numFmtId="164" fontId="15" fillId="2" borderId="1" xfId="2" applyFont="1" applyFill="1" applyBorder="1" applyAlignment="1">
      <alignment horizontal="left" vertical="center"/>
    </xf>
    <xf numFmtId="3" fontId="15" fillId="2" borderId="1" xfId="3" applyNumberFormat="1" applyFont="1" applyFill="1" applyBorder="1" applyAlignment="1">
      <alignment horizontal="center" vertical="center"/>
    </xf>
    <xf numFmtId="0" fontId="15" fillId="2" borderId="4" xfId="0" applyFont="1" applyFill="1" applyBorder="1" applyAlignment="1">
      <alignment horizontal="center" vertical="center"/>
    </xf>
    <xf numFmtId="0" fontId="15" fillId="2" borderId="36" xfId="0" applyFont="1" applyFill="1" applyBorder="1" applyAlignment="1">
      <alignment horizontal="center" vertical="center"/>
    </xf>
    <xf numFmtId="0" fontId="15" fillId="2" borderId="11" xfId="0" applyFont="1" applyFill="1" applyBorder="1" applyAlignment="1">
      <alignment horizontal="center" vertical="center"/>
    </xf>
    <xf numFmtId="0" fontId="15" fillId="2" borderId="7" xfId="0" applyFont="1" applyFill="1" applyBorder="1" applyAlignment="1">
      <alignment horizontal="center" vertical="center"/>
    </xf>
    <xf numFmtId="3" fontId="15" fillId="2" borderId="7" xfId="3" applyNumberFormat="1" applyFont="1" applyFill="1" applyBorder="1" applyAlignment="1">
      <alignment horizontal="center" vertical="center"/>
    </xf>
    <xf numFmtId="0" fontId="21" fillId="2" borderId="7" xfId="0" applyFont="1" applyFill="1" applyBorder="1" applyAlignment="1">
      <alignment horizontal="center" vertical="center"/>
    </xf>
    <xf numFmtId="0" fontId="15" fillId="2" borderId="37" xfId="0" applyFont="1" applyFill="1" applyBorder="1" applyAlignment="1">
      <alignment horizontal="center" vertical="center"/>
    </xf>
    <xf numFmtId="164" fontId="15" fillId="2" borderId="5" xfId="2" applyFont="1" applyFill="1" applyBorder="1" applyAlignment="1">
      <alignment horizontal="left" vertical="center"/>
    </xf>
    <xf numFmtId="3" fontId="15" fillId="2" borderId="5" xfId="3" applyNumberFormat="1" applyFont="1" applyFill="1" applyBorder="1" applyAlignment="1">
      <alignment horizontal="center" vertical="center"/>
    </xf>
    <xf numFmtId="0" fontId="15" fillId="2" borderId="6" xfId="0" applyFont="1" applyFill="1" applyBorder="1" applyAlignment="1">
      <alignment horizontal="center" vertical="center"/>
    </xf>
    <xf numFmtId="0" fontId="15" fillId="2" borderId="24" xfId="0" applyFont="1" applyFill="1" applyBorder="1" applyAlignment="1">
      <alignment horizontal="center" vertical="center"/>
    </xf>
    <xf numFmtId="0" fontId="15" fillId="2" borderId="12" xfId="0" applyFont="1" applyFill="1" applyBorder="1" applyAlignment="1">
      <alignment horizontal="center" vertical="center"/>
    </xf>
    <xf numFmtId="0" fontId="15" fillId="2" borderId="22" xfId="0" applyFont="1" applyFill="1" applyBorder="1" applyAlignment="1">
      <alignment horizontal="center" vertical="center"/>
    </xf>
    <xf numFmtId="3" fontId="15" fillId="2" borderId="22" xfId="3" applyNumberFormat="1" applyFont="1" applyFill="1" applyBorder="1" applyAlignment="1">
      <alignment horizontal="center" vertical="center"/>
    </xf>
    <xf numFmtId="0" fontId="15" fillId="2" borderId="23" xfId="0" applyFont="1" applyFill="1" applyBorder="1" applyAlignment="1">
      <alignment horizontal="center" vertical="center"/>
    </xf>
    <xf numFmtId="164" fontId="6" fillId="2" borderId="38" xfId="2" applyFont="1" applyFill="1" applyBorder="1" applyAlignment="1">
      <alignment horizontal="right" vertical="center"/>
    </xf>
    <xf numFmtId="164" fontId="28" fillId="2" borderId="0" xfId="2" applyFont="1" applyFill="1" applyAlignment="1">
      <alignment horizontal="right" vertical="center"/>
    </xf>
    <xf numFmtId="164" fontId="11" fillId="2" borderId="38" xfId="2" applyFont="1" applyFill="1" applyBorder="1" applyAlignment="1">
      <alignment horizontal="left" vertical="center"/>
    </xf>
    <xf numFmtId="164" fontId="18" fillId="2" borderId="38" xfId="2" applyFont="1" applyFill="1" applyBorder="1" applyAlignment="1">
      <alignment horizontal="right" vertical="center"/>
    </xf>
    <xf numFmtId="0" fontId="6" fillId="2" borderId="38" xfId="2" applyNumberFormat="1" applyFont="1" applyFill="1" applyBorder="1" applyAlignment="1">
      <alignment horizontal="center" vertical="center"/>
    </xf>
    <xf numFmtId="164" fontId="25" fillId="2" borderId="0" xfId="2" applyFont="1" applyFill="1" applyAlignment="1">
      <alignment horizontal="right" vertical="center"/>
    </xf>
    <xf numFmtId="164" fontId="24" fillId="2" borderId="0" xfId="0" applyNumberFormat="1" applyFont="1" applyFill="1"/>
    <xf numFmtId="0" fontId="30" fillId="2" borderId="11" xfId="5" applyFont="1" applyFill="1" applyBorder="1" applyAlignment="1">
      <alignment horizontal="right"/>
    </xf>
    <xf numFmtId="0" fontId="30" fillId="2" borderId="12" xfId="5" applyFont="1" applyFill="1" applyBorder="1" applyAlignment="1">
      <alignment horizontal="right"/>
    </xf>
    <xf numFmtId="0" fontId="25" fillId="2" borderId="13" xfId="5" applyFont="1" applyFill="1" applyBorder="1" applyAlignment="1">
      <alignment horizontal="right"/>
    </xf>
    <xf numFmtId="164" fontId="31" fillId="2" borderId="8" xfId="2" applyFont="1" applyFill="1" applyBorder="1" applyAlignment="1">
      <alignment horizontal="center" vertical="center"/>
    </xf>
    <xf numFmtId="164" fontId="33" fillId="2" borderId="8" xfId="0" applyNumberFormat="1" applyFont="1" applyFill="1" applyBorder="1"/>
    <xf numFmtId="164" fontId="32" fillId="2" borderId="18" xfId="2" applyFont="1" applyFill="1" applyBorder="1" applyAlignment="1">
      <alignment vertical="center"/>
    </xf>
    <xf numFmtId="164" fontId="34" fillId="2" borderId="8" xfId="0" applyNumberFormat="1" applyFont="1" applyFill="1" applyBorder="1"/>
    <xf numFmtId="164" fontId="33" fillId="2" borderId="0" xfId="0" applyNumberFormat="1" applyFont="1" applyFill="1"/>
    <xf numFmtId="164" fontId="1" fillId="2" borderId="0" xfId="0" applyNumberFormat="1" applyFont="1" applyFill="1" applyAlignment="1">
      <alignment horizontal="center" vertical="center"/>
    </xf>
    <xf numFmtId="164" fontId="16" fillId="2" borderId="22" xfId="2" applyFont="1" applyFill="1" applyBorder="1" applyAlignment="1">
      <alignment vertical="center" wrapText="1"/>
    </xf>
    <xf numFmtId="3" fontId="11" fillId="3" borderId="1" xfId="2" applyNumberFormat="1" applyFont="1" applyFill="1" applyBorder="1" applyAlignment="1">
      <alignment horizontal="right" vertical="center"/>
    </xf>
    <xf numFmtId="3" fontId="11" fillId="3" borderId="1" xfId="3" applyNumberFormat="1" applyFont="1" applyFill="1" applyBorder="1" applyAlignment="1">
      <alignment horizontal="right" vertical="center"/>
    </xf>
    <xf numFmtId="3" fontId="11" fillId="3" borderId="0" xfId="2" applyNumberFormat="1" applyFont="1" applyFill="1" applyAlignment="1">
      <alignment horizontal="right" vertical="center"/>
    </xf>
    <xf numFmtId="3" fontId="11" fillId="3" borderId="5" xfId="2" applyNumberFormat="1" applyFont="1" applyFill="1" applyBorder="1" applyAlignment="1">
      <alignment horizontal="right" vertical="center"/>
    </xf>
    <xf numFmtId="3" fontId="11" fillId="3" borderId="5" xfId="3" applyNumberFormat="1" applyFont="1" applyFill="1" applyBorder="1" applyAlignment="1">
      <alignment horizontal="right" vertical="center"/>
    </xf>
    <xf numFmtId="3" fontId="11" fillId="3" borderId="38" xfId="2" applyNumberFormat="1" applyFont="1" applyFill="1" applyBorder="1" applyAlignment="1">
      <alignment horizontal="right" vertical="center"/>
    </xf>
    <xf numFmtId="164" fontId="32" fillId="2" borderId="8" xfId="2" applyFont="1" applyFill="1" applyBorder="1" applyAlignment="1">
      <alignment horizontal="center" vertical="center"/>
    </xf>
    <xf numFmtId="164" fontId="16" fillId="2" borderId="0" xfId="2" applyFont="1" applyFill="1" applyAlignment="1">
      <alignment horizontal="center" vertical="center" wrapText="1"/>
    </xf>
    <xf numFmtId="0" fontId="0" fillId="2" borderId="0" xfId="0" applyFill="1"/>
    <xf numFmtId="37" fontId="37" fillId="2" borderId="0" xfId="1" applyNumberFormat="1" applyFont="1" applyFill="1" applyAlignment="1">
      <alignment horizontal="right"/>
    </xf>
    <xf numFmtId="37" fontId="38" fillId="2" borderId="15" xfId="1" applyNumberFormat="1" applyFont="1" applyFill="1" applyBorder="1" applyAlignment="1">
      <alignment horizontal="right"/>
    </xf>
    <xf numFmtId="37" fontId="37" fillId="2" borderId="0" xfId="1" applyNumberFormat="1" applyFont="1" applyFill="1"/>
    <xf numFmtId="164" fontId="26" fillId="2" borderId="0" xfId="2" applyFont="1" applyFill="1" applyAlignment="1">
      <alignment vertical="center"/>
    </xf>
    <xf numFmtId="164" fontId="39" fillId="2" borderId="17" xfId="2" applyFont="1" applyFill="1" applyBorder="1" applyAlignment="1">
      <alignment horizontal="left" vertical="center"/>
    </xf>
    <xf numFmtId="164" fontId="39" fillId="2" borderId="18" xfId="2" applyFont="1" applyFill="1" applyBorder="1" applyAlignment="1">
      <alignment vertical="center"/>
    </xf>
    <xf numFmtId="164" fontId="29" fillId="2" borderId="18" xfId="2" applyFont="1" applyFill="1" applyBorder="1" applyAlignment="1">
      <alignment vertical="center"/>
    </xf>
    <xf numFmtId="164" fontId="22" fillId="2" borderId="1" xfId="2" applyFont="1" applyFill="1" applyBorder="1" applyAlignment="1">
      <alignment horizontal="center" vertical="center"/>
    </xf>
    <xf numFmtId="164" fontId="22" fillId="2" borderId="22" xfId="2" applyFont="1" applyFill="1" applyBorder="1" applyAlignment="1">
      <alignment vertical="center" wrapText="1"/>
    </xf>
    <xf numFmtId="164" fontId="23" fillId="2" borderId="5" xfId="2" applyFont="1" applyFill="1" applyBorder="1" applyAlignment="1">
      <alignment horizontal="left" vertical="center"/>
    </xf>
    <xf numFmtId="0" fontId="40" fillId="2" borderId="26" xfId="2" applyNumberFormat="1" applyFont="1" applyFill="1" applyBorder="1" applyAlignment="1">
      <alignment horizontal="center" vertical="center"/>
    </xf>
    <xf numFmtId="0" fontId="40" fillId="2" borderId="27" xfId="2" applyNumberFormat="1" applyFont="1" applyFill="1" applyBorder="1" applyAlignment="1">
      <alignment horizontal="center" vertical="center"/>
    </xf>
    <xf numFmtId="0" fontId="40" fillId="2" borderId="28" xfId="2" applyNumberFormat="1" applyFont="1" applyFill="1" applyBorder="1" applyAlignment="1">
      <alignment horizontal="center" vertical="center"/>
    </xf>
    <xf numFmtId="0" fontId="40" fillId="2" borderId="29" xfId="2" applyNumberFormat="1" applyFont="1" applyFill="1" applyBorder="1" applyAlignment="1">
      <alignment horizontal="center" vertical="center"/>
    </xf>
    <xf numFmtId="0" fontId="40" fillId="2" borderId="30" xfId="2" applyNumberFormat="1" applyFont="1" applyFill="1" applyBorder="1" applyAlignment="1">
      <alignment horizontal="center" vertical="center"/>
    </xf>
    <xf numFmtId="0" fontId="40" fillId="2" borderId="31" xfId="2" applyNumberFormat="1" applyFont="1" applyFill="1" applyBorder="1" applyAlignment="1">
      <alignment horizontal="center" vertical="center"/>
    </xf>
    <xf numFmtId="0" fontId="40" fillId="2" borderId="38" xfId="2" applyNumberFormat="1" applyFont="1" applyFill="1" applyBorder="1" applyAlignment="1">
      <alignment horizontal="center" vertical="center"/>
    </xf>
    <xf numFmtId="0" fontId="40" fillId="2" borderId="32" xfId="2" applyNumberFormat="1" applyFont="1" applyFill="1" applyBorder="1" applyAlignment="1">
      <alignment horizontal="center" vertical="center"/>
    </xf>
    <xf numFmtId="164" fontId="28" fillId="2" borderId="0" xfId="2" applyFont="1" applyFill="1" applyAlignment="1">
      <alignment horizontal="center" vertical="center"/>
    </xf>
    <xf numFmtId="164" fontId="24" fillId="2" borderId="1" xfId="2" applyFont="1" applyFill="1" applyBorder="1" applyAlignment="1">
      <alignment horizontal="left" vertical="center" indent="1"/>
    </xf>
    <xf numFmtId="164" fontId="24" fillId="2" borderId="5" xfId="2" applyFont="1" applyFill="1" applyBorder="1" applyAlignment="1">
      <alignment horizontal="left" vertical="center" indent="1"/>
    </xf>
    <xf numFmtId="37" fontId="38" fillId="2" borderId="0" xfId="1" applyNumberFormat="1" applyFont="1" applyFill="1" applyBorder="1" applyAlignment="1">
      <alignment horizontal="right"/>
    </xf>
    <xf numFmtId="37" fontId="37" fillId="2" borderId="0" xfId="1" applyNumberFormat="1" applyFont="1" applyFill="1" applyBorder="1" applyAlignment="1">
      <alignment horizontal="right"/>
    </xf>
    <xf numFmtId="37" fontId="4" fillId="2" borderId="0" xfId="1" applyNumberFormat="1" applyFont="1" applyFill="1"/>
    <xf numFmtId="0" fontId="38" fillId="2" borderId="0" xfId="16" applyFont="1" applyFill="1" applyAlignment="1">
      <alignment horizontal="center"/>
    </xf>
    <xf numFmtId="0" fontId="4" fillId="2" borderId="0" xfId="16" applyFill="1"/>
    <xf numFmtId="0" fontId="38" fillId="2" borderId="0" xfId="16" applyFont="1" applyFill="1"/>
    <xf numFmtId="0" fontId="38" fillId="2" borderId="0" xfId="16" applyFont="1" applyFill="1" applyAlignment="1">
      <alignment horizontal="center" vertical="center"/>
    </xf>
    <xf numFmtId="0" fontId="38" fillId="2" borderId="46" xfId="16" applyFont="1" applyFill="1" applyBorder="1" applyAlignment="1">
      <alignment horizontal="right"/>
    </xf>
    <xf numFmtId="0" fontId="38" fillId="2" borderId="45" xfId="16" applyFont="1" applyFill="1" applyBorder="1" applyAlignment="1">
      <alignment horizontal="right"/>
    </xf>
    <xf numFmtId="0" fontId="38" fillId="2" borderId="42" xfId="16" applyFont="1" applyFill="1" applyBorder="1" applyAlignment="1">
      <alignment horizontal="right"/>
    </xf>
    <xf numFmtId="0" fontId="38" fillId="2" borderId="0" xfId="16" applyFont="1" applyFill="1" applyAlignment="1">
      <alignment horizontal="right"/>
    </xf>
    <xf numFmtId="165" fontId="5" fillId="2" borderId="47" xfId="1" applyNumberFormat="1" applyFont="1" applyFill="1" applyBorder="1"/>
    <xf numFmtId="37" fontId="38" fillId="2" borderId="47" xfId="1" applyNumberFormat="1" applyFont="1" applyFill="1" applyBorder="1" applyAlignment="1">
      <alignment horizontal="right"/>
    </xf>
    <xf numFmtId="37" fontId="38" fillId="2" borderId="40" xfId="1" applyNumberFormat="1" applyFont="1" applyFill="1" applyBorder="1" applyAlignment="1">
      <alignment horizontal="right"/>
    </xf>
    <xf numFmtId="0" fontId="37" fillId="2" borderId="0" xfId="16" applyFont="1" applyFill="1"/>
    <xf numFmtId="37" fontId="37" fillId="2" borderId="46" xfId="1" applyNumberFormat="1" applyFont="1" applyFill="1" applyBorder="1" applyAlignment="1">
      <alignment horizontal="right"/>
    </xf>
    <xf numFmtId="17" fontId="37" fillId="2" borderId="0" xfId="16" applyNumberFormat="1" applyFont="1" applyFill="1"/>
    <xf numFmtId="2" fontId="37" fillId="2" borderId="0" xfId="16" applyNumberFormat="1" applyFont="1" applyFill="1"/>
    <xf numFmtId="168" fontId="37" fillId="2" borderId="0" xfId="16" applyNumberFormat="1" applyFont="1" applyFill="1" applyAlignment="1">
      <alignment horizontal="left" vertical="center" indent="1"/>
    </xf>
    <xf numFmtId="168" fontId="37" fillId="2" borderId="46" xfId="16" applyNumberFormat="1" applyFont="1" applyFill="1" applyBorder="1" applyAlignment="1">
      <alignment horizontal="left" vertical="center" indent="1"/>
    </xf>
    <xf numFmtId="37" fontId="37" fillId="2" borderId="44" xfId="1" applyNumberFormat="1" applyFont="1" applyFill="1" applyBorder="1" applyAlignment="1">
      <alignment horizontal="right"/>
    </xf>
    <xf numFmtId="37" fontId="37" fillId="2" borderId="41" xfId="1" applyNumberFormat="1" applyFont="1" applyFill="1" applyBorder="1" applyAlignment="1">
      <alignment horizontal="right"/>
    </xf>
    <xf numFmtId="37" fontId="37" fillId="2" borderId="44" xfId="1" applyNumberFormat="1" applyFont="1" applyFill="1" applyBorder="1"/>
    <xf numFmtId="37" fontId="37" fillId="2" borderId="41" xfId="1" applyNumberFormat="1" applyFont="1" applyFill="1" applyBorder="1"/>
    <xf numFmtId="37" fontId="37" fillId="2" borderId="45" xfId="1" applyNumberFormat="1" applyFont="1" applyFill="1" applyBorder="1" applyAlignment="1">
      <alignment horizontal="right"/>
    </xf>
    <xf numFmtId="37" fontId="37" fillId="2" borderId="42" xfId="1" applyNumberFormat="1" applyFont="1" applyFill="1" applyBorder="1" applyAlignment="1">
      <alignment horizontal="right"/>
    </xf>
    <xf numFmtId="164" fontId="16" fillId="2" borderId="0" xfId="2" applyFont="1" applyFill="1" applyAlignment="1">
      <alignment horizontal="center" vertical="center"/>
    </xf>
    <xf numFmtId="164" fontId="25" fillId="2" borderId="8" xfId="2" applyFont="1" applyFill="1" applyBorder="1" applyAlignment="1">
      <alignment horizontal="right" vertical="center"/>
    </xf>
    <xf numFmtId="164" fontId="25" fillId="2" borderId="38" xfId="2" applyFont="1" applyFill="1" applyBorder="1" applyAlignment="1">
      <alignment horizontal="right" vertical="center"/>
    </xf>
    <xf numFmtId="164" fontId="18" fillId="2" borderId="38" xfId="2" applyFont="1" applyFill="1" applyBorder="1" applyAlignment="1">
      <alignment horizontal="center" vertical="center" wrapText="1"/>
    </xf>
    <xf numFmtId="164" fontId="31" fillId="2" borderId="8" xfId="2" applyFont="1" applyFill="1" applyBorder="1" applyAlignment="1">
      <alignment horizontal="center" vertical="center"/>
    </xf>
    <xf numFmtId="164" fontId="26" fillId="2" borderId="0" xfId="2" applyFont="1" applyFill="1" applyAlignment="1">
      <alignment horizontal="center" vertical="center"/>
    </xf>
    <xf numFmtId="164" fontId="3" fillId="2" borderId="0" xfId="2" applyFont="1" applyFill="1" applyAlignment="1">
      <alignment horizontal="center" vertical="center"/>
    </xf>
    <xf numFmtId="164" fontId="9" fillId="2" borderId="8" xfId="2" applyFont="1" applyFill="1" applyBorder="1" applyAlignment="1">
      <alignment horizontal="left" vertical="center"/>
    </xf>
    <xf numFmtId="164" fontId="9" fillId="2" borderId="0" xfId="2" applyFont="1" applyFill="1" applyAlignment="1">
      <alignment horizontal="left" vertical="center"/>
    </xf>
    <xf numFmtId="164" fontId="9" fillId="2" borderId="38" xfId="2" applyFont="1" applyFill="1" applyBorder="1" applyAlignment="1">
      <alignment horizontal="left" vertical="center"/>
    </xf>
    <xf numFmtId="164" fontId="25" fillId="2" borderId="0" xfId="2" applyFont="1" applyFill="1" applyAlignment="1">
      <alignment horizontal="right" vertical="center"/>
    </xf>
    <xf numFmtId="164" fontId="9" fillId="2" borderId="17" xfId="2" applyFont="1" applyFill="1" applyBorder="1" applyAlignment="1">
      <alignment horizontal="left" vertical="center"/>
    </xf>
    <xf numFmtId="164" fontId="9" fillId="2" borderId="1" xfId="2" applyFont="1" applyFill="1" applyBorder="1" applyAlignment="1">
      <alignment horizontal="left" vertical="center"/>
    </xf>
    <xf numFmtId="164" fontId="9" fillId="2" borderId="5" xfId="2" applyFont="1" applyFill="1" applyBorder="1" applyAlignment="1">
      <alignment horizontal="left" vertical="center"/>
    </xf>
    <xf numFmtId="164" fontId="29" fillId="2" borderId="10" xfId="2" applyFont="1" applyFill="1" applyBorder="1" applyAlignment="1">
      <alignment horizontal="center" vertical="center"/>
    </xf>
    <xf numFmtId="164" fontId="29" fillId="2" borderId="18" xfId="2" applyFont="1" applyFill="1" applyBorder="1" applyAlignment="1">
      <alignment horizontal="center" vertical="center"/>
    </xf>
    <xf numFmtId="164" fontId="29" fillId="2" borderId="19" xfId="2" applyFont="1" applyFill="1" applyBorder="1" applyAlignment="1">
      <alignment horizontal="center" vertical="center"/>
    </xf>
    <xf numFmtId="164" fontId="29" fillId="2" borderId="15" xfId="2" applyFont="1" applyFill="1" applyBorder="1" applyAlignment="1">
      <alignment horizontal="center" vertical="center"/>
    </xf>
    <xf numFmtId="164" fontId="29" fillId="2" borderId="8" xfId="2" applyFont="1" applyFill="1" applyBorder="1" applyAlignment="1">
      <alignment horizontal="center" vertical="center"/>
    </xf>
    <xf numFmtId="164" fontId="32" fillId="2" borderId="15" xfId="2" applyFont="1" applyFill="1" applyBorder="1" applyAlignment="1">
      <alignment horizontal="center" vertical="center"/>
    </xf>
    <xf numFmtId="164" fontId="32" fillId="2" borderId="8" xfId="2" applyFont="1" applyFill="1" applyBorder="1" applyAlignment="1">
      <alignment horizontal="center" vertical="center"/>
    </xf>
    <xf numFmtId="0" fontId="25" fillId="2" borderId="9" xfId="5" applyFont="1" applyFill="1" applyBorder="1" applyAlignment="1">
      <alignment horizontal="right" vertical="center"/>
    </xf>
    <xf numFmtId="0" fontId="25" fillId="2" borderId="11" xfId="5" applyFont="1" applyFill="1" applyBorder="1" applyAlignment="1">
      <alignment horizontal="right" vertical="center"/>
    </xf>
    <xf numFmtId="0" fontId="25" fillId="2" borderId="12" xfId="5" applyFont="1" applyFill="1" applyBorder="1" applyAlignment="1">
      <alignment horizontal="right" vertical="center"/>
    </xf>
    <xf numFmtId="164" fontId="22" fillId="2" borderId="6" xfId="2" applyFont="1" applyFill="1" applyBorder="1" applyAlignment="1">
      <alignment horizontal="center" vertical="center" wrapText="1"/>
    </xf>
    <xf numFmtId="164" fontId="22" fillId="2" borderId="22" xfId="2" applyFont="1" applyFill="1" applyBorder="1" applyAlignment="1">
      <alignment horizontal="center" vertical="center" wrapText="1"/>
    </xf>
    <xf numFmtId="164" fontId="22" fillId="2" borderId="23" xfId="2" applyFont="1" applyFill="1" applyBorder="1" applyAlignment="1">
      <alignment horizontal="center" vertical="center" wrapText="1"/>
    </xf>
    <xf numFmtId="164" fontId="22" fillId="2" borderId="14" xfId="2" applyFont="1" applyFill="1" applyBorder="1" applyAlignment="1">
      <alignment horizontal="center" vertical="center" wrapText="1"/>
    </xf>
    <xf numFmtId="164" fontId="22" fillId="2" borderId="0" xfId="2" applyFont="1" applyFill="1" applyAlignment="1">
      <alignment horizontal="center" vertical="center" wrapText="1"/>
    </xf>
    <xf numFmtId="164" fontId="16" fillId="2" borderId="14" xfId="2" applyFont="1" applyFill="1" applyBorder="1" applyAlignment="1">
      <alignment horizontal="center" vertical="center" wrapText="1"/>
    </xf>
    <xf numFmtId="164" fontId="16" fillId="2" borderId="0" xfId="2" applyFont="1" applyFill="1" applyAlignment="1">
      <alignment horizontal="center" vertical="center" wrapText="1"/>
    </xf>
    <xf numFmtId="164" fontId="16" fillId="2" borderId="16" xfId="2" applyFont="1" applyFill="1" applyBorder="1" applyAlignment="1">
      <alignment horizontal="center" vertical="center" wrapText="1"/>
    </xf>
    <xf numFmtId="164" fontId="16" fillId="2" borderId="38" xfId="2" applyFont="1" applyFill="1" applyBorder="1" applyAlignment="1">
      <alignment horizontal="center" vertical="center" wrapText="1"/>
    </xf>
    <xf numFmtId="164" fontId="16" fillId="2" borderId="25" xfId="2" applyFont="1" applyFill="1" applyBorder="1" applyAlignment="1">
      <alignment horizontal="center" vertical="center" wrapText="1"/>
    </xf>
    <xf numFmtId="164" fontId="16" fillId="2" borderId="24" xfId="2" applyFont="1" applyFill="1" applyBorder="1" applyAlignment="1">
      <alignment horizontal="center" vertical="center" wrapText="1"/>
    </xf>
    <xf numFmtId="164" fontId="16" fillId="2" borderId="22" xfId="2" applyFont="1" applyFill="1" applyBorder="1" applyAlignment="1">
      <alignment horizontal="center" vertical="center" wrapText="1"/>
    </xf>
    <xf numFmtId="164" fontId="16" fillId="2" borderId="23" xfId="2" applyFont="1" applyFill="1" applyBorder="1" applyAlignment="1">
      <alignment horizontal="center" vertical="center" wrapText="1"/>
    </xf>
    <xf numFmtId="164" fontId="32" fillId="2" borderId="21" xfId="2" applyFont="1" applyFill="1" applyBorder="1" applyAlignment="1">
      <alignment horizontal="center" vertical="center"/>
    </xf>
    <xf numFmtId="164" fontId="32" fillId="2" borderId="20" xfId="2" applyFont="1" applyFill="1" applyBorder="1" applyAlignment="1">
      <alignment horizontal="center" vertical="center"/>
    </xf>
    <xf numFmtId="164" fontId="32" fillId="2" borderId="18" xfId="2" applyFont="1" applyFill="1" applyBorder="1" applyAlignment="1">
      <alignment horizontal="center" vertical="center"/>
    </xf>
    <xf numFmtId="164" fontId="32" fillId="2" borderId="19" xfId="2" applyFont="1" applyFill="1" applyBorder="1" applyAlignment="1">
      <alignment horizontal="center" vertical="center"/>
    </xf>
    <xf numFmtId="0" fontId="38" fillId="2" borderId="0" xfId="16" applyFont="1" applyFill="1" applyAlignment="1">
      <alignment horizontal="center"/>
    </xf>
    <xf numFmtId="0" fontId="38" fillId="2" borderId="47" xfId="16" applyFont="1" applyFill="1" applyBorder="1" applyAlignment="1">
      <alignment horizontal="center" vertical="center"/>
    </xf>
    <xf numFmtId="0" fontId="38" fillId="2" borderId="46" xfId="16" applyFont="1" applyFill="1" applyBorder="1" applyAlignment="1">
      <alignment horizontal="center" vertical="center"/>
    </xf>
    <xf numFmtId="0" fontId="38" fillId="2" borderId="47" xfId="16" applyFont="1" applyFill="1" applyBorder="1" applyAlignment="1">
      <alignment horizontal="right" vertical="center" wrapText="1"/>
    </xf>
    <xf numFmtId="0" fontId="38" fillId="2" borderId="46" xfId="16" applyFont="1" applyFill="1" applyBorder="1" applyAlignment="1">
      <alignment horizontal="right" vertical="center" wrapText="1"/>
    </xf>
    <xf numFmtId="0" fontId="38" fillId="2" borderId="48" xfId="16" applyFont="1" applyFill="1" applyBorder="1" applyAlignment="1">
      <alignment horizontal="center" vertical="center"/>
    </xf>
    <xf numFmtId="0" fontId="38" fillId="2" borderId="43" xfId="16" applyFont="1" applyFill="1" applyBorder="1" applyAlignment="1">
      <alignment horizontal="center" vertical="center"/>
    </xf>
    <xf numFmtId="0" fontId="38" fillId="2" borderId="39" xfId="16" applyFont="1" applyFill="1" applyBorder="1" applyAlignment="1">
      <alignment horizontal="center" vertical="center"/>
    </xf>
    <xf numFmtId="0" fontId="41" fillId="2" borderId="0" xfId="16" applyFont="1" applyFill="1" applyAlignment="1">
      <alignment horizontal="center"/>
    </xf>
  </cellXfs>
  <cellStyles count="23">
    <cellStyle name="1" xfId="15" xr:uid="{00000000-0005-0000-0000-000000000000}"/>
    <cellStyle name="Comma" xfId="1" builtinId="3"/>
    <cellStyle name="Comma 2" xfId="3" xr:uid="{00000000-0005-0000-0000-000002000000}"/>
    <cellStyle name="Comma 2 2" xfId="18" xr:uid="{48E8CCD3-C770-4AB0-8A19-B38BE3FD4A18}"/>
    <cellStyle name="Comma 3" xfId="14" xr:uid="{00000000-0005-0000-0000-000003000000}"/>
    <cellStyle name="Comma 4" xfId="8" xr:uid="{00000000-0005-0000-0000-000004000000}"/>
    <cellStyle name="Comma 4 2" xfId="19" xr:uid="{8F34C6FB-390F-4F5A-AB5F-93E3E739AA91}"/>
    <cellStyle name="Hyperlink 2" xfId="9" xr:uid="{00000000-0005-0000-0000-000005000000}"/>
    <cellStyle name="Normal" xfId="0" builtinId="0"/>
    <cellStyle name="Normal 2" xfId="2" xr:uid="{00000000-0005-0000-0000-000007000000}"/>
    <cellStyle name="Normal 2 2" xfId="20" xr:uid="{8E367283-515D-4612-BAC4-236186BD41B3}"/>
    <cellStyle name="Normal 2 3" xfId="11" xr:uid="{00000000-0005-0000-0000-000008000000}"/>
    <cellStyle name="Normal 3" xfId="6" xr:uid="{00000000-0005-0000-0000-000009000000}"/>
    <cellStyle name="Normal 3 2" xfId="12" xr:uid="{00000000-0005-0000-0000-00000A000000}"/>
    <cellStyle name="Normal 3 3" xfId="21" xr:uid="{49517F84-42EB-42C6-BF6E-68456CE66A1A}"/>
    <cellStyle name="Normal 4" xfId="7" xr:uid="{00000000-0005-0000-0000-00000B000000}"/>
    <cellStyle name="Normal 4 2" xfId="22" xr:uid="{B993CCAE-6F7A-4757-8F79-DA782D7FF014}"/>
    <cellStyle name="Normal 5" xfId="10" xr:uid="{00000000-0005-0000-0000-00000C000000}"/>
    <cellStyle name="Normal 6" xfId="13" xr:uid="{00000000-0005-0000-0000-00000D000000}"/>
    <cellStyle name="Normal 6 2" xfId="16" xr:uid="{0F4CAA6B-809C-4AB7-8802-87F8F4DEEF07}"/>
    <cellStyle name="Normal_IX-6(Trans &amp; Comm)" xfId="4" xr:uid="{00000000-0005-0000-0000-00000E000000}"/>
    <cellStyle name="Normal_X-5 (Electricity)" xfId="5" xr:uid="{00000000-0005-0000-0000-000012000000}"/>
    <cellStyle name="Percent 2" xfId="17" xr:uid="{E7FD0333-C679-428A-ADF6-79FC8E3774E4}"/>
  </cellStyles>
  <dxfs count="0"/>
  <tableStyles count="0" defaultTableStyle="TableStyleMedium2" defaultPivotStyle="PivotStyleLight16"/>
  <colors>
    <mruColors>
      <color rgb="FF33CCCC"/>
      <color rgb="FF249390"/>
      <color rgb="FF196563"/>
      <color rgb="FF57B7FF"/>
      <color rgb="FFFF9900"/>
      <color rgb="FFEAFAFA"/>
      <color rgb="FFCF9F6F"/>
      <color rgb="FF996633"/>
      <color rgb="FFC28446"/>
      <color rgb="FF66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/>
          <a:lstStyle/>
          <a:p>
            <a:pPr>
              <a:defRPr sz="1100">
                <a:latin typeface="Consolas" pitchFamily="49" charset="0"/>
                <a:cs typeface="Consolas" pitchFamily="49" charset="0"/>
              </a:defRPr>
            </a:pPr>
            <a:r>
              <a:rPr lang="en-US" sz="1100">
                <a:latin typeface="Consolas" pitchFamily="49" charset="0"/>
                <a:cs typeface="Consolas" pitchFamily="49" charset="0"/>
              </a:rPr>
              <a:t>Figure 11.10: Passanger movement at Domestic airports, 2019</a:t>
            </a:r>
          </a:p>
        </c:rich>
      </c:tx>
      <c:layout>
        <c:manualLayout>
          <c:xMode val="edge"/>
          <c:yMode val="edge"/>
          <c:x val="0.26093412785515935"/>
          <c:y val="4.367609343924457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8.1035039001789891E-2"/>
          <c:y val="0.15175900044906082"/>
          <c:w val="0.89363709798202262"/>
          <c:h val="0.7305387596737421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'11.15'!$AP$21</c:f>
              <c:strCache>
                <c:ptCount val="1"/>
                <c:pt idx="0">
                  <c:v>In</c:v>
                </c:pt>
              </c:strCache>
            </c:strRef>
          </c:tx>
          <c:spPr>
            <a:solidFill>
              <a:srgbClr val="9A4D00"/>
            </a:solidFill>
          </c:spPr>
          <c:invertIfNegative val="0"/>
          <c:cat>
            <c:strRef>
              <c:f>'11.15'!$AO$22:$AO$30</c:f>
              <c:strCache>
                <c:ptCount val="9"/>
                <c:pt idx="0">
                  <c:v> L.Kadhdhoo </c:v>
                </c:pt>
                <c:pt idx="1">
                  <c:v> GDh.Kaadedhdhoo </c:v>
                </c:pt>
                <c:pt idx="2">
                  <c:v>Gn.Fuvahmulah </c:v>
                </c:pt>
                <c:pt idx="3">
                  <c:v>ADh.Maamigili</c:v>
                </c:pt>
                <c:pt idx="4">
                  <c:v>B.Dharavandhoo</c:v>
                </c:pt>
                <c:pt idx="5">
                  <c:v>GA. Koodoo</c:v>
                </c:pt>
                <c:pt idx="6">
                  <c:v>THA. Thimarafushi  </c:v>
                </c:pt>
                <c:pt idx="7">
                  <c:v>R.Ifuru  </c:v>
                </c:pt>
                <c:pt idx="8">
                  <c:v>Dh.kudahuvadhoo</c:v>
                </c:pt>
              </c:strCache>
            </c:strRef>
          </c:cat>
          <c:val>
            <c:numRef>
              <c:f>'11.15'!$AP$22:$AP$30</c:f>
              <c:numCache>
                <c:formatCode>General_)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DF-4A8D-B6BC-32BD3BA19818}"/>
            </c:ext>
          </c:extLst>
        </c:ser>
        <c:ser>
          <c:idx val="1"/>
          <c:order val="1"/>
          <c:tx>
            <c:strRef>
              <c:f>'11.15'!$AQ$21</c:f>
              <c:strCache>
                <c:ptCount val="1"/>
                <c:pt idx="0">
                  <c:v>Out</c:v>
                </c:pt>
              </c:strCache>
            </c:strRef>
          </c:tx>
          <c:spPr>
            <a:solidFill>
              <a:srgbClr val="CF9F6F"/>
            </a:solidFill>
          </c:spPr>
          <c:invertIfNegative val="0"/>
          <c:cat>
            <c:strRef>
              <c:f>'11.15'!$AO$22:$AO$30</c:f>
              <c:strCache>
                <c:ptCount val="9"/>
                <c:pt idx="0">
                  <c:v> L.Kadhdhoo </c:v>
                </c:pt>
                <c:pt idx="1">
                  <c:v> GDh.Kaadedhdhoo </c:v>
                </c:pt>
                <c:pt idx="2">
                  <c:v>Gn.Fuvahmulah </c:v>
                </c:pt>
                <c:pt idx="3">
                  <c:v>ADh.Maamigili</c:v>
                </c:pt>
                <c:pt idx="4">
                  <c:v>B.Dharavandhoo</c:v>
                </c:pt>
                <c:pt idx="5">
                  <c:v>GA. Koodoo</c:v>
                </c:pt>
                <c:pt idx="6">
                  <c:v>THA. Thimarafushi  </c:v>
                </c:pt>
                <c:pt idx="7">
                  <c:v>R.Ifuru  </c:v>
                </c:pt>
                <c:pt idx="8">
                  <c:v>Dh.kudahuvadhoo</c:v>
                </c:pt>
              </c:strCache>
            </c:strRef>
          </c:cat>
          <c:val>
            <c:numRef>
              <c:f>'11.15'!$AQ$22:$AQ$30</c:f>
              <c:numCache>
                <c:formatCode>General_)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5DF-4A8D-B6BC-32BD3BA198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2981960"/>
        <c:axId val="412978432"/>
      </c:barChart>
      <c:catAx>
        <c:axId val="4129819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/>
            </a:pPr>
            <a:endParaRPr lang="en-US"/>
          </a:p>
        </c:txPr>
        <c:crossAx val="412978432"/>
        <c:crosses val="autoZero"/>
        <c:auto val="1"/>
        <c:lblAlgn val="ctr"/>
        <c:lblOffset val="100"/>
        <c:noMultiLvlLbl val="0"/>
      </c:catAx>
      <c:valAx>
        <c:axId val="412978432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7.1291299536675387E-3"/>
              <c:y val="0.35576828461749022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1000"/>
            </a:pPr>
            <a:endParaRPr lang="en-US"/>
          </a:p>
        </c:txPr>
        <c:crossAx val="412981960"/>
        <c:crosses val="autoZero"/>
        <c:crossBetween val="between"/>
      </c:valAx>
      <c:spPr>
        <a:ln>
          <a:solidFill>
            <a:schemeClr val="bg1">
              <a:lumMod val="7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7486452562396716"/>
          <c:y val="0.227916852781404"/>
          <c:w val="0.14073558596968916"/>
          <c:h val="9.5300486094918216E-2"/>
        </c:manualLayout>
      </c:layout>
      <c:overlay val="1"/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278" l="0.70000000000000062" r="0.70000000000000062" t="0.75000000000000278" header="0.30000000000000032" footer="0.30000000000000032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21</xdr:row>
      <xdr:rowOff>0</xdr:rowOff>
    </xdr:from>
    <xdr:to>
      <xdr:col>22</xdr:col>
      <xdr:colOff>581025</xdr:colOff>
      <xdr:row>37</xdr:row>
      <xdr:rowOff>123825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:CB60"/>
  <sheetViews>
    <sheetView zoomScaleNormal="100" workbookViewId="0">
      <selection activeCell="A2" sqref="A2:AB2"/>
    </sheetView>
  </sheetViews>
  <sheetFormatPr defaultColWidth="9.140625" defaultRowHeight="15"/>
  <cols>
    <col min="1" max="3" width="12.5703125" style="1" customWidth="1"/>
    <col min="4" max="4" width="2.42578125" style="1" customWidth="1"/>
    <col min="5" max="6" width="12.5703125" style="1" customWidth="1"/>
    <col min="7" max="7" width="2" style="1" customWidth="1"/>
    <col min="8" max="9" width="12.5703125" style="1" customWidth="1"/>
    <col min="10" max="10" width="2.28515625" style="1" customWidth="1"/>
    <col min="11" max="12" width="12.5703125" style="1" customWidth="1"/>
    <col min="13" max="13" width="2.28515625" style="1" customWidth="1"/>
    <col min="14" max="15" width="12.5703125" style="1" customWidth="1"/>
    <col min="16" max="16" width="1.28515625" style="1" customWidth="1"/>
    <col min="17" max="17" width="9.7109375" style="1" customWidth="1"/>
    <col min="18" max="18" width="11.140625" style="1" customWidth="1"/>
    <col min="19" max="19" width="1.28515625" style="1" customWidth="1"/>
    <col min="20" max="20" width="9.7109375" style="1" customWidth="1"/>
    <col min="21" max="21" width="11.140625" style="1" customWidth="1"/>
    <col min="22" max="22" width="1.28515625" style="1" customWidth="1"/>
    <col min="23" max="23" width="9.7109375" style="1" customWidth="1"/>
    <col min="24" max="24" width="11.140625" style="1" customWidth="1"/>
    <col min="25" max="25" width="1.28515625" style="1" customWidth="1"/>
    <col min="26" max="27" width="9.7109375" style="1" customWidth="1"/>
    <col min="28" max="28" width="13.7109375" style="1" customWidth="1"/>
    <col min="29" max="40" width="9.140625" style="1"/>
    <col min="41" max="41" width="25.7109375" style="1" customWidth="1"/>
    <col min="42" max="16384" width="9.140625" style="1"/>
  </cols>
  <sheetData>
    <row r="1" spans="1:29" ht="18">
      <c r="A1" s="130" t="s">
        <v>62</v>
      </c>
      <c r="B1" s="130"/>
      <c r="C1" s="130"/>
      <c r="D1" s="130"/>
      <c r="E1" s="130"/>
      <c r="F1" s="130"/>
      <c r="G1" s="130"/>
      <c r="H1" s="130"/>
      <c r="I1" s="130"/>
      <c r="J1" s="130"/>
      <c r="K1" s="130"/>
      <c r="L1" s="130"/>
      <c r="M1" s="130"/>
      <c r="N1" s="130"/>
      <c r="O1" s="130"/>
      <c r="P1" s="130"/>
      <c r="Q1" s="130"/>
      <c r="R1" s="130"/>
      <c r="S1" s="130"/>
      <c r="T1" s="130"/>
      <c r="U1" s="130"/>
      <c r="V1" s="130"/>
      <c r="W1" s="130"/>
      <c r="X1" s="130"/>
      <c r="Y1" s="130"/>
      <c r="Z1" s="130"/>
      <c r="AA1" s="130"/>
      <c r="AB1" s="130"/>
    </row>
    <row r="2" spans="1:29" ht="15.75">
      <c r="A2" s="131" t="s">
        <v>63</v>
      </c>
      <c r="B2" s="131"/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  <c r="N2" s="131"/>
      <c r="O2" s="131"/>
      <c r="P2" s="131"/>
      <c r="Q2" s="131"/>
      <c r="R2" s="131"/>
      <c r="S2" s="131"/>
      <c r="T2" s="131"/>
      <c r="U2" s="131"/>
      <c r="V2" s="131"/>
      <c r="W2" s="131"/>
      <c r="X2" s="131"/>
      <c r="Y2" s="131"/>
      <c r="Z2" s="131"/>
      <c r="AA2" s="131"/>
      <c r="AB2" s="131"/>
    </row>
    <row r="4" spans="1:29" s="10" customFormat="1" ht="19.5">
      <c r="A4" s="132" t="s">
        <v>8</v>
      </c>
      <c r="B4" s="129" t="s">
        <v>34</v>
      </c>
      <c r="C4" s="129"/>
      <c r="D4" s="62"/>
      <c r="E4" s="129" t="s">
        <v>35</v>
      </c>
      <c r="F4" s="129"/>
      <c r="G4" s="62"/>
      <c r="H4" s="129" t="s">
        <v>36</v>
      </c>
      <c r="I4" s="129"/>
      <c r="J4" s="62"/>
      <c r="K4" s="129" t="s">
        <v>37</v>
      </c>
      <c r="L4" s="129"/>
      <c r="M4" s="62"/>
      <c r="N4" s="129" t="s">
        <v>38</v>
      </c>
      <c r="O4" s="129"/>
      <c r="P4" s="62"/>
      <c r="Q4" s="129" t="s">
        <v>39</v>
      </c>
      <c r="R4" s="129"/>
      <c r="S4" s="62"/>
      <c r="T4" s="129" t="s">
        <v>40</v>
      </c>
      <c r="U4" s="129"/>
      <c r="V4" s="62"/>
      <c r="W4" s="129" t="s">
        <v>41</v>
      </c>
      <c r="X4" s="129"/>
      <c r="Y4" s="62"/>
      <c r="Z4" s="129" t="s">
        <v>42</v>
      </c>
      <c r="AA4" s="129"/>
      <c r="AB4" s="126" t="s">
        <v>9</v>
      </c>
    </row>
    <row r="5" spans="1:29" s="14" customFormat="1" ht="15" customHeight="1">
      <c r="A5" s="133"/>
      <c r="B5" s="128" t="s">
        <v>43</v>
      </c>
      <c r="C5" s="128"/>
      <c r="D5" s="13"/>
      <c r="E5" s="128" t="s">
        <v>44</v>
      </c>
      <c r="F5" s="128"/>
      <c r="G5" s="13"/>
      <c r="H5" s="128" t="s">
        <v>45</v>
      </c>
      <c r="I5" s="128"/>
      <c r="J5" s="13"/>
      <c r="K5" s="128" t="s">
        <v>46</v>
      </c>
      <c r="L5" s="128"/>
      <c r="M5" s="13"/>
      <c r="N5" s="128" t="s">
        <v>47</v>
      </c>
      <c r="O5" s="128"/>
      <c r="P5" s="13"/>
      <c r="Q5" s="128" t="s">
        <v>48</v>
      </c>
      <c r="R5" s="128"/>
      <c r="S5" s="13"/>
      <c r="T5" s="128" t="s">
        <v>49</v>
      </c>
      <c r="U5" s="128"/>
      <c r="V5" s="13"/>
      <c r="W5" s="128" t="s">
        <v>50</v>
      </c>
      <c r="X5" s="128"/>
      <c r="Y5" s="13"/>
      <c r="Z5" s="128" t="s">
        <v>51</v>
      </c>
      <c r="AA5" s="128"/>
      <c r="AB5" s="135"/>
      <c r="AC5" s="2"/>
    </row>
    <row r="6" spans="1:29" s="58" customFormat="1" ht="14.25">
      <c r="A6" s="133"/>
      <c r="B6" s="53" t="s">
        <v>0</v>
      </c>
      <c r="C6" s="53" t="s">
        <v>1</v>
      </c>
      <c r="D6" s="53"/>
      <c r="E6" s="53" t="s">
        <v>0</v>
      </c>
      <c r="F6" s="53" t="s">
        <v>1</v>
      </c>
      <c r="G6" s="53"/>
      <c r="H6" s="53" t="s">
        <v>0</v>
      </c>
      <c r="I6" s="53" t="s">
        <v>1</v>
      </c>
      <c r="J6" s="53"/>
      <c r="K6" s="53" t="s">
        <v>0</v>
      </c>
      <c r="L6" s="53" t="s">
        <v>1</v>
      </c>
      <c r="M6" s="53"/>
      <c r="N6" s="53" t="s">
        <v>0</v>
      </c>
      <c r="O6" s="53" t="s">
        <v>1</v>
      </c>
      <c r="P6" s="53"/>
      <c r="Q6" s="53" t="s">
        <v>0</v>
      </c>
      <c r="R6" s="53" t="s">
        <v>1</v>
      </c>
      <c r="S6" s="53"/>
      <c r="T6" s="53" t="s">
        <v>0</v>
      </c>
      <c r="U6" s="53" t="s">
        <v>1</v>
      </c>
      <c r="V6" s="53"/>
      <c r="W6" s="53" t="s">
        <v>0</v>
      </c>
      <c r="X6" s="53" t="s">
        <v>1</v>
      </c>
      <c r="Y6" s="53"/>
      <c r="Z6" s="53" t="s">
        <v>0</v>
      </c>
      <c r="AA6" s="53" t="s">
        <v>1</v>
      </c>
      <c r="AB6" s="135"/>
    </row>
    <row r="7" spans="1:29" s="14" customFormat="1" ht="14.25">
      <c r="A7" s="134"/>
      <c r="B7" s="55" t="s">
        <v>2</v>
      </c>
      <c r="C7" s="55" t="s">
        <v>3</v>
      </c>
      <c r="D7" s="55"/>
      <c r="E7" s="55" t="s">
        <v>2</v>
      </c>
      <c r="F7" s="55" t="s">
        <v>3</v>
      </c>
      <c r="G7" s="55"/>
      <c r="H7" s="55" t="s">
        <v>2</v>
      </c>
      <c r="I7" s="55" t="s">
        <v>3</v>
      </c>
      <c r="J7" s="55"/>
      <c r="K7" s="55" t="s">
        <v>2</v>
      </c>
      <c r="L7" s="55" t="s">
        <v>3</v>
      </c>
      <c r="M7" s="55"/>
      <c r="N7" s="55" t="s">
        <v>2</v>
      </c>
      <c r="O7" s="55" t="s">
        <v>3</v>
      </c>
      <c r="P7" s="55"/>
      <c r="Q7" s="55" t="s">
        <v>2</v>
      </c>
      <c r="R7" s="55" t="s">
        <v>3</v>
      </c>
      <c r="S7" s="55"/>
      <c r="T7" s="55" t="s">
        <v>2</v>
      </c>
      <c r="U7" s="55" t="s">
        <v>3</v>
      </c>
      <c r="V7" s="55"/>
      <c r="W7" s="55" t="s">
        <v>2</v>
      </c>
      <c r="X7" s="55" t="s">
        <v>3</v>
      </c>
      <c r="Y7" s="55"/>
      <c r="Z7" s="55" t="s">
        <v>2</v>
      </c>
      <c r="AA7" s="55" t="s">
        <v>3</v>
      </c>
      <c r="AB7" s="127"/>
    </row>
    <row r="8" spans="1:29" s="10" customFormat="1" ht="15.75">
      <c r="A8" s="4" t="s">
        <v>4</v>
      </c>
      <c r="B8" s="15">
        <f>SUM(B9:B20)</f>
        <v>0</v>
      </c>
      <c r="C8" s="15">
        <f>SUM(C9:C20)</f>
        <v>0</v>
      </c>
      <c r="D8" s="15"/>
      <c r="E8" s="15">
        <f>SUM(E9:E20)</f>
        <v>0</v>
      </c>
      <c r="F8" s="15">
        <f>SUM(F9:F20)</f>
        <v>0</v>
      </c>
      <c r="G8" s="15"/>
      <c r="H8" s="15">
        <f>SUM(H9:H20)</f>
        <v>0</v>
      </c>
      <c r="I8" s="15">
        <f>SUM(I9:I20)</f>
        <v>0</v>
      </c>
      <c r="J8" s="15"/>
      <c r="K8" s="15">
        <f>SUM(K9:K20)</f>
        <v>0</v>
      </c>
      <c r="L8" s="15">
        <f>SUM(L9:L20)</f>
        <v>0</v>
      </c>
      <c r="M8" s="15"/>
      <c r="N8" s="15">
        <f>SUM(N9:N20)</f>
        <v>0</v>
      </c>
      <c r="O8" s="15">
        <f>SUM(O9:O20)</f>
        <v>0</v>
      </c>
      <c r="P8" s="15"/>
      <c r="Q8" s="15">
        <f>SUM(Q9:Q20)</f>
        <v>0</v>
      </c>
      <c r="R8" s="15">
        <f>SUM(R9:R20)</f>
        <v>0</v>
      </c>
      <c r="S8" s="15"/>
      <c r="T8" s="15">
        <f>SUM(T9:T20)</f>
        <v>0</v>
      </c>
      <c r="U8" s="15">
        <f>SUM(U9:U20)</f>
        <v>0</v>
      </c>
      <c r="V8" s="15"/>
      <c r="W8" s="15">
        <f>SUM(W9:W20)</f>
        <v>0</v>
      </c>
      <c r="X8" s="15">
        <f>SUM(X9:X20)</f>
        <v>0</v>
      </c>
      <c r="Y8" s="16"/>
      <c r="Z8" s="15">
        <f>SUM(Z9:Z20)</f>
        <v>0</v>
      </c>
      <c r="AA8" s="15">
        <f>SUM(AA9:AA20)</f>
        <v>0</v>
      </c>
      <c r="AB8" s="57" t="s">
        <v>5</v>
      </c>
    </row>
    <row r="9" spans="1:29" s="10" customFormat="1" ht="15.75">
      <c r="A9" s="5" t="s">
        <v>10</v>
      </c>
      <c r="B9" s="69"/>
      <c r="C9" s="69"/>
      <c r="D9" s="69"/>
      <c r="E9" s="70"/>
      <c r="F9" s="70"/>
      <c r="G9" s="70"/>
      <c r="H9" s="69"/>
      <c r="I9" s="69"/>
      <c r="J9" s="69"/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69"/>
      <c r="X9" s="69"/>
      <c r="Y9" s="71"/>
      <c r="Z9" s="71"/>
      <c r="AA9" s="71"/>
      <c r="AB9" s="59" t="s">
        <v>11</v>
      </c>
    </row>
    <row r="10" spans="1:29" s="10" customFormat="1" ht="15.75">
      <c r="A10" s="5" t="s">
        <v>12</v>
      </c>
      <c r="B10" s="69"/>
      <c r="C10" s="69"/>
      <c r="D10" s="69"/>
      <c r="E10" s="70"/>
      <c r="F10" s="70"/>
      <c r="G10" s="70"/>
      <c r="H10" s="69"/>
      <c r="I10" s="69"/>
      <c r="J10" s="69"/>
      <c r="K10" s="69"/>
      <c r="L10" s="69"/>
      <c r="M10" s="69"/>
      <c r="N10" s="69"/>
      <c r="O10" s="69"/>
      <c r="P10" s="69"/>
      <c r="Q10" s="69"/>
      <c r="R10" s="69"/>
      <c r="S10" s="69"/>
      <c r="T10" s="69"/>
      <c r="U10" s="69"/>
      <c r="V10" s="69"/>
      <c r="W10" s="69"/>
      <c r="X10" s="69"/>
      <c r="Y10" s="71"/>
      <c r="Z10" s="71"/>
      <c r="AA10" s="71"/>
      <c r="AB10" s="59" t="s">
        <v>13</v>
      </c>
    </row>
    <row r="11" spans="1:29" s="10" customFormat="1" ht="15.75">
      <c r="A11" s="5" t="s">
        <v>14</v>
      </c>
      <c r="B11" s="69"/>
      <c r="C11" s="69"/>
      <c r="D11" s="69"/>
      <c r="E11" s="70"/>
      <c r="F11" s="70"/>
      <c r="G11" s="70"/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X11" s="69"/>
      <c r="Y11" s="71"/>
      <c r="Z11" s="71"/>
      <c r="AA11" s="71"/>
      <c r="AB11" s="59" t="s">
        <v>15</v>
      </c>
    </row>
    <row r="12" spans="1:29" s="10" customFormat="1" ht="15.75">
      <c r="A12" s="5" t="s">
        <v>16</v>
      </c>
      <c r="B12" s="69"/>
      <c r="C12" s="69"/>
      <c r="D12" s="69"/>
      <c r="E12" s="70"/>
      <c r="F12" s="70"/>
      <c r="G12" s="70"/>
      <c r="H12" s="69"/>
      <c r="I12" s="69"/>
      <c r="J12" s="69"/>
      <c r="K12" s="69"/>
      <c r="L12" s="69"/>
      <c r="M12" s="69"/>
      <c r="N12" s="69"/>
      <c r="O12" s="69"/>
      <c r="P12" s="69"/>
      <c r="Q12" s="69"/>
      <c r="R12" s="69"/>
      <c r="S12" s="69"/>
      <c r="T12" s="69"/>
      <c r="U12" s="69"/>
      <c r="V12" s="69"/>
      <c r="W12" s="69"/>
      <c r="X12" s="69"/>
      <c r="Y12" s="71"/>
      <c r="Z12" s="71"/>
      <c r="AA12" s="71"/>
      <c r="AB12" s="59" t="s">
        <v>17</v>
      </c>
    </row>
    <row r="13" spans="1:29" s="10" customFormat="1" ht="15.75">
      <c r="A13" s="5" t="s">
        <v>18</v>
      </c>
      <c r="B13" s="69"/>
      <c r="C13" s="69"/>
      <c r="D13" s="69"/>
      <c r="E13" s="70"/>
      <c r="F13" s="70"/>
      <c r="G13" s="70"/>
      <c r="H13" s="69"/>
      <c r="I13" s="69"/>
      <c r="J13" s="69"/>
      <c r="K13" s="69"/>
      <c r="L13" s="69"/>
      <c r="M13" s="69"/>
      <c r="N13" s="69"/>
      <c r="O13" s="69"/>
      <c r="P13" s="69"/>
      <c r="Q13" s="69"/>
      <c r="R13" s="69"/>
      <c r="S13" s="69"/>
      <c r="T13" s="69"/>
      <c r="U13" s="69"/>
      <c r="V13" s="69"/>
      <c r="W13" s="69"/>
      <c r="X13" s="69"/>
      <c r="Y13" s="71"/>
      <c r="Z13" s="71"/>
      <c r="AA13" s="71"/>
      <c r="AB13" s="59" t="s">
        <v>19</v>
      </c>
    </row>
    <row r="14" spans="1:29" s="10" customFormat="1" ht="15.75">
      <c r="A14" s="5" t="s">
        <v>20</v>
      </c>
      <c r="B14" s="69"/>
      <c r="C14" s="69"/>
      <c r="D14" s="69"/>
      <c r="E14" s="70"/>
      <c r="F14" s="70"/>
      <c r="G14" s="70"/>
      <c r="H14" s="69"/>
      <c r="I14" s="69"/>
      <c r="J14" s="69"/>
      <c r="K14" s="69"/>
      <c r="L14" s="69"/>
      <c r="M14" s="69"/>
      <c r="N14" s="69"/>
      <c r="O14" s="69"/>
      <c r="P14" s="69"/>
      <c r="Q14" s="69"/>
      <c r="R14" s="69"/>
      <c r="S14" s="69"/>
      <c r="T14" s="69"/>
      <c r="U14" s="69"/>
      <c r="V14" s="69"/>
      <c r="W14" s="69"/>
      <c r="X14" s="69"/>
      <c r="Y14" s="71"/>
      <c r="Z14" s="71"/>
      <c r="AA14" s="71"/>
      <c r="AB14" s="59" t="s">
        <v>21</v>
      </c>
    </row>
    <row r="15" spans="1:29" s="10" customFormat="1" ht="15.75">
      <c r="A15" s="5" t="s">
        <v>22</v>
      </c>
      <c r="B15" s="69"/>
      <c r="C15" s="69"/>
      <c r="D15" s="69"/>
      <c r="E15" s="70"/>
      <c r="F15" s="70"/>
      <c r="G15" s="70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71"/>
      <c r="Z15" s="71"/>
      <c r="AA15" s="71"/>
      <c r="AB15" s="59" t="s">
        <v>23</v>
      </c>
    </row>
    <row r="16" spans="1:29" s="10" customFormat="1" ht="15.75">
      <c r="A16" s="5" t="s">
        <v>24</v>
      </c>
      <c r="B16" s="69"/>
      <c r="C16" s="69"/>
      <c r="D16" s="69"/>
      <c r="E16" s="70"/>
      <c r="F16" s="70"/>
      <c r="G16" s="70"/>
      <c r="H16" s="69"/>
      <c r="I16" s="69"/>
      <c r="J16" s="69"/>
      <c r="K16" s="69"/>
      <c r="L16" s="69"/>
      <c r="M16" s="69"/>
      <c r="N16" s="69"/>
      <c r="O16" s="69"/>
      <c r="P16" s="69"/>
      <c r="Q16" s="69"/>
      <c r="R16" s="69"/>
      <c r="S16" s="69"/>
      <c r="T16" s="69"/>
      <c r="U16" s="69"/>
      <c r="V16" s="69"/>
      <c r="W16" s="69"/>
      <c r="X16" s="69"/>
      <c r="Y16" s="71"/>
      <c r="Z16" s="71"/>
      <c r="AA16" s="71"/>
      <c r="AB16" s="59" t="s">
        <v>25</v>
      </c>
    </row>
    <row r="17" spans="1:44" s="10" customFormat="1" ht="15.75">
      <c r="A17" s="5" t="s">
        <v>26</v>
      </c>
      <c r="B17" s="69"/>
      <c r="C17" s="69"/>
      <c r="D17" s="69"/>
      <c r="E17" s="70"/>
      <c r="F17" s="70"/>
      <c r="G17" s="70"/>
      <c r="H17" s="69"/>
      <c r="I17" s="69"/>
      <c r="J17" s="69"/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X17" s="69"/>
      <c r="Y17" s="71"/>
      <c r="Z17" s="71"/>
      <c r="AA17" s="71"/>
      <c r="AB17" s="59" t="s">
        <v>27</v>
      </c>
    </row>
    <row r="18" spans="1:44" s="10" customFormat="1" ht="15.75">
      <c r="A18" s="5" t="s">
        <v>28</v>
      </c>
      <c r="B18" s="69"/>
      <c r="C18" s="69"/>
      <c r="D18" s="69"/>
      <c r="E18" s="70"/>
      <c r="F18" s="70"/>
      <c r="G18" s="70"/>
      <c r="H18" s="69"/>
      <c r="I18" s="69"/>
      <c r="J18" s="69"/>
      <c r="K18" s="69"/>
      <c r="L18" s="69"/>
      <c r="M18" s="69"/>
      <c r="N18" s="69"/>
      <c r="O18" s="69"/>
      <c r="P18" s="69"/>
      <c r="Q18" s="69"/>
      <c r="R18" s="69"/>
      <c r="S18" s="69"/>
      <c r="T18" s="69"/>
      <c r="U18" s="69"/>
      <c r="V18" s="69"/>
      <c r="W18" s="69"/>
      <c r="X18" s="69"/>
      <c r="Y18" s="71"/>
      <c r="Z18" s="71"/>
      <c r="AA18" s="71"/>
      <c r="AB18" s="59" t="s">
        <v>29</v>
      </c>
    </row>
    <row r="19" spans="1:44" s="10" customFormat="1" ht="15.75">
      <c r="A19" s="5" t="s">
        <v>30</v>
      </c>
      <c r="B19" s="69"/>
      <c r="C19" s="69"/>
      <c r="D19" s="69"/>
      <c r="E19" s="70"/>
      <c r="F19" s="70"/>
      <c r="G19" s="70"/>
      <c r="H19" s="69"/>
      <c r="I19" s="69"/>
      <c r="J19" s="69"/>
      <c r="K19" s="69"/>
      <c r="L19" s="69"/>
      <c r="M19" s="69"/>
      <c r="N19" s="69"/>
      <c r="O19" s="69"/>
      <c r="P19" s="69"/>
      <c r="Q19" s="69"/>
      <c r="R19" s="69"/>
      <c r="S19" s="69"/>
      <c r="T19" s="69"/>
      <c r="U19" s="69"/>
      <c r="V19" s="69"/>
      <c r="W19" s="69"/>
      <c r="X19" s="69"/>
      <c r="Y19" s="71"/>
      <c r="Z19" s="71"/>
      <c r="AA19" s="71"/>
      <c r="AB19" s="59" t="s">
        <v>31</v>
      </c>
    </row>
    <row r="20" spans="1:44" s="10" customFormat="1" ht="15.75">
      <c r="A20" s="54" t="s">
        <v>32</v>
      </c>
      <c r="B20" s="72"/>
      <c r="C20" s="72"/>
      <c r="D20" s="72"/>
      <c r="E20" s="73"/>
      <c r="F20" s="73"/>
      <c r="G20" s="73"/>
      <c r="H20" s="72"/>
      <c r="I20" s="72"/>
      <c r="J20" s="72"/>
      <c r="K20" s="72"/>
      <c r="L20" s="72"/>
      <c r="M20" s="72"/>
      <c r="N20" s="72"/>
      <c r="O20" s="72"/>
      <c r="P20" s="72"/>
      <c r="Q20" s="72"/>
      <c r="R20" s="72"/>
      <c r="S20" s="72"/>
      <c r="T20" s="72"/>
      <c r="U20" s="72"/>
      <c r="V20" s="72"/>
      <c r="W20" s="72"/>
      <c r="X20" s="72"/>
      <c r="Y20" s="74"/>
      <c r="Z20" s="74"/>
      <c r="AA20" s="74"/>
      <c r="AB20" s="60" t="s">
        <v>33</v>
      </c>
    </row>
    <row r="21" spans="1:44" ht="18.75">
      <c r="A21" s="6" t="s">
        <v>6</v>
      </c>
      <c r="AB21" s="9" t="s">
        <v>7</v>
      </c>
      <c r="AO21" s="10"/>
      <c r="AP21" s="52" t="s">
        <v>2</v>
      </c>
      <c r="AQ21" s="52" t="s">
        <v>3</v>
      </c>
    </row>
    <row r="22" spans="1:44" ht="15" customHeight="1">
      <c r="AN22" s="17"/>
      <c r="AO22" s="17" t="str">
        <f>B5</f>
        <v>L.Kadhdhoo</v>
      </c>
      <c r="AP22" s="1">
        <f>B8</f>
        <v>0</v>
      </c>
      <c r="AQ22" s="1">
        <f>C8</f>
        <v>0</v>
      </c>
    </row>
    <row r="23" spans="1:44" s="10" customFormat="1" ht="17.25">
      <c r="B23" s="18"/>
      <c r="C23" s="19"/>
      <c r="D23" s="19"/>
      <c r="E23" s="19"/>
      <c r="F23" s="20"/>
      <c r="G23" s="20"/>
      <c r="R23" s="21"/>
      <c r="S23" s="21"/>
      <c r="U23" s="21"/>
      <c r="V23" s="21"/>
      <c r="X23" s="21"/>
      <c r="Y23" s="21"/>
      <c r="Z23" s="21"/>
      <c r="AA23" s="21"/>
      <c r="AB23" s="21"/>
      <c r="AE23" s="21"/>
      <c r="AM23" s="1"/>
      <c r="AN23" s="17"/>
      <c r="AO23" s="17" t="str">
        <f>E5</f>
        <v>GDh.Kaadedhdhoo</v>
      </c>
      <c r="AP23" s="1">
        <f>E8</f>
        <v>0</v>
      </c>
      <c r="AQ23" s="1">
        <f>F8</f>
        <v>0</v>
      </c>
    </row>
    <row r="24" spans="1:44" ht="18.75">
      <c r="A24" s="5"/>
      <c r="Q24" s="12"/>
      <c r="T24" s="12"/>
      <c r="W24" s="12"/>
      <c r="AO24" s="10" t="str">
        <f>H5</f>
        <v xml:space="preserve">Gn.Fuvahmulah </v>
      </c>
      <c r="AP24" s="1">
        <f>H8</f>
        <v>0</v>
      </c>
      <c r="AQ24" s="1">
        <f>I8</f>
        <v>0</v>
      </c>
    </row>
    <row r="25" spans="1:44" s="10" customFormat="1" ht="17.25">
      <c r="B25" s="18"/>
      <c r="C25" s="19"/>
      <c r="D25" s="19"/>
      <c r="E25" s="19"/>
      <c r="F25" s="20"/>
      <c r="G25" s="20"/>
      <c r="R25" s="21"/>
      <c r="S25" s="21"/>
      <c r="U25" s="21"/>
      <c r="V25" s="21"/>
      <c r="X25" s="21"/>
      <c r="Y25" s="21"/>
      <c r="Z25" s="21"/>
      <c r="AA25" s="21"/>
      <c r="AB25" s="21"/>
      <c r="AE25" s="21"/>
      <c r="AO25" s="1" t="str">
        <f>K5</f>
        <v>ADh.Maamigili</v>
      </c>
      <c r="AP25" s="1">
        <f>K8</f>
        <v>0</v>
      </c>
      <c r="AQ25" s="1">
        <f>L8</f>
        <v>0</v>
      </c>
    </row>
    <row r="26" spans="1:44" ht="18.75">
      <c r="A26" s="5"/>
      <c r="Q26" s="12"/>
      <c r="T26" s="12"/>
      <c r="W26" s="12"/>
      <c r="AO26" s="1" t="str">
        <f>N5</f>
        <v>B.Dharavandhoo</v>
      </c>
      <c r="AP26" s="1">
        <f>N8</f>
        <v>0</v>
      </c>
      <c r="AQ26" s="1">
        <f>O8</f>
        <v>0</v>
      </c>
    </row>
    <row r="27" spans="1:44">
      <c r="AO27" s="1" t="str">
        <f>Q5</f>
        <v>GA. Koodoo</v>
      </c>
      <c r="AP27" s="1">
        <f>Q8</f>
        <v>0</v>
      </c>
      <c r="AQ27" s="1">
        <f>R8</f>
        <v>0</v>
      </c>
    </row>
    <row r="28" spans="1:44">
      <c r="AO28" s="1" t="s">
        <v>52</v>
      </c>
      <c r="AP28" s="1">
        <f>T8</f>
        <v>0</v>
      </c>
      <c r="AQ28" s="1">
        <f>U8</f>
        <v>0</v>
      </c>
    </row>
    <row r="29" spans="1:44" ht="17.25">
      <c r="D29" s="19"/>
      <c r="E29" s="19"/>
      <c r="F29" s="20"/>
      <c r="G29" s="20"/>
      <c r="AO29" s="1" t="str">
        <f>W5</f>
        <v xml:space="preserve">R.Ifuru  </v>
      </c>
      <c r="AP29" s="1">
        <f>W8</f>
        <v>0</v>
      </c>
      <c r="AQ29" s="1">
        <f>X8</f>
        <v>0</v>
      </c>
    </row>
    <row r="30" spans="1:44">
      <c r="AO30" s="1" t="str">
        <f>Z5</f>
        <v>Dh.kudahuvadhoo</v>
      </c>
      <c r="AP30" s="1">
        <f>Z8</f>
        <v>0</v>
      </c>
      <c r="AQ30" s="1">
        <f>AA8</f>
        <v>0</v>
      </c>
    </row>
    <row r="32" spans="1:44">
      <c r="AP32" s="1">
        <f>SUM(AP22:AP30)</f>
        <v>0</v>
      </c>
      <c r="AQ32" s="1">
        <f>SUM(AQ22:AQ30)</f>
        <v>0</v>
      </c>
      <c r="AR32" s="1">
        <f>SUM(AP32:AQ32)</f>
        <v>0</v>
      </c>
    </row>
    <row r="44" spans="1:80" s="66" customFormat="1" ht="21.75" customHeight="1">
      <c r="A44" s="136" t="s">
        <v>8</v>
      </c>
      <c r="B44" s="82"/>
      <c r="D44" s="83"/>
      <c r="F44" s="83"/>
      <c r="G44" s="139" t="s">
        <v>34</v>
      </c>
      <c r="H44" s="140"/>
      <c r="I44" s="140"/>
      <c r="J44" s="140"/>
      <c r="K44" s="141"/>
      <c r="L44" s="65"/>
      <c r="M44" s="84"/>
      <c r="N44" s="65"/>
      <c r="O44" s="84"/>
      <c r="P44" s="142" t="s">
        <v>35</v>
      </c>
      <c r="Q44" s="143"/>
      <c r="R44" s="143"/>
      <c r="S44" s="143"/>
      <c r="T44" s="143"/>
      <c r="U44" s="143"/>
      <c r="V44" s="143"/>
      <c r="W44" s="143"/>
      <c r="X44" s="143"/>
      <c r="Y44" s="143"/>
      <c r="Z44" s="143"/>
      <c r="AA44" s="143"/>
      <c r="AB44" s="83"/>
      <c r="AC44" s="144" t="s">
        <v>36</v>
      </c>
      <c r="AD44" s="145"/>
      <c r="AE44" s="145"/>
      <c r="AF44" s="145"/>
      <c r="AG44" s="145"/>
      <c r="AH44" s="145"/>
      <c r="AI44" s="145"/>
      <c r="AJ44" s="145"/>
      <c r="AK44" s="64"/>
      <c r="AL44" s="144" t="s">
        <v>37</v>
      </c>
      <c r="AM44" s="145"/>
      <c r="AN44" s="145"/>
      <c r="AO44" s="145"/>
      <c r="AP44" s="145"/>
      <c r="AQ44" s="145"/>
      <c r="AR44" s="145"/>
      <c r="AS44" s="64"/>
      <c r="AT44" s="144" t="s">
        <v>38</v>
      </c>
      <c r="AU44" s="145"/>
      <c r="AV44" s="145"/>
      <c r="AW44" s="145"/>
      <c r="AX44" s="145"/>
      <c r="AY44" s="75"/>
      <c r="AZ44" s="64"/>
      <c r="BA44" s="144" t="s">
        <v>39</v>
      </c>
      <c r="BB44" s="145"/>
      <c r="BC44" s="145"/>
      <c r="BD44" s="145"/>
      <c r="BE44" s="162"/>
      <c r="BF44" s="63"/>
      <c r="BG44" s="163" t="s">
        <v>40</v>
      </c>
      <c r="BH44" s="164"/>
      <c r="BI44" s="164"/>
      <c r="BJ44" s="164"/>
      <c r="BK44" s="165"/>
      <c r="BL44" s="144" t="s">
        <v>41</v>
      </c>
      <c r="BM44" s="145"/>
      <c r="BN44" s="145"/>
      <c r="BO44" s="145"/>
      <c r="BP44" s="162"/>
      <c r="BQ44" s="144" t="s">
        <v>42</v>
      </c>
      <c r="BR44" s="145"/>
      <c r="BS44" s="145"/>
      <c r="BT44" s="146" t="s">
        <v>9</v>
      </c>
    </row>
    <row r="45" spans="1:80" s="67" customFormat="1" ht="16.5" customHeight="1">
      <c r="A45" s="137"/>
      <c r="B45" s="85"/>
      <c r="D45" s="86"/>
      <c r="F45" s="86"/>
      <c r="G45" s="149" t="s">
        <v>43</v>
      </c>
      <c r="H45" s="150"/>
      <c r="I45" s="150"/>
      <c r="J45" s="150"/>
      <c r="K45" s="151"/>
      <c r="M45" s="86"/>
      <c r="O45" s="86"/>
      <c r="P45" s="152" t="s">
        <v>44</v>
      </c>
      <c r="Q45" s="153"/>
      <c r="R45" s="153"/>
      <c r="S45" s="153"/>
      <c r="T45" s="153"/>
      <c r="U45" s="153"/>
      <c r="V45" s="153"/>
      <c r="W45" s="153"/>
      <c r="X45" s="153"/>
      <c r="Y45" s="153"/>
      <c r="Z45" s="153"/>
      <c r="AA45" s="153"/>
      <c r="AB45" s="86"/>
      <c r="AC45" s="154" t="s">
        <v>55</v>
      </c>
      <c r="AD45" s="155"/>
      <c r="AE45" s="155"/>
      <c r="AF45" s="155"/>
      <c r="AG45" s="155"/>
      <c r="AH45" s="155"/>
      <c r="AI45" s="155"/>
      <c r="AJ45" s="155"/>
      <c r="AK45" s="68"/>
      <c r="AL45" s="154" t="s">
        <v>56</v>
      </c>
      <c r="AM45" s="155"/>
      <c r="AN45" s="155"/>
      <c r="AO45" s="155"/>
      <c r="AP45" s="155"/>
      <c r="AQ45" s="155"/>
      <c r="AR45" s="155"/>
      <c r="AS45" s="68"/>
      <c r="AT45" s="154" t="s">
        <v>57</v>
      </c>
      <c r="AU45" s="155"/>
      <c r="AV45" s="155"/>
      <c r="AW45" s="155"/>
      <c r="AX45" s="155"/>
      <c r="AY45" s="76"/>
      <c r="AZ45" s="68"/>
      <c r="BA45" s="156" t="s">
        <v>58</v>
      </c>
      <c r="BB45" s="157"/>
      <c r="BC45" s="157"/>
      <c r="BD45" s="157"/>
      <c r="BE45" s="158"/>
      <c r="BG45" s="159" t="s">
        <v>59</v>
      </c>
      <c r="BH45" s="160"/>
      <c r="BI45" s="160"/>
      <c r="BJ45" s="160"/>
      <c r="BK45" s="161"/>
      <c r="BL45" s="156" t="s">
        <v>60</v>
      </c>
      <c r="BM45" s="157"/>
      <c r="BN45" s="157"/>
      <c r="BO45" s="157"/>
      <c r="BP45" s="158"/>
      <c r="BQ45" s="156" t="s">
        <v>61</v>
      </c>
      <c r="BR45" s="157"/>
      <c r="BS45" s="157"/>
      <c r="BT45" s="147"/>
    </row>
    <row r="46" spans="1:80" ht="23.25" customHeight="1">
      <c r="A46" s="138"/>
      <c r="B46" s="87"/>
      <c r="C46" s="88">
        <v>2011</v>
      </c>
      <c r="D46" s="88">
        <v>2012</v>
      </c>
      <c r="E46" s="89">
        <v>2013</v>
      </c>
      <c r="F46" s="90">
        <v>2014</v>
      </c>
      <c r="G46" s="91">
        <v>2015</v>
      </c>
      <c r="H46" s="92">
        <v>2016</v>
      </c>
      <c r="I46" s="93">
        <v>2017</v>
      </c>
      <c r="J46" s="93">
        <v>2018</v>
      </c>
      <c r="K46" s="93">
        <v>2019</v>
      </c>
      <c r="L46" s="94">
        <v>2011</v>
      </c>
      <c r="M46" s="94">
        <v>2012</v>
      </c>
      <c r="N46" s="94">
        <v>2013</v>
      </c>
      <c r="O46" s="93">
        <v>2014</v>
      </c>
      <c r="P46" s="91">
        <v>2015</v>
      </c>
      <c r="Q46" s="93">
        <v>2016</v>
      </c>
      <c r="R46" s="94">
        <v>2011</v>
      </c>
      <c r="S46" s="94">
        <v>2012</v>
      </c>
      <c r="T46" s="93">
        <v>2013</v>
      </c>
      <c r="U46" s="93">
        <v>2014</v>
      </c>
      <c r="V46" s="94">
        <v>2011</v>
      </c>
      <c r="W46" s="94">
        <v>2012</v>
      </c>
      <c r="X46" s="93">
        <v>2013</v>
      </c>
      <c r="Y46" s="93">
        <v>2017</v>
      </c>
      <c r="Z46" s="93">
        <v>2018</v>
      </c>
      <c r="AA46" s="95">
        <v>2019</v>
      </c>
      <c r="AB46" s="93">
        <v>2014</v>
      </c>
      <c r="AC46" s="24">
        <v>2015</v>
      </c>
      <c r="AD46" s="24">
        <v>2016</v>
      </c>
      <c r="AE46" s="56">
        <v>2011</v>
      </c>
      <c r="AF46" s="56">
        <v>2012</v>
      </c>
      <c r="AG46" s="56">
        <v>2013</v>
      </c>
      <c r="AH46" s="24">
        <v>2017</v>
      </c>
      <c r="AI46" s="24">
        <v>2018</v>
      </c>
      <c r="AJ46" s="24">
        <v>2019</v>
      </c>
      <c r="AK46" s="24">
        <v>2014</v>
      </c>
      <c r="AL46" s="23">
        <v>2015</v>
      </c>
      <c r="AM46" s="24">
        <v>2016</v>
      </c>
      <c r="AN46" s="24">
        <v>2017</v>
      </c>
      <c r="AO46" s="24">
        <v>2018</v>
      </c>
      <c r="AP46" s="56">
        <v>2012</v>
      </c>
      <c r="AQ46" s="56">
        <v>2013</v>
      </c>
      <c r="AR46" s="24">
        <v>2019</v>
      </c>
      <c r="AS46" s="24">
        <v>2014</v>
      </c>
      <c r="AT46" s="23">
        <v>2015</v>
      </c>
      <c r="AU46" s="24">
        <v>2016</v>
      </c>
      <c r="AV46" s="56">
        <v>2013</v>
      </c>
      <c r="AW46" s="24">
        <v>2017</v>
      </c>
      <c r="AX46" s="24">
        <v>2018</v>
      </c>
      <c r="AY46" s="24">
        <v>2019</v>
      </c>
      <c r="AZ46" s="56">
        <v>2014</v>
      </c>
      <c r="BA46" s="23">
        <v>2015</v>
      </c>
      <c r="BB46" s="24">
        <v>2016</v>
      </c>
      <c r="BC46" s="24">
        <v>2017</v>
      </c>
      <c r="BD46" s="24">
        <v>2018</v>
      </c>
      <c r="BE46" s="24">
        <v>2019</v>
      </c>
      <c r="BF46" s="56">
        <v>2014</v>
      </c>
      <c r="BG46" s="23">
        <v>2015</v>
      </c>
      <c r="BH46" s="24">
        <v>2016</v>
      </c>
      <c r="BI46" s="24">
        <v>2017</v>
      </c>
      <c r="BJ46" s="24">
        <v>2018</v>
      </c>
      <c r="BK46" s="25">
        <v>2019</v>
      </c>
      <c r="BL46" s="26">
        <v>2015</v>
      </c>
      <c r="BM46" s="24">
        <v>2016</v>
      </c>
      <c r="BN46" s="24">
        <v>2017</v>
      </c>
      <c r="BO46" s="24">
        <v>2018</v>
      </c>
      <c r="BP46" s="24">
        <v>2019</v>
      </c>
      <c r="BQ46" s="23">
        <v>2017</v>
      </c>
      <c r="BR46" s="24">
        <v>2018</v>
      </c>
      <c r="BS46" s="24">
        <v>2019</v>
      </c>
      <c r="BT46" s="148"/>
      <c r="BU46" s="2"/>
    </row>
    <row r="47" spans="1:80" ht="23.25" customHeight="1">
      <c r="A47" s="27" t="s">
        <v>4</v>
      </c>
      <c r="B47" s="27"/>
      <c r="C47" s="28">
        <f t="shared" ref="C47:AZ47" si="0">SUM(C48:C59)</f>
        <v>1542</v>
      </c>
      <c r="D47" s="28">
        <f t="shared" si="0"/>
        <v>1816</v>
      </c>
      <c r="E47" s="28">
        <f t="shared" si="0"/>
        <v>2310</v>
      </c>
      <c r="F47" s="29">
        <f t="shared" si="0"/>
        <v>2220</v>
      </c>
      <c r="G47" s="30">
        <f t="shared" si="0"/>
        <v>2088</v>
      </c>
      <c r="H47" s="31">
        <f t="shared" si="0"/>
        <v>2392</v>
      </c>
      <c r="I47" s="32">
        <f t="shared" si="0"/>
        <v>2619</v>
      </c>
      <c r="J47" s="32">
        <f t="shared" si="0"/>
        <v>2559</v>
      </c>
      <c r="K47" s="32">
        <f t="shared" si="0"/>
        <v>2583</v>
      </c>
      <c r="L47" s="32">
        <f t="shared" si="0"/>
        <v>3226</v>
      </c>
      <c r="M47" s="32">
        <f t="shared" si="0"/>
        <v>3982</v>
      </c>
      <c r="N47" s="32">
        <f t="shared" si="0"/>
        <v>4121</v>
      </c>
      <c r="O47" s="32">
        <f t="shared" si="0"/>
        <v>4410</v>
      </c>
      <c r="P47" s="30">
        <f>SUM(P48:P59)</f>
        <v>4290</v>
      </c>
      <c r="Q47" s="32">
        <f t="shared" ref="Q47" si="1">SUM(Q48:Q59)</f>
        <v>4978</v>
      </c>
      <c r="R47" s="32">
        <f t="shared" si="0"/>
        <v>1637</v>
      </c>
      <c r="S47" s="32">
        <f t="shared" si="0"/>
        <v>1397</v>
      </c>
      <c r="T47" s="32">
        <f t="shared" si="0"/>
        <v>1949</v>
      </c>
      <c r="U47" s="32">
        <f t="shared" si="0"/>
        <v>1977</v>
      </c>
      <c r="V47" s="32">
        <f t="shared" si="0"/>
        <v>262</v>
      </c>
      <c r="W47" s="32">
        <f t="shared" si="0"/>
        <v>710</v>
      </c>
      <c r="X47" s="32">
        <f>SUM(X48:X59)</f>
        <v>2432</v>
      </c>
      <c r="Y47" s="32">
        <f t="shared" ref="Y47:AB47" si="2">SUM(Y48:Y59)</f>
        <v>5182</v>
      </c>
      <c r="Z47" s="32">
        <f t="shared" si="2"/>
        <v>4726</v>
      </c>
      <c r="AA47" s="33">
        <f t="shared" si="2"/>
        <v>4794</v>
      </c>
      <c r="AB47" s="32">
        <f t="shared" si="2"/>
        <v>2773</v>
      </c>
      <c r="AC47" s="32">
        <f>SUM(AC48:AC59)</f>
        <v>2151</v>
      </c>
      <c r="AD47" s="32">
        <f t="shared" ref="AD47" si="3">SUM(AD48:AD59)</f>
        <v>1998</v>
      </c>
      <c r="AE47" s="32">
        <f t="shared" si="0"/>
        <v>769</v>
      </c>
      <c r="AF47" s="32">
        <f t="shared" si="0"/>
        <v>3315</v>
      </c>
      <c r="AG47" s="32">
        <f>SUM(AG48:AG59)</f>
        <v>4519</v>
      </c>
      <c r="AH47" s="32">
        <f t="shared" ref="AH47:AK47" si="4">SUM(AH48:AH59)</f>
        <v>1845</v>
      </c>
      <c r="AI47" s="32">
        <f t="shared" si="4"/>
        <v>1799</v>
      </c>
      <c r="AJ47" s="32">
        <f t="shared" si="4"/>
        <v>2485</v>
      </c>
      <c r="AK47" s="32">
        <f t="shared" si="4"/>
        <v>4924</v>
      </c>
      <c r="AL47" s="30">
        <f>SUM(AL48:AL59)</f>
        <v>4265</v>
      </c>
      <c r="AM47" s="32">
        <f t="shared" ref="AM47:AO47" si="5">SUM(AM48:AM59)</f>
        <v>3963</v>
      </c>
      <c r="AN47" s="32">
        <f t="shared" si="5"/>
        <v>4305</v>
      </c>
      <c r="AO47" s="32">
        <f t="shared" si="5"/>
        <v>4824</v>
      </c>
      <c r="AP47" s="32">
        <f t="shared" si="0"/>
        <v>173</v>
      </c>
      <c r="AQ47" s="32">
        <f t="shared" si="0"/>
        <v>3515</v>
      </c>
      <c r="AR47" s="32">
        <f t="shared" si="0"/>
        <v>4798</v>
      </c>
      <c r="AS47" s="32">
        <f t="shared" si="0"/>
        <v>4248</v>
      </c>
      <c r="AT47" s="30">
        <f>SUM(AT48:AT59)</f>
        <v>3934</v>
      </c>
      <c r="AU47" s="32">
        <f t="shared" ref="AU47:AY47" si="6">SUM(AU48:AU59)</f>
        <v>3870</v>
      </c>
      <c r="AV47" s="32">
        <f t="shared" si="0"/>
        <v>2906</v>
      </c>
      <c r="AW47" s="32">
        <f t="shared" si="0"/>
        <v>4198</v>
      </c>
      <c r="AX47" s="32">
        <f t="shared" si="6"/>
        <v>4532</v>
      </c>
      <c r="AY47" s="32">
        <f t="shared" si="6"/>
        <v>5159</v>
      </c>
      <c r="AZ47" s="32">
        <f t="shared" si="0"/>
        <v>2076</v>
      </c>
      <c r="BA47" s="30">
        <f>SUM(BA48:BA59)</f>
        <v>1988</v>
      </c>
      <c r="BB47" s="32">
        <f t="shared" ref="BB47:BF47" si="7">SUM(BB48:BB59)</f>
        <v>1916</v>
      </c>
      <c r="BC47" s="32">
        <f t="shared" si="7"/>
        <v>1916</v>
      </c>
      <c r="BD47" s="32">
        <f t="shared" si="7"/>
        <v>1975</v>
      </c>
      <c r="BE47" s="32">
        <f t="shared" si="7"/>
        <v>2043</v>
      </c>
      <c r="BF47" s="32">
        <f t="shared" si="7"/>
        <v>826</v>
      </c>
      <c r="BG47" s="30">
        <f>SUM(BG48:BG59)</f>
        <v>331</v>
      </c>
      <c r="BH47" s="32">
        <f t="shared" ref="BH47:BK47" si="8">SUM(BH48:BH59)</f>
        <v>269</v>
      </c>
      <c r="BI47" s="32">
        <f t="shared" si="8"/>
        <v>245</v>
      </c>
      <c r="BJ47" s="32">
        <f t="shared" si="8"/>
        <v>246</v>
      </c>
      <c r="BK47" s="33">
        <f t="shared" si="8"/>
        <v>241</v>
      </c>
      <c r="BL47" s="30">
        <f>SUM(BL48:BL59)</f>
        <v>552</v>
      </c>
      <c r="BM47" s="32">
        <f t="shared" ref="BM47:BS47" si="9">SUM(BM48:BM59)</f>
        <v>1475</v>
      </c>
      <c r="BN47" s="32">
        <f t="shared" si="9"/>
        <v>1911</v>
      </c>
      <c r="BO47" s="32">
        <f t="shared" si="9"/>
        <v>1898</v>
      </c>
      <c r="BP47" s="32">
        <f t="shared" si="9"/>
        <v>1940</v>
      </c>
      <c r="BQ47" s="30">
        <f t="shared" si="9"/>
        <v>488</v>
      </c>
      <c r="BR47" s="34">
        <f t="shared" si="9"/>
        <v>1941</v>
      </c>
      <c r="BS47" s="34">
        <f t="shared" si="9"/>
        <v>2224</v>
      </c>
      <c r="BT47" s="61" t="s">
        <v>5</v>
      </c>
    </row>
    <row r="48" spans="1:80" ht="23.25" customHeight="1">
      <c r="A48" s="35" t="s">
        <v>10</v>
      </c>
      <c r="B48" s="35"/>
      <c r="C48" s="36">
        <v>87</v>
      </c>
      <c r="D48" s="36">
        <v>140</v>
      </c>
      <c r="E48" s="36">
        <v>189</v>
      </c>
      <c r="F48" s="37">
        <v>215</v>
      </c>
      <c r="G48" s="38">
        <v>166</v>
      </c>
      <c r="H48" s="39">
        <v>174</v>
      </c>
      <c r="I48" s="40">
        <v>199</v>
      </c>
      <c r="J48" s="40">
        <v>264</v>
      </c>
      <c r="K48" s="40">
        <v>232</v>
      </c>
      <c r="L48" s="41">
        <v>290</v>
      </c>
      <c r="M48" s="41">
        <v>428</v>
      </c>
      <c r="N48" s="41">
        <v>290</v>
      </c>
      <c r="O48" s="40">
        <v>356</v>
      </c>
      <c r="P48" s="38">
        <v>376</v>
      </c>
      <c r="Q48" s="40">
        <v>400</v>
      </c>
      <c r="R48" s="40">
        <v>137</v>
      </c>
      <c r="S48" s="40">
        <v>111</v>
      </c>
      <c r="T48" s="40">
        <v>175</v>
      </c>
      <c r="U48" s="40">
        <v>164</v>
      </c>
      <c r="V48" s="42" t="s">
        <v>53</v>
      </c>
      <c r="W48" s="40">
        <v>48</v>
      </c>
      <c r="X48" s="40">
        <v>115</v>
      </c>
      <c r="Y48" s="40">
        <v>496</v>
      </c>
      <c r="Z48" s="40">
        <v>406</v>
      </c>
      <c r="AA48" s="43">
        <v>408</v>
      </c>
      <c r="AB48" s="40">
        <v>227</v>
      </c>
      <c r="AC48" s="40">
        <v>230</v>
      </c>
      <c r="AD48" s="40">
        <v>166</v>
      </c>
      <c r="AE48" s="42" t="s">
        <v>53</v>
      </c>
      <c r="AF48" s="40">
        <v>351</v>
      </c>
      <c r="AG48" s="40">
        <v>339</v>
      </c>
      <c r="AH48" s="40">
        <v>157</v>
      </c>
      <c r="AI48" s="40">
        <v>117</v>
      </c>
      <c r="AJ48" s="40">
        <v>261</v>
      </c>
      <c r="AK48" s="40">
        <v>400</v>
      </c>
      <c r="AL48" s="38">
        <v>359</v>
      </c>
      <c r="AM48" s="40">
        <v>339</v>
      </c>
      <c r="AN48" s="40">
        <v>321</v>
      </c>
      <c r="AO48" s="40">
        <v>400</v>
      </c>
      <c r="AP48" s="42" t="s">
        <v>53</v>
      </c>
      <c r="AQ48" s="40">
        <v>191</v>
      </c>
      <c r="AR48" s="40">
        <v>441</v>
      </c>
      <c r="AS48" s="40">
        <v>361</v>
      </c>
      <c r="AT48" s="38">
        <v>331</v>
      </c>
      <c r="AU48" s="40">
        <v>342</v>
      </c>
      <c r="AV48" s="40">
        <v>288</v>
      </c>
      <c r="AW48" s="40">
        <v>351</v>
      </c>
      <c r="AX48" s="40">
        <v>415</v>
      </c>
      <c r="AY48" s="40">
        <v>414</v>
      </c>
      <c r="AZ48" s="40">
        <v>174</v>
      </c>
      <c r="BA48" s="38">
        <v>181</v>
      </c>
      <c r="BB48" s="40">
        <v>164</v>
      </c>
      <c r="BC48" s="40">
        <v>155</v>
      </c>
      <c r="BD48" s="40">
        <v>179</v>
      </c>
      <c r="BE48" s="40">
        <v>169</v>
      </c>
      <c r="BF48" s="40">
        <v>57</v>
      </c>
      <c r="BG48" s="38">
        <v>30</v>
      </c>
      <c r="BH48" s="40">
        <v>29</v>
      </c>
      <c r="BI48" s="40">
        <v>19</v>
      </c>
      <c r="BJ48" s="40">
        <v>23</v>
      </c>
      <c r="BK48" s="43">
        <v>24</v>
      </c>
      <c r="BL48" s="38" t="s">
        <v>54</v>
      </c>
      <c r="BM48" s="40">
        <v>124</v>
      </c>
      <c r="BN48" s="40">
        <v>142</v>
      </c>
      <c r="BO48" s="40">
        <v>178</v>
      </c>
      <c r="BP48" s="40">
        <v>156</v>
      </c>
      <c r="BQ48" s="38" t="s">
        <v>54</v>
      </c>
      <c r="BR48" s="40">
        <v>171</v>
      </c>
      <c r="BS48" s="40">
        <v>176</v>
      </c>
      <c r="BT48" s="59" t="s">
        <v>11</v>
      </c>
      <c r="BY48" s="22"/>
      <c r="BZ48" s="22"/>
      <c r="CA48" s="22"/>
      <c r="CB48" s="22"/>
    </row>
    <row r="49" spans="1:80" ht="23.25" customHeight="1">
      <c r="A49" s="35" t="s">
        <v>12</v>
      </c>
      <c r="B49" s="35"/>
      <c r="C49" s="36">
        <v>69</v>
      </c>
      <c r="D49" s="36">
        <v>128</v>
      </c>
      <c r="E49" s="36">
        <v>161</v>
      </c>
      <c r="F49" s="37">
        <v>192</v>
      </c>
      <c r="G49" s="38">
        <v>161</v>
      </c>
      <c r="H49" s="39">
        <v>195</v>
      </c>
      <c r="I49" s="40">
        <v>195</v>
      </c>
      <c r="J49" s="40">
        <v>213</v>
      </c>
      <c r="K49" s="40">
        <v>223</v>
      </c>
      <c r="L49" s="41">
        <v>268</v>
      </c>
      <c r="M49" s="41">
        <v>332</v>
      </c>
      <c r="N49" s="41">
        <v>314</v>
      </c>
      <c r="O49" s="40">
        <v>360</v>
      </c>
      <c r="P49" s="38">
        <v>336</v>
      </c>
      <c r="Q49" s="40">
        <v>428</v>
      </c>
      <c r="R49" s="40">
        <v>185</v>
      </c>
      <c r="S49" s="40">
        <v>109</v>
      </c>
      <c r="T49" s="40">
        <v>158</v>
      </c>
      <c r="U49" s="40">
        <v>176</v>
      </c>
      <c r="V49" s="42" t="s">
        <v>53</v>
      </c>
      <c r="W49" s="40">
        <v>40</v>
      </c>
      <c r="X49" s="40">
        <v>83</v>
      </c>
      <c r="Y49" s="40">
        <v>462</v>
      </c>
      <c r="Z49" s="40">
        <v>408</v>
      </c>
      <c r="AA49" s="43">
        <v>356</v>
      </c>
      <c r="AB49" s="40">
        <v>212</v>
      </c>
      <c r="AC49" s="40">
        <v>199</v>
      </c>
      <c r="AD49" s="40">
        <v>120</v>
      </c>
      <c r="AE49" s="42" t="s">
        <v>53</v>
      </c>
      <c r="AF49" s="40">
        <v>351</v>
      </c>
      <c r="AG49" s="40">
        <v>427</v>
      </c>
      <c r="AH49" s="40">
        <v>102</v>
      </c>
      <c r="AI49" s="40">
        <v>89</v>
      </c>
      <c r="AJ49" s="40">
        <v>221</v>
      </c>
      <c r="AK49" s="40">
        <v>380</v>
      </c>
      <c r="AL49" s="38">
        <v>407</v>
      </c>
      <c r="AM49" s="40">
        <v>323</v>
      </c>
      <c r="AN49" s="40">
        <v>260</v>
      </c>
      <c r="AO49" s="40">
        <v>373</v>
      </c>
      <c r="AP49" s="42" t="s">
        <v>53</v>
      </c>
      <c r="AQ49" s="40">
        <v>213</v>
      </c>
      <c r="AR49" s="40">
        <v>375</v>
      </c>
      <c r="AS49" s="40">
        <v>356</v>
      </c>
      <c r="AT49" s="38">
        <v>304</v>
      </c>
      <c r="AU49" s="40">
        <v>320</v>
      </c>
      <c r="AV49" s="40">
        <v>304</v>
      </c>
      <c r="AW49" s="40">
        <v>308</v>
      </c>
      <c r="AX49" s="40">
        <v>365</v>
      </c>
      <c r="AY49" s="40">
        <v>376</v>
      </c>
      <c r="AZ49" s="40">
        <v>159</v>
      </c>
      <c r="BA49" s="38">
        <v>169</v>
      </c>
      <c r="BB49" s="40">
        <v>159</v>
      </c>
      <c r="BC49" s="40">
        <v>161</v>
      </c>
      <c r="BD49" s="40">
        <v>164</v>
      </c>
      <c r="BE49" s="40">
        <v>164</v>
      </c>
      <c r="BF49" s="40">
        <v>83</v>
      </c>
      <c r="BG49" s="38">
        <v>23</v>
      </c>
      <c r="BH49" s="40">
        <v>23</v>
      </c>
      <c r="BI49" s="40">
        <v>17</v>
      </c>
      <c r="BJ49" s="40">
        <v>15</v>
      </c>
      <c r="BK49" s="43">
        <v>19</v>
      </c>
      <c r="BL49" s="38" t="s">
        <v>54</v>
      </c>
      <c r="BM49" s="40">
        <v>143</v>
      </c>
      <c r="BN49" s="40">
        <v>136</v>
      </c>
      <c r="BO49" s="40">
        <v>180</v>
      </c>
      <c r="BP49" s="40">
        <v>161</v>
      </c>
      <c r="BQ49" s="38" t="s">
        <v>54</v>
      </c>
      <c r="BR49" s="40">
        <v>168</v>
      </c>
      <c r="BS49" s="40">
        <v>181</v>
      </c>
      <c r="BT49" s="59" t="s">
        <v>13</v>
      </c>
    </row>
    <row r="50" spans="1:80" ht="23.25" customHeight="1">
      <c r="A50" s="35" t="s">
        <v>14</v>
      </c>
      <c r="B50" s="35"/>
      <c r="C50" s="36">
        <v>80</v>
      </c>
      <c r="D50" s="36">
        <v>161</v>
      </c>
      <c r="E50" s="36">
        <v>184</v>
      </c>
      <c r="F50" s="37">
        <v>214</v>
      </c>
      <c r="G50" s="38">
        <v>173</v>
      </c>
      <c r="H50" s="39">
        <v>201</v>
      </c>
      <c r="I50" s="40">
        <v>193</v>
      </c>
      <c r="J50" s="40">
        <v>258</v>
      </c>
      <c r="K50" s="40">
        <v>218</v>
      </c>
      <c r="L50" s="41">
        <v>202</v>
      </c>
      <c r="M50" s="41">
        <v>320</v>
      </c>
      <c r="N50" s="41">
        <v>358</v>
      </c>
      <c r="O50" s="40">
        <v>388</v>
      </c>
      <c r="P50" s="38">
        <v>396</v>
      </c>
      <c r="Q50" s="40">
        <v>402</v>
      </c>
      <c r="R50" s="40">
        <v>131</v>
      </c>
      <c r="S50" s="40">
        <v>98</v>
      </c>
      <c r="T50" s="40">
        <v>141</v>
      </c>
      <c r="U50" s="40">
        <v>190</v>
      </c>
      <c r="V50" s="42" t="s">
        <v>53</v>
      </c>
      <c r="W50" s="40">
        <v>56</v>
      </c>
      <c r="X50" s="40">
        <v>197</v>
      </c>
      <c r="Y50" s="40">
        <v>446</v>
      </c>
      <c r="Z50" s="40">
        <v>388</v>
      </c>
      <c r="AA50" s="43">
        <v>400</v>
      </c>
      <c r="AB50" s="40">
        <v>246</v>
      </c>
      <c r="AC50" s="40">
        <v>235</v>
      </c>
      <c r="AD50" s="40">
        <v>168</v>
      </c>
      <c r="AE50" s="42" t="s">
        <v>53</v>
      </c>
      <c r="AF50" s="40">
        <v>233</v>
      </c>
      <c r="AG50" s="40">
        <v>348</v>
      </c>
      <c r="AH50" s="40">
        <v>183</v>
      </c>
      <c r="AI50" s="40">
        <v>149</v>
      </c>
      <c r="AJ50" s="40">
        <v>277</v>
      </c>
      <c r="AK50" s="40">
        <v>391</v>
      </c>
      <c r="AL50" s="38">
        <v>377</v>
      </c>
      <c r="AM50" s="40">
        <v>314</v>
      </c>
      <c r="AN50" s="40">
        <v>281</v>
      </c>
      <c r="AO50" s="40">
        <v>369</v>
      </c>
      <c r="AP50" s="42" t="s">
        <v>53</v>
      </c>
      <c r="AQ50" s="40">
        <v>231</v>
      </c>
      <c r="AR50" s="40">
        <v>436</v>
      </c>
      <c r="AS50" s="40">
        <v>393</v>
      </c>
      <c r="AT50" s="38">
        <v>356</v>
      </c>
      <c r="AU50" s="40">
        <v>343</v>
      </c>
      <c r="AV50" s="40">
        <v>364</v>
      </c>
      <c r="AW50" s="40">
        <v>327</v>
      </c>
      <c r="AX50" s="40">
        <v>397</v>
      </c>
      <c r="AY50" s="40">
        <v>414</v>
      </c>
      <c r="AZ50" s="40">
        <v>176</v>
      </c>
      <c r="BA50" s="38">
        <v>170</v>
      </c>
      <c r="BB50" s="40">
        <v>163</v>
      </c>
      <c r="BC50" s="40">
        <v>174</v>
      </c>
      <c r="BD50" s="40">
        <v>169</v>
      </c>
      <c r="BE50" s="40">
        <v>178</v>
      </c>
      <c r="BF50" s="40">
        <v>108</v>
      </c>
      <c r="BG50" s="38">
        <v>25</v>
      </c>
      <c r="BH50" s="40">
        <v>23</v>
      </c>
      <c r="BI50" s="40">
        <v>20</v>
      </c>
      <c r="BJ50" s="40">
        <v>19</v>
      </c>
      <c r="BK50" s="43">
        <v>17</v>
      </c>
      <c r="BL50" s="38" t="s">
        <v>54</v>
      </c>
      <c r="BM50" s="40">
        <v>114</v>
      </c>
      <c r="BN50" s="40">
        <v>148</v>
      </c>
      <c r="BO50" s="40">
        <v>156</v>
      </c>
      <c r="BP50" s="40">
        <v>160</v>
      </c>
      <c r="BQ50" s="38" t="s">
        <v>54</v>
      </c>
      <c r="BR50" s="40">
        <v>150</v>
      </c>
      <c r="BS50" s="40">
        <v>202</v>
      </c>
      <c r="BT50" s="59" t="s">
        <v>15</v>
      </c>
    </row>
    <row r="51" spans="1:80" ht="23.25" customHeight="1">
      <c r="A51" s="35" t="s">
        <v>16</v>
      </c>
      <c r="B51" s="35"/>
      <c r="C51" s="36">
        <v>147</v>
      </c>
      <c r="D51" s="36">
        <v>149</v>
      </c>
      <c r="E51" s="36">
        <v>190</v>
      </c>
      <c r="F51" s="37">
        <v>192</v>
      </c>
      <c r="G51" s="38">
        <v>173</v>
      </c>
      <c r="H51" s="39">
        <v>192</v>
      </c>
      <c r="I51" s="40">
        <v>211</v>
      </c>
      <c r="J51" s="40">
        <v>245</v>
      </c>
      <c r="K51" s="40">
        <v>213</v>
      </c>
      <c r="L51" s="41">
        <v>192</v>
      </c>
      <c r="M51" s="41">
        <v>358</v>
      </c>
      <c r="N51" s="41">
        <v>268</v>
      </c>
      <c r="O51" s="40">
        <v>354</v>
      </c>
      <c r="P51" s="38">
        <v>390</v>
      </c>
      <c r="Q51" s="40">
        <v>368</v>
      </c>
      <c r="R51" s="40">
        <v>167</v>
      </c>
      <c r="S51" s="40">
        <v>131</v>
      </c>
      <c r="T51" s="40">
        <v>174</v>
      </c>
      <c r="U51" s="40">
        <v>166</v>
      </c>
      <c r="V51" s="42" t="s">
        <v>53</v>
      </c>
      <c r="W51" s="40">
        <v>42</v>
      </c>
      <c r="X51" s="40">
        <v>241</v>
      </c>
      <c r="Y51" s="40">
        <v>436</v>
      </c>
      <c r="Z51" s="40">
        <v>438</v>
      </c>
      <c r="AA51" s="43">
        <v>412</v>
      </c>
      <c r="AB51" s="40">
        <v>230</v>
      </c>
      <c r="AC51" s="40">
        <v>229</v>
      </c>
      <c r="AD51" s="40">
        <v>139</v>
      </c>
      <c r="AE51" s="42" t="s">
        <v>53</v>
      </c>
      <c r="AF51" s="40">
        <v>226</v>
      </c>
      <c r="AG51" s="40">
        <v>284</v>
      </c>
      <c r="AH51" s="40">
        <v>138</v>
      </c>
      <c r="AI51" s="40">
        <v>120</v>
      </c>
      <c r="AJ51" s="40">
        <v>278</v>
      </c>
      <c r="AK51" s="40">
        <v>390</v>
      </c>
      <c r="AL51" s="38">
        <v>367</v>
      </c>
      <c r="AM51" s="40">
        <v>314</v>
      </c>
      <c r="AN51" s="40">
        <v>289</v>
      </c>
      <c r="AO51" s="40">
        <v>346</v>
      </c>
      <c r="AP51" s="42" t="s">
        <v>53</v>
      </c>
      <c r="AQ51" s="40">
        <v>239</v>
      </c>
      <c r="AR51" s="40">
        <v>437</v>
      </c>
      <c r="AS51" s="40">
        <v>358</v>
      </c>
      <c r="AT51" s="38">
        <v>341</v>
      </c>
      <c r="AU51" s="40">
        <v>328</v>
      </c>
      <c r="AV51" s="40">
        <v>289</v>
      </c>
      <c r="AW51" s="40">
        <v>316</v>
      </c>
      <c r="AX51" s="40">
        <v>353</v>
      </c>
      <c r="AY51" s="40">
        <v>471</v>
      </c>
      <c r="AZ51" s="40">
        <v>175</v>
      </c>
      <c r="BA51" s="38">
        <v>175</v>
      </c>
      <c r="BB51" s="40">
        <v>154</v>
      </c>
      <c r="BC51" s="40">
        <v>158</v>
      </c>
      <c r="BD51" s="40">
        <v>164</v>
      </c>
      <c r="BE51" s="40">
        <v>165</v>
      </c>
      <c r="BF51" s="40">
        <v>112</v>
      </c>
      <c r="BG51" s="38">
        <v>26</v>
      </c>
      <c r="BH51" s="40">
        <v>21</v>
      </c>
      <c r="BI51" s="40">
        <v>22</v>
      </c>
      <c r="BJ51" s="40">
        <v>21</v>
      </c>
      <c r="BK51" s="43">
        <v>21</v>
      </c>
      <c r="BL51" s="38" t="s">
        <v>54</v>
      </c>
      <c r="BM51" s="40">
        <v>106</v>
      </c>
      <c r="BN51" s="40">
        <v>156</v>
      </c>
      <c r="BO51" s="40">
        <v>146</v>
      </c>
      <c r="BP51" s="40">
        <v>156</v>
      </c>
      <c r="BQ51" s="38" t="s">
        <v>54</v>
      </c>
      <c r="BR51" s="40">
        <v>161</v>
      </c>
      <c r="BS51" s="40">
        <v>181</v>
      </c>
      <c r="BT51" s="59" t="s">
        <v>17</v>
      </c>
      <c r="BY51" s="22"/>
      <c r="BZ51" s="22"/>
      <c r="CA51" s="22"/>
      <c r="CB51" s="22"/>
    </row>
    <row r="52" spans="1:80" ht="23.25" customHeight="1">
      <c r="A52" s="35" t="s">
        <v>18</v>
      </c>
      <c r="B52" s="35"/>
      <c r="C52" s="36">
        <v>128</v>
      </c>
      <c r="D52" s="36">
        <v>139</v>
      </c>
      <c r="E52" s="36">
        <v>178</v>
      </c>
      <c r="F52" s="37">
        <v>186</v>
      </c>
      <c r="G52" s="38">
        <v>182</v>
      </c>
      <c r="H52" s="39">
        <v>194</v>
      </c>
      <c r="I52" s="40">
        <v>209</v>
      </c>
      <c r="J52" s="40">
        <v>200</v>
      </c>
      <c r="K52" s="40">
        <v>220</v>
      </c>
      <c r="L52" s="41">
        <v>274</v>
      </c>
      <c r="M52" s="41">
        <v>284</v>
      </c>
      <c r="N52" s="41">
        <v>274</v>
      </c>
      <c r="O52" s="40">
        <v>368</v>
      </c>
      <c r="P52" s="38">
        <v>356</v>
      </c>
      <c r="Q52" s="40">
        <v>364</v>
      </c>
      <c r="R52" s="40">
        <v>102</v>
      </c>
      <c r="S52" s="40">
        <v>99</v>
      </c>
      <c r="T52" s="40">
        <v>130</v>
      </c>
      <c r="U52" s="40">
        <v>154</v>
      </c>
      <c r="V52" s="42" t="s">
        <v>53</v>
      </c>
      <c r="W52" s="40">
        <v>68</v>
      </c>
      <c r="X52" s="40">
        <v>233</v>
      </c>
      <c r="Y52" s="40">
        <v>380</v>
      </c>
      <c r="Z52" s="40">
        <v>372</v>
      </c>
      <c r="AA52" s="43">
        <v>426</v>
      </c>
      <c r="AB52" s="40">
        <v>236</v>
      </c>
      <c r="AC52" s="40">
        <v>222</v>
      </c>
      <c r="AD52" s="40">
        <v>136</v>
      </c>
      <c r="AE52" s="42" t="s">
        <v>53</v>
      </c>
      <c r="AF52" s="40">
        <v>180</v>
      </c>
      <c r="AG52" s="40">
        <v>382</v>
      </c>
      <c r="AH52" s="40">
        <v>168</v>
      </c>
      <c r="AI52" s="40">
        <v>147</v>
      </c>
      <c r="AJ52" s="40">
        <v>211</v>
      </c>
      <c r="AK52" s="40">
        <v>411</v>
      </c>
      <c r="AL52" s="38">
        <v>397</v>
      </c>
      <c r="AM52" s="40">
        <v>370</v>
      </c>
      <c r="AN52" s="40">
        <v>325</v>
      </c>
      <c r="AO52" s="40">
        <v>527</v>
      </c>
      <c r="AP52" s="42" t="s">
        <v>53</v>
      </c>
      <c r="AQ52" s="40">
        <v>288</v>
      </c>
      <c r="AR52" s="40">
        <v>454</v>
      </c>
      <c r="AS52" s="40">
        <v>370</v>
      </c>
      <c r="AT52" s="38">
        <v>341</v>
      </c>
      <c r="AU52" s="40">
        <v>321</v>
      </c>
      <c r="AV52" s="40">
        <v>259</v>
      </c>
      <c r="AW52" s="40">
        <v>319</v>
      </c>
      <c r="AX52" s="40">
        <v>336</v>
      </c>
      <c r="AY52" s="40">
        <v>428</v>
      </c>
      <c r="AZ52" s="40">
        <v>181</v>
      </c>
      <c r="BA52" s="38">
        <v>166</v>
      </c>
      <c r="BB52" s="40">
        <v>163</v>
      </c>
      <c r="BC52" s="40">
        <v>142</v>
      </c>
      <c r="BD52" s="40">
        <v>158</v>
      </c>
      <c r="BE52" s="40">
        <v>149</v>
      </c>
      <c r="BF52" s="40">
        <v>91</v>
      </c>
      <c r="BG52" s="38">
        <v>28</v>
      </c>
      <c r="BH52" s="40">
        <v>21</v>
      </c>
      <c r="BI52" s="40">
        <v>20</v>
      </c>
      <c r="BJ52" s="40">
        <v>16</v>
      </c>
      <c r="BK52" s="43">
        <v>15</v>
      </c>
      <c r="BL52" s="38">
        <v>9</v>
      </c>
      <c r="BM52" s="40">
        <v>90</v>
      </c>
      <c r="BN52" s="40">
        <v>160</v>
      </c>
      <c r="BO52" s="40">
        <v>146</v>
      </c>
      <c r="BP52" s="40">
        <v>182</v>
      </c>
      <c r="BQ52" s="38" t="s">
        <v>54</v>
      </c>
      <c r="BR52" s="40">
        <v>148</v>
      </c>
      <c r="BS52" s="40">
        <v>184</v>
      </c>
      <c r="BT52" s="59" t="s">
        <v>19</v>
      </c>
    </row>
    <row r="53" spans="1:80" ht="23.25" customHeight="1">
      <c r="A53" s="35" t="s">
        <v>20</v>
      </c>
      <c r="B53" s="35"/>
      <c r="C53" s="36">
        <v>137</v>
      </c>
      <c r="D53" s="36">
        <v>136</v>
      </c>
      <c r="E53" s="36">
        <v>192</v>
      </c>
      <c r="F53" s="37">
        <v>180</v>
      </c>
      <c r="G53" s="38">
        <v>174</v>
      </c>
      <c r="H53" s="39">
        <v>185</v>
      </c>
      <c r="I53" s="40">
        <v>192</v>
      </c>
      <c r="J53" s="40">
        <v>175</v>
      </c>
      <c r="K53" s="40">
        <v>185</v>
      </c>
      <c r="L53" s="41">
        <v>278</v>
      </c>
      <c r="M53" s="41">
        <v>318</v>
      </c>
      <c r="N53" s="41">
        <v>328</v>
      </c>
      <c r="O53" s="40">
        <v>346</v>
      </c>
      <c r="P53" s="38">
        <v>340</v>
      </c>
      <c r="Q53" s="40">
        <v>336</v>
      </c>
      <c r="R53" s="40">
        <v>127</v>
      </c>
      <c r="S53" s="40">
        <v>102</v>
      </c>
      <c r="T53" s="40">
        <v>173</v>
      </c>
      <c r="U53" s="40">
        <v>169</v>
      </c>
      <c r="V53" s="42" t="s">
        <v>53</v>
      </c>
      <c r="W53" s="40">
        <v>58</v>
      </c>
      <c r="X53" s="40">
        <v>225</v>
      </c>
      <c r="Y53" s="40">
        <v>376</v>
      </c>
      <c r="Z53" s="40">
        <v>356</v>
      </c>
      <c r="AA53" s="43">
        <v>406</v>
      </c>
      <c r="AB53" s="40">
        <v>231</v>
      </c>
      <c r="AC53" s="40">
        <v>138</v>
      </c>
      <c r="AD53" s="40">
        <v>198</v>
      </c>
      <c r="AE53" s="42" t="s">
        <v>53</v>
      </c>
      <c r="AF53" s="40">
        <v>150</v>
      </c>
      <c r="AG53" s="40">
        <v>354</v>
      </c>
      <c r="AH53" s="40">
        <v>168</v>
      </c>
      <c r="AI53" s="40">
        <v>137</v>
      </c>
      <c r="AJ53" s="40">
        <v>190</v>
      </c>
      <c r="AK53" s="40">
        <v>407</v>
      </c>
      <c r="AL53" s="38">
        <v>345</v>
      </c>
      <c r="AM53" s="40">
        <v>327</v>
      </c>
      <c r="AN53" s="40">
        <v>395</v>
      </c>
      <c r="AO53" s="40">
        <v>374</v>
      </c>
      <c r="AP53" s="42" t="s">
        <v>53</v>
      </c>
      <c r="AQ53" s="40">
        <v>292</v>
      </c>
      <c r="AR53" s="40">
        <v>442</v>
      </c>
      <c r="AS53" s="40">
        <v>331</v>
      </c>
      <c r="AT53" s="38">
        <v>302</v>
      </c>
      <c r="AU53" s="40">
        <v>286</v>
      </c>
      <c r="AV53" s="40">
        <v>341</v>
      </c>
      <c r="AW53" s="40">
        <v>310</v>
      </c>
      <c r="AX53" s="40">
        <v>340</v>
      </c>
      <c r="AY53" s="40">
        <v>450</v>
      </c>
      <c r="AZ53" s="40">
        <v>168</v>
      </c>
      <c r="BA53" s="38">
        <v>146</v>
      </c>
      <c r="BB53" s="40">
        <v>144</v>
      </c>
      <c r="BC53" s="40">
        <v>145</v>
      </c>
      <c r="BD53" s="40">
        <v>155</v>
      </c>
      <c r="BE53" s="40">
        <v>153</v>
      </c>
      <c r="BF53" s="40">
        <v>68</v>
      </c>
      <c r="BG53" s="38">
        <v>28</v>
      </c>
      <c r="BH53" s="40">
        <v>18</v>
      </c>
      <c r="BI53" s="40">
        <v>20</v>
      </c>
      <c r="BJ53" s="40">
        <v>19</v>
      </c>
      <c r="BK53" s="43">
        <v>20</v>
      </c>
      <c r="BL53" s="38">
        <v>43</v>
      </c>
      <c r="BM53" s="40">
        <v>86</v>
      </c>
      <c r="BN53" s="40">
        <v>147</v>
      </c>
      <c r="BO53" s="40">
        <v>150</v>
      </c>
      <c r="BP53" s="40">
        <v>151</v>
      </c>
      <c r="BQ53" s="38" t="s">
        <v>54</v>
      </c>
      <c r="BR53" s="40">
        <v>123</v>
      </c>
      <c r="BS53" s="40">
        <v>166</v>
      </c>
      <c r="BT53" s="59" t="s">
        <v>21</v>
      </c>
    </row>
    <row r="54" spans="1:80" ht="23.25" customHeight="1">
      <c r="A54" s="35" t="s">
        <v>22</v>
      </c>
      <c r="B54" s="35"/>
      <c r="C54" s="36">
        <v>178</v>
      </c>
      <c r="D54" s="36">
        <v>154</v>
      </c>
      <c r="E54" s="36">
        <v>189</v>
      </c>
      <c r="F54" s="37">
        <v>178</v>
      </c>
      <c r="G54" s="38">
        <v>168</v>
      </c>
      <c r="H54" s="39">
        <v>193</v>
      </c>
      <c r="I54" s="40">
        <v>215</v>
      </c>
      <c r="J54" s="40">
        <v>195</v>
      </c>
      <c r="K54" s="40">
        <v>195</v>
      </c>
      <c r="L54" s="41">
        <v>322</v>
      </c>
      <c r="M54" s="41">
        <v>372</v>
      </c>
      <c r="N54" s="41">
        <v>308</v>
      </c>
      <c r="O54" s="40">
        <v>362</v>
      </c>
      <c r="P54" s="38">
        <v>356</v>
      </c>
      <c r="Q54" s="40">
        <v>402</v>
      </c>
      <c r="R54" s="40">
        <v>161</v>
      </c>
      <c r="S54" s="40">
        <v>146</v>
      </c>
      <c r="T54" s="40">
        <v>124</v>
      </c>
      <c r="U54" s="40">
        <v>161</v>
      </c>
      <c r="V54" s="42" t="s">
        <v>53</v>
      </c>
      <c r="W54" s="40">
        <v>60</v>
      </c>
      <c r="X54" s="40">
        <v>228</v>
      </c>
      <c r="Y54" s="40">
        <v>442</v>
      </c>
      <c r="Z54" s="40">
        <v>370</v>
      </c>
      <c r="AA54" s="43">
        <v>402</v>
      </c>
      <c r="AB54" s="40">
        <v>247</v>
      </c>
      <c r="AC54" s="40">
        <v>132</v>
      </c>
      <c r="AD54" s="40">
        <v>211</v>
      </c>
      <c r="AE54" s="42" t="s">
        <v>53</v>
      </c>
      <c r="AF54" s="40">
        <v>226</v>
      </c>
      <c r="AG54" s="40">
        <v>337</v>
      </c>
      <c r="AH54" s="40">
        <v>189</v>
      </c>
      <c r="AI54" s="40">
        <v>148</v>
      </c>
      <c r="AJ54" s="40">
        <v>151</v>
      </c>
      <c r="AK54" s="40">
        <v>452</v>
      </c>
      <c r="AL54" s="38">
        <v>353</v>
      </c>
      <c r="AM54" s="40">
        <v>338</v>
      </c>
      <c r="AN54" s="40">
        <v>428</v>
      </c>
      <c r="AO54" s="40">
        <v>403</v>
      </c>
      <c r="AP54" s="42" t="s">
        <v>53</v>
      </c>
      <c r="AQ54" s="40">
        <v>302</v>
      </c>
      <c r="AR54" s="40">
        <v>430</v>
      </c>
      <c r="AS54" s="40">
        <v>346</v>
      </c>
      <c r="AT54" s="38">
        <v>330</v>
      </c>
      <c r="AU54" s="40">
        <v>296</v>
      </c>
      <c r="AV54" s="40">
        <v>254</v>
      </c>
      <c r="AW54" s="40">
        <v>366</v>
      </c>
      <c r="AX54" s="40">
        <v>378</v>
      </c>
      <c r="AY54" s="40">
        <v>478</v>
      </c>
      <c r="AZ54" s="40">
        <v>173</v>
      </c>
      <c r="BA54" s="38">
        <v>152</v>
      </c>
      <c r="BB54" s="40">
        <v>162</v>
      </c>
      <c r="BC54" s="40">
        <v>154</v>
      </c>
      <c r="BD54" s="40">
        <v>166</v>
      </c>
      <c r="BE54" s="40">
        <v>153</v>
      </c>
      <c r="BF54" s="40">
        <v>58</v>
      </c>
      <c r="BG54" s="38">
        <v>26</v>
      </c>
      <c r="BH54" s="40">
        <v>25</v>
      </c>
      <c r="BI54" s="40">
        <v>21</v>
      </c>
      <c r="BJ54" s="40">
        <v>19</v>
      </c>
      <c r="BK54" s="43">
        <v>23</v>
      </c>
      <c r="BL54" s="38">
        <v>39</v>
      </c>
      <c r="BM54" s="40">
        <v>120</v>
      </c>
      <c r="BN54" s="40">
        <v>155</v>
      </c>
      <c r="BO54" s="40">
        <v>169</v>
      </c>
      <c r="BP54" s="40">
        <v>165</v>
      </c>
      <c r="BQ54" s="38" t="s">
        <v>54</v>
      </c>
      <c r="BR54" s="40">
        <v>157</v>
      </c>
      <c r="BS54" s="40">
        <v>176</v>
      </c>
      <c r="BT54" s="59" t="s">
        <v>23</v>
      </c>
      <c r="BY54" s="22"/>
      <c r="BZ54" s="22"/>
      <c r="CA54" s="22"/>
      <c r="CB54" s="22"/>
    </row>
    <row r="55" spans="1:80" ht="23.25" customHeight="1">
      <c r="A55" s="35" t="s">
        <v>24</v>
      </c>
      <c r="B55" s="35"/>
      <c r="C55" s="36">
        <v>139</v>
      </c>
      <c r="D55" s="36">
        <v>153</v>
      </c>
      <c r="E55" s="36">
        <v>200</v>
      </c>
      <c r="F55" s="37">
        <v>189</v>
      </c>
      <c r="G55" s="38">
        <v>173</v>
      </c>
      <c r="H55" s="39">
        <v>214</v>
      </c>
      <c r="I55" s="40">
        <v>217</v>
      </c>
      <c r="J55" s="40">
        <v>210</v>
      </c>
      <c r="K55" s="40">
        <v>221</v>
      </c>
      <c r="L55" s="41">
        <v>254</v>
      </c>
      <c r="M55" s="41">
        <v>362</v>
      </c>
      <c r="N55" s="41">
        <v>464</v>
      </c>
      <c r="O55" s="40">
        <v>392</v>
      </c>
      <c r="P55" s="38">
        <v>346</v>
      </c>
      <c r="Q55" s="40">
        <v>438</v>
      </c>
      <c r="R55" s="40">
        <v>121</v>
      </c>
      <c r="S55" s="40">
        <v>145</v>
      </c>
      <c r="T55" s="40">
        <v>138</v>
      </c>
      <c r="U55" s="40">
        <v>159</v>
      </c>
      <c r="V55" s="42" t="s">
        <v>53</v>
      </c>
      <c r="W55" s="40">
        <v>66</v>
      </c>
      <c r="X55" s="40">
        <v>226</v>
      </c>
      <c r="Y55" s="40">
        <v>436</v>
      </c>
      <c r="Z55" s="40">
        <v>412</v>
      </c>
      <c r="AA55" s="43">
        <v>424</v>
      </c>
      <c r="AB55" s="40">
        <v>226</v>
      </c>
      <c r="AC55" s="40">
        <v>99</v>
      </c>
      <c r="AD55" s="40">
        <v>149</v>
      </c>
      <c r="AE55" s="42" t="s">
        <v>53</v>
      </c>
      <c r="AF55" s="40">
        <v>250</v>
      </c>
      <c r="AG55" s="40">
        <v>402</v>
      </c>
      <c r="AH55" s="40">
        <v>146</v>
      </c>
      <c r="AI55" s="40">
        <v>180</v>
      </c>
      <c r="AJ55" s="40">
        <v>177</v>
      </c>
      <c r="AK55" s="40">
        <v>464</v>
      </c>
      <c r="AL55" s="38">
        <v>365</v>
      </c>
      <c r="AM55" s="40">
        <v>381</v>
      </c>
      <c r="AN55" s="40">
        <v>421</v>
      </c>
      <c r="AO55" s="40">
        <v>450</v>
      </c>
      <c r="AP55" s="42" t="s">
        <v>53</v>
      </c>
      <c r="AQ55" s="40">
        <v>333</v>
      </c>
      <c r="AR55" s="40">
        <v>420</v>
      </c>
      <c r="AS55" s="40">
        <v>370</v>
      </c>
      <c r="AT55" s="38">
        <v>341</v>
      </c>
      <c r="AU55" s="40">
        <v>329</v>
      </c>
      <c r="AV55" s="40">
        <v>159</v>
      </c>
      <c r="AW55" s="40">
        <v>397</v>
      </c>
      <c r="AX55" s="40">
        <v>430</v>
      </c>
      <c r="AY55" s="40">
        <v>480</v>
      </c>
      <c r="AZ55" s="40">
        <v>172</v>
      </c>
      <c r="BA55" s="38">
        <v>163</v>
      </c>
      <c r="BB55" s="40">
        <v>156</v>
      </c>
      <c r="BC55" s="40">
        <v>148</v>
      </c>
      <c r="BD55" s="40">
        <v>165</v>
      </c>
      <c r="BE55" s="40">
        <v>161</v>
      </c>
      <c r="BF55" s="40">
        <v>60</v>
      </c>
      <c r="BG55" s="38">
        <v>26</v>
      </c>
      <c r="BH55" s="40">
        <v>19</v>
      </c>
      <c r="BI55" s="40">
        <v>22</v>
      </c>
      <c r="BJ55" s="40">
        <v>27</v>
      </c>
      <c r="BK55" s="43">
        <v>30</v>
      </c>
      <c r="BL55" s="38">
        <v>54</v>
      </c>
      <c r="BM55" s="40">
        <v>149</v>
      </c>
      <c r="BN55" s="40">
        <v>173</v>
      </c>
      <c r="BO55" s="40">
        <v>147</v>
      </c>
      <c r="BP55" s="40">
        <v>155</v>
      </c>
      <c r="BQ55" s="38" t="s">
        <v>54</v>
      </c>
      <c r="BR55" s="40">
        <v>172</v>
      </c>
      <c r="BS55" s="40">
        <v>189</v>
      </c>
      <c r="BT55" s="59" t="s">
        <v>25</v>
      </c>
    </row>
    <row r="56" spans="1:80" ht="23.25" customHeight="1">
      <c r="A56" s="35" t="s">
        <v>26</v>
      </c>
      <c r="B56" s="35"/>
      <c r="C56" s="36">
        <v>148</v>
      </c>
      <c r="D56" s="36">
        <v>155</v>
      </c>
      <c r="E56" s="36">
        <v>200</v>
      </c>
      <c r="F56" s="37">
        <v>185</v>
      </c>
      <c r="G56" s="38">
        <v>177</v>
      </c>
      <c r="H56" s="39">
        <v>233</v>
      </c>
      <c r="I56" s="40">
        <v>242</v>
      </c>
      <c r="J56" s="40">
        <v>215</v>
      </c>
      <c r="K56" s="40">
        <v>228</v>
      </c>
      <c r="L56" s="41">
        <v>272</v>
      </c>
      <c r="M56" s="41">
        <v>286</v>
      </c>
      <c r="N56" s="41">
        <v>376</v>
      </c>
      <c r="O56" s="40">
        <v>346</v>
      </c>
      <c r="P56" s="38">
        <v>320</v>
      </c>
      <c r="Q56" s="40">
        <v>432</v>
      </c>
      <c r="R56" s="40">
        <v>139</v>
      </c>
      <c r="S56" s="40">
        <v>100</v>
      </c>
      <c r="T56" s="40">
        <v>202</v>
      </c>
      <c r="U56" s="40">
        <v>139</v>
      </c>
      <c r="V56" s="42" t="s">
        <v>53</v>
      </c>
      <c r="W56" s="40">
        <v>54</v>
      </c>
      <c r="X56" s="40">
        <v>199</v>
      </c>
      <c r="Y56" s="40">
        <v>434</v>
      </c>
      <c r="Z56" s="40">
        <v>402</v>
      </c>
      <c r="AA56" s="43">
        <v>392</v>
      </c>
      <c r="AB56" s="40">
        <v>223</v>
      </c>
      <c r="AC56" s="40">
        <v>185</v>
      </c>
      <c r="AD56" s="40">
        <v>167</v>
      </c>
      <c r="AE56" s="42" t="s">
        <v>53</v>
      </c>
      <c r="AF56" s="40">
        <v>308</v>
      </c>
      <c r="AG56" s="40">
        <v>387</v>
      </c>
      <c r="AH56" s="40">
        <v>172</v>
      </c>
      <c r="AI56" s="40">
        <v>191</v>
      </c>
      <c r="AJ56" s="40">
        <v>178</v>
      </c>
      <c r="AK56" s="40">
        <v>409</v>
      </c>
      <c r="AL56" s="38">
        <v>341</v>
      </c>
      <c r="AM56" s="40">
        <v>317</v>
      </c>
      <c r="AN56" s="40">
        <v>419</v>
      </c>
      <c r="AO56" s="40">
        <v>375</v>
      </c>
      <c r="AP56" s="42" t="s">
        <v>53</v>
      </c>
      <c r="AQ56" s="40">
        <v>335</v>
      </c>
      <c r="AR56" s="40">
        <v>318</v>
      </c>
      <c r="AS56" s="40">
        <v>357</v>
      </c>
      <c r="AT56" s="38">
        <v>314</v>
      </c>
      <c r="AU56" s="40">
        <v>331</v>
      </c>
      <c r="AV56" s="40">
        <v>159</v>
      </c>
      <c r="AW56" s="40">
        <v>362</v>
      </c>
      <c r="AX56" s="40">
        <v>360</v>
      </c>
      <c r="AY56" s="40">
        <v>380</v>
      </c>
      <c r="AZ56" s="40">
        <v>166</v>
      </c>
      <c r="BA56" s="38">
        <v>151</v>
      </c>
      <c r="BB56" s="40">
        <v>155</v>
      </c>
      <c r="BC56" s="40">
        <v>166</v>
      </c>
      <c r="BD56" s="40">
        <v>158</v>
      </c>
      <c r="BE56" s="40">
        <v>154</v>
      </c>
      <c r="BF56" s="40">
        <v>46</v>
      </c>
      <c r="BG56" s="38">
        <v>32</v>
      </c>
      <c r="BH56" s="40">
        <v>24</v>
      </c>
      <c r="BI56" s="40">
        <v>21</v>
      </c>
      <c r="BJ56" s="40">
        <v>23</v>
      </c>
      <c r="BK56" s="43">
        <v>21</v>
      </c>
      <c r="BL56" s="38">
        <v>69</v>
      </c>
      <c r="BM56" s="40">
        <v>130</v>
      </c>
      <c r="BN56" s="40">
        <v>173</v>
      </c>
      <c r="BO56" s="40">
        <v>141</v>
      </c>
      <c r="BP56" s="40">
        <v>154</v>
      </c>
      <c r="BQ56" s="38" t="s">
        <v>54</v>
      </c>
      <c r="BR56" s="40">
        <v>165</v>
      </c>
      <c r="BS56" s="40">
        <v>161</v>
      </c>
      <c r="BT56" s="59" t="s">
        <v>27</v>
      </c>
    </row>
    <row r="57" spans="1:80" ht="23.25" customHeight="1">
      <c r="A57" s="35" t="s">
        <v>28</v>
      </c>
      <c r="B57" s="35"/>
      <c r="C57" s="36">
        <v>144</v>
      </c>
      <c r="D57" s="36">
        <v>157</v>
      </c>
      <c r="E57" s="36">
        <v>204</v>
      </c>
      <c r="F57" s="37">
        <v>180</v>
      </c>
      <c r="G57" s="38">
        <v>163</v>
      </c>
      <c r="H57" s="39">
        <v>228</v>
      </c>
      <c r="I57" s="40">
        <v>238</v>
      </c>
      <c r="J57" s="40">
        <v>168</v>
      </c>
      <c r="K57" s="40">
        <v>217</v>
      </c>
      <c r="L57" s="41">
        <v>190</v>
      </c>
      <c r="M57" s="41">
        <v>272</v>
      </c>
      <c r="N57" s="41">
        <v>380</v>
      </c>
      <c r="O57" s="40">
        <v>366</v>
      </c>
      <c r="P57" s="38">
        <v>334</v>
      </c>
      <c r="Q57" s="40">
        <v>492</v>
      </c>
      <c r="R57" s="40">
        <v>104</v>
      </c>
      <c r="S57" s="40">
        <v>122</v>
      </c>
      <c r="T57" s="40">
        <v>165</v>
      </c>
      <c r="U57" s="40">
        <v>177</v>
      </c>
      <c r="V57" s="40">
        <v>4</v>
      </c>
      <c r="W57" s="40">
        <v>52</v>
      </c>
      <c r="X57" s="40">
        <v>210</v>
      </c>
      <c r="Y57" s="40">
        <v>446</v>
      </c>
      <c r="Z57" s="40">
        <v>394</v>
      </c>
      <c r="AA57" s="43">
        <v>408</v>
      </c>
      <c r="AB57" s="40">
        <v>251</v>
      </c>
      <c r="AC57" s="40">
        <v>104</v>
      </c>
      <c r="AD57" s="40">
        <v>172</v>
      </c>
      <c r="AE57" s="40">
        <v>186</v>
      </c>
      <c r="AF57" s="40">
        <v>365</v>
      </c>
      <c r="AG57" s="40">
        <v>439</v>
      </c>
      <c r="AH57" s="40">
        <v>122</v>
      </c>
      <c r="AI57" s="40">
        <v>105</v>
      </c>
      <c r="AJ57" s="40">
        <v>151</v>
      </c>
      <c r="AK57" s="40">
        <v>451</v>
      </c>
      <c r="AL57" s="38">
        <v>336</v>
      </c>
      <c r="AM57" s="40">
        <v>326</v>
      </c>
      <c r="AN57" s="40">
        <v>402</v>
      </c>
      <c r="AO57" s="40">
        <v>414</v>
      </c>
      <c r="AP57" s="40">
        <v>30</v>
      </c>
      <c r="AQ57" s="40">
        <v>357</v>
      </c>
      <c r="AR57" s="40">
        <v>350</v>
      </c>
      <c r="AS57" s="40">
        <v>368</v>
      </c>
      <c r="AT57" s="38">
        <v>328</v>
      </c>
      <c r="AU57" s="40">
        <v>321</v>
      </c>
      <c r="AV57" s="40">
        <v>160</v>
      </c>
      <c r="AW57" s="40">
        <v>387</v>
      </c>
      <c r="AX57" s="40">
        <v>392</v>
      </c>
      <c r="AY57" s="40">
        <v>441</v>
      </c>
      <c r="AZ57" s="40">
        <v>185</v>
      </c>
      <c r="BA57" s="38">
        <v>173</v>
      </c>
      <c r="BB57" s="40">
        <v>167</v>
      </c>
      <c r="BC57" s="40">
        <v>163</v>
      </c>
      <c r="BD57" s="40">
        <v>167</v>
      </c>
      <c r="BE57" s="40">
        <v>165</v>
      </c>
      <c r="BF57" s="40">
        <v>54</v>
      </c>
      <c r="BG57" s="38">
        <v>27</v>
      </c>
      <c r="BH57" s="40">
        <v>20</v>
      </c>
      <c r="BI57" s="40">
        <v>19</v>
      </c>
      <c r="BJ57" s="40">
        <v>18</v>
      </c>
      <c r="BK57" s="43">
        <v>19</v>
      </c>
      <c r="BL57" s="38">
        <v>87</v>
      </c>
      <c r="BM57" s="40">
        <v>150</v>
      </c>
      <c r="BN57" s="40">
        <v>188</v>
      </c>
      <c r="BO57" s="40">
        <v>171</v>
      </c>
      <c r="BP57" s="40">
        <v>171</v>
      </c>
      <c r="BQ57" s="38">
        <v>132</v>
      </c>
      <c r="BR57" s="40">
        <v>180</v>
      </c>
      <c r="BS57" s="40">
        <v>186</v>
      </c>
      <c r="BT57" s="59" t="s">
        <v>29</v>
      </c>
      <c r="BY57" s="22"/>
      <c r="BZ57" s="22"/>
      <c r="CA57" s="22"/>
      <c r="CB57" s="22"/>
    </row>
    <row r="58" spans="1:80" ht="23.25" customHeight="1">
      <c r="A58" s="35" t="s">
        <v>30</v>
      </c>
      <c r="B58" s="35"/>
      <c r="C58" s="36">
        <v>151</v>
      </c>
      <c r="D58" s="36">
        <v>170</v>
      </c>
      <c r="E58" s="36">
        <v>203</v>
      </c>
      <c r="F58" s="37">
        <v>147</v>
      </c>
      <c r="G58" s="38">
        <v>179</v>
      </c>
      <c r="H58" s="39">
        <v>202</v>
      </c>
      <c r="I58" s="40">
        <v>241</v>
      </c>
      <c r="J58" s="40">
        <v>204</v>
      </c>
      <c r="K58" s="40">
        <v>226</v>
      </c>
      <c r="L58" s="41">
        <v>354</v>
      </c>
      <c r="M58" s="41">
        <v>282</v>
      </c>
      <c r="N58" s="41">
        <v>390</v>
      </c>
      <c r="O58" s="40">
        <v>374</v>
      </c>
      <c r="P58" s="38">
        <v>334</v>
      </c>
      <c r="Q58" s="40">
        <v>458</v>
      </c>
      <c r="R58" s="40">
        <v>142</v>
      </c>
      <c r="S58" s="40">
        <v>129</v>
      </c>
      <c r="T58" s="40">
        <v>199</v>
      </c>
      <c r="U58" s="40">
        <v>160</v>
      </c>
      <c r="V58" s="40">
        <v>144</v>
      </c>
      <c r="W58" s="40">
        <v>84</v>
      </c>
      <c r="X58" s="40">
        <v>253</v>
      </c>
      <c r="Y58" s="40">
        <v>410</v>
      </c>
      <c r="Z58" s="40">
        <v>390</v>
      </c>
      <c r="AA58" s="43">
        <v>348</v>
      </c>
      <c r="AB58" s="40">
        <v>224</v>
      </c>
      <c r="AC58" s="40">
        <v>162</v>
      </c>
      <c r="AD58" s="40">
        <v>177</v>
      </c>
      <c r="AE58" s="40">
        <v>275</v>
      </c>
      <c r="AF58" s="40">
        <v>325</v>
      </c>
      <c r="AG58" s="40">
        <v>415</v>
      </c>
      <c r="AH58" s="40">
        <v>133</v>
      </c>
      <c r="AI58" s="40">
        <v>148</v>
      </c>
      <c r="AJ58" s="40">
        <v>173</v>
      </c>
      <c r="AK58" s="40">
        <v>375</v>
      </c>
      <c r="AL58" s="38">
        <v>304</v>
      </c>
      <c r="AM58" s="40">
        <v>298</v>
      </c>
      <c r="AN58" s="40">
        <v>365</v>
      </c>
      <c r="AO58" s="40">
        <v>383</v>
      </c>
      <c r="AP58" s="40">
        <v>49</v>
      </c>
      <c r="AQ58" s="40">
        <v>365</v>
      </c>
      <c r="AR58" s="40">
        <v>349</v>
      </c>
      <c r="AS58" s="40">
        <v>309</v>
      </c>
      <c r="AT58" s="38">
        <v>319</v>
      </c>
      <c r="AU58" s="40">
        <v>324</v>
      </c>
      <c r="AV58" s="40">
        <v>159</v>
      </c>
      <c r="AW58" s="40">
        <v>370</v>
      </c>
      <c r="AX58" s="40">
        <v>379</v>
      </c>
      <c r="AY58" s="40">
        <v>374</v>
      </c>
      <c r="AZ58" s="40">
        <v>169</v>
      </c>
      <c r="BA58" s="38">
        <v>164</v>
      </c>
      <c r="BB58" s="40">
        <v>160</v>
      </c>
      <c r="BC58" s="40">
        <v>170</v>
      </c>
      <c r="BD58" s="40">
        <v>159</v>
      </c>
      <c r="BE58" s="40">
        <v>177</v>
      </c>
      <c r="BF58" s="40">
        <v>50</v>
      </c>
      <c r="BG58" s="38">
        <v>30</v>
      </c>
      <c r="BH58" s="40">
        <v>22</v>
      </c>
      <c r="BI58" s="40">
        <v>21</v>
      </c>
      <c r="BJ58" s="40">
        <v>24</v>
      </c>
      <c r="BK58" s="43">
        <v>17</v>
      </c>
      <c r="BL58" s="38">
        <v>127</v>
      </c>
      <c r="BM58" s="40">
        <v>132</v>
      </c>
      <c r="BN58" s="40">
        <v>164</v>
      </c>
      <c r="BO58" s="40">
        <v>156</v>
      </c>
      <c r="BP58" s="40">
        <v>168</v>
      </c>
      <c r="BQ58" s="38">
        <v>178</v>
      </c>
      <c r="BR58" s="40">
        <v>175</v>
      </c>
      <c r="BS58" s="40">
        <v>210</v>
      </c>
      <c r="BT58" s="59" t="s">
        <v>31</v>
      </c>
    </row>
    <row r="59" spans="1:80" ht="23.25" customHeight="1">
      <c r="A59" s="44" t="s">
        <v>32</v>
      </c>
      <c r="B59" s="44"/>
      <c r="C59" s="45">
        <v>134</v>
      </c>
      <c r="D59" s="45">
        <v>174</v>
      </c>
      <c r="E59" s="45">
        <v>220</v>
      </c>
      <c r="F59" s="46">
        <v>162</v>
      </c>
      <c r="G59" s="47">
        <v>199</v>
      </c>
      <c r="H59" s="48">
        <v>181</v>
      </c>
      <c r="I59" s="49">
        <v>267</v>
      </c>
      <c r="J59" s="49">
        <v>212</v>
      </c>
      <c r="K59" s="49">
        <v>205</v>
      </c>
      <c r="L59" s="50">
        <v>330</v>
      </c>
      <c r="M59" s="50">
        <v>368</v>
      </c>
      <c r="N59" s="50">
        <v>371</v>
      </c>
      <c r="O59" s="49">
        <v>398</v>
      </c>
      <c r="P59" s="47">
        <v>406</v>
      </c>
      <c r="Q59" s="49">
        <v>458</v>
      </c>
      <c r="R59" s="49">
        <v>121</v>
      </c>
      <c r="S59" s="49">
        <v>105</v>
      </c>
      <c r="T59" s="49">
        <v>170</v>
      </c>
      <c r="U59" s="49">
        <v>162</v>
      </c>
      <c r="V59" s="49">
        <v>114</v>
      </c>
      <c r="W59" s="49">
        <v>82</v>
      </c>
      <c r="X59" s="49">
        <v>222</v>
      </c>
      <c r="Y59" s="49">
        <v>418</v>
      </c>
      <c r="Z59" s="49">
        <v>390</v>
      </c>
      <c r="AA59" s="51">
        <v>412</v>
      </c>
      <c r="AB59" s="49">
        <v>220</v>
      </c>
      <c r="AC59" s="49">
        <v>216</v>
      </c>
      <c r="AD59" s="49">
        <v>195</v>
      </c>
      <c r="AE59" s="49">
        <v>308</v>
      </c>
      <c r="AF59" s="49">
        <v>350</v>
      </c>
      <c r="AG59" s="49">
        <v>405</v>
      </c>
      <c r="AH59" s="49">
        <v>167</v>
      </c>
      <c r="AI59" s="49">
        <v>268</v>
      </c>
      <c r="AJ59" s="49">
        <v>217</v>
      </c>
      <c r="AK59" s="49">
        <v>394</v>
      </c>
      <c r="AL59" s="47">
        <v>314</v>
      </c>
      <c r="AM59" s="49">
        <v>316</v>
      </c>
      <c r="AN59" s="49">
        <v>399</v>
      </c>
      <c r="AO59" s="49">
        <v>410</v>
      </c>
      <c r="AP59" s="49">
        <v>94</v>
      </c>
      <c r="AQ59" s="49">
        <v>369</v>
      </c>
      <c r="AR59" s="49">
        <v>346</v>
      </c>
      <c r="AS59" s="49">
        <v>329</v>
      </c>
      <c r="AT59" s="47">
        <v>327</v>
      </c>
      <c r="AU59" s="49">
        <v>329</v>
      </c>
      <c r="AV59" s="49">
        <v>170</v>
      </c>
      <c r="AW59" s="49">
        <v>385</v>
      </c>
      <c r="AX59" s="49">
        <v>387</v>
      </c>
      <c r="AY59" s="49">
        <v>453</v>
      </c>
      <c r="AZ59" s="49">
        <v>178</v>
      </c>
      <c r="BA59" s="47">
        <v>178</v>
      </c>
      <c r="BB59" s="49">
        <v>169</v>
      </c>
      <c r="BC59" s="49">
        <v>180</v>
      </c>
      <c r="BD59" s="49">
        <v>171</v>
      </c>
      <c r="BE59" s="49">
        <v>255</v>
      </c>
      <c r="BF59" s="49">
        <v>39</v>
      </c>
      <c r="BG59" s="47">
        <v>30</v>
      </c>
      <c r="BH59" s="49">
        <v>24</v>
      </c>
      <c r="BI59" s="49">
        <v>23</v>
      </c>
      <c r="BJ59" s="49">
        <v>22</v>
      </c>
      <c r="BK59" s="51">
        <v>15</v>
      </c>
      <c r="BL59" s="47">
        <v>124</v>
      </c>
      <c r="BM59" s="49">
        <v>131</v>
      </c>
      <c r="BN59" s="49">
        <v>169</v>
      </c>
      <c r="BO59" s="49">
        <v>158</v>
      </c>
      <c r="BP59" s="49">
        <v>161</v>
      </c>
      <c r="BQ59" s="47">
        <v>178</v>
      </c>
      <c r="BR59" s="49">
        <v>171</v>
      </c>
      <c r="BS59" s="49">
        <v>212</v>
      </c>
      <c r="BT59" s="60" t="s">
        <v>33</v>
      </c>
    </row>
    <row r="60" spans="1:80" ht="18.75">
      <c r="A60" s="6" t="s">
        <v>6</v>
      </c>
      <c r="B60" s="6"/>
      <c r="C60" s="8"/>
      <c r="D60" s="8"/>
      <c r="E60" s="8"/>
      <c r="F60" s="8"/>
      <c r="G60" s="8"/>
      <c r="H60" s="8"/>
      <c r="I60" s="8"/>
      <c r="J60" s="8"/>
      <c r="K60" s="8"/>
      <c r="BT60" s="9" t="s">
        <v>7</v>
      </c>
      <c r="BX60" s="17"/>
      <c r="BY60" s="22"/>
      <c r="BZ60" s="22"/>
      <c r="CA60" s="22"/>
      <c r="CB60" s="22"/>
    </row>
  </sheetData>
  <mergeCells count="42">
    <mergeCell ref="BT44:BT46"/>
    <mergeCell ref="G45:K45"/>
    <mergeCell ref="P45:AA45"/>
    <mergeCell ref="AC45:AJ45"/>
    <mergeCell ref="AL45:AR45"/>
    <mergeCell ref="AT45:AX45"/>
    <mergeCell ref="BA45:BE45"/>
    <mergeCell ref="BG45:BK45"/>
    <mergeCell ref="BL45:BP45"/>
    <mergeCell ref="BQ45:BS45"/>
    <mergeCell ref="AT44:AX44"/>
    <mergeCell ref="BA44:BE44"/>
    <mergeCell ref="BG44:BK44"/>
    <mergeCell ref="BL44:BP44"/>
    <mergeCell ref="BQ44:BS44"/>
    <mergeCell ref="A44:A46"/>
    <mergeCell ref="G44:K44"/>
    <mergeCell ref="P44:AA44"/>
    <mergeCell ref="AC44:AJ44"/>
    <mergeCell ref="AL44:AR44"/>
    <mergeCell ref="A1:AB1"/>
    <mergeCell ref="A2:AB2"/>
    <mergeCell ref="A4:A7"/>
    <mergeCell ref="B4:C4"/>
    <mergeCell ref="E4:F4"/>
    <mergeCell ref="H4:I4"/>
    <mergeCell ref="K4:L4"/>
    <mergeCell ref="N4:O4"/>
    <mergeCell ref="Q4:R4"/>
    <mergeCell ref="T4:U4"/>
    <mergeCell ref="B5:C5"/>
    <mergeCell ref="E5:F5"/>
    <mergeCell ref="H5:I5"/>
    <mergeCell ref="K5:L5"/>
    <mergeCell ref="AB4:AB7"/>
    <mergeCell ref="N5:O5"/>
    <mergeCell ref="W5:X5"/>
    <mergeCell ref="Z5:AA5"/>
    <mergeCell ref="W4:X4"/>
    <mergeCell ref="Z4:AA4"/>
    <mergeCell ref="Q5:R5"/>
    <mergeCell ref="T5:U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92D050"/>
  </sheetPr>
  <dimension ref="A1:AD163"/>
  <sheetViews>
    <sheetView tabSelected="1" zoomScale="98" zoomScaleNormal="98" workbookViewId="0">
      <selection activeCell="U170" sqref="U170"/>
    </sheetView>
  </sheetViews>
  <sheetFormatPr defaultColWidth="9.140625" defaultRowHeight="15"/>
  <cols>
    <col min="1" max="1" width="13.42578125" style="77" customWidth="1"/>
    <col min="2" max="8" width="10.5703125" style="77" customWidth="1"/>
    <col min="9" max="9" width="1.140625" style="77" customWidth="1"/>
    <col min="10" max="12" width="1.28515625" style="77" customWidth="1"/>
    <col min="13" max="13" width="13.42578125" style="77" customWidth="1"/>
    <col min="14" max="20" width="10.5703125" style="77" customWidth="1"/>
    <col min="21" max="16384" width="9.140625" style="77"/>
  </cols>
  <sheetData>
    <row r="1" spans="1:30" ht="27.75" customHeight="1">
      <c r="A1" s="125" t="s">
        <v>96</v>
      </c>
      <c r="B1" s="130"/>
      <c r="C1" s="130"/>
      <c r="D1" s="130"/>
      <c r="E1" s="130"/>
      <c r="F1" s="130"/>
      <c r="G1" s="130"/>
      <c r="H1" s="130"/>
      <c r="I1" s="130"/>
      <c r="J1" s="130"/>
      <c r="K1" s="130"/>
      <c r="L1" s="130"/>
      <c r="M1" s="130"/>
      <c r="N1" s="130"/>
      <c r="O1" s="130"/>
      <c r="P1" s="130"/>
      <c r="Q1" s="130"/>
      <c r="R1" s="130"/>
      <c r="S1" s="130"/>
      <c r="T1" s="130"/>
      <c r="U1" s="81"/>
      <c r="V1" s="81"/>
      <c r="W1" s="81"/>
      <c r="X1" s="81"/>
      <c r="Y1" s="81"/>
      <c r="Z1" s="81"/>
      <c r="AA1" s="81"/>
      <c r="AB1" s="81"/>
      <c r="AC1" s="81"/>
      <c r="AD1" s="81"/>
    </row>
    <row r="2" spans="1:30">
      <c r="A2" s="174" t="s">
        <v>97</v>
      </c>
      <c r="B2" s="174"/>
      <c r="C2" s="174"/>
      <c r="D2" s="174"/>
      <c r="E2" s="174"/>
      <c r="F2" s="174"/>
      <c r="G2" s="174"/>
      <c r="H2" s="174"/>
      <c r="I2" s="102"/>
      <c r="J2" s="103"/>
      <c r="K2" s="103"/>
      <c r="L2" s="103"/>
      <c r="M2" s="166" t="s">
        <v>98</v>
      </c>
      <c r="N2" s="166"/>
      <c r="O2" s="166"/>
      <c r="P2" s="166"/>
      <c r="Q2" s="166"/>
      <c r="R2" s="166"/>
      <c r="S2" s="166"/>
      <c r="T2" s="166"/>
    </row>
    <row r="3" spans="1:30">
      <c r="M3" s="104"/>
      <c r="N3" s="103"/>
      <c r="O3" s="103"/>
      <c r="P3" s="103"/>
      <c r="Q3" s="103"/>
      <c r="R3" s="103"/>
      <c r="S3" s="103"/>
      <c r="T3" s="103"/>
    </row>
    <row r="4" spans="1:30">
      <c r="A4" s="167" t="s">
        <v>64</v>
      </c>
      <c r="B4" s="169" t="s">
        <v>65</v>
      </c>
      <c r="C4" s="171" t="s">
        <v>66</v>
      </c>
      <c r="D4" s="171"/>
      <c r="E4" s="172" t="s">
        <v>67</v>
      </c>
      <c r="F4" s="173"/>
      <c r="G4" s="171" t="s">
        <v>68</v>
      </c>
      <c r="H4" s="171"/>
      <c r="I4" s="105"/>
      <c r="J4" s="103"/>
      <c r="K4" s="103"/>
      <c r="L4" s="103"/>
      <c r="M4" s="167" t="s">
        <v>64</v>
      </c>
      <c r="N4" s="169" t="s">
        <v>65</v>
      </c>
      <c r="O4" s="171" t="s">
        <v>66</v>
      </c>
      <c r="P4" s="171"/>
      <c r="Q4" s="172" t="s">
        <v>67</v>
      </c>
      <c r="R4" s="173"/>
      <c r="S4" s="171" t="s">
        <v>68</v>
      </c>
      <c r="T4" s="171"/>
    </row>
    <row r="5" spans="1:30">
      <c r="A5" s="168"/>
      <c r="B5" s="170"/>
      <c r="C5" s="106" t="s">
        <v>69</v>
      </c>
      <c r="D5" s="106" t="s">
        <v>70</v>
      </c>
      <c r="E5" s="107" t="s">
        <v>69</v>
      </c>
      <c r="F5" s="108" t="s">
        <v>70</v>
      </c>
      <c r="G5" s="106" t="s">
        <v>69</v>
      </c>
      <c r="H5" s="106" t="s">
        <v>70</v>
      </c>
      <c r="I5" s="109"/>
      <c r="J5" s="103"/>
      <c r="K5" s="103"/>
      <c r="L5" s="103"/>
      <c r="M5" s="168"/>
      <c r="N5" s="170"/>
      <c r="O5" s="106" t="s">
        <v>69</v>
      </c>
      <c r="P5" s="106" t="s">
        <v>70</v>
      </c>
      <c r="Q5" s="107" t="s">
        <v>69</v>
      </c>
      <c r="R5" s="108" t="s">
        <v>70</v>
      </c>
      <c r="S5" s="106" t="s">
        <v>69</v>
      </c>
      <c r="T5" s="106" t="s">
        <v>70</v>
      </c>
    </row>
    <row r="6" spans="1:30">
      <c r="A6" s="110" t="s">
        <v>4</v>
      </c>
      <c r="B6" s="111"/>
      <c r="C6" s="111"/>
      <c r="D6" s="111"/>
      <c r="E6" s="79"/>
      <c r="F6" s="112"/>
      <c r="G6" s="111"/>
      <c r="H6" s="111"/>
      <c r="I6" s="99"/>
      <c r="J6" s="103"/>
      <c r="K6" s="103"/>
      <c r="L6" s="103"/>
      <c r="M6" s="110" t="s">
        <v>4</v>
      </c>
      <c r="N6" s="111"/>
      <c r="O6" s="111"/>
      <c r="P6" s="111"/>
      <c r="Q6" s="79"/>
      <c r="R6" s="112"/>
      <c r="S6" s="111"/>
      <c r="T6" s="111"/>
    </row>
    <row r="7" spans="1:30">
      <c r="A7" s="97" t="s">
        <v>10</v>
      </c>
      <c r="B7" s="78">
        <v>292</v>
      </c>
      <c r="C7" s="78">
        <v>3926</v>
      </c>
      <c r="D7" s="78">
        <v>3785</v>
      </c>
      <c r="E7" s="119">
        <v>3224</v>
      </c>
      <c r="F7" s="120">
        <v>2032</v>
      </c>
      <c r="G7" s="78">
        <v>42</v>
      </c>
      <c r="H7" s="78">
        <v>7</v>
      </c>
      <c r="I7" s="78"/>
      <c r="J7" s="103"/>
      <c r="K7" s="103"/>
      <c r="L7" s="103"/>
      <c r="M7" s="97" t="s">
        <v>10</v>
      </c>
      <c r="N7" s="78">
        <v>128</v>
      </c>
      <c r="O7" s="78">
        <v>3708</v>
      </c>
      <c r="P7" s="78">
        <v>3223</v>
      </c>
      <c r="Q7" s="119" t="s">
        <v>86</v>
      </c>
      <c r="R7" s="120" t="s">
        <v>87</v>
      </c>
      <c r="S7" s="78" t="s">
        <v>99</v>
      </c>
      <c r="T7" s="78" t="s">
        <v>85</v>
      </c>
    </row>
    <row r="8" spans="1:30">
      <c r="A8" s="97" t="s">
        <v>12</v>
      </c>
      <c r="B8" s="78">
        <v>252</v>
      </c>
      <c r="C8" s="78">
        <v>3491</v>
      </c>
      <c r="D8" s="78">
        <v>3617</v>
      </c>
      <c r="E8" s="119">
        <v>3651</v>
      </c>
      <c r="F8" s="120">
        <v>2478</v>
      </c>
      <c r="G8" s="78">
        <v>81</v>
      </c>
      <c r="H8" s="78">
        <v>12</v>
      </c>
      <c r="I8" s="78"/>
      <c r="J8" s="103"/>
      <c r="K8" s="103"/>
      <c r="L8" s="103"/>
      <c r="M8" s="97" t="s">
        <v>12</v>
      </c>
      <c r="N8" s="78">
        <v>115</v>
      </c>
      <c r="O8" s="78">
        <v>3569</v>
      </c>
      <c r="P8" s="78">
        <v>3431</v>
      </c>
      <c r="Q8" s="119" t="s">
        <v>88</v>
      </c>
      <c r="R8" s="120" t="s">
        <v>89</v>
      </c>
      <c r="S8" s="78" t="s">
        <v>100</v>
      </c>
      <c r="T8" s="78" t="s">
        <v>101</v>
      </c>
    </row>
    <row r="9" spans="1:30">
      <c r="A9" s="97" t="s">
        <v>14</v>
      </c>
      <c r="B9" s="78">
        <v>298</v>
      </c>
      <c r="C9" s="78">
        <v>3571</v>
      </c>
      <c r="D9" s="78">
        <v>3668</v>
      </c>
      <c r="E9" s="119">
        <v>6461</v>
      </c>
      <c r="F9" s="120">
        <v>1855</v>
      </c>
      <c r="G9" s="78">
        <v>156</v>
      </c>
      <c r="H9" s="78">
        <v>9</v>
      </c>
      <c r="I9" s="78"/>
      <c r="J9" s="103"/>
      <c r="K9" s="103"/>
      <c r="L9" s="103"/>
      <c r="M9" s="97" t="s">
        <v>14</v>
      </c>
      <c r="N9" s="78">
        <v>110</v>
      </c>
      <c r="O9" s="78">
        <v>3274</v>
      </c>
      <c r="P9" s="78">
        <v>2604</v>
      </c>
      <c r="Q9" s="119" t="s">
        <v>90</v>
      </c>
      <c r="R9" s="120" t="s">
        <v>91</v>
      </c>
      <c r="S9" s="78" t="s">
        <v>102</v>
      </c>
      <c r="T9" s="78" t="s">
        <v>84</v>
      </c>
    </row>
    <row r="10" spans="1:30">
      <c r="A10" s="97" t="s">
        <v>16</v>
      </c>
      <c r="B10" s="78">
        <v>274</v>
      </c>
      <c r="C10" s="78">
        <v>3633</v>
      </c>
      <c r="D10" s="78">
        <v>4508</v>
      </c>
      <c r="E10" s="119">
        <v>4512</v>
      </c>
      <c r="F10" s="120">
        <v>3065</v>
      </c>
      <c r="G10" s="78">
        <v>2568</v>
      </c>
      <c r="H10" s="78">
        <v>17</v>
      </c>
      <c r="I10" s="78"/>
      <c r="J10" s="103"/>
      <c r="K10" s="103"/>
      <c r="L10" s="103"/>
      <c r="M10" s="97" t="s">
        <v>16</v>
      </c>
      <c r="N10" s="78">
        <v>81</v>
      </c>
      <c r="O10" s="78">
        <v>2598</v>
      </c>
      <c r="P10" s="78">
        <v>3715</v>
      </c>
      <c r="Q10" s="119" t="s">
        <v>92</v>
      </c>
      <c r="R10" s="120" t="s">
        <v>93</v>
      </c>
      <c r="S10" s="78" t="s">
        <v>103</v>
      </c>
      <c r="T10" s="78" t="s">
        <v>104</v>
      </c>
    </row>
    <row r="11" spans="1:30">
      <c r="A11" s="97" t="s">
        <v>18</v>
      </c>
      <c r="B11" s="78">
        <v>190</v>
      </c>
      <c r="C11" s="78">
        <v>2382</v>
      </c>
      <c r="D11" s="78">
        <v>2621</v>
      </c>
      <c r="E11" s="119">
        <v>2245</v>
      </c>
      <c r="F11" s="120">
        <v>1198</v>
      </c>
      <c r="G11" s="78">
        <v>2434</v>
      </c>
      <c r="H11" s="78">
        <v>14.5</v>
      </c>
      <c r="I11" s="78"/>
      <c r="J11" s="103"/>
      <c r="K11" s="103"/>
      <c r="L11" s="103"/>
      <c r="M11" s="97" t="s">
        <v>18</v>
      </c>
      <c r="N11" s="78">
        <v>83</v>
      </c>
      <c r="O11" s="78">
        <v>2604</v>
      </c>
      <c r="P11" s="78">
        <v>2397</v>
      </c>
      <c r="Q11" s="119" t="s">
        <v>94</v>
      </c>
      <c r="R11" s="120" t="s">
        <v>95</v>
      </c>
      <c r="S11" s="78" t="s">
        <v>105</v>
      </c>
      <c r="T11" s="78" t="s">
        <v>106</v>
      </c>
    </row>
    <row r="12" spans="1:30">
      <c r="A12" s="97" t="s">
        <v>20</v>
      </c>
      <c r="B12" s="78">
        <v>198</v>
      </c>
      <c r="C12" s="78">
        <v>2574</v>
      </c>
      <c r="D12" s="78">
        <v>2779</v>
      </c>
      <c r="E12" s="119">
        <v>2484</v>
      </c>
      <c r="F12" s="120">
        <v>1510</v>
      </c>
      <c r="G12" s="78">
        <v>760</v>
      </c>
      <c r="H12" s="78">
        <v>56.5</v>
      </c>
      <c r="I12" s="78"/>
      <c r="J12" s="113"/>
      <c r="K12" s="113"/>
      <c r="L12" s="103"/>
      <c r="M12" s="97" t="s">
        <v>20</v>
      </c>
      <c r="N12" s="78">
        <v>109</v>
      </c>
      <c r="O12" s="78">
        <v>3187</v>
      </c>
      <c r="P12" s="78">
        <v>3624</v>
      </c>
      <c r="Q12" s="119">
        <v>3259</v>
      </c>
      <c r="R12" s="120">
        <v>9811</v>
      </c>
      <c r="S12" s="78">
        <v>1263</v>
      </c>
      <c r="T12" s="78">
        <v>20</v>
      </c>
    </row>
    <row r="13" spans="1:30">
      <c r="A13" s="97" t="s">
        <v>22</v>
      </c>
      <c r="B13" s="78">
        <v>204</v>
      </c>
      <c r="C13" s="78">
        <v>2754</v>
      </c>
      <c r="D13" s="78">
        <v>3017</v>
      </c>
      <c r="E13" s="119">
        <v>2342</v>
      </c>
      <c r="F13" s="120">
        <v>2146</v>
      </c>
      <c r="G13" s="78">
        <v>14</v>
      </c>
      <c r="H13" s="78">
        <v>31</v>
      </c>
      <c r="I13" s="78"/>
      <c r="J13" s="103"/>
      <c r="K13" s="103"/>
      <c r="L13" s="103"/>
      <c r="M13" s="97" t="s">
        <v>22</v>
      </c>
      <c r="N13" s="78">
        <v>95</v>
      </c>
      <c r="O13" s="78">
        <v>2524</v>
      </c>
      <c r="P13" s="78">
        <v>3022</v>
      </c>
      <c r="Q13" s="119">
        <v>2564</v>
      </c>
      <c r="R13" s="120">
        <v>9698</v>
      </c>
      <c r="S13" s="78">
        <v>609</v>
      </c>
      <c r="T13" s="78">
        <v>68</v>
      </c>
    </row>
    <row r="14" spans="1:30">
      <c r="A14" s="97" t="s">
        <v>24</v>
      </c>
      <c r="B14" s="78">
        <v>258</v>
      </c>
      <c r="C14" s="78">
        <v>3083</v>
      </c>
      <c r="D14" s="78">
        <v>3222</v>
      </c>
      <c r="E14" s="119">
        <v>2312</v>
      </c>
      <c r="F14" s="120">
        <v>1602</v>
      </c>
      <c r="G14" s="78">
        <v>270</v>
      </c>
      <c r="H14" s="78">
        <v>8</v>
      </c>
      <c r="I14" s="78"/>
      <c r="J14" s="103"/>
      <c r="K14" s="103"/>
      <c r="L14" s="103"/>
      <c r="M14" s="97" t="s">
        <v>24</v>
      </c>
      <c r="N14" s="78">
        <v>110</v>
      </c>
      <c r="O14" s="78">
        <v>3076</v>
      </c>
      <c r="P14" s="78">
        <v>2926</v>
      </c>
      <c r="Q14" s="119">
        <v>2860</v>
      </c>
      <c r="R14" s="120">
        <v>8122</v>
      </c>
      <c r="S14" s="78">
        <v>639</v>
      </c>
      <c r="T14" s="78">
        <v>38</v>
      </c>
    </row>
    <row r="15" spans="1:30">
      <c r="A15" s="97" t="s">
        <v>26</v>
      </c>
      <c r="B15" s="101">
        <v>258</v>
      </c>
      <c r="C15" s="101">
        <v>2787</v>
      </c>
      <c r="D15" s="101">
        <v>2761</v>
      </c>
      <c r="E15" s="121">
        <v>3233</v>
      </c>
      <c r="F15" s="122">
        <v>3416</v>
      </c>
      <c r="G15" s="80">
        <v>74</v>
      </c>
      <c r="H15" s="80">
        <v>12</v>
      </c>
      <c r="I15" s="80"/>
      <c r="J15" s="103"/>
      <c r="K15" s="103"/>
      <c r="L15" s="103"/>
      <c r="M15" s="97" t="s">
        <v>26</v>
      </c>
      <c r="N15" s="101">
        <v>98</v>
      </c>
      <c r="O15" s="101">
        <v>2608</v>
      </c>
      <c r="P15" s="101">
        <v>2784</v>
      </c>
      <c r="Q15" s="121">
        <v>3352</v>
      </c>
      <c r="R15" s="122">
        <v>8824</v>
      </c>
      <c r="S15" s="80">
        <v>95</v>
      </c>
      <c r="T15" s="80">
        <v>34</v>
      </c>
    </row>
    <row r="16" spans="1:30">
      <c r="A16" s="97" t="s">
        <v>28</v>
      </c>
      <c r="B16" s="80">
        <v>254</v>
      </c>
      <c r="C16" s="80">
        <v>2892</v>
      </c>
      <c r="D16" s="80">
        <v>2765</v>
      </c>
      <c r="E16" s="121">
        <v>4314</v>
      </c>
      <c r="F16" s="122">
        <v>3353</v>
      </c>
      <c r="G16" s="80">
        <v>94</v>
      </c>
      <c r="H16" s="80">
        <v>35</v>
      </c>
      <c r="I16" s="80"/>
      <c r="J16" s="103"/>
      <c r="K16" s="103"/>
      <c r="L16" s="103"/>
      <c r="M16" s="97" t="s">
        <v>28</v>
      </c>
      <c r="N16" s="80">
        <v>101</v>
      </c>
      <c r="O16" s="80">
        <v>2606</v>
      </c>
      <c r="P16" s="80">
        <v>2506</v>
      </c>
      <c r="Q16" s="121">
        <v>4431</v>
      </c>
      <c r="R16" s="122">
        <v>10670</v>
      </c>
      <c r="S16" s="80">
        <v>92</v>
      </c>
      <c r="T16" s="80">
        <v>43</v>
      </c>
    </row>
    <row r="17" spans="1:20">
      <c r="A17" s="97" t="s">
        <v>30</v>
      </c>
      <c r="B17" s="78">
        <v>314</v>
      </c>
      <c r="C17" s="78">
        <v>3481</v>
      </c>
      <c r="D17" s="78">
        <v>3529</v>
      </c>
      <c r="E17" s="119">
        <v>1918</v>
      </c>
      <c r="F17" s="120">
        <v>3548</v>
      </c>
      <c r="G17" s="78">
        <v>109</v>
      </c>
      <c r="H17" s="78">
        <v>42</v>
      </c>
      <c r="I17" s="78"/>
      <c r="J17" s="103"/>
      <c r="K17" s="103"/>
      <c r="L17" s="103"/>
      <c r="M17" s="97" t="s">
        <v>30</v>
      </c>
      <c r="N17" s="78">
        <v>124</v>
      </c>
      <c r="O17" s="78">
        <v>3072</v>
      </c>
      <c r="P17" s="78">
        <v>3114</v>
      </c>
      <c r="Q17" s="119">
        <v>2478</v>
      </c>
      <c r="R17" s="120">
        <v>7364</v>
      </c>
      <c r="S17" s="78">
        <v>105</v>
      </c>
      <c r="T17" s="78">
        <v>46</v>
      </c>
    </row>
    <row r="18" spans="1:20">
      <c r="A18" s="98" t="s">
        <v>32</v>
      </c>
      <c r="B18" s="114">
        <v>338</v>
      </c>
      <c r="C18" s="114">
        <v>3789</v>
      </c>
      <c r="D18" s="114">
        <v>4140</v>
      </c>
      <c r="E18" s="123">
        <v>5242</v>
      </c>
      <c r="F18" s="124">
        <v>3839</v>
      </c>
      <c r="G18" s="114">
        <v>142</v>
      </c>
      <c r="H18" s="114">
        <v>10</v>
      </c>
      <c r="I18" s="100"/>
      <c r="J18" s="103"/>
      <c r="K18" s="103"/>
      <c r="M18" s="98" t="s">
        <v>32</v>
      </c>
      <c r="N18" s="114">
        <v>118</v>
      </c>
      <c r="O18" s="114">
        <v>3346</v>
      </c>
      <c r="P18" s="114">
        <v>3743</v>
      </c>
      <c r="Q18" s="123">
        <v>3364</v>
      </c>
      <c r="R18" s="124">
        <v>7454</v>
      </c>
      <c r="S18" s="114">
        <v>201</v>
      </c>
      <c r="T18" s="114">
        <v>75</v>
      </c>
    </row>
    <row r="19" spans="1:20" ht="18.75">
      <c r="A19" s="6" t="s">
        <v>6</v>
      </c>
      <c r="B19" s="3"/>
      <c r="C19" s="3"/>
      <c r="D19" s="7"/>
      <c r="E19" s="1"/>
      <c r="H19" s="11" t="s">
        <v>7</v>
      </c>
      <c r="I19" s="12"/>
      <c r="M19" s="6" t="s">
        <v>6</v>
      </c>
      <c r="N19" s="3"/>
      <c r="O19" s="3"/>
      <c r="P19" s="7"/>
      <c r="Q19" s="1"/>
      <c r="T19" s="11" t="s">
        <v>7</v>
      </c>
    </row>
    <row r="20" spans="1:20">
      <c r="A20" s="104"/>
      <c r="B20" s="103"/>
      <c r="C20" s="103"/>
      <c r="D20" s="103"/>
      <c r="E20" s="103"/>
      <c r="F20" s="103"/>
      <c r="G20" s="103"/>
      <c r="H20" s="103"/>
      <c r="I20" s="103"/>
      <c r="J20" s="103"/>
      <c r="K20" s="103"/>
      <c r="L20" s="103"/>
      <c r="M20" s="103"/>
      <c r="N20" s="103"/>
    </row>
    <row r="22" spans="1:20">
      <c r="A22" s="166" t="s">
        <v>107</v>
      </c>
      <c r="B22" s="166"/>
      <c r="C22" s="166"/>
      <c r="D22" s="166"/>
      <c r="E22" s="166"/>
      <c r="F22" s="166"/>
      <c r="G22" s="166"/>
      <c r="H22" s="166"/>
      <c r="I22" s="102"/>
      <c r="J22" s="103"/>
      <c r="K22" s="103"/>
      <c r="L22" s="103"/>
      <c r="M22" s="166" t="s">
        <v>108</v>
      </c>
      <c r="N22" s="166"/>
      <c r="O22" s="166"/>
      <c r="P22" s="166"/>
      <c r="Q22" s="166"/>
      <c r="R22" s="166"/>
      <c r="S22" s="166"/>
      <c r="T22" s="166"/>
    </row>
    <row r="23" spans="1:20">
      <c r="A23" s="104"/>
      <c r="B23" s="103"/>
      <c r="C23" s="103"/>
      <c r="D23" s="103"/>
      <c r="E23" s="103"/>
      <c r="F23" s="103"/>
      <c r="G23" s="103"/>
      <c r="H23" s="103"/>
      <c r="I23" s="103"/>
      <c r="J23" s="103"/>
      <c r="K23" s="103"/>
      <c r="L23" s="103"/>
      <c r="M23" s="104"/>
      <c r="N23" s="103"/>
      <c r="O23" s="103"/>
      <c r="P23" s="103"/>
      <c r="Q23" s="103"/>
      <c r="R23" s="103"/>
      <c r="S23" s="103"/>
      <c r="T23" s="103"/>
    </row>
    <row r="24" spans="1:20">
      <c r="A24" s="167" t="s">
        <v>64</v>
      </c>
      <c r="B24" s="169" t="s">
        <v>65</v>
      </c>
      <c r="C24" s="171" t="s">
        <v>66</v>
      </c>
      <c r="D24" s="171"/>
      <c r="E24" s="172" t="s">
        <v>67</v>
      </c>
      <c r="F24" s="173"/>
      <c r="G24" s="171" t="s">
        <v>68</v>
      </c>
      <c r="H24" s="171"/>
      <c r="I24" s="105"/>
      <c r="J24" s="103"/>
      <c r="K24" s="103"/>
      <c r="L24" s="103"/>
      <c r="M24" s="167" t="s">
        <v>64</v>
      </c>
      <c r="N24" s="169" t="s">
        <v>65</v>
      </c>
      <c r="O24" s="171" t="s">
        <v>66</v>
      </c>
      <c r="P24" s="171"/>
      <c r="Q24" s="172" t="s">
        <v>67</v>
      </c>
      <c r="R24" s="173"/>
      <c r="S24" s="171" t="s">
        <v>68</v>
      </c>
      <c r="T24" s="171"/>
    </row>
    <row r="25" spans="1:20">
      <c r="A25" s="168"/>
      <c r="B25" s="170"/>
      <c r="C25" s="106" t="s">
        <v>69</v>
      </c>
      <c r="D25" s="106" t="s">
        <v>70</v>
      </c>
      <c r="E25" s="107" t="s">
        <v>69</v>
      </c>
      <c r="F25" s="108" t="s">
        <v>70</v>
      </c>
      <c r="G25" s="106" t="s">
        <v>69</v>
      </c>
      <c r="H25" s="106" t="s">
        <v>70</v>
      </c>
      <c r="I25" s="109"/>
      <c r="J25" s="103"/>
      <c r="K25" s="103"/>
      <c r="L25" s="103"/>
      <c r="M25" s="168"/>
      <c r="N25" s="170"/>
      <c r="O25" s="106" t="s">
        <v>69</v>
      </c>
      <c r="P25" s="106" t="s">
        <v>70</v>
      </c>
      <c r="Q25" s="107" t="s">
        <v>69</v>
      </c>
      <c r="R25" s="108" t="s">
        <v>70</v>
      </c>
      <c r="S25" s="106" t="s">
        <v>69</v>
      </c>
      <c r="T25" s="106" t="s">
        <v>70</v>
      </c>
    </row>
    <row r="26" spans="1:20">
      <c r="A26" s="110" t="s">
        <v>4</v>
      </c>
      <c r="B26" s="111"/>
      <c r="C26" s="111"/>
      <c r="D26" s="111"/>
      <c r="E26" s="79"/>
      <c r="F26" s="112"/>
      <c r="G26" s="111"/>
      <c r="H26" s="111"/>
      <c r="I26" s="99"/>
      <c r="J26" s="103"/>
      <c r="K26" s="103"/>
      <c r="L26" s="103"/>
      <c r="M26" s="110" t="s">
        <v>4</v>
      </c>
      <c r="N26" s="111"/>
      <c r="O26" s="111"/>
      <c r="P26" s="111"/>
      <c r="Q26" s="79"/>
      <c r="R26" s="112"/>
      <c r="S26" s="111"/>
      <c r="T26" s="111"/>
    </row>
    <row r="27" spans="1:20">
      <c r="A27" s="97" t="s">
        <v>10</v>
      </c>
      <c r="B27" s="78">
        <v>140</v>
      </c>
      <c r="C27" s="78">
        <v>2501</v>
      </c>
      <c r="D27" s="78">
        <v>2523</v>
      </c>
      <c r="E27" s="119">
        <v>2438</v>
      </c>
      <c r="F27" s="120">
        <v>429</v>
      </c>
      <c r="G27" s="78">
        <v>87</v>
      </c>
      <c r="H27" s="78">
        <v>10</v>
      </c>
      <c r="I27" s="78"/>
      <c r="J27" s="103"/>
      <c r="K27" s="103"/>
      <c r="L27" s="103"/>
      <c r="M27" s="97" t="s">
        <v>10</v>
      </c>
      <c r="N27" s="78">
        <v>462</v>
      </c>
      <c r="O27" s="78">
        <v>5785</v>
      </c>
      <c r="P27" s="78">
        <v>6186</v>
      </c>
      <c r="Q27" s="119">
        <v>128</v>
      </c>
      <c r="R27" s="120">
        <v>364</v>
      </c>
      <c r="S27" s="78">
        <v>0</v>
      </c>
      <c r="T27" s="78">
        <v>0</v>
      </c>
    </row>
    <row r="28" spans="1:20">
      <c r="A28" s="97" t="s">
        <v>12</v>
      </c>
      <c r="B28" s="78">
        <v>146</v>
      </c>
      <c r="C28" s="78">
        <v>2640</v>
      </c>
      <c r="D28" s="78">
        <v>2446</v>
      </c>
      <c r="E28" s="119">
        <v>2545</v>
      </c>
      <c r="F28" s="120">
        <v>1214</v>
      </c>
      <c r="G28" s="78">
        <v>58</v>
      </c>
      <c r="H28" s="78">
        <v>3</v>
      </c>
      <c r="I28" s="78"/>
      <c r="J28" s="103"/>
      <c r="K28" s="103"/>
      <c r="L28" s="103"/>
      <c r="M28" s="97" t="s">
        <v>12</v>
      </c>
      <c r="N28" s="78">
        <v>428</v>
      </c>
      <c r="O28" s="78">
        <v>5502</v>
      </c>
      <c r="P28" s="78">
        <v>5618</v>
      </c>
      <c r="Q28" s="119">
        <v>237</v>
      </c>
      <c r="R28" s="120">
        <v>65</v>
      </c>
      <c r="S28" s="78">
        <v>0</v>
      </c>
      <c r="T28" s="78">
        <v>0</v>
      </c>
    </row>
    <row r="29" spans="1:20">
      <c r="A29" s="97" t="s">
        <v>14</v>
      </c>
      <c r="B29" s="78">
        <v>148</v>
      </c>
      <c r="C29" s="78">
        <v>2803</v>
      </c>
      <c r="D29" s="78">
        <v>2276</v>
      </c>
      <c r="E29" s="119">
        <v>6248</v>
      </c>
      <c r="F29" s="120">
        <v>487</v>
      </c>
      <c r="G29" s="78">
        <v>182</v>
      </c>
      <c r="H29" s="78">
        <v>7</v>
      </c>
      <c r="I29" s="78"/>
      <c r="J29" s="103"/>
      <c r="K29" s="103"/>
      <c r="L29" s="103"/>
      <c r="M29" s="97" t="s">
        <v>14</v>
      </c>
      <c r="N29" s="78">
        <v>438</v>
      </c>
      <c r="O29" s="78">
        <v>5087</v>
      </c>
      <c r="P29" s="78">
        <v>4673</v>
      </c>
      <c r="Q29" s="119">
        <v>8</v>
      </c>
      <c r="R29" s="120">
        <v>123</v>
      </c>
      <c r="S29" s="78">
        <v>0</v>
      </c>
      <c r="T29" s="78">
        <v>0</v>
      </c>
    </row>
    <row r="30" spans="1:20">
      <c r="A30" s="97" t="s">
        <v>16</v>
      </c>
      <c r="B30" s="78">
        <v>166</v>
      </c>
      <c r="C30" s="78">
        <v>2392</v>
      </c>
      <c r="D30" s="78">
        <v>2992</v>
      </c>
      <c r="E30" s="119">
        <v>4303</v>
      </c>
      <c r="F30" s="120">
        <v>310</v>
      </c>
      <c r="G30" s="78">
        <v>2744</v>
      </c>
      <c r="H30" s="78">
        <v>76</v>
      </c>
      <c r="I30" s="78"/>
      <c r="J30" s="103"/>
      <c r="K30" s="103"/>
      <c r="L30" s="103"/>
      <c r="M30" s="97" t="s">
        <v>16</v>
      </c>
      <c r="N30" s="78">
        <v>382</v>
      </c>
      <c r="O30" s="78">
        <v>4669</v>
      </c>
      <c r="P30" s="78">
        <v>4813</v>
      </c>
      <c r="Q30" s="119">
        <v>81</v>
      </c>
      <c r="R30" s="120">
        <v>98</v>
      </c>
      <c r="S30" s="78">
        <v>0</v>
      </c>
      <c r="T30" s="78">
        <v>0</v>
      </c>
    </row>
    <row r="31" spans="1:20">
      <c r="A31" s="97" t="s">
        <v>18</v>
      </c>
      <c r="B31" s="78">
        <v>152</v>
      </c>
      <c r="C31" s="78">
        <v>2173</v>
      </c>
      <c r="D31" s="78">
        <v>2360</v>
      </c>
      <c r="E31" s="119">
        <v>2637</v>
      </c>
      <c r="F31" s="120">
        <v>290</v>
      </c>
      <c r="G31" s="78">
        <v>6017</v>
      </c>
      <c r="H31" s="78">
        <v>365</v>
      </c>
      <c r="I31" s="78"/>
      <c r="J31" s="103"/>
      <c r="K31" s="103"/>
      <c r="L31" s="103"/>
      <c r="M31" s="97" t="s">
        <v>18</v>
      </c>
      <c r="N31" s="78">
        <v>322</v>
      </c>
      <c r="O31" s="78">
        <v>3362</v>
      </c>
      <c r="P31" s="78">
        <v>3892</v>
      </c>
      <c r="Q31" s="119">
        <v>207</v>
      </c>
      <c r="R31" s="120">
        <v>97</v>
      </c>
      <c r="S31" s="78">
        <v>0</v>
      </c>
      <c r="T31" s="78">
        <v>0</v>
      </c>
    </row>
    <row r="32" spans="1:20">
      <c r="A32" s="97" t="s">
        <v>20</v>
      </c>
      <c r="B32" s="78">
        <v>150</v>
      </c>
      <c r="C32" s="78">
        <v>2262</v>
      </c>
      <c r="D32" s="78">
        <v>2381</v>
      </c>
      <c r="E32" s="119">
        <v>2244</v>
      </c>
      <c r="F32" s="120">
        <v>434</v>
      </c>
      <c r="G32" s="78">
        <v>3053</v>
      </c>
      <c r="H32" s="78">
        <v>63</v>
      </c>
      <c r="I32" s="78"/>
      <c r="J32" s="113"/>
      <c r="K32" s="113"/>
      <c r="L32" s="103"/>
      <c r="M32" s="97" t="s">
        <v>20</v>
      </c>
      <c r="N32" s="78">
        <v>356</v>
      </c>
      <c r="O32" s="78">
        <v>4531</v>
      </c>
      <c r="P32" s="78">
        <v>4228</v>
      </c>
      <c r="Q32" s="119">
        <v>146</v>
      </c>
      <c r="R32" s="120">
        <v>17</v>
      </c>
      <c r="S32" s="78">
        <v>0</v>
      </c>
      <c r="T32" s="78">
        <v>0</v>
      </c>
    </row>
    <row r="33" spans="1:20">
      <c r="A33" s="97" t="s">
        <v>22</v>
      </c>
      <c r="B33" s="78">
        <v>140</v>
      </c>
      <c r="C33" s="78">
        <v>2543</v>
      </c>
      <c r="D33" s="78">
        <v>2514</v>
      </c>
      <c r="E33" s="119">
        <v>2216</v>
      </c>
      <c r="F33" s="120">
        <v>231</v>
      </c>
      <c r="G33" s="78">
        <v>733</v>
      </c>
      <c r="H33" s="78">
        <v>83</v>
      </c>
      <c r="I33" s="78"/>
      <c r="J33" s="103"/>
      <c r="K33" s="103"/>
      <c r="L33" s="103"/>
      <c r="M33" s="97" t="s">
        <v>22</v>
      </c>
      <c r="N33" s="78">
        <v>368</v>
      </c>
      <c r="O33" s="78">
        <v>5055</v>
      </c>
      <c r="P33" s="78">
        <v>4678</v>
      </c>
      <c r="Q33" s="119">
        <v>21</v>
      </c>
      <c r="R33" s="120">
        <v>83</v>
      </c>
      <c r="S33" s="78">
        <v>0</v>
      </c>
      <c r="T33" s="78">
        <v>0</v>
      </c>
    </row>
    <row r="34" spans="1:20">
      <c r="A34" s="97" t="s">
        <v>24</v>
      </c>
      <c r="B34" s="78">
        <v>168</v>
      </c>
      <c r="C34" s="78">
        <v>2976</v>
      </c>
      <c r="D34" s="78">
        <v>2679</v>
      </c>
      <c r="E34" s="119">
        <v>2774</v>
      </c>
      <c r="F34" s="120">
        <v>64</v>
      </c>
      <c r="G34" s="78">
        <v>367</v>
      </c>
      <c r="H34" s="78">
        <v>15</v>
      </c>
      <c r="I34" s="78"/>
      <c r="J34" s="103"/>
      <c r="K34" s="103"/>
      <c r="L34" s="103"/>
      <c r="M34" s="97" t="s">
        <v>24</v>
      </c>
      <c r="N34" s="78">
        <v>422</v>
      </c>
      <c r="O34" s="78">
        <v>5394</v>
      </c>
      <c r="P34" s="78">
        <v>5471</v>
      </c>
      <c r="Q34" s="119">
        <v>630</v>
      </c>
      <c r="R34" s="120">
        <v>187</v>
      </c>
      <c r="S34" s="78">
        <v>0</v>
      </c>
      <c r="T34" s="78">
        <v>0</v>
      </c>
    </row>
    <row r="35" spans="1:20">
      <c r="A35" s="97" t="s">
        <v>26</v>
      </c>
      <c r="B35" s="101">
        <v>152</v>
      </c>
      <c r="C35" s="101">
        <v>2512</v>
      </c>
      <c r="D35" s="101">
        <v>2576</v>
      </c>
      <c r="E35" s="121">
        <v>2923</v>
      </c>
      <c r="F35" s="122">
        <v>317</v>
      </c>
      <c r="G35" s="80">
        <v>139</v>
      </c>
      <c r="H35" s="80">
        <v>4</v>
      </c>
      <c r="I35" s="80"/>
      <c r="J35" s="103"/>
      <c r="K35" s="103"/>
      <c r="L35" s="103"/>
      <c r="M35" s="97" t="s">
        <v>26</v>
      </c>
      <c r="N35" s="101">
        <v>388</v>
      </c>
      <c r="O35" s="101">
        <v>4472</v>
      </c>
      <c r="P35" s="101">
        <v>4195</v>
      </c>
      <c r="Q35" s="121">
        <v>626</v>
      </c>
      <c r="R35" s="122">
        <v>83</v>
      </c>
      <c r="S35" s="80">
        <v>0</v>
      </c>
      <c r="T35" s="80">
        <v>0</v>
      </c>
    </row>
    <row r="36" spans="1:20">
      <c r="A36" s="97" t="s">
        <v>28</v>
      </c>
      <c r="B36" s="80">
        <v>158</v>
      </c>
      <c r="C36" s="80">
        <v>2777</v>
      </c>
      <c r="D36" s="80">
        <v>1988</v>
      </c>
      <c r="E36" s="121">
        <v>3132</v>
      </c>
      <c r="F36" s="122">
        <v>382</v>
      </c>
      <c r="G36" s="80">
        <v>212</v>
      </c>
      <c r="H36" s="80">
        <v>9</v>
      </c>
      <c r="I36" s="80"/>
      <c r="J36" s="103"/>
      <c r="K36" s="103"/>
      <c r="L36" s="103"/>
      <c r="M36" s="97" t="s">
        <v>28</v>
      </c>
      <c r="N36" s="80">
        <v>426</v>
      </c>
      <c r="O36" s="80">
        <v>5376</v>
      </c>
      <c r="P36" s="80">
        <v>4510</v>
      </c>
      <c r="Q36" s="121">
        <v>630</v>
      </c>
      <c r="R36" s="122">
        <v>52</v>
      </c>
      <c r="S36" s="80">
        <v>0</v>
      </c>
      <c r="T36" s="80">
        <v>0</v>
      </c>
    </row>
    <row r="37" spans="1:20">
      <c r="A37" s="97" t="s">
        <v>30</v>
      </c>
      <c r="B37" s="78">
        <v>200</v>
      </c>
      <c r="C37" s="78">
        <v>2953</v>
      </c>
      <c r="D37" s="78">
        <v>3089</v>
      </c>
      <c r="E37" s="119">
        <v>2323</v>
      </c>
      <c r="F37" s="120">
        <v>371</v>
      </c>
      <c r="G37" s="78">
        <v>135</v>
      </c>
      <c r="H37" s="78">
        <v>20</v>
      </c>
      <c r="I37" s="78"/>
      <c r="J37" s="103"/>
      <c r="K37" s="103"/>
      <c r="L37" s="103"/>
      <c r="M37" s="97" t="s">
        <v>30</v>
      </c>
      <c r="N37" s="78">
        <v>436</v>
      </c>
      <c r="O37" s="78">
        <v>4640</v>
      </c>
      <c r="P37" s="78">
        <v>4197</v>
      </c>
      <c r="Q37" s="119">
        <v>560</v>
      </c>
      <c r="R37" s="120">
        <v>137</v>
      </c>
      <c r="S37" s="78">
        <v>0</v>
      </c>
      <c r="T37" s="78">
        <v>0</v>
      </c>
    </row>
    <row r="38" spans="1:20">
      <c r="A38" s="98" t="s">
        <v>32</v>
      </c>
      <c r="B38" s="114">
        <v>200</v>
      </c>
      <c r="C38" s="114">
        <v>2638</v>
      </c>
      <c r="D38" s="114">
        <v>3276</v>
      </c>
      <c r="E38" s="123">
        <v>3052</v>
      </c>
      <c r="F38" s="124">
        <v>329</v>
      </c>
      <c r="G38" s="114">
        <v>374</v>
      </c>
      <c r="H38" s="114">
        <v>15</v>
      </c>
      <c r="I38" s="100"/>
      <c r="J38" s="103"/>
      <c r="K38" s="103"/>
      <c r="M38" s="98" t="s">
        <v>32</v>
      </c>
      <c r="N38" s="114">
        <v>460</v>
      </c>
      <c r="O38" s="114">
        <v>5261</v>
      </c>
      <c r="P38" s="114">
        <v>4030</v>
      </c>
      <c r="Q38" s="123">
        <v>310</v>
      </c>
      <c r="R38" s="124">
        <v>181</v>
      </c>
      <c r="S38" s="114">
        <v>0</v>
      </c>
      <c r="T38" s="114">
        <v>0</v>
      </c>
    </row>
    <row r="39" spans="1:20" ht="18.75">
      <c r="A39" s="6" t="s">
        <v>6</v>
      </c>
      <c r="B39" s="3"/>
      <c r="C39" s="3"/>
      <c r="D39" s="7"/>
      <c r="E39" s="1"/>
      <c r="H39" s="11" t="s">
        <v>7</v>
      </c>
      <c r="I39" s="12"/>
      <c r="J39" s="103"/>
      <c r="K39" s="103"/>
      <c r="L39" s="103"/>
      <c r="M39" s="6" t="s">
        <v>6</v>
      </c>
      <c r="N39" s="3"/>
      <c r="O39" s="3"/>
      <c r="P39" s="7"/>
      <c r="Q39" s="1"/>
      <c r="T39" s="11" t="s">
        <v>7</v>
      </c>
    </row>
    <row r="40" spans="1:20">
      <c r="A40" s="103"/>
      <c r="J40" s="103"/>
      <c r="K40" s="103"/>
      <c r="L40" s="103"/>
      <c r="M40" s="103"/>
      <c r="N40" s="103"/>
      <c r="O40" s="103"/>
    </row>
    <row r="41" spans="1:20">
      <c r="A41" s="103"/>
      <c r="J41" s="103"/>
      <c r="K41" s="103"/>
    </row>
    <row r="42" spans="1:20">
      <c r="A42" s="103"/>
      <c r="B42" s="103"/>
      <c r="C42" s="103"/>
      <c r="D42" s="103"/>
      <c r="E42" s="103"/>
      <c r="F42" s="103"/>
      <c r="G42" s="103"/>
      <c r="H42" s="103"/>
      <c r="I42" s="103"/>
      <c r="J42" s="103"/>
      <c r="K42" s="103"/>
    </row>
    <row r="44" spans="1:20">
      <c r="A44" s="166" t="s">
        <v>109</v>
      </c>
      <c r="B44" s="166"/>
      <c r="C44" s="166"/>
      <c r="D44" s="166"/>
      <c r="E44" s="166"/>
      <c r="F44" s="166"/>
      <c r="G44" s="166"/>
      <c r="H44" s="166"/>
      <c r="I44" s="102"/>
      <c r="J44" s="103"/>
      <c r="K44" s="103"/>
      <c r="M44" s="166" t="s">
        <v>110</v>
      </c>
      <c r="N44" s="166"/>
      <c r="O44" s="166"/>
      <c r="P44" s="166"/>
      <c r="Q44" s="166"/>
      <c r="R44" s="166"/>
      <c r="S44" s="166"/>
      <c r="T44" s="166"/>
    </row>
    <row r="45" spans="1:20">
      <c r="A45" s="104"/>
      <c r="B45" s="103"/>
      <c r="C45" s="103"/>
      <c r="D45" s="103"/>
      <c r="E45" s="103"/>
      <c r="F45" s="103"/>
      <c r="G45" s="103"/>
      <c r="H45" s="103"/>
      <c r="I45" s="103"/>
      <c r="J45" s="103"/>
      <c r="K45" s="103"/>
      <c r="M45" s="104"/>
      <c r="N45" s="103"/>
      <c r="O45" s="103"/>
      <c r="P45" s="103"/>
      <c r="Q45" s="103"/>
      <c r="R45" s="103"/>
      <c r="S45" s="103"/>
      <c r="T45" s="103"/>
    </row>
    <row r="46" spans="1:20">
      <c r="A46" s="167" t="s">
        <v>64</v>
      </c>
      <c r="B46" s="169" t="s">
        <v>65</v>
      </c>
      <c r="C46" s="171" t="s">
        <v>66</v>
      </c>
      <c r="D46" s="171"/>
      <c r="E46" s="172" t="s">
        <v>67</v>
      </c>
      <c r="F46" s="173"/>
      <c r="G46" s="171" t="s">
        <v>68</v>
      </c>
      <c r="H46" s="171"/>
      <c r="I46" s="105"/>
      <c r="J46" s="103"/>
      <c r="K46" s="103"/>
      <c r="L46" s="103"/>
      <c r="M46" s="167" t="s">
        <v>64</v>
      </c>
      <c r="N46" s="169" t="s">
        <v>65</v>
      </c>
      <c r="O46" s="171" t="s">
        <v>66</v>
      </c>
      <c r="P46" s="171"/>
      <c r="Q46" s="172" t="s">
        <v>67</v>
      </c>
      <c r="R46" s="173"/>
      <c r="S46" s="171" t="s">
        <v>68</v>
      </c>
      <c r="T46" s="171"/>
    </row>
    <row r="47" spans="1:20">
      <c r="A47" s="168"/>
      <c r="B47" s="170"/>
      <c r="C47" s="106" t="s">
        <v>69</v>
      </c>
      <c r="D47" s="106" t="s">
        <v>70</v>
      </c>
      <c r="E47" s="107" t="s">
        <v>69</v>
      </c>
      <c r="F47" s="108" t="s">
        <v>70</v>
      </c>
      <c r="G47" s="106" t="s">
        <v>69</v>
      </c>
      <c r="H47" s="106" t="s">
        <v>70</v>
      </c>
      <c r="I47" s="109"/>
      <c r="J47" s="103"/>
      <c r="K47" s="103"/>
      <c r="L47" s="103"/>
      <c r="M47" s="168"/>
      <c r="N47" s="170"/>
      <c r="O47" s="106" t="s">
        <v>69</v>
      </c>
      <c r="P47" s="106" t="s">
        <v>70</v>
      </c>
      <c r="Q47" s="107" t="s">
        <v>69</v>
      </c>
      <c r="R47" s="108" t="s">
        <v>70</v>
      </c>
      <c r="S47" s="106" t="s">
        <v>69</v>
      </c>
      <c r="T47" s="106" t="s">
        <v>70</v>
      </c>
    </row>
    <row r="48" spans="1:20">
      <c r="A48" s="110" t="s">
        <v>4</v>
      </c>
      <c r="B48" s="111"/>
      <c r="C48" s="111"/>
      <c r="D48" s="111"/>
      <c r="E48" s="79"/>
      <c r="F48" s="112"/>
      <c r="G48" s="111"/>
      <c r="H48" s="111"/>
      <c r="I48" s="99"/>
      <c r="J48" s="103"/>
      <c r="K48" s="103"/>
      <c r="L48" s="103"/>
      <c r="M48" s="110" t="s">
        <v>4</v>
      </c>
      <c r="N48" s="111"/>
      <c r="O48" s="111"/>
      <c r="P48" s="111"/>
      <c r="Q48" s="79"/>
      <c r="R48" s="112"/>
      <c r="S48" s="111"/>
      <c r="T48" s="111"/>
    </row>
    <row r="49" spans="1:20">
      <c r="A49" s="97" t="s">
        <v>10</v>
      </c>
      <c r="B49" s="78">
        <v>153</v>
      </c>
      <c r="C49" s="78">
        <v>5307</v>
      </c>
      <c r="D49" s="78">
        <v>5306</v>
      </c>
      <c r="E49" s="119">
        <v>2707</v>
      </c>
      <c r="F49" s="120">
        <v>1913</v>
      </c>
      <c r="G49" s="78">
        <v>64</v>
      </c>
      <c r="H49" s="78">
        <v>5</v>
      </c>
      <c r="I49" s="78"/>
      <c r="J49" s="103" t="s">
        <v>83</v>
      </c>
      <c r="K49" s="103"/>
      <c r="L49" s="103"/>
      <c r="M49" s="97" t="s">
        <v>10</v>
      </c>
      <c r="N49" s="78">
        <v>38</v>
      </c>
      <c r="O49" s="78">
        <v>571</v>
      </c>
      <c r="P49" s="78">
        <v>365</v>
      </c>
      <c r="Q49" s="119">
        <v>162</v>
      </c>
      <c r="R49" s="120">
        <v>62</v>
      </c>
      <c r="S49" s="78">
        <v>0</v>
      </c>
      <c r="T49" s="78">
        <v>0</v>
      </c>
    </row>
    <row r="50" spans="1:20">
      <c r="A50" s="97" t="s">
        <v>12</v>
      </c>
      <c r="B50" s="78">
        <v>157</v>
      </c>
      <c r="C50" s="78">
        <v>5900</v>
      </c>
      <c r="D50" s="78">
        <v>5888</v>
      </c>
      <c r="E50" s="119">
        <v>7716</v>
      </c>
      <c r="F50" s="120">
        <v>1223</v>
      </c>
      <c r="G50" s="78">
        <v>27</v>
      </c>
      <c r="H50" s="78">
        <v>1</v>
      </c>
      <c r="I50" s="78"/>
      <c r="J50" s="103"/>
      <c r="K50" s="103"/>
      <c r="L50" s="103"/>
      <c r="M50" s="97" t="s">
        <v>12</v>
      </c>
      <c r="N50" s="78">
        <v>24</v>
      </c>
      <c r="O50" s="78">
        <v>383</v>
      </c>
      <c r="P50" s="78">
        <v>347</v>
      </c>
      <c r="Q50" s="119">
        <v>399</v>
      </c>
      <c r="R50" s="120">
        <v>211</v>
      </c>
      <c r="S50" s="78">
        <v>0</v>
      </c>
      <c r="T50" s="78">
        <v>0</v>
      </c>
    </row>
    <row r="51" spans="1:20">
      <c r="A51" s="97" t="s">
        <v>14</v>
      </c>
      <c r="B51" s="78">
        <v>151</v>
      </c>
      <c r="C51" s="78">
        <v>5640</v>
      </c>
      <c r="D51" s="78">
        <v>5204</v>
      </c>
      <c r="E51" s="119">
        <v>8134</v>
      </c>
      <c r="F51" s="120">
        <v>1011</v>
      </c>
      <c r="G51" s="78">
        <v>65</v>
      </c>
      <c r="H51" s="78">
        <v>2</v>
      </c>
      <c r="I51" s="78"/>
      <c r="J51" s="103"/>
      <c r="K51" s="103"/>
      <c r="L51" s="103"/>
      <c r="M51" s="97" t="s">
        <v>14</v>
      </c>
      <c r="N51" s="78">
        <v>22</v>
      </c>
      <c r="O51" s="78">
        <v>357</v>
      </c>
      <c r="P51" s="78">
        <v>293</v>
      </c>
      <c r="Q51" s="119">
        <v>847</v>
      </c>
      <c r="R51" s="120">
        <v>6</v>
      </c>
      <c r="S51" s="78">
        <v>0</v>
      </c>
      <c r="T51" s="78">
        <v>0</v>
      </c>
    </row>
    <row r="52" spans="1:20">
      <c r="A52" s="97" t="s">
        <v>16</v>
      </c>
      <c r="B52" s="78">
        <v>153</v>
      </c>
      <c r="C52" s="78">
        <v>4357</v>
      </c>
      <c r="D52" s="78">
        <v>5130</v>
      </c>
      <c r="E52" s="119">
        <v>2503</v>
      </c>
      <c r="F52" s="120">
        <v>2362</v>
      </c>
      <c r="G52" s="78">
        <v>1724</v>
      </c>
      <c r="H52" s="78">
        <v>68</v>
      </c>
      <c r="I52" s="78"/>
      <c r="J52" s="103"/>
      <c r="K52" s="103"/>
      <c r="L52" s="103"/>
      <c r="M52" s="97" t="s">
        <v>16</v>
      </c>
      <c r="N52" s="78">
        <v>26</v>
      </c>
      <c r="O52" s="78">
        <v>292</v>
      </c>
      <c r="P52" s="78">
        <v>375</v>
      </c>
      <c r="Q52" s="119">
        <v>127</v>
      </c>
      <c r="R52" s="120">
        <v>6</v>
      </c>
      <c r="S52" s="78">
        <v>0</v>
      </c>
      <c r="T52" s="78">
        <v>0</v>
      </c>
    </row>
    <row r="53" spans="1:20">
      <c r="A53" s="97" t="s">
        <v>18</v>
      </c>
      <c r="B53" s="78">
        <v>137</v>
      </c>
      <c r="C53" s="78">
        <v>3329</v>
      </c>
      <c r="D53" s="78">
        <v>4088</v>
      </c>
      <c r="E53" s="119">
        <v>1534</v>
      </c>
      <c r="F53" s="120">
        <v>1147</v>
      </c>
      <c r="G53" s="78">
        <v>2974</v>
      </c>
      <c r="H53" s="78">
        <v>38</v>
      </c>
      <c r="I53" s="78"/>
      <c r="J53" s="103"/>
      <c r="K53" s="103"/>
      <c r="L53" s="103"/>
      <c r="M53" s="97" t="s">
        <v>18</v>
      </c>
      <c r="N53" s="78">
        <v>24</v>
      </c>
      <c r="O53" s="78">
        <v>291</v>
      </c>
      <c r="P53" s="78">
        <v>281</v>
      </c>
      <c r="Q53" s="119">
        <v>123</v>
      </c>
      <c r="R53" s="120">
        <v>6</v>
      </c>
      <c r="S53" s="78">
        <v>5</v>
      </c>
      <c r="T53" s="78">
        <v>0</v>
      </c>
    </row>
    <row r="54" spans="1:20">
      <c r="A54" s="97" t="s">
        <v>20</v>
      </c>
      <c r="B54" s="78">
        <v>141</v>
      </c>
      <c r="C54" s="78">
        <v>3662</v>
      </c>
      <c r="D54" s="78">
        <v>3776</v>
      </c>
      <c r="E54" s="119">
        <v>1825</v>
      </c>
      <c r="F54" s="120">
        <v>1016</v>
      </c>
      <c r="G54" s="78">
        <v>846</v>
      </c>
      <c r="H54" s="78">
        <v>29</v>
      </c>
      <c r="I54" s="78"/>
      <c r="J54" s="113"/>
      <c r="K54" s="113"/>
      <c r="L54" s="103"/>
      <c r="M54" s="97" t="s">
        <v>20</v>
      </c>
      <c r="N54" s="78">
        <v>38</v>
      </c>
      <c r="O54" s="78">
        <v>363</v>
      </c>
      <c r="P54" s="78">
        <v>393</v>
      </c>
      <c r="Q54" s="119">
        <v>40</v>
      </c>
      <c r="R54" s="120">
        <v>6</v>
      </c>
      <c r="S54" s="78">
        <v>4</v>
      </c>
      <c r="T54" s="78">
        <v>0</v>
      </c>
    </row>
    <row r="55" spans="1:20">
      <c r="A55" s="97" t="s">
        <v>22</v>
      </c>
      <c r="B55" s="78">
        <v>160</v>
      </c>
      <c r="C55" s="78">
        <v>4769</v>
      </c>
      <c r="D55" s="78">
        <v>5251</v>
      </c>
      <c r="E55" s="119">
        <v>3713</v>
      </c>
      <c r="F55" s="120">
        <v>1978</v>
      </c>
      <c r="G55" s="78">
        <v>686</v>
      </c>
      <c r="H55" s="78">
        <v>16</v>
      </c>
      <c r="I55" s="78"/>
      <c r="J55" s="103"/>
      <c r="K55" s="103"/>
      <c r="L55" s="103"/>
      <c r="M55" s="97" t="s">
        <v>22</v>
      </c>
      <c r="N55" s="78">
        <v>34</v>
      </c>
      <c r="O55" s="78">
        <v>392</v>
      </c>
      <c r="P55" s="78">
        <v>415</v>
      </c>
      <c r="Q55" s="119">
        <v>138</v>
      </c>
      <c r="R55" s="120">
        <v>167</v>
      </c>
      <c r="S55" s="78">
        <v>0</v>
      </c>
      <c r="T55" s="78">
        <v>0</v>
      </c>
    </row>
    <row r="56" spans="1:20">
      <c r="A56" s="97" t="s">
        <v>24</v>
      </c>
      <c r="B56" s="78">
        <v>165</v>
      </c>
      <c r="C56" s="78">
        <v>5603</v>
      </c>
      <c r="D56" s="78">
        <v>5730</v>
      </c>
      <c r="E56" s="119">
        <v>2950</v>
      </c>
      <c r="F56" s="120">
        <v>1401</v>
      </c>
      <c r="G56" s="78">
        <v>57</v>
      </c>
      <c r="H56" s="78">
        <v>25</v>
      </c>
      <c r="I56" s="78"/>
      <c r="J56" s="103"/>
      <c r="K56" s="103"/>
      <c r="L56" s="103"/>
      <c r="M56" s="97" t="s">
        <v>24</v>
      </c>
      <c r="N56" s="78">
        <v>38</v>
      </c>
      <c r="O56" s="78">
        <v>378</v>
      </c>
      <c r="P56" s="78">
        <v>391</v>
      </c>
      <c r="Q56" s="119">
        <v>145</v>
      </c>
      <c r="R56" s="120">
        <v>5</v>
      </c>
      <c r="S56" s="78">
        <v>0</v>
      </c>
      <c r="T56" s="78">
        <v>0</v>
      </c>
    </row>
    <row r="57" spans="1:20">
      <c r="A57" s="97" t="s">
        <v>26</v>
      </c>
      <c r="B57" s="101">
        <v>168</v>
      </c>
      <c r="C57" s="101">
        <v>4329</v>
      </c>
      <c r="D57" s="101">
        <v>4297</v>
      </c>
      <c r="E57" s="121">
        <v>1332</v>
      </c>
      <c r="F57" s="122">
        <v>2419</v>
      </c>
      <c r="G57" s="80">
        <v>81</v>
      </c>
      <c r="H57" s="80">
        <v>20</v>
      </c>
      <c r="I57" s="80"/>
      <c r="J57" s="103"/>
      <c r="K57" s="103"/>
      <c r="L57" s="103"/>
      <c r="M57" s="97" t="s">
        <v>26</v>
      </c>
      <c r="N57" s="101">
        <v>28</v>
      </c>
      <c r="O57" s="101">
        <v>295</v>
      </c>
      <c r="P57" s="101">
        <v>355</v>
      </c>
      <c r="Q57" s="121">
        <v>190</v>
      </c>
      <c r="R57" s="122">
        <v>5</v>
      </c>
      <c r="S57" s="80">
        <v>0</v>
      </c>
      <c r="T57" s="80">
        <v>0</v>
      </c>
    </row>
    <row r="58" spans="1:20">
      <c r="A58" s="97" t="s">
        <v>28</v>
      </c>
      <c r="B58" s="80">
        <v>185</v>
      </c>
      <c r="C58" s="80">
        <v>5377</v>
      </c>
      <c r="D58" s="80">
        <v>5156</v>
      </c>
      <c r="E58" s="121">
        <v>1546</v>
      </c>
      <c r="F58" s="122">
        <v>625</v>
      </c>
      <c r="G58" s="80">
        <v>84</v>
      </c>
      <c r="H58" s="80">
        <v>6</v>
      </c>
      <c r="I58" s="80"/>
      <c r="J58" s="103"/>
      <c r="K58" s="103"/>
      <c r="L58" s="103"/>
      <c r="M58" s="97" t="s">
        <v>28</v>
      </c>
      <c r="N58" s="80">
        <v>34</v>
      </c>
      <c r="O58" s="80">
        <v>297</v>
      </c>
      <c r="P58" s="80">
        <v>336</v>
      </c>
      <c r="Q58" s="121">
        <v>445</v>
      </c>
      <c r="R58" s="122">
        <v>616</v>
      </c>
      <c r="S58" s="80">
        <v>0</v>
      </c>
      <c r="T58" s="80">
        <v>0</v>
      </c>
    </row>
    <row r="59" spans="1:20">
      <c r="A59" s="97" t="s">
        <v>30</v>
      </c>
      <c r="B59" s="78">
        <v>169</v>
      </c>
      <c r="C59" s="78">
        <v>5388</v>
      </c>
      <c r="D59" s="78">
        <v>5757</v>
      </c>
      <c r="E59" s="119">
        <v>1280</v>
      </c>
      <c r="F59" s="120">
        <v>1442</v>
      </c>
      <c r="G59" s="78">
        <v>116</v>
      </c>
      <c r="H59" s="78">
        <v>3</v>
      </c>
      <c r="I59" s="78"/>
      <c r="J59" s="103"/>
      <c r="K59" s="103"/>
      <c r="L59" s="103"/>
      <c r="M59" s="97" t="s">
        <v>30</v>
      </c>
      <c r="N59" s="78">
        <v>22</v>
      </c>
      <c r="O59" s="78">
        <v>317</v>
      </c>
      <c r="P59" s="78">
        <v>271</v>
      </c>
      <c r="Q59" s="119">
        <v>341</v>
      </c>
      <c r="R59" s="120">
        <v>169</v>
      </c>
      <c r="S59" s="78">
        <v>0</v>
      </c>
      <c r="T59" s="78">
        <v>0</v>
      </c>
    </row>
    <row r="60" spans="1:20">
      <c r="A60" s="98" t="s">
        <v>32</v>
      </c>
      <c r="B60" s="114">
        <v>170</v>
      </c>
      <c r="C60" s="114">
        <v>5766</v>
      </c>
      <c r="D60" s="114">
        <v>5788</v>
      </c>
      <c r="E60" s="123">
        <v>1468</v>
      </c>
      <c r="F60" s="124">
        <v>1160</v>
      </c>
      <c r="G60" s="114">
        <v>126</v>
      </c>
      <c r="H60" s="114">
        <v>12</v>
      </c>
      <c r="I60" s="100"/>
      <c r="J60" s="103"/>
      <c r="K60" s="103"/>
      <c r="M60" s="98" t="s">
        <v>32</v>
      </c>
      <c r="N60" s="114">
        <v>34</v>
      </c>
      <c r="O60" s="114">
        <v>376</v>
      </c>
      <c r="P60" s="114">
        <v>438</v>
      </c>
      <c r="Q60" s="123">
        <v>213</v>
      </c>
      <c r="R60" s="124">
        <v>12</v>
      </c>
      <c r="S60" s="114">
        <v>0</v>
      </c>
      <c r="T60" s="114">
        <v>0</v>
      </c>
    </row>
    <row r="61" spans="1:20" ht="18.75">
      <c r="A61" s="6" t="s">
        <v>6</v>
      </c>
      <c r="B61" s="3"/>
      <c r="C61" s="3"/>
      <c r="D61" s="7"/>
      <c r="E61" s="1"/>
      <c r="H61" s="11" t="s">
        <v>7</v>
      </c>
      <c r="I61" s="12"/>
      <c r="J61" s="103"/>
      <c r="K61" s="103"/>
      <c r="M61" s="6" t="s">
        <v>6</v>
      </c>
      <c r="N61" s="3"/>
      <c r="O61" s="3"/>
      <c r="P61" s="7"/>
      <c r="Q61" s="1"/>
      <c r="T61" s="11" t="s">
        <v>7</v>
      </c>
    </row>
    <row r="62" spans="1:20">
      <c r="A62" s="103"/>
      <c r="J62" s="103"/>
      <c r="K62" s="103"/>
    </row>
    <row r="63" spans="1:20">
      <c r="A63" s="115"/>
      <c r="B63" s="103"/>
      <c r="C63" s="103"/>
      <c r="D63" s="103"/>
      <c r="E63" s="116"/>
      <c r="F63" s="116"/>
      <c r="G63" s="116"/>
      <c r="H63" s="116"/>
      <c r="I63" s="116"/>
    </row>
    <row r="64" spans="1:20">
      <c r="A64" s="103"/>
    </row>
    <row r="66" spans="1:20">
      <c r="A66" s="166" t="s">
        <v>111</v>
      </c>
      <c r="B66" s="166"/>
      <c r="C66" s="166"/>
      <c r="D66" s="166"/>
      <c r="E66" s="166"/>
      <c r="F66" s="166"/>
      <c r="G66" s="166"/>
      <c r="H66" s="166"/>
      <c r="I66" s="102"/>
      <c r="M66" s="166" t="s">
        <v>112</v>
      </c>
      <c r="N66" s="166"/>
      <c r="O66" s="166"/>
      <c r="P66" s="166"/>
      <c r="Q66" s="166"/>
      <c r="R66" s="166"/>
      <c r="S66" s="166"/>
      <c r="T66" s="166"/>
    </row>
    <row r="67" spans="1:20">
      <c r="A67" s="104"/>
      <c r="B67" s="103"/>
      <c r="C67" s="103"/>
      <c r="D67" s="103"/>
      <c r="E67" s="103"/>
      <c r="F67" s="103"/>
      <c r="G67" s="103"/>
      <c r="H67" s="103"/>
      <c r="I67" s="102"/>
      <c r="M67" s="104"/>
      <c r="N67" s="103"/>
      <c r="O67" s="103"/>
      <c r="P67" s="103"/>
      <c r="Q67" s="103"/>
      <c r="R67" s="103"/>
      <c r="S67" s="103"/>
      <c r="T67" s="103"/>
    </row>
    <row r="68" spans="1:20">
      <c r="A68" s="167" t="s">
        <v>64</v>
      </c>
      <c r="B68" s="169" t="s">
        <v>65</v>
      </c>
      <c r="C68" s="171" t="s">
        <v>66</v>
      </c>
      <c r="D68" s="171"/>
      <c r="E68" s="172" t="s">
        <v>67</v>
      </c>
      <c r="F68" s="173"/>
      <c r="G68" s="171" t="s">
        <v>68</v>
      </c>
      <c r="H68" s="171"/>
      <c r="I68" s="105"/>
      <c r="M68" s="167" t="s">
        <v>64</v>
      </c>
      <c r="N68" s="169" t="s">
        <v>65</v>
      </c>
      <c r="O68" s="171" t="s">
        <v>66</v>
      </c>
      <c r="P68" s="171"/>
      <c r="Q68" s="172" t="s">
        <v>67</v>
      </c>
      <c r="R68" s="173"/>
      <c r="S68" s="171" t="s">
        <v>68</v>
      </c>
      <c r="T68" s="171"/>
    </row>
    <row r="69" spans="1:20">
      <c r="A69" s="168"/>
      <c r="B69" s="170"/>
      <c r="C69" s="106" t="s">
        <v>69</v>
      </c>
      <c r="D69" s="106" t="s">
        <v>70</v>
      </c>
      <c r="E69" s="107" t="s">
        <v>69</v>
      </c>
      <c r="F69" s="108" t="s">
        <v>70</v>
      </c>
      <c r="G69" s="106" t="s">
        <v>69</v>
      </c>
      <c r="H69" s="106" t="s">
        <v>70</v>
      </c>
      <c r="I69" s="109"/>
      <c r="J69" s="103"/>
      <c r="K69" s="103"/>
      <c r="M69" s="168"/>
      <c r="N69" s="170"/>
      <c r="O69" s="106" t="s">
        <v>69</v>
      </c>
      <c r="P69" s="106" t="s">
        <v>70</v>
      </c>
      <c r="Q69" s="107" t="s">
        <v>69</v>
      </c>
      <c r="R69" s="108" t="s">
        <v>70</v>
      </c>
      <c r="S69" s="106" t="s">
        <v>69</v>
      </c>
      <c r="T69" s="106" t="s">
        <v>70</v>
      </c>
    </row>
    <row r="70" spans="1:20">
      <c r="A70" s="110" t="s">
        <v>4</v>
      </c>
      <c r="B70" s="111"/>
      <c r="C70" s="111"/>
      <c r="D70" s="111"/>
      <c r="E70" s="79"/>
      <c r="F70" s="112"/>
      <c r="G70" s="111"/>
      <c r="H70" s="111"/>
      <c r="I70" s="99"/>
      <c r="J70" s="103"/>
      <c r="K70" s="103"/>
      <c r="M70" s="110" t="s">
        <v>4</v>
      </c>
      <c r="N70" s="111"/>
      <c r="O70" s="111"/>
      <c r="P70" s="111"/>
      <c r="Q70" s="79"/>
      <c r="R70" s="112"/>
      <c r="S70" s="111"/>
      <c r="T70" s="111"/>
    </row>
    <row r="71" spans="1:20">
      <c r="A71" s="117" t="s">
        <v>71</v>
      </c>
      <c r="B71" s="78">
        <v>122</v>
      </c>
      <c r="C71" s="78">
        <v>1894</v>
      </c>
      <c r="D71" s="78">
        <v>1910</v>
      </c>
      <c r="E71" s="119">
        <v>198</v>
      </c>
      <c r="F71" s="120">
        <v>187</v>
      </c>
      <c r="G71" s="78">
        <v>0</v>
      </c>
      <c r="H71" s="78">
        <v>0</v>
      </c>
      <c r="I71" s="78"/>
      <c r="J71" s="113" t="s">
        <v>83</v>
      </c>
      <c r="K71" s="113"/>
      <c r="M71" s="117" t="s">
        <v>71</v>
      </c>
      <c r="N71" s="78">
        <v>355</v>
      </c>
      <c r="O71" s="78">
        <v>6808</v>
      </c>
      <c r="P71" s="78">
        <v>6737</v>
      </c>
      <c r="Q71" s="119">
        <v>476</v>
      </c>
      <c r="R71" s="120">
        <v>542</v>
      </c>
      <c r="S71" s="78">
        <v>0</v>
      </c>
      <c r="T71" s="78">
        <v>0</v>
      </c>
    </row>
    <row r="72" spans="1:20">
      <c r="A72" s="117" t="s">
        <v>72</v>
      </c>
      <c r="B72" s="78">
        <v>110</v>
      </c>
      <c r="C72" s="78">
        <v>1663</v>
      </c>
      <c r="D72" s="78">
        <v>1538</v>
      </c>
      <c r="E72" s="119">
        <v>548</v>
      </c>
      <c r="F72" s="120">
        <v>50</v>
      </c>
      <c r="G72" s="78">
        <v>0</v>
      </c>
      <c r="H72" s="78">
        <v>0</v>
      </c>
      <c r="I72" s="78"/>
      <c r="J72" s="103"/>
      <c r="K72" s="103"/>
      <c r="M72" s="117" t="s">
        <v>72</v>
      </c>
      <c r="N72" s="78">
        <v>315</v>
      </c>
      <c r="O72" s="78">
        <v>6286</v>
      </c>
      <c r="P72" s="78">
        <v>6258</v>
      </c>
      <c r="Q72" s="119">
        <v>854</v>
      </c>
      <c r="R72" s="120">
        <v>548</v>
      </c>
      <c r="S72" s="78">
        <v>0</v>
      </c>
      <c r="T72" s="78">
        <v>0</v>
      </c>
    </row>
    <row r="73" spans="1:20">
      <c r="A73" s="117" t="s">
        <v>73</v>
      </c>
      <c r="B73" s="78">
        <v>108</v>
      </c>
      <c r="C73" s="78">
        <v>1743</v>
      </c>
      <c r="D73" s="78">
        <v>1603</v>
      </c>
      <c r="E73" s="119">
        <v>519</v>
      </c>
      <c r="F73" s="120">
        <v>41</v>
      </c>
      <c r="G73" s="78">
        <v>0</v>
      </c>
      <c r="H73" s="78">
        <v>0</v>
      </c>
      <c r="I73" s="78"/>
      <c r="J73" s="103"/>
      <c r="K73" s="103"/>
      <c r="M73" s="117" t="s">
        <v>73</v>
      </c>
      <c r="N73" s="78">
        <v>343</v>
      </c>
      <c r="O73" s="78">
        <v>6242</v>
      </c>
      <c r="P73" s="78">
        <v>5912</v>
      </c>
      <c r="Q73" s="119">
        <v>241</v>
      </c>
      <c r="R73" s="120">
        <v>1208</v>
      </c>
      <c r="S73" s="78">
        <v>0</v>
      </c>
      <c r="T73" s="78">
        <v>0</v>
      </c>
    </row>
    <row r="74" spans="1:20">
      <c r="A74" s="117" t="s">
        <v>74</v>
      </c>
      <c r="B74" s="78">
        <v>99</v>
      </c>
      <c r="C74" s="78">
        <v>1393</v>
      </c>
      <c r="D74" s="78">
        <v>1858</v>
      </c>
      <c r="E74" s="119">
        <v>289</v>
      </c>
      <c r="F74" s="120">
        <v>62</v>
      </c>
      <c r="G74" s="78">
        <v>0</v>
      </c>
      <c r="H74" s="78">
        <v>0</v>
      </c>
      <c r="I74" s="78"/>
      <c r="J74" s="103"/>
      <c r="K74" s="103"/>
      <c r="M74" s="117" t="s">
        <v>74</v>
      </c>
      <c r="N74" s="78">
        <v>289</v>
      </c>
      <c r="O74" s="78">
        <v>6319</v>
      </c>
      <c r="P74" s="78">
        <v>6364</v>
      </c>
      <c r="Q74" s="119">
        <v>412</v>
      </c>
      <c r="R74" s="120">
        <v>902</v>
      </c>
      <c r="S74" s="78">
        <v>0</v>
      </c>
      <c r="T74" s="78">
        <v>0</v>
      </c>
    </row>
    <row r="75" spans="1:20">
      <c r="A75" s="117" t="s">
        <v>75</v>
      </c>
      <c r="B75" s="78">
        <v>51</v>
      </c>
      <c r="C75" s="78">
        <v>773</v>
      </c>
      <c r="D75" s="78">
        <v>901</v>
      </c>
      <c r="E75" s="119">
        <v>556</v>
      </c>
      <c r="F75" s="120">
        <v>43</v>
      </c>
      <c r="G75" s="78">
        <v>0</v>
      </c>
      <c r="H75" s="78">
        <v>0</v>
      </c>
      <c r="I75" s="78"/>
      <c r="J75" s="103"/>
      <c r="K75" s="103"/>
      <c r="M75" s="117" t="s">
        <v>75</v>
      </c>
      <c r="N75" s="78">
        <v>265</v>
      </c>
      <c r="O75" s="78">
        <v>5874</v>
      </c>
      <c r="P75" s="78">
        <v>6314</v>
      </c>
      <c r="Q75" s="119">
        <v>317</v>
      </c>
      <c r="R75" s="120">
        <v>786</v>
      </c>
      <c r="S75" s="78">
        <v>0</v>
      </c>
      <c r="T75" s="78">
        <v>0</v>
      </c>
    </row>
    <row r="76" spans="1:20">
      <c r="A76" s="117" t="s">
        <v>76</v>
      </c>
      <c r="B76" s="78">
        <v>92</v>
      </c>
      <c r="C76" s="78">
        <v>701</v>
      </c>
      <c r="D76" s="78">
        <v>696</v>
      </c>
      <c r="E76" s="119">
        <v>455</v>
      </c>
      <c r="F76" s="120">
        <v>43</v>
      </c>
      <c r="G76" s="78">
        <v>0</v>
      </c>
      <c r="H76" s="78">
        <v>0</v>
      </c>
      <c r="I76" s="78"/>
      <c r="J76" s="103"/>
      <c r="K76" s="103"/>
      <c r="M76" s="117" t="s">
        <v>76</v>
      </c>
      <c r="N76" s="78">
        <v>300</v>
      </c>
      <c r="O76" s="78">
        <v>6315</v>
      </c>
      <c r="P76" s="78">
        <v>6252</v>
      </c>
      <c r="Q76" s="119">
        <v>303</v>
      </c>
      <c r="R76" s="120">
        <v>684</v>
      </c>
      <c r="S76" s="78">
        <v>0</v>
      </c>
      <c r="T76" s="78">
        <v>0</v>
      </c>
    </row>
    <row r="77" spans="1:20">
      <c r="A77" s="117" t="s">
        <v>77</v>
      </c>
      <c r="B77" s="78">
        <v>47</v>
      </c>
      <c r="C77" s="78">
        <v>731</v>
      </c>
      <c r="D77" s="78">
        <v>839</v>
      </c>
      <c r="E77" s="119">
        <v>276</v>
      </c>
      <c r="F77" s="120">
        <v>26</v>
      </c>
      <c r="G77" s="78">
        <v>0</v>
      </c>
      <c r="H77" s="78">
        <v>0</v>
      </c>
      <c r="I77" s="78"/>
      <c r="J77" s="103"/>
      <c r="K77" s="103"/>
      <c r="M77" s="117" t="s">
        <v>77</v>
      </c>
      <c r="N77" s="78">
        <v>296</v>
      </c>
      <c r="O77" s="78">
        <v>7213</v>
      </c>
      <c r="P77" s="78">
        <v>7062</v>
      </c>
      <c r="Q77" s="119">
        <v>499</v>
      </c>
      <c r="R77" s="120">
        <v>481</v>
      </c>
      <c r="S77" s="78">
        <v>0</v>
      </c>
      <c r="T77" s="78">
        <v>0</v>
      </c>
    </row>
    <row r="78" spans="1:20">
      <c r="A78" s="117" t="s">
        <v>78</v>
      </c>
      <c r="B78" s="78">
        <v>44</v>
      </c>
      <c r="C78" s="78">
        <v>811</v>
      </c>
      <c r="D78" s="78">
        <v>781</v>
      </c>
      <c r="E78" s="119">
        <v>84</v>
      </c>
      <c r="F78" s="120">
        <v>68</v>
      </c>
      <c r="G78" s="78">
        <v>0</v>
      </c>
      <c r="H78" s="78">
        <v>0</v>
      </c>
      <c r="I78" s="78"/>
      <c r="J78" s="103"/>
      <c r="K78" s="103"/>
      <c r="M78" s="117" t="s">
        <v>78</v>
      </c>
      <c r="N78" s="78">
        <v>293</v>
      </c>
      <c r="O78" s="78">
        <v>6736</v>
      </c>
      <c r="P78" s="78">
        <v>7029</v>
      </c>
      <c r="Q78" s="119">
        <v>341</v>
      </c>
      <c r="R78" s="120">
        <v>379</v>
      </c>
      <c r="S78" s="78">
        <v>0</v>
      </c>
      <c r="T78" s="78">
        <v>0</v>
      </c>
    </row>
    <row r="79" spans="1:20">
      <c r="A79" s="117" t="s">
        <v>79</v>
      </c>
      <c r="B79" s="101">
        <v>35</v>
      </c>
      <c r="C79" s="101">
        <v>639</v>
      </c>
      <c r="D79" s="101">
        <v>475</v>
      </c>
      <c r="E79" s="121">
        <v>583</v>
      </c>
      <c r="F79" s="122">
        <v>40</v>
      </c>
      <c r="G79" s="80">
        <v>0</v>
      </c>
      <c r="H79" s="80">
        <v>0</v>
      </c>
      <c r="I79" s="80"/>
      <c r="J79" s="103"/>
      <c r="K79" s="103"/>
      <c r="M79" s="117" t="s">
        <v>79</v>
      </c>
      <c r="N79" s="101">
        <v>239</v>
      </c>
      <c r="O79" s="101">
        <v>5383</v>
      </c>
      <c r="P79" s="101">
        <v>5296</v>
      </c>
      <c r="Q79" s="121">
        <v>79</v>
      </c>
      <c r="R79" s="122">
        <v>460</v>
      </c>
      <c r="S79" s="80">
        <v>0</v>
      </c>
      <c r="T79" s="80">
        <v>0</v>
      </c>
    </row>
    <row r="80" spans="1:20">
      <c r="A80" s="117" t="s">
        <v>80</v>
      </c>
      <c r="B80" s="80">
        <v>65</v>
      </c>
      <c r="C80" s="80">
        <v>1300</v>
      </c>
      <c r="D80" s="80">
        <v>1067</v>
      </c>
      <c r="E80" s="121">
        <v>415</v>
      </c>
      <c r="F80" s="122">
        <v>335</v>
      </c>
      <c r="G80" s="80">
        <v>0</v>
      </c>
      <c r="H80" s="80">
        <v>0</v>
      </c>
      <c r="I80" s="80"/>
      <c r="J80" s="103"/>
      <c r="K80" s="103"/>
      <c r="M80" s="117" t="s">
        <v>80</v>
      </c>
      <c r="N80" s="80">
        <v>261</v>
      </c>
      <c r="O80" s="80">
        <v>5310</v>
      </c>
      <c r="P80" s="80">
        <v>5333</v>
      </c>
      <c r="Q80" s="121">
        <v>1048</v>
      </c>
      <c r="R80" s="122">
        <v>720</v>
      </c>
      <c r="S80" s="80">
        <v>0</v>
      </c>
      <c r="T80" s="80">
        <v>0</v>
      </c>
    </row>
    <row r="81" spans="1:20">
      <c r="A81" s="117" t="s">
        <v>81</v>
      </c>
      <c r="B81" s="78">
        <v>71</v>
      </c>
      <c r="C81" s="78">
        <v>1392</v>
      </c>
      <c r="D81" s="78">
        <v>1356</v>
      </c>
      <c r="E81" s="119">
        <v>621</v>
      </c>
      <c r="F81" s="120">
        <v>274</v>
      </c>
      <c r="G81" s="78">
        <v>0</v>
      </c>
      <c r="H81" s="78">
        <v>0</v>
      </c>
      <c r="I81" s="78"/>
      <c r="J81" s="103"/>
      <c r="K81" s="103"/>
      <c r="M81" s="117" t="s">
        <v>81</v>
      </c>
      <c r="N81" s="78">
        <v>282</v>
      </c>
      <c r="O81" s="78">
        <v>5753</v>
      </c>
      <c r="P81" s="78">
        <v>5545</v>
      </c>
      <c r="Q81" s="119">
        <v>1615</v>
      </c>
      <c r="R81" s="120">
        <v>672</v>
      </c>
      <c r="S81" s="78">
        <v>0</v>
      </c>
      <c r="T81" s="78">
        <v>0</v>
      </c>
    </row>
    <row r="82" spans="1:20">
      <c r="A82" s="118" t="s">
        <v>82</v>
      </c>
      <c r="B82" s="114">
        <v>121</v>
      </c>
      <c r="C82" s="114">
        <v>2010</v>
      </c>
      <c r="D82" s="114">
        <v>2200</v>
      </c>
      <c r="E82" s="123">
        <v>622</v>
      </c>
      <c r="F82" s="124">
        <v>77.5</v>
      </c>
      <c r="G82" s="114">
        <v>0</v>
      </c>
      <c r="H82" s="114">
        <v>0</v>
      </c>
      <c r="I82" s="100"/>
      <c r="J82" s="103"/>
      <c r="K82" s="103"/>
      <c r="M82" s="118" t="s">
        <v>82</v>
      </c>
      <c r="N82" s="114">
        <v>326</v>
      </c>
      <c r="O82" s="114">
        <v>6391</v>
      </c>
      <c r="P82" s="114">
        <v>6118</v>
      </c>
      <c r="Q82" s="123">
        <v>1481</v>
      </c>
      <c r="R82" s="124">
        <v>647</v>
      </c>
      <c r="S82" s="114">
        <v>0</v>
      </c>
      <c r="T82" s="114">
        <v>0</v>
      </c>
    </row>
    <row r="83" spans="1:20" ht="18.75">
      <c r="A83" s="6" t="s">
        <v>6</v>
      </c>
      <c r="B83" s="3"/>
      <c r="C83" s="3"/>
      <c r="D83" s="7"/>
      <c r="E83" s="1"/>
      <c r="H83" s="11" t="s">
        <v>7</v>
      </c>
      <c r="I83" s="116"/>
      <c r="J83" s="103"/>
      <c r="K83" s="103"/>
      <c r="M83" s="6" t="s">
        <v>6</v>
      </c>
      <c r="N83" s="3"/>
      <c r="O83" s="3"/>
      <c r="P83" s="7"/>
      <c r="Q83" s="1"/>
      <c r="T83" s="11" t="s">
        <v>7</v>
      </c>
    </row>
    <row r="84" spans="1:20">
      <c r="A84" s="103"/>
      <c r="J84" s="103"/>
      <c r="K84" s="103"/>
    </row>
    <row r="86" spans="1:20">
      <c r="A86" s="166" t="s">
        <v>113</v>
      </c>
      <c r="B86" s="166"/>
      <c r="C86" s="166"/>
      <c r="D86" s="166"/>
      <c r="E86" s="166"/>
      <c r="F86" s="166"/>
      <c r="G86" s="166"/>
      <c r="H86" s="166"/>
      <c r="I86" s="102"/>
      <c r="J86" s="103"/>
      <c r="K86" s="103"/>
      <c r="M86" s="166" t="s">
        <v>114</v>
      </c>
      <c r="N86" s="166"/>
      <c r="O86" s="166"/>
      <c r="P86" s="166"/>
      <c r="Q86" s="166"/>
      <c r="R86" s="166"/>
      <c r="S86" s="166"/>
      <c r="T86" s="166"/>
    </row>
    <row r="87" spans="1:20">
      <c r="A87" s="104"/>
      <c r="B87" s="103"/>
      <c r="C87" s="103"/>
      <c r="D87" s="103"/>
      <c r="E87" s="103"/>
      <c r="F87" s="103"/>
      <c r="G87" s="103"/>
      <c r="H87" s="103"/>
      <c r="I87" s="103"/>
      <c r="J87" s="103"/>
      <c r="K87" s="103"/>
      <c r="M87" s="104"/>
      <c r="N87" s="103"/>
      <c r="O87" s="103"/>
      <c r="P87" s="103"/>
      <c r="Q87" s="103"/>
      <c r="R87" s="103"/>
      <c r="S87" s="103"/>
      <c r="T87" s="103"/>
    </row>
    <row r="88" spans="1:20">
      <c r="A88" s="167" t="s">
        <v>64</v>
      </c>
      <c r="B88" s="169" t="s">
        <v>65</v>
      </c>
      <c r="C88" s="171" t="s">
        <v>66</v>
      </c>
      <c r="D88" s="171"/>
      <c r="E88" s="172" t="s">
        <v>67</v>
      </c>
      <c r="F88" s="173"/>
      <c r="G88" s="171" t="s">
        <v>68</v>
      </c>
      <c r="H88" s="171"/>
      <c r="I88" s="105"/>
      <c r="J88" s="103"/>
      <c r="K88" s="103"/>
      <c r="M88" s="167" t="s">
        <v>64</v>
      </c>
      <c r="N88" s="169" t="s">
        <v>65</v>
      </c>
      <c r="O88" s="171" t="s">
        <v>66</v>
      </c>
      <c r="P88" s="171"/>
      <c r="Q88" s="172" t="s">
        <v>67</v>
      </c>
      <c r="R88" s="173"/>
      <c r="S88" s="171" t="s">
        <v>68</v>
      </c>
      <c r="T88" s="171"/>
    </row>
    <row r="89" spans="1:20">
      <c r="A89" s="168"/>
      <c r="B89" s="170"/>
      <c r="C89" s="106" t="s">
        <v>69</v>
      </c>
      <c r="D89" s="106" t="s">
        <v>70</v>
      </c>
      <c r="E89" s="107" t="s">
        <v>69</v>
      </c>
      <c r="F89" s="108" t="s">
        <v>70</v>
      </c>
      <c r="G89" s="106" t="s">
        <v>69</v>
      </c>
      <c r="H89" s="106" t="s">
        <v>70</v>
      </c>
      <c r="I89" s="109"/>
      <c r="J89" s="103"/>
      <c r="K89" s="103"/>
      <c r="M89" s="168"/>
      <c r="N89" s="170"/>
      <c r="O89" s="106" t="s">
        <v>69</v>
      </c>
      <c r="P89" s="106" t="s">
        <v>70</v>
      </c>
      <c r="Q89" s="107" t="s">
        <v>69</v>
      </c>
      <c r="R89" s="108" t="s">
        <v>70</v>
      </c>
      <c r="S89" s="106" t="s">
        <v>69</v>
      </c>
      <c r="T89" s="106" t="s">
        <v>70</v>
      </c>
    </row>
    <row r="90" spans="1:20">
      <c r="A90" s="110" t="s">
        <v>4</v>
      </c>
      <c r="B90" s="111"/>
      <c r="C90" s="111"/>
      <c r="D90" s="111"/>
      <c r="E90" s="79"/>
      <c r="F90" s="112"/>
      <c r="G90" s="111"/>
      <c r="H90" s="111"/>
      <c r="I90" s="99"/>
      <c r="J90" s="103"/>
      <c r="K90" s="103"/>
      <c r="M90" s="110" t="s">
        <v>4</v>
      </c>
      <c r="N90" s="111"/>
      <c r="O90" s="111"/>
      <c r="P90" s="111"/>
      <c r="Q90" s="79"/>
      <c r="R90" s="112"/>
      <c r="S90" s="111"/>
      <c r="T90" s="111"/>
    </row>
    <row r="91" spans="1:20">
      <c r="A91" s="117" t="s">
        <v>71</v>
      </c>
      <c r="B91" s="78">
        <v>110</v>
      </c>
      <c r="C91" s="78">
        <v>5559</v>
      </c>
      <c r="D91" s="78">
        <v>5862</v>
      </c>
      <c r="E91" s="119">
        <v>0</v>
      </c>
      <c r="F91" s="120">
        <v>0</v>
      </c>
      <c r="G91" s="78">
        <v>0</v>
      </c>
      <c r="H91" s="78">
        <v>0</v>
      </c>
      <c r="I91" s="78"/>
      <c r="J91" s="113" t="s">
        <v>83</v>
      </c>
      <c r="K91" s="113"/>
      <c r="M91" s="117" t="s">
        <v>71</v>
      </c>
      <c r="N91" s="78">
        <v>64</v>
      </c>
      <c r="O91" s="78">
        <v>1260</v>
      </c>
      <c r="P91" s="78">
        <v>1099</v>
      </c>
      <c r="Q91" s="119">
        <v>225</v>
      </c>
      <c r="R91" s="120">
        <v>0</v>
      </c>
      <c r="S91" s="78">
        <v>57</v>
      </c>
      <c r="T91" s="78">
        <v>23</v>
      </c>
    </row>
    <row r="92" spans="1:20">
      <c r="A92" s="117" t="s">
        <v>72</v>
      </c>
      <c r="B92" s="78">
        <v>91</v>
      </c>
      <c r="C92" s="78">
        <v>5295</v>
      </c>
      <c r="D92" s="78">
        <v>5263</v>
      </c>
      <c r="E92" s="119">
        <v>0</v>
      </c>
      <c r="F92" s="120">
        <v>0</v>
      </c>
      <c r="G92" s="78">
        <v>0</v>
      </c>
      <c r="H92" s="78">
        <v>0</v>
      </c>
      <c r="I92" s="78"/>
      <c r="J92" s="103"/>
      <c r="K92" s="103"/>
      <c r="M92" s="117" t="s">
        <v>72</v>
      </c>
      <c r="N92" s="78">
        <v>46</v>
      </c>
      <c r="O92" s="78">
        <v>1098</v>
      </c>
      <c r="P92" s="78">
        <v>856</v>
      </c>
      <c r="Q92" s="119">
        <v>342</v>
      </c>
      <c r="R92" s="120">
        <v>15</v>
      </c>
      <c r="S92" s="78">
        <v>0</v>
      </c>
      <c r="T92" s="78">
        <v>21</v>
      </c>
    </row>
    <row r="93" spans="1:20">
      <c r="A93" s="117" t="s">
        <v>73</v>
      </c>
      <c r="B93" s="78">
        <v>101</v>
      </c>
      <c r="C93" s="78">
        <v>4956</v>
      </c>
      <c r="D93" s="78">
        <v>5020</v>
      </c>
      <c r="E93" s="119">
        <v>0</v>
      </c>
      <c r="F93" s="120">
        <v>0</v>
      </c>
      <c r="G93" s="78">
        <v>0</v>
      </c>
      <c r="H93" s="78">
        <v>0</v>
      </c>
      <c r="I93" s="78"/>
      <c r="J93" s="103"/>
      <c r="K93" s="103"/>
      <c r="M93" s="117" t="s">
        <v>73</v>
      </c>
      <c r="N93" s="78">
        <v>56</v>
      </c>
      <c r="O93" s="78">
        <v>1234</v>
      </c>
      <c r="P93" s="78">
        <v>754</v>
      </c>
      <c r="Q93" s="119">
        <v>383</v>
      </c>
      <c r="R93" s="120">
        <v>104</v>
      </c>
      <c r="S93" s="78">
        <v>0</v>
      </c>
      <c r="T93" s="78">
        <v>16</v>
      </c>
    </row>
    <row r="94" spans="1:20">
      <c r="A94" s="117" t="s">
        <v>74</v>
      </c>
      <c r="B94" s="78">
        <v>220</v>
      </c>
      <c r="C94" s="78">
        <v>5706</v>
      </c>
      <c r="D94" s="78">
        <v>5717</v>
      </c>
      <c r="E94" s="119">
        <v>0</v>
      </c>
      <c r="F94" s="120">
        <v>0</v>
      </c>
      <c r="G94" s="78">
        <v>0</v>
      </c>
      <c r="H94" s="78">
        <v>0</v>
      </c>
      <c r="I94" s="78"/>
      <c r="J94" s="103"/>
      <c r="K94" s="103"/>
      <c r="M94" s="117" t="s">
        <v>74</v>
      </c>
      <c r="N94" s="78">
        <v>62</v>
      </c>
      <c r="O94" s="78">
        <v>1351</v>
      </c>
      <c r="P94" s="78">
        <v>1262</v>
      </c>
      <c r="Q94" s="119">
        <v>385</v>
      </c>
      <c r="R94" s="120">
        <v>78</v>
      </c>
      <c r="S94" s="78">
        <v>0</v>
      </c>
      <c r="T94" s="78">
        <v>51</v>
      </c>
    </row>
    <row r="95" spans="1:20">
      <c r="A95" s="117" t="s">
        <v>75</v>
      </c>
      <c r="B95" s="78">
        <v>186</v>
      </c>
      <c r="C95" s="78">
        <v>4288</v>
      </c>
      <c r="D95" s="78">
        <v>4677</v>
      </c>
      <c r="E95" s="119">
        <v>0</v>
      </c>
      <c r="F95" s="120">
        <v>0</v>
      </c>
      <c r="G95" s="78">
        <v>0</v>
      </c>
      <c r="H95" s="78">
        <v>0</v>
      </c>
      <c r="I95" s="78"/>
      <c r="J95" s="103"/>
      <c r="K95" s="103"/>
      <c r="M95" s="117" t="s">
        <v>75</v>
      </c>
      <c r="N95" s="78">
        <v>42</v>
      </c>
      <c r="O95" s="78">
        <v>967</v>
      </c>
      <c r="P95" s="78">
        <v>769</v>
      </c>
      <c r="Q95" s="119">
        <v>335</v>
      </c>
      <c r="R95" s="120">
        <v>92</v>
      </c>
      <c r="S95" s="78">
        <v>0</v>
      </c>
      <c r="T95" s="78">
        <v>27</v>
      </c>
    </row>
    <row r="96" spans="1:20">
      <c r="A96" s="117" t="s">
        <v>76</v>
      </c>
      <c r="B96" s="78">
        <v>194</v>
      </c>
      <c r="C96" s="78">
        <v>5046</v>
      </c>
      <c r="D96" s="78">
        <v>4879</v>
      </c>
      <c r="E96" s="119">
        <v>0</v>
      </c>
      <c r="F96" s="120">
        <v>0</v>
      </c>
      <c r="G96" s="78">
        <v>0</v>
      </c>
      <c r="H96" s="78">
        <v>0</v>
      </c>
      <c r="I96" s="78"/>
      <c r="J96" s="103"/>
      <c r="K96" s="103"/>
      <c r="M96" s="117" t="s">
        <v>76</v>
      </c>
      <c r="N96" s="78">
        <v>48</v>
      </c>
      <c r="O96" s="78">
        <v>1085</v>
      </c>
      <c r="P96" s="78">
        <v>867</v>
      </c>
      <c r="Q96" s="119">
        <v>116</v>
      </c>
      <c r="R96" s="120">
        <v>0</v>
      </c>
      <c r="S96" s="78">
        <v>0</v>
      </c>
      <c r="T96" s="78">
        <v>49</v>
      </c>
    </row>
    <row r="97" spans="1:20">
      <c r="A97" s="117" t="s">
        <v>77</v>
      </c>
      <c r="B97" s="78">
        <v>212</v>
      </c>
      <c r="C97" s="78">
        <v>5924</v>
      </c>
      <c r="D97" s="78">
        <v>6019</v>
      </c>
      <c r="E97" s="119">
        <v>0</v>
      </c>
      <c r="F97" s="120">
        <v>0</v>
      </c>
      <c r="G97" s="78">
        <v>0</v>
      </c>
      <c r="H97" s="78">
        <v>0</v>
      </c>
      <c r="I97" s="78"/>
      <c r="J97" s="103"/>
      <c r="K97" s="103"/>
      <c r="M97" s="117" t="s">
        <v>77</v>
      </c>
      <c r="N97" s="78">
        <v>50</v>
      </c>
      <c r="O97" s="78">
        <v>1121</v>
      </c>
      <c r="P97" s="78">
        <v>899</v>
      </c>
      <c r="Q97" s="119">
        <v>169</v>
      </c>
      <c r="R97" s="120">
        <v>39</v>
      </c>
      <c r="S97" s="78">
        <v>0</v>
      </c>
      <c r="T97" s="78">
        <v>47</v>
      </c>
    </row>
    <row r="98" spans="1:20">
      <c r="A98" s="117" t="s">
        <v>78</v>
      </c>
      <c r="B98" s="78">
        <v>212</v>
      </c>
      <c r="C98" s="78">
        <v>5350</v>
      </c>
      <c r="D98" s="78">
        <v>6203</v>
      </c>
      <c r="E98" s="119">
        <v>0</v>
      </c>
      <c r="F98" s="120">
        <v>0</v>
      </c>
      <c r="G98" s="78">
        <v>0</v>
      </c>
      <c r="H98" s="78">
        <v>0</v>
      </c>
      <c r="I98" s="78"/>
      <c r="M98" s="117" t="s">
        <v>78</v>
      </c>
      <c r="N98" s="78">
        <v>74</v>
      </c>
      <c r="O98" s="78">
        <v>1217</v>
      </c>
      <c r="P98" s="78">
        <v>1102</v>
      </c>
      <c r="Q98" s="119">
        <v>492</v>
      </c>
      <c r="R98" s="120">
        <v>26</v>
      </c>
      <c r="S98" s="78">
        <v>0</v>
      </c>
      <c r="T98" s="78">
        <v>15</v>
      </c>
    </row>
    <row r="99" spans="1:20">
      <c r="A99" s="117" t="s">
        <v>79</v>
      </c>
      <c r="B99" s="101">
        <v>190</v>
      </c>
      <c r="C99" s="101">
        <v>5081</v>
      </c>
      <c r="D99" s="101">
        <v>5251</v>
      </c>
      <c r="E99" s="119">
        <v>0</v>
      </c>
      <c r="F99" s="120">
        <v>0</v>
      </c>
      <c r="G99" s="78">
        <v>0</v>
      </c>
      <c r="H99" s="78">
        <v>0</v>
      </c>
      <c r="I99" s="80"/>
      <c r="M99" s="117" t="s">
        <v>79</v>
      </c>
      <c r="N99" s="101">
        <v>102</v>
      </c>
      <c r="O99" s="101">
        <v>1245</v>
      </c>
      <c r="P99" s="101">
        <v>1215</v>
      </c>
      <c r="Q99" s="121">
        <v>955</v>
      </c>
      <c r="R99" s="122">
        <v>27</v>
      </c>
      <c r="S99" s="80">
        <v>0</v>
      </c>
      <c r="T99" s="80">
        <v>56</v>
      </c>
    </row>
    <row r="100" spans="1:20">
      <c r="A100" s="117" t="s">
        <v>80</v>
      </c>
      <c r="B100" s="80">
        <v>200</v>
      </c>
      <c r="C100" s="80">
        <v>5442</v>
      </c>
      <c r="D100" s="80">
        <v>5323</v>
      </c>
      <c r="E100" s="119">
        <v>0</v>
      </c>
      <c r="F100" s="120">
        <v>0</v>
      </c>
      <c r="G100" s="78">
        <v>0</v>
      </c>
      <c r="H100" s="78">
        <v>0</v>
      </c>
      <c r="I100" s="80"/>
      <c r="M100" s="117" t="s">
        <v>80</v>
      </c>
      <c r="N100" s="80">
        <v>106</v>
      </c>
      <c r="O100" s="80">
        <v>1350</v>
      </c>
      <c r="P100" s="80">
        <v>1137</v>
      </c>
      <c r="Q100" s="121">
        <v>361</v>
      </c>
      <c r="R100" s="122">
        <v>12</v>
      </c>
      <c r="S100" s="80">
        <v>0</v>
      </c>
      <c r="T100" s="80">
        <v>35</v>
      </c>
    </row>
    <row r="101" spans="1:20">
      <c r="A101" s="117" t="s">
        <v>81</v>
      </c>
      <c r="B101" s="78">
        <v>161</v>
      </c>
      <c r="C101" s="78">
        <v>4373</v>
      </c>
      <c r="D101" s="78">
        <v>4181</v>
      </c>
      <c r="E101" s="119">
        <v>0</v>
      </c>
      <c r="F101" s="120">
        <v>0</v>
      </c>
      <c r="G101" s="78">
        <v>0</v>
      </c>
      <c r="H101" s="78">
        <v>0</v>
      </c>
      <c r="I101" s="78"/>
      <c r="M101" s="117" t="s">
        <v>81</v>
      </c>
      <c r="N101" s="78">
        <v>106</v>
      </c>
      <c r="O101" s="78">
        <v>1463</v>
      </c>
      <c r="P101" s="78">
        <v>1356</v>
      </c>
      <c r="Q101" s="119">
        <v>327</v>
      </c>
      <c r="R101" s="120">
        <v>23</v>
      </c>
      <c r="S101" s="78">
        <v>0</v>
      </c>
      <c r="T101" s="78">
        <v>44</v>
      </c>
    </row>
    <row r="102" spans="1:20">
      <c r="A102" s="118" t="s">
        <v>82</v>
      </c>
      <c r="B102" s="114">
        <v>146</v>
      </c>
      <c r="C102" s="114">
        <v>4445</v>
      </c>
      <c r="D102" s="114">
        <v>4171</v>
      </c>
      <c r="E102" s="123">
        <v>0</v>
      </c>
      <c r="F102" s="124">
        <v>0</v>
      </c>
      <c r="G102" s="114">
        <v>0</v>
      </c>
      <c r="H102" s="114">
        <v>0</v>
      </c>
      <c r="I102" s="100"/>
      <c r="M102" s="118" t="s">
        <v>82</v>
      </c>
      <c r="N102" s="114">
        <v>118</v>
      </c>
      <c r="O102" s="114">
        <v>1751</v>
      </c>
      <c r="P102" s="114">
        <v>1456</v>
      </c>
      <c r="Q102" s="123">
        <v>948</v>
      </c>
      <c r="R102" s="124">
        <v>81</v>
      </c>
      <c r="S102" s="114">
        <v>0</v>
      </c>
      <c r="T102" s="114">
        <v>20</v>
      </c>
    </row>
    <row r="103" spans="1:20" ht="18.75">
      <c r="A103" s="6" t="s">
        <v>6</v>
      </c>
      <c r="B103" s="3"/>
      <c r="C103" s="3"/>
      <c r="D103" s="7"/>
      <c r="E103" s="1"/>
      <c r="H103" s="11" t="s">
        <v>7</v>
      </c>
      <c r="I103" s="116"/>
      <c r="M103" s="6" t="s">
        <v>6</v>
      </c>
      <c r="N103" s="3"/>
      <c r="O103" s="3"/>
      <c r="P103" s="7"/>
      <c r="Q103" s="1"/>
      <c r="T103" s="11" t="s">
        <v>7</v>
      </c>
    </row>
    <row r="104" spans="1:20" ht="18.75">
      <c r="A104" s="6"/>
      <c r="B104" s="3"/>
      <c r="C104" s="3"/>
      <c r="D104" s="7"/>
      <c r="E104" s="1"/>
      <c r="H104" s="12"/>
      <c r="I104" s="116"/>
      <c r="M104" s="6"/>
      <c r="N104" s="3"/>
      <c r="O104" s="3"/>
      <c r="P104" s="7"/>
      <c r="Q104" s="1"/>
      <c r="T104" s="12"/>
    </row>
    <row r="105" spans="1:20" ht="18.75">
      <c r="A105" s="6"/>
      <c r="B105" s="3"/>
      <c r="C105" s="3"/>
      <c r="D105" s="7"/>
      <c r="E105" s="1"/>
      <c r="H105" s="12"/>
      <c r="I105" s="116"/>
      <c r="M105" s="6"/>
      <c r="N105" s="3"/>
      <c r="O105" s="3"/>
      <c r="P105" s="7"/>
      <c r="Q105" s="1"/>
      <c r="T105" s="12"/>
    </row>
    <row r="106" spans="1:20">
      <c r="A106" s="166" t="s">
        <v>115</v>
      </c>
      <c r="B106" s="166"/>
      <c r="C106" s="166"/>
      <c r="D106" s="166"/>
      <c r="E106" s="166"/>
      <c r="F106" s="166"/>
      <c r="G106" s="166"/>
      <c r="H106" s="166"/>
      <c r="I106" s="102"/>
      <c r="J106" s="103"/>
      <c r="K106" s="103"/>
      <c r="M106" s="166" t="s">
        <v>116</v>
      </c>
      <c r="N106" s="166"/>
      <c r="O106" s="166"/>
      <c r="P106" s="166"/>
      <c r="Q106" s="166"/>
      <c r="R106" s="166"/>
      <c r="S106" s="166"/>
      <c r="T106" s="166"/>
    </row>
    <row r="107" spans="1:20">
      <c r="A107" s="104"/>
      <c r="B107" s="103"/>
      <c r="C107" s="103"/>
      <c r="D107" s="103"/>
      <c r="E107" s="103"/>
      <c r="F107" s="103"/>
      <c r="G107" s="103"/>
      <c r="H107" s="103"/>
      <c r="I107" s="103"/>
      <c r="J107" s="103"/>
      <c r="K107" s="103"/>
      <c r="M107" s="104"/>
      <c r="N107" s="103"/>
      <c r="O107" s="103"/>
      <c r="P107" s="103"/>
      <c r="Q107" s="103"/>
      <c r="R107" s="103"/>
      <c r="S107" s="103"/>
      <c r="T107" s="103"/>
    </row>
    <row r="108" spans="1:20">
      <c r="A108" s="167" t="s">
        <v>64</v>
      </c>
      <c r="B108" s="169" t="s">
        <v>65</v>
      </c>
      <c r="C108" s="171" t="s">
        <v>66</v>
      </c>
      <c r="D108" s="171"/>
      <c r="E108" s="172" t="s">
        <v>67</v>
      </c>
      <c r="F108" s="173"/>
      <c r="G108" s="171" t="s">
        <v>68</v>
      </c>
      <c r="H108" s="171"/>
      <c r="I108" s="105"/>
      <c r="J108" s="103"/>
      <c r="K108" s="103"/>
      <c r="M108" s="167" t="s">
        <v>64</v>
      </c>
      <c r="N108" s="169" t="s">
        <v>65</v>
      </c>
      <c r="O108" s="171" t="s">
        <v>66</v>
      </c>
      <c r="P108" s="171"/>
      <c r="Q108" s="172" t="s">
        <v>67</v>
      </c>
      <c r="R108" s="173"/>
      <c r="S108" s="171" t="s">
        <v>68</v>
      </c>
      <c r="T108" s="171"/>
    </row>
    <row r="109" spans="1:20">
      <c r="A109" s="168"/>
      <c r="B109" s="170"/>
      <c r="C109" s="106" t="s">
        <v>69</v>
      </c>
      <c r="D109" s="106" t="s">
        <v>70</v>
      </c>
      <c r="E109" s="107" t="s">
        <v>69</v>
      </c>
      <c r="F109" s="108" t="s">
        <v>70</v>
      </c>
      <c r="G109" s="106" t="s">
        <v>69</v>
      </c>
      <c r="H109" s="106" t="s">
        <v>70</v>
      </c>
      <c r="I109" s="109"/>
      <c r="J109" s="103"/>
      <c r="K109" s="103"/>
      <c r="M109" s="168"/>
      <c r="N109" s="170"/>
      <c r="O109" s="106" t="s">
        <v>69</v>
      </c>
      <c r="P109" s="106" t="s">
        <v>70</v>
      </c>
      <c r="Q109" s="107" t="s">
        <v>69</v>
      </c>
      <c r="R109" s="108" t="s">
        <v>70</v>
      </c>
      <c r="S109" s="106" t="s">
        <v>69</v>
      </c>
      <c r="T109" s="106" t="s">
        <v>70</v>
      </c>
    </row>
    <row r="110" spans="1:20">
      <c r="A110" s="110" t="s">
        <v>4</v>
      </c>
      <c r="B110" s="111"/>
      <c r="C110" s="111"/>
      <c r="D110" s="111"/>
      <c r="E110" s="79"/>
      <c r="F110" s="112"/>
      <c r="G110" s="111"/>
      <c r="H110" s="111"/>
      <c r="I110" s="99"/>
      <c r="J110" s="103"/>
      <c r="K110" s="103"/>
      <c r="M110" s="110" t="s">
        <v>4</v>
      </c>
      <c r="N110" s="111"/>
      <c r="O110" s="111"/>
      <c r="P110" s="111"/>
      <c r="Q110" s="79"/>
      <c r="R110" s="112"/>
      <c r="S110" s="111"/>
      <c r="T110" s="111"/>
    </row>
    <row r="111" spans="1:20">
      <c r="A111" s="117" t="s">
        <v>71</v>
      </c>
      <c r="B111" s="78">
        <v>30</v>
      </c>
      <c r="C111" s="78">
        <v>878</v>
      </c>
      <c r="D111" s="78">
        <v>864</v>
      </c>
      <c r="E111" s="119">
        <v>59</v>
      </c>
      <c r="F111" s="120">
        <v>144</v>
      </c>
      <c r="G111" s="78">
        <v>0</v>
      </c>
      <c r="H111" s="78">
        <v>0</v>
      </c>
      <c r="I111" s="78"/>
      <c r="J111" s="113" t="s">
        <v>83</v>
      </c>
      <c r="K111" s="113"/>
      <c r="M111" s="117" t="s">
        <v>71</v>
      </c>
      <c r="N111" s="78">
        <v>112</v>
      </c>
      <c r="O111" s="78">
        <v>2810</v>
      </c>
      <c r="P111" s="78">
        <v>2698</v>
      </c>
      <c r="Q111" s="119">
        <v>1504</v>
      </c>
      <c r="R111" s="120">
        <v>111</v>
      </c>
      <c r="S111" s="78">
        <v>63</v>
      </c>
      <c r="T111" s="78">
        <v>33</v>
      </c>
    </row>
    <row r="112" spans="1:20">
      <c r="A112" s="117" t="s">
        <v>72</v>
      </c>
      <c r="B112" s="78">
        <v>28</v>
      </c>
      <c r="C112" s="78">
        <v>871</v>
      </c>
      <c r="D112" s="78">
        <v>797</v>
      </c>
      <c r="E112" s="119">
        <v>107</v>
      </c>
      <c r="F112" s="120">
        <v>225</v>
      </c>
      <c r="G112" s="78">
        <v>0</v>
      </c>
      <c r="H112" s="78">
        <v>0</v>
      </c>
      <c r="I112" s="78"/>
      <c r="J112" s="103"/>
      <c r="K112" s="103"/>
      <c r="M112" s="117" t="s">
        <v>72</v>
      </c>
      <c r="N112" s="78">
        <v>140</v>
      </c>
      <c r="O112" s="78">
        <v>2840</v>
      </c>
      <c r="P112" s="78">
        <v>2957</v>
      </c>
      <c r="Q112" s="119">
        <v>2044</v>
      </c>
      <c r="R112" s="120">
        <v>106</v>
      </c>
      <c r="S112" s="78">
        <v>121</v>
      </c>
      <c r="T112" s="78">
        <v>14</v>
      </c>
    </row>
    <row r="113" spans="1:20">
      <c r="A113" s="117" t="s">
        <v>73</v>
      </c>
      <c r="B113" s="78">
        <v>24</v>
      </c>
      <c r="C113" s="78">
        <v>646</v>
      </c>
      <c r="D113" s="78">
        <v>368</v>
      </c>
      <c r="E113" s="119">
        <v>258</v>
      </c>
      <c r="F113" s="120">
        <v>8</v>
      </c>
      <c r="G113" s="78">
        <v>3</v>
      </c>
      <c r="H113" s="78">
        <v>0</v>
      </c>
      <c r="I113" s="78"/>
      <c r="J113" s="103"/>
      <c r="K113" s="103"/>
      <c r="M113" s="117" t="s">
        <v>73</v>
      </c>
      <c r="N113" s="78">
        <v>120</v>
      </c>
      <c r="O113" s="78">
        <v>2596</v>
      </c>
      <c r="P113" s="78">
        <v>2193</v>
      </c>
      <c r="Q113" s="119">
        <v>2229</v>
      </c>
      <c r="R113" s="120">
        <v>140</v>
      </c>
      <c r="S113" s="78">
        <v>186</v>
      </c>
      <c r="T113" s="78">
        <v>21</v>
      </c>
    </row>
    <row r="114" spans="1:20">
      <c r="A114" s="117" t="s">
        <v>74</v>
      </c>
      <c r="B114" s="78">
        <v>30</v>
      </c>
      <c r="C114" s="78">
        <v>625</v>
      </c>
      <c r="D114" s="78">
        <v>901</v>
      </c>
      <c r="E114" s="119">
        <v>321</v>
      </c>
      <c r="F114" s="120">
        <v>6</v>
      </c>
      <c r="G114" s="78">
        <v>4</v>
      </c>
      <c r="H114" s="78">
        <v>0</v>
      </c>
      <c r="I114" s="78"/>
      <c r="J114" s="103"/>
      <c r="K114" s="103"/>
      <c r="M114" s="117" t="s">
        <v>74</v>
      </c>
      <c r="N114" s="78">
        <v>136</v>
      </c>
      <c r="O114" s="78">
        <v>3009</v>
      </c>
      <c r="P114" s="78">
        <v>3442</v>
      </c>
      <c r="Q114" s="119">
        <v>3112</v>
      </c>
      <c r="R114" s="120">
        <v>104</v>
      </c>
      <c r="S114" s="78">
        <v>3103</v>
      </c>
      <c r="T114" s="78">
        <v>66</v>
      </c>
    </row>
    <row r="115" spans="1:20">
      <c r="A115" s="117" t="s">
        <v>75</v>
      </c>
      <c r="B115" s="78">
        <v>28</v>
      </c>
      <c r="C115" s="78">
        <v>737</v>
      </c>
      <c r="D115" s="78">
        <v>710</v>
      </c>
      <c r="E115" s="119">
        <v>448</v>
      </c>
      <c r="F115" s="120">
        <v>0</v>
      </c>
      <c r="G115" s="78">
        <v>0</v>
      </c>
      <c r="H115" s="78">
        <v>0</v>
      </c>
      <c r="I115" s="78"/>
      <c r="J115" s="103"/>
      <c r="K115" s="103"/>
      <c r="M115" s="117" t="s">
        <v>75</v>
      </c>
      <c r="N115" s="78">
        <v>126</v>
      </c>
      <c r="O115" s="78">
        <v>2756</v>
      </c>
      <c r="P115" s="78">
        <v>2792</v>
      </c>
      <c r="Q115" s="119">
        <v>2848</v>
      </c>
      <c r="R115" s="120">
        <v>111</v>
      </c>
      <c r="S115" s="78">
        <v>5593</v>
      </c>
      <c r="T115" s="78">
        <v>22</v>
      </c>
    </row>
    <row r="116" spans="1:20">
      <c r="A116" s="117" t="s">
        <v>76</v>
      </c>
      <c r="B116" s="78">
        <v>36</v>
      </c>
      <c r="C116" s="78">
        <v>765</v>
      </c>
      <c r="D116" s="78">
        <v>896</v>
      </c>
      <c r="E116" s="119">
        <v>506</v>
      </c>
      <c r="F116" s="120">
        <v>15</v>
      </c>
      <c r="G116" s="78">
        <v>2</v>
      </c>
      <c r="H116" s="78">
        <v>0</v>
      </c>
      <c r="I116" s="78"/>
      <c r="J116" s="103"/>
      <c r="K116" s="103"/>
      <c r="M116" s="117" t="s">
        <v>76</v>
      </c>
      <c r="N116" s="78">
        <v>166</v>
      </c>
      <c r="O116" s="78">
        <v>3261</v>
      </c>
      <c r="P116" s="78">
        <v>3239</v>
      </c>
      <c r="Q116" s="119">
        <v>3534</v>
      </c>
      <c r="R116" s="120">
        <v>213</v>
      </c>
      <c r="S116" s="78">
        <v>940</v>
      </c>
      <c r="T116" s="78">
        <v>35</v>
      </c>
    </row>
    <row r="117" spans="1:20">
      <c r="A117" s="117" t="s">
        <v>77</v>
      </c>
      <c r="B117" s="78">
        <v>38</v>
      </c>
      <c r="C117" s="78">
        <v>1028</v>
      </c>
      <c r="D117" s="78">
        <v>990</v>
      </c>
      <c r="E117" s="119">
        <v>213</v>
      </c>
      <c r="F117" s="120">
        <v>30</v>
      </c>
      <c r="G117" s="78">
        <v>4</v>
      </c>
      <c r="H117" s="78">
        <v>0</v>
      </c>
      <c r="I117" s="78"/>
      <c r="J117" s="103"/>
      <c r="K117" s="103"/>
      <c r="M117" s="117" t="s">
        <v>77</v>
      </c>
      <c r="N117" s="78">
        <v>160</v>
      </c>
      <c r="O117" s="78">
        <v>3706</v>
      </c>
      <c r="P117" s="78">
        <v>3591</v>
      </c>
      <c r="Q117" s="119">
        <v>2072</v>
      </c>
      <c r="R117" s="120">
        <v>301</v>
      </c>
      <c r="S117" s="78">
        <v>237</v>
      </c>
      <c r="T117" s="78">
        <v>59</v>
      </c>
    </row>
    <row r="118" spans="1:20">
      <c r="A118" s="117" t="s">
        <v>78</v>
      </c>
      <c r="B118" s="78">
        <v>40</v>
      </c>
      <c r="C118" s="78">
        <v>1021</v>
      </c>
      <c r="D118" s="78">
        <v>965</v>
      </c>
      <c r="E118" s="119">
        <v>176</v>
      </c>
      <c r="F118" s="120">
        <v>0</v>
      </c>
      <c r="G118" s="78">
        <v>0</v>
      </c>
      <c r="H118" s="78">
        <v>0</v>
      </c>
      <c r="I118" s="78"/>
      <c r="M118" s="117" t="s">
        <v>78</v>
      </c>
      <c r="N118" s="78">
        <v>160</v>
      </c>
      <c r="O118" s="78">
        <v>3530</v>
      </c>
      <c r="P118" s="78">
        <v>3784</v>
      </c>
      <c r="Q118" s="119">
        <v>2786</v>
      </c>
      <c r="R118" s="120">
        <v>162</v>
      </c>
      <c r="S118" s="78">
        <v>289</v>
      </c>
      <c r="T118" s="78">
        <v>16</v>
      </c>
    </row>
    <row r="119" spans="1:20">
      <c r="A119" s="117" t="s">
        <v>79</v>
      </c>
      <c r="B119" s="101">
        <v>32</v>
      </c>
      <c r="C119" s="101">
        <v>767</v>
      </c>
      <c r="D119" s="101">
        <v>818</v>
      </c>
      <c r="E119" s="121">
        <v>83</v>
      </c>
      <c r="F119" s="122">
        <v>3</v>
      </c>
      <c r="G119" s="80">
        <v>0</v>
      </c>
      <c r="H119" s="80">
        <v>0</v>
      </c>
      <c r="I119" s="80"/>
      <c r="M119" s="117" t="s">
        <v>79</v>
      </c>
      <c r="N119" s="101">
        <v>152</v>
      </c>
      <c r="O119" s="101">
        <v>3309</v>
      </c>
      <c r="P119" s="101">
        <v>3344</v>
      </c>
      <c r="Q119" s="121">
        <v>2514</v>
      </c>
      <c r="R119" s="122">
        <v>106</v>
      </c>
      <c r="S119" s="80">
        <v>134</v>
      </c>
      <c r="T119" s="80">
        <v>22</v>
      </c>
    </row>
    <row r="120" spans="1:20">
      <c r="A120" s="117" t="s">
        <v>80</v>
      </c>
      <c r="B120" s="80">
        <v>32</v>
      </c>
      <c r="C120" s="80">
        <v>768</v>
      </c>
      <c r="D120" s="80">
        <v>753</v>
      </c>
      <c r="E120" s="121">
        <v>756</v>
      </c>
      <c r="F120" s="122">
        <v>11</v>
      </c>
      <c r="G120" s="80">
        <v>0</v>
      </c>
      <c r="H120" s="80">
        <v>0</v>
      </c>
      <c r="I120" s="80"/>
      <c r="M120" s="117" t="s">
        <v>80</v>
      </c>
      <c r="N120" s="80">
        <v>156</v>
      </c>
      <c r="O120" s="80">
        <v>2891</v>
      </c>
      <c r="P120" s="80">
        <v>2749</v>
      </c>
      <c r="Q120" s="121">
        <v>2245</v>
      </c>
      <c r="R120" s="122">
        <v>243</v>
      </c>
      <c r="S120" s="80">
        <v>191</v>
      </c>
      <c r="T120" s="80">
        <v>19</v>
      </c>
    </row>
    <row r="121" spans="1:20">
      <c r="A121" s="117" t="s">
        <v>81</v>
      </c>
      <c r="B121" s="78">
        <v>42</v>
      </c>
      <c r="C121" s="78">
        <v>790</v>
      </c>
      <c r="D121" s="78">
        <v>865</v>
      </c>
      <c r="E121" s="119">
        <v>506</v>
      </c>
      <c r="F121" s="120">
        <v>0</v>
      </c>
      <c r="G121" s="78">
        <v>0</v>
      </c>
      <c r="H121" s="78">
        <v>0</v>
      </c>
      <c r="I121" s="78"/>
      <c r="M121" s="117" t="s">
        <v>81</v>
      </c>
      <c r="N121" s="78">
        <v>122</v>
      </c>
      <c r="O121" s="78">
        <v>2912</v>
      </c>
      <c r="P121" s="78">
        <v>3115</v>
      </c>
      <c r="Q121" s="119">
        <v>1441</v>
      </c>
      <c r="R121" s="120">
        <v>120</v>
      </c>
      <c r="S121" s="78">
        <v>118</v>
      </c>
      <c r="T121" s="78">
        <v>16</v>
      </c>
    </row>
    <row r="122" spans="1:20">
      <c r="A122" s="118" t="s">
        <v>82</v>
      </c>
      <c r="B122" s="114">
        <v>44</v>
      </c>
      <c r="C122" s="114">
        <v>997</v>
      </c>
      <c r="D122" s="114">
        <v>1091</v>
      </c>
      <c r="E122" s="123">
        <v>258</v>
      </c>
      <c r="F122" s="124">
        <v>4</v>
      </c>
      <c r="G122" s="114">
        <v>0</v>
      </c>
      <c r="H122" s="114">
        <v>0</v>
      </c>
      <c r="I122" s="100"/>
      <c r="M122" s="118" t="s">
        <v>82</v>
      </c>
      <c r="N122" s="114">
        <v>180</v>
      </c>
      <c r="O122" s="114">
        <v>3169</v>
      </c>
      <c r="P122" s="114">
        <v>3538</v>
      </c>
      <c r="Q122" s="123">
        <v>1880</v>
      </c>
      <c r="R122" s="124">
        <v>84</v>
      </c>
      <c r="S122" s="114">
        <v>242</v>
      </c>
      <c r="T122" s="114">
        <v>16</v>
      </c>
    </row>
    <row r="123" spans="1:20" ht="18.75">
      <c r="A123" s="6" t="s">
        <v>6</v>
      </c>
      <c r="B123" s="3"/>
      <c r="C123" s="3"/>
      <c r="D123" s="7"/>
      <c r="E123" s="1"/>
      <c r="H123" s="11" t="s">
        <v>7</v>
      </c>
      <c r="I123" s="116"/>
      <c r="M123" s="6" t="s">
        <v>6</v>
      </c>
      <c r="N123" s="3"/>
      <c r="O123" s="3"/>
      <c r="P123" s="7"/>
      <c r="Q123" s="1"/>
      <c r="T123" s="11" t="s">
        <v>7</v>
      </c>
    </row>
    <row r="124" spans="1:20" ht="18.75">
      <c r="A124" s="6"/>
      <c r="B124" s="3"/>
      <c r="C124" s="3"/>
      <c r="D124" s="7"/>
      <c r="E124" s="1"/>
      <c r="H124" s="12"/>
      <c r="I124" s="116"/>
      <c r="M124" s="6"/>
      <c r="N124" s="3"/>
      <c r="O124" s="3"/>
      <c r="P124" s="7"/>
      <c r="Q124" s="1"/>
      <c r="T124" s="12"/>
    </row>
    <row r="125" spans="1:20" ht="18.75">
      <c r="A125" s="6"/>
      <c r="B125" s="3"/>
      <c r="C125" s="3"/>
      <c r="D125" s="7"/>
      <c r="E125" s="1"/>
      <c r="H125" s="12"/>
      <c r="I125" s="116"/>
      <c r="M125" s="6"/>
      <c r="N125" s="3"/>
      <c r="O125" s="3"/>
      <c r="P125" s="7"/>
      <c r="Q125" s="1"/>
      <c r="T125" s="12"/>
    </row>
    <row r="126" spans="1:20">
      <c r="A126" s="166" t="s">
        <v>117</v>
      </c>
      <c r="B126" s="166"/>
      <c r="C126" s="166"/>
      <c r="D126" s="166"/>
      <c r="E126" s="166"/>
      <c r="F126" s="166"/>
      <c r="G126" s="166"/>
      <c r="H126" s="166"/>
      <c r="I126" s="102"/>
      <c r="J126" s="103"/>
      <c r="K126" s="103"/>
      <c r="M126" s="166" t="s">
        <v>118</v>
      </c>
      <c r="N126" s="166"/>
      <c r="O126" s="166"/>
      <c r="P126" s="166"/>
      <c r="Q126" s="166"/>
      <c r="R126" s="166"/>
      <c r="S126" s="166"/>
      <c r="T126" s="166"/>
    </row>
    <row r="127" spans="1:20">
      <c r="A127" s="104"/>
      <c r="B127" s="103"/>
      <c r="C127" s="103"/>
      <c r="D127" s="103"/>
      <c r="E127" s="103"/>
      <c r="F127" s="103"/>
      <c r="G127" s="103"/>
      <c r="H127" s="103"/>
      <c r="I127" s="103"/>
      <c r="J127" s="103"/>
      <c r="K127" s="103"/>
      <c r="M127" s="104"/>
      <c r="N127" s="103"/>
      <c r="O127" s="103"/>
      <c r="P127" s="103"/>
      <c r="Q127" s="103"/>
      <c r="R127" s="103"/>
      <c r="S127" s="103"/>
      <c r="T127" s="103"/>
    </row>
    <row r="128" spans="1:20">
      <c r="A128" s="167" t="s">
        <v>64</v>
      </c>
      <c r="B128" s="169" t="s">
        <v>65</v>
      </c>
      <c r="C128" s="171" t="s">
        <v>66</v>
      </c>
      <c r="D128" s="171"/>
      <c r="E128" s="172" t="s">
        <v>67</v>
      </c>
      <c r="F128" s="173"/>
      <c r="G128" s="171" t="s">
        <v>68</v>
      </c>
      <c r="H128" s="171"/>
      <c r="I128" s="105"/>
      <c r="J128" s="103"/>
      <c r="K128" s="103"/>
      <c r="M128" s="167" t="s">
        <v>64</v>
      </c>
      <c r="N128" s="169" t="s">
        <v>65</v>
      </c>
      <c r="O128" s="171" t="s">
        <v>66</v>
      </c>
      <c r="P128" s="171"/>
      <c r="Q128" s="172" t="s">
        <v>67</v>
      </c>
      <c r="R128" s="173"/>
      <c r="S128" s="171" t="s">
        <v>68</v>
      </c>
      <c r="T128" s="171"/>
    </row>
    <row r="129" spans="1:20">
      <c r="A129" s="168"/>
      <c r="B129" s="170"/>
      <c r="C129" s="106" t="s">
        <v>69</v>
      </c>
      <c r="D129" s="106" t="s">
        <v>70</v>
      </c>
      <c r="E129" s="107" t="s">
        <v>69</v>
      </c>
      <c r="F129" s="108" t="s">
        <v>70</v>
      </c>
      <c r="G129" s="106" t="s">
        <v>69</v>
      </c>
      <c r="H129" s="106" t="s">
        <v>70</v>
      </c>
      <c r="I129" s="109"/>
      <c r="J129" s="103"/>
      <c r="K129" s="103"/>
      <c r="M129" s="168"/>
      <c r="N129" s="170"/>
      <c r="O129" s="106" t="s">
        <v>69</v>
      </c>
      <c r="P129" s="106" t="s">
        <v>70</v>
      </c>
      <c r="Q129" s="107" t="s">
        <v>69</v>
      </c>
      <c r="R129" s="108" t="s">
        <v>70</v>
      </c>
      <c r="S129" s="106" t="s">
        <v>69</v>
      </c>
      <c r="T129" s="106" t="s">
        <v>70</v>
      </c>
    </row>
    <row r="130" spans="1:20">
      <c r="A130" s="110" t="s">
        <v>4</v>
      </c>
      <c r="B130" s="111"/>
      <c r="C130" s="111"/>
      <c r="D130" s="111"/>
      <c r="E130" s="79"/>
      <c r="F130" s="112"/>
      <c r="G130" s="111"/>
      <c r="H130" s="111"/>
      <c r="I130" s="99"/>
      <c r="J130" s="103"/>
      <c r="K130" s="103"/>
      <c r="M130" s="110" t="s">
        <v>4</v>
      </c>
      <c r="N130" s="111"/>
      <c r="O130" s="111"/>
      <c r="P130" s="111"/>
      <c r="Q130" s="79"/>
      <c r="R130" s="112"/>
      <c r="S130" s="111"/>
      <c r="T130" s="111"/>
    </row>
    <row r="131" spans="1:20">
      <c r="A131" s="117" t="s">
        <v>71</v>
      </c>
      <c r="B131" s="78">
        <v>46</v>
      </c>
      <c r="C131" s="78">
        <v>1067</v>
      </c>
      <c r="D131" s="78">
        <v>973</v>
      </c>
      <c r="E131" s="119">
        <v>127</v>
      </c>
      <c r="F131" s="120">
        <v>14</v>
      </c>
      <c r="G131" s="78">
        <v>1</v>
      </c>
      <c r="H131" s="78">
        <v>0</v>
      </c>
      <c r="I131" s="78"/>
      <c r="J131" s="113" t="s">
        <v>83</v>
      </c>
      <c r="K131" s="113"/>
      <c r="M131" s="117" t="s">
        <v>71</v>
      </c>
      <c r="N131" s="78">
        <v>88</v>
      </c>
      <c r="O131" s="78">
        <v>281</v>
      </c>
      <c r="P131" s="78">
        <v>278</v>
      </c>
      <c r="Q131" s="119">
        <v>41</v>
      </c>
      <c r="R131" s="120">
        <v>20</v>
      </c>
      <c r="S131" s="78">
        <v>0</v>
      </c>
      <c r="T131" s="78">
        <v>0</v>
      </c>
    </row>
    <row r="132" spans="1:20">
      <c r="A132" s="117" t="s">
        <v>72</v>
      </c>
      <c r="B132" s="78">
        <v>36</v>
      </c>
      <c r="C132" s="78">
        <v>816</v>
      </c>
      <c r="D132" s="78">
        <v>876</v>
      </c>
      <c r="E132" s="119">
        <v>187</v>
      </c>
      <c r="F132" s="120">
        <v>13</v>
      </c>
      <c r="G132" s="78">
        <v>0</v>
      </c>
      <c r="H132" s="78">
        <v>0</v>
      </c>
      <c r="I132" s="78"/>
      <c r="J132" s="103"/>
      <c r="K132" s="103"/>
      <c r="M132" s="117" t="s">
        <v>72</v>
      </c>
      <c r="N132" s="78">
        <v>120</v>
      </c>
      <c r="O132" s="78">
        <v>234</v>
      </c>
      <c r="P132" s="78">
        <v>234</v>
      </c>
      <c r="Q132" s="119">
        <v>18</v>
      </c>
      <c r="R132" s="120">
        <v>0</v>
      </c>
      <c r="S132" s="78">
        <v>0</v>
      </c>
      <c r="T132" s="78">
        <v>0</v>
      </c>
    </row>
    <row r="133" spans="1:20">
      <c r="A133" s="117" t="s">
        <v>73</v>
      </c>
      <c r="B133" s="78">
        <v>34</v>
      </c>
      <c r="C133" s="78">
        <v>807</v>
      </c>
      <c r="D133" s="78">
        <v>605</v>
      </c>
      <c r="E133" s="119">
        <v>199.5</v>
      </c>
      <c r="F133" s="120">
        <v>0</v>
      </c>
      <c r="G133" s="78">
        <v>0</v>
      </c>
      <c r="H133" s="78">
        <v>0</v>
      </c>
      <c r="I133" s="78"/>
      <c r="J133" s="103"/>
      <c r="K133" s="103"/>
      <c r="M133" s="117" t="s">
        <v>73</v>
      </c>
      <c r="N133" s="78">
        <v>132</v>
      </c>
      <c r="O133" s="78">
        <v>364</v>
      </c>
      <c r="P133" s="78">
        <v>186</v>
      </c>
      <c r="Q133" s="119">
        <v>9</v>
      </c>
      <c r="R133" s="120">
        <v>2</v>
      </c>
      <c r="S133" s="78">
        <v>0</v>
      </c>
      <c r="T133" s="78">
        <v>0</v>
      </c>
    </row>
    <row r="134" spans="1:20">
      <c r="A134" s="117" t="s">
        <v>74</v>
      </c>
      <c r="B134" s="78">
        <v>38</v>
      </c>
      <c r="C134" s="78">
        <v>705</v>
      </c>
      <c r="D134" s="78">
        <v>967</v>
      </c>
      <c r="E134" s="119">
        <v>104</v>
      </c>
      <c r="F134" s="120">
        <v>10</v>
      </c>
      <c r="G134" s="78">
        <v>5</v>
      </c>
      <c r="H134" s="78">
        <v>3</v>
      </c>
      <c r="I134" s="78"/>
      <c r="J134" s="103"/>
      <c r="K134" s="103"/>
      <c r="M134" s="117" t="s">
        <v>74</v>
      </c>
      <c r="N134" s="78">
        <v>140</v>
      </c>
      <c r="O134" s="78">
        <v>350</v>
      </c>
      <c r="P134" s="78">
        <v>379</v>
      </c>
      <c r="Q134" s="119">
        <v>0</v>
      </c>
      <c r="R134" s="120">
        <v>0</v>
      </c>
      <c r="S134" s="78">
        <v>13</v>
      </c>
      <c r="T134" s="78">
        <v>0</v>
      </c>
    </row>
    <row r="135" spans="1:20">
      <c r="A135" s="117" t="s">
        <v>75</v>
      </c>
      <c r="B135" s="78">
        <v>28</v>
      </c>
      <c r="C135" s="78">
        <v>706</v>
      </c>
      <c r="D135" s="78">
        <v>689</v>
      </c>
      <c r="E135" s="119">
        <v>44</v>
      </c>
      <c r="F135" s="120">
        <v>1</v>
      </c>
      <c r="G135" s="78">
        <v>9</v>
      </c>
      <c r="H135" s="78">
        <v>0</v>
      </c>
      <c r="I135" s="78"/>
      <c r="J135" s="103"/>
      <c r="K135" s="103"/>
      <c r="M135" s="117" t="s">
        <v>75</v>
      </c>
      <c r="N135" s="78">
        <v>94</v>
      </c>
      <c r="O135" s="78">
        <v>626</v>
      </c>
      <c r="P135" s="78">
        <v>468</v>
      </c>
      <c r="Q135" s="119">
        <v>0</v>
      </c>
      <c r="R135" s="120">
        <v>1</v>
      </c>
      <c r="S135" s="78">
        <v>0</v>
      </c>
      <c r="T135" s="78">
        <v>0</v>
      </c>
    </row>
    <row r="136" spans="1:20">
      <c r="A136" s="117" t="s">
        <v>76</v>
      </c>
      <c r="B136" s="78">
        <v>42</v>
      </c>
      <c r="C136" s="78">
        <v>793</v>
      </c>
      <c r="D136" s="78">
        <v>894</v>
      </c>
      <c r="E136" s="119">
        <v>169</v>
      </c>
      <c r="F136" s="120">
        <v>33</v>
      </c>
      <c r="G136" s="78">
        <v>3</v>
      </c>
      <c r="H136" s="78">
        <v>13</v>
      </c>
      <c r="I136" s="78"/>
      <c r="J136" s="103"/>
      <c r="K136" s="103"/>
      <c r="M136" s="117" t="s">
        <v>76</v>
      </c>
      <c r="N136" s="78">
        <v>126</v>
      </c>
      <c r="O136" s="78">
        <v>1286</v>
      </c>
      <c r="P136" s="78">
        <v>1074</v>
      </c>
      <c r="Q136" s="119">
        <v>0</v>
      </c>
      <c r="R136" s="120">
        <v>0</v>
      </c>
      <c r="S136" s="78">
        <v>0</v>
      </c>
      <c r="T136" s="78">
        <v>0</v>
      </c>
    </row>
    <row r="137" spans="1:20">
      <c r="A137" s="117" t="s">
        <v>77</v>
      </c>
      <c r="B137" s="78">
        <v>44</v>
      </c>
      <c r="C137" s="78">
        <v>986</v>
      </c>
      <c r="D137" s="78">
        <v>1078</v>
      </c>
      <c r="E137" s="119">
        <v>247</v>
      </c>
      <c r="F137" s="120">
        <v>0</v>
      </c>
      <c r="G137" s="78">
        <v>0</v>
      </c>
      <c r="H137" s="78">
        <v>2</v>
      </c>
      <c r="I137" s="78"/>
      <c r="J137" s="103"/>
      <c r="K137" s="103"/>
      <c r="M137" s="117" t="s">
        <v>77</v>
      </c>
      <c r="N137" s="78">
        <v>294</v>
      </c>
      <c r="O137" s="78">
        <v>1513</v>
      </c>
      <c r="P137" s="78">
        <v>1497</v>
      </c>
      <c r="Q137" s="119">
        <v>0</v>
      </c>
      <c r="R137" s="120">
        <v>0</v>
      </c>
      <c r="S137" s="78">
        <v>0</v>
      </c>
      <c r="T137" s="78">
        <v>0</v>
      </c>
    </row>
    <row r="138" spans="1:20">
      <c r="A138" s="117" t="s">
        <v>78</v>
      </c>
      <c r="B138" s="78">
        <v>42</v>
      </c>
      <c r="C138" s="78">
        <v>925</v>
      </c>
      <c r="D138" s="78">
        <v>919</v>
      </c>
      <c r="E138" s="119">
        <v>136</v>
      </c>
      <c r="F138" s="120">
        <v>36</v>
      </c>
      <c r="G138" s="78">
        <v>0</v>
      </c>
      <c r="H138" s="78">
        <v>2</v>
      </c>
      <c r="I138" s="78"/>
      <c r="M138" s="117" t="s">
        <v>78</v>
      </c>
      <c r="N138" s="78">
        <v>174</v>
      </c>
      <c r="O138" s="78">
        <v>1515</v>
      </c>
      <c r="P138" s="78">
        <v>1316</v>
      </c>
      <c r="Q138" s="119">
        <v>0</v>
      </c>
      <c r="R138" s="120">
        <v>0</v>
      </c>
      <c r="S138" s="78">
        <v>0</v>
      </c>
      <c r="T138" s="78">
        <v>0</v>
      </c>
    </row>
    <row r="139" spans="1:20">
      <c r="A139" s="117" t="s">
        <v>79</v>
      </c>
      <c r="B139" s="101">
        <v>32</v>
      </c>
      <c r="C139" s="101">
        <v>726</v>
      </c>
      <c r="D139" s="101">
        <v>856</v>
      </c>
      <c r="E139" s="121">
        <v>38</v>
      </c>
      <c r="F139" s="122">
        <v>11</v>
      </c>
      <c r="G139" s="80">
        <v>0</v>
      </c>
      <c r="H139" s="80">
        <v>2</v>
      </c>
      <c r="I139" s="80"/>
      <c r="M139" s="117" t="s">
        <v>79</v>
      </c>
      <c r="N139" s="101">
        <v>146</v>
      </c>
      <c r="O139" s="101">
        <v>1564</v>
      </c>
      <c r="P139" s="101">
        <v>1621</v>
      </c>
      <c r="Q139" s="121">
        <v>0</v>
      </c>
      <c r="R139" s="122">
        <v>0</v>
      </c>
      <c r="S139" s="80">
        <v>0</v>
      </c>
      <c r="T139" s="80">
        <v>0</v>
      </c>
    </row>
    <row r="140" spans="1:20">
      <c r="A140" s="117" t="s">
        <v>80</v>
      </c>
      <c r="B140" s="80">
        <v>38</v>
      </c>
      <c r="C140" s="80">
        <v>699</v>
      </c>
      <c r="D140" s="80">
        <v>628</v>
      </c>
      <c r="E140" s="121">
        <v>133</v>
      </c>
      <c r="F140" s="122">
        <v>0</v>
      </c>
      <c r="G140" s="80">
        <v>0</v>
      </c>
      <c r="H140" s="80">
        <v>2</v>
      </c>
      <c r="I140" s="80"/>
      <c r="M140" s="117" t="s">
        <v>80</v>
      </c>
      <c r="N140" s="80">
        <v>162</v>
      </c>
      <c r="O140" s="80">
        <v>1254</v>
      </c>
      <c r="P140" s="80">
        <v>1127</v>
      </c>
      <c r="Q140" s="121">
        <v>30</v>
      </c>
      <c r="R140" s="122">
        <v>0</v>
      </c>
      <c r="S140" s="80">
        <v>0</v>
      </c>
      <c r="T140" s="80">
        <v>0</v>
      </c>
    </row>
    <row r="141" spans="1:20">
      <c r="A141" s="117" t="s">
        <v>81</v>
      </c>
      <c r="B141" s="78">
        <v>36</v>
      </c>
      <c r="C141" s="78">
        <v>761</v>
      </c>
      <c r="D141" s="78">
        <v>727</v>
      </c>
      <c r="E141" s="119">
        <v>234</v>
      </c>
      <c r="F141" s="120">
        <v>18</v>
      </c>
      <c r="G141" s="78">
        <v>0</v>
      </c>
      <c r="H141" s="78">
        <v>5</v>
      </c>
      <c r="I141" s="78"/>
      <c r="M141" s="117" t="s">
        <v>81</v>
      </c>
      <c r="N141" s="78">
        <v>152</v>
      </c>
      <c r="O141" s="78">
        <v>1183</v>
      </c>
      <c r="P141" s="78">
        <v>883</v>
      </c>
      <c r="Q141" s="119">
        <v>0</v>
      </c>
      <c r="R141" s="120">
        <v>0</v>
      </c>
      <c r="S141" s="78">
        <v>0</v>
      </c>
      <c r="T141" s="78">
        <v>0</v>
      </c>
    </row>
    <row r="142" spans="1:20">
      <c r="A142" s="118" t="s">
        <v>82</v>
      </c>
      <c r="B142" s="114">
        <v>54</v>
      </c>
      <c r="C142" s="114">
        <v>1209</v>
      </c>
      <c r="D142" s="114">
        <v>1220</v>
      </c>
      <c r="E142" s="123">
        <v>422</v>
      </c>
      <c r="F142" s="124">
        <v>16</v>
      </c>
      <c r="G142" s="114">
        <v>0</v>
      </c>
      <c r="H142" s="114">
        <v>2</v>
      </c>
      <c r="I142" s="100"/>
      <c r="M142" s="118" t="s">
        <v>82</v>
      </c>
      <c r="N142" s="114">
        <v>172</v>
      </c>
      <c r="O142" s="114">
        <v>1409</v>
      </c>
      <c r="P142" s="114">
        <v>1366</v>
      </c>
      <c r="Q142" s="123">
        <v>0</v>
      </c>
      <c r="R142" s="124">
        <v>4</v>
      </c>
      <c r="S142" s="114">
        <v>0</v>
      </c>
      <c r="T142" s="114">
        <v>0</v>
      </c>
    </row>
    <row r="143" spans="1:20" ht="18.75">
      <c r="A143" s="6" t="s">
        <v>6</v>
      </c>
      <c r="B143" s="3"/>
      <c r="C143" s="3"/>
      <c r="D143" s="7"/>
      <c r="E143" s="1"/>
      <c r="H143" s="11" t="s">
        <v>7</v>
      </c>
      <c r="I143" s="116"/>
      <c r="M143" s="6" t="s">
        <v>6</v>
      </c>
      <c r="N143" s="3"/>
      <c r="O143" s="3"/>
      <c r="P143" s="7"/>
      <c r="Q143" s="1"/>
      <c r="T143" s="11" t="s">
        <v>7</v>
      </c>
    </row>
    <row r="146" spans="1:30">
      <c r="A146" s="166" t="s">
        <v>119</v>
      </c>
      <c r="B146" s="166"/>
      <c r="C146" s="166"/>
      <c r="D146" s="166"/>
      <c r="E146" s="166"/>
      <c r="F146" s="166"/>
      <c r="G146" s="166"/>
      <c r="H146" s="166"/>
      <c r="M146" s="166" t="s">
        <v>120</v>
      </c>
      <c r="N146" s="166"/>
      <c r="O146" s="166"/>
      <c r="P146" s="166"/>
      <c r="Q146" s="166"/>
      <c r="R146" s="166"/>
      <c r="S146" s="166"/>
      <c r="T146" s="166"/>
    </row>
    <row r="147" spans="1:30">
      <c r="A147" s="104"/>
      <c r="B147" s="103"/>
      <c r="C147" s="103"/>
      <c r="D147" s="103"/>
      <c r="E147" s="103"/>
      <c r="F147" s="103"/>
      <c r="G147" s="103"/>
      <c r="H147" s="103"/>
      <c r="M147" s="104"/>
      <c r="N147" s="103"/>
      <c r="O147" s="103"/>
      <c r="P147" s="103"/>
      <c r="Q147" s="103"/>
      <c r="R147" s="103"/>
      <c r="S147" s="103"/>
      <c r="T147" s="103"/>
    </row>
    <row r="148" spans="1:30">
      <c r="A148" s="167" t="s">
        <v>64</v>
      </c>
      <c r="B148" s="169" t="s">
        <v>65</v>
      </c>
      <c r="C148" s="171" t="s">
        <v>66</v>
      </c>
      <c r="D148" s="171"/>
      <c r="E148" s="172" t="s">
        <v>67</v>
      </c>
      <c r="F148" s="173"/>
      <c r="G148" s="171" t="s">
        <v>68</v>
      </c>
      <c r="H148" s="171"/>
      <c r="M148" s="167" t="s">
        <v>64</v>
      </c>
      <c r="N148" s="169" t="s">
        <v>65</v>
      </c>
      <c r="O148" s="171" t="s">
        <v>66</v>
      </c>
      <c r="P148" s="171"/>
      <c r="Q148" s="172" t="s">
        <v>67</v>
      </c>
      <c r="R148" s="173"/>
      <c r="S148" s="171" t="s">
        <v>68</v>
      </c>
      <c r="T148" s="171"/>
    </row>
    <row r="149" spans="1:30">
      <c r="A149" s="168"/>
      <c r="B149" s="170"/>
      <c r="C149" s="106" t="s">
        <v>69</v>
      </c>
      <c r="D149" s="106" t="s">
        <v>70</v>
      </c>
      <c r="E149" s="107" t="s">
        <v>69</v>
      </c>
      <c r="F149" s="108" t="s">
        <v>70</v>
      </c>
      <c r="G149" s="106" t="s">
        <v>69</v>
      </c>
      <c r="H149" s="106" t="s">
        <v>70</v>
      </c>
      <c r="M149" s="168"/>
      <c r="N149" s="170"/>
      <c r="O149" s="106" t="s">
        <v>69</v>
      </c>
      <c r="P149" s="106" t="s">
        <v>70</v>
      </c>
      <c r="Q149" s="107" t="s">
        <v>69</v>
      </c>
      <c r="R149" s="108" t="s">
        <v>70</v>
      </c>
      <c r="S149" s="106" t="s">
        <v>69</v>
      </c>
      <c r="T149" s="106" t="s">
        <v>70</v>
      </c>
    </row>
    <row r="150" spans="1:30">
      <c r="A150" s="110" t="s">
        <v>4</v>
      </c>
      <c r="B150" s="111"/>
      <c r="C150" s="111"/>
      <c r="D150" s="111"/>
      <c r="E150" s="79"/>
      <c r="F150" s="112"/>
      <c r="G150" s="111"/>
      <c r="H150" s="111"/>
      <c r="M150" s="110" t="s">
        <v>4</v>
      </c>
      <c r="N150" s="111"/>
      <c r="O150" s="111"/>
      <c r="P150" s="111"/>
      <c r="Q150" s="79"/>
      <c r="R150" s="112"/>
      <c r="S150" s="111"/>
      <c r="T150" s="111"/>
    </row>
    <row r="151" spans="1:30">
      <c r="A151" s="117" t="s">
        <v>71</v>
      </c>
      <c r="B151" s="78">
        <v>26</v>
      </c>
      <c r="C151" s="78">
        <v>486</v>
      </c>
      <c r="D151" s="78">
        <v>457</v>
      </c>
      <c r="E151" s="119">
        <v>68.8</v>
      </c>
      <c r="F151" s="120">
        <v>0</v>
      </c>
      <c r="G151" s="78">
        <v>0</v>
      </c>
      <c r="H151" s="78">
        <v>0</v>
      </c>
      <c r="M151" s="117" t="s">
        <v>71</v>
      </c>
      <c r="N151" s="78" t="s">
        <v>54</v>
      </c>
      <c r="O151" s="78" t="s">
        <v>54</v>
      </c>
      <c r="P151" s="78" t="s">
        <v>54</v>
      </c>
      <c r="Q151" s="119" t="s">
        <v>54</v>
      </c>
      <c r="R151" s="120" t="s">
        <v>54</v>
      </c>
      <c r="S151" s="78" t="s">
        <v>54</v>
      </c>
      <c r="T151" s="78" t="s">
        <v>54</v>
      </c>
    </row>
    <row r="152" spans="1:30">
      <c r="A152" s="117" t="s">
        <v>72</v>
      </c>
      <c r="B152" s="78">
        <v>18</v>
      </c>
      <c r="C152" s="78">
        <v>439</v>
      </c>
      <c r="D152" s="78">
        <v>390</v>
      </c>
      <c r="E152" s="119">
        <v>0</v>
      </c>
      <c r="F152" s="120">
        <v>55</v>
      </c>
      <c r="G152" s="78">
        <v>0</v>
      </c>
      <c r="H152" s="78">
        <v>0</v>
      </c>
      <c r="M152" s="117" t="s">
        <v>72</v>
      </c>
      <c r="N152" s="78" t="s">
        <v>54</v>
      </c>
      <c r="O152" s="78" t="s">
        <v>54</v>
      </c>
      <c r="P152" s="78" t="s">
        <v>54</v>
      </c>
      <c r="Q152" s="119" t="s">
        <v>54</v>
      </c>
      <c r="R152" s="120" t="s">
        <v>54</v>
      </c>
      <c r="S152" s="78" t="s">
        <v>54</v>
      </c>
      <c r="T152" s="78" t="s">
        <v>54</v>
      </c>
    </row>
    <row r="153" spans="1:30" ht="18">
      <c r="A153" s="117" t="s">
        <v>73</v>
      </c>
      <c r="B153" s="78">
        <v>24</v>
      </c>
      <c r="C153" s="78">
        <v>574</v>
      </c>
      <c r="D153" s="78">
        <v>453</v>
      </c>
      <c r="E153" s="119">
        <v>0</v>
      </c>
      <c r="F153" s="120">
        <v>44</v>
      </c>
      <c r="G153" s="78">
        <v>0</v>
      </c>
      <c r="H153" s="78">
        <v>0</v>
      </c>
      <c r="I153" s="96"/>
      <c r="J153" s="81"/>
      <c r="K153" s="81"/>
      <c r="L153" s="81"/>
      <c r="M153" s="117" t="s">
        <v>73</v>
      </c>
      <c r="N153" s="78" t="s">
        <v>54</v>
      </c>
      <c r="O153" s="78" t="s">
        <v>54</v>
      </c>
      <c r="P153" s="78" t="s">
        <v>54</v>
      </c>
      <c r="Q153" s="119" t="s">
        <v>54</v>
      </c>
      <c r="R153" s="120" t="s">
        <v>54</v>
      </c>
      <c r="S153" s="78" t="s">
        <v>54</v>
      </c>
      <c r="T153" s="78" t="s">
        <v>54</v>
      </c>
      <c r="U153" s="81"/>
      <c r="V153" s="81"/>
      <c r="W153" s="81"/>
      <c r="Y153" s="81"/>
      <c r="Z153" s="81"/>
      <c r="AA153" s="81"/>
      <c r="AB153" s="81"/>
      <c r="AC153" s="81"/>
      <c r="AD153" s="81"/>
    </row>
    <row r="154" spans="1:30">
      <c r="A154" s="117" t="s">
        <v>74</v>
      </c>
      <c r="B154" s="78">
        <v>26</v>
      </c>
      <c r="C154" s="78">
        <v>487</v>
      </c>
      <c r="D154" s="78">
        <v>585</v>
      </c>
      <c r="E154" s="119">
        <v>42.8</v>
      </c>
      <c r="F154" s="120">
        <v>0</v>
      </c>
      <c r="G154" s="78">
        <v>0</v>
      </c>
      <c r="H154" s="78">
        <v>0</v>
      </c>
      <c r="M154" s="117" t="s">
        <v>74</v>
      </c>
      <c r="N154" s="78" t="s">
        <v>54</v>
      </c>
      <c r="O154" s="78" t="s">
        <v>54</v>
      </c>
      <c r="P154" s="78" t="s">
        <v>54</v>
      </c>
      <c r="Q154" s="119" t="s">
        <v>54</v>
      </c>
      <c r="R154" s="120" t="s">
        <v>54</v>
      </c>
      <c r="S154" s="78" t="s">
        <v>54</v>
      </c>
      <c r="T154" s="78" t="s">
        <v>54</v>
      </c>
    </row>
    <row r="155" spans="1:30">
      <c r="A155" s="117" t="s">
        <v>75</v>
      </c>
      <c r="B155" s="78">
        <v>20</v>
      </c>
      <c r="C155" s="78">
        <v>450</v>
      </c>
      <c r="D155" s="78">
        <v>386</v>
      </c>
      <c r="E155" s="119">
        <v>0</v>
      </c>
      <c r="F155" s="120">
        <v>127</v>
      </c>
      <c r="G155" s="78">
        <v>0</v>
      </c>
      <c r="H155" s="78">
        <v>0</v>
      </c>
      <c r="M155" s="117" t="s">
        <v>75</v>
      </c>
      <c r="N155" s="78">
        <v>12</v>
      </c>
      <c r="O155" s="78">
        <v>211</v>
      </c>
      <c r="P155" s="78">
        <v>190</v>
      </c>
      <c r="Q155" s="119">
        <v>0</v>
      </c>
      <c r="R155" s="120">
        <v>0</v>
      </c>
      <c r="S155" s="78">
        <v>0</v>
      </c>
      <c r="T155" s="78">
        <v>3</v>
      </c>
    </row>
    <row r="156" spans="1:30">
      <c r="A156" s="117" t="s">
        <v>76</v>
      </c>
      <c r="B156" s="78">
        <v>22</v>
      </c>
      <c r="C156" s="78">
        <v>558</v>
      </c>
      <c r="D156" s="78">
        <v>502</v>
      </c>
      <c r="E156" s="119">
        <v>234</v>
      </c>
      <c r="F156" s="120">
        <v>22</v>
      </c>
      <c r="G156" s="78">
        <v>0</v>
      </c>
      <c r="H156" s="78">
        <v>0</v>
      </c>
      <c r="M156" s="117" t="s">
        <v>76</v>
      </c>
      <c r="N156" s="78">
        <v>12</v>
      </c>
      <c r="O156" s="78">
        <v>159</v>
      </c>
      <c r="P156" s="78">
        <v>182</v>
      </c>
      <c r="Q156" s="119">
        <v>0</v>
      </c>
      <c r="R156" s="120">
        <v>0</v>
      </c>
      <c r="S156" s="78">
        <v>3</v>
      </c>
      <c r="T156" s="78">
        <v>9</v>
      </c>
    </row>
    <row r="157" spans="1:30">
      <c r="A157" s="117" t="s">
        <v>77</v>
      </c>
      <c r="B157" s="78">
        <v>24</v>
      </c>
      <c r="C157" s="78">
        <v>586</v>
      </c>
      <c r="D157" s="78">
        <v>423</v>
      </c>
      <c r="E157" s="119">
        <v>11</v>
      </c>
      <c r="F157" s="120">
        <v>0</v>
      </c>
      <c r="G157" s="78">
        <v>0</v>
      </c>
      <c r="H157" s="78">
        <v>0</v>
      </c>
      <c r="M157" s="117" t="s">
        <v>77</v>
      </c>
      <c r="N157" s="78">
        <v>10</v>
      </c>
      <c r="O157" s="78">
        <v>96</v>
      </c>
      <c r="P157" s="78">
        <v>115</v>
      </c>
      <c r="Q157" s="119">
        <v>1</v>
      </c>
      <c r="R157" s="120">
        <v>0</v>
      </c>
      <c r="S157" s="78">
        <v>15</v>
      </c>
      <c r="T157" s="78">
        <v>3</v>
      </c>
    </row>
    <row r="158" spans="1:30">
      <c r="A158" s="117" t="s">
        <v>78</v>
      </c>
      <c r="B158" s="78">
        <v>22</v>
      </c>
      <c r="C158" s="78">
        <v>496</v>
      </c>
      <c r="D158" s="78">
        <v>467</v>
      </c>
      <c r="E158" s="119">
        <v>23</v>
      </c>
      <c r="F158" s="120">
        <v>18</v>
      </c>
      <c r="G158" s="78">
        <v>0</v>
      </c>
      <c r="H158" s="78">
        <v>0</v>
      </c>
      <c r="M158" s="117" t="s">
        <v>78</v>
      </c>
      <c r="N158" s="78">
        <v>14</v>
      </c>
      <c r="O158" s="78">
        <v>153</v>
      </c>
      <c r="P158" s="78">
        <v>129</v>
      </c>
      <c r="Q158" s="119">
        <v>0</v>
      </c>
      <c r="R158" s="120">
        <v>0</v>
      </c>
      <c r="S158" s="78">
        <v>0</v>
      </c>
      <c r="T158" s="78">
        <v>6</v>
      </c>
    </row>
    <row r="159" spans="1:30">
      <c r="A159" s="117" t="s">
        <v>79</v>
      </c>
      <c r="B159" s="101">
        <v>20</v>
      </c>
      <c r="C159" s="101">
        <v>450</v>
      </c>
      <c r="D159" s="101">
        <v>336</v>
      </c>
      <c r="E159" s="121">
        <v>68</v>
      </c>
      <c r="F159" s="122">
        <v>0</v>
      </c>
      <c r="G159" s="80">
        <v>0</v>
      </c>
      <c r="H159" s="80">
        <v>0</v>
      </c>
      <c r="M159" s="117" t="s">
        <v>79</v>
      </c>
      <c r="N159" s="101">
        <v>8</v>
      </c>
      <c r="O159" s="101">
        <v>58</v>
      </c>
      <c r="P159" s="101">
        <v>68</v>
      </c>
      <c r="Q159" s="121">
        <v>30</v>
      </c>
      <c r="R159" s="122">
        <v>0</v>
      </c>
      <c r="S159" s="80">
        <v>3</v>
      </c>
      <c r="T159" s="80">
        <v>0</v>
      </c>
    </row>
    <row r="160" spans="1:30">
      <c r="A160" s="117" t="s">
        <v>80</v>
      </c>
      <c r="B160" s="80">
        <v>18</v>
      </c>
      <c r="C160" s="80">
        <v>398</v>
      </c>
      <c r="D160" s="80">
        <v>349</v>
      </c>
      <c r="E160" s="121">
        <v>61.5</v>
      </c>
      <c r="F160" s="122">
        <v>0</v>
      </c>
      <c r="G160" s="80">
        <v>0</v>
      </c>
      <c r="H160" s="80">
        <v>0</v>
      </c>
      <c r="M160" s="117" t="s">
        <v>80</v>
      </c>
      <c r="N160" s="80">
        <v>34</v>
      </c>
      <c r="O160" s="80">
        <v>156</v>
      </c>
      <c r="P160" s="80">
        <v>176</v>
      </c>
      <c r="Q160" s="121">
        <v>0</v>
      </c>
      <c r="R160" s="122">
        <v>13</v>
      </c>
      <c r="S160" s="80">
        <v>6</v>
      </c>
      <c r="T160" s="80">
        <v>3</v>
      </c>
    </row>
    <row r="161" spans="1:20">
      <c r="A161" s="117" t="s">
        <v>81</v>
      </c>
      <c r="B161" s="78">
        <v>22</v>
      </c>
      <c r="C161" s="78">
        <v>422</v>
      </c>
      <c r="D161" s="78">
        <v>390</v>
      </c>
      <c r="E161" s="119">
        <v>6</v>
      </c>
      <c r="F161" s="120">
        <v>83</v>
      </c>
      <c r="G161" s="78">
        <v>0</v>
      </c>
      <c r="H161" s="78">
        <v>0</v>
      </c>
      <c r="M161" s="117" t="s">
        <v>81</v>
      </c>
      <c r="N161" s="78">
        <v>34</v>
      </c>
      <c r="O161" s="78">
        <v>156</v>
      </c>
      <c r="P161" s="78">
        <v>176</v>
      </c>
      <c r="Q161" s="119">
        <v>0</v>
      </c>
      <c r="R161" s="120">
        <v>13</v>
      </c>
      <c r="S161" s="78">
        <v>6</v>
      </c>
      <c r="T161" s="78">
        <v>3</v>
      </c>
    </row>
    <row r="162" spans="1:20">
      <c r="A162" s="118" t="s">
        <v>82</v>
      </c>
      <c r="B162" s="114">
        <v>26</v>
      </c>
      <c r="C162" s="114">
        <v>600</v>
      </c>
      <c r="D162" s="114">
        <v>556</v>
      </c>
      <c r="E162" s="123">
        <v>82</v>
      </c>
      <c r="F162" s="124">
        <v>1.71</v>
      </c>
      <c r="G162" s="114">
        <v>0</v>
      </c>
      <c r="H162" s="114">
        <v>0</v>
      </c>
      <c r="M162" s="118" t="s">
        <v>82</v>
      </c>
      <c r="N162" s="114">
        <v>136</v>
      </c>
      <c r="O162" s="114">
        <v>586</v>
      </c>
      <c r="P162" s="114">
        <v>690</v>
      </c>
      <c r="Q162" s="123">
        <v>3</v>
      </c>
      <c r="R162" s="124">
        <v>0</v>
      </c>
      <c r="S162" s="114">
        <v>3</v>
      </c>
      <c r="T162" s="114">
        <v>0</v>
      </c>
    </row>
    <row r="163" spans="1:20" ht="18.75">
      <c r="A163" s="6" t="s">
        <v>6</v>
      </c>
      <c r="B163" s="3"/>
      <c r="C163" s="3"/>
      <c r="D163" s="7"/>
      <c r="E163" s="1"/>
      <c r="H163" s="11" t="s">
        <v>7</v>
      </c>
      <c r="M163" s="6" t="s">
        <v>6</v>
      </c>
      <c r="N163" s="3"/>
      <c r="O163" s="3"/>
      <c r="P163" s="7"/>
      <c r="Q163" s="1"/>
      <c r="T163" s="11" t="s">
        <v>7</v>
      </c>
    </row>
  </sheetData>
  <mergeCells count="97">
    <mergeCell ref="A1:T1"/>
    <mergeCell ref="A2:H2"/>
    <mergeCell ref="M2:T2"/>
    <mergeCell ref="A4:A5"/>
    <mergeCell ref="B4:B5"/>
    <mergeCell ref="C4:D4"/>
    <mergeCell ref="E4:F4"/>
    <mergeCell ref="G4:H4"/>
    <mergeCell ref="M4:M5"/>
    <mergeCell ref="N4:N5"/>
    <mergeCell ref="O4:P4"/>
    <mergeCell ref="Q4:R4"/>
    <mergeCell ref="S4:T4"/>
    <mergeCell ref="A22:H22"/>
    <mergeCell ref="M22:T22"/>
    <mergeCell ref="A24:A25"/>
    <mergeCell ref="B24:B25"/>
    <mergeCell ref="C24:D24"/>
    <mergeCell ref="E24:F24"/>
    <mergeCell ref="G24:H24"/>
    <mergeCell ref="M24:M25"/>
    <mergeCell ref="N24:N25"/>
    <mergeCell ref="O24:P24"/>
    <mergeCell ref="Q24:R24"/>
    <mergeCell ref="S24:T24"/>
    <mergeCell ref="A44:H44"/>
    <mergeCell ref="M44:T44"/>
    <mergeCell ref="A46:A47"/>
    <mergeCell ref="B46:B47"/>
    <mergeCell ref="C46:D46"/>
    <mergeCell ref="E46:F46"/>
    <mergeCell ref="G46:H46"/>
    <mergeCell ref="M46:M47"/>
    <mergeCell ref="N46:N47"/>
    <mergeCell ref="O46:P46"/>
    <mergeCell ref="Q46:R46"/>
    <mergeCell ref="S46:T46"/>
    <mergeCell ref="A66:H66"/>
    <mergeCell ref="M66:T66"/>
    <mergeCell ref="A68:A69"/>
    <mergeCell ref="B68:B69"/>
    <mergeCell ref="C68:D68"/>
    <mergeCell ref="E68:F68"/>
    <mergeCell ref="G68:H68"/>
    <mergeCell ref="M68:M69"/>
    <mergeCell ref="N68:N69"/>
    <mergeCell ref="O68:P68"/>
    <mergeCell ref="Q68:R68"/>
    <mergeCell ref="S68:T68"/>
    <mergeCell ref="A86:H86"/>
    <mergeCell ref="M86:T86"/>
    <mergeCell ref="A88:A89"/>
    <mergeCell ref="B88:B89"/>
    <mergeCell ref="C88:D88"/>
    <mergeCell ref="E88:F88"/>
    <mergeCell ref="G88:H88"/>
    <mergeCell ref="M88:M89"/>
    <mergeCell ref="N88:N89"/>
    <mergeCell ref="O88:P88"/>
    <mergeCell ref="Q88:R88"/>
    <mergeCell ref="S88:T88"/>
    <mergeCell ref="A106:H106"/>
    <mergeCell ref="M106:T106"/>
    <mergeCell ref="A108:A109"/>
    <mergeCell ref="B108:B109"/>
    <mergeCell ref="C108:D108"/>
    <mergeCell ref="E108:F108"/>
    <mergeCell ref="G108:H108"/>
    <mergeCell ref="M108:M109"/>
    <mergeCell ref="N108:N109"/>
    <mergeCell ref="O108:P108"/>
    <mergeCell ref="Q108:R108"/>
    <mergeCell ref="S108:T108"/>
    <mergeCell ref="A126:H126"/>
    <mergeCell ref="M126:T126"/>
    <mergeCell ref="A128:A129"/>
    <mergeCell ref="B128:B129"/>
    <mergeCell ref="C128:D128"/>
    <mergeCell ref="E128:F128"/>
    <mergeCell ref="G128:H128"/>
    <mergeCell ref="M128:M129"/>
    <mergeCell ref="N128:N129"/>
    <mergeCell ref="O128:P128"/>
    <mergeCell ref="Q128:R128"/>
    <mergeCell ref="S128:T128"/>
    <mergeCell ref="A146:H146"/>
    <mergeCell ref="M146:T146"/>
    <mergeCell ref="A148:A149"/>
    <mergeCell ref="B148:B149"/>
    <mergeCell ref="C148:D148"/>
    <mergeCell ref="E148:F148"/>
    <mergeCell ref="G148:H148"/>
    <mergeCell ref="M148:M149"/>
    <mergeCell ref="N148:N149"/>
    <mergeCell ref="O148:P148"/>
    <mergeCell ref="Q148:R148"/>
    <mergeCell ref="S148:T148"/>
  </mergeCells>
  <pageMargins left="0.7" right="0.7" top="0.75" bottom="0.75" header="0.3" footer="0.3"/>
  <pageSetup paperSize="9" scale="46" orientation="portrait" horizontalDpi="4294967295" verticalDpi="4294967295" r:id="rId1"/>
  <rowBreaks count="1" manualBreakCount="1">
    <brk id="104" max="20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11.15</vt:lpstr>
      <vt:lpstr>11.26</vt:lpstr>
      <vt:lpstr>'11.26'!Print_Area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2026-07-08T06:00:39Z</cp:lastPrinted>
  <dcterms:created xsi:type="dcterms:W3CDTF">2019-03-24T03:32:16Z</dcterms:created>
  <dcterms:modified xsi:type="dcterms:W3CDTF">2026-07-08T06:00:51Z</dcterms:modified>
</cp:coreProperties>
</file>