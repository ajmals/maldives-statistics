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9. Fisheries &amp; Agriculture\"/>
    </mc:Choice>
  </mc:AlternateContent>
  <xr:revisionPtr revIDLastSave="0" documentId="13_ncr:1_{BA2B9F64-D932-4035-AB81-D59BA25D3077}" xr6:coauthVersionLast="47" xr6:coauthVersionMax="47" xr10:uidLastSave="{00000000-0000-0000-0000-000000000000}"/>
  <bookViews>
    <workbookView xWindow="-120" yWindow="-120" windowWidth="29040" windowHeight="15720" tabRatio="889" xr2:uid="{00000000-000D-0000-FFFF-FFFF00000000}"/>
  </bookViews>
  <sheets>
    <sheet name="9.16" sheetId="16" r:id="rId1"/>
  </sheets>
  <definedNames>
    <definedName name="_xlnm.Print_Area" localSheetId="0">'9.16'!$A$1:$M$27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6" l="1"/>
  <c r="C6" i="16"/>
  <c r="D6" i="16"/>
  <c r="E6" i="16"/>
  <c r="F6" i="16"/>
  <c r="G6" i="16"/>
  <c r="H6" i="16"/>
  <c r="I6" i="16"/>
  <c r="J6" i="16"/>
  <c r="K6" i="16"/>
</calcChain>
</file>

<file path=xl/sharedStrings.xml><?xml version="1.0" encoding="utf-8"?>
<sst xmlns="http://schemas.openxmlformats.org/spreadsheetml/2006/main" count="49" uniqueCount="46">
  <si>
    <t>Atolls</t>
  </si>
  <si>
    <t>ah</t>
  </si>
  <si>
    <t>dh</t>
  </si>
  <si>
    <t>S</t>
  </si>
  <si>
    <t>n</t>
  </si>
  <si>
    <t>r</t>
  </si>
  <si>
    <t>B</t>
  </si>
  <si>
    <t>b</t>
  </si>
  <si>
    <t>Lh</t>
  </si>
  <si>
    <t>L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</si>
  <si>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</si>
  <si>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</si>
  <si>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</si>
  <si>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</si>
  <si>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</si>
  <si>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</si>
  <si>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</si>
  <si>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</si>
  <si>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</si>
  <si>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</si>
  <si>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</si>
  <si>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</si>
  <si>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</si>
  <si>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</si>
  <si>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</si>
  <si>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</si>
  <si>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</si>
  <si>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</si>
  <si>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</si>
  <si>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</si>
  <si>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</si>
  <si>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</si>
  <si>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</si>
  <si>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 xml:space="preserve">އަތޮޅުތައް </t>
  </si>
  <si>
    <t>Atoll total</t>
  </si>
  <si>
    <t>އަޔޮޅުތަކުގެ ޖުމްލަ</t>
  </si>
  <si>
    <t>HA</t>
  </si>
  <si>
    <t>HDh</t>
  </si>
  <si>
    <t>Sh</t>
  </si>
  <si>
    <t>R</t>
  </si>
  <si>
    <t xml:space="preserve"> k</t>
  </si>
  <si>
    <r>
      <t xml:space="preserve">No. of Farmers   </t>
    </r>
    <r>
      <rPr>
        <b/>
        <sz val="11"/>
        <color indexed="8"/>
        <rFont val="Faruma"/>
        <family val="2"/>
      </rPr>
      <t>ދަނޑުވެރިންގެ އަދަދު</t>
    </r>
  </si>
  <si>
    <t xml:space="preserve">މައުލޫމާތު ދެއްވި ފަރާތް: މިނިސްޓްރީ އޮފް ފިޝަރީޒް, މެރިން ރިސޯސަސް އެންޑް އެގްރިކަލްޗަރ </t>
  </si>
  <si>
    <t>Source: Ministry of Fisheries, Agriculture and Ocean Resources</t>
  </si>
  <si>
    <t>TABLE 9.16: NUMBER OF REGISTERED FARMERS BY ATOLL, 2013-2022</t>
  </si>
  <si>
    <t>ތާވަލު 9.16: ދަނޑުވެރިންގެ އަދަދު، 2013 - 2022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</si>
</sst>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6" formatCode="[$-409]mmmm\ d\,\ yyyy;@"/>
  </numFmts>
  <fonts count="15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</font>
    <font>
      <sz val="10"/>
      <name val="MS Sans Serif"/>
      <family val="2"/>
    </font>
    <font>
      <sz val="10"/>
      <name val="A_Randhoo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Faruma"/>
    </font>
    <font>
      <sz val="10"/>
      <color indexed="8"/>
      <name val="Calibri"/>
      <family val="2"/>
    </font>
    <font>
      <sz val="9"/>
      <color indexed="8"/>
      <name val="Faruma"/>
    </font>
    <font>
      <b/>
      <sz val="11"/>
      <color indexed="8"/>
      <name val="Faruma"/>
      <family val="2"/>
    </font>
    <font>
      <b/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40" fontId="6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0" fontId="3" fillId="0" borderId="0"/>
  </cellStyleXfs>
  <cellXfs count="23">
    <xf numFmtId="0" fontId="0" fillId="0" borderId="0" xfId="0"/>
    <xf numFmtId="0" fontId="8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left" vertical="center"/>
    </xf>
    <xf numFmtId="0" fontId="12" fillId="2" borderId="0" xfId="0" applyFont="1" applyFill="1"/>
    <xf numFmtId="0" fontId="8" fillId="2" borderId="3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9" fillId="2" borderId="0" xfId="0" applyFont="1" applyFill="1"/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right" vertical="center" wrapText="1"/>
    </xf>
    <xf numFmtId="38" fontId="4" fillId="2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left" vertical="center" indent="2"/>
    </xf>
    <xf numFmtId="38" fontId="2" fillId="2" borderId="0" xfId="0" applyNumberFormat="1" applyFont="1" applyFill="1" applyAlignment="1">
      <alignment horizontal="right" vertical="center"/>
    </xf>
    <xf numFmtId="164" fontId="7" fillId="2" borderId="0" xfId="0" applyNumberFormat="1" applyFont="1" applyFill="1" applyAlignment="1">
      <alignment horizontal="right" vertical="center" indent="2"/>
    </xf>
    <xf numFmtId="0" fontId="11" fillId="2" borderId="1" xfId="0" applyFont="1" applyFill="1" applyBorder="1" applyAlignment="1">
      <alignment horizontal="left" vertical="center" indent="2"/>
    </xf>
    <xf numFmtId="38" fontId="2" fillId="2" borderId="1" xfId="0" applyNumberFormat="1" applyFont="1" applyFill="1" applyBorder="1" applyAlignment="1">
      <alignment horizontal="right" vertical="center"/>
    </xf>
    <xf numFmtId="164" fontId="7" fillId="2" borderId="1" xfId="0" applyNumberFormat="1" applyFont="1" applyFill="1" applyBorder="1" applyAlignment="1">
      <alignment horizontal="right" vertical="center" indent="2"/>
    </xf>
  </cellXfs>
  <cellStyles count="6">
    <cellStyle name="1" xfId="5" xr:uid="{00000000-0005-0000-0000-000000000000}"/>
    <cellStyle name="Comma 2" xfId="1" xr:uid="{00000000-0005-0000-0000-000002000000}"/>
    <cellStyle name="Normal" xfId="0" builtinId="0"/>
    <cellStyle name="Normal 2_agri planning 2009 year book(final)" xfId="2" xr:uid="{00000000-0005-0000-0000-000005000000}"/>
    <cellStyle name="Normal 3_agri planning 2009 year book(final)" xfId="4" xr:uid="{00000000-0005-0000-0000-000006000000}"/>
    <cellStyle name="Normal 4_agri planning 2009 year book(final)" xfId="3" xr:uid="{00000000-0005-0000-0000-000007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E687-14FC-483B-B011-43C0C03884FF}">
  <dimension ref="A1:L27"/>
  <sheetViews>
    <sheetView tabSelected="1" zoomScaleNormal="100" workbookViewId="0">
      <selection activeCell="P11" sqref="P11"/>
    </sheetView>
  </sheetViews>
  <sheetFormatPr defaultRowHeight="15" x14ac:dyDescent="0.25"/>
  <cols>
    <col min="1" max="1" width="11" style="10" customWidth="1"/>
    <col min="2" max="11" width="9.140625" style="10"/>
    <col min="12" max="12" width="16.5703125" style="10" customWidth="1"/>
    <col min="13" max="16384" width="9.140625" style="10"/>
  </cols>
  <sheetData>
    <row r="1" spans="1:12" ht="18.75" x14ac:dyDescent="0.25">
      <c r="A1" s="9" t="s">
        <v>45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s="12" customFormat="1" x14ac:dyDescent="0.25">
      <c r="A2" s="11" t="s">
        <v>44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s="12" customForma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2" s="12" customFormat="1" x14ac:dyDescent="0.25">
      <c r="A4" s="5" t="s">
        <v>0</v>
      </c>
      <c r="B4" s="14" t="s">
        <v>41</v>
      </c>
      <c r="C4" s="14"/>
      <c r="D4" s="14"/>
      <c r="E4" s="14"/>
      <c r="F4" s="14"/>
      <c r="G4" s="14"/>
      <c r="H4" s="14"/>
      <c r="I4" s="14"/>
      <c r="J4" s="14"/>
      <c r="K4" s="14"/>
      <c r="L4" s="7" t="s">
        <v>33</v>
      </c>
    </row>
    <row r="5" spans="1:12" x14ac:dyDescent="0.25">
      <c r="A5" s="6"/>
      <c r="B5" s="15">
        <v>2013</v>
      </c>
      <c r="C5" s="15">
        <v>2014</v>
      </c>
      <c r="D5" s="15">
        <v>2015</v>
      </c>
      <c r="E5" s="15">
        <v>2016</v>
      </c>
      <c r="F5" s="15">
        <v>2017</v>
      </c>
      <c r="G5" s="15">
        <v>2018</v>
      </c>
      <c r="H5" s="15">
        <v>2019</v>
      </c>
      <c r="I5" s="15">
        <v>2020</v>
      </c>
      <c r="J5" s="15">
        <v>2021</v>
      </c>
      <c r="K5" s="15">
        <v>2022</v>
      </c>
      <c r="L5" s="8"/>
    </row>
    <row r="6" spans="1:12" ht="21" x14ac:dyDescent="0.25">
      <c r="A6" s="1" t="s">
        <v>34</v>
      </c>
      <c r="B6" s="16">
        <f t="shared" ref="B6:K6" si="0">SUM(B7:B26)</f>
        <v>9973.2153715049044</v>
      </c>
      <c r="C6" s="16">
        <f t="shared" si="0"/>
        <v>6549</v>
      </c>
      <c r="D6" s="16">
        <f t="shared" si="0"/>
        <v>7410</v>
      </c>
      <c r="E6" s="16">
        <f t="shared" si="0"/>
        <v>7567</v>
      </c>
      <c r="F6" s="16">
        <f t="shared" si="0"/>
        <v>7567</v>
      </c>
      <c r="G6" s="16">
        <f t="shared" si="0"/>
        <v>7568</v>
      </c>
      <c r="H6" s="16">
        <f t="shared" si="0"/>
        <v>7611</v>
      </c>
      <c r="I6" s="16">
        <f t="shared" si="0"/>
        <v>7601</v>
      </c>
      <c r="J6" s="16">
        <f t="shared" si="0"/>
        <v>7612</v>
      </c>
      <c r="K6" s="16">
        <f t="shared" si="0"/>
        <v>7613</v>
      </c>
      <c r="L6" s="2" t="s">
        <v>35</v>
      </c>
    </row>
    <row r="7" spans="1:12" ht="15.75" x14ac:dyDescent="0.25">
      <c r="A7" s="17" t="s">
        <v>36</v>
      </c>
      <c r="B7" s="18">
        <v>659.99566999861804</v>
      </c>
      <c r="C7" s="18">
        <v>149</v>
      </c>
      <c r="D7" s="18">
        <v>139</v>
      </c>
      <c r="E7" s="18">
        <v>139</v>
      </c>
      <c r="F7" s="18">
        <v>139</v>
      </c>
      <c r="G7" s="18">
        <v>139</v>
      </c>
      <c r="H7" s="18">
        <v>139</v>
      </c>
      <c r="I7" s="18">
        <v>140</v>
      </c>
      <c r="J7" s="18">
        <v>140</v>
      </c>
      <c r="K7" s="18">
        <v>140</v>
      </c>
      <c r="L7" s="19" t="s">
        <v>1</v>
      </c>
    </row>
    <row r="8" spans="1:12" ht="15.75" x14ac:dyDescent="0.25">
      <c r="A8" s="17" t="s">
        <v>37</v>
      </c>
      <c r="B8" s="18">
        <v>451.02855958358299</v>
      </c>
      <c r="C8" s="18">
        <v>480</v>
      </c>
      <c r="D8" s="18">
        <v>479</v>
      </c>
      <c r="E8" s="18">
        <v>480</v>
      </c>
      <c r="F8" s="18">
        <v>480</v>
      </c>
      <c r="G8" s="18">
        <v>480</v>
      </c>
      <c r="H8" s="18">
        <v>482</v>
      </c>
      <c r="I8" s="18">
        <v>479</v>
      </c>
      <c r="J8" s="18">
        <v>479</v>
      </c>
      <c r="K8" s="18">
        <v>479</v>
      </c>
      <c r="L8" s="19" t="s">
        <v>2</v>
      </c>
    </row>
    <row r="9" spans="1:12" ht="15.75" x14ac:dyDescent="0.25">
      <c r="A9" s="17" t="s">
        <v>38</v>
      </c>
      <c r="B9" s="18">
        <v>838.17979230324397</v>
      </c>
      <c r="C9" s="18">
        <v>909</v>
      </c>
      <c r="D9" s="18">
        <v>909</v>
      </c>
      <c r="E9" s="18">
        <v>992</v>
      </c>
      <c r="F9" s="18">
        <v>992</v>
      </c>
      <c r="G9" s="18">
        <v>992</v>
      </c>
      <c r="H9" s="18">
        <v>909</v>
      </c>
      <c r="I9" s="18">
        <v>910</v>
      </c>
      <c r="J9" s="18">
        <v>910</v>
      </c>
      <c r="K9" s="18">
        <v>910</v>
      </c>
      <c r="L9" s="19" t="s">
        <v>3</v>
      </c>
    </row>
    <row r="10" spans="1:12" ht="15.75" x14ac:dyDescent="0.25">
      <c r="A10" s="17" t="s">
        <v>31</v>
      </c>
      <c r="B10" s="18">
        <v>300.160399424714</v>
      </c>
      <c r="C10" s="18">
        <v>219</v>
      </c>
      <c r="D10" s="18">
        <v>219</v>
      </c>
      <c r="E10" s="18">
        <v>219</v>
      </c>
      <c r="F10" s="18">
        <v>219</v>
      </c>
      <c r="G10" s="18">
        <v>219</v>
      </c>
      <c r="H10" s="18">
        <v>223</v>
      </c>
      <c r="I10" s="18">
        <v>219</v>
      </c>
      <c r="J10" s="18">
        <v>219</v>
      </c>
      <c r="K10" s="18">
        <v>219</v>
      </c>
      <c r="L10" s="19" t="s">
        <v>4</v>
      </c>
    </row>
    <row r="11" spans="1:12" ht="15.75" x14ac:dyDescent="0.25">
      <c r="A11" s="17" t="s">
        <v>39</v>
      </c>
      <c r="B11" s="18">
        <v>760.69701506287697</v>
      </c>
      <c r="C11" s="18">
        <v>138</v>
      </c>
      <c r="D11" s="18">
        <v>130</v>
      </c>
      <c r="E11" s="18">
        <v>130</v>
      </c>
      <c r="F11" s="18">
        <v>130</v>
      </c>
      <c r="G11" s="18">
        <v>130</v>
      </c>
      <c r="H11" s="18">
        <v>130</v>
      </c>
      <c r="I11" s="18">
        <v>130</v>
      </c>
      <c r="J11" s="18">
        <v>130</v>
      </c>
      <c r="K11" s="18">
        <v>130</v>
      </c>
      <c r="L11" s="19" t="s">
        <v>5</v>
      </c>
    </row>
    <row r="12" spans="1:12" ht="15.75" x14ac:dyDescent="0.25">
      <c r="A12" s="17" t="s">
        <v>6</v>
      </c>
      <c r="B12" s="18">
        <v>704.85688475337895</v>
      </c>
      <c r="C12" s="18">
        <v>163</v>
      </c>
      <c r="D12" s="18">
        <v>170</v>
      </c>
      <c r="E12" s="18">
        <v>172</v>
      </c>
      <c r="F12" s="18">
        <v>172</v>
      </c>
      <c r="G12" s="18">
        <v>172</v>
      </c>
      <c r="H12" s="18">
        <v>187</v>
      </c>
      <c r="I12" s="18">
        <v>172</v>
      </c>
      <c r="J12" s="18">
        <v>172</v>
      </c>
      <c r="K12" s="18">
        <v>172</v>
      </c>
      <c r="L12" s="19" t="s">
        <v>7</v>
      </c>
    </row>
    <row r="13" spans="1:12" ht="15.75" x14ac:dyDescent="0.25">
      <c r="A13" s="17" t="s">
        <v>8</v>
      </c>
      <c r="B13" s="18">
        <v>352.42844237668999</v>
      </c>
      <c r="C13" s="18">
        <v>47</v>
      </c>
      <c r="D13" s="18">
        <v>46</v>
      </c>
      <c r="E13" s="18">
        <v>46</v>
      </c>
      <c r="F13" s="18">
        <v>46</v>
      </c>
      <c r="G13" s="18">
        <v>46</v>
      </c>
      <c r="H13" s="18">
        <v>46</v>
      </c>
      <c r="I13" s="18">
        <v>46</v>
      </c>
      <c r="J13" s="18">
        <v>46</v>
      </c>
      <c r="K13" s="18">
        <v>46</v>
      </c>
      <c r="L13" s="19" t="s">
        <v>9</v>
      </c>
    </row>
    <row r="14" spans="1:12" ht="15.75" x14ac:dyDescent="0.25">
      <c r="A14" s="17" t="s">
        <v>10</v>
      </c>
      <c r="B14" s="18">
        <v>562.60375880971003</v>
      </c>
      <c r="C14" s="18">
        <v>6</v>
      </c>
      <c r="D14" s="18">
        <v>742</v>
      </c>
      <c r="E14" s="18">
        <v>773</v>
      </c>
      <c r="F14" s="18">
        <v>773</v>
      </c>
      <c r="G14" s="18">
        <v>773</v>
      </c>
      <c r="H14" s="18">
        <v>775</v>
      </c>
      <c r="I14" s="18">
        <v>770</v>
      </c>
      <c r="J14" s="18">
        <v>770</v>
      </c>
      <c r="K14" s="18">
        <v>770</v>
      </c>
      <c r="L14" s="19" t="s">
        <v>40</v>
      </c>
    </row>
    <row r="15" spans="1:12" ht="15.75" x14ac:dyDescent="0.25">
      <c r="A15" s="17" t="s">
        <v>11</v>
      </c>
      <c r="B15" s="18">
        <v>430.80424145643599</v>
      </c>
      <c r="C15" s="18">
        <v>916</v>
      </c>
      <c r="D15" s="18">
        <v>920</v>
      </c>
      <c r="E15" s="18">
        <v>921</v>
      </c>
      <c r="F15" s="18">
        <v>921</v>
      </c>
      <c r="G15" s="18">
        <v>921</v>
      </c>
      <c r="H15" s="18">
        <v>921</v>
      </c>
      <c r="I15" s="18">
        <v>925</v>
      </c>
      <c r="J15" s="18">
        <v>925</v>
      </c>
      <c r="K15" s="18">
        <v>925</v>
      </c>
      <c r="L15" s="19" t="s">
        <v>12</v>
      </c>
    </row>
    <row r="16" spans="1:12" ht="15.75" x14ac:dyDescent="0.25">
      <c r="A16" s="17" t="s">
        <v>13</v>
      </c>
      <c r="B16" s="18">
        <v>284.76890536950901</v>
      </c>
      <c r="C16" s="18">
        <v>4</v>
      </c>
      <c r="D16" s="18">
        <v>4</v>
      </c>
      <c r="E16" s="18">
        <v>4</v>
      </c>
      <c r="F16" s="18">
        <v>4</v>
      </c>
      <c r="G16" s="18">
        <v>4</v>
      </c>
      <c r="H16" s="18">
        <v>4</v>
      </c>
      <c r="I16" s="18">
        <v>5</v>
      </c>
      <c r="J16" s="18">
        <v>5</v>
      </c>
      <c r="K16" s="18">
        <v>5</v>
      </c>
      <c r="L16" s="19" t="s">
        <v>14</v>
      </c>
    </row>
    <row r="17" spans="1:12" ht="15.75" x14ac:dyDescent="0.25">
      <c r="A17" s="17" t="s">
        <v>15</v>
      </c>
      <c r="B17" s="18">
        <v>90.773043438205306</v>
      </c>
      <c r="C17" s="18">
        <v>2</v>
      </c>
      <c r="D17" s="18">
        <v>2</v>
      </c>
      <c r="E17" s="18">
        <v>5</v>
      </c>
      <c r="F17" s="18">
        <v>5</v>
      </c>
      <c r="G17" s="18">
        <v>5</v>
      </c>
      <c r="H17" s="18">
        <v>3</v>
      </c>
      <c r="I17" s="18">
        <v>5</v>
      </c>
      <c r="J17" s="18">
        <v>5</v>
      </c>
      <c r="K17" s="18">
        <v>5</v>
      </c>
      <c r="L17" s="19" t="s">
        <v>16</v>
      </c>
    </row>
    <row r="18" spans="1:12" ht="15.75" x14ac:dyDescent="0.25">
      <c r="A18" s="17" t="s">
        <v>17</v>
      </c>
      <c r="B18" s="18">
        <v>377.06533900430401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9" t="s">
        <v>18</v>
      </c>
    </row>
    <row r="19" spans="1:12" ht="15.75" x14ac:dyDescent="0.25">
      <c r="A19" s="17" t="s">
        <v>19</v>
      </c>
      <c r="B19" s="18">
        <v>330.102896392177</v>
      </c>
      <c r="C19" s="18">
        <v>96</v>
      </c>
      <c r="D19" s="18">
        <v>185</v>
      </c>
      <c r="E19" s="18">
        <v>188</v>
      </c>
      <c r="F19" s="18">
        <v>188</v>
      </c>
      <c r="G19" s="18">
        <v>188</v>
      </c>
      <c r="H19" s="18">
        <v>187</v>
      </c>
      <c r="I19" s="18">
        <v>187</v>
      </c>
      <c r="J19" s="18">
        <v>187</v>
      </c>
      <c r="K19" s="18">
        <v>187</v>
      </c>
      <c r="L19" s="19" t="s">
        <v>20</v>
      </c>
    </row>
    <row r="20" spans="1:12" ht="15.75" x14ac:dyDescent="0.25">
      <c r="A20" s="17" t="s">
        <v>21</v>
      </c>
      <c r="B20" s="18">
        <v>399.60100777455301</v>
      </c>
      <c r="C20" s="18">
        <v>1</v>
      </c>
      <c r="D20" s="18">
        <v>2</v>
      </c>
      <c r="E20" s="18">
        <v>2</v>
      </c>
      <c r="F20" s="18">
        <v>2</v>
      </c>
      <c r="G20" s="18">
        <v>2</v>
      </c>
      <c r="H20" s="18">
        <v>2</v>
      </c>
      <c r="I20" s="18">
        <v>2</v>
      </c>
      <c r="J20" s="18">
        <v>2</v>
      </c>
      <c r="K20" s="18">
        <v>2</v>
      </c>
      <c r="L20" s="19" t="s">
        <v>22</v>
      </c>
    </row>
    <row r="21" spans="1:12" ht="15.75" x14ac:dyDescent="0.25">
      <c r="A21" s="17" t="s">
        <v>23</v>
      </c>
      <c r="B21" s="18">
        <v>689.78057487677904</v>
      </c>
      <c r="C21" s="18">
        <v>461</v>
      </c>
      <c r="D21" s="18">
        <v>356</v>
      </c>
      <c r="E21" s="18">
        <v>356</v>
      </c>
      <c r="F21" s="18">
        <v>356</v>
      </c>
      <c r="G21" s="18">
        <v>356</v>
      </c>
      <c r="H21" s="18">
        <v>357</v>
      </c>
      <c r="I21" s="18">
        <v>384</v>
      </c>
      <c r="J21" s="18">
        <v>388</v>
      </c>
      <c r="K21" s="18">
        <v>388</v>
      </c>
      <c r="L21" s="19" t="s">
        <v>24</v>
      </c>
    </row>
    <row r="22" spans="1:12" ht="15.75" x14ac:dyDescent="0.25">
      <c r="A22" s="17" t="s">
        <v>9</v>
      </c>
      <c r="B22" s="18">
        <v>823.83891217672101</v>
      </c>
      <c r="C22" s="18">
        <v>1717</v>
      </c>
      <c r="D22" s="18">
        <v>1711</v>
      </c>
      <c r="E22" s="18">
        <v>1711</v>
      </c>
      <c r="F22" s="18">
        <v>1711</v>
      </c>
      <c r="G22" s="18">
        <v>1711</v>
      </c>
      <c r="H22" s="18">
        <v>1712</v>
      </c>
      <c r="I22" s="18">
        <v>1712</v>
      </c>
      <c r="J22" s="18">
        <v>1712</v>
      </c>
      <c r="K22" s="18">
        <v>1713</v>
      </c>
      <c r="L22" s="19" t="s">
        <v>25</v>
      </c>
    </row>
    <row r="23" spans="1:12" ht="15.75" x14ac:dyDescent="0.25">
      <c r="A23" s="17" t="s">
        <v>26</v>
      </c>
      <c r="B23" s="18">
        <v>762.01028247373097</v>
      </c>
      <c r="C23" s="18">
        <v>562</v>
      </c>
      <c r="D23" s="18">
        <v>625</v>
      </c>
      <c r="E23" s="18">
        <v>650</v>
      </c>
      <c r="F23" s="18">
        <v>650</v>
      </c>
      <c r="G23" s="18">
        <v>651</v>
      </c>
      <c r="H23" s="18">
        <v>652</v>
      </c>
      <c r="I23" s="18">
        <v>643</v>
      </c>
      <c r="J23" s="18">
        <v>643</v>
      </c>
      <c r="K23" s="18">
        <v>643</v>
      </c>
      <c r="L23" s="19" t="s">
        <v>27</v>
      </c>
    </row>
    <row r="24" spans="1:12" ht="15.75" x14ac:dyDescent="0.25">
      <c r="A24" s="17" t="s">
        <v>28</v>
      </c>
      <c r="B24" s="18">
        <v>796.62801142383296</v>
      </c>
      <c r="C24" s="18">
        <v>359</v>
      </c>
      <c r="D24" s="18">
        <v>358</v>
      </c>
      <c r="E24" s="18">
        <v>433</v>
      </c>
      <c r="F24" s="18">
        <v>433</v>
      </c>
      <c r="G24" s="18">
        <v>433</v>
      </c>
      <c r="H24" s="18">
        <v>434</v>
      </c>
      <c r="I24" s="18">
        <v>433</v>
      </c>
      <c r="J24" s="18">
        <v>433</v>
      </c>
      <c r="K24" s="18">
        <v>433</v>
      </c>
      <c r="L24" s="19" t="s">
        <v>29</v>
      </c>
    </row>
    <row r="25" spans="1:12" ht="15.75" x14ac:dyDescent="0.25">
      <c r="A25" s="17" t="s">
        <v>30</v>
      </c>
      <c r="B25" s="18">
        <v>67.4494142214443</v>
      </c>
      <c r="C25" s="18">
        <v>165</v>
      </c>
      <c r="D25" s="18">
        <v>274</v>
      </c>
      <c r="E25" s="18">
        <v>284</v>
      </c>
      <c r="F25" s="18">
        <v>284</v>
      </c>
      <c r="G25" s="18">
        <v>284</v>
      </c>
      <c r="H25" s="18">
        <v>284</v>
      </c>
      <c r="I25" s="18">
        <v>274</v>
      </c>
      <c r="J25" s="18">
        <v>274</v>
      </c>
      <c r="K25" s="18">
        <v>274</v>
      </c>
      <c r="L25" s="19" t="s">
        <v>31</v>
      </c>
    </row>
    <row r="26" spans="1:12" ht="15.75" x14ac:dyDescent="0.25">
      <c r="A26" s="20" t="s">
        <v>3</v>
      </c>
      <c r="B26" s="21">
        <v>290.44222058439698</v>
      </c>
      <c r="C26" s="21">
        <v>155</v>
      </c>
      <c r="D26" s="21">
        <v>139</v>
      </c>
      <c r="E26" s="21">
        <v>62</v>
      </c>
      <c r="F26" s="21">
        <v>62</v>
      </c>
      <c r="G26" s="21">
        <v>62</v>
      </c>
      <c r="H26" s="21">
        <v>164</v>
      </c>
      <c r="I26" s="21">
        <v>165</v>
      </c>
      <c r="J26" s="21">
        <v>172</v>
      </c>
      <c r="K26" s="21">
        <v>172</v>
      </c>
      <c r="L26" s="22" t="s">
        <v>32</v>
      </c>
    </row>
    <row r="27" spans="1:12" ht="18" x14ac:dyDescent="0.45">
      <c r="A27" s="3" t="s">
        <v>43</v>
      </c>
      <c r="B27" s="3"/>
      <c r="L27" s="4" t="s">
        <v>42</v>
      </c>
    </row>
  </sheetData>
  <mergeCells count="5">
    <mergeCell ref="A1:L1"/>
    <mergeCell ref="A2:L2"/>
    <mergeCell ref="A4:A5"/>
    <mergeCell ref="B4:K4"/>
    <mergeCell ref="L4:L5"/>
  </mergeCells>
  <pageMargins left="0.7" right="0.7" top="0.75" bottom="0.75" header="0.3" footer="0.3"/>
  <pageSetup scale="70" orientation="portrait" r:id="rId1"/>
  <colBreaks count="1" manualBreakCount="1">
    <brk id="1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9.16</vt:lpstr>
      <vt:lpstr>'9.16'!Print_Area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2026-07-07T05:12:04Z</cp:lastPrinted>
  <dcterms:created xsi:type="dcterms:W3CDTF">2019-09-09T05:11:24Z</dcterms:created>
  <dcterms:modified xsi:type="dcterms:W3CDTF">2026-07-07T05:12:25Z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