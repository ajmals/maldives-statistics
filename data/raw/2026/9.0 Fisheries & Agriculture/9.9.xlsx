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81873081-5BBA-49EF-A4BB-7AE40F23EE8E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9" sheetId="9" r:id="rId1"/>
  </sheets>
  <definedNames>
    <definedName name="_xlnm.Print_Area" localSheetId="0">'9.9'!$A$1:$I$57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9" l="1"/>
  <c r="F6" i="9"/>
  <c r="E6" i="9"/>
  <c r="D6" i="9"/>
  <c r="C6" i="9"/>
  <c r="B35" i="9" l="1"/>
  <c r="B14" i="9"/>
  <c r="B13" i="9"/>
  <c r="B12" i="9"/>
  <c r="B11" i="9"/>
  <c r="B10" i="9"/>
  <c r="B9" i="9"/>
  <c r="B8" i="9"/>
  <c r="B7" i="9"/>
  <c r="G6" i="9"/>
  <c r="G22" i="9" s="1"/>
  <c r="F22" i="9"/>
  <c r="B6" i="9" l="1"/>
  <c r="C20" i="9"/>
  <c r="D25" i="9"/>
  <c r="AC5" i="9"/>
  <c r="E23" i="9"/>
  <c r="G16" i="9"/>
  <c r="G29" i="9"/>
  <c r="E18" i="9"/>
  <c r="C34" i="9"/>
  <c r="E25" i="9"/>
  <c r="G24" i="9"/>
  <c r="E31" i="9"/>
  <c r="F31" i="9"/>
  <c r="F24" i="9"/>
  <c r="F16" i="9"/>
  <c r="F17" i="9"/>
  <c r="F25" i="9"/>
  <c r="F19" i="9"/>
  <c r="F23" i="9"/>
  <c r="E16" i="9"/>
  <c r="E20" i="9"/>
  <c r="E17" i="9"/>
  <c r="E24" i="9"/>
  <c r="E33" i="9"/>
  <c r="F32" i="9"/>
  <c r="G31" i="9"/>
  <c r="C29" i="9"/>
  <c r="C28" i="9"/>
  <c r="D28" i="9"/>
  <c r="C27" i="9"/>
  <c r="D27" i="9"/>
  <c r="D20" i="9"/>
  <c r="C21" i="9"/>
  <c r="C19" i="9"/>
  <c r="G23" i="9"/>
  <c r="E32" i="9"/>
  <c r="D34" i="9"/>
  <c r="F18" i="9"/>
  <c r="E19" i="9"/>
  <c r="C22" i="9"/>
  <c r="G25" i="9"/>
  <c r="E27" i="9"/>
  <c r="D29" i="9"/>
  <c r="G32" i="9"/>
  <c r="F33" i="9"/>
  <c r="E34" i="9"/>
  <c r="G18" i="9"/>
  <c r="C23" i="9"/>
  <c r="F27" i="9"/>
  <c r="E28" i="9"/>
  <c r="G33" i="9"/>
  <c r="F34" i="9"/>
  <c r="C16" i="9"/>
  <c r="G19" i="9"/>
  <c r="F20" i="9"/>
  <c r="E21" i="9"/>
  <c r="C24" i="9"/>
  <c r="G27" i="9"/>
  <c r="F28" i="9"/>
  <c r="E29" i="9"/>
  <c r="C31" i="9"/>
  <c r="G34" i="9"/>
  <c r="C17" i="9"/>
  <c r="G20" i="9"/>
  <c r="F21" i="9"/>
  <c r="E22" i="9"/>
  <c r="C25" i="9"/>
  <c r="G28" i="9"/>
  <c r="F29" i="9"/>
  <c r="D31" i="9"/>
  <c r="C32" i="9"/>
  <c r="C18" i="9"/>
  <c r="G21" i="9"/>
  <c r="D32" i="9"/>
  <c r="C33" i="9"/>
  <c r="D33" i="9"/>
  <c r="AA5" i="9" l="1"/>
  <c r="Z5" i="9"/>
  <c r="AB5" i="9"/>
  <c r="B19" i="9"/>
  <c r="B31" i="9"/>
  <c r="B27" i="9"/>
  <c r="B34" i="9"/>
  <c r="B29" i="9"/>
  <c r="B17" i="9"/>
  <c r="B23" i="9"/>
  <c r="B18" i="9"/>
  <c r="B28" i="9"/>
  <c r="B20" i="9"/>
  <c r="E26" i="9"/>
  <c r="G26" i="9"/>
  <c r="B16" i="9"/>
  <c r="B21" i="9"/>
  <c r="B22" i="9"/>
  <c r="B24" i="9"/>
  <c r="F26" i="9"/>
  <c r="B25" i="9"/>
  <c r="C26" i="9"/>
  <c r="D26" i="9"/>
  <c r="B32" i="9"/>
  <c r="B33" i="9"/>
  <c r="B26" i="9" l="1"/>
</calcChain>
</file>

<file path=xl/sharedStrings.xml><?xml version="1.0" encoding="utf-8"?>
<sst xmlns="http://schemas.openxmlformats.org/spreadsheetml/2006/main" count="76" uniqueCount="35">
  <si>
    <t>Bigeye tuna</t>
  </si>
  <si>
    <t>ilencnwk uDobOl</t>
  </si>
  <si>
    <t>Type of fish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</si>
  <si>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</si>
  <si>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</si>
  <si>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</si>
  <si>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</si>
  <si>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</si>
  <si>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</si>
  <si>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</si>
  <si>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</si>
  <si>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</si>
  <si>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</si>
  <si>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ctwvWbeguhwm</t>
  </si>
  <si>
    <t xml:space="preserve">        wlcmuj</t>
  </si>
  <si>
    <t xml:space="preserve">       cswmwlibuLwk</t>
  </si>
  <si>
    <t>ilencnwk ugid ctwfcnwk</t>
  </si>
  <si>
    <t>Skipjack</t>
  </si>
  <si>
    <t>Little tuna</t>
  </si>
  <si>
    <t>Albacore</t>
  </si>
  <si>
    <r>
      <t xml:space="preserve">Fishing methods  </t>
    </r>
    <r>
      <rPr>
        <b/>
        <sz val="10"/>
        <rFont val="Faruma"/>
        <family val="3"/>
      </rPr>
      <t xml:space="preserve">   މަސްބޭނިގޮތް</t>
    </r>
  </si>
  <si>
    <t>Pole and Line</t>
  </si>
  <si>
    <t>Trolling</t>
  </si>
  <si>
    <t>Hand  Line</t>
  </si>
  <si>
    <t>Other methods</t>
  </si>
  <si>
    <t>Other tuna</t>
  </si>
  <si>
    <t>cswmuDnwk cnehinehea</t>
  </si>
  <si>
    <t>Percentage share ( % )</t>
  </si>
  <si>
    <t xml:space="preserve"> (%) cniawtcaws ctogWviawfiheb</t>
  </si>
  <si>
    <t>މަޢުލޫމާތުދެއްވި ފަރާތް: މިނިސްޓްރީ އޮފް ފިޝަރީޒް، މެރިންރިސޯސަސް އެންޑް އެގްރިކަލްޗަރ</t>
  </si>
  <si>
    <t xml:space="preserve">Grouper </t>
  </si>
  <si>
    <t xml:space="preserve">Reef </t>
  </si>
  <si>
    <t>Table 9.9 :  FISH CATCH BY TYPE AND FISHING METHODS, 2025 (In metric tons)</t>
  </si>
  <si>
    <t>ތާވަލު 9.9: މަހުގެ ބާވަތުންނާއި މަސްބާނާފައިވާގޮތުން ބޭނުނު އަދަދު، 2025</t>
  </si>
  <si>
    <t>Source: Ministry of Fisheries, Agriculture and Ocean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</si>
</sst>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7" formatCode="0.0"/>
    <numFmt numFmtId="170" formatCode="[$-409]mmmm\ d\,\ yyyy;@"/>
  </numFmts>
  <fonts count="2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_Waheed"/>
      <family val="3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9"/>
      <name val="Calibri"/>
      <family val="2"/>
    </font>
    <font>
      <b/>
      <sz val="10"/>
      <name val="Faruma"/>
      <family val="3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0"/>
      <name val="A_Faseyha"/>
    </font>
    <font>
      <b/>
      <sz val="12"/>
      <name val="Faruma"/>
      <family val="3"/>
    </font>
    <font>
      <sz val="11"/>
      <name val="Courier"/>
      <family val="3"/>
    </font>
    <font>
      <b/>
      <sz val="11"/>
      <name val="Arial"/>
      <family val="2"/>
    </font>
    <font>
      <b/>
      <sz val="8"/>
      <name val="A_Faseyha"/>
    </font>
    <font>
      <sz val="9"/>
      <name val="Candara"/>
      <family val="2"/>
    </font>
    <font>
      <b/>
      <sz val="9"/>
      <name val="A_Faseyha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4" fontId="1" fillId="0" borderId="0"/>
    <xf numFmtId="40" fontId="17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8" fillId="0" borderId="0"/>
  </cellStyleXfs>
  <cellXfs count="57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8" fillId="2" borderId="0" xfId="1" applyFont="1" applyFill="1" applyAlignment="1">
      <alignment vertical="center"/>
    </xf>
    <xf numFmtId="164" fontId="10" fillId="2" borderId="0" xfId="1" applyFont="1" applyFill="1" applyAlignment="1">
      <alignment horizontal="right" vertical="center"/>
    </xf>
    <xf numFmtId="164" fontId="12" fillId="2" borderId="0" xfId="1" applyFont="1" applyFill="1" applyAlignment="1">
      <alignment vertical="center"/>
    </xf>
    <xf numFmtId="164" fontId="11" fillId="2" borderId="0" xfId="1" applyFont="1" applyFill="1" applyAlignment="1">
      <alignment horizontal="left" vertical="center"/>
    </xf>
    <xf numFmtId="164" fontId="13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left" vertical="center"/>
    </xf>
    <xf numFmtId="164" fontId="5" fillId="2" borderId="0" xfId="1" applyFont="1" applyFill="1" applyAlignment="1">
      <alignment vertical="center"/>
    </xf>
    <xf numFmtId="164" fontId="5" fillId="2" borderId="1" xfId="1" applyFont="1" applyFill="1" applyBorder="1" applyAlignment="1">
      <alignment horizontal="right" vertical="center" wrapText="1"/>
    </xf>
    <xf numFmtId="164" fontId="9" fillId="2" borderId="0" xfId="1" applyFont="1" applyFill="1" applyAlignment="1">
      <alignment horizontal="center" vertical="center"/>
    </xf>
    <xf numFmtId="164" fontId="14" fillId="2" borderId="0" xfId="1" applyFont="1" applyFill="1" applyAlignment="1">
      <alignment horizontal="left" vertical="center"/>
    </xf>
    <xf numFmtId="0" fontId="18" fillId="2" borderId="0" xfId="0" applyFont="1" applyFill="1" applyAlignment="1">
      <alignment horizontal="left"/>
    </xf>
    <xf numFmtId="3" fontId="6" fillId="2" borderId="0" xfId="0" applyNumberFormat="1" applyFont="1" applyFill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/>
    </xf>
    <xf numFmtId="164" fontId="22" fillId="2" borderId="0" xfId="1" applyFont="1" applyFill="1" applyAlignment="1">
      <alignment horizontal="center" vertical="center"/>
    </xf>
    <xf numFmtId="164" fontId="5" fillId="2" borderId="4" xfId="1" applyFont="1" applyFill="1" applyBorder="1" applyAlignment="1">
      <alignment horizontal="right" vertical="center" wrapText="1"/>
    </xf>
    <xf numFmtId="164" fontId="12" fillId="2" borderId="0" xfId="1" applyFont="1" applyFill="1" applyAlignment="1">
      <alignment horizontal="right" vertical="center" wrapText="1"/>
    </xf>
    <xf numFmtId="164" fontId="4" fillId="2" borderId="0" xfId="1" applyFont="1" applyFill="1" applyAlignment="1">
      <alignment horizontal="right" vertical="center" wrapText="1"/>
    </xf>
    <xf numFmtId="164" fontId="5" fillId="2" borderId="0" xfId="1" applyFont="1" applyFill="1" applyAlignment="1">
      <alignment horizontal="left" vertical="center"/>
    </xf>
    <xf numFmtId="3" fontId="16" fillId="2" borderId="0" xfId="1" applyNumberFormat="1" applyFont="1" applyFill="1" applyAlignment="1">
      <alignment horizontal="right" vertical="center"/>
    </xf>
    <xf numFmtId="164" fontId="14" fillId="2" borderId="0" xfId="1" applyFont="1" applyFill="1" applyAlignment="1">
      <alignment horizontal="left" vertical="center" wrapText="1"/>
    </xf>
    <xf numFmtId="3" fontId="18" fillId="2" borderId="0" xfId="1" applyNumberFormat="1" applyFont="1" applyFill="1" applyAlignment="1">
      <alignment horizontal="right" vertical="center"/>
    </xf>
    <xf numFmtId="167" fontId="24" fillId="2" borderId="0" xfId="1" applyNumberFormat="1" applyFont="1" applyFill="1" applyAlignment="1">
      <alignment vertical="center"/>
    </xf>
    <xf numFmtId="164" fontId="14" fillId="2" borderId="3" xfId="1" applyFont="1" applyFill="1" applyBorder="1" applyAlignment="1">
      <alignment horizontal="left" vertical="center" wrapText="1"/>
    </xf>
    <xf numFmtId="3" fontId="16" fillId="2" borderId="3" xfId="1" applyNumberFormat="1" applyFont="1" applyFill="1" applyBorder="1" applyAlignment="1">
      <alignment horizontal="right" vertical="center"/>
    </xf>
    <xf numFmtId="3" fontId="18" fillId="2" borderId="3" xfId="1" applyNumberFormat="1" applyFont="1" applyFill="1" applyBorder="1" applyAlignment="1">
      <alignment horizontal="right" vertical="center"/>
    </xf>
    <xf numFmtId="164" fontId="14" fillId="2" borderId="6" xfId="1" applyFont="1" applyFill="1" applyBorder="1" applyAlignment="1">
      <alignment horizontal="left" vertical="center" wrapText="1"/>
    </xf>
    <xf numFmtId="3" fontId="16" fillId="2" borderId="6" xfId="1" applyNumberFormat="1" applyFont="1" applyFill="1" applyBorder="1" applyAlignment="1">
      <alignment horizontal="right" vertical="center"/>
    </xf>
    <xf numFmtId="3" fontId="18" fillId="2" borderId="6" xfId="1" applyNumberFormat="1" applyFont="1" applyFill="1" applyBorder="1" applyAlignment="1">
      <alignment horizontal="right" vertical="center"/>
    </xf>
    <xf numFmtId="1" fontId="16" fillId="2" borderId="0" xfId="1" applyNumberFormat="1" applyFont="1" applyFill="1" applyAlignment="1">
      <alignment vertical="center"/>
    </xf>
    <xf numFmtId="164" fontId="14" fillId="2" borderId="1" xfId="1" applyFont="1" applyFill="1" applyBorder="1" applyAlignment="1">
      <alignment horizontal="left" vertical="center" wrapText="1"/>
    </xf>
    <xf numFmtId="1" fontId="16" fillId="2" borderId="1" xfId="1" applyNumberFormat="1" applyFont="1" applyFill="1" applyBorder="1" applyAlignment="1">
      <alignment vertical="center"/>
    </xf>
    <xf numFmtId="3" fontId="18" fillId="2" borderId="1" xfId="1" applyNumberFormat="1" applyFont="1" applyFill="1" applyBorder="1" applyAlignment="1">
      <alignment horizontal="right" vertical="center"/>
    </xf>
    <xf numFmtId="164" fontId="19" fillId="2" borderId="0" xfId="0" applyNumberFormat="1" applyFont="1" applyFill="1" applyAlignment="1">
      <alignment horizontal="right"/>
    </xf>
    <xf numFmtId="164" fontId="25" fillId="2" borderId="0" xfId="1" applyFont="1" applyFill="1" applyAlignment="1">
      <alignment horizontal="right" vertical="center"/>
    </xf>
    <xf numFmtId="164" fontId="26" fillId="2" borderId="0" xfId="0" applyNumberFormat="1" applyFont="1" applyFill="1" applyAlignment="1">
      <alignment horizontal="right" vertical="center"/>
    </xf>
    <xf numFmtId="164" fontId="26" fillId="2" borderId="3" xfId="0" applyNumberFormat="1" applyFont="1" applyFill="1" applyBorder="1" applyAlignment="1">
      <alignment horizontal="right" vertical="center"/>
    </xf>
    <xf numFmtId="164" fontId="26" fillId="2" borderId="6" xfId="0" applyNumberFormat="1" applyFont="1" applyFill="1" applyBorder="1" applyAlignment="1">
      <alignment horizontal="right" vertical="center"/>
    </xf>
    <xf numFmtId="164" fontId="14" fillId="2" borderId="7" xfId="1" applyFont="1" applyFill="1" applyBorder="1" applyAlignment="1">
      <alignment horizontal="left" vertical="center" wrapText="1"/>
    </xf>
    <xf numFmtId="1" fontId="16" fillId="2" borderId="7" xfId="1" applyNumberFormat="1" applyFont="1" applyFill="1" applyBorder="1" applyAlignment="1">
      <alignment vertical="center"/>
    </xf>
    <xf numFmtId="3" fontId="18" fillId="2" borderId="7" xfId="1" applyNumberFormat="1" applyFont="1" applyFill="1" applyBorder="1" applyAlignment="1">
      <alignment horizontal="right" vertical="center"/>
    </xf>
    <xf numFmtId="164" fontId="26" fillId="2" borderId="7" xfId="0" applyNumberFormat="1" applyFont="1" applyFill="1" applyBorder="1" applyAlignment="1">
      <alignment horizontal="right" vertical="center"/>
    </xf>
    <xf numFmtId="3" fontId="6" fillId="2" borderId="8" xfId="0" applyNumberFormat="1" applyFont="1" applyFill="1" applyBorder="1" applyAlignment="1">
      <alignment horizontal="right" vertical="center"/>
    </xf>
    <xf numFmtId="164" fontId="5" fillId="2" borderId="2" xfId="1" applyFont="1" applyFill="1" applyBorder="1" applyAlignment="1">
      <alignment horizontal="left" vertical="center"/>
    </xf>
    <xf numFmtId="164" fontId="5" fillId="2" borderId="1" xfId="1" applyFont="1" applyFill="1" applyBorder="1" applyAlignment="1">
      <alignment horizontal="left" vertical="center"/>
    </xf>
    <xf numFmtId="164" fontId="9" fillId="2" borderId="0" xfId="1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  <xf numFmtId="164" fontId="9" fillId="2" borderId="1" xfId="1" applyFont="1" applyFill="1" applyBorder="1" applyAlignment="1">
      <alignment horizontal="center" vertical="center"/>
    </xf>
    <xf numFmtId="164" fontId="20" fillId="2" borderId="0" xfId="1" applyFont="1" applyFill="1" applyAlignment="1">
      <alignment horizontal="center" vertical="center"/>
    </xf>
    <xf numFmtId="164" fontId="9" fillId="2" borderId="5" xfId="1" applyFont="1" applyFill="1" applyBorder="1" applyAlignment="1">
      <alignment horizontal="center" vertical="center"/>
    </xf>
    <xf numFmtId="164" fontId="23" fillId="2" borderId="2" xfId="1" applyFont="1" applyFill="1" applyBorder="1" applyAlignment="1">
      <alignment horizontal="right" vertical="center"/>
    </xf>
    <xf numFmtId="164" fontId="23" fillId="2" borderId="1" xfId="1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9977925477169"/>
          <c:y val="0.16538709037827495"/>
          <c:w val="0.40462545052681814"/>
          <c:h val="0.71464833093046465"/>
        </c:manualLayout>
      </c:layout>
      <c:pieChart>
        <c:varyColors val="1"/>
        <c:ser>
          <c:idx val="0"/>
          <c:order val="0"/>
          <c:spPr>
            <a:solidFill>
              <a:srgbClr val="249390"/>
            </a:solidFill>
          </c:spPr>
          <c:explosion val="6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5A6D-4817-BD5D-36571C465C63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0241-4AEA-B922-54066D0A145D}"/>
              </c:ext>
            </c:extLst>
          </c:dPt>
          <c:dLbls>
            <c:dLbl>
              <c:idx val="0"/>
              <c:layout>
                <c:manualLayout>
                  <c:x val="-0.10837091988595338"/>
                  <c:y val="-0.282387548326412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0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6D-4817-BD5D-36571C465C63}"/>
                </c:ext>
              </c:extLst>
            </c:dLbl>
            <c:dLbl>
              <c:idx val="1"/>
              <c:layout>
                <c:manualLayout>
                  <c:x val="5.7545829205910587E-2"/>
                  <c:y val="0.1989112926908708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800" b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69120975719252E-2"/>
                      <c:h val="0.17630757894774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241-4AEA-B922-54066D0A14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'9.9'!$C$5:$G$5</c15:sqref>
                  </c15:fullRef>
                </c:ext>
              </c:extLst>
              <c:f>('9.9'!$C$5,'9.9'!$E$5)</c:f>
              <c:strCache>
                <c:ptCount val="2"/>
                <c:pt idx="0">
                  <c:v>Pole and Line</c:v>
                </c:pt>
                <c:pt idx="1">
                  <c:v>Hand  Line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'9.9'!$C$6:$G$6</c15:sqref>
                  </c15:fullRef>
                </c:ext>
              </c:extLst>
              <c:f>('9.9'!$C$6,'9.9'!$E$6)</c:f>
              <c:numCache>
                <c:formatCode>#,##0</c:formatCode>
                <c:ptCount val="2"/>
                <c:pt idx="0">
                  <c:v>135656.94327573685</c:v>
                </c:pt>
                <c:pt idx="1">
                  <c:v>13666.704865019461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D8-4C8E-8B04-8C5640AF69C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1098447</xdr:colOff>
      <xdr:row>37</xdr:row>
      <xdr:rowOff>9525</xdr:rowOff>
    </xdr:from>
    <xdr:to>
      <xdr:col>7</xdr:col>
      <xdr:colOff>883366</xdr:colOff>
      <xdr:row>54</xdr:row>
      <xdr:rowOff>76542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0.05373</cdr:x>
      <cdr:y>0.04605</cdr:y>
    </cdr:from>
    <cdr:to>
      <cdr:x>0.91165</cdr:x>
      <cdr:y>0.18413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8306" y="129368"/>
          <a:ext cx="4922764" cy="3879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00" b="1">
              <a:effectLst/>
              <a:latin typeface="Consolas" pitchFamily="49" charset="0"/>
              <a:ea typeface="+mn-ea"/>
              <a:cs typeface="Consolas" pitchFamily="49" charset="0"/>
            </a:rPr>
            <a:t>Figure 9.6: Percentage share of fish catch by fishing method, 2025</a:t>
          </a:r>
          <a:endParaRPr lang="en-US" sz="1000" b="1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7"/>
  <sheetViews>
    <sheetView tabSelected="1" zoomScale="178" zoomScaleNormal="178" zoomScaleSheetLayoutView="64" workbookViewId="0">
      <selection activeCell="G18" sqref="G18"/>
    </sheetView>
  </sheetViews>
  <sheetFormatPr defaultColWidth="9.140625" defaultRowHeight="12.75" x14ac:dyDescent="0.25"/>
  <cols>
    <col min="1" max="1" width="16.85546875" style="3" customWidth="1"/>
    <col min="2" max="2" width="12.28515625" style="7" customWidth="1"/>
    <col min="3" max="3" width="15" style="3" customWidth="1"/>
    <col min="4" max="7" width="11.28515625" style="3" customWidth="1"/>
    <col min="8" max="8" width="25.85546875" style="3" customWidth="1"/>
    <col min="9" max="16384" width="9.140625" style="3"/>
  </cols>
  <sheetData>
    <row r="1" spans="1:30" s="17" customFormat="1" ht="21.75" x14ac:dyDescent="0.25">
      <c r="A1" s="53" t="s">
        <v>33</v>
      </c>
      <c r="B1" s="53"/>
      <c r="C1" s="53"/>
      <c r="D1" s="53"/>
      <c r="E1" s="53"/>
      <c r="F1" s="53"/>
      <c r="G1" s="53"/>
      <c r="H1" s="53"/>
    </row>
    <row r="2" spans="1:30" s="19" customFormat="1" ht="15" x14ac:dyDescent="0.25">
      <c r="A2" s="51" t="s">
        <v>32</v>
      </c>
      <c r="B2" s="51"/>
      <c r="C2" s="51"/>
      <c r="D2" s="51"/>
      <c r="E2" s="51"/>
      <c r="F2" s="51"/>
      <c r="G2" s="51"/>
      <c r="H2" s="51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 s="7" customFormat="1" x14ac:dyDescent="0.25">
      <c r="A3" s="52"/>
      <c r="B3" s="50"/>
      <c r="C3" s="50"/>
      <c r="D3" s="50"/>
      <c r="E3" s="50"/>
      <c r="F3" s="50"/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1"/>
      <c r="AA3" s="21"/>
      <c r="AB3" s="21"/>
      <c r="AC3" s="21"/>
      <c r="AD3" s="1"/>
    </row>
    <row r="4" spans="1:30" s="8" customFormat="1" ht="24" x14ac:dyDescent="0.25">
      <c r="A4" s="48" t="s">
        <v>2</v>
      </c>
      <c r="B4" s="54" t="s">
        <v>20</v>
      </c>
      <c r="C4" s="54"/>
      <c r="D4" s="54"/>
      <c r="E4" s="54"/>
      <c r="F4" s="54"/>
      <c r="G4" s="54"/>
      <c r="H4" s="55" t="s">
        <v>13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11" t="s">
        <v>21</v>
      </c>
      <c r="AA4" s="11" t="s">
        <v>23</v>
      </c>
      <c r="AB4" s="11" t="s">
        <v>24</v>
      </c>
      <c r="AC4" s="5"/>
      <c r="AD4" s="5"/>
    </row>
    <row r="5" spans="1:30" s="22" customFormat="1" ht="12" x14ac:dyDescent="0.25">
      <c r="A5" s="49"/>
      <c r="B5" s="11" t="s">
        <v>8</v>
      </c>
      <c r="C5" s="11" t="s">
        <v>21</v>
      </c>
      <c r="D5" s="11" t="s">
        <v>22</v>
      </c>
      <c r="E5" s="11" t="s">
        <v>23</v>
      </c>
      <c r="F5" s="11" t="s">
        <v>30</v>
      </c>
      <c r="G5" s="20" t="s">
        <v>31</v>
      </c>
      <c r="H5" s="56"/>
      <c r="I5" s="21"/>
      <c r="J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7">
        <f>C6/$B$6*100</f>
        <v>90.358129369706106</v>
      </c>
      <c r="AA5" s="27">
        <f>E6/$B$6*100</f>
        <v>9.1030938515322575</v>
      </c>
      <c r="AB5" s="27">
        <f>AC5/$B$6*100</f>
        <v>0.53877677876164876</v>
      </c>
      <c r="AC5" s="5">
        <f>D6+F6+G6</f>
        <v>808.87919465115999</v>
      </c>
    </row>
    <row r="6" spans="1:30" s="8" customFormat="1" ht="15.75" x14ac:dyDescent="0.4">
      <c r="A6" s="23" t="s">
        <v>8</v>
      </c>
      <c r="B6" s="24">
        <f>SUM(B7:B15)</f>
        <v>150132.52733540745</v>
      </c>
      <c r="C6" s="24">
        <f>SUM(C7:C14)</f>
        <v>135656.94327573685</v>
      </c>
      <c r="D6" s="24">
        <f>SUM(D7:D14)</f>
        <v>0</v>
      </c>
      <c r="E6" s="24">
        <f>SUM(E7:E14)</f>
        <v>13666.704865019461</v>
      </c>
      <c r="F6" s="24">
        <f>SUM(F7:F14)</f>
        <v>754.55938884152704</v>
      </c>
      <c r="G6" s="24">
        <f>SUM(G7:G14)</f>
        <v>54.319805809632939</v>
      </c>
      <c r="H6" s="38" t="s">
        <v>14</v>
      </c>
      <c r="I6" s="5"/>
      <c r="J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27"/>
      <c r="AA6" s="27"/>
      <c r="AB6" s="27"/>
      <c r="AC6" s="5"/>
    </row>
    <row r="7" spans="1:30" s="8" customFormat="1" ht="15.75" x14ac:dyDescent="0.25">
      <c r="A7" s="25" t="s">
        <v>17</v>
      </c>
      <c r="B7" s="24">
        <f t="shared" ref="B7:B9" si="0">SUM(C7:G7)</f>
        <v>117233.1219478375</v>
      </c>
      <c r="C7" s="15">
        <v>117218.308545251</v>
      </c>
      <c r="D7" s="15">
        <v>0</v>
      </c>
      <c r="E7" s="15">
        <v>14.8134025864997</v>
      </c>
      <c r="F7" s="15">
        <v>0</v>
      </c>
      <c r="G7" s="15">
        <v>0</v>
      </c>
      <c r="H7" s="40" t="s">
        <v>15</v>
      </c>
      <c r="I7" s="5"/>
      <c r="J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0" s="8" customFormat="1" ht="15.75" x14ac:dyDescent="0.25">
      <c r="A8" s="13" t="s">
        <v>9</v>
      </c>
      <c r="B8" s="24">
        <f t="shared" si="0"/>
        <v>31777.629666818102</v>
      </c>
      <c r="C8" s="15">
        <v>18138.516750742601</v>
      </c>
      <c r="D8" s="15">
        <v>0</v>
      </c>
      <c r="E8" s="15">
        <v>13639.112916075501</v>
      </c>
      <c r="F8" s="15">
        <v>0</v>
      </c>
      <c r="G8" s="15">
        <v>0</v>
      </c>
      <c r="H8" s="40" t="s">
        <v>3</v>
      </c>
      <c r="I8" s="5"/>
      <c r="J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30" s="8" customFormat="1" ht="15.75" x14ac:dyDescent="0.25">
      <c r="A9" s="13" t="s">
        <v>0</v>
      </c>
      <c r="B9" s="24">
        <f t="shared" si="0"/>
        <v>195.92917379476089</v>
      </c>
      <c r="C9" s="15">
        <v>195.901733374538</v>
      </c>
      <c r="D9" s="15">
        <v>0</v>
      </c>
      <c r="E9" s="15">
        <v>2.7440420222883899E-2</v>
      </c>
      <c r="F9" s="15">
        <v>0</v>
      </c>
      <c r="G9" s="15">
        <v>0</v>
      </c>
      <c r="H9" s="40" t="s">
        <v>1</v>
      </c>
      <c r="I9" s="5"/>
      <c r="J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0" s="8" customFormat="1" ht="15.75" hidden="1" x14ac:dyDescent="0.2">
      <c r="A10" s="14" t="s">
        <v>19</v>
      </c>
      <c r="B10" s="24">
        <f>SUM(C10:G10)</f>
        <v>0</v>
      </c>
      <c r="C10" s="15"/>
      <c r="D10" s="15"/>
      <c r="E10" s="15"/>
      <c r="F10" s="15"/>
      <c r="G10" s="15"/>
      <c r="H10" s="40" t="s">
        <v>16</v>
      </c>
      <c r="I10" s="5"/>
      <c r="J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30" s="8" customFormat="1" ht="15.75" x14ac:dyDescent="0.25">
      <c r="A11" s="25" t="s">
        <v>10</v>
      </c>
      <c r="B11" s="24">
        <f>SUM(C11:G11)</f>
        <v>0.57319988910024</v>
      </c>
      <c r="C11" s="15">
        <v>0</v>
      </c>
      <c r="D11" s="15">
        <v>0</v>
      </c>
      <c r="E11" s="15">
        <v>0</v>
      </c>
      <c r="F11" s="15">
        <v>0</v>
      </c>
      <c r="G11" s="15">
        <v>0.57319988910024</v>
      </c>
      <c r="H11" s="40" t="s">
        <v>4</v>
      </c>
      <c r="I11" s="5"/>
      <c r="J11" s="2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0" s="8" customFormat="1" ht="15.75" x14ac:dyDescent="0.25">
      <c r="A12" s="25" t="s">
        <v>18</v>
      </c>
      <c r="B12" s="24">
        <f>SUM(C12:G12)</f>
        <v>10.704812822505</v>
      </c>
      <c r="C12" s="15">
        <v>10.704812822505</v>
      </c>
      <c r="D12" s="15">
        <v>0</v>
      </c>
      <c r="E12" s="15">
        <v>0</v>
      </c>
      <c r="F12" s="15">
        <v>0</v>
      </c>
      <c r="G12" s="15">
        <v>0</v>
      </c>
      <c r="H12" s="40" t="s">
        <v>5</v>
      </c>
      <c r="I12" s="5"/>
      <c r="J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0" s="8" customFormat="1" ht="15.75" x14ac:dyDescent="0.25">
      <c r="A13" s="25" t="s">
        <v>11</v>
      </c>
      <c r="B13" s="24">
        <f>SUM(C13:G13)</f>
        <v>81.739493270570605</v>
      </c>
      <c r="C13" s="15">
        <v>81.739493270570605</v>
      </c>
      <c r="D13" s="15">
        <v>0</v>
      </c>
      <c r="E13" s="15">
        <v>0</v>
      </c>
      <c r="F13" s="15">
        <v>0</v>
      </c>
      <c r="G13" s="15">
        <v>0</v>
      </c>
      <c r="H13" s="40" t="s">
        <v>6</v>
      </c>
      <c r="I13" s="5"/>
      <c r="J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0" s="8" customFormat="1" ht="15.75" x14ac:dyDescent="0.25">
      <c r="A14" s="28" t="s">
        <v>12</v>
      </c>
      <c r="B14" s="29">
        <f>SUM(C14:G14)</f>
        <v>832.82904097491405</v>
      </c>
      <c r="C14" s="47">
        <v>11.771940275617199</v>
      </c>
      <c r="D14" s="47">
        <v>0</v>
      </c>
      <c r="E14" s="47">
        <v>12.751105937237099</v>
      </c>
      <c r="F14" s="47">
        <v>754.55938884152704</v>
      </c>
      <c r="G14" s="47">
        <v>53.746605920532701</v>
      </c>
      <c r="H14" s="41" t="s">
        <v>7</v>
      </c>
      <c r="I14" s="5"/>
      <c r="J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0" s="8" customFormat="1" ht="15.75" hidden="1" x14ac:dyDescent="0.25">
      <c r="A15" s="31" t="s">
        <v>25</v>
      </c>
      <c r="B15" s="32"/>
      <c r="C15" s="30"/>
      <c r="D15" s="30">
        <v>5.6853162745329975</v>
      </c>
      <c r="E15" s="30"/>
      <c r="F15" s="30"/>
      <c r="G15" s="30"/>
      <c r="H15" s="41" t="s">
        <v>26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0" s="2" customFormat="1" ht="14.25" x14ac:dyDescent="0.25">
      <c r="A16" s="10" t="s">
        <v>27</v>
      </c>
      <c r="B16" s="24">
        <f t="shared" ref="B16:F16" si="1">B6/B6*100</f>
        <v>100</v>
      </c>
      <c r="C16" s="24">
        <f>C6/C6*100</f>
        <v>100</v>
      </c>
      <c r="D16" s="24">
        <v>0</v>
      </c>
      <c r="E16" s="24">
        <f t="shared" si="1"/>
        <v>100</v>
      </c>
      <c r="F16" s="24">
        <f t="shared" si="1"/>
        <v>100</v>
      </c>
      <c r="G16" s="24">
        <f>G6/G6*100</f>
        <v>100</v>
      </c>
      <c r="H16" s="39" t="s">
        <v>28</v>
      </c>
    </row>
    <row r="17" spans="1:30" s="2" customFormat="1" ht="15.75" x14ac:dyDescent="0.25">
      <c r="A17" s="25" t="s">
        <v>17</v>
      </c>
      <c r="B17" s="24">
        <f>B7/B6*100</f>
        <v>78.086424060476787</v>
      </c>
      <c r="C17" s="26">
        <f>C7/C6*100</f>
        <v>86.407894586709503</v>
      </c>
      <c r="D17" s="26">
        <v>0</v>
      </c>
      <c r="E17" s="26">
        <f t="shared" ref="E17:G17" si="2">E7/E6*100</f>
        <v>0.10839044768146902</v>
      </c>
      <c r="F17" s="26">
        <f t="shared" si="2"/>
        <v>0</v>
      </c>
      <c r="G17" s="26">
        <f>G7/G6*100</f>
        <v>0</v>
      </c>
      <c r="H17" s="40" t="s">
        <v>15</v>
      </c>
    </row>
    <row r="18" spans="1:30" s="8" customFormat="1" ht="15.75" x14ac:dyDescent="0.25">
      <c r="A18" s="13" t="s">
        <v>9</v>
      </c>
      <c r="B18" s="24">
        <f>B8/B6*100</f>
        <v>21.166385613308481</v>
      </c>
      <c r="C18" s="26">
        <f>C8/C6*100</f>
        <v>13.370872373170151</v>
      </c>
      <c r="D18" s="26">
        <v>0</v>
      </c>
      <c r="E18" s="26">
        <f t="shared" ref="E18:G18" si="3">E8/E6*100</f>
        <v>99.798108254941667</v>
      </c>
      <c r="F18" s="26">
        <f t="shared" si="3"/>
        <v>0</v>
      </c>
      <c r="G18" s="26">
        <f t="shared" si="3"/>
        <v>0</v>
      </c>
      <c r="H18" s="40" t="s">
        <v>3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s="8" customFormat="1" ht="15.75" x14ac:dyDescent="0.25">
      <c r="A19" s="13" t="s">
        <v>0</v>
      </c>
      <c r="B19" s="24">
        <f>B9/B6*100</f>
        <v>0.13050414675098373</v>
      </c>
      <c r="C19" s="26">
        <f>C9/C6*100</f>
        <v>0.1444096620814663</v>
      </c>
      <c r="D19" s="26">
        <v>0</v>
      </c>
      <c r="E19" s="26">
        <f t="shared" ref="E19:G19" si="4">E9/E6*100</f>
        <v>2.0078300141769268E-4</v>
      </c>
      <c r="F19" s="26">
        <f t="shared" si="4"/>
        <v>0</v>
      </c>
      <c r="G19" s="26">
        <f t="shared" si="4"/>
        <v>0</v>
      </c>
      <c r="H19" s="40" t="s">
        <v>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s="8" customFormat="1" ht="15.75" hidden="1" x14ac:dyDescent="0.2">
      <c r="A20" s="14" t="s">
        <v>19</v>
      </c>
      <c r="B20" s="24">
        <f t="shared" ref="B20" si="5">B10/B6*100</f>
        <v>0</v>
      </c>
      <c r="C20" s="26">
        <f>C10/C6*100</f>
        <v>0</v>
      </c>
      <c r="D20" s="26" t="e">
        <f>D10/D6*100</f>
        <v>#DIV/0!</v>
      </c>
      <c r="E20" s="26">
        <f>E10/E6*100</f>
        <v>0</v>
      </c>
      <c r="F20" s="26">
        <f>F10/F6*100</f>
        <v>0</v>
      </c>
      <c r="G20" s="26">
        <f>G10/G6*100</f>
        <v>0</v>
      </c>
      <c r="H20" s="40" t="s">
        <v>16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s="8" customFormat="1" ht="15.75" x14ac:dyDescent="0.25">
      <c r="A21" s="25" t="s">
        <v>10</v>
      </c>
      <c r="B21" s="24">
        <f t="shared" ref="B21" si="6">B11/B6*100</f>
        <v>3.8179593674571804E-4</v>
      </c>
      <c r="C21" s="26">
        <f>C11/C6*100</f>
        <v>0</v>
      </c>
      <c r="D21" s="26">
        <v>0</v>
      </c>
      <c r="E21" s="26">
        <f>E11/E6*100</f>
        <v>0</v>
      </c>
      <c r="F21" s="26">
        <f>F11/F6*100</f>
        <v>0</v>
      </c>
      <c r="G21" s="26">
        <f>G11/G6*100</f>
        <v>1.055231845100945</v>
      </c>
      <c r="H21" s="40" t="s">
        <v>4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8" customFormat="1" ht="15.75" x14ac:dyDescent="0.25">
      <c r="A22" s="25" t="s">
        <v>18</v>
      </c>
      <c r="B22" s="24">
        <f>B12/B6*100</f>
        <v>7.1302422016713517E-3</v>
      </c>
      <c r="C22" s="26">
        <f>C12/C6*100</f>
        <v>7.8910909858453428E-3</v>
      </c>
      <c r="D22" s="26">
        <v>0</v>
      </c>
      <c r="E22" s="26">
        <f>E12/E6*100</f>
        <v>0</v>
      </c>
      <c r="F22" s="26">
        <f>F12/F6*100</f>
        <v>0</v>
      </c>
      <c r="G22" s="26">
        <f>G12/G6*100</f>
        <v>0</v>
      </c>
      <c r="H22" s="40" t="s">
        <v>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s="8" customFormat="1" ht="15.75" x14ac:dyDescent="0.25">
      <c r="A23" s="25" t="s">
        <v>11</v>
      </c>
      <c r="B23" s="24">
        <f t="shared" ref="B23" si="7">B13/B6*100</f>
        <v>5.4444892603425235E-2</v>
      </c>
      <c r="C23" s="26">
        <f>C13/C6*100</f>
        <v>6.0254559255715053E-2</v>
      </c>
      <c r="D23" s="26">
        <v>0</v>
      </c>
      <c r="E23" s="26">
        <f>E13/E6*100</f>
        <v>0</v>
      </c>
      <c r="F23" s="26">
        <f>F13/F6*100</f>
        <v>0</v>
      </c>
      <c r="G23" s="26">
        <f>G13/G6*100</f>
        <v>0</v>
      </c>
      <c r="H23" s="40" t="s">
        <v>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8" customFormat="1" ht="15.75" x14ac:dyDescent="0.25">
      <c r="A24" s="28" t="s">
        <v>12</v>
      </c>
      <c r="B24" s="29">
        <f>B14/B6*100</f>
        <v>0.55472924872190477</v>
      </c>
      <c r="C24" s="30">
        <f>C14/C6*100</f>
        <v>8.677727797308174E-3</v>
      </c>
      <c r="D24" s="30">
        <v>0</v>
      </c>
      <c r="E24" s="30">
        <f>E14/E6*100</f>
        <v>9.3300514375444815E-2</v>
      </c>
      <c r="F24" s="30">
        <f>F14/F6*100</f>
        <v>100</v>
      </c>
      <c r="G24" s="30">
        <f>G14/G6*100</f>
        <v>98.944768154899052</v>
      </c>
      <c r="H24" s="41" t="s">
        <v>7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s="8" customFormat="1" ht="15.75" hidden="1" x14ac:dyDescent="0.25">
      <c r="A25" s="31" t="s">
        <v>25</v>
      </c>
      <c r="B25" s="32">
        <f t="shared" ref="B25:G25" si="8">B15/B6*100</f>
        <v>0</v>
      </c>
      <c r="C25" s="33">
        <f t="shared" si="8"/>
        <v>0</v>
      </c>
      <c r="D25" s="33" t="e">
        <f t="shared" si="8"/>
        <v>#DIV/0!</v>
      </c>
      <c r="E25" s="33">
        <f t="shared" si="8"/>
        <v>0</v>
      </c>
      <c r="F25" s="33">
        <f t="shared" si="8"/>
        <v>0</v>
      </c>
      <c r="G25" s="33">
        <f t="shared" si="8"/>
        <v>0</v>
      </c>
      <c r="H25" s="42" t="s">
        <v>26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4.25" x14ac:dyDescent="0.25">
      <c r="A26" s="10" t="s">
        <v>27</v>
      </c>
      <c r="B26" s="34">
        <f>SUM(C26:G26)</f>
        <v>100</v>
      </c>
      <c r="C26" s="24">
        <f>(C6/$B$6)*100</f>
        <v>90.358129369706106</v>
      </c>
      <c r="D26" s="24">
        <f t="shared" ref="D26:F26" si="9">(D6/$B$6)*100</f>
        <v>0</v>
      </c>
      <c r="E26" s="24">
        <f t="shared" si="9"/>
        <v>9.1030938515322575</v>
      </c>
      <c r="F26" s="24">
        <f t="shared" si="9"/>
        <v>0.50259554157493402</v>
      </c>
      <c r="G26" s="24">
        <f>(G6/$B$6)*100</f>
        <v>3.6181237186714628E-2</v>
      </c>
      <c r="H26" s="39" t="s">
        <v>28</v>
      </c>
    </row>
    <row r="27" spans="1:30" ht="15.75" x14ac:dyDescent="0.25">
      <c r="A27" s="25" t="s">
        <v>17</v>
      </c>
      <c r="B27" s="34">
        <f>SUM(C27:G27)</f>
        <v>100</v>
      </c>
      <c r="C27" s="26">
        <f>(C7/$B$7)*100</f>
        <v>99.98736414902173</v>
      </c>
      <c r="D27" s="26">
        <f t="shared" ref="D27:G27" si="10">(D7/$B$7)*100</f>
        <v>0</v>
      </c>
      <c r="E27" s="26">
        <f t="shared" si="10"/>
        <v>1.2635850978267794E-2</v>
      </c>
      <c r="F27" s="26">
        <f t="shared" si="10"/>
        <v>0</v>
      </c>
      <c r="G27" s="26">
        <f t="shared" si="10"/>
        <v>0</v>
      </c>
      <c r="H27" s="40" t="s">
        <v>15</v>
      </c>
    </row>
    <row r="28" spans="1:30" ht="15.75" x14ac:dyDescent="0.25">
      <c r="A28" s="13" t="s">
        <v>9</v>
      </c>
      <c r="B28" s="34">
        <f>SUM(C28:G28)</f>
        <v>100</v>
      </c>
      <c r="C28" s="26">
        <f>(C8/$B$8)*100</f>
        <v>57.079514554487574</v>
      </c>
      <c r="D28" s="26">
        <f t="shared" ref="D28:G28" si="11">(D8/$B$8)*100</f>
        <v>0</v>
      </c>
      <c r="E28" s="26">
        <f>(E8/$B$8)*100</f>
        <v>42.920485445512419</v>
      </c>
      <c r="F28" s="26">
        <f t="shared" si="11"/>
        <v>0</v>
      </c>
      <c r="G28" s="26">
        <f t="shared" si="11"/>
        <v>0</v>
      </c>
      <c r="H28" s="40" t="s">
        <v>3</v>
      </c>
    </row>
    <row r="29" spans="1:30" ht="15.75" x14ac:dyDescent="0.25">
      <c r="A29" s="13" t="s">
        <v>0</v>
      </c>
      <c r="B29" s="34">
        <f>SUM(C29:G29)</f>
        <v>100</v>
      </c>
      <c r="C29" s="26">
        <f>(C9/$B$9)*100</f>
        <v>99.985994724679628</v>
      </c>
      <c r="D29" s="26">
        <f t="shared" ref="D29:G29" si="12">(D9/$B$9)*100</f>
        <v>0</v>
      </c>
      <c r="E29" s="26">
        <f t="shared" si="12"/>
        <v>1.4005275320370719E-2</v>
      </c>
      <c r="F29" s="26">
        <f t="shared" si="12"/>
        <v>0</v>
      </c>
      <c r="G29" s="26">
        <f t="shared" si="12"/>
        <v>0</v>
      </c>
      <c r="H29" s="40" t="s">
        <v>1</v>
      </c>
    </row>
    <row r="30" spans="1:30" ht="15.75" hidden="1" x14ac:dyDescent="0.2">
      <c r="A30" s="14" t="s">
        <v>19</v>
      </c>
      <c r="B30" s="34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40" t="s">
        <v>16</v>
      </c>
    </row>
    <row r="31" spans="1:30" ht="15.75" x14ac:dyDescent="0.25">
      <c r="A31" s="25" t="s">
        <v>10</v>
      </c>
      <c r="B31" s="34">
        <f>SUM(C31:G31)</f>
        <v>100</v>
      </c>
      <c r="C31" s="26">
        <f>(C11/$B$11)*100</f>
        <v>0</v>
      </c>
      <c r="D31" s="26">
        <f>(D11/$B$11)*100</f>
        <v>0</v>
      </c>
      <c r="E31" s="26">
        <f>(E11/$B$11)*100</f>
        <v>0</v>
      </c>
      <c r="F31" s="26">
        <f>(F11/$B$11)*100</f>
        <v>0</v>
      </c>
      <c r="G31" s="26">
        <f>(G11/$B$11)*100</f>
        <v>100</v>
      </c>
      <c r="H31" s="40" t="s">
        <v>4</v>
      </c>
    </row>
    <row r="32" spans="1:30" ht="15.75" x14ac:dyDescent="0.25">
      <c r="A32" s="25" t="s">
        <v>18</v>
      </c>
      <c r="B32" s="34">
        <f>SUM(C32:G32)</f>
        <v>100</v>
      </c>
      <c r="C32" s="26">
        <f>(C12/$B$12)*100</f>
        <v>100</v>
      </c>
      <c r="D32" s="26">
        <f>(D12/$B$12)*100</f>
        <v>0</v>
      </c>
      <c r="E32" s="26">
        <f>(E12/$B$12)*100</f>
        <v>0</v>
      </c>
      <c r="F32" s="26">
        <f>(F12/$B$12)*100</f>
        <v>0</v>
      </c>
      <c r="G32" s="26">
        <f>(G12/$B$12)*100</f>
        <v>0</v>
      </c>
      <c r="H32" s="40" t="s">
        <v>5</v>
      </c>
    </row>
    <row r="33" spans="1:8" ht="15.75" x14ac:dyDescent="0.25">
      <c r="A33" s="25" t="s">
        <v>11</v>
      </c>
      <c r="B33" s="34">
        <f>SUM(C33:G33)</f>
        <v>100</v>
      </c>
      <c r="C33" s="26">
        <f>(C13/$B$13)*100</f>
        <v>100</v>
      </c>
      <c r="D33" s="26">
        <f>(D13/$B$13)*100</f>
        <v>0</v>
      </c>
      <c r="E33" s="26">
        <f>(E13/$B$13)*100</f>
        <v>0</v>
      </c>
      <c r="F33" s="26">
        <f>(F13/$B$13)*100</f>
        <v>0</v>
      </c>
      <c r="G33" s="26">
        <f>(G13/$B$13)*100</f>
        <v>0</v>
      </c>
      <c r="H33" s="40" t="s">
        <v>6</v>
      </c>
    </row>
    <row r="34" spans="1:8" ht="15.75" x14ac:dyDescent="0.25">
      <c r="A34" s="43" t="s">
        <v>12</v>
      </c>
      <c r="B34" s="44">
        <f>SUM(C34:G34)</f>
        <v>100</v>
      </c>
      <c r="C34" s="45">
        <f>(C14/$B$14)*100</f>
        <v>1.4134882066356504</v>
      </c>
      <c r="D34" s="45">
        <f>(D14/$B$14)*100</f>
        <v>0</v>
      </c>
      <c r="E34" s="45">
        <f>(E14/$B$14)*100</f>
        <v>1.5310592342349862</v>
      </c>
      <c r="F34" s="45">
        <f>(F14/$B$14)*100</f>
        <v>90.601954508963317</v>
      </c>
      <c r="G34" s="45">
        <f>(G14/$B$14)*100</f>
        <v>6.4534980501660506</v>
      </c>
      <c r="H34" s="46" t="s">
        <v>7</v>
      </c>
    </row>
    <row r="35" spans="1:8" ht="15" hidden="1" x14ac:dyDescent="0.25">
      <c r="A35" s="35" t="s">
        <v>25</v>
      </c>
      <c r="B35" s="36">
        <f>SUM(C35:G35)</f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16" t="s">
        <v>26</v>
      </c>
    </row>
    <row r="36" spans="1:8" s="9" customFormat="1" ht="17.25" x14ac:dyDescent="0.25">
      <c r="A36" s="6" t="s">
        <v>34</v>
      </c>
      <c r="B36" s="23"/>
      <c r="C36" s="13"/>
      <c r="D36" s="13"/>
      <c r="E36" s="13"/>
      <c r="F36" s="13"/>
      <c r="G36" s="13"/>
      <c r="H36" s="4" t="s">
        <v>29</v>
      </c>
    </row>
    <row r="47" spans="1:8" x14ac:dyDescent="0.25">
      <c r="B47" s="3"/>
    </row>
  </sheetData>
  <mergeCells count="6">
    <mergeCell ref="A1:H1"/>
    <mergeCell ref="A2:H2"/>
    <mergeCell ref="A3:F3"/>
    <mergeCell ref="A4:A5"/>
    <mergeCell ref="B4:G4"/>
    <mergeCell ref="H4:H5"/>
  </mergeCells>
  <pageMargins left="0.7" right="0.7" top="0.75" bottom="0.75" header="0.3" footer="0.3"/>
  <pageSetup scale="72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9.9</vt:lpstr>
      <vt:lpstr>'9.9'!Print_Area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2026-07-07T03:31:53Z</cp:lastPrinted>
  <dcterms:created xsi:type="dcterms:W3CDTF">2019-09-09T05:11:24Z</dcterms:created>
  <dcterms:modified xsi:type="dcterms:W3CDTF">2026-07-07T03:35:17Z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