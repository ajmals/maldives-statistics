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9. Fisheries &amp; Agriculture\"/>
    </mc:Choice>
  </mc:AlternateContent>
  <xr:revisionPtr revIDLastSave="0" documentId="13_ncr:1_{A9945304-D6C7-499C-9D6A-976A9D62F69C}" xr6:coauthVersionLast="47" xr6:coauthVersionMax="47" xr10:uidLastSave="{00000000-0000-0000-0000-000000000000}"/>
  <bookViews>
    <workbookView xWindow="-120" yWindow="-120" windowWidth="29040" windowHeight="15720" tabRatio="818" xr2:uid="{00000000-000D-0000-FFFF-FFFF00000000}"/>
  </bookViews>
  <sheets>
    <sheet name="9.14" sheetId="14" r:id="rId1"/>
  </sheets>
  <definedNames>
    <definedName name="_xlnm.Print_Area" localSheetId="0">'9.14'!$A$1:$J$29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4" l="1"/>
  <c r="D7" i="14"/>
  <c r="E7" i="14"/>
  <c r="F7" i="14"/>
  <c r="G7" i="14"/>
  <c r="H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7" i="14" l="1"/>
</calcChain>
</file>

<file path=xl/sharedStrings.xml><?xml version="1.0" encoding="utf-8"?>
<sst xmlns="http://schemas.openxmlformats.org/spreadsheetml/2006/main" count="62" uniqueCount="61">
  <si>
    <t>Total</t>
  </si>
  <si>
    <t>ޖުމްލަ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</si>
  <si>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</si>
  <si>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</si>
  <si>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</si>
  <si>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</si>
  <si>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</si>
  <si>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</si>
  <si>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</si>
  <si>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</si>
  <si>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</si>
  <si>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</si>
  <si>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</si>
  <si>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</si>
  <si>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</si>
  <si>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</si>
  <si>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</si>
  <si>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</si>
  <si>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</si>
  <si>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</si>
  <si>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ބަނބުކެޔޮ</t>
  </si>
  <si>
    <t>ބޮނޑިކޮޕީ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</si>
  <si>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</si>
  <si>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</si>
  <si>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</si>
  <si>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</si>
  <si>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</si>
  <si>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</si>
  <si>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</si>
  <si>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</si>
  <si>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</si>
  <si>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</si>
  <si>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</si>
  <si>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</si>
  <si>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</si>
  <si>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</si>
  <si>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ފެޝަންފްރުޓް</t>
  </si>
  <si>
    <t>Pumpkin (Fresh Or Chilled)</t>
  </si>
  <si>
    <t>ބަރަބޯ</t>
  </si>
  <si>
    <t>Sapodilla (Fresh)</t>
  </si>
  <si>
    <t>ސަބްދެލި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</si>
  <si>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</si>
  <si>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</si>
  <si>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</si>
  <si>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</si>
  <si>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</si>
  <si>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(cniaOlik )</t>
  </si>
  <si>
    <t>(In kgs)</t>
  </si>
  <si>
    <t>Agricultural Crops</t>
  </si>
  <si>
    <t>Bread Fruit ( Fresh Or Chilled)</t>
  </si>
  <si>
    <t>Cabbage ( Fresh Or Chilled )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</si>
  <si>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</si>
  <si>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</si>
  <si>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</si>
  <si>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</si>
  <si>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</si>
  <si>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</si>
  <si>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Passion Fruit ( Fresh Or Dried )</t>
  </si>
  <si>
    <t>Sweet Potato ( Fresh , Chilled Or Frozen )</t>
  </si>
  <si>
    <t>Table 9.14: IMPORTS OF FRESH AGRICULTURAL CROPS MAINLY PRODUCED IN MALDIVES, 2025</t>
  </si>
  <si>
    <t>2025 ,cawtctwvWb egumwkirevuDnwd Wdcawh cSokumcaWa iawgEjcaWr cniaeret egukwtctwvWb unuveruk cTrOpcmia cSwaejcaWr  : 9.14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</si>
</sst>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* #,##0_);_(* \(#,##0\);_(* &quot;-&quot;??_);_(@_)"/>
    <numFmt numFmtId="166" formatCode="[$-409]mmmm\ d\,\ yyyy;@"/>
  </numFmts>
  <fonts count="20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i/>
      <sz val="9"/>
      <name val="Arial"/>
      <family val="2"/>
    </font>
    <font>
      <sz val="10"/>
      <name val="MS Sans Serif"/>
      <family val="2"/>
    </font>
    <font>
      <sz val="9"/>
      <name val="A_Randhoo"/>
    </font>
    <font>
      <b/>
      <sz val="11"/>
      <name val="A_Faseyha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Faruma"/>
    </font>
    <font>
      <sz val="10"/>
      <name val="Courier"/>
      <charset val="134"/>
    </font>
    <font>
      <b/>
      <sz val="12"/>
      <color indexed="8"/>
      <name val="Calibri"/>
      <family val="2"/>
    </font>
    <font>
      <b/>
      <sz val="9"/>
      <color indexed="8"/>
      <name val="Calibri"/>
      <family val="2"/>
    </font>
    <font>
      <b/>
      <sz val="10"/>
      <color indexed="8"/>
      <name val="Faruma"/>
    </font>
    <font>
      <sz val="11"/>
      <color indexed="8"/>
      <name val="Faruma"/>
    </font>
    <font>
      <sz val="9"/>
      <color indexed="8"/>
      <name val="Calibri"/>
      <family val="2"/>
    </font>
    <font>
      <b/>
      <sz val="10"/>
      <color indexed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40" fontId="7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0" fontId="3" fillId="0" borderId="0"/>
  </cellStyleXfs>
  <cellXfs count="30">
    <xf numFmtId="0" fontId="0" fillId="0" borderId="0" xfId="0"/>
    <xf numFmtId="0" fontId="12" fillId="2" borderId="2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38" fontId="4" fillId="2" borderId="1" xfId="0" applyNumberFormat="1" applyFont="1" applyFill="1" applyBorder="1"/>
    <xf numFmtId="165" fontId="2" fillId="2" borderId="1" xfId="0" applyNumberFormat="1" applyFont="1" applyFill="1" applyBorder="1" applyAlignment="1">
      <alignment horizontal="right"/>
    </xf>
    <xf numFmtId="0" fontId="9" fillId="2" borderId="0" xfId="0" applyFont="1" applyFill="1" applyBorder="1" applyAlignment="1">
      <alignment horizontal="center" vertical="center"/>
    </xf>
    <xf numFmtId="164" fontId="11" fillId="2" borderId="0" xfId="0" applyNumberFormat="1" applyFont="1" applyFill="1" applyBorder="1"/>
    <xf numFmtId="0" fontId="14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left" vertical="center"/>
    </xf>
    <xf numFmtId="38" fontId="10" fillId="2" borderId="0" xfId="0" applyNumberFormat="1" applyFont="1" applyFill="1" applyBorder="1" applyAlignment="1">
      <alignment horizontal="right" vertical="center"/>
    </xf>
    <xf numFmtId="165" fontId="10" fillId="2" borderId="0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left" indent="1"/>
    </xf>
    <xf numFmtId="38" fontId="4" fillId="2" borderId="0" xfId="0" applyNumberFormat="1" applyFont="1" applyFill="1" applyBorder="1"/>
    <xf numFmtId="165" fontId="2" fillId="2" borderId="0" xfId="0" applyNumberFormat="1" applyFont="1" applyFill="1" applyBorder="1" applyAlignment="1">
      <alignment horizontal="right"/>
    </xf>
    <xf numFmtId="0" fontId="17" fillId="2" borderId="0" xfId="0" applyFont="1" applyFill="1" applyBorder="1" applyAlignment="1">
      <alignment horizontal="right" vertical="center" indent="1"/>
    </xf>
    <xf numFmtId="0" fontId="18" fillId="2" borderId="0" xfId="0" applyFont="1" applyFill="1" applyBorder="1" applyAlignment="1">
      <alignment horizontal="left" vertical="center" indent="1"/>
    </xf>
    <xf numFmtId="164" fontId="5" fillId="2" borderId="0" xfId="0" applyNumberFormat="1" applyFont="1" applyFill="1" applyBorder="1" applyAlignment="1">
      <alignment horizontal="left" vertical="center"/>
    </xf>
    <xf numFmtId="164" fontId="6" fillId="2" borderId="0" xfId="0" applyNumberFormat="1" applyFont="1" applyFill="1" applyBorder="1" applyAlignment="1">
      <alignment horizontal="left" vertical="center"/>
    </xf>
    <xf numFmtId="164" fontId="8" fillId="2" borderId="0" xfId="0" applyNumberFormat="1" applyFont="1" applyFill="1" applyBorder="1" applyAlignment="1">
      <alignment horizontal="left" vertical="center" indent="1"/>
    </xf>
    <xf numFmtId="164" fontId="8" fillId="2" borderId="0" xfId="0" applyNumberFormat="1" applyFont="1" applyFill="1" applyBorder="1" applyAlignment="1">
      <alignment horizontal="right" vertical="center" indent="1"/>
    </xf>
    <xf numFmtId="164" fontId="13" fillId="2" borderId="0" xfId="0" applyNumberFormat="1" applyFont="1" applyFill="1" applyBorder="1"/>
    <xf numFmtId="0" fontId="15" fillId="2" borderId="2" xfId="0" applyFont="1" applyFill="1" applyBorder="1" applyAlignment="1">
      <alignment horizontal="left" vertical="center"/>
    </xf>
    <xf numFmtId="2" fontId="16" fillId="2" borderId="2" xfId="0" applyNumberFormat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 indent="1"/>
    </xf>
    <xf numFmtId="0" fontId="17" fillId="2" borderId="1" xfId="0" applyFont="1" applyFill="1" applyBorder="1" applyAlignment="1">
      <alignment horizontal="right" vertical="center" indent="1"/>
    </xf>
  </cellXfs>
  <cellStyles count="6">
    <cellStyle name="1" xfId="5" xr:uid="{00000000-0005-0000-0000-000000000000}"/>
    <cellStyle name="Comma 2" xfId="1" xr:uid="{00000000-0005-0000-0000-000002000000}"/>
    <cellStyle name="Normal" xfId="0" builtinId="0"/>
    <cellStyle name="Normal 2_agri planning 2009 year book(final)" xfId="2" xr:uid="{00000000-0005-0000-0000-000005000000}"/>
    <cellStyle name="Normal 3_agri planning 2009 year book(final)" xfId="4" xr:uid="{00000000-0005-0000-0000-000006000000}"/>
    <cellStyle name="Normal 4_agri planning 2009 year book(final)" xfId="3" xr:uid="{00000000-0005-0000-0000-000007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3314-F919-4453-9760-600D6E3ECEE6}">
  <dimension ref="A1:T28"/>
  <sheetViews>
    <sheetView tabSelected="1" topLeftCell="B1" zoomScaleNormal="100" workbookViewId="0">
      <selection activeCell="R13" sqref="R13"/>
    </sheetView>
  </sheetViews>
  <sheetFormatPr defaultRowHeight="15"/>
  <cols>
    <col min="1" max="1" width="39.5703125" style="7" customWidth="1"/>
    <col min="2" max="8" width="17.140625" style="7" customWidth="1"/>
    <col min="9" max="9" width="26.85546875" style="7" customWidth="1"/>
    <col min="10" max="16384" width="9.140625" style="7"/>
  </cols>
  <sheetData>
    <row r="1" spans="1:9" ht="18">
      <c r="A1" s="6" t="s">
        <v>60</v>
      </c>
      <c r="B1" s="6"/>
      <c r="C1" s="6"/>
      <c r="D1" s="6"/>
      <c r="E1" s="6"/>
      <c r="F1" s="6"/>
      <c r="G1" s="6"/>
      <c r="H1" s="6"/>
      <c r="I1" s="6"/>
    </row>
    <row r="2" spans="1:9" ht="15.75">
      <c r="A2" s="8" t="s">
        <v>59</v>
      </c>
      <c r="B2" s="8"/>
      <c r="C2" s="8"/>
      <c r="D2" s="8"/>
      <c r="E2" s="8"/>
      <c r="F2" s="8"/>
      <c r="G2" s="8"/>
      <c r="H2" s="8"/>
      <c r="I2" s="8"/>
    </row>
    <row r="3" spans="1:9" ht="15.75">
      <c r="A3" s="9" t="s">
        <v>46</v>
      </c>
      <c r="B3" s="9"/>
      <c r="C3" s="9"/>
      <c r="D3" s="9"/>
      <c r="E3" s="9"/>
      <c r="F3" s="9"/>
      <c r="G3" s="9"/>
      <c r="H3" s="9"/>
      <c r="I3" s="9"/>
    </row>
    <row r="4" spans="1:9">
      <c r="A4" s="10" t="s">
        <v>47</v>
      </c>
      <c r="B4" s="10"/>
      <c r="C4" s="10"/>
      <c r="D4" s="10"/>
      <c r="E4" s="10"/>
      <c r="F4" s="10"/>
      <c r="G4" s="10"/>
      <c r="H4" s="10"/>
      <c r="I4" s="10"/>
    </row>
    <row r="5" spans="1:9" ht="18.75">
      <c r="A5" s="25" t="s">
        <v>48</v>
      </c>
      <c r="B5" s="26" t="s">
        <v>1</v>
      </c>
      <c r="C5" s="26" t="s">
        <v>2</v>
      </c>
      <c r="D5" s="26" t="s">
        <v>3</v>
      </c>
      <c r="E5" s="26" t="s">
        <v>4</v>
      </c>
      <c r="F5" s="26" t="s">
        <v>5</v>
      </c>
      <c r="G5" s="26" t="s">
        <v>6</v>
      </c>
      <c r="H5" s="26" t="s">
        <v>7</v>
      </c>
      <c r="I5" s="1" t="s">
        <v>8</v>
      </c>
    </row>
    <row r="6" spans="1:9">
      <c r="A6" s="27"/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2"/>
    </row>
    <row r="7" spans="1:9" ht="21">
      <c r="A7" s="11" t="s">
        <v>0</v>
      </c>
      <c r="B7" s="12">
        <f t="shared" ref="B7:H7" si="0">SUM(B8:B26)</f>
        <v>34089103.455650486</v>
      </c>
      <c r="C7" s="13">
        <f t="shared" si="0"/>
        <v>25568712.751000002</v>
      </c>
      <c r="D7" s="13">
        <f t="shared" si="0"/>
        <v>3514859.4372899993</v>
      </c>
      <c r="E7" s="13">
        <f t="shared" si="0"/>
        <v>2168335.7880890914</v>
      </c>
      <c r="F7" s="13">
        <f t="shared" si="0"/>
        <v>155978.60146000001</v>
      </c>
      <c r="G7" s="13">
        <f t="shared" si="0"/>
        <v>754385.41330000607</v>
      </c>
      <c r="H7" s="13">
        <f t="shared" si="0"/>
        <v>1926831.4645113861</v>
      </c>
      <c r="I7" s="14" t="s">
        <v>1</v>
      </c>
    </row>
    <row r="8" spans="1:9" ht="21">
      <c r="A8" s="15" t="s">
        <v>16</v>
      </c>
      <c r="B8" s="16">
        <f t="shared" ref="B8:B26" si="1">SUM(C8:H8)</f>
        <v>5165184.60888742</v>
      </c>
      <c r="C8" s="17">
        <v>4438432.6399999997</v>
      </c>
      <c r="D8" s="17">
        <v>588300.91999999899</v>
      </c>
      <c r="E8" s="17">
        <v>109338.77</v>
      </c>
      <c r="F8" s="17">
        <v>46.68</v>
      </c>
      <c r="G8" s="17">
        <v>6602.04</v>
      </c>
      <c r="H8" s="17">
        <v>22463.558887422001</v>
      </c>
      <c r="I8" s="18" t="s">
        <v>17</v>
      </c>
    </row>
    <row r="9" spans="1:9" ht="21">
      <c r="A9" s="19" t="s">
        <v>18</v>
      </c>
      <c r="B9" s="16">
        <f t="shared" si="1"/>
        <v>1158136.9342878868</v>
      </c>
      <c r="C9" s="17">
        <v>409080.15</v>
      </c>
      <c r="D9" s="17">
        <v>96611.860999999903</v>
      </c>
      <c r="E9" s="17">
        <v>586210.38195454702</v>
      </c>
      <c r="F9" s="17">
        <v>10523.7</v>
      </c>
      <c r="G9" s="17">
        <v>11871.25</v>
      </c>
      <c r="H9" s="17">
        <v>43839.591333340002</v>
      </c>
      <c r="I9" s="18" t="s">
        <v>19</v>
      </c>
    </row>
    <row r="10" spans="1:9" ht="21">
      <c r="A10" s="19" t="s">
        <v>49</v>
      </c>
      <c r="B10" s="16">
        <f t="shared" si="1"/>
        <v>37162.674999999996</v>
      </c>
      <c r="C10" s="17">
        <v>710.67499999999995</v>
      </c>
      <c r="D10" s="17">
        <v>35439.1</v>
      </c>
      <c r="E10" s="17">
        <v>639.70000000000005</v>
      </c>
      <c r="F10" s="17">
        <v>0</v>
      </c>
      <c r="G10" s="17">
        <v>18</v>
      </c>
      <c r="H10" s="17">
        <v>355.2</v>
      </c>
      <c r="I10" s="18" t="s">
        <v>20</v>
      </c>
    </row>
    <row r="11" spans="1:9" ht="21">
      <c r="A11" s="19" t="s">
        <v>50</v>
      </c>
      <c r="B11" s="16">
        <f t="shared" si="1"/>
        <v>4725408.8539000005</v>
      </c>
      <c r="C11" s="17">
        <v>4284649.3</v>
      </c>
      <c r="D11" s="17">
        <v>105730.08</v>
      </c>
      <c r="E11" s="17">
        <v>124460.26089999999</v>
      </c>
      <c r="F11" s="17">
        <v>6100.24</v>
      </c>
      <c r="G11" s="17">
        <v>4775.87</v>
      </c>
      <c r="H11" s="17">
        <v>199693.103</v>
      </c>
      <c r="I11" s="18" t="s">
        <v>21</v>
      </c>
    </row>
    <row r="12" spans="1:9" ht="21">
      <c r="A12" s="19" t="s">
        <v>22</v>
      </c>
      <c r="B12" s="16">
        <f t="shared" si="1"/>
        <v>101137.20495960102</v>
      </c>
      <c r="C12" s="17">
        <v>2036.2</v>
      </c>
      <c r="D12" s="17">
        <v>20019.11</v>
      </c>
      <c r="E12" s="17">
        <v>48108.347000000002</v>
      </c>
      <c r="F12" s="17">
        <v>2588.0609599999998</v>
      </c>
      <c r="G12" s="17">
        <v>18604.376</v>
      </c>
      <c r="H12" s="17">
        <v>9781.110999601</v>
      </c>
      <c r="I12" s="18" t="s">
        <v>23</v>
      </c>
    </row>
    <row r="13" spans="1:9" ht="21">
      <c r="A13" s="19" t="s">
        <v>51</v>
      </c>
      <c r="B13" s="16">
        <f t="shared" si="1"/>
        <v>222593.03100000002</v>
      </c>
      <c r="C13" s="17">
        <v>6922.68</v>
      </c>
      <c r="D13" s="17">
        <v>205079.01</v>
      </c>
      <c r="E13" s="17">
        <v>2435.6210000000001</v>
      </c>
      <c r="F13" s="17">
        <v>0.22</v>
      </c>
      <c r="G13" s="17">
        <v>6578.6</v>
      </c>
      <c r="H13" s="17">
        <v>1576.9</v>
      </c>
      <c r="I13" s="18" t="s">
        <v>24</v>
      </c>
    </row>
    <row r="14" spans="1:9" ht="21">
      <c r="A14" s="19" t="s">
        <v>52</v>
      </c>
      <c r="B14" s="16">
        <f t="shared" si="1"/>
        <v>652085.46013454488</v>
      </c>
      <c r="C14" s="17">
        <v>465570.47</v>
      </c>
      <c r="D14" s="17">
        <v>39572.703000000001</v>
      </c>
      <c r="E14" s="17">
        <v>34230.164234544798</v>
      </c>
      <c r="F14" s="17">
        <v>236.11500000000001</v>
      </c>
      <c r="G14" s="17">
        <v>23627.972400000101</v>
      </c>
      <c r="H14" s="17">
        <v>88848.035499999998</v>
      </c>
      <c r="I14" s="18" t="s">
        <v>25</v>
      </c>
    </row>
    <row r="15" spans="1:9" ht="21">
      <c r="A15" s="19" t="s">
        <v>53</v>
      </c>
      <c r="B15" s="16">
        <f t="shared" si="1"/>
        <v>1535498.557808344</v>
      </c>
      <c r="C15" s="17">
        <v>564254.61</v>
      </c>
      <c r="D15" s="17">
        <v>691199.46699999995</v>
      </c>
      <c r="E15" s="17">
        <v>153530.93400000001</v>
      </c>
      <c r="F15" s="17">
        <v>4016.35</v>
      </c>
      <c r="G15" s="17">
        <v>15661.59</v>
      </c>
      <c r="H15" s="17">
        <v>106835.606808344</v>
      </c>
      <c r="I15" s="18" t="s">
        <v>26</v>
      </c>
    </row>
    <row r="16" spans="1:9" ht="21">
      <c r="A16" s="19" t="s">
        <v>54</v>
      </c>
      <c r="B16" s="16">
        <f t="shared" si="1"/>
        <v>163186.01629999999</v>
      </c>
      <c r="C16" s="17">
        <v>148597.79999999999</v>
      </c>
      <c r="D16" s="17">
        <v>8256.3462999999992</v>
      </c>
      <c r="E16" s="17">
        <v>5781.96</v>
      </c>
      <c r="F16" s="17">
        <v>0</v>
      </c>
      <c r="G16" s="17">
        <v>117.96</v>
      </c>
      <c r="H16" s="17">
        <v>431.95</v>
      </c>
      <c r="I16" s="18" t="s">
        <v>27</v>
      </c>
    </row>
    <row r="17" spans="1:20" ht="21">
      <c r="A17" s="19" t="s">
        <v>55</v>
      </c>
      <c r="B17" s="16">
        <f t="shared" si="1"/>
        <v>583433.76199999999</v>
      </c>
      <c r="C17" s="17">
        <v>143986.45000000001</v>
      </c>
      <c r="D17" s="17">
        <v>163368.01699999999</v>
      </c>
      <c r="E17" s="17">
        <v>44638.41</v>
      </c>
      <c r="F17" s="17">
        <v>25</v>
      </c>
      <c r="G17" s="17">
        <v>109445.425</v>
      </c>
      <c r="H17" s="17">
        <v>121970.46</v>
      </c>
      <c r="I17" s="18" t="s">
        <v>28</v>
      </c>
    </row>
    <row r="18" spans="1:20" ht="21">
      <c r="A18" s="19" t="s">
        <v>29</v>
      </c>
      <c r="B18" s="16">
        <f t="shared" si="1"/>
        <v>1030520.6343426779</v>
      </c>
      <c r="C18" s="17">
        <v>13396.855</v>
      </c>
      <c r="D18" s="17">
        <v>43611.03</v>
      </c>
      <c r="E18" s="17">
        <v>440392.10200000001</v>
      </c>
      <c r="F18" s="17">
        <v>16997.1895</v>
      </c>
      <c r="G18" s="17">
        <v>18253.2739</v>
      </c>
      <c r="H18" s="17">
        <v>497870.18394267798</v>
      </c>
      <c r="I18" s="18" t="s">
        <v>30</v>
      </c>
    </row>
    <row r="19" spans="1:20" ht="21">
      <c r="A19" s="19" t="s">
        <v>56</v>
      </c>
      <c r="B19" s="16">
        <f t="shared" si="1"/>
        <v>1242716.076500006</v>
      </c>
      <c r="C19" s="17">
        <v>160079.31</v>
      </c>
      <c r="D19" s="17">
        <v>325384.69699999999</v>
      </c>
      <c r="E19" s="17">
        <v>134821.25</v>
      </c>
      <c r="F19" s="17">
        <v>1205</v>
      </c>
      <c r="G19" s="17">
        <v>262054.383000006</v>
      </c>
      <c r="H19" s="17">
        <v>359171.43650000001</v>
      </c>
      <c r="I19" s="18" t="s">
        <v>31</v>
      </c>
    </row>
    <row r="20" spans="1:20" ht="21">
      <c r="A20" s="19" t="s">
        <v>32</v>
      </c>
      <c r="B20" s="16">
        <f t="shared" si="1"/>
        <v>1684254.9484000008</v>
      </c>
      <c r="C20" s="17">
        <v>1109862.8459999999</v>
      </c>
      <c r="D20" s="17">
        <v>13787.51</v>
      </c>
      <c r="E20" s="17">
        <v>277277.51</v>
      </c>
      <c r="F20" s="17">
        <v>16245.46</v>
      </c>
      <c r="G20" s="17">
        <v>54375.199999999997</v>
      </c>
      <c r="H20" s="17">
        <v>212706.422400001</v>
      </c>
      <c r="I20" s="18" t="s">
        <v>33</v>
      </c>
    </row>
    <row r="21" spans="1:20" ht="21">
      <c r="A21" s="19" t="s">
        <v>34</v>
      </c>
      <c r="B21" s="16">
        <f t="shared" si="1"/>
        <v>886397.08899000008</v>
      </c>
      <c r="C21" s="17">
        <v>273127.47499999998</v>
      </c>
      <c r="D21" s="17">
        <v>553578.20099000004</v>
      </c>
      <c r="E21" s="17">
        <v>12252.61</v>
      </c>
      <c r="F21" s="17">
        <v>134</v>
      </c>
      <c r="G21" s="17">
        <v>46986.252999999997</v>
      </c>
      <c r="H21" s="17">
        <v>318.55</v>
      </c>
      <c r="I21" s="18" t="s">
        <v>35</v>
      </c>
    </row>
    <row r="22" spans="1:20" ht="21">
      <c r="A22" s="19" t="s">
        <v>57</v>
      </c>
      <c r="B22" s="16">
        <f t="shared" si="1"/>
        <v>566978.15714000002</v>
      </c>
      <c r="C22" s="17">
        <v>142533.49</v>
      </c>
      <c r="D22" s="17">
        <v>276871.68800000002</v>
      </c>
      <c r="E22" s="17">
        <v>53164.69</v>
      </c>
      <c r="F22" s="17">
        <v>37</v>
      </c>
      <c r="G22" s="17">
        <v>67971.289999999994</v>
      </c>
      <c r="H22" s="17">
        <v>26399.99914</v>
      </c>
      <c r="I22" s="18" t="s">
        <v>36</v>
      </c>
    </row>
    <row r="23" spans="1:20" ht="21">
      <c r="A23" s="19" t="s">
        <v>37</v>
      </c>
      <c r="B23" s="16">
        <f t="shared" si="1"/>
        <v>1581423.233</v>
      </c>
      <c r="C23" s="17">
        <v>1430013.79</v>
      </c>
      <c r="D23" s="17">
        <v>60244.97</v>
      </c>
      <c r="E23" s="17">
        <v>37334.023000000001</v>
      </c>
      <c r="F23" s="17">
        <v>48155.02</v>
      </c>
      <c r="G23" s="17">
        <v>1010.5</v>
      </c>
      <c r="H23" s="17">
        <v>4664.93</v>
      </c>
      <c r="I23" s="18" t="s">
        <v>38</v>
      </c>
    </row>
    <row r="24" spans="1:20" ht="21">
      <c r="A24" s="19" t="s">
        <v>39</v>
      </c>
      <c r="B24" s="16">
        <f t="shared" si="1"/>
        <v>6302.85</v>
      </c>
      <c r="C24" s="17">
        <v>1853</v>
      </c>
      <c r="D24" s="17">
        <v>253.8</v>
      </c>
      <c r="E24" s="17">
        <v>2008.05</v>
      </c>
      <c r="F24" s="17">
        <v>0</v>
      </c>
      <c r="G24" s="17">
        <v>1713.1</v>
      </c>
      <c r="H24" s="17">
        <v>474.9</v>
      </c>
      <c r="I24" s="18" t="s">
        <v>40</v>
      </c>
    </row>
    <row r="25" spans="1:20" ht="21">
      <c r="A25" s="19" t="s">
        <v>58</v>
      </c>
      <c r="B25" s="16">
        <f t="shared" si="1"/>
        <v>924789.76300000004</v>
      </c>
      <c r="C25" s="17">
        <v>482912.55</v>
      </c>
      <c r="D25" s="17">
        <v>189448.53700000001</v>
      </c>
      <c r="E25" s="17">
        <v>38321.455999999998</v>
      </c>
      <c r="F25" s="17">
        <v>11831.835999999999</v>
      </c>
      <c r="G25" s="17">
        <v>26335.63</v>
      </c>
      <c r="H25" s="17">
        <v>175939.75399999999</v>
      </c>
      <c r="I25" s="18" t="s">
        <v>41</v>
      </c>
    </row>
    <row r="26" spans="1:20" ht="21">
      <c r="A26" s="28" t="s">
        <v>42</v>
      </c>
      <c r="B26" s="4">
        <f t="shared" si="1"/>
        <v>11821893.600000001</v>
      </c>
      <c r="C26" s="5">
        <v>11490692.460000001</v>
      </c>
      <c r="D26" s="5">
        <v>98102.39</v>
      </c>
      <c r="E26" s="5">
        <v>63389.548000000003</v>
      </c>
      <c r="F26" s="5">
        <v>37836.730000000003</v>
      </c>
      <c r="G26" s="5">
        <v>78382.7</v>
      </c>
      <c r="H26" s="5">
        <v>53489.771999999997</v>
      </c>
      <c r="I26" s="29" t="s">
        <v>43</v>
      </c>
    </row>
    <row r="27" spans="1:20" s="24" customFormat="1">
      <c r="A27" s="20" t="s">
        <v>44</v>
      </c>
      <c r="B27" s="20"/>
      <c r="C27" s="21"/>
      <c r="D27" s="21"/>
      <c r="E27" s="21"/>
      <c r="F27" s="21"/>
      <c r="G27" s="21"/>
      <c r="H27" s="22"/>
      <c r="I27" s="23" t="s">
        <v>45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s="24" customFormat="1">
      <c r="A28" s="20"/>
      <c r="B28" s="20"/>
      <c r="C28" s="21"/>
      <c r="D28" s="21"/>
      <c r="E28" s="21"/>
      <c r="F28" s="21"/>
      <c r="G28" s="21"/>
      <c r="H28" s="22"/>
      <c r="I28" s="23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</sheetData>
  <mergeCells count="6">
    <mergeCell ref="A1:I1"/>
    <mergeCell ref="A2:I2"/>
    <mergeCell ref="A3:I3"/>
    <mergeCell ref="A4:I4"/>
    <mergeCell ref="A5:A6"/>
    <mergeCell ref="I5:I6"/>
  </mergeCells>
  <pageMargins left="0.7" right="0.7" top="0.75" bottom="0.75" header="0.3" footer="0.3"/>
  <pageSetup scale="46" orientation="portrait" r:id="rId1"/>
  <rowBreaks count="1" manualBreakCount="1">
    <brk id="29" max="16383" man="1"/>
  </rowBreaks>
  <colBreaks count="1" manualBreakCount="1">
    <brk id="1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9.14</vt:lpstr>
      <vt:lpstr>'9.14'!Print_Area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2026-07-07T04:58:09Z</cp:lastPrinted>
  <dcterms:created xsi:type="dcterms:W3CDTF">2019-09-09T05:11:24Z</dcterms:created>
  <dcterms:modified xsi:type="dcterms:W3CDTF">2026-07-07T04:58:18Z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