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48027AD9-B5B0-482B-BE72-E779124A4B98}" xr6:coauthVersionLast="47" xr6:coauthVersionMax="47" xr10:uidLastSave="{00000000-0000-0000-0000-000000000000}"/>
  <bookViews>
    <workbookView xWindow="-120" yWindow="-120" windowWidth="29040" windowHeight="15720" tabRatio="653" xr2:uid="{00000000-000D-0000-FFFF-FFFF00000000}"/>
  </bookViews>
  <sheets>
    <sheet name="9.15" sheetId="15" r:id="rId1"/>
  </sheets>
  <definedNames>
    <definedName name="_xlnm.Print_Area" localSheetId="0">'9.15'!$A$1:$O$31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5" l="1"/>
  <c r="C6" i="15"/>
  <c r="D6" i="15"/>
  <c r="E6" i="15"/>
  <c r="F6" i="15"/>
  <c r="G6" i="15"/>
  <c r="H6" i="15"/>
  <c r="I6" i="15"/>
  <c r="J6" i="15"/>
  <c r="K6" i="15"/>
  <c r="L6" i="15"/>
  <c r="M6" i="15"/>
</calcChain>
</file>

<file path=xl/sharedStrings.xml><?xml version="1.0" encoding="utf-8"?>
<sst xmlns="http://schemas.openxmlformats.org/spreadsheetml/2006/main" count="55" uniqueCount="55">
  <si>
    <t>Total</t>
  </si>
  <si>
    <t>(ރުފިޔާއިން )</t>
  </si>
  <si>
    <t>(Value in MVR)</t>
  </si>
  <si>
    <t>Agricultural crops</t>
  </si>
  <si>
    <t>ޖުމްލަ</t>
  </si>
  <si>
    <t>Banana &amp; Plaintain (Fresh)</t>
  </si>
  <si>
    <t>ފަތްކެޔޮ</t>
  </si>
  <si>
    <t>ބީންސް</t>
  </si>
  <si>
    <t>ބަނބުކެޔޮ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</si>
  <si>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</si>
  <si>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</si>
  <si>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</si>
  <si>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</si>
  <si>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</si>
  <si>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</si>
  <si>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</si>
  <si>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</si>
  <si>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</si>
  <si>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</si>
  <si>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</si>
  <si>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</si>
  <si>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</si>
  <si>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</si>
  <si>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</si>
  <si>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</si>
  <si>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ބަރަބޯ</t>
  </si>
  <si>
    <t>ސަބްދެލި</t>
  </si>
  <si>
    <t>ކައްޓަލަ</t>
  </si>
  <si>
    <t>ކަރާ</t>
  </si>
  <si>
    <t>Source: Maldives Customs Service</t>
  </si>
  <si>
    <t xml:space="preserve"> cswsivrWs cscmwTcswk cscviDclOM :ctWrwf ivcaedutWmUluAwm</t>
  </si>
  <si>
    <t>ދަނޑުވެރިކަމުގެ ބާވަތްތަށް</t>
  </si>
  <si>
    <t>Beans, Fresh or Chilled</t>
  </si>
  <si>
    <t>Bitter Gourd ( Fresh or Chilled )</t>
  </si>
  <si>
    <t>ފާގަ</t>
  </si>
  <si>
    <t>Bottle Gourd ( Fresh Or Chilled )</t>
  </si>
  <si>
    <t>ކަދޫ</t>
  </si>
  <si>
    <t>Bread Fruit ( Fresh or Chilled)</t>
  </si>
  <si>
    <t>Cabbage ( Fresh or Chilled )</t>
  </si>
  <si>
    <t>ބޮނޑި ކޮޕީ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</si>
  <si>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</si>
  <si>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</si>
  <si>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</si>
  <si>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</si>
  <si>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</si>
  <si>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</si>
  <si>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Pumpkin ( Fresh or Chilled)</t>
  </si>
  <si>
    <t>Sapodila ( Fresh )</t>
  </si>
  <si>
    <t>Snake Gourd ( Fresh or Chilled )</t>
  </si>
  <si>
    <t>ޗިޗަންޑާ</t>
  </si>
  <si>
    <t>Sweet Potato ( Fresh , Chilled or Frozen )</t>
  </si>
  <si>
    <t>Watermelons, (Fresh)</t>
  </si>
  <si>
    <t>bitter gourd, snake gourd, bottle gourd &amp; other gourds (fresh or chilled)</t>
  </si>
  <si>
    <t>Table 9.15:  IMPORTS OF FRESH AGRICULTURAL CROPS MAINLY PRODUCED IN MALDIVES FROM, 2014 - 2025</t>
  </si>
  <si>
    <t>2025 - 2014 ,cawtctwvWb egumwkirevuDnwd Wdcawh cSokumcaWa iawgEjcaWr cniaeret egukwtctwvWb unuveruk cTrOpcmia cSwaejcaWr  : 9.15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</si>
</sst>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[$-409]mmmm\ d\,\ yyyy;@"/>
  </numFmts>
  <fonts count="17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10"/>
      <name val="MS Sans Serif"/>
      <family val="2"/>
    </font>
    <font>
      <sz val="9"/>
      <name val="A_Randhoo"/>
    </font>
    <font>
      <b/>
      <sz val="11"/>
      <name val="A_Faseyha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Faruma"/>
    </font>
    <font>
      <sz val="10"/>
      <name val="Courier"/>
      <charset val="134"/>
    </font>
    <font>
      <b/>
      <sz val="9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0" fontId="6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0" fontId="3" fillId="0" borderId="0"/>
  </cellStyleXfs>
  <cellXfs count="45">
    <xf numFmtId="0" fontId="0" fillId="0" borderId="0" xfId="0"/>
    <xf numFmtId="164" fontId="10" fillId="2" borderId="0" xfId="0" applyNumberFormat="1" applyFont="1" applyFill="1"/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64" fontId="10" fillId="2" borderId="2" xfId="0" applyNumberFormat="1" applyFont="1" applyFill="1" applyBorder="1"/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10" fillId="2" borderId="6" xfId="0" applyNumberFormat="1" applyFont="1" applyFill="1" applyBorder="1"/>
    <xf numFmtId="2" fontId="9" fillId="2" borderId="16" xfId="0" applyNumberFormat="1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right" vertical="center"/>
    </xf>
    <xf numFmtId="0" fontId="9" fillId="2" borderId="8" xfId="0" applyFont="1" applyFill="1" applyBorder="1" applyAlignment="1">
      <alignment horizontal="right" vertical="center"/>
    </xf>
    <xf numFmtId="2" fontId="14" fillId="2" borderId="8" xfId="0" applyNumberFormat="1" applyFont="1" applyFill="1" applyBorder="1" applyAlignment="1">
      <alignment horizontal="right" vertical="center"/>
    </xf>
    <xf numFmtId="2" fontId="9" fillId="2" borderId="0" xfId="0" applyNumberFormat="1" applyFont="1" applyFill="1" applyAlignment="1">
      <alignment horizontal="left" vertical="center"/>
    </xf>
    <xf numFmtId="38" fontId="9" fillId="2" borderId="13" xfId="0" applyNumberFormat="1" applyFont="1" applyFill="1" applyBorder="1" applyAlignment="1">
      <alignment horizontal="right" vertical="center"/>
    </xf>
    <xf numFmtId="2" fontId="14" fillId="2" borderId="0" xfId="0" applyNumberFormat="1" applyFont="1" applyFill="1" applyAlignment="1">
      <alignment horizontal="right" vertical="center"/>
    </xf>
    <xf numFmtId="1" fontId="2" fillId="2" borderId="0" xfId="0" applyNumberFormat="1" applyFont="1" applyFill="1" applyAlignment="1">
      <alignment horizontal="left" vertical="center" indent="1"/>
    </xf>
    <xf numFmtId="38" fontId="2" fillId="2" borderId="0" xfId="0" applyNumberFormat="1" applyFont="1" applyFill="1" applyAlignment="1">
      <alignment horizontal="right" vertical="center"/>
    </xf>
    <xf numFmtId="0" fontId="15" fillId="2" borderId="14" xfId="0" applyFont="1" applyFill="1" applyBorder="1" applyAlignment="1">
      <alignment horizontal="right" vertical="center" indent="1"/>
    </xf>
    <xf numFmtId="0" fontId="16" fillId="2" borderId="9" xfId="0" applyFont="1" applyFill="1" applyBorder="1" applyAlignment="1">
      <alignment horizontal="left" vertical="center" indent="1"/>
    </xf>
    <xf numFmtId="165" fontId="10" fillId="2" borderId="0" xfId="0" applyNumberFormat="1" applyFont="1" applyFill="1"/>
    <xf numFmtId="0" fontId="16" fillId="2" borderId="2" xfId="0" applyFont="1" applyFill="1" applyBorder="1" applyAlignment="1">
      <alignment horizontal="left" vertical="center" indent="1"/>
    </xf>
    <xf numFmtId="43" fontId="2" fillId="2" borderId="0" xfId="0" applyNumberFormat="1" applyFont="1" applyFill="1" applyAlignment="1">
      <alignment horizontal="right" vertical="center"/>
    </xf>
    <xf numFmtId="0" fontId="15" fillId="2" borderId="4" xfId="0" applyFont="1" applyFill="1" applyBorder="1" applyAlignment="1">
      <alignment horizontal="right" vertical="center" indent="1"/>
    </xf>
    <xf numFmtId="0" fontId="16" fillId="2" borderId="3" xfId="0" applyFont="1" applyFill="1" applyBorder="1" applyAlignment="1">
      <alignment horizontal="left" vertical="center" indent="1"/>
    </xf>
    <xf numFmtId="0" fontId="16" fillId="2" borderId="6" xfId="0" applyFont="1" applyFill="1" applyBorder="1" applyAlignment="1">
      <alignment horizontal="left" vertical="center" indent="1"/>
    </xf>
    <xf numFmtId="0" fontId="15" fillId="2" borderId="7" xfId="0" applyFont="1" applyFill="1" applyBorder="1" applyAlignment="1">
      <alignment horizontal="right" vertical="center" indent="1"/>
    </xf>
    <xf numFmtId="38" fontId="2" fillId="2" borderId="1" xfId="0" applyNumberFormat="1" applyFont="1" applyFill="1" applyBorder="1" applyAlignment="1">
      <alignment horizontal="right" vertical="center"/>
    </xf>
    <xf numFmtId="43" fontId="2" fillId="2" borderId="1" xfId="0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right" vertical="center" indent="1"/>
    </xf>
    <xf numFmtId="164" fontId="4" fillId="2" borderId="9" xfId="0" applyNumberFormat="1" applyFont="1" applyFill="1" applyBorder="1" applyAlignment="1">
      <alignment horizontal="left" vertical="center"/>
    </xf>
    <xf numFmtId="164" fontId="10" fillId="2" borderId="9" xfId="0" applyNumberFormat="1" applyFont="1" applyFill="1" applyBorder="1"/>
    <xf numFmtId="164" fontId="10" fillId="2" borderId="10" xfId="0" applyNumberFormat="1" applyFont="1" applyFill="1" applyBorder="1"/>
    <xf numFmtId="164" fontId="7" fillId="2" borderId="10" xfId="0" applyNumberFormat="1" applyFont="1" applyFill="1" applyBorder="1" applyAlignment="1">
      <alignment horizontal="right" vertical="center" indent="1"/>
    </xf>
    <xf numFmtId="164" fontId="5" fillId="2" borderId="9" xfId="0" applyNumberFormat="1" applyFont="1" applyFill="1" applyBorder="1" applyAlignment="1">
      <alignment horizontal="left" vertical="center"/>
    </xf>
    <xf numFmtId="164" fontId="12" fillId="2" borderId="2" xfId="0" applyNumberFormat="1" applyFont="1" applyFill="1" applyBorder="1"/>
    <xf numFmtId="164" fontId="12" fillId="2" borderId="3" xfId="0" applyNumberFormat="1" applyFont="1" applyFill="1" applyBorder="1"/>
    <xf numFmtId="0" fontId="16" fillId="2" borderId="1" xfId="0" applyFont="1" applyFill="1" applyBorder="1" applyAlignment="1">
      <alignment horizontal="left" vertical="center" wrapText="1" indent="1"/>
    </xf>
  </cellXfs>
  <cellStyles count="6">
    <cellStyle name="1" xfId="5" xr:uid="{00000000-0005-0000-0000-000000000000}"/>
    <cellStyle name="Comma 2" xfId="1" xr:uid="{00000000-0005-0000-0000-000002000000}"/>
    <cellStyle name="Normal" xfId="0" builtinId="0"/>
    <cellStyle name="Normal 2_agri planning 2009 year book(final)" xfId="2" xr:uid="{00000000-0005-0000-0000-000005000000}"/>
    <cellStyle name="Normal 3_agri planning 2009 year book(final)" xfId="4" xr:uid="{00000000-0005-0000-0000-000006000000}"/>
    <cellStyle name="Normal 4_agri planning 2009 year book(final)" xfId="3" xr:uid="{00000000-0005-0000-0000-000007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7EE0-CF53-43D4-8ACE-A3FE88364974}">
  <dimension ref="A1:PY31"/>
  <sheetViews>
    <sheetView tabSelected="1" zoomScaleNormal="100" workbookViewId="0">
      <selection activeCell="E11" sqref="E11"/>
    </sheetView>
  </sheetViews>
  <sheetFormatPr defaultRowHeight="15"/>
  <cols>
    <col min="1" max="1" width="39.140625" style="1" customWidth="1"/>
    <col min="2" max="13" width="14" style="1" customWidth="1"/>
    <col min="14" max="14" width="22.5703125" style="1" customWidth="1"/>
    <col min="15" max="15" width="3.85546875" style="1" customWidth="1"/>
    <col min="16" max="16384" width="9.140625" style="1"/>
  </cols>
  <sheetData>
    <row r="1" spans="1:441" s="5" customFormat="1" ht="18">
      <c r="A1" s="2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</row>
    <row r="2" spans="1:441" s="5" customFormat="1">
      <c r="A2" s="6" t="s">
        <v>53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</row>
    <row r="3" spans="1:441" s="5" customFormat="1" ht="21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</row>
    <row r="4" spans="1:441" s="15" customFormat="1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</row>
    <row r="5" spans="1:441" ht="18.75">
      <c r="A5" s="16" t="s">
        <v>3</v>
      </c>
      <c r="B5" s="17">
        <v>2014</v>
      </c>
      <c r="C5" s="17">
        <v>2015</v>
      </c>
      <c r="D5" s="17">
        <v>2016</v>
      </c>
      <c r="E5" s="17">
        <v>2017</v>
      </c>
      <c r="F5" s="17">
        <v>2018</v>
      </c>
      <c r="G5" s="17">
        <v>2019</v>
      </c>
      <c r="H5" s="17">
        <v>2020</v>
      </c>
      <c r="I5" s="17">
        <v>2021</v>
      </c>
      <c r="J5" s="17">
        <v>2022</v>
      </c>
      <c r="K5" s="17">
        <v>2023</v>
      </c>
      <c r="L5" s="18">
        <v>2024</v>
      </c>
      <c r="M5" s="18">
        <v>2025</v>
      </c>
      <c r="N5" s="19" t="s">
        <v>31</v>
      </c>
    </row>
    <row r="6" spans="1:441" ht="18.75">
      <c r="A6" s="20" t="s">
        <v>0</v>
      </c>
      <c r="B6" s="21">
        <f t="shared" ref="B6:M6" si="0">SUM(B7:B28)</f>
        <v>302002607.59000003</v>
      </c>
      <c r="C6" s="21">
        <f t="shared" si="0"/>
        <v>330503715.94</v>
      </c>
      <c r="D6" s="21">
        <f t="shared" si="0"/>
        <v>356030840.86999995</v>
      </c>
      <c r="E6" s="21">
        <f t="shared" si="0"/>
        <v>400897835.12256008</v>
      </c>
      <c r="F6" s="21">
        <f t="shared" si="0"/>
        <v>437440288.20000005</v>
      </c>
      <c r="G6" s="21">
        <f t="shared" si="0"/>
        <v>523705778.18000007</v>
      </c>
      <c r="H6" s="21">
        <f t="shared" si="0"/>
        <v>319277222.87</v>
      </c>
      <c r="I6" s="21">
        <f t="shared" si="0"/>
        <v>486970834.08999968</v>
      </c>
      <c r="J6" s="21">
        <f t="shared" si="0"/>
        <v>595470253.65999937</v>
      </c>
      <c r="K6" s="21">
        <f t="shared" si="0"/>
        <v>572015103.18999994</v>
      </c>
      <c r="L6" s="21">
        <f t="shared" si="0"/>
        <v>670343401.99000013</v>
      </c>
      <c r="M6" s="21">
        <f t="shared" si="0"/>
        <v>693972214.54999959</v>
      </c>
      <c r="N6" s="22" t="s">
        <v>4</v>
      </c>
    </row>
    <row r="7" spans="1:441" ht="21">
      <c r="A7" s="23" t="s">
        <v>5</v>
      </c>
      <c r="B7" s="24">
        <v>12221744.27</v>
      </c>
      <c r="C7" s="24">
        <v>13238111.77</v>
      </c>
      <c r="D7" s="24">
        <v>17081042.780000001</v>
      </c>
      <c r="E7" s="24">
        <v>20373234.02</v>
      </c>
      <c r="F7" s="24">
        <v>25231479.59</v>
      </c>
      <c r="G7" s="24">
        <v>30323538.43</v>
      </c>
      <c r="H7" s="24">
        <v>21140535.300000001</v>
      </c>
      <c r="I7" s="24">
        <v>26618507.300000101</v>
      </c>
      <c r="J7" s="24">
        <v>32161874.6599999</v>
      </c>
      <c r="K7" s="24">
        <v>35385489.220000103</v>
      </c>
      <c r="L7" s="24">
        <v>42357542.7000001</v>
      </c>
      <c r="M7" s="24">
        <v>48903202.720000103</v>
      </c>
      <c r="N7" s="25" t="s">
        <v>6</v>
      </c>
    </row>
    <row r="8" spans="1:441" ht="21">
      <c r="A8" s="26" t="s">
        <v>32</v>
      </c>
      <c r="B8" s="24">
        <v>18913407.449999999</v>
      </c>
      <c r="C8" s="24">
        <v>20715561.629999999</v>
      </c>
      <c r="D8" s="24">
        <v>24120305.059999999</v>
      </c>
      <c r="E8" s="24">
        <v>26271497.627640001</v>
      </c>
      <c r="F8" s="24">
        <v>26427082.920000002</v>
      </c>
      <c r="G8" s="24">
        <v>28612779.48</v>
      </c>
      <c r="H8" s="24">
        <v>20610370.75</v>
      </c>
      <c r="I8" s="24">
        <v>24075153.379999898</v>
      </c>
      <c r="J8" s="24">
        <v>28812320.719999898</v>
      </c>
      <c r="K8" s="24">
        <v>28243224.809999999</v>
      </c>
      <c r="L8" s="24">
        <v>30605293.77</v>
      </c>
      <c r="M8" s="24">
        <v>29973322.970000099</v>
      </c>
      <c r="N8" s="25" t="s">
        <v>7</v>
      </c>
      <c r="R8" s="27"/>
    </row>
    <row r="9" spans="1:441" ht="21">
      <c r="A9" s="28" t="s">
        <v>33</v>
      </c>
      <c r="B9" s="24">
        <v>2751398.14</v>
      </c>
      <c r="C9" s="24">
        <v>3467316.68</v>
      </c>
      <c r="D9" s="24">
        <v>4845857.22</v>
      </c>
      <c r="E9" s="24">
        <v>5613835.0284000002</v>
      </c>
      <c r="F9" s="24">
        <v>217.14</v>
      </c>
      <c r="G9" s="24">
        <v>6378749.0599999996</v>
      </c>
      <c r="H9" s="24">
        <v>2639901.2200000002</v>
      </c>
      <c r="I9" s="24">
        <v>3055353.89</v>
      </c>
      <c r="J9" s="24">
        <v>4209588.75</v>
      </c>
      <c r="K9" s="24">
        <v>5742121.8000000101</v>
      </c>
      <c r="L9" s="29">
        <v>0</v>
      </c>
      <c r="M9" s="29">
        <v>0</v>
      </c>
      <c r="N9" s="30" t="s">
        <v>34</v>
      </c>
    </row>
    <row r="10" spans="1:441" ht="21">
      <c r="A10" s="31" t="s">
        <v>35</v>
      </c>
      <c r="B10" s="24">
        <v>422854.75</v>
      </c>
      <c r="C10" s="24">
        <v>452155.7</v>
      </c>
      <c r="D10" s="24">
        <v>538392.48</v>
      </c>
      <c r="E10" s="24">
        <v>747371.84</v>
      </c>
      <c r="F10" s="24">
        <v>1627.63</v>
      </c>
      <c r="G10" s="24">
        <v>809495.32</v>
      </c>
      <c r="H10" s="24">
        <v>836560.9</v>
      </c>
      <c r="I10" s="24">
        <v>759104.07</v>
      </c>
      <c r="J10" s="24">
        <v>980581.74</v>
      </c>
      <c r="K10" s="24">
        <v>1407193.93</v>
      </c>
      <c r="L10" s="29">
        <v>0</v>
      </c>
      <c r="M10" s="29">
        <v>0</v>
      </c>
      <c r="N10" s="30" t="s">
        <v>36</v>
      </c>
    </row>
    <row r="11" spans="1:441" ht="21">
      <c r="A11" s="28" t="s">
        <v>37</v>
      </c>
      <c r="B11" s="24">
        <v>274316.99</v>
      </c>
      <c r="C11" s="24">
        <v>224452.07</v>
      </c>
      <c r="D11" s="24">
        <v>244232.02</v>
      </c>
      <c r="E11" s="24">
        <v>447520.85</v>
      </c>
      <c r="F11" s="24">
        <v>335231.03000000003</v>
      </c>
      <c r="G11" s="24">
        <v>468374.05</v>
      </c>
      <c r="H11" s="24">
        <v>177546.94</v>
      </c>
      <c r="I11" s="24">
        <v>284953.76</v>
      </c>
      <c r="J11" s="24">
        <v>384729.54</v>
      </c>
      <c r="K11" s="24">
        <v>1023064.18</v>
      </c>
      <c r="L11" s="24">
        <v>902340.45</v>
      </c>
      <c r="M11" s="24">
        <v>1563204.53</v>
      </c>
      <c r="N11" s="30" t="s">
        <v>8</v>
      </c>
    </row>
    <row r="12" spans="1:441" ht="21">
      <c r="A12" s="28" t="s">
        <v>38</v>
      </c>
      <c r="B12" s="24">
        <v>39517745.909999996</v>
      </c>
      <c r="C12" s="24">
        <v>40422165.909999996</v>
      </c>
      <c r="D12" s="24">
        <v>39006764.509999998</v>
      </c>
      <c r="E12" s="24">
        <v>42377076.189999998</v>
      </c>
      <c r="F12" s="24">
        <v>39418254.079999998</v>
      </c>
      <c r="G12" s="24">
        <v>47598203.259999998</v>
      </c>
      <c r="H12" s="24">
        <v>33276842.190000001</v>
      </c>
      <c r="I12" s="24">
        <v>39730062.1599999</v>
      </c>
      <c r="J12" s="24">
        <v>51081590.599999599</v>
      </c>
      <c r="K12" s="24">
        <v>39866497.299999997</v>
      </c>
      <c r="L12" s="24">
        <v>56030041.399999999</v>
      </c>
      <c r="M12" s="24">
        <v>43212503.430000097</v>
      </c>
      <c r="N12" s="30" t="s">
        <v>39</v>
      </c>
    </row>
    <row r="13" spans="1:441" ht="21">
      <c r="A13" s="28" t="s">
        <v>9</v>
      </c>
      <c r="B13" s="24">
        <v>38324.959999999999</v>
      </c>
      <c r="C13" s="24">
        <v>4069700.37</v>
      </c>
      <c r="D13" s="24">
        <v>3689920.49</v>
      </c>
      <c r="E13" s="24">
        <v>6112297.4199999999</v>
      </c>
      <c r="F13" s="24">
        <v>6139646.2699999996</v>
      </c>
      <c r="G13" s="24">
        <v>8197307.5199999996</v>
      </c>
      <c r="H13" s="24">
        <v>4751147.03</v>
      </c>
      <c r="I13" s="24">
        <v>8934122.6600000001</v>
      </c>
      <c r="J13" s="24">
        <v>10519218.2900001</v>
      </c>
      <c r="K13" s="24">
        <v>10137116.26</v>
      </c>
      <c r="L13" s="24">
        <v>11248244.710000001</v>
      </c>
      <c r="M13" s="24">
        <v>12612320.109999999</v>
      </c>
      <c r="N13" s="30" t="s">
        <v>10</v>
      </c>
    </row>
    <row r="14" spans="1:441" ht="21">
      <c r="A14" s="28" t="s">
        <v>40</v>
      </c>
      <c r="B14" s="24">
        <v>1082982.1000000001</v>
      </c>
      <c r="C14" s="24">
        <v>1908585.63</v>
      </c>
      <c r="D14" s="24">
        <v>2815394.25</v>
      </c>
      <c r="E14" s="24">
        <v>2531041.2400000002</v>
      </c>
      <c r="F14" s="24">
        <v>2487894.6800000002</v>
      </c>
      <c r="G14" s="24">
        <v>2601250.5299999998</v>
      </c>
      <c r="H14" s="24">
        <v>2683500.0699999998</v>
      </c>
      <c r="I14" s="24">
        <v>3533237.00999999</v>
      </c>
      <c r="J14" s="24">
        <v>3455290.3500000099</v>
      </c>
      <c r="K14" s="24">
        <v>4304227.1700000102</v>
      </c>
      <c r="L14" s="24">
        <v>6048098.3099999996</v>
      </c>
      <c r="M14" s="24">
        <v>5866770.4800000098</v>
      </c>
      <c r="N14" s="30" t="s">
        <v>11</v>
      </c>
    </row>
    <row r="15" spans="1:441" ht="21">
      <c r="A15" s="28" t="s">
        <v>41</v>
      </c>
      <c r="B15" s="24">
        <v>15756571.039999999</v>
      </c>
      <c r="C15" s="24">
        <v>16994521.91</v>
      </c>
      <c r="D15" s="24">
        <v>19841767.940000001</v>
      </c>
      <c r="E15" s="24">
        <v>20029304.316520002</v>
      </c>
      <c r="F15" s="24">
        <v>21086680.850000001</v>
      </c>
      <c r="G15" s="24">
        <v>34479154.909999996</v>
      </c>
      <c r="H15" s="24">
        <v>29843375.52</v>
      </c>
      <c r="I15" s="24">
        <v>24847996.390000001</v>
      </c>
      <c r="J15" s="24">
        <v>26185616.149999801</v>
      </c>
      <c r="K15" s="24">
        <v>25706354.469999999</v>
      </c>
      <c r="L15" s="24">
        <v>34516937.310000002</v>
      </c>
      <c r="M15" s="24">
        <v>34813727.849999897</v>
      </c>
      <c r="N15" s="30" t="s">
        <v>12</v>
      </c>
    </row>
    <row r="16" spans="1:441" ht="21">
      <c r="A16" s="28" t="s">
        <v>42</v>
      </c>
      <c r="B16" s="24">
        <v>14509431</v>
      </c>
      <c r="C16" s="24">
        <v>17227099.289999999</v>
      </c>
      <c r="D16" s="24">
        <v>20076685.02</v>
      </c>
      <c r="E16" s="24">
        <v>22288484.890000001</v>
      </c>
      <c r="F16" s="24">
        <v>26595567.780000001</v>
      </c>
      <c r="G16" s="24">
        <v>32189217.489999998</v>
      </c>
      <c r="H16" s="24">
        <v>20006857.760000002</v>
      </c>
      <c r="I16" s="24">
        <v>31777981.690000001</v>
      </c>
      <c r="J16" s="24">
        <v>43699122.730000101</v>
      </c>
      <c r="K16" s="24">
        <v>43569305.240000099</v>
      </c>
      <c r="L16" s="24">
        <v>49790820.990000002</v>
      </c>
      <c r="M16" s="24">
        <v>56829304.999999799</v>
      </c>
      <c r="N16" s="30" t="s">
        <v>13</v>
      </c>
    </row>
    <row r="17" spans="1:14" ht="21">
      <c r="A17" s="28" t="s">
        <v>43</v>
      </c>
      <c r="B17" s="24">
        <v>2903471.79</v>
      </c>
      <c r="C17" s="24">
        <v>2964794.07</v>
      </c>
      <c r="D17" s="24">
        <v>4215047.79</v>
      </c>
      <c r="E17" s="24">
        <v>4600723.6100000003</v>
      </c>
      <c r="F17" s="24">
        <v>4800395.38</v>
      </c>
      <c r="G17" s="24">
        <v>4955193.3099999996</v>
      </c>
      <c r="H17" s="24">
        <v>3705908.51</v>
      </c>
      <c r="I17" s="24">
        <v>3686461.23</v>
      </c>
      <c r="J17" s="24">
        <v>4642671.53</v>
      </c>
      <c r="K17" s="24">
        <v>6538816.2599999905</v>
      </c>
      <c r="L17" s="24">
        <v>7601653.2800000003</v>
      </c>
      <c r="M17" s="24">
        <v>8371407.8299999796</v>
      </c>
      <c r="N17" s="30" t="s">
        <v>14</v>
      </c>
    </row>
    <row r="18" spans="1:14" ht="21">
      <c r="A18" s="28" t="s">
        <v>44</v>
      </c>
      <c r="B18" s="24">
        <v>13917414.25</v>
      </c>
      <c r="C18" s="24">
        <v>15382242.4</v>
      </c>
      <c r="D18" s="24">
        <v>16604722.810000001</v>
      </c>
      <c r="E18" s="24">
        <v>18735509.84</v>
      </c>
      <c r="F18" s="24">
        <v>21304266.050000001</v>
      </c>
      <c r="G18" s="24">
        <v>23281844.710000001</v>
      </c>
      <c r="H18" s="24">
        <v>13697965.41</v>
      </c>
      <c r="I18" s="24">
        <v>26457961.789999999</v>
      </c>
      <c r="J18" s="24">
        <v>32932436.250000101</v>
      </c>
      <c r="K18" s="24">
        <v>33080664.260000002</v>
      </c>
      <c r="L18" s="24">
        <v>36086923.100000001</v>
      </c>
      <c r="M18" s="24">
        <v>41606220.9099999</v>
      </c>
      <c r="N18" s="30" t="s">
        <v>15</v>
      </c>
    </row>
    <row r="19" spans="1:14" ht="21">
      <c r="A19" s="28" t="s">
        <v>16</v>
      </c>
      <c r="B19" s="24">
        <v>43389494.640000001</v>
      </c>
      <c r="C19" s="24">
        <v>43191210.880000003</v>
      </c>
      <c r="D19" s="24">
        <v>44715142.609999999</v>
      </c>
      <c r="E19" s="24">
        <v>51297218.259999998</v>
      </c>
      <c r="F19" s="24">
        <v>55181761.259999998</v>
      </c>
      <c r="G19" s="24">
        <v>61824671.659999996</v>
      </c>
      <c r="H19" s="24">
        <v>33386023.120000001</v>
      </c>
      <c r="I19" s="24">
        <v>65582908.330000304</v>
      </c>
      <c r="J19" s="24">
        <v>81284910.400000006</v>
      </c>
      <c r="K19" s="24">
        <v>76681006.279999793</v>
      </c>
      <c r="L19" s="24">
        <v>79847851.549999997</v>
      </c>
      <c r="M19" s="24">
        <v>79619721.370000005</v>
      </c>
      <c r="N19" s="30" t="s">
        <v>17</v>
      </c>
    </row>
    <row r="20" spans="1:14" ht="21">
      <c r="A20" s="28" t="s">
        <v>45</v>
      </c>
      <c r="B20" s="24">
        <v>47096171.509999998</v>
      </c>
      <c r="C20" s="24">
        <v>50645238.270000003</v>
      </c>
      <c r="D20" s="24">
        <v>52746917.140000001</v>
      </c>
      <c r="E20" s="24">
        <v>62192983.079999998</v>
      </c>
      <c r="F20" s="24">
        <v>65511127.090000004</v>
      </c>
      <c r="G20" s="24">
        <v>71068303.840000004</v>
      </c>
      <c r="H20" s="24">
        <v>40891817.149999999</v>
      </c>
      <c r="I20" s="24">
        <v>82393613.439999595</v>
      </c>
      <c r="J20" s="24">
        <v>96762762.989999801</v>
      </c>
      <c r="K20" s="24">
        <v>86195883.1300001</v>
      </c>
      <c r="L20" s="24">
        <v>94638465.260000005</v>
      </c>
      <c r="M20" s="24">
        <v>101037708.05</v>
      </c>
      <c r="N20" s="30" t="s">
        <v>18</v>
      </c>
    </row>
    <row r="21" spans="1:14" ht="21">
      <c r="A21" s="28" t="s">
        <v>19</v>
      </c>
      <c r="B21" s="24">
        <v>45159790.810000002</v>
      </c>
      <c r="C21" s="24">
        <v>46656649.280000001</v>
      </c>
      <c r="D21" s="24">
        <v>40429276.899999999</v>
      </c>
      <c r="E21" s="24">
        <v>41113440.770000003</v>
      </c>
      <c r="F21" s="24">
        <v>43240005.380000003</v>
      </c>
      <c r="G21" s="24">
        <v>54303526.390000001</v>
      </c>
      <c r="H21" s="24">
        <v>22436738.899999999</v>
      </c>
      <c r="I21" s="24">
        <v>40095798.449999899</v>
      </c>
      <c r="J21" s="24">
        <v>49739223.380000003</v>
      </c>
      <c r="K21" s="24">
        <v>40706662.159999996</v>
      </c>
      <c r="L21" s="24">
        <v>49197385</v>
      </c>
      <c r="M21" s="24">
        <v>54885696.590000004</v>
      </c>
      <c r="N21" s="30" t="s">
        <v>20</v>
      </c>
    </row>
    <row r="22" spans="1:14" ht="21">
      <c r="A22" s="28" t="s">
        <v>21</v>
      </c>
      <c r="B22" s="24">
        <v>3760516.94</v>
      </c>
      <c r="C22" s="24">
        <v>4107271.37</v>
      </c>
      <c r="D22" s="24">
        <v>4594617.17</v>
      </c>
      <c r="E22" s="24">
        <v>4532187.55</v>
      </c>
      <c r="F22" s="24">
        <v>5217303.67</v>
      </c>
      <c r="G22" s="24">
        <v>8566934.1999999993</v>
      </c>
      <c r="H22" s="24">
        <v>4744600.4400000004</v>
      </c>
      <c r="I22" s="24">
        <v>11276251.33</v>
      </c>
      <c r="J22" s="24">
        <v>12917163.84</v>
      </c>
      <c r="K22" s="24">
        <v>15062611.289999999</v>
      </c>
      <c r="L22" s="24">
        <v>25251655.43</v>
      </c>
      <c r="M22" s="24">
        <v>25293666.800000001</v>
      </c>
      <c r="N22" s="30" t="s">
        <v>22</v>
      </c>
    </row>
    <row r="23" spans="1:14" ht="21">
      <c r="A23" s="31" t="s">
        <v>23</v>
      </c>
      <c r="B23" s="24">
        <v>12534411.449999999</v>
      </c>
      <c r="C23" s="24">
        <v>13374230.66</v>
      </c>
      <c r="D23" s="24">
        <v>15574229.49</v>
      </c>
      <c r="E23" s="24">
        <v>17722187.68</v>
      </c>
      <c r="F23" s="24">
        <v>21497423.030000001</v>
      </c>
      <c r="G23" s="24">
        <v>24225273.66</v>
      </c>
      <c r="H23" s="24">
        <v>15793943.85</v>
      </c>
      <c r="I23" s="24">
        <v>26692037.850000001</v>
      </c>
      <c r="J23" s="24">
        <v>32398013.860000301</v>
      </c>
      <c r="K23" s="24">
        <v>34069596.259999998</v>
      </c>
      <c r="L23" s="24">
        <v>42066778.880000003</v>
      </c>
      <c r="M23" s="24">
        <v>44737842.219999701</v>
      </c>
      <c r="N23" s="30" t="s">
        <v>24</v>
      </c>
    </row>
    <row r="24" spans="1:14" ht="21">
      <c r="A24" s="28" t="s">
        <v>46</v>
      </c>
      <c r="B24" s="24">
        <v>3163815.42</v>
      </c>
      <c r="C24" s="24">
        <v>4002983.03</v>
      </c>
      <c r="D24" s="24">
        <v>5801563.6900000004</v>
      </c>
      <c r="E24" s="24">
        <v>5578977.6399999997</v>
      </c>
      <c r="F24" s="24">
        <v>7570313.5099999998</v>
      </c>
      <c r="G24" s="24">
        <v>12255962.07</v>
      </c>
      <c r="H24" s="24">
        <v>9325122.3399999999</v>
      </c>
      <c r="I24" s="24">
        <v>9967232.8500000294</v>
      </c>
      <c r="J24" s="24">
        <v>13889270.17</v>
      </c>
      <c r="K24" s="24">
        <v>12394195.24</v>
      </c>
      <c r="L24" s="24">
        <v>15499216.869999999</v>
      </c>
      <c r="M24" s="24">
        <v>13555898.7099999</v>
      </c>
      <c r="N24" s="30" t="s">
        <v>25</v>
      </c>
    </row>
    <row r="25" spans="1:14" ht="21">
      <c r="A25" s="28" t="s">
        <v>47</v>
      </c>
      <c r="B25" s="24">
        <v>480351.89</v>
      </c>
      <c r="C25" s="24">
        <v>528890.76</v>
      </c>
      <c r="D25" s="24">
        <v>630283.23</v>
      </c>
      <c r="E25" s="24">
        <v>535362.29</v>
      </c>
      <c r="F25" s="24">
        <v>319823.19</v>
      </c>
      <c r="G25" s="24">
        <v>300171.75</v>
      </c>
      <c r="H25" s="24">
        <v>160045.69</v>
      </c>
      <c r="I25" s="24">
        <v>387149.34</v>
      </c>
      <c r="J25" s="24">
        <v>428885.47</v>
      </c>
      <c r="K25" s="24">
        <v>553035.93999999994</v>
      </c>
      <c r="L25" s="24">
        <v>648494.47</v>
      </c>
      <c r="M25" s="24">
        <v>751580.32</v>
      </c>
      <c r="N25" s="30" t="s">
        <v>26</v>
      </c>
    </row>
    <row r="26" spans="1:14" ht="21">
      <c r="A26" s="28" t="s">
        <v>48</v>
      </c>
      <c r="B26" s="24">
        <v>1068217.42</v>
      </c>
      <c r="C26" s="24">
        <v>1131382.94</v>
      </c>
      <c r="D26" s="24">
        <v>1116699.81</v>
      </c>
      <c r="E26" s="24">
        <v>1188997.55</v>
      </c>
      <c r="F26" s="24">
        <v>7781095.2800000003</v>
      </c>
      <c r="G26" s="24">
        <v>1565721.29</v>
      </c>
      <c r="H26" s="24">
        <v>846752.01</v>
      </c>
      <c r="I26" s="24">
        <v>1108000.8600000001</v>
      </c>
      <c r="J26" s="24">
        <v>1578511.7</v>
      </c>
      <c r="K26" s="24">
        <v>1672443.45</v>
      </c>
      <c r="L26" s="29">
        <v>0</v>
      </c>
      <c r="M26" s="29">
        <v>0</v>
      </c>
      <c r="N26" s="30" t="s">
        <v>49</v>
      </c>
    </row>
    <row r="27" spans="1:14" ht="21">
      <c r="A27" s="28" t="s">
        <v>50</v>
      </c>
      <c r="B27" s="24">
        <v>4039323.37</v>
      </c>
      <c r="C27" s="24">
        <v>6000472.21</v>
      </c>
      <c r="D27" s="24">
        <v>7318284.9400000004</v>
      </c>
      <c r="E27" s="24">
        <v>8684433.9499999993</v>
      </c>
      <c r="F27" s="24">
        <v>9034538.9800000004</v>
      </c>
      <c r="G27" s="24">
        <v>11188072.369999999</v>
      </c>
      <c r="H27" s="24">
        <v>8875273.5399999991</v>
      </c>
      <c r="I27" s="24">
        <v>10163732.99</v>
      </c>
      <c r="J27" s="24">
        <v>10955664.93</v>
      </c>
      <c r="K27" s="24">
        <v>11075134.15</v>
      </c>
      <c r="L27" s="24">
        <v>14321867.119999999</v>
      </c>
      <c r="M27" s="24">
        <v>17218434.48</v>
      </c>
      <c r="N27" s="30" t="s">
        <v>27</v>
      </c>
    </row>
    <row r="28" spans="1:14" ht="21">
      <c r="A28" s="32" t="s">
        <v>51</v>
      </c>
      <c r="B28" s="24">
        <v>19000851.489999998</v>
      </c>
      <c r="C28" s="24">
        <v>23798679.109999999</v>
      </c>
      <c r="D28" s="24">
        <v>30023693.52</v>
      </c>
      <c r="E28" s="24">
        <v>37924149.479999997</v>
      </c>
      <c r="F28" s="24">
        <v>48258553.409999996</v>
      </c>
      <c r="G28" s="24">
        <v>58512032.880000003</v>
      </c>
      <c r="H28" s="24">
        <v>29446394.23</v>
      </c>
      <c r="I28" s="24">
        <v>45543213.319999903</v>
      </c>
      <c r="J28" s="24">
        <v>56450805.609999798</v>
      </c>
      <c r="K28" s="24">
        <v>58600460.389999799</v>
      </c>
      <c r="L28" s="24">
        <v>73683791.389999896</v>
      </c>
      <c r="M28" s="24">
        <v>73119680.180000097</v>
      </c>
      <c r="N28" s="33" t="s">
        <v>28</v>
      </c>
    </row>
    <row r="29" spans="1:14" ht="24">
      <c r="A29" s="44" t="s">
        <v>52</v>
      </c>
      <c r="B29" s="35">
        <v>0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4">
        <v>13248434.119999999</v>
      </c>
      <c r="M29" s="34">
        <v>12906476.26</v>
      </c>
      <c r="N29" s="36"/>
    </row>
    <row r="30" spans="1:14">
      <c r="A30" s="37" t="s">
        <v>29</v>
      </c>
      <c r="B30" s="38"/>
      <c r="C30" s="38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40" t="s">
        <v>30</v>
      </c>
    </row>
    <row r="31" spans="1:14">
      <c r="A31" s="41"/>
      <c r="B31" s="42"/>
      <c r="C31" s="42"/>
      <c r="D31" s="42"/>
      <c r="E31" s="43"/>
      <c r="F31" s="43"/>
      <c r="G31" s="43"/>
      <c r="H31" s="43"/>
      <c r="I31" s="43"/>
      <c r="J31" s="43"/>
      <c r="K31" s="43"/>
      <c r="L31" s="43"/>
      <c r="M31" s="43"/>
      <c r="N31" s="43"/>
    </row>
  </sheetData>
  <mergeCells count="4">
    <mergeCell ref="A1:N1"/>
    <mergeCell ref="A2:N2"/>
    <mergeCell ref="A3:N3"/>
    <mergeCell ref="A4:N4"/>
  </mergeCells>
  <pageMargins left="0.7" right="0.7" top="0.75" bottom="0.75" header="0.3" footer="0.3"/>
  <pageSetup scale="37" orientation="portrait" r:id="rId1"/>
  <colBreaks count="1" manualBreakCount="1">
    <brk id="15" max="1048575" man="1"/>
  </colBreaks>
  <ignoredErrors>
    <ignoredError sqref="B6:M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9.15</vt:lpstr>
      <vt:lpstr>'9.15'!Print_Area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2026-07-07T05:07:28Z</cp:lastPrinted>
  <dcterms:created xsi:type="dcterms:W3CDTF">2019-09-09T05:11:24Z</dcterms:created>
  <dcterms:modified xsi:type="dcterms:W3CDTF">2026-07-07T05:07:49Z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