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14B0C65D-228C-44E8-93BE-CE5AB0EC62F8}" xr6:coauthVersionLast="47" xr6:coauthVersionMax="47" xr10:uidLastSave="{00000000-0000-0000-0000-000000000000}"/>
  <bookViews>
    <workbookView xWindow="-120" yWindow="-120" windowWidth="29040" windowHeight="15720" tabRatio="889" xr2:uid="{00000000-000D-0000-FFFF-FFFF00000000}"/>
  </bookViews>
  <sheets>
    <sheet name="9.11" sheetId="11" r:id="rId1"/>
  </sheets>
  <definedNames>
    <definedName name="_xlnm.Print_Area" localSheetId="0">'9.11'!$A$1:$K$21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1" l="1"/>
  <c r="B8" i="11"/>
  <c r="B9" i="11"/>
  <c r="B10" i="11"/>
  <c r="B11" i="11"/>
  <c r="B12" i="11"/>
  <c r="B13" i="11"/>
  <c r="B14" i="11"/>
  <c r="B15" i="11"/>
  <c r="B16" i="11"/>
  <c r="B17" i="11"/>
  <c r="B6" i="11"/>
  <c r="B5" i="11" l="1"/>
  <c r="D5" i="11"/>
  <c r="E5" i="11"/>
  <c r="F5" i="11"/>
  <c r="G5" i="11"/>
  <c r="H5" i="11"/>
  <c r="I5" i="11"/>
  <c r="J5" i="11"/>
  <c r="C5" i="11"/>
</calcChain>
</file>

<file path=xl/sharedStrings.xml><?xml version="1.0" encoding="utf-8"?>
<sst xmlns="http://schemas.openxmlformats.org/spreadsheetml/2006/main" count="27" uniqueCount="27">
  <si>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</si>
  <si>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</si>
  <si>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</si>
  <si>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</si>
  <si>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</si>
  <si>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</si>
  <si>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</si>
  <si>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</si>
  <si>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</si>
  <si>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</si>
  <si>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</si>
  <si>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</si>
  <si>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</si>
  <si>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Skipjack Tuna</t>
  </si>
  <si>
    <t>In metrictons (t)</t>
  </si>
  <si>
    <t>TOTAL</t>
  </si>
  <si>
    <t>Source: Purchasing companies</t>
  </si>
  <si>
    <t>Total tuna purchase</t>
  </si>
  <si>
    <t>Yellowfin Tuna</t>
  </si>
  <si>
    <t>Bigeye Tuna</t>
  </si>
  <si>
    <t>Frigated Tuna</t>
  </si>
  <si>
    <t>Reef Fishes</t>
  </si>
  <si>
    <t>Grouper</t>
  </si>
  <si>
    <t>Dolphin fish</t>
  </si>
  <si>
    <t>Wahoo</t>
  </si>
  <si>
    <t>Source: Ministry of Fisheries, Agriculture and Ocean Resources</t>
  </si>
  <si>
    <t>Table 9.11: Monthly Fresh Tuna Purchased by Licensed Fish Processors,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</si>
</sst>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#,##0.0"/>
    <numFmt numFmtId="170" formatCode="[$-409]mmmm\ d\,\ yyyy;@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164" fontId="1" fillId="0" borderId="0"/>
    <xf numFmtId="40" fontId="10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4" fillId="0" borderId="0"/>
  </cellStyleXfs>
  <cellXfs count="27">
    <xf numFmtId="0" fontId="0" fillId="0" borderId="0" xfId="0"/>
    <xf numFmtId="164" fontId="6" fillId="2" borderId="0" xfId="1" applyFont="1" applyFill="1" applyAlignment="1">
      <alignment horizontal="left" vertical="center"/>
    </xf>
    <xf numFmtId="0" fontId="0" fillId="2" borderId="0" xfId="0" applyFill="1"/>
    <xf numFmtId="0" fontId="12" fillId="2" borderId="0" xfId="0" applyFont="1" applyFill="1"/>
    <xf numFmtId="0" fontId="8" fillId="2" borderId="2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5" fillId="2" borderId="2" xfId="0" applyFont="1" applyFill="1" applyBorder="1" applyAlignment="1">
      <alignment horizontal="right" vertical="center" wrapText="1"/>
    </xf>
    <xf numFmtId="0" fontId="16" fillId="2" borderId="2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 wrapText="1"/>
    </xf>
    <xf numFmtId="0" fontId="11" fillId="2" borderId="0" xfId="0" applyFont="1" applyFill="1"/>
    <xf numFmtId="0" fontId="8" fillId="2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0" fontId="12" fillId="2" borderId="1" xfId="0" applyFont="1" applyFill="1" applyBorder="1" applyAlignment="1">
      <alignment horizontal="left" vertical="center" indent="1"/>
    </xf>
    <xf numFmtId="165" fontId="9" fillId="2" borderId="0" xfId="0" applyNumberFormat="1" applyFont="1" applyFill="1" applyAlignment="1">
      <alignment horizontal="right" vertical="center" wrapText="1"/>
    </xf>
    <xf numFmtId="165" fontId="9" fillId="2" borderId="0" xfId="0" applyNumberFormat="1" applyFont="1" applyFill="1" applyAlignment="1">
      <alignment horizontal="right"/>
    </xf>
    <xf numFmtId="165" fontId="9" fillId="2" borderId="1" xfId="0" applyNumberFormat="1" applyFont="1" applyFill="1" applyBorder="1" applyAlignment="1">
      <alignment horizontal="right" vertical="center" wrapText="1"/>
    </xf>
    <xf numFmtId="165" fontId="3" fillId="2" borderId="0" xfId="0" applyNumberFormat="1" applyFont="1" applyFill="1" applyAlignment="1">
      <alignment horizontal="right"/>
    </xf>
    <xf numFmtId="43" fontId="17" fillId="2" borderId="0" xfId="0" applyNumberFormat="1" applyFont="1" applyFill="1"/>
    <xf numFmtId="165" fontId="3" fillId="2" borderId="3" xfId="0" applyNumberFormat="1" applyFont="1" applyFill="1" applyBorder="1" applyAlignment="1">
      <alignment horizontal="right"/>
    </xf>
    <xf numFmtId="43" fontId="17" fillId="2" borderId="3" xfId="0" applyNumberFormat="1" applyFont="1" applyFill="1" applyBorder="1"/>
    <xf numFmtId="4" fontId="1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11D1-F269-42A1-A8EB-EBAB4A986D99}">
  <dimension ref="A1:K19"/>
  <sheetViews>
    <sheetView tabSelected="1" zoomScaleNormal="100" workbookViewId="0">
      <selection activeCell="M12" sqref="M12"/>
    </sheetView>
  </sheetViews>
  <sheetFormatPr defaultColWidth="18.7109375" defaultRowHeight="15" x14ac:dyDescent="0.25"/>
  <cols>
    <col min="1" max="1" width="18.7109375" style="2"/>
    <col min="2" max="2" width="17" style="13" customWidth="1"/>
    <col min="3" max="10" width="17" style="8" customWidth="1"/>
    <col min="11" max="11" width="0.140625" style="2" customWidth="1"/>
    <col min="12" max="16384" width="18.7109375" style="2"/>
  </cols>
  <sheetData>
    <row r="1" spans="1:11" ht="21" x14ac:dyDescent="0.35">
      <c r="A1" s="25" t="s">
        <v>26</v>
      </c>
      <c r="B1" s="25"/>
      <c r="C1" s="25"/>
      <c r="D1" s="25"/>
      <c r="E1" s="25"/>
      <c r="F1" s="25"/>
      <c r="G1" s="25"/>
      <c r="H1" s="25"/>
      <c r="I1" s="25"/>
      <c r="J1" s="25"/>
    </row>
    <row r="2" spans="1:11" x14ac:dyDescent="0.25">
      <c r="A2" s="26" t="s">
        <v>14</v>
      </c>
      <c r="B2" s="26"/>
      <c r="C2" s="26"/>
      <c r="D2" s="26"/>
      <c r="E2" s="26"/>
      <c r="F2" s="26"/>
      <c r="G2" s="26"/>
      <c r="H2" s="26"/>
      <c r="I2" s="26"/>
      <c r="J2" s="26"/>
    </row>
    <row r="3" spans="1:11" x14ac:dyDescent="0.25">
      <c r="A3" s="3"/>
      <c r="B3" s="6"/>
      <c r="C3" s="7"/>
      <c r="D3" s="7"/>
      <c r="E3" s="7"/>
      <c r="F3" s="7"/>
      <c r="G3" s="7"/>
    </row>
    <row r="4" spans="1:11" ht="33" customHeight="1" x14ac:dyDescent="0.25">
      <c r="A4" s="4" t="s">
        <v>0</v>
      </c>
      <c r="B4" s="5" t="s">
        <v>17</v>
      </c>
      <c r="C4" s="9" t="s">
        <v>18</v>
      </c>
      <c r="D4" s="9" t="s">
        <v>13</v>
      </c>
      <c r="E4" s="9" t="s">
        <v>19</v>
      </c>
      <c r="F4" s="10" t="s">
        <v>20</v>
      </c>
      <c r="G4" s="9" t="s">
        <v>21</v>
      </c>
      <c r="H4" s="9" t="s">
        <v>22</v>
      </c>
      <c r="I4" s="9" t="s">
        <v>23</v>
      </c>
      <c r="J4" s="9" t="s">
        <v>24</v>
      </c>
    </row>
    <row r="5" spans="1:11" s="14" customFormat="1" x14ac:dyDescent="0.25">
      <c r="A5" s="15" t="s">
        <v>15</v>
      </c>
      <c r="B5" s="18">
        <f>SUM(B6:B17)</f>
        <v>92196.76814</v>
      </c>
      <c r="C5" s="19">
        <f>SUM(C6:C17)</f>
        <v>15617.20758</v>
      </c>
      <c r="D5" s="19">
        <f t="shared" ref="D5:J5" si="0">SUM(D6:D17)</f>
        <v>75889.919999999998</v>
      </c>
      <c r="E5" s="19">
        <f t="shared" si="0"/>
        <v>142.68900000000002</v>
      </c>
      <c r="F5" s="19">
        <f t="shared" si="0"/>
        <v>50.232299999999995</v>
      </c>
      <c r="G5" s="19">
        <f t="shared" si="0"/>
        <v>1.05348</v>
      </c>
      <c r="H5" s="19">
        <f t="shared" si="0"/>
        <v>494.96577999999994</v>
      </c>
      <c r="I5" s="19">
        <f t="shared" si="0"/>
        <v>0.7</v>
      </c>
      <c r="J5" s="19">
        <f t="shared" si="0"/>
        <v>0</v>
      </c>
    </row>
    <row r="6" spans="1:11" x14ac:dyDescent="0.25">
      <c r="A6" s="16" t="s">
        <v>1</v>
      </c>
      <c r="B6" s="18">
        <f>SUM(C6:J6)</f>
        <v>9996.5161500000013</v>
      </c>
      <c r="C6" s="21">
        <v>2114.57312</v>
      </c>
      <c r="D6" s="21">
        <v>7754.9909900000002</v>
      </c>
      <c r="E6" s="21">
        <v>29.77</v>
      </c>
      <c r="F6" s="21">
        <v>21.53604</v>
      </c>
      <c r="G6" s="21">
        <v>2.8000000000000001E-2</v>
      </c>
      <c r="H6" s="21">
        <v>75.617999999999995</v>
      </c>
      <c r="I6" s="21">
        <v>0</v>
      </c>
      <c r="J6" s="21">
        <v>0</v>
      </c>
      <c r="K6" s="22">
        <v>0.3</v>
      </c>
    </row>
    <row r="7" spans="1:11" x14ac:dyDescent="0.25">
      <c r="A7" s="16" t="s">
        <v>2</v>
      </c>
      <c r="B7" s="18">
        <f t="shared" ref="B7:B17" si="1">SUM(C7:J7)</f>
        <v>12282.339600000001</v>
      </c>
      <c r="C7" s="21">
        <v>1235.50785</v>
      </c>
      <c r="D7" s="21">
        <v>10961.43498</v>
      </c>
      <c r="E7" s="21">
        <v>24.670999999999999</v>
      </c>
      <c r="F7" s="21">
        <v>7.3448099999999998</v>
      </c>
      <c r="G7" s="21">
        <v>0.17995</v>
      </c>
      <c r="H7" s="21">
        <v>53.201009999999997</v>
      </c>
      <c r="I7" s="21">
        <v>0</v>
      </c>
      <c r="J7" s="21">
        <v>0</v>
      </c>
      <c r="K7" s="22">
        <v>0</v>
      </c>
    </row>
    <row r="8" spans="1:11" x14ac:dyDescent="0.25">
      <c r="A8" s="16" t="s">
        <v>3</v>
      </c>
      <c r="B8" s="18">
        <f t="shared" si="1"/>
        <v>7514.1553400000003</v>
      </c>
      <c r="C8" s="21">
        <v>786.26155000000006</v>
      </c>
      <c r="D8" s="21">
        <v>6681.75497</v>
      </c>
      <c r="E8" s="21">
        <v>5.3490000000000002</v>
      </c>
      <c r="F8" s="21">
        <v>0</v>
      </c>
      <c r="G8" s="21">
        <v>0.1615</v>
      </c>
      <c r="H8" s="21">
        <v>40.628320000000002</v>
      </c>
      <c r="I8" s="21">
        <v>0</v>
      </c>
      <c r="J8" s="21">
        <v>0</v>
      </c>
      <c r="K8" s="22">
        <v>0</v>
      </c>
    </row>
    <row r="9" spans="1:11" x14ac:dyDescent="0.25">
      <c r="A9" s="16" t="s">
        <v>4</v>
      </c>
      <c r="B9" s="18">
        <f t="shared" si="1"/>
        <v>8097.3947100000005</v>
      </c>
      <c r="C9" s="21">
        <v>637.19987000000003</v>
      </c>
      <c r="D9" s="21">
        <v>7444.6127900000001</v>
      </c>
      <c r="E9" s="21">
        <v>8.827</v>
      </c>
      <c r="F9" s="21">
        <v>5.9443000000000001</v>
      </c>
      <c r="G9" s="21">
        <v>9.1700000000000004E-2</v>
      </c>
      <c r="H9" s="21">
        <v>1.9050000000000001E-2</v>
      </c>
      <c r="I9" s="21">
        <v>0.7</v>
      </c>
      <c r="J9" s="21">
        <v>0</v>
      </c>
      <c r="K9" s="22">
        <v>0</v>
      </c>
    </row>
    <row r="10" spans="1:11" x14ac:dyDescent="0.25">
      <c r="A10" s="16" t="s">
        <v>5</v>
      </c>
      <c r="B10" s="18">
        <f t="shared" si="1"/>
        <v>9597.7543800000021</v>
      </c>
      <c r="C10" s="21">
        <v>906.14734999999996</v>
      </c>
      <c r="D10" s="21">
        <v>8656.6233100000009</v>
      </c>
      <c r="E10" s="21">
        <v>2.1909999999999998</v>
      </c>
      <c r="F10" s="21">
        <v>2.7075999999999998</v>
      </c>
      <c r="G10" s="21">
        <v>8.7099999999999997E-2</v>
      </c>
      <c r="H10" s="21">
        <v>29.99802</v>
      </c>
      <c r="I10" s="21">
        <v>0</v>
      </c>
      <c r="J10" s="21">
        <v>0</v>
      </c>
      <c r="K10" s="22">
        <v>0</v>
      </c>
    </row>
    <row r="11" spans="1:11" x14ac:dyDescent="0.25">
      <c r="A11" s="16" t="s">
        <v>6</v>
      </c>
      <c r="B11" s="18">
        <f t="shared" si="1"/>
        <v>6150.3283599999995</v>
      </c>
      <c r="C11" s="21">
        <v>985.84883000000002</v>
      </c>
      <c r="D11" s="21">
        <v>5131.9365200000002</v>
      </c>
      <c r="E11" s="21">
        <v>2.5339999999999998</v>
      </c>
      <c r="F11" s="21">
        <v>4.6811999999999996</v>
      </c>
      <c r="G11" s="21">
        <v>0</v>
      </c>
      <c r="H11" s="21">
        <v>25.327809999999999</v>
      </c>
      <c r="I11" s="21">
        <v>0</v>
      </c>
      <c r="J11" s="21">
        <v>0</v>
      </c>
      <c r="K11" s="22">
        <v>0</v>
      </c>
    </row>
    <row r="12" spans="1:11" x14ac:dyDescent="0.25">
      <c r="A12" s="16" t="s">
        <v>7</v>
      </c>
      <c r="B12" s="18">
        <f t="shared" si="1"/>
        <v>7940.0570100000004</v>
      </c>
      <c r="C12" s="21">
        <v>1405.19084</v>
      </c>
      <c r="D12" s="21">
        <v>6490.5565399999996</v>
      </c>
      <c r="E12" s="21">
        <v>4.6970000000000001</v>
      </c>
      <c r="F12" s="21">
        <v>0.93554999999999999</v>
      </c>
      <c r="G12" s="21">
        <v>0.2019</v>
      </c>
      <c r="H12" s="21">
        <v>38.475180000000002</v>
      </c>
      <c r="I12" s="21">
        <v>0</v>
      </c>
      <c r="J12" s="21">
        <v>0</v>
      </c>
      <c r="K12" s="22">
        <v>0</v>
      </c>
    </row>
    <row r="13" spans="1:11" x14ac:dyDescent="0.25">
      <c r="A13" s="16" t="s">
        <v>8</v>
      </c>
      <c r="B13" s="18">
        <f t="shared" si="1"/>
        <v>5530.9923999999992</v>
      </c>
      <c r="C13" s="21">
        <v>1547.4398000000001</v>
      </c>
      <c r="D13" s="21">
        <v>3920.62754</v>
      </c>
      <c r="E13" s="21">
        <v>4.585</v>
      </c>
      <c r="F13" s="21">
        <v>3.9816799999999999</v>
      </c>
      <c r="G13" s="21">
        <v>6.8229999999999999E-2</v>
      </c>
      <c r="H13" s="21">
        <v>54.290149999999997</v>
      </c>
      <c r="I13" s="21">
        <v>0</v>
      </c>
      <c r="J13" s="21">
        <v>0</v>
      </c>
      <c r="K13" s="22">
        <v>0.65</v>
      </c>
    </row>
    <row r="14" spans="1:11" x14ac:dyDescent="0.25">
      <c r="A14" s="16" t="s">
        <v>9</v>
      </c>
      <c r="B14" s="18">
        <f t="shared" si="1"/>
        <v>5415.56621</v>
      </c>
      <c r="C14" s="21">
        <v>1527.90606</v>
      </c>
      <c r="D14" s="21">
        <v>3852.6851499999998</v>
      </c>
      <c r="E14" s="21">
        <v>4.8010000000000002</v>
      </c>
      <c r="F14" s="21">
        <v>3.1011199999999999</v>
      </c>
      <c r="G14" s="21">
        <v>0.1411</v>
      </c>
      <c r="H14" s="21">
        <v>26.93178</v>
      </c>
      <c r="I14" s="21">
        <v>0</v>
      </c>
      <c r="J14" s="21">
        <v>0</v>
      </c>
      <c r="K14" s="22">
        <v>0</v>
      </c>
    </row>
    <row r="15" spans="1:11" x14ac:dyDescent="0.25">
      <c r="A15" s="16" t="s">
        <v>10</v>
      </c>
      <c r="B15" s="18">
        <f t="shared" si="1"/>
        <v>4025.52504</v>
      </c>
      <c r="C15" s="21">
        <v>1089.30701</v>
      </c>
      <c r="D15" s="21">
        <v>2897.3453</v>
      </c>
      <c r="E15" s="21">
        <v>9.3819999999999997</v>
      </c>
      <c r="F15" s="21">
        <v>0</v>
      </c>
      <c r="G15" s="21">
        <v>8.2000000000000003E-2</v>
      </c>
      <c r="H15" s="21">
        <v>29.408729999999998</v>
      </c>
      <c r="I15" s="21">
        <v>0</v>
      </c>
      <c r="J15" s="21">
        <v>0</v>
      </c>
      <c r="K15" s="22">
        <v>0</v>
      </c>
    </row>
    <row r="16" spans="1:11" x14ac:dyDescent="0.25">
      <c r="A16" s="16" t="s">
        <v>11</v>
      </c>
      <c r="B16" s="18">
        <f t="shared" si="1"/>
        <v>5434.5309299999999</v>
      </c>
      <c r="C16" s="21">
        <v>1533.6373599999999</v>
      </c>
      <c r="D16" s="21">
        <v>3820.5861500000001</v>
      </c>
      <c r="E16" s="21">
        <v>9.0719999999999992</v>
      </c>
      <c r="F16" s="21">
        <v>0</v>
      </c>
      <c r="G16" s="21">
        <v>1.2E-2</v>
      </c>
      <c r="H16" s="21">
        <v>71.223420000000004</v>
      </c>
      <c r="I16" s="21">
        <v>0</v>
      </c>
      <c r="J16" s="21">
        <v>0</v>
      </c>
      <c r="K16" s="22">
        <v>0</v>
      </c>
    </row>
    <row r="17" spans="1:11" x14ac:dyDescent="0.25">
      <c r="A17" s="17" t="s">
        <v>12</v>
      </c>
      <c r="B17" s="20">
        <f t="shared" si="1"/>
        <v>10211.60801</v>
      </c>
      <c r="C17" s="23">
        <v>1848.18794</v>
      </c>
      <c r="D17" s="23">
        <v>8276.7657600000002</v>
      </c>
      <c r="E17" s="23">
        <v>36.81</v>
      </c>
      <c r="F17" s="23">
        <v>0</v>
      </c>
      <c r="G17" s="23">
        <v>0</v>
      </c>
      <c r="H17" s="23">
        <v>49.84431</v>
      </c>
      <c r="I17" s="23">
        <v>0</v>
      </c>
      <c r="J17" s="23">
        <v>0</v>
      </c>
      <c r="K17" s="24">
        <v>0</v>
      </c>
    </row>
    <row r="18" spans="1:11" x14ac:dyDescent="0.25">
      <c r="A18" s="1" t="s">
        <v>16</v>
      </c>
      <c r="B18" s="11"/>
      <c r="C18" s="12"/>
      <c r="D18" s="7"/>
      <c r="E18" s="7"/>
      <c r="F18" s="7"/>
      <c r="G18" s="7"/>
    </row>
    <row r="19" spans="1:11" x14ac:dyDescent="0.25">
      <c r="A19" s="1" t="s">
        <v>25</v>
      </c>
      <c r="B19" s="11"/>
      <c r="C19" s="12"/>
      <c r="D19" s="7"/>
      <c r="E19" s="7"/>
      <c r="F19" s="7"/>
      <c r="G19" s="7"/>
    </row>
  </sheetData>
  <mergeCells count="2">
    <mergeCell ref="A1:J1"/>
    <mergeCell ref="A2:J2"/>
  </mergeCells>
  <pageMargins left="0.7" right="0.7" top="0.75" bottom="0.75" header="0.3" footer="0.3"/>
  <pageSetup scale="52" orientation="portrait" r:id="rId1"/>
  <colBreaks count="1" manualBreakCount="1">
    <brk id="10" max="20" man="1"/>
  </colBreaks>
  <ignoredErrors>
    <ignoredError sqref="B6:B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9.11</vt:lpstr>
      <vt:lpstr>'9.11'!Print_Area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2026-07-07T03:40:23Z</cp:lastPrinted>
  <dcterms:created xsi:type="dcterms:W3CDTF">2019-09-09T05:11:24Z</dcterms:created>
  <dcterms:modified xsi:type="dcterms:W3CDTF">2026-07-07T03:40:42Z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