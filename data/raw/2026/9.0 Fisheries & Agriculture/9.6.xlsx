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\\fileserver\ST4\Dissemination\Publications\Statistical Year Book\YEARBOOK 2026\Final\9. Fisheries &amp; Agriculture\"/>
    </mc:Choice>
  </mc:AlternateContent>
  <xr:revisionPtr revIDLastSave="0" documentId="13_ncr:1_{F26AE15F-9BC0-4BBC-B661-579EA8E9775C}" xr6:coauthVersionLast="47" xr6:coauthVersionMax="47" xr10:uidLastSave="{00000000-0000-0000-0000-000000000000}"/>
  <bookViews>
    <workbookView xWindow="-120" yWindow="-120" windowWidth="29040" windowHeight="15720" tabRatio="889" xr2:uid="{00000000-000D-0000-FFFF-FFFF00000000}"/>
  </bookViews>
  <sheets>
    <sheet name="9.6" sheetId="6" r:id="rId1"/>
  </sheets>
  <definedNames>
    <definedName name="_xlnm.Print_Area" localSheetId="0">'9.6'!$A$1:$N$54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27" i="6" l="1"/>
  <c r="N20" i="6"/>
  <c r="N13" i="6"/>
  <c r="N6" i="6"/>
  <c r="M7" i="6"/>
  <c r="M8" i="6" l="1"/>
  <c r="M9" i="6"/>
  <c r="M10" i="6"/>
  <c r="M11" i="6"/>
  <c r="M12" i="6"/>
  <c r="M13" i="6"/>
  <c r="M20" i="6"/>
  <c r="M27" i="6"/>
  <c r="L8" i="6"/>
  <c r="L7" i="6"/>
  <c r="L10" i="6"/>
  <c r="L11" i="6"/>
  <c r="L12" i="6"/>
  <c r="L9" i="6"/>
  <c r="L13" i="6"/>
  <c r="L20" i="6"/>
  <c r="L27" i="6"/>
  <c r="L6" i="6" l="1"/>
  <c r="M6" i="6"/>
  <c r="K7" i="6" l="1"/>
  <c r="K8" i="6"/>
  <c r="K9" i="6"/>
  <c r="K10" i="6"/>
  <c r="K11" i="6"/>
  <c r="K12" i="6"/>
  <c r="K13" i="6"/>
  <c r="K20" i="6"/>
  <c r="K27" i="6"/>
  <c r="K6" i="6" l="1"/>
  <c r="J27" i="6"/>
  <c r="J7" i="6" l="1"/>
  <c r="J8" i="6"/>
  <c r="J9" i="6"/>
  <c r="J10" i="6"/>
  <c r="J11" i="6"/>
  <c r="J12" i="6"/>
  <c r="J13" i="6"/>
  <c r="J20" i="6"/>
  <c r="J6" i="6" l="1"/>
  <c r="I7" i="6" l="1"/>
  <c r="I8" i="6"/>
  <c r="I9" i="6"/>
  <c r="I10" i="6"/>
  <c r="I11" i="6"/>
  <c r="I12" i="6"/>
  <c r="I27" i="6"/>
  <c r="I20" i="6"/>
  <c r="I13" i="6"/>
  <c r="I6" i="6" l="1"/>
  <c r="H7" i="6" l="1"/>
  <c r="H8" i="6"/>
  <c r="H9" i="6"/>
  <c r="H10" i="6"/>
  <c r="H11" i="6"/>
  <c r="H12" i="6"/>
  <c r="H27" i="6"/>
  <c r="H20" i="6"/>
  <c r="H13" i="6"/>
  <c r="H6" i="6" l="1"/>
  <c r="G27" i="6" l="1"/>
  <c r="F27" i="6"/>
  <c r="E27" i="6"/>
  <c r="D27" i="6"/>
  <c r="C27" i="6"/>
  <c r="B27" i="6"/>
  <c r="G20" i="6"/>
  <c r="F20" i="6"/>
  <c r="E20" i="6"/>
  <c r="D20" i="6"/>
  <c r="C20" i="6"/>
  <c r="B20" i="6"/>
  <c r="G13" i="6"/>
  <c r="F13" i="6"/>
  <c r="E13" i="6"/>
  <c r="D13" i="6"/>
  <c r="C13" i="6"/>
  <c r="B13" i="6"/>
  <c r="G12" i="6"/>
  <c r="F12" i="6"/>
  <c r="E12" i="6"/>
  <c r="D12" i="6"/>
  <c r="C12" i="6"/>
  <c r="B12" i="6"/>
  <c r="G11" i="6"/>
  <c r="F11" i="6"/>
  <c r="E11" i="6"/>
  <c r="D11" i="6"/>
  <c r="C11" i="6"/>
  <c r="B11" i="6"/>
  <c r="G10" i="6"/>
  <c r="F10" i="6"/>
  <c r="E10" i="6"/>
  <c r="D10" i="6"/>
  <c r="C10" i="6"/>
  <c r="B10" i="6"/>
  <c r="G9" i="6"/>
  <c r="F9" i="6"/>
  <c r="E9" i="6"/>
  <c r="D9" i="6"/>
  <c r="C9" i="6"/>
  <c r="B9" i="6"/>
  <c r="G8" i="6"/>
  <c r="F8" i="6"/>
  <c r="E8" i="6"/>
  <c r="D8" i="6"/>
  <c r="C8" i="6"/>
  <c r="B8" i="6"/>
  <c r="G7" i="6"/>
  <c r="F7" i="6"/>
  <c r="E7" i="6"/>
  <c r="D7" i="6"/>
  <c r="C7" i="6"/>
  <c r="B7" i="6"/>
  <c r="F6" i="6" l="1"/>
  <c r="G6" i="6"/>
  <c r="E6" i="6"/>
  <c r="C6" i="6"/>
  <c r="B6" i="6"/>
  <c r="D6" i="6"/>
</calcChain>
</file>

<file path=xl/sharedStrings.xml><?xml version="1.0" encoding="utf-8"?>
<sst xmlns="http://schemas.openxmlformats.org/spreadsheetml/2006/main" count="34" uniqueCount="16">
  <si>
    <t>Bigeye tuna</t>
  </si>
  <si>
    <t>(cnunwT ckircTem)</t>
  </si>
  <si>
    <t>Yellowfin tuna</t>
  </si>
  <si>
    <t>(In metric tons)</t>
  </si>
  <si>
    <t>Skipjack</t>
  </si>
  <si>
    <t>Type of vessel &amp; species</t>
  </si>
  <si>
    <t>All Vessels</t>
  </si>
  <si>
    <t>Albacore</t>
  </si>
  <si>
    <t>Other tuna related species</t>
  </si>
  <si>
    <t>Other Marine Fishes</t>
  </si>
  <si>
    <t>Mechanised Masdhoni</t>
  </si>
  <si>
    <t>Other vessels</t>
  </si>
  <si>
    <t>Longline vessels</t>
  </si>
  <si>
    <t>Table 9.6 :  FISH CATCH BY TYPE OF VESSELS AND SPECIES, 2013 - 2025</t>
  </si>
  <si>
    <t>2025 - 2013 ,cswminEb wtwvun ifih cnutog egutwvWb eguhwm iaWncnutog egudnwLua : 9.6 ulwvWt</t>
  </si>
  <si>
    <t>Source: Ministry of Fisheries, Agriculture and Ocean Resources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</si>
</sst>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General_)"/>
    <numFmt numFmtId="167" formatCode="0.0"/>
    <numFmt numFmtId="168" formatCode="_(* #,##0_);_(* \(#,##0\);_(* &quot;-&quot;??_);_(@_)"/>
    <numFmt numFmtId="169" formatCode="#,##0.0_);[Red]\(#,##0.0\)"/>
    <numFmt numFmtId="170" formatCode="[$-409]mmmm\ d\,\ yyyy;@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Courier"/>
      <family val="3"/>
    </font>
    <font>
      <b/>
      <sz val="12"/>
      <name val="Calibri"/>
      <family val="2"/>
    </font>
    <font>
      <sz val="9"/>
      <name val="Arial"/>
      <family val="2"/>
    </font>
    <font>
      <b/>
      <sz val="9"/>
      <name val="Arial"/>
      <family val="2"/>
    </font>
    <font>
      <b/>
      <sz val="9"/>
      <name val="Calibri"/>
      <family val="2"/>
    </font>
    <font>
      <sz val="10"/>
      <name val="Calibri"/>
      <family val="2"/>
    </font>
    <font>
      <sz val="10"/>
      <name val="Arial"/>
      <family val="2"/>
    </font>
    <font>
      <b/>
      <sz val="10"/>
      <name val="Calibri"/>
      <family val="2"/>
    </font>
    <font>
      <i/>
      <sz val="9"/>
      <name val="Calibri"/>
      <family val="2"/>
    </font>
    <font>
      <sz val="9"/>
      <name val="Courier"/>
      <family val="3"/>
    </font>
    <font>
      <b/>
      <sz val="10"/>
      <name val="Arial"/>
      <family val="2"/>
    </font>
    <font>
      <sz val="9"/>
      <name val="Calibri"/>
      <family val="2"/>
    </font>
    <font>
      <b/>
      <sz val="10"/>
      <name val="Calibri"/>
      <family val="2"/>
      <scheme val="minor"/>
    </font>
    <font>
      <sz val="10"/>
      <name val="MS Sans Serif"/>
      <family val="2"/>
    </font>
    <font>
      <sz val="10"/>
      <name val="Calibri"/>
      <family val="2"/>
      <scheme val="minor"/>
    </font>
    <font>
      <b/>
      <sz val="10"/>
      <name val="A_Faseyha"/>
    </font>
    <font>
      <i/>
      <sz val="10"/>
      <name val="Calibri"/>
      <family val="2"/>
      <scheme val="minor"/>
    </font>
    <font>
      <b/>
      <sz val="12"/>
      <name val="A_Faseyha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/>
      <bottom style="hair">
        <color auto="1"/>
      </bottom>
      <diagonal/>
    </border>
  </borders>
  <cellStyleXfs count="9">
    <xf numFmtId="0" fontId="0" fillId="0" borderId="0"/>
    <xf numFmtId="43" fontId="1" fillId="0" borderId="0" applyFont="0" applyFill="0" applyBorder="0" applyAlignment="0" applyProtection="0"/>
    <xf numFmtId="164" fontId="2" fillId="0" borderId="0"/>
    <xf numFmtId="40" fontId="15" fillId="0" borderId="0" applyFont="0" applyFill="0" applyBorder="0" applyAlignment="0" applyProtection="0"/>
    <xf numFmtId="40" fontId="15" fillId="0" borderId="0" applyFont="0" applyFill="0" applyBorder="0" applyAlignment="0" applyProtection="0"/>
    <xf numFmtId="170" fontId="2" fillId="0" borderId="0"/>
    <xf numFmtId="170" fontId="2" fillId="0" borderId="0"/>
    <xf numFmtId="170" fontId="2" fillId="0" borderId="0"/>
    <xf numFmtId="0" fontId="8" fillId="0" borderId="0"/>
  </cellStyleXfs>
  <cellXfs count="50">
    <xf numFmtId="0" fontId="0" fillId="0" borderId="0" xfId="0"/>
    <xf numFmtId="164" fontId="2" fillId="2" borderId="0" xfId="2" applyFill="1" applyAlignment="1">
      <alignment vertical="center"/>
    </xf>
    <xf numFmtId="164" fontId="7" fillId="2" borderId="0" xfId="2" applyFont="1" applyFill="1" applyAlignment="1">
      <alignment horizontal="left" vertical="center"/>
    </xf>
    <xf numFmtId="164" fontId="8" fillId="2" borderId="0" xfId="2" applyFont="1" applyFill="1" applyAlignment="1">
      <alignment vertical="center"/>
    </xf>
    <xf numFmtId="164" fontId="9" fillId="2" borderId="0" xfId="2" applyFont="1" applyFill="1" applyAlignment="1">
      <alignment horizontal="left" vertical="center"/>
    </xf>
    <xf numFmtId="164" fontId="7" fillId="2" borderId="1" xfId="2" applyFont="1" applyFill="1" applyBorder="1" applyAlignment="1">
      <alignment horizontal="left" vertical="center"/>
    </xf>
    <xf numFmtId="164" fontId="11" fillId="2" borderId="0" xfId="2" applyFont="1" applyFill="1" applyAlignment="1">
      <alignment vertical="center"/>
    </xf>
    <xf numFmtId="164" fontId="10" fillId="2" borderId="0" xfId="2" applyFont="1" applyFill="1" applyAlignment="1">
      <alignment horizontal="left" vertical="center"/>
    </xf>
    <xf numFmtId="164" fontId="12" fillId="2" borderId="0" xfId="2" applyFont="1" applyFill="1" applyAlignment="1">
      <alignment vertical="center"/>
    </xf>
    <xf numFmtId="164" fontId="5" fillId="2" borderId="0" xfId="2" applyFont="1" applyFill="1" applyAlignment="1">
      <alignment vertical="center"/>
    </xf>
    <xf numFmtId="164" fontId="13" fillId="2" borderId="0" xfId="2" applyFont="1" applyFill="1" applyAlignment="1">
      <alignment vertical="center"/>
    </xf>
    <xf numFmtId="164" fontId="6" fillId="2" borderId="0" xfId="2" applyFont="1" applyFill="1" applyAlignment="1">
      <alignment vertical="center"/>
    </xf>
    <xf numFmtId="1" fontId="8" fillId="2" borderId="0" xfId="2" applyNumberFormat="1" applyFont="1" applyFill="1" applyAlignment="1">
      <alignment vertical="center"/>
    </xf>
    <xf numFmtId="164" fontId="13" fillId="2" borderId="0" xfId="2" applyFont="1" applyFill="1" applyAlignment="1">
      <alignment horizontal="right" vertical="center"/>
    </xf>
    <xf numFmtId="164" fontId="6" fillId="2" borderId="0" xfId="2" applyFont="1" applyFill="1" applyAlignment="1">
      <alignment horizontal="right" vertical="center"/>
    </xf>
    <xf numFmtId="164" fontId="9" fillId="2" borderId="3" xfId="2" applyFont="1" applyFill="1" applyBorder="1" applyAlignment="1">
      <alignment horizontal="left" vertical="center"/>
    </xf>
    <xf numFmtId="164" fontId="14" fillId="2" borderId="3" xfId="2" applyFont="1" applyFill="1" applyBorder="1" applyAlignment="1">
      <alignment horizontal="right" vertical="center"/>
    </xf>
    <xf numFmtId="38" fontId="14" fillId="2" borderId="0" xfId="4" applyNumberFormat="1" applyFont="1" applyFill="1" applyAlignment="1" applyProtection="1">
      <alignment horizontal="right" vertical="center"/>
    </xf>
    <xf numFmtId="38" fontId="14" fillId="2" borderId="0" xfId="3" applyNumberFormat="1" applyFont="1" applyFill="1" applyAlignment="1" applyProtection="1">
      <alignment horizontal="right" vertical="center"/>
    </xf>
    <xf numFmtId="0" fontId="14" fillId="2" borderId="0" xfId="0" applyFont="1" applyFill="1" applyAlignment="1">
      <alignment horizontal="left"/>
    </xf>
    <xf numFmtId="164" fontId="9" fillId="2" borderId="2" xfId="2" applyFont="1" applyFill="1" applyBorder="1" applyAlignment="1">
      <alignment horizontal="left" vertical="center"/>
    </xf>
    <xf numFmtId="38" fontId="14" fillId="2" borderId="2" xfId="3" applyNumberFormat="1" applyFont="1" applyFill="1" applyBorder="1" applyAlignment="1" applyProtection="1">
      <alignment horizontal="right" vertical="center"/>
    </xf>
    <xf numFmtId="38" fontId="16" fillId="2" borderId="0" xfId="4" applyNumberFormat="1" applyFont="1" applyFill="1" applyAlignment="1" applyProtection="1">
      <alignment horizontal="right" vertical="center"/>
      <protection locked="0"/>
    </xf>
    <xf numFmtId="38" fontId="16" fillId="2" borderId="0" xfId="3" applyNumberFormat="1" applyFont="1" applyFill="1" applyAlignment="1" applyProtection="1">
      <alignment horizontal="right" vertical="center"/>
      <protection locked="0"/>
    </xf>
    <xf numFmtId="167" fontId="11" fillId="2" borderId="0" xfId="2" applyNumberFormat="1" applyFont="1" applyFill="1" applyAlignment="1">
      <alignment vertical="center"/>
    </xf>
    <xf numFmtId="0" fontId="16" fillId="2" borderId="0" xfId="0" applyFont="1" applyFill="1" applyAlignment="1">
      <alignment horizontal="left"/>
    </xf>
    <xf numFmtId="164" fontId="7" fillId="2" borderId="2" xfId="2" applyFont="1" applyFill="1" applyBorder="1" applyAlignment="1">
      <alignment horizontal="left" vertical="center"/>
    </xf>
    <xf numFmtId="38" fontId="16" fillId="2" borderId="2" xfId="3" applyNumberFormat="1" applyFont="1" applyFill="1" applyBorder="1" applyAlignment="1" applyProtection="1">
      <alignment horizontal="right" vertical="center"/>
      <protection locked="0"/>
    </xf>
    <xf numFmtId="38" fontId="16" fillId="2" borderId="0" xfId="4" applyNumberFormat="1" applyFont="1" applyFill="1" applyAlignment="1" applyProtection="1">
      <alignment horizontal="right" vertical="center"/>
    </xf>
    <xf numFmtId="169" fontId="4" fillId="2" borderId="0" xfId="4" applyNumberFormat="1" applyFont="1" applyFill="1" applyAlignment="1" applyProtection="1">
      <alignment horizontal="right" vertical="center"/>
    </xf>
    <xf numFmtId="169" fontId="4" fillId="2" borderId="0" xfId="3" applyNumberFormat="1" applyFont="1" applyFill="1" applyAlignment="1" applyProtection="1">
      <alignment horizontal="right" vertical="center"/>
    </xf>
    <xf numFmtId="38" fontId="16" fillId="2" borderId="1" xfId="4" applyNumberFormat="1" applyFont="1" applyFill="1" applyBorder="1" applyAlignment="1" applyProtection="1">
      <alignment horizontal="right" vertical="center"/>
      <protection locked="0"/>
    </xf>
    <xf numFmtId="164" fontId="18" fillId="2" borderId="0" xfId="2" applyFont="1" applyFill="1" applyAlignment="1">
      <alignment horizontal="left" vertical="center"/>
    </xf>
    <xf numFmtId="164" fontId="7" fillId="2" borderId="0" xfId="2" applyFont="1" applyFill="1" applyAlignment="1">
      <alignment vertical="center"/>
    </xf>
    <xf numFmtId="164" fontId="16" fillId="2" borderId="0" xfId="2" applyFont="1" applyFill="1" applyAlignment="1">
      <alignment vertical="center"/>
    </xf>
    <xf numFmtId="164" fontId="14" fillId="2" borderId="0" xfId="2" applyFont="1" applyFill="1" applyAlignment="1">
      <alignment vertical="center"/>
    </xf>
    <xf numFmtId="1" fontId="11" fillId="2" borderId="0" xfId="2" applyNumberFormat="1" applyFont="1" applyFill="1" applyAlignment="1">
      <alignment vertical="center"/>
    </xf>
    <xf numFmtId="1" fontId="0" fillId="2" borderId="0" xfId="2" applyNumberFormat="1" applyFont="1" applyFill="1" applyAlignment="1">
      <alignment vertical="center"/>
    </xf>
    <xf numFmtId="43" fontId="11" fillId="2" borderId="0" xfId="1" applyFont="1" applyFill="1" applyAlignment="1">
      <alignment vertical="center"/>
    </xf>
    <xf numFmtId="168" fontId="11" fillId="2" borderId="0" xfId="1" applyNumberFormat="1" applyFont="1" applyFill="1" applyAlignment="1">
      <alignment vertical="center"/>
    </xf>
    <xf numFmtId="38" fontId="9" fillId="2" borderId="0" xfId="0" applyNumberFormat="1" applyFont="1" applyFill="1" applyAlignment="1">
      <alignment horizontal="right" vertical="center"/>
    </xf>
    <xf numFmtId="38" fontId="9" fillId="2" borderId="6" xfId="0" applyNumberFormat="1" applyFont="1" applyFill="1" applyBorder="1" applyAlignment="1">
      <alignment horizontal="right" vertical="center"/>
    </xf>
    <xf numFmtId="38" fontId="7" fillId="2" borderId="0" xfId="0" applyNumberFormat="1" applyFont="1" applyFill="1" applyAlignment="1" applyProtection="1">
      <alignment horizontal="right" vertical="center"/>
      <protection locked="0"/>
    </xf>
    <xf numFmtId="38" fontId="7" fillId="2" borderId="6" xfId="0" applyNumberFormat="1" applyFont="1" applyFill="1" applyBorder="1" applyAlignment="1" applyProtection="1">
      <alignment horizontal="right" vertical="center"/>
      <protection locked="0"/>
    </xf>
    <xf numFmtId="38" fontId="7" fillId="2" borderId="0" xfId="0" applyNumberFormat="1" applyFont="1" applyFill="1" applyAlignment="1">
      <alignment horizontal="right" vertical="center"/>
    </xf>
    <xf numFmtId="38" fontId="7" fillId="2" borderId="5" xfId="0" applyNumberFormat="1" applyFont="1" applyFill="1" applyBorder="1" applyAlignment="1" applyProtection="1">
      <alignment horizontal="right" vertical="center"/>
      <protection locked="0"/>
    </xf>
    <xf numFmtId="164" fontId="19" fillId="2" borderId="0" xfId="2" applyFont="1" applyFill="1" applyAlignment="1">
      <alignment horizontal="center" vertical="center"/>
    </xf>
    <xf numFmtId="164" fontId="3" fillId="2" borderId="0" xfId="2" applyFont="1" applyFill="1" applyAlignment="1">
      <alignment horizontal="center" vertical="center"/>
    </xf>
    <xf numFmtId="164" fontId="17" fillId="2" borderId="0" xfId="2" applyFont="1" applyFill="1" applyAlignment="1">
      <alignment horizontal="center" vertical="center" wrapText="1"/>
    </xf>
    <xf numFmtId="164" fontId="6" fillId="2" borderId="4" xfId="2" applyFont="1" applyFill="1" applyBorder="1" applyAlignment="1">
      <alignment horizontal="center" vertical="center"/>
    </xf>
  </cellXfs>
  <cellStyles count="9">
    <cellStyle name="1" xfId="8" xr:uid="{00000000-0005-0000-0000-000000000000}"/>
    <cellStyle name="Comma" xfId="1" builtinId="3"/>
    <cellStyle name="Comma 2" xfId="3" xr:uid="{00000000-0005-0000-0000-000002000000}"/>
    <cellStyle name="Comma_Fish &amp;  Agri - 8" xfId="4" xr:uid="{00000000-0005-0000-0000-000003000000}"/>
    <cellStyle name="Normal" xfId="0" builtinId="0"/>
    <cellStyle name="Normal 2_agri planning 2009 year book(final)" xfId="5" xr:uid="{00000000-0005-0000-0000-000005000000}"/>
    <cellStyle name="Normal 3_agri planning 2009 year book(final)" xfId="7" xr:uid="{00000000-0005-0000-0000-000006000000}"/>
    <cellStyle name="Normal 4_agri planning 2009 year book(final)" xfId="6" xr:uid="{00000000-0005-0000-0000-000007000000}"/>
    <cellStyle name="Normal_Fish &amp;  Agri - 8" xfId="2" xr:uid="{00000000-0005-0000-0000-00000A000000}"/>
  </cellStyles>
  <dxfs count="0"/>
  <tableStyles count="0" defaultTableStyle="TableStyleMedium2" defaultPivotStyle="PivotStyleLight16"/>
  <colors>
    <mruColors>
      <color rgb="FF9BC2E6"/>
      <color rgb="FF003399"/>
      <color rgb="FFEEEEEE"/>
      <color rgb="FFAEAAAA"/>
      <color rgb="FF7E5400"/>
      <color rgb="FF33CCCC"/>
      <color rgb="FF249390"/>
      <color rgb="FF00FFCC"/>
      <color rgb="FFEAFAFA"/>
      <color rgb="FFFFD5D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 b="1">
                <a:solidFill>
                  <a:schemeClr val="tx1"/>
                </a:solidFill>
              </a:rPr>
              <a:t>Figure 9.4: Percentage of  fish catch by type of  species, 2025</a:t>
            </a:r>
          </a:p>
        </c:rich>
      </c:tx>
      <c:layout>
        <c:manualLayout>
          <c:xMode val="edge"/>
          <c:yMode val="edge"/>
          <c:x val="0.14740330407105226"/>
          <c:y val="6.1205402987215524E-2"/>
        </c:manualLayout>
      </c:layout>
      <c:overlay val="0"/>
      <c:spPr>
        <a:noFill/>
        <a:ln>
          <a:noFill/>
        </a:ln>
        <a:effectLst/>
      </c:spPr>
    </c:title>
    <c:autoTitleDeleted val="0"/>
    <c:view3D>
      <c:rotX val="30"/>
      <c:rotY val="131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1.5452186245661453E-2"/>
          <c:y val="0.16216197962446416"/>
          <c:w val="0.86631689728810357"/>
          <c:h val="0.78181414117634185"/>
        </c:manualLayout>
      </c:layout>
      <c:pie3DChart>
        <c:varyColors val="1"/>
        <c:ser>
          <c:idx val="0"/>
          <c:order val="0"/>
          <c:spPr>
            <a:solidFill>
              <a:schemeClr val="bg1">
                <a:lumMod val="65000"/>
              </a:schemeClr>
            </a:solidFill>
          </c:spPr>
          <c:dPt>
            <c:idx val="0"/>
            <c:bubble3D val="0"/>
            <c:spPr>
              <a:solidFill>
                <a:schemeClr val="accent6">
                  <a:lumMod val="75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1-0D61-4843-B8E9-FCB66BA65BCC}"/>
              </c:ext>
            </c:extLst>
          </c:dPt>
          <c:dPt>
            <c:idx val="1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0-0D61-4843-B8E9-FCB66BA65BCC}"/>
              </c:ext>
            </c:extLst>
          </c:dPt>
          <c:dLbls>
            <c:dLbl>
              <c:idx val="0"/>
              <c:layout>
                <c:manualLayout>
                  <c:x val="0.25996845392816598"/>
                  <c:y val="2.3871558985367231E-3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0D61-4843-B8E9-FCB66BA65BCC}"/>
                </c:ext>
              </c:extLst>
            </c:dLbl>
            <c:dLbl>
              <c:idx val="1"/>
              <c:layout>
                <c:manualLayout>
                  <c:x val="-0.2218833625605969"/>
                  <c:y val="-0.14408401063107984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0D61-4843-B8E9-FCB66BA65BCC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FDFB-4C84-9FD1-BBF4D1BB0523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FDFB-4C84-9FD1-BBF4D1BB0523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FDFB-4C84-9FD1-BBF4D1BB0523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'9.6'!$A$7:$A$12</c:f>
              <c:strCache>
                <c:ptCount val="6"/>
                <c:pt idx="0">
                  <c:v>Skipjack</c:v>
                </c:pt>
                <c:pt idx="1">
                  <c:v>Yellowfin tuna</c:v>
                </c:pt>
                <c:pt idx="2">
                  <c:v>Bigeye tuna</c:v>
                </c:pt>
                <c:pt idx="3">
                  <c:v>Albacore</c:v>
                </c:pt>
                <c:pt idx="4">
                  <c:v>Other tuna related species</c:v>
                </c:pt>
                <c:pt idx="5">
                  <c:v>Other Marine Fishes</c:v>
                </c:pt>
              </c:strCache>
            </c:strRef>
          </c:cat>
          <c:val>
            <c:numRef>
              <c:f>'9.6'!$N$7:$N$12</c:f>
              <c:numCache>
                <c:formatCode>#,##0_);[Red]\(#,##0\)</c:formatCode>
                <c:ptCount val="6"/>
                <c:pt idx="0">
                  <c:v>117233.121947837</c:v>
                </c:pt>
                <c:pt idx="1">
                  <c:v>31777.629666818098</c:v>
                </c:pt>
                <c:pt idx="2">
                  <c:v>195.929173794761</c:v>
                </c:pt>
                <c:pt idx="3">
                  <c:v>0</c:v>
                </c:pt>
                <c:pt idx="4">
                  <c:v>93.017505982175905</c:v>
                </c:pt>
                <c:pt idx="5">
                  <c:v>832.82904097491405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8A9F-4895-81DB-58F06A800A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</c:plotArea>
    <c:plotVisOnly val="1"/>
    <c:dispBlanksAs val="gap"/>
    <c:showDLblsOverMax val="0"/>
  </c:chart>
  <c:spPr>
    <a:solidFill>
      <a:schemeClr val="accent6">
        <a:lumMod val="20000"/>
        <a:lumOff val="8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450842</xdr:colOff>
      <xdr:row>34</xdr:row>
      <xdr:rowOff>54344</xdr:rowOff>
    </xdr:from>
    <xdr:to>
      <xdr:col>9</xdr:col>
      <xdr:colOff>578303</xdr:colOff>
      <xdr:row>53</xdr:row>
      <xdr:rowOff>68036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D51"/>
  <sheetViews>
    <sheetView tabSelected="1" topLeftCell="A5" zoomScale="112" zoomScaleNormal="112" zoomScaleSheetLayoutView="178" workbookViewId="0">
      <selection activeCell="L47" sqref="L47"/>
    </sheetView>
  </sheetViews>
  <sheetFormatPr defaultColWidth="8.85546875" defaultRowHeight="12.75" x14ac:dyDescent="0.25"/>
  <cols>
    <col min="1" max="1" width="24.7109375" style="3" customWidth="1"/>
    <col min="2" max="2" width="11.140625" style="34" customWidth="1"/>
    <col min="3" max="9" width="10.5703125" style="34" customWidth="1"/>
    <col min="10" max="14" width="10.5703125" style="3" customWidth="1"/>
    <col min="15" max="15" width="13.7109375" style="3" bestFit="1" customWidth="1"/>
    <col min="16" max="16" width="22.28515625" style="3" bestFit="1" customWidth="1"/>
    <col min="17" max="16384" width="8.85546875" style="3"/>
  </cols>
  <sheetData>
    <row r="1" spans="1:30" s="8" customFormat="1" ht="18.75" x14ac:dyDescent="0.25">
      <c r="A1" s="46" t="s">
        <v>14</v>
      </c>
      <c r="B1" s="46"/>
      <c r="C1" s="46"/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 spans="1:30" s="14" customFormat="1" ht="15.75" x14ac:dyDescent="0.25">
      <c r="A2" s="47" t="s">
        <v>13</v>
      </c>
      <c r="B2" s="47"/>
      <c r="C2" s="47"/>
      <c r="D2" s="47"/>
      <c r="E2" s="47"/>
      <c r="F2" s="47"/>
      <c r="G2" s="47"/>
      <c r="H2" s="47"/>
      <c r="I2" s="47"/>
      <c r="J2" s="47"/>
      <c r="K2" s="47"/>
      <c r="L2" s="47"/>
      <c r="M2" s="47"/>
      <c r="N2" s="47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</row>
    <row r="3" spans="1:30" s="9" customFormat="1" ht="15.75" x14ac:dyDescent="0.25">
      <c r="A3" s="48" t="s">
        <v>1</v>
      </c>
      <c r="B3" s="48"/>
      <c r="C3" s="48"/>
      <c r="D3" s="48"/>
      <c r="E3" s="48"/>
      <c r="F3" s="48"/>
      <c r="G3" s="48"/>
      <c r="H3" s="48"/>
      <c r="I3" s="48"/>
      <c r="J3" s="48"/>
      <c r="K3" s="48"/>
      <c r="L3" s="48"/>
      <c r="M3" s="48"/>
      <c r="N3" s="48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</row>
    <row r="4" spans="1:30" s="11" customFormat="1" ht="12.95" customHeight="1" x14ac:dyDescent="0.25">
      <c r="A4" s="49" t="s">
        <v>3</v>
      </c>
      <c r="B4" s="49"/>
      <c r="C4" s="49"/>
      <c r="D4" s="49"/>
      <c r="E4" s="49"/>
      <c r="F4" s="49"/>
      <c r="G4" s="49"/>
      <c r="H4" s="49"/>
      <c r="I4" s="49"/>
      <c r="J4" s="49"/>
      <c r="K4" s="49"/>
      <c r="L4" s="49"/>
      <c r="M4" s="49"/>
      <c r="N4" s="49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</row>
    <row r="5" spans="1:30" s="8" customFormat="1" x14ac:dyDescent="0.25">
      <c r="A5" s="15" t="s">
        <v>5</v>
      </c>
      <c r="B5" s="16">
        <v>2013</v>
      </c>
      <c r="C5" s="16">
        <v>2014</v>
      </c>
      <c r="D5" s="16">
        <v>2015</v>
      </c>
      <c r="E5" s="16">
        <v>2016</v>
      </c>
      <c r="F5" s="16">
        <v>2017</v>
      </c>
      <c r="G5" s="16">
        <v>2018</v>
      </c>
      <c r="H5" s="16">
        <v>2019</v>
      </c>
      <c r="I5" s="16">
        <v>2020</v>
      </c>
      <c r="J5" s="16">
        <v>2021</v>
      </c>
      <c r="K5" s="16">
        <v>2022</v>
      </c>
      <c r="L5" s="16">
        <v>2023</v>
      </c>
      <c r="M5" s="16">
        <v>2024</v>
      </c>
      <c r="N5" s="16">
        <v>2025</v>
      </c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</row>
    <row r="6" spans="1:30" s="9" customFormat="1" x14ac:dyDescent="0.25">
      <c r="A6" s="4" t="s">
        <v>6</v>
      </c>
      <c r="B6" s="17">
        <f>SUM(B7:B12)</f>
        <v>129843.14697257294</v>
      </c>
      <c r="C6" s="17">
        <f t="shared" ref="C6:G6" si="0">SUM(C7:C12)</f>
        <v>128683.22700000007</v>
      </c>
      <c r="D6" s="17">
        <f t="shared" si="0"/>
        <v>127351.81848143297</v>
      </c>
      <c r="E6" s="17">
        <f t="shared" si="0"/>
        <v>129190.99510655231</v>
      </c>
      <c r="F6" s="17">
        <f t="shared" si="0"/>
        <v>143159.96433162465</v>
      </c>
      <c r="G6" s="17">
        <f t="shared" si="0"/>
        <v>151024.32375223361</v>
      </c>
      <c r="H6" s="17">
        <f t="shared" ref="H6:L6" si="1">SUM(H7:H12)</f>
        <v>135068.92557018774</v>
      </c>
      <c r="I6" s="17">
        <f t="shared" si="1"/>
        <v>148582.96918261508</v>
      </c>
      <c r="J6" s="17">
        <f t="shared" si="1"/>
        <v>144992.65539280474</v>
      </c>
      <c r="K6" s="17">
        <f t="shared" si="1"/>
        <v>155205.21614942857</v>
      </c>
      <c r="L6" s="17">
        <f t="shared" si="1"/>
        <v>160683.1318690328</v>
      </c>
      <c r="M6" s="17">
        <f t="shared" ref="M6:N6" si="2">SUM(M7:M12)</f>
        <v>107666.3761485508</v>
      </c>
      <c r="N6" s="17">
        <f t="shared" si="2"/>
        <v>150132.52733540692</v>
      </c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</row>
    <row r="7" spans="1:30" s="9" customFormat="1" x14ac:dyDescent="0.25">
      <c r="A7" s="4" t="s">
        <v>4</v>
      </c>
      <c r="B7" s="18">
        <f t="shared" ref="B7:G12" si="3">B14+B21+B28</f>
        <v>74421.630037020906</v>
      </c>
      <c r="C7" s="18">
        <f t="shared" si="3"/>
        <v>68521.958485088442</v>
      </c>
      <c r="D7" s="18">
        <f t="shared" si="3"/>
        <v>69244.324399131321</v>
      </c>
      <c r="E7" s="18">
        <f t="shared" si="3"/>
        <v>69589.480938961424</v>
      </c>
      <c r="F7" s="18">
        <f t="shared" si="3"/>
        <v>89683.148024090726</v>
      </c>
      <c r="G7" s="18">
        <f t="shared" si="3"/>
        <v>100099.48690598567</v>
      </c>
      <c r="H7" s="18">
        <f t="shared" ref="H7:I12" si="4">H14+H21+H28</f>
        <v>88019.666239199301</v>
      </c>
      <c r="I7" s="18">
        <f t="shared" si="4"/>
        <v>103870.66972179353</v>
      </c>
      <c r="J7" s="18">
        <f t="shared" ref="J7:K7" si="5">J14+J21+J28</f>
        <v>118683.30116795225</v>
      </c>
      <c r="K7" s="18">
        <f t="shared" si="5"/>
        <v>126385.79982430226</v>
      </c>
      <c r="L7" s="18">
        <f t="shared" ref="L7:M12" si="6">L14+L21+L28</f>
        <v>129200.73426197746</v>
      </c>
      <c r="M7" s="18">
        <f>M14+M21+M28</f>
        <v>80292.561614211634</v>
      </c>
      <c r="N7" s="40">
        <v>117233.121947837</v>
      </c>
      <c r="O7" s="39"/>
      <c r="P7" s="38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</row>
    <row r="8" spans="1:30" s="9" customFormat="1" x14ac:dyDescent="0.25">
      <c r="A8" s="4" t="s">
        <v>2</v>
      </c>
      <c r="B8" s="18">
        <f>B15+B22+B29</f>
        <v>45626.057995683717</v>
      </c>
      <c r="C8" s="18">
        <f t="shared" si="3"/>
        <v>49100.552219018806</v>
      </c>
      <c r="D8" s="18">
        <f t="shared" si="3"/>
        <v>51472.456475638181</v>
      </c>
      <c r="E8" s="18">
        <f t="shared" si="3"/>
        <v>53705.451966179055</v>
      </c>
      <c r="F8" s="18">
        <f t="shared" si="3"/>
        <v>49376.811349197844</v>
      </c>
      <c r="G8" s="18">
        <f t="shared" si="3"/>
        <v>47216.695506999946</v>
      </c>
      <c r="H8" s="18">
        <f t="shared" si="4"/>
        <v>44423.897166028532</v>
      </c>
      <c r="I8" s="18">
        <f t="shared" si="4"/>
        <v>42704.576500856863</v>
      </c>
      <c r="J8" s="18">
        <f t="shared" ref="J8:K8" si="7">J15+J22+J29</f>
        <v>24547.862347577371</v>
      </c>
      <c r="K8" s="18">
        <f t="shared" si="7"/>
        <v>28082.962978199947</v>
      </c>
      <c r="L8" s="18">
        <f t="shared" si="6"/>
        <v>30775.6657436399</v>
      </c>
      <c r="M8" s="18">
        <f t="shared" si="6"/>
        <v>26477.308942631687</v>
      </c>
      <c r="N8" s="40">
        <v>31777.629666818098</v>
      </c>
      <c r="O8" s="39"/>
      <c r="P8" s="38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</row>
    <row r="9" spans="1:30" s="9" customFormat="1" x14ac:dyDescent="0.25">
      <c r="A9" s="4" t="s">
        <v>0</v>
      </c>
      <c r="B9" s="18">
        <f>B16+B23+B30</f>
        <v>1520.3581800000002</v>
      </c>
      <c r="C9" s="18">
        <f t="shared" si="3"/>
        <v>2334.0795325544514</v>
      </c>
      <c r="D9" s="18">
        <f t="shared" si="3"/>
        <v>1828.2678227461424</v>
      </c>
      <c r="E9" s="18">
        <f t="shared" si="3"/>
        <v>2480.0423404201283</v>
      </c>
      <c r="F9" s="18">
        <f t="shared" si="3"/>
        <v>1074.1737564163373</v>
      </c>
      <c r="G9" s="18">
        <f t="shared" si="3"/>
        <v>432.30529269740236</v>
      </c>
      <c r="H9" s="18">
        <f t="shared" si="4"/>
        <v>395.98115232852712</v>
      </c>
      <c r="I9" s="18">
        <f t="shared" si="4"/>
        <v>212.68961995324838</v>
      </c>
      <c r="J9" s="18">
        <f t="shared" ref="J9:K9" si="8">J16+J23+J30</f>
        <v>224.22526847471417</v>
      </c>
      <c r="K9" s="18">
        <f t="shared" si="8"/>
        <v>223.89013175083426</v>
      </c>
      <c r="L9" s="18">
        <f t="shared" si="6"/>
        <v>395.66546875728534</v>
      </c>
      <c r="M9" s="18">
        <f t="shared" si="6"/>
        <v>271.19266748034448</v>
      </c>
      <c r="N9" s="40">
        <v>195.929173794761</v>
      </c>
      <c r="O9" s="39"/>
      <c r="P9" s="38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</row>
    <row r="10" spans="1:30" s="9" customFormat="1" x14ac:dyDescent="0.2">
      <c r="A10" s="19" t="s">
        <v>7</v>
      </c>
      <c r="B10" s="18">
        <f>B17+B24+B31</f>
        <v>0</v>
      </c>
      <c r="C10" s="18">
        <f t="shared" si="3"/>
        <v>0</v>
      </c>
      <c r="D10" s="18">
        <f t="shared" si="3"/>
        <v>1.2469999999999999</v>
      </c>
      <c r="E10" s="18">
        <f t="shared" si="3"/>
        <v>15.290000000000001</v>
      </c>
      <c r="F10" s="18">
        <f t="shared" si="3"/>
        <v>3.4710000000000005</v>
      </c>
      <c r="G10" s="18">
        <f t="shared" si="3"/>
        <v>10.569000000000001</v>
      </c>
      <c r="H10" s="18">
        <f t="shared" si="4"/>
        <v>4.1649999999999991</v>
      </c>
      <c r="I10" s="18">
        <f t="shared" si="4"/>
        <v>0</v>
      </c>
      <c r="J10" s="18">
        <f t="shared" ref="J10:K10" si="9">J17+J24+J31</f>
        <v>0</v>
      </c>
      <c r="K10" s="18">
        <f t="shared" si="9"/>
        <v>0</v>
      </c>
      <c r="L10" s="18">
        <f t="shared" si="6"/>
        <v>0</v>
      </c>
      <c r="M10" s="18">
        <f t="shared" si="6"/>
        <v>0</v>
      </c>
      <c r="N10" s="40">
        <v>0</v>
      </c>
      <c r="O10" s="39"/>
      <c r="P10" s="38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</row>
    <row r="11" spans="1:30" s="9" customFormat="1" x14ac:dyDescent="0.25">
      <c r="A11" s="4" t="s">
        <v>8</v>
      </c>
      <c r="B11" s="18">
        <f>B18+B25+B32</f>
        <v>1664.0466762930218</v>
      </c>
      <c r="C11" s="18">
        <f t="shared" si="3"/>
        <v>1590.1763812155898</v>
      </c>
      <c r="D11" s="18">
        <f t="shared" si="3"/>
        <v>388.14185000950374</v>
      </c>
      <c r="E11" s="18">
        <f t="shared" si="3"/>
        <v>184.62584430785094</v>
      </c>
      <c r="F11" s="18">
        <f t="shared" si="3"/>
        <v>528.43389924277017</v>
      </c>
      <c r="G11" s="18">
        <f t="shared" si="3"/>
        <v>439.81229963149298</v>
      </c>
      <c r="H11" s="18">
        <f t="shared" si="4"/>
        <v>181.98295910647892</v>
      </c>
      <c r="I11" s="18">
        <f t="shared" si="4"/>
        <v>98.424318844106836</v>
      </c>
      <c r="J11" s="18">
        <f t="shared" ref="J11:K11" si="10">J18+J25+J32</f>
        <v>85.292200269940651</v>
      </c>
      <c r="K11" s="18">
        <f t="shared" si="10"/>
        <v>58.484137407457986</v>
      </c>
      <c r="L11" s="18">
        <f t="shared" si="6"/>
        <v>117.31568347240568</v>
      </c>
      <c r="M11" s="18">
        <f t="shared" si="6"/>
        <v>109.98581078538794</v>
      </c>
      <c r="N11" s="40">
        <v>93.017505982175905</v>
      </c>
      <c r="O11" s="39"/>
      <c r="P11" s="38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</row>
    <row r="12" spans="1:30" s="9" customFormat="1" x14ac:dyDescent="0.25">
      <c r="A12" s="20" t="s">
        <v>9</v>
      </c>
      <c r="B12" s="21">
        <f>B19+B26+B33</f>
        <v>6611.0540835753118</v>
      </c>
      <c r="C12" s="21">
        <f t="shared" si="3"/>
        <v>7136.4603821227938</v>
      </c>
      <c r="D12" s="21">
        <f t="shared" si="3"/>
        <v>4417.3809339078243</v>
      </c>
      <c r="E12" s="21">
        <f t="shared" si="3"/>
        <v>3216.1040166838497</v>
      </c>
      <c r="F12" s="21">
        <f t="shared" si="3"/>
        <v>2493.9263026769804</v>
      </c>
      <c r="G12" s="21">
        <f t="shared" si="3"/>
        <v>2825.4547469191102</v>
      </c>
      <c r="H12" s="21">
        <f t="shared" si="4"/>
        <v>2043.233053524893</v>
      </c>
      <c r="I12" s="21">
        <f t="shared" si="4"/>
        <v>1696.6090211673259</v>
      </c>
      <c r="J12" s="21">
        <f t="shared" ref="J12:K12" si="11">J19+J26+J33</f>
        <v>1451.9744085304569</v>
      </c>
      <c r="K12" s="21">
        <f t="shared" si="11"/>
        <v>454.07907776806996</v>
      </c>
      <c r="L12" s="21">
        <f t="shared" si="6"/>
        <v>193.75071118576031</v>
      </c>
      <c r="M12" s="21">
        <f t="shared" si="6"/>
        <v>515.32711344174902</v>
      </c>
      <c r="N12" s="41">
        <v>832.82904097491405</v>
      </c>
      <c r="O12" s="39"/>
      <c r="P12" s="38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</row>
    <row r="13" spans="1:30" s="9" customFormat="1" x14ac:dyDescent="0.25">
      <c r="A13" s="4" t="s">
        <v>10</v>
      </c>
      <c r="B13" s="17">
        <f t="shared" ref="B13:G13" si="12">SUM(B14:B19)</f>
        <v>127749.7519243329</v>
      </c>
      <c r="C13" s="17">
        <f t="shared" si="12"/>
        <v>125719.12905590361</v>
      </c>
      <c r="D13" s="17">
        <f t="shared" si="12"/>
        <v>126033.20197139472</v>
      </c>
      <c r="E13" s="17">
        <f t="shared" si="12"/>
        <v>126998.75543939034</v>
      </c>
      <c r="F13" s="17">
        <f t="shared" si="12"/>
        <v>140592.52760031726</v>
      </c>
      <c r="G13" s="17">
        <f t="shared" si="12"/>
        <v>149483.07983864215</v>
      </c>
      <c r="H13" s="17">
        <f t="shared" ref="H13:M13" si="13">SUM(H14:H19)</f>
        <v>134369.24852018774</v>
      </c>
      <c r="I13" s="17">
        <f t="shared" si="13"/>
        <v>148465.82010228059</v>
      </c>
      <c r="J13" s="17">
        <f t="shared" si="13"/>
        <v>144506.83681234741</v>
      </c>
      <c r="K13" s="17">
        <f t="shared" si="13"/>
        <v>154799.02709490771</v>
      </c>
      <c r="L13" s="17">
        <f t="shared" si="13"/>
        <v>160467.49772016457</v>
      </c>
      <c r="M13" s="17">
        <f t="shared" si="13"/>
        <v>107651.21902303321</v>
      </c>
      <c r="N13" s="17">
        <f t="shared" ref="N13" si="14">SUM(N14:N19)</f>
        <v>150128.84249123631</v>
      </c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</row>
    <row r="14" spans="1:30" s="9" customFormat="1" x14ac:dyDescent="0.25">
      <c r="A14" s="2" t="s">
        <v>4</v>
      </c>
      <c r="B14" s="23">
        <v>74320.951139064913</v>
      </c>
      <c r="C14" s="23">
        <v>68264.06166711259</v>
      </c>
      <c r="D14" s="23">
        <v>68993.039348680875</v>
      </c>
      <c r="E14" s="23">
        <v>69296.858985614817</v>
      </c>
      <c r="F14" s="23">
        <v>89674.12634652984</v>
      </c>
      <c r="G14" s="23">
        <v>99948.05043073585</v>
      </c>
      <c r="H14" s="23">
        <v>88018.208239199303</v>
      </c>
      <c r="I14" s="23">
        <v>103788.1665485936</v>
      </c>
      <c r="J14" s="23">
        <v>118277.83007352566</v>
      </c>
      <c r="K14" s="23">
        <v>126007.14471613413</v>
      </c>
      <c r="L14" s="23">
        <v>129015.29534298787</v>
      </c>
      <c r="M14" s="23">
        <v>80277.404488694039</v>
      </c>
      <c r="N14" s="42">
        <v>117233.121947837</v>
      </c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</row>
    <row r="15" spans="1:30" s="9" customFormat="1" x14ac:dyDescent="0.25">
      <c r="A15" s="2" t="s">
        <v>2</v>
      </c>
      <c r="B15" s="23">
        <v>45098.605516431489</v>
      </c>
      <c r="C15" s="23">
        <v>48392.262881971219</v>
      </c>
      <c r="D15" s="23">
        <v>50839.521094786913</v>
      </c>
      <c r="E15" s="23">
        <v>52923.722126591507</v>
      </c>
      <c r="F15" s="23">
        <v>48084.267819922592</v>
      </c>
      <c r="G15" s="23">
        <v>46558.076742999947</v>
      </c>
      <c r="H15" s="23">
        <v>43944.683666028533</v>
      </c>
      <c r="I15" s="23">
        <v>42670.296822357966</v>
      </c>
      <c r="J15" s="23">
        <v>24475.863962238676</v>
      </c>
      <c r="K15" s="23">
        <v>28059.750853199948</v>
      </c>
      <c r="L15" s="23">
        <v>30762.253919417351</v>
      </c>
      <c r="M15" s="23">
        <v>26477.308942631687</v>
      </c>
      <c r="N15" s="42">
        <v>31775.164396879602</v>
      </c>
      <c r="O15" s="6"/>
      <c r="P15" s="4"/>
      <c r="Q15" s="6"/>
      <c r="R15" s="6"/>
      <c r="S15" s="6"/>
      <c r="T15" s="4"/>
      <c r="U15" s="17"/>
      <c r="V15" s="24"/>
      <c r="W15" s="6"/>
      <c r="X15" s="6"/>
      <c r="Y15" s="6"/>
      <c r="Z15" s="6"/>
      <c r="AA15" s="6"/>
      <c r="AB15" s="6"/>
      <c r="AC15" s="6"/>
      <c r="AD15" s="6"/>
    </row>
    <row r="16" spans="1:30" s="9" customFormat="1" x14ac:dyDescent="0.25">
      <c r="A16" s="2" t="s">
        <v>0</v>
      </c>
      <c r="B16" s="23">
        <v>461.89524</v>
      </c>
      <c r="C16" s="23">
        <v>832.08553255445054</v>
      </c>
      <c r="D16" s="23">
        <v>1597.0517227461426</v>
      </c>
      <c r="E16" s="23">
        <v>1850.7364661923034</v>
      </c>
      <c r="F16" s="23">
        <v>382.19979641633751</v>
      </c>
      <c r="G16" s="23">
        <v>267.71670285126027</v>
      </c>
      <c r="H16" s="23">
        <v>312.38460232852714</v>
      </c>
      <c r="I16" s="23">
        <v>212.323391317589</v>
      </c>
      <c r="J16" s="23">
        <v>215.95905308926089</v>
      </c>
      <c r="K16" s="23">
        <v>223.15267384086295</v>
      </c>
      <c r="L16" s="23">
        <v>395.66546875728534</v>
      </c>
      <c r="M16" s="23">
        <v>271.19266748034448</v>
      </c>
      <c r="N16" s="42">
        <v>194.709599562633</v>
      </c>
      <c r="O16" s="6"/>
      <c r="P16" s="4"/>
      <c r="Q16" s="6"/>
      <c r="R16" s="6"/>
      <c r="S16" s="6"/>
      <c r="T16" s="4"/>
      <c r="U16" s="17"/>
      <c r="V16" s="24"/>
      <c r="W16" s="6"/>
      <c r="X16" s="6"/>
      <c r="Y16" s="6"/>
      <c r="Z16" s="6"/>
      <c r="AA16" s="6"/>
      <c r="AB16" s="6"/>
      <c r="AC16" s="6"/>
      <c r="AD16" s="6"/>
    </row>
    <row r="17" spans="1:30" s="9" customFormat="1" x14ac:dyDescent="0.2">
      <c r="A17" s="25" t="s">
        <v>7</v>
      </c>
      <c r="B17" s="23">
        <v>0</v>
      </c>
      <c r="C17" s="23">
        <v>0</v>
      </c>
      <c r="D17" s="23">
        <v>0</v>
      </c>
      <c r="E17" s="23">
        <v>0</v>
      </c>
      <c r="F17" s="23">
        <v>0</v>
      </c>
      <c r="G17" s="23">
        <v>0</v>
      </c>
      <c r="H17" s="23">
        <v>0</v>
      </c>
      <c r="I17" s="23">
        <v>0</v>
      </c>
      <c r="J17" s="23">
        <v>0</v>
      </c>
      <c r="K17" s="23">
        <v>0</v>
      </c>
      <c r="L17" s="23">
        <v>0</v>
      </c>
      <c r="M17" s="23">
        <v>0</v>
      </c>
      <c r="N17" s="42">
        <v>0</v>
      </c>
      <c r="O17" s="6"/>
      <c r="P17" s="4"/>
      <c r="Q17" s="6"/>
      <c r="R17" s="6"/>
      <c r="S17" s="6"/>
      <c r="T17" s="4"/>
      <c r="U17" s="17"/>
      <c r="V17" s="24"/>
      <c r="W17" s="6"/>
      <c r="X17" s="6"/>
      <c r="Y17" s="6"/>
      <c r="Z17" s="6"/>
      <c r="AA17" s="6"/>
      <c r="AB17" s="6"/>
      <c r="AC17" s="6"/>
      <c r="AD17" s="6"/>
    </row>
    <row r="18" spans="1:30" s="9" customFormat="1" x14ac:dyDescent="0.25">
      <c r="A18" s="2" t="s">
        <v>8</v>
      </c>
      <c r="B18" s="23">
        <v>1633.567275997812</v>
      </c>
      <c r="C18" s="23">
        <v>1578.9184695880226</v>
      </c>
      <c r="D18" s="23">
        <v>382.14671124456078</v>
      </c>
      <c r="E18" s="23">
        <v>184.62584430785094</v>
      </c>
      <c r="F18" s="23">
        <v>528.43389924277017</v>
      </c>
      <c r="G18" s="23">
        <v>420.82297649699524</v>
      </c>
      <c r="H18" s="23">
        <v>181.98295910647892</v>
      </c>
      <c r="I18" s="23">
        <v>98.424318844106836</v>
      </c>
      <c r="J18" s="23">
        <v>85.289012373532842</v>
      </c>
      <c r="K18" s="23">
        <v>57.272707575882919</v>
      </c>
      <c r="L18" s="23">
        <v>114.79815322255334</v>
      </c>
      <c r="M18" s="23">
        <v>109.98581078538794</v>
      </c>
      <c r="N18" s="42">
        <v>93.017505982175905</v>
      </c>
      <c r="O18" s="6"/>
      <c r="P18" s="4"/>
      <c r="Q18" s="6"/>
      <c r="R18" s="6"/>
      <c r="S18" s="6"/>
      <c r="T18" s="4"/>
      <c r="U18" s="17"/>
      <c r="V18" s="24"/>
      <c r="W18" s="6"/>
      <c r="X18" s="6"/>
      <c r="Y18" s="6"/>
      <c r="Z18" s="6"/>
      <c r="AA18" s="6"/>
      <c r="AB18" s="6"/>
      <c r="AC18" s="6"/>
      <c r="AD18" s="6"/>
    </row>
    <row r="19" spans="1:30" s="9" customFormat="1" x14ac:dyDescent="0.25">
      <c r="A19" s="26" t="s">
        <v>9</v>
      </c>
      <c r="B19" s="27">
        <v>6234.7327528386877</v>
      </c>
      <c r="C19" s="27">
        <v>6651.8005046773324</v>
      </c>
      <c r="D19" s="27">
        <v>4221.4430939362337</v>
      </c>
      <c r="E19" s="27">
        <v>2742.8120166838498</v>
      </c>
      <c r="F19" s="27">
        <v>1923.4997382057331</v>
      </c>
      <c r="G19" s="27">
        <v>2288.4129855580886</v>
      </c>
      <c r="H19" s="27">
        <v>1911.9890535248931</v>
      </c>
      <c r="I19" s="27">
        <v>1696.6090211673259</v>
      </c>
      <c r="J19" s="27">
        <v>1451.8947111202617</v>
      </c>
      <c r="K19" s="27">
        <v>451.70614415685361</v>
      </c>
      <c r="L19" s="27">
        <v>179.48483577949929</v>
      </c>
      <c r="M19" s="27">
        <v>515.32711344174902</v>
      </c>
      <c r="N19" s="43">
        <v>832.82904097491405</v>
      </c>
      <c r="O19" s="6"/>
      <c r="P19" s="4"/>
      <c r="Q19" s="6"/>
      <c r="R19" s="6"/>
      <c r="S19" s="6"/>
      <c r="T19" s="4"/>
      <c r="U19" s="17"/>
      <c r="V19" s="24"/>
      <c r="W19" s="6"/>
      <c r="X19" s="6"/>
      <c r="Y19" s="6"/>
      <c r="Z19" s="6"/>
      <c r="AA19" s="6"/>
      <c r="AB19" s="6"/>
      <c r="AC19" s="6"/>
      <c r="AD19" s="6"/>
    </row>
    <row r="20" spans="1:30" s="9" customFormat="1" x14ac:dyDescent="0.25">
      <c r="A20" s="4" t="s">
        <v>11</v>
      </c>
      <c r="B20" s="17">
        <f t="shared" ref="B20:G20" si="15">SUM(B21:B26)</f>
        <v>492.97239824004771</v>
      </c>
      <c r="C20" s="17">
        <f t="shared" si="15"/>
        <v>840.85994409647162</v>
      </c>
      <c r="D20" s="17">
        <f t="shared" si="15"/>
        <v>834.73882003824372</v>
      </c>
      <c r="E20" s="17">
        <f t="shared" si="15"/>
        <v>350.24466716197429</v>
      </c>
      <c r="F20" s="17">
        <f t="shared" si="15"/>
        <v>31.751651307386688</v>
      </c>
      <c r="G20" s="17">
        <f t="shared" si="15"/>
        <v>195.73893359147394</v>
      </c>
      <c r="H20" s="17">
        <f t="shared" ref="H20:M20" si="16">SUM(H21:H26)</f>
        <v>0</v>
      </c>
      <c r="I20" s="17">
        <f t="shared" si="16"/>
        <v>117.14908033448833</v>
      </c>
      <c r="J20" s="17">
        <f t="shared" si="16"/>
        <v>485.81858045732497</v>
      </c>
      <c r="K20" s="17">
        <f t="shared" si="16"/>
        <v>406.1890545208924</v>
      </c>
      <c r="L20" s="17">
        <f t="shared" si="16"/>
        <v>215.63414886824836</v>
      </c>
      <c r="M20" s="17">
        <f t="shared" si="16"/>
        <v>15.157125517593027</v>
      </c>
      <c r="N20" s="17">
        <f t="shared" ref="N20" si="17">SUM(N21:N26)</f>
        <v>3.6848441705979003</v>
      </c>
      <c r="O20" s="6"/>
      <c r="P20" s="4"/>
      <c r="Q20" s="6"/>
      <c r="R20" s="6"/>
      <c r="S20" s="6"/>
      <c r="T20" s="4"/>
      <c r="U20" s="17"/>
      <c r="V20" s="24"/>
      <c r="W20" s="6"/>
      <c r="X20" s="6"/>
      <c r="Y20" s="6"/>
      <c r="Z20" s="6"/>
      <c r="AA20" s="6"/>
      <c r="AB20" s="6"/>
      <c r="AC20" s="6"/>
      <c r="AD20" s="6"/>
    </row>
    <row r="21" spans="1:30" s="9" customFormat="1" x14ac:dyDescent="0.25">
      <c r="A21" s="2" t="s">
        <v>4</v>
      </c>
      <c r="B21" s="23">
        <v>74.834397955989857</v>
      </c>
      <c r="C21" s="23">
        <v>257.56381797585459</v>
      </c>
      <c r="D21" s="23">
        <v>250.95905045044441</v>
      </c>
      <c r="E21" s="23">
        <v>290.20995334660569</v>
      </c>
      <c r="F21" s="23">
        <v>7.8696775608898752</v>
      </c>
      <c r="G21" s="23">
        <v>147.77947524981249</v>
      </c>
      <c r="H21" s="23">
        <v>0</v>
      </c>
      <c r="I21" s="23">
        <v>82.503173199933457</v>
      </c>
      <c r="J21" s="23">
        <v>405.47109442657546</v>
      </c>
      <c r="K21" s="23">
        <v>378.65510816812963</v>
      </c>
      <c r="L21" s="23">
        <v>185.43891898958623</v>
      </c>
      <c r="M21" s="23">
        <v>15.157125517593027</v>
      </c>
      <c r="N21" s="42">
        <v>0</v>
      </c>
      <c r="O21" s="6"/>
      <c r="P21" s="4"/>
      <c r="Q21" s="6"/>
      <c r="R21" s="6"/>
      <c r="S21" s="6"/>
      <c r="T21" s="4"/>
      <c r="U21" s="17"/>
      <c r="V21" s="24"/>
      <c r="W21" s="6"/>
      <c r="X21" s="6"/>
      <c r="Y21" s="6"/>
      <c r="Z21" s="6"/>
      <c r="AA21" s="6"/>
      <c r="AB21" s="6"/>
      <c r="AC21" s="6"/>
      <c r="AD21" s="6"/>
    </row>
    <row r="22" spans="1:30" s="9" customFormat="1" x14ac:dyDescent="0.25">
      <c r="A22" s="2" t="s">
        <v>2</v>
      </c>
      <c r="B22" s="23">
        <v>283.11389925222397</v>
      </c>
      <c r="C22" s="23">
        <v>515.8723370475883</v>
      </c>
      <c r="D22" s="23">
        <v>520.86879085126566</v>
      </c>
      <c r="E22" s="23">
        <v>54.944839587543285</v>
      </c>
      <c r="F22" s="23">
        <v>23.359729275249677</v>
      </c>
      <c r="G22" s="23">
        <v>24.767424000000002</v>
      </c>
      <c r="H22" s="23">
        <v>0</v>
      </c>
      <c r="I22" s="23">
        <v>34.279678498895493</v>
      </c>
      <c r="J22" s="23">
        <v>71.998385338693126</v>
      </c>
      <c r="K22" s="23">
        <v>23.212125</v>
      </c>
      <c r="L22" s="23">
        <v>13.411824222548773</v>
      </c>
      <c r="M22" s="23">
        <v>0</v>
      </c>
      <c r="N22" s="42">
        <v>2.4652699384697301</v>
      </c>
      <c r="O22" s="6"/>
      <c r="P22" s="4"/>
      <c r="Q22" s="6"/>
      <c r="R22" s="6"/>
      <c r="S22" s="6"/>
      <c r="T22" s="4"/>
      <c r="U22" s="17"/>
      <c r="V22" s="24"/>
      <c r="W22" s="6"/>
      <c r="X22" s="6"/>
      <c r="Y22" s="6"/>
      <c r="Z22" s="6"/>
      <c r="AA22" s="6"/>
      <c r="AB22" s="6"/>
      <c r="AC22" s="6"/>
      <c r="AD22" s="6"/>
    </row>
    <row r="23" spans="1:30" s="9" customFormat="1" x14ac:dyDescent="0.25">
      <c r="A23" s="2" t="s">
        <v>0</v>
      </c>
      <c r="B23" s="23">
        <v>0</v>
      </c>
      <c r="C23" s="23">
        <v>0</v>
      </c>
      <c r="D23" s="23">
        <v>0</v>
      </c>
      <c r="E23" s="23">
        <v>5.089874227825316</v>
      </c>
      <c r="F23" s="23">
        <v>0</v>
      </c>
      <c r="G23" s="23">
        <v>0.64744984614212131</v>
      </c>
      <c r="H23" s="23">
        <v>0</v>
      </c>
      <c r="I23" s="23">
        <v>0.36622863565938402</v>
      </c>
      <c r="J23" s="23">
        <v>8.2662153854532718</v>
      </c>
      <c r="K23" s="23">
        <v>0.73745790997132288</v>
      </c>
      <c r="L23" s="23">
        <v>0</v>
      </c>
      <c r="M23" s="23">
        <v>0</v>
      </c>
      <c r="N23" s="42">
        <v>1.21957423212817</v>
      </c>
      <c r="O23" s="6"/>
      <c r="P23" s="4"/>
      <c r="Q23" s="6"/>
      <c r="R23" s="6"/>
      <c r="S23" s="6"/>
      <c r="T23" s="4"/>
      <c r="U23" s="17"/>
      <c r="V23" s="24"/>
      <c r="W23" s="6"/>
      <c r="X23" s="6"/>
      <c r="Y23" s="6"/>
      <c r="Z23" s="6"/>
      <c r="AA23" s="6"/>
      <c r="AB23" s="6"/>
      <c r="AC23" s="6"/>
      <c r="AD23" s="6"/>
    </row>
    <row r="24" spans="1:30" s="9" customFormat="1" x14ac:dyDescent="0.2">
      <c r="A24" s="25" t="s">
        <v>7</v>
      </c>
      <c r="B24" s="23">
        <v>0</v>
      </c>
      <c r="C24" s="23">
        <v>0</v>
      </c>
      <c r="D24" s="23">
        <v>0</v>
      </c>
      <c r="E24" s="23">
        <v>0</v>
      </c>
      <c r="F24" s="23">
        <v>0</v>
      </c>
      <c r="G24" s="23">
        <v>0</v>
      </c>
      <c r="H24" s="23">
        <v>0</v>
      </c>
      <c r="I24" s="23">
        <v>0</v>
      </c>
      <c r="J24" s="23">
        <v>0</v>
      </c>
      <c r="K24" s="23">
        <v>0</v>
      </c>
      <c r="L24" s="23">
        <v>0</v>
      </c>
      <c r="M24" s="23">
        <v>0</v>
      </c>
      <c r="N24" s="42">
        <v>0</v>
      </c>
      <c r="O24" s="6"/>
      <c r="P24" s="4"/>
      <c r="Q24" s="6"/>
      <c r="R24" s="6"/>
      <c r="S24" s="6"/>
      <c r="T24" s="4"/>
      <c r="U24" s="17"/>
      <c r="V24" s="24"/>
      <c r="W24" s="6"/>
      <c r="X24" s="6"/>
      <c r="Y24" s="6"/>
      <c r="Z24" s="6"/>
      <c r="AA24" s="6"/>
      <c r="AB24" s="6"/>
      <c r="AC24" s="6"/>
      <c r="AD24" s="6"/>
    </row>
    <row r="25" spans="1:30" s="9" customFormat="1" x14ac:dyDescent="0.25">
      <c r="A25" s="2" t="s">
        <v>8</v>
      </c>
      <c r="B25" s="23">
        <v>28.987400295209881</v>
      </c>
      <c r="C25" s="23">
        <v>11.257911627567223</v>
      </c>
      <c r="D25" s="23">
        <v>5.9951387649429648</v>
      </c>
      <c r="E25" s="23">
        <v>0</v>
      </c>
      <c r="F25" s="23">
        <v>0</v>
      </c>
      <c r="G25" s="23">
        <v>18.989323134497742</v>
      </c>
      <c r="H25" s="23">
        <v>0</v>
      </c>
      <c r="I25" s="23">
        <v>0</v>
      </c>
      <c r="J25" s="23">
        <v>3.1878964078107487E-3</v>
      </c>
      <c r="K25" s="23">
        <v>1.2114298315750684</v>
      </c>
      <c r="L25" s="23">
        <v>2.5175302498523449</v>
      </c>
      <c r="M25" s="23">
        <v>0</v>
      </c>
      <c r="N25" s="42">
        <v>0</v>
      </c>
      <c r="O25" s="6"/>
      <c r="P25" s="4"/>
      <c r="Q25" s="6"/>
      <c r="R25" s="6"/>
      <c r="S25" s="6"/>
      <c r="T25" s="4"/>
      <c r="U25" s="17"/>
      <c r="V25" s="24"/>
      <c r="W25" s="6"/>
      <c r="X25" s="6"/>
      <c r="Y25" s="6"/>
      <c r="Z25" s="6"/>
      <c r="AA25" s="6"/>
      <c r="AB25" s="6"/>
      <c r="AC25" s="6"/>
      <c r="AD25" s="6"/>
    </row>
    <row r="26" spans="1:30" s="9" customFormat="1" x14ac:dyDescent="0.25">
      <c r="A26" s="26" t="s">
        <v>9</v>
      </c>
      <c r="B26" s="27">
        <v>106.03670073662398</v>
      </c>
      <c r="C26" s="27">
        <v>56.165877445461554</v>
      </c>
      <c r="D26" s="27">
        <v>56.915839971590572</v>
      </c>
      <c r="E26" s="27">
        <v>0</v>
      </c>
      <c r="F26" s="27">
        <v>0.5222444712471328</v>
      </c>
      <c r="G26" s="27">
        <v>3.5552613610215893</v>
      </c>
      <c r="H26" s="27">
        <v>0</v>
      </c>
      <c r="I26" s="27">
        <v>0</v>
      </c>
      <c r="J26" s="27">
        <v>7.9697410195268714E-2</v>
      </c>
      <c r="K26" s="27">
        <v>2.3729336112163493</v>
      </c>
      <c r="L26" s="27">
        <v>14.265875406261012</v>
      </c>
      <c r="M26" s="27">
        <v>0</v>
      </c>
      <c r="N26" s="43">
        <v>0</v>
      </c>
      <c r="O26" s="6"/>
      <c r="P26" s="4"/>
      <c r="Q26" s="6"/>
      <c r="R26" s="6"/>
      <c r="S26" s="6"/>
      <c r="T26" s="4"/>
      <c r="U26" s="17"/>
      <c r="V26" s="24"/>
      <c r="W26" s="6"/>
      <c r="X26" s="6"/>
      <c r="Y26" s="6"/>
      <c r="Z26" s="6"/>
      <c r="AA26" s="6"/>
      <c r="AB26" s="6"/>
      <c r="AC26" s="6"/>
      <c r="AD26" s="6"/>
    </row>
    <row r="27" spans="1:30" s="9" customFormat="1" x14ac:dyDescent="0.25">
      <c r="A27" s="4" t="s">
        <v>12</v>
      </c>
      <c r="B27" s="17">
        <f t="shared" ref="B27:E27" si="18">SUM(B28:B33)</f>
        <v>1600.4226500000002</v>
      </c>
      <c r="C27" s="17">
        <f t="shared" si="18"/>
        <v>2123.2380000000007</v>
      </c>
      <c r="D27" s="17">
        <f t="shared" si="18"/>
        <v>483.87768999999992</v>
      </c>
      <c r="E27" s="17">
        <f t="shared" si="18"/>
        <v>1841.9949999999999</v>
      </c>
      <c r="F27" s="17">
        <f t="shared" ref="F27:K27" si="19">SUM(F28:F33)</f>
        <v>2535.6850800000002</v>
      </c>
      <c r="G27" s="17">
        <f t="shared" si="19"/>
        <v>1345.5049800000002</v>
      </c>
      <c r="H27" s="17">
        <f t="shared" si="19"/>
        <v>699.67705000000001</v>
      </c>
      <c r="I27" s="17">
        <f t="shared" si="19"/>
        <v>0</v>
      </c>
      <c r="J27" s="17">
        <f t="shared" si="19"/>
        <v>0</v>
      </c>
      <c r="K27" s="17">
        <f t="shared" si="19"/>
        <v>0</v>
      </c>
      <c r="L27" s="17">
        <f t="shared" ref="L27:M27" si="20">SUM(L28:L33)</f>
        <v>0</v>
      </c>
      <c r="M27" s="17">
        <f t="shared" si="20"/>
        <v>0</v>
      </c>
      <c r="N27" s="17">
        <f t="shared" ref="N27" si="21">SUM(N28:N33)</f>
        <v>0</v>
      </c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</row>
    <row r="28" spans="1:30" s="9" customFormat="1" x14ac:dyDescent="0.25">
      <c r="A28" s="2" t="s">
        <v>4</v>
      </c>
      <c r="B28" s="28">
        <v>25.8445</v>
      </c>
      <c r="C28" s="28">
        <v>0.33300000000000007</v>
      </c>
      <c r="D28" s="28">
        <v>0.32600000000000001</v>
      </c>
      <c r="E28" s="28">
        <v>2.4120000000000004</v>
      </c>
      <c r="F28" s="28">
        <v>1.1520000000000001</v>
      </c>
      <c r="G28" s="28">
        <v>3.657</v>
      </c>
      <c r="H28" s="28">
        <v>1.458</v>
      </c>
      <c r="I28" s="28">
        <v>0</v>
      </c>
      <c r="J28" s="28">
        <v>0</v>
      </c>
      <c r="K28" s="28">
        <v>0</v>
      </c>
      <c r="L28" s="28">
        <v>0</v>
      </c>
      <c r="M28" s="28">
        <v>0</v>
      </c>
      <c r="N28" s="44">
        <v>0</v>
      </c>
      <c r="O28" s="29"/>
      <c r="P28" s="30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</row>
    <row r="29" spans="1:30" s="9" customFormat="1" x14ac:dyDescent="0.25">
      <c r="A29" s="2" t="s">
        <v>2</v>
      </c>
      <c r="B29" s="22">
        <v>244.33858000000012</v>
      </c>
      <c r="C29" s="22">
        <v>192.41699999999997</v>
      </c>
      <c r="D29" s="22">
        <v>112.06659000000001</v>
      </c>
      <c r="E29" s="22">
        <v>726.78499999999997</v>
      </c>
      <c r="F29" s="22">
        <v>1269.1838000000002</v>
      </c>
      <c r="G29" s="22">
        <v>633.85134000000016</v>
      </c>
      <c r="H29" s="22">
        <v>479.21350000000007</v>
      </c>
      <c r="I29" s="22">
        <v>0</v>
      </c>
      <c r="J29" s="22">
        <v>0</v>
      </c>
      <c r="K29" s="22">
        <v>0</v>
      </c>
      <c r="L29" s="22">
        <v>0</v>
      </c>
      <c r="M29" s="22">
        <v>0</v>
      </c>
      <c r="N29" s="42">
        <v>0</v>
      </c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</row>
    <row r="30" spans="1:30" s="9" customFormat="1" x14ac:dyDescent="0.25">
      <c r="A30" s="2" t="s">
        <v>0</v>
      </c>
      <c r="B30" s="22">
        <v>1058.4629400000001</v>
      </c>
      <c r="C30" s="22">
        <v>1501.9940000000006</v>
      </c>
      <c r="D30" s="22">
        <v>231.21609999999993</v>
      </c>
      <c r="E30" s="22">
        <v>624.21599999999989</v>
      </c>
      <c r="F30" s="22">
        <v>691.97395999999981</v>
      </c>
      <c r="G30" s="22">
        <v>163.94113999999999</v>
      </c>
      <c r="H30" s="22">
        <v>83.596549999999993</v>
      </c>
      <c r="I30" s="22">
        <v>0</v>
      </c>
      <c r="J30" s="22">
        <v>0</v>
      </c>
      <c r="K30" s="22">
        <v>0</v>
      </c>
      <c r="L30" s="22">
        <v>0</v>
      </c>
      <c r="M30" s="22">
        <v>0</v>
      </c>
      <c r="N30" s="42">
        <v>0</v>
      </c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</row>
    <row r="31" spans="1:30" s="9" customFormat="1" x14ac:dyDescent="0.2">
      <c r="A31" s="25" t="s">
        <v>7</v>
      </c>
      <c r="B31" s="22">
        <v>0</v>
      </c>
      <c r="C31" s="22">
        <v>0</v>
      </c>
      <c r="D31" s="22">
        <v>1.2469999999999999</v>
      </c>
      <c r="E31" s="22">
        <v>15.290000000000001</v>
      </c>
      <c r="F31" s="22">
        <v>3.4710000000000005</v>
      </c>
      <c r="G31" s="22">
        <v>10.569000000000001</v>
      </c>
      <c r="H31" s="22">
        <v>4.1649999999999991</v>
      </c>
      <c r="I31" s="22">
        <v>0</v>
      </c>
      <c r="J31" s="22">
        <v>0</v>
      </c>
      <c r="K31" s="22">
        <v>0</v>
      </c>
      <c r="L31" s="22">
        <v>0</v>
      </c>
      <c r="M31" s="22">
        <v>0</v>
      </c>
      <c r="N31" s="42">
        <v>0</v>
      </c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</row>
    <row r="32" spans="1:30" s="9" customFormat="1" x14ac:dyDescent="0.25">
      <c r="A32" s="2" t="s">
        <v>8</v>
      </c>
      <c r="B32" s="22">
        <v>1.4919999999999998</v>
      </c>
      <c r="C32" s="22">
        <v>0</v>
      </c>
      <c r="D32" s="22">
        <v>0</v>
      </c>
      <c r="E32" s="22">
        <v>0</v>
      </c>
      <c r="F32" s="22">
        <v>0</v>
      </c>
      <c r="G32" s="22">
        <v>0</v>
      </c>
      <c r="H32" s="22">
        <v>0</v>
      </c>
      <c r="I32" s="22">
        <v>0</v>
      </c>
      <c r="J32" s="22">
        <v>0</v>
      </c>
      <c r="K32" s="22">
        <v>0</v>
      </c>
      <c r="L32" s="22">
        <v>0</v>
      </c>
      <c r="M32" s="22">
        <v>0</v>
      </c>
      <c r="N32" s="42">
        <v>0</v>
      </c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</row>
    <row r="33" spans="1:30" s="9" customFormat="1" x14ac:dyDescent="0.25">
      <c r="A33" s="5" t="s">
        <v>9</v>
      </c>
      <c r="B33" s="31">
        <v>270.28463000000005</v>
      </c>
      <c r="C33" s="31">
        <v>428.49399999999997</v>
      </c>
      <c r="D33" s="31">
        <v>139.02200000000002</v>
      </c>
      <c r="E33" s="31">
        <v>473.29199999999992</v>
      </c>
      <c r="F33" s="31">
        <v>569.90431999999998</v>
      </c>
      <c r="G33" s="31">
        <v>533.48649999999998</v>
      </c>
      <c r="H33" s="31">
        <v>131.24399999999997</v>
      </c>
      <c r="I33" s="31">
        <v>0</v>
      </c>
      <c r="J33" s="31">
        <v>0</v>
      </c>
      <c r="K33" s="31">
        <v>0</v>
      </c>
      <c r="L33" s="31">
        <v>0</v>
      </c>
      <c r="M33" s="31">
        <v>0</v>
      </c>
      <c r="N33" s="45">
        <v>0</v>
      </c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</row>
    <row r="34" spans="1:30" ht="19.5" customHeight="1" x14ac:dyDescent="0.25">
      <c r="A34" s="7" t="s">
        <v>15</v>
      </c>
      <c r="B34" s="32"/>
      <c r="C34" s="32"/>
      <c r="D34" s="32"/>
      <c r="E34" s="32"/>
      <c r="F34" s="32"/>
      <c r="G34" s="32"/>
      <c r="H34" s="32"/>
      <c r="I34" s="32"/>
    </row>
    <row r="35" spans="1:30" x14ac:dyDescent="0.25">
      <c r="A35" s="33"/>
    </row>
    <row r="36" spans="1:30" x14ac:dyDescent="0.25">
      <c r="A36" s="33"/>
    </row>
    <row r="37" spans="1:30" x14ac:dyDescent="0.25">
      <c r="A37" s="33"/>
    </row>
    <row r="39" spans="1:30" s="9" customFormat="1" x14ac:dyDescent="0.25">
      <c r="B39" s="35"/>
      <c r="C39" s="35"/>
      <c r="D39" s="35"/>
      <c r="E39" s="35"/>
      <c r="F39" s="35"/>
      <c r="G39" s="35"/>
      <c r="H39" s="35"/>
      <c r="I39" s="35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</row>
    <row r="40" spans="1:30" s="9" customFormat="1" x14ac:dyDescent="0.25">
      <c r="B40" s="35"/>
      <c r="C40" s="35"/>
      <c r="D40" s="35"/>
      <c r="E40" s="35"/>
      <c r="F40" s="35"/>
      <c r="G40" s="35"/>
      <c r="H40" s="35"/>
      <c r="I40" s="35"/>
      <c r="J40" s="6"/>
      <c r="K40" s="6"/>
      <c r="L40" s="6"/>
      <c r="M40" s="6"/>
      <c r="N40" s="6"/>
      <c r="O40" s="6"/>
      <c r="Q40" s="4"/>
      <c r="R40" s="36"/>
      <c r="S40" s="17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</row>
    <row r="41" spans="1:30" s="9" customFormat="1" ht="15" x14ac:dyDescent="0.25">
      <c r="B41" s="35"/>
      <c r="C41" s="35"/>
      <c r="D41" s="35"/>
      <c r="E41" s="35"/>
      <c r="F41" s="35"/>
      <c r="G41" s="35"/>
      <c r="H41" s="35"/>
      <c r="I41" s="35"/>
      <c r="J41" s="6"/>
      <c r="K41" s="6"/>
      <c r="L41" s="6"/>
      <c r="M41" s="6"/>
      <c r="N41" s="6"/>
      <c r="O41" s="6"/>
      <c r="Q41" s="4"/>
      <c r="R41" s="37"/>
      <c r="S41" s="18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</row>
    <row r="42" spans="1:30" s="9" customFormat="1" x14ac:dyDescent="0.25">
      <c r="B42" s="35"/>
      <c r="C42" s="35"/>
      <c r="D42" s="35"/>
      <c r="E42" s="35"/>
      <c r="F42" s="35"/>
      <c r="G42" s="35"/>
      <c r="H42" s="35"/>
      <c r="I42" s="35"/>
      <c r="J42" s="6"/>
      <c r="K42" s="6"/>
      <c r="L42" s="6"/>
      <c r="M42" s="6"/>
      <c r="N42" s="6"/>
      <c r="O42" s="6"/>
      <c r="Q42" s="4"/>
      <c r="R42" s="36"/>
      <c r="S42" s="18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</row>
    <row r="43" spans="1:30" s="9" customFormat="1" x14ac:dyDescent="0.25">
      <c r="B43" s="35"/>
      <c r="C43" s="35"/>
      <c r="D43" s="35"/>
      <c r="E43" s="35"/>
      <c r="F43" s="35"/>
      <c r="G43" s="35"/>
      <c r="H43" s="35"/>
      <c r="I43" s="35"/>
      <c r="J43" s="6"/>
      <c r="K43" s="6"/>
      <c r="L43" s="6"/>
      <c r="M43" s="6"/>
      <c r="N43" s="6"/>
      <c r="O43" s="6"/>
      <c r="Q43" s="4"/>
      <c r="R43" s="36"/>
      <c r="S43" s="18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</row>
    <row r="44" spans="1:30" s="9" customFormat="1" x14ac:dyDescent="0.25">
      <c r="B44" s="35"/>
      <c r="C44" s="35"/>
      <c r="D44" s="35"/>
      <c r="E44" s="35"/>
      <c r="F44" s="35"/>
      <c r="G44" s="35"/>
      <c r="H44" s="35"/>
      <c r="I44" s="35"/>
      <c r="J44" s="6"/>
      <c r="K44" s="6"/>
      <c r="L44" s="6"/>
      <c r="M44" s="6"/>
      <c r="N44" s="6"/>
      <c r="O44" s="6"/>
      <c r="Q44" s="4"/>
      <c r="R44" s="36"/>
      <c r="S44" s="18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</row>
    <row r="45" spans="1:30" s="9" customFormat="1" x14ac:dyDescent="0.25">
      <c r="B45" s="35"/>
      <c r="C45" s="35"/>
      <c r="D45" s="35"/>
      <c r="E45" s="35"/>
      <c r="F45" s="35"/>
      <c r="G45" s="35"/>
      <c r="H45" s="35"/>
      <c r="I45" s="35"/>
      <c r="J45" s="6"/>
      <c r="K45" s="6"/>
      <c r="L45" s="6"/>
      <c r="M45" s="6"/>
      <c r="N45" s="6"/>
      <c r="O45" s="6"/>
      <c r="R45" s="3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</row>
    <row r="46" spans="1:30" x14ac:dyDescent="0.25">
      <c r="Q46" s="4"/>
      <c r="R46" s="12"/>
      <c r="S46" s="17"/>
    </row>
    <row r="47" spans="1:30" x14ac:dyDescent="0.25">
      <c r="Q47" s="4"/>
      <c r="R47" s="12"/>
      <c r="S47" s="6"/>
    </row>
    <row r="48" spans="1:30" x14ac:dyDescent="0.25">
      <c r="Q48" s="4"/>
      <c r="R48" s="12"/>
      <c r="S48" s="6"/>
    </row>
    <row r="49" spans="17:19" x14ac:dyDescent="0.25">
      <c r="Q49" s="4"/>
      <c r="R49" s="12"/>
      <c r="S49" s="6"/>
    </row>
    <row r="50" spans="17:19" x14ac:dyDescent="0.25">
      <c r="Q50" s="4"/>
      <c r="R50" s="12"/>
      <c r="S50" s="6"/>
    </row>
    <row r="51" spans="17:19" x14ac:dyDescent="0.25">
      <c r="Q51" s="4"/>
      <c r="R51" s="12"/>
      <c r="S51" s="6"/>
    </row>
  </sheetData>
  <mergeCells count="4">
    <mergeCell ref="A2:N2"/>
    <mergeCell ref="A1:N1"/>
    <mergeCell ref="A3:N3"/>
    <mergeCell ref="A4:N4"/>
  </mergeCells>
  <pageMargins left="0.7" right="0.7" top="0.75" bottom="0.75" header="0.3" footer="0.3"/>
  <pageSetup scale="54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F0AD8A8E47B644AAB31F301E797EF9" ma:contentTypeVersion="2" ma:contentTypeDescription="Create a new document." ma:contentTypeScope="" ma:versionID="d3b0d3e69866578351583115802bfbce">
  <xsd:schema xmlns:xsd="http://www.w3.org/2001/XMLSchema" xmlns:xs="http://www.w3.org/2001/XMLSchema" xmlns:p="http://schemas.microsoft.com/office/2006/metadata/properties" xmlns:ns3="f2b882a0-f331-411c-a07d-1bff8ca734a3" targetNamespace="http://schemas.microsoft.com/office/2006/metadata/properties" ma:root="true" ma:fieldsID="5f6f84ab63878d05f8f0f9ebe8b3a832" ns3:_="">
    <xsd:import namespace="f2b882a0-f331-411c-a07d-1bff8ca734a3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2b882a0-f331-411c-a07d-1bff8ca734a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9204CED7-A64A-48EC-A52E-55CE3F3D945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2b882a0-f331-411c-a07d-1bff8ca734a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0743D734-6A26-4730-90D5-23CBDAFB43D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62D9133-5BCE-4B33-B58F-C3F18E466E6C}">
  <ds:schemaRefs>
    <ds:schemaRef ds:uri="http://purl.org/dc/terms/"/>
    <ds:schemaRef ds:uri="http://www.w3.org/XML/1998/namespace"/>
    <ds:schemaRef ds:uri="http://schemas.openxmlformats.org/package/2006/metadata/core-properties"/>
    <ds:schemaRef ds:uri="http://purl.org/dc/elements/1.1/"/>
    <ds:schemaRef ds:uri="http://schemas.microsoft.com/office/2006/documentManagement/types"/>
    <ds:schemaRef ds:uri="http://purl.org/dc/dcmitype/"/>
    <ds:schemaRef ds:uri="http://schemas.microsoft.com/office/infopath/2007/PartnerControls"/>
    <ds:schemaRef ds:uri="f2b882a0-f331-411c-a07d-1bff8ca734a3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9.6</vt:lpstr>
      <vt:lpstr>'9.6'!Print_Area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2026-07-06T09:11:01Z</cp:lastPrinted>
  <dcterms:created xsi:type="dcterms:W3CDTF">2019-09-09T05:11:24Z</dcterms:created>
  <dcterms:modified xsi:type="dcterms:W3CDTF">2026-07-07T03:04:00Z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0x01010006F0AD8A8E47B644AAB31F301E797EF9</vt:lpwstr>
  </property>
</Properties>
</file>