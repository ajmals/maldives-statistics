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ED8E0681-81D2-4E5A-8633-02CE1A0CEC16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10" sheetId="10" r:id="rId1"/>
  </sheets>
  <definedNames>
    <definedName name="_xlnm.Print_Area" localSheetId="0">'9.10'!$A$1:$H$33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0" l="1"/>
  <c r="D12" i="10"/>
  <c r="D13" i="10"/>
  <c r="D14" i="10"/>
  <c r="D15" i="10"/>
  <c r="E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E29" i="10"/>
  <c r="D30" i="10"/>
  <c r="E30" i="10"/>
  <c r="D8" i="10"/>
  <c r="E8" i="10"/>
  <c r="G9" i="10" l="1"/>
  <c r="G7" i="10" s="1"/>
  <c r="F9" i="10"/>
  <c r="F7" i="10" s="1"/>
  <c r="C9" i="10"/>
  <c r="C7" i="10" s="1"/>
  <c r="B9" i="10"/>
  <c r="B7" i="10" l="1"/>
  <c r="D9" i="10"/>
  <c r="D7" i="10" s="1"/>
  <c r="E9" i="10"/>
  <c r="E7" i="10" s="1"/>
</calcChain>
</file>

<file path=xl/sharedStrings.xml><?xml version="1.0" encoding="utf-8"?>
<sst xmlns="http://schemas.openxmlformats.org/spreadsheetml/2006/main" count="41" uniqueCount="35">
  <si>
    <t>Republic</t>
  </si>
  <si>
    <t>Male'</t>
  </si>
  <si>
    <t>Atolls</t>
  </si>
  <si>
    <t>Longline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</si>
  <si>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</si>
  <si>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</si>
  <si>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</si>
  <si>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</si>
  <si>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</si>
  <si>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</si>
  <si>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</si>
  <si>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</si>
  <si>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</si>
  <si>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</si>
  <si>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</si>
  <si>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</si>
  <si>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</si>
  <si>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</si>
  <si>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</si>
  <si>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</si>
  <si>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</si>
  <si>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</si>
  <si>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</si>
  <si>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Locality</t>
  </si>
  <si>
    <t>Other vessels</t>
  </si>
  <si>
    <t>Mechanised</t>
  </si>
  <si>
    <t xml:space="preserve"> AA</t>
  </si>
  <si>
    <t>Fish Catch (metric tonnes)</t>
  </si>
  <si>
    <t>Catch per unit effort (metric tonnes)</t>
  </si>
  <si>
    <t>Fishing Trips</t>
  </si>
  <si>
    <t>Masdhonis</t>
  </si>
  <si>
    <t xml:space="preserve">މައުލޫމާތު ދެއްވި ފަރާތް: މިނިސްޓްރީ އޮފް ފިޝަރީޒް އެންޑް އެގްރިކަލްޗަރ </t>
  </si>
  <si>
    <t>Table 9.10: FISH CATCH, FISHING TRIPS AND CATCH PER UNIT EFFORT BY LOCALITY, 2025</t>
  </si>
  <si>
    <t>ތާވަލު 9.10: ބޭނުނު މަހުގެ އަދަދު، މަސްދަތުރުގެ އަދަދު އަދި ތަނުގެ ގޮތުން ބޭނިފައިވާ މަހުގެ ނިސްބަތް، 2025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</si>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</sst>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2"/>
      <name val="Faruma"/>
      <family val="3"/>
    </font>
    <font>
      <b/>
      <sz val="11"/>
      <name val="Faruma"/>
      <family val="3"/>
    </font>
    <font>
      <b/>
      <sz val="11"/>
      <color theme="1"/>
      <name val="Calibri"/>
      <family val="2"/>
    </font>
    <font>
      <sz val="9"/>
      <color theme="1"/>
      <name val="Faruma"/>
      <family val="3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6" fillId="0" borderId="0"/>
  </cellStyleXfs>
  <cellXfs count="56">
    <xf numFmtId="0" fontId="0" fillId="0" borderId="0" xfId="0"/>
    <xf numFmtId="164" fontId="6" fillId="2" borderId="0" xfId="2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 indent="1"/>
    </xf>
    <xf numFmtId="164" fontId="5" fillId="2" borderId="1" xfId="0" applyNumberFormat="1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left" vertical="center"/>
    </xf>
    <xf numFmtId="164" fontId="4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3" fontId="7" fillId="2" borderId="2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164" fontId="7" fillId="2" borderId="1" xfId="2" applyFont="1" applyFill="1" applyBorder="1" applyAlignment="1">
      <alignment horizontal="right" vertical="center"/>
    </xf>
    <xf numFmtId="164" fontId="10" fillId="2" borderId="0" xfId="2" applyFont="1" applyFill="1" applyAlignment="1">
      <alignment horizontal="right" vertical="center"/>
    </xf>
    <xf numFmtId="164" fontId="7" fillId="2" borderId="7" xfId="2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7" fillId="2" borderId="0" xfId="2" applyFont="1" applyFill="1" applyAlignment="1">
      <alignment horizontal="right" vertical="center"/>
    </xf>
    <xf numFmtId="164" fontId="7" fillId="2" borderId="9" xfId="2" applyFont="1" applyFill="1" applyBorder="1" applyAlignment="1">
      <alignment horizontal="right"/>
    </xf>
    <xf numFmtId="164" fontId="7" fillId="2" borderId="4" xfId="2" applyFont="1" applyFill="1" applyBorder="1" applyAlignment="1">
      <alignment horizontal="right" vertical="center"/>
    </xf>
    <xf numFmtId="165" fontId="7" fillId="2" borderId="3" xfId="2" applyNumberFormat="1" applyFont="1" applyFill="1" applyBorder="1" applyAlignment="1">
      <alignment horizontal="right" vertical="center" indent="3"/>
    </xf>
    <xf numFmtId="3" fontId="7" fillId="2" borderId="2" xfId="2" applyNumberFormat="1" applyFont="1" applyFill="1" applyBorder="1" applyAlignment="1">
      <alignment horizontal="right" vertical="center" indent="1"/>
    </xf>
    <xf numFmtId="3" fontId="4" fillId="2" borderId="0" xfId="2" applyNumberFormat="1" applyFont="1" applyFill="1" applyAlignment="1">
      <alignment horizontal="right" vertical="center"/>
    </xf>
    <xf numFmtId="3" fontId="7" fillId="2" borderId="0" xfId="2" applyNumberFormat="1" applyFont="1" applyFill="1" applyAlignment="1">
      <alignment horizontal="right" vertical="center" indent="1"/>
    </xf>
    <xf numFmtId="164" fontId="3" fillId="2" borderId="0" xfId="2" applyFont="1" applyFill="1" applyAlignment="1">
      <alignment horizontal="right" vertical="center"/>
    </xf>
    <xf numFmtId="164" fontId="10" fillId="2" borderId="0" xfId="2" applyFont="1" applyFill="1" applyAlignment="1">
      <alignment horizontal="right" vertical="center" indent="1"/>
    </xf>
    <xf numFmtId="0" fontId="15" fillId="2" borderId="0" xfId="0" applyFont="1" applyFill="1" applyAlignment="1">
      <alignment horizontal="right" indent="1"/>
    </xf>
    <xf numFmtId="164" fontId="7" fillId="2" borderId="1" xfId="2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right" vertical="center"/>
    </xf>
    <xf numFmtId="164" fontId="7" fillId="2" borderId="10" xfId="2" applyFont="1" applyFill="1" applyBorder="1" applyAlignment="1">
      <alignment horizontal="right" vertical="center"/>
    </xf>
    <xf numFmtId="164" fontId="7" fillId="2" borderId="11" xfId="2" applyFont="1" applyFill="1" applyBorder="1" applyAlignment="1">
      <alignment horizontal="right" vertical="center"/>
    </xf>
    <xf numFmtId="165" fontId="7" fillId="2" borderId="10" xfId="2" applyNumberFormat="1" applyFont="1" applyFill="1" applyBorder="1" applyAlignment="1">
      <alignment horizontal="right" vertical="center" indent="3"/>
    </xf>
    <xf numFmtId="165" fontId="7" fillId="2" borderId="12" xfId="2" applyNumberFormat="1" applyFont="1" applyFill="1" applyBorder="1" applyAlignment="1">
      <alignment horizontal="right" vertical="center" indent="3"/>
    </xf>
    <xf numFmtId="3" fontId="3" fillId="2" borderId="0" xfId="2" applyNumberFormat="1" applyFont="1" applyFill="1" applyAlignment="1">
      <alignment horizontal="left" vertical="center"/>
    </xf>
    <xf numFmtId="168" fontId="3" fillId="2" borderId="0" xfId="1" applyNumberFormat="1" applyFont="1" applyFill="1" applyAlignment="1">
      <alignment horizontal="left" vertical="center"/>
    </xf>
    <xf numFmtId="3" fontId="5" fillId="2" borderId="13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>
      <alignment horizontal="right" vertical="center" indent="3"/>
    </xf>
    <xf numFmtId="165" fontId="5" fillId="2" borderId="15" xfId="0" applyNumberFormat="1" applyFont="1" applyFill="1" applyBorder="1" applyAlignment="1">
      <alignment horizontal="right" vertical="center" indent="3"/>
    </xf>
    <xf numFmtId="3" fontId="7" fillId="2" borderId="14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horizontal="right" vertical="center" indent="1"/>
    </xf>
    <xf numFmtId="165" fontId="5" fillId="2" borderId="16" xfId="0" applyNumberFormat="1" applyFont="1" applyFill="1" applyBorder="1" applyAlignment="1">
      <alignment horizontal="right" vertical="center" indent="3"/>
    </xf>
    <xf numFmtId="3" fontId="5" fillId="2" borderId="0" xfId="0" applyNumberFormat="1" applyFont="1" applyFill="1" applyAlignment="1">
      <alignment horizontal="right" vertical="center" indent="1"/>
    </xf>
    <xf numFmtId="165" fontId="5" fillId="2" borderId="17" xfId="0" applyNumberFormat="1" applyFont="1" applyFill="1" applyBorder="1" applyAlignment="1">
      <alignment horizontal="right" vertical="center" indent="3"/>
    </xf>
    <xf numFmtId="165" fontId="5" fillId="2" borderId="18" xfId="0" applyNumberFormat="1" applyFont="1" applyFill="1" applyBorder="1" applyAlignment="1">
      <alignment horizontal="right" vertical="center" indent="3"/>
    </xf>
    <xf numFmtId="3" fontId="5" fillId="2" borderId="13" xfId="0" applyNumberFormat="1" applyFont="1" applyFill="1" applyBorder="1" applyAlignment="1">
      <alignment horizontal="right" vertical="center" indent="1"/>
    </xf>
    <xf numFmtId="164" fontId="7" fillId="2" borderId="0" xfId="2" applyFont="1" applyFill="1" applyAlignment="1">
      <alignment horizontal="center" vertical="center"/>
    </xf>
    <xf numFmtId="164" fontId="7" fillId="2" borderId="1" xfId="2" applyFont="1" applyFill="1" applyBorder="1" applyAlignment="1">
      <alignment horizontal="center" vertical="center"/>
    </xf>
    <xf numFmtId="164" fontId="12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7" fillId="2" borderId="2" xfId="2" applyFont="1" applyFill="1" applyBorder="1" applyAlignment="1">
      <alignment horizontal="center" vertical="center"/>
    </xf>
    <xf numFmtId="164" fontId="7" fillId="2" borderId="5" xfId="2" applyFont="1" applyFill="1" applyBorder="1" applyAlignment="1">
      <alignment horizontal="center" vertical="center"/>
    </xf>
    <xf numFmtId="164" fontId="7" fillId="2" borderId="6" xfId="2" applyFont="1" applyFill="1" applyBorder="1" applyAlignment="1">
      <alignment horizontal="center" vertical="center"/>
    </xf>
    <xf numFmtId="164" fontId="7" fillId="2" borderId="8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5"/>
  <sheetViews>
    <sheetView tabSelected="1" zoomScaleNormal="100" workbookViewId="0">
      <selection activeCell="Q13" sqref="Q13"/>
    </sheetView>
  </sheetViews>
  <sheetFormatPr defaultColWidth="10" defaultRowHeight="12.75" x14ac:dyDescent="0.25"/>
  <cols>
    <col min="1" max="1" width="10" style="1"/>
    <col min="2" max="2" width="13" style="1" customWidth="1"/>
    <col min="3" max="3" width="14.28515625" style="1" customWidth="1"/>
    <col min="4" max="4" width="15.5703125" style="1" customWidth="1"/>
    <col min="5" max="5" width="15.85546875" style="1" customWidth="1"/>
    <col min="6" max="7" width="13.140625" style="1" customWidth="1"/>
    <col min="8" max="8" width="3.85546875" style="1" customWidth="1"/>
    <col min="9" max="9" width="12.28515625" style="1" customWidth="1"/>
    <col min="10" max="10" width="24.5703125" style="1" bestFit="1" customWidth="1"/>
    <col min="11" max="11" width="6.42578125" style="1" bestFit="1" customWidth="1"/>
    <col min="12" max="16384" width="10" style="1"/>
  </cols>
  <sheetData>
    <row r="1" spans="1:11" ht="21.75" x14ac:dyDescent="0.25">
      <c r="A1" s="50" t="s">
        <v>33</v>
      </c>
      <c r="B1" s="50"/>
      <c r="C1" s="50"/>
      <c r="D1" s="50"/>
      <c r="E1" s="50"/>
      <c r="F1" s="50"/>
      <c r="G1" s="50"/>
      <c r="H1" s="18"/>
      <c r="I1" s="18"/>
      <c r="J1" s="18"/>
    </row>
    <row r="2" spans="1:11" s="4" customFormat="1" ht="15.75" x14ac:dyDescent="0.25">
      <c r="A2" s="51" t="s">
        <v>32</v>
      </c>
      <c r="B2" s="51"/>
      <c r="C2" s="51"/>
      <c r="D2" s="51"/>
      <c r="E2" s="51"/>
      <c r="F2" s="51"/>
      <c r="G2" s="51"/>
      <c r="H2" s="19"/>
      <c r="I2" s="19"/>
      <c r="J2" s="19"/>
    </row>
    <row r="3" spans="1:11" s="4" customFormat="1" x14ac:dyDescent="0.25">
      <c r="A3" s="10"/>
      <c r="B3" s="30"/>
      <c r="C3" s="30"/>
      <c r="D3" s="30"/>
      <c r="E3" s="30"/>
      <c r="F3" s="30"/>
      <c r="G3" s="30"/>
      <c r="H3" s="10"/>
      <c r="I3" s="10"/>
      <c r="J3" s="10"/>
    </row>
    <row r="4" spans="1:11" s="4" customFormat="1" x14ac:dyDescent="0.25">
      <c r="A4" s="52" t="s">
        <v>23</v>
      </c>
      <c r="B4" s="53" t="s">
        <v>27</v>
      </c>
      <c r="C4" s="53"/>
      <c r="D4" s="54" t="s">
        <v>28</v>
      </c>
      <c r="E4" s="55"/>
      <c r="F4" s="53" t="s">
        <v>29</v>
      </c>
      <c r="G4" s="53"/>
    </row>
    <row r="5" spans="1:11" s="4" customFormat="1" x14ac:dyDescent="0.2">
      <c r="A5" s="48"/>
      <c r="B5" s="20" t="s">
        <v>25</v>
      </c>
      <c r="C5" s="15" t="s">
        <v>24</v>
      </c>
      <c r="D5" s="32" t="s">
        <v>25</v>
      </c>
      <c r="E5" s="21" t="s">
        <v>24</v>
      </c>
      <c r="F5" s="20" t="s">
        <v>25</v>
      </c>
      <c r="G5" s="15" t="s">
        <v>24</v>
      </c>
      <c r="K5" s="5"/>
    </row>
    <row r="6" spans="1:11" s="4" customFormat="1" x14ac:dyDescent="0.25">
      <c r="A6" s="49"/>
      <c r="B6" s="13" t="s">
        <v>30</v>
      </c>
      <c r="C6" s="13"/>
      <c r="D6" s="33" t="s">
        <v>30</v>
      </c>
      <c r="E6" s="22"/>
      <c r="F6" s="20" t="s">
        <v>30</v>
      </c>
      <c r="G6" s="20"/>
    </row>
    <row r="7" spans="1:11" s="9" customFormat="1" x14ac:dyDescent="0.25">
      <c r="A7" s="2" t="s">
        <v>0</v>
      </c>
      <c r="B7" s="12">
        <f>B8+B9</f>
        <v>150128.84249123646</v>
      </c>
      <c r="C7" s="12">
        <f>C8+C9</f>
        <v>3.6848441705978989</v>
      </c>
      <c r="D7" s="34">
        <f>D8+D9+D10</f>
        <v>9.3126720943789181</v>
      </c>
      <c r="E7" s="23">
        <f t="shared" ref="E7:G7" si="0">E8+E9+E10</f>
        <v>1.0456611043498492</v>
      </c>
      <c r="F7" s="11">
        <f t="shared" si="0"/>
        <v>35251</v>
      </c>
      <c r="G7" s="24">
        <f t="shared" si="0"/>
        <v>8</v>
      </c>
      <c r="I7" s="31"/>
      <c r="K7" s="25"/>
    </row>
    <row r="8" spans="1:11" s="9" customFormat="1" x14ac:dyDescent="0.25">
      <c r="A8" s="2" t="s">
        <v>1</v>
      </c>
      <c r="B8" s="16">
        <v>25145.460206635002</v>
      </c>
      <c r="C8" s="17">
        <v>2.3151920267270198</v>
      </c>
      <c r="D8" s="39">
        <f>B8/F8</f>
        <v>5.2039445791877075</v>
      </c>
      <c r="E8" s="40">
        <f>C8/G8</f>
        <v>0.77173067557567332</v>
      </c>
      <c r="F8" s="41">
        <v>4832</v>
      </c>
      <c r="G8" s="42">
        <v>3</v>
      </c>
      <c r="I8" s="37"/>
      <c r="J8" s="8"/>
      <c r="K8" s="36"/>
    </row>
    <row r="9" spans="1:11" s="9" customFormat="1" x14ac:dyDescent="0.25">
      <c r="A9" s="2" t="s">
        <v>2</v>
      </c>
      <c r="B9" s="12">
        <f>SUM(B11:B30)</f>
        <v>124983.38228460145</v>
      </c>
      <c r="C9" s="12">
        <f>SUM(C11:C30)</f>
        <v>1.3696521438708791</v>
      </c>
      <c r="D9" s="35">
        <f>B9/F9</f>
        <v>4.1087275151912115</v>
      </c>
      <c r="E9" s="23">
        <f>C9/G9</f>
        <v>0.27393042877417584</v>
      </c>
      <c r="F9" s="12">
        <f>SUM(F11:F30)</f>
        <v>30419</v>
      </c>
      <c r="G9" s="26">
        <f>SUM(G11:G30)</f>
        <v>5</v>
      </c>
      <c r="I9" s="37"/>
      <c r="J9" s="8"/>
      <c r="K9" s="8"/>
    </row>
    <row r="10" spans="1:11" s="9" customFormat="1" hidden="1" x14ac:dyDescent="0.25">
      <c r="A10" s="2" t="s">
        <v>3</v>
      </c>
      <c r="B10" s="12"/>
      <c r="C10" s="12"/>
      <c r="D10" s="35"/>
      <c r="E10" s="23"/>
      <c r="F10" s="12"/>
      <c r="G10" s="26"/>
      <c r="I10" s="37"/>
      <c r="J10" s="8"/>
      <c r="K10" s="8"/>
    </row>
    <row r="11" spans="1:11" s="9" customFormat="1" x14ac:dyDescent="0.25">
      <c r="A11" s="6" t="s">
        <v>4</v>
      </c>
      <c r="B11" s="17">
        <v>9715.6639209847799</v>
      </c>
      <c r="C11" s="17">
        <v>0</v>
      </c>
      <c r="D11" s="39">
        <f t="shared" ref="D11:D30" si="1">B11/F11</f>
        <v>3.6117709743437842</v>
      </c>
      <c r="E11" s="43">
        <v>0</v>
      </c>
      <c r="F11" s="17">
        <v>2690</v>
      </c>
      <c r="G11" s="44">
        <v>0</v>
      </c>
      <c r="I11" s="37"/>
      <c r="J11" s="8"/>
      <c r="K11" s="36"/>
    </row>
    <row r="12" spans="1:11" s="9" customFormat="1" x14ac:dyDescent="0.25">
      <c r="A12" s="6" t="s">
        <v>5</v>
      </c>
      <c r="B12" s="17">
        <v>1171.64530154726</v>
      </c>
      <c r="C12" s="17">
        <v>0</v>
      </c>
      <c r="D12" s="39">
        <f t="shared" si="1"/>
        <v>2.9587002564324747</v>
      </c>
      <c r="E12" s="43">
        <v>0</v>
      </c>
      <c r="F12" s="17">
        <v>396</v>
      </c>
      <c r="G12" s="44">
        <v>0</v>
      </c>
      <c r="I12" s="37"/>
      <c r="J12" s="8"/>
      <c r="K12" s="36"/>
    </row>
    <row r="13" spans="1:11" s="9" customFormat="1" x14ac:dyDescent="0.25">
      <c r="A13" s="6" t="s">
        <v>6</v>
      </c>
      <c r="B13" s="17">
        <v>2953.2308954733298</v>
      </c>
      <c r="C13" s="17">
        <v>0</v>
      </c>
      <c r="D13" s="39">
        <f t="shared" si="1"/>
        <v>4.079048198167583</v>
      </c>
      <c r="E13" s="43">
        <v>0</v>
      </c>
      <c r="F13" s="17">
        <v>724</v>
      </c>
      <c r="G13" s="44">
        <v>0</v>
      </c>
      <c r="I13" s="37"/>
      <c r="J13" s="8"/>
      <c r="K13" s="36"/>
    </row>
    <row r="14" spans="1:11" s="9" customFormat="1" x14ac:dyDescent="0.25">
      <c r="A14" s="6" t="s">
        <v>8</v>
      </c>
      <c r="B14" s="17">
        <v>1991.7793002401199</v>
      </c>
      <c r="C14" s="17">
        <v>0</v>
      </c>
      <c r="D14" s="39">
        <f t="shared" si="1"/>
        <v>3.3816286931071646</v>
      </c>
      <c r="E14" s="43">
        <v>0</v>
      </c>
      <c r="F14" s="17">
        <v>589</v>
      </c>
      <c r="G14" s="44">
        <v>0</v>
      </c>
      <c r="I14" s="37"/>
      <c r="J14" s="8"/>
      <c r="K14" s="36"/>
    </row>
    <row r="15" spans="1:11" s="9" customFormat="1" x14ac:dyDescent="0.25">
      <c r="A15" s="6" t="s">
        <v>9</v>
      </c>
      <c r="B15" s="17">
        <v>6772.5738121119302</v>
      </c>
      <c r="C15" s="17">
        <v>0</v>
      </c>
      <c r="D15" s="39">
        <f t="shared" si="1"/>
        <v>3.1559057838359412</v>
      </c>
      <c r="E15" s="43">
        <f>C15/G15</f>
        <v>0</v>
      </c>
      <c r="F15" s="17">
        <v>2146</v>
      </c>
      <c r="G15" s="44">
        <v>1</v>
      </c>
      <c r="I15" s="37"/>
      <c r="J15" s="8"/>
      <c r="K15" s="36"/>
    </row>
    <row r="16" spans="1:11" s="9" customFormat="1" x14ac:dyDescent="0.25">
      <c r="A16" s="6" t="s">
        <v>10</v>
      </c>
      <c r="B16" s="17">
        <v>988.79351250185005</v>
      </c>
      <c r="C16" s="17">
        <v>0</v>
      </c>
      <c r="D16" s="39">
        <f t="shared" si="1"/>
        <v>1.7196408913075654</v>
      </c>
      <c r="E16" s="43">
        <v>0</v>
      </c>
      <c r="F16" s="17">
        <v>575</v>
      </c>
      <c r="G16" s="44">
        <v>0</v>
      </c>
      <c r="I16" s="37"/>
      <c r="J16" s="8"/>
      <c r="K16" s="36"/>
    </row>
    <row r="17" spans="1:12" s="9" customFormat="1" x14ac:dyDescent="0.25">
      <c r="A17" s="6" t="s">
        <v>11</v>
      </c>
      <c r="B17" s="17">
        <v>4387.0712547839103</v>
      </c>
      <c r="C17" s="17">
        <v>0</v>
      </c>
      <c r="D17" s="39">
        <f t="shared" si="1"/>
        <v>4.6325990018837491</v>
      </c>
      <c r="E17" s="43">
        <v>0</v>
      </c>
      <c r="F17" s="17">
        <v>947</v>
      </c>
      <c r="G17" s="44">
        <v>0</v>
      </c>
      <c r="I17" s="37"/>
      <c r="J17" s="8"/>
      <c r="K17" s="36"/>
    </row>
    <row r="18" spans="1:12" s="9" customFormat="1" x14ac:dyDescent="0.25">
      <c r="A18" s="6" t="s">
        <v>12</v>
      </c>
      <c r="B18" s="17">
        <v>3474.5883595354398</v>
      </c>
      <c r="C18" s="17">
        <v>0</v>
      </c>
      <c r="D18" s="39">
        <f t="shared" si="1"/>
        <v>4.1711745012430255</v>
      </c>
      <c r="E18" s="43">
        <v>0</v>
      </c>
      <c r="F18" s="17">
        <v>833</v>
      </c>
      <c r="G18" s="44">
        <v>0</v>
      </c>
      <c r="I18" s="37"/>
      <c r="J18" s="8"/>
      <c r="K18" s="36"/>
    </row>
    <row r="19" spans="1:12" s="9" customFormat="1" x14ac:dyDescent="0.25">
      <c r="A19" s="6" t="s">
        <v>26</v>
      </c>
      <c r="B19" s="17">
        <v>1651.0404765385899</v>
      </c>
      <c r="C19" s="17">
        <v>0</v>
      </c>
      <c r="D19" s="39">
        <f t="shared" si="1"/>
        <v>2.4459858911682812</v>
      </c>
      <c r="E19" s="43">
        <v>0</v>
      </c>
      <c r="F19" s="17">
        <v>675</v>
      </c>
      <c r="G19" s="44">
        <v>0</v>
      </c>
      <c r="I19" s="37"/>
      <c r="J19" s="8"/>
      <c r="K19" s="36"/>
    </row>
    <row r="20" spans="1:12" s="9" customFormat="1" x14ac:dyDescent="0.25">
      <c r="A20" s="6" t="s">
        <v>13</v>
      </c>
      <c r="B20" s="17">
        <v>2374.0883011610099</v>
      </c>
      <c r="C20" s="17">
        <v>0</v>
      </c>
      <c r="D20" s="39">
        <f t="shared" si="1"/>
        <v>2.4324675216813625</v>
      </c>
      <c r="E20" s="43">
        <v>0</v>
      </c>
      <c r="F20" s="17">
        <v>976</v>
      </c>
      <c r="G20" s="44">
        <v>0</v>
      </c>
      <c r="I20" s="37"/>
      <c r="J20" s="8"/>
      <c r="K20" s="36"/>
    </row>
    <row r="21" spans="1:12" s="9" customFormat="1" x14ac:dyDescent="0.25">
      <c r="A21" s="6" t="s">
        <v>14</v>
      </c>
      <c r="B21" s="17">
        <v>83.2944710317378</v>
      </c>
      <c r="C21" s="17">
        <v>0</v>
      </c>
      <c r="D21" s="39">
        <f t="shared" si="1"/>
        <v>2.4498373832864058</v>
      </c>
      <c r="E21" s="43">
        <v>0</v>
      </c>
      <c r="F21" s="17">
        <v>34</v>
      </c>
      <c r="G21" s="44">
        <v>0</v>
      </c>
      <c r="I21" s="37"/>
      <c r="J21" s="8"/>
      <c r="K21" s="36"/>
    </row>
    <row r="22" spans="1:12" s="27" customFormat="1" x14ac:dyDescent="0.25">
      <c r="A22" s="6" t="s">
        <v>15</v>
      </c>
      <c r="B22" s="17">
        <v>1938.8359166355799</v>
      </c>
      <c r="C22" s="17">
        <v>0</v>
      </c>
      <c r="D22" s="39">
        <f t="shared" si="1"/>
        <v>2.9966552034553011</v>
      </c>
      <c r="E22" s="43">
        <v>0</v>
      </c>
      <c r="F22" s="17">
        <v>647</v>
      </c>
      <c r="G22" s="44">
        <v>0</v>
      </c>
      <c r="H22" s="9"/>
      <c r="I22" s="37"/>
      <c r="J22" s="8"/>
      <c r="K22" s="36"/>
      <c r="L22" s="9"/>
    </row>
    <row r="23" spans="1:12" s="27" customFormat="1" x14ac:dyDescent="0.25">
      <c r="A23" s="6" t="s">
        <v>16</v>
      </c>
      <c r="B23" s="17">
        <v>2319.2885064556699</v>
      </c>
      <c r="C23" s="17">
        <v>0</v>
      </c>
      <c r="D23" s="39">
        <f t="shared" si="1"/>
        <v>2.2940539134081801</v>
      </c>
      <c r="E23" s="43">
        <v>0</v>
      </c>
      <c r="F23" s="17">
        <v>1011</v>
      </c>
      <c r="G23" s="44">
        <v>0</v>
      </c>
      <c r="H23" s="9"/>
      <c r="I23" s="37"/>
      <c r="J23" s="8"/>
      <c r="K23" s="36"/>
      <c r="L23" s="9"/>
    </row>
    <row r="24" spans="1:12" s="27" customFormat="1" x14ac:dyDescent="0.25">
      <c r="A24" s="6" t="s">
        <v>17</v>
      </c>
      <c r="B24" s="17">
        <v>9987.8621461811308</v>
      </c>
      <c r="C24" s="17">
        <v>0</v>
      </c>
      <c r="D24" s="39">
        <f t="shared" si="1"/>
        <v>3.4886001209155189</v>
      </c>
      <c r="E24" s="43">
        <v>0</v>
      </c>
      <c r="F24" s="17">
        <v>2863</v>
      </c>
      <c r="G24" s="44">
        <v>0</v>
      </c>
      <c r="H24" s="9"/>
      <c r="I24" s="37"/>
      <c r="J24" s="8"/>
      <c r="K24" s="36"/>
      <c r="L24" s="9"/>
    </row>
    <row r="25" spans="1:12" s="27" customFormat="1" x14ac:dyDescent="0.25">
      <c r="A25" s="6" t="s">
        <v>18</v>
      </c>
      <c r="B25" s="17">
        <v>7516.0127188181395</v>
      </c>
      <c r="C25" s="17">
        <v>0</v>
      </c>
      <c r="D25" s="39">
        <f t="shared" si="1"/>
        <v>5.0887019084753824</v>
      </c>
      <c r="E25" s="43">
        <v>0</v>
      </c>
      <c r="F25" s="17">
        <v>1477</v>
      </c>
      <c r="G25" s="44">
        <v>0</v>
      </c>
      <c r="H25" s="9"/>
      <c r="I25" s="37"/>
      <c r="J25" s="8"/>
      <c r="K25" s="36"/>
      <c r="L25" s="9"/>
    </row>
    <row r="26" spans="1:12" s="27" customFormat="1" x14ac:dyDescent="0.25">
      <c r="A26" s="6" t="s">
        <v>19</v>
      </c>
      <c r="B26" s="17">
        <v>7172.7650513394901</v>
      </c>
      <c r="C26" s="17">
        <v>0</v>
      </c>
      <c r="D26" s="39">
        <f t="shared" si="1"/>
        <v>3.8234355284325638</v>
      </c>
      <c r="E26" s="43">
        <v>0</v>
      </c>
      <c r="F26" s="17">
        <v>1876</v>
      </c>
      <c r="G26" s="44">
        <v>0</v>
      </c>
      <c r="H26" s="9"/>
      <c r="I26" s="37"/>
      <c r="J26" s="8"/>
      <c r="K26" s="36"/>
      <c r="L26" s="9"/>
    </row>
    <row r="27" spans="1:12" s="27" customFormat="1" x14ac:dyDescent="0.25">
      <c r="A27" s="6" t="s">
        <v>20</v>
      </c>
      <c r="B27" s="17">
        <v>25537.0332134364</v>
      </c>
      <c r="C27" s="17">
        <v>0</v>
      </c>
      <c r="D27" s="39">
        <f t="shared" si="1"/>
        <v>5.1465201961782343</v>
      </c>
      <c r="E27" s="43">
        <v>0</v>
      </c>
      <c r="F27" s="17">
        <v>4962</v>
      </c>
      <c r="G27" s="44">
        <v>0</v>
      </c>
      <c r="H27" s="9"/>
      <c r="I27" s="37"/>
      <c r="J27" s="8"/>
      <c r="K27" s="36"/>
      <c r="L27" s="9"/>
    </row>
    <row r="28" spans="1:12" s="27" customFormat="1" x14ac:dyDescent="0.25">
      <c r="A28" s="6" t="s">
        <v>21</v>
      </c>
      <c r="B28" s="17">
        <v>17849.033106841001</v>
      </c>
      <c r="C28" s="17">
        <v>0</v>
      </c>
      <c r="D28" s="39">
        <f t="shared" si="1"/>
        <v>4.7132382114710856</v>
      </c>
      <c r="E28" s="43">
        <v>0</v>
      </c>
      <c r="F28" s="17">
        <v>3787</v>
      </c>
      <c r="G28" s="44">
        <v>0</v>
      </c>
      <c r="H28" s="9"/>
      <c r="I28" s="37"/>
      <c r="J28" s="8"/>
      <c r="K28" s="36"/>
      <c r="L28" s="9"/>
    </row>
    <row r="29" spans="1:12" s="27" customFormat="1" x14ac:dyDescent="0.25">
      <c r="A29" s="6" t="s">
        <v>22</v>
      </c>
      <c r="B29" s="17">
        <v>3819.87806514779</v>
      </c>
      <c r="C29" s="17">
        <v>0.15007791174270901</v>
      </c>
      <c r="D29" s="39">
        <f t="shared" si="1"/>
        <v>3.5533749443235254</v>
      </c>
      <c r="E29" s="43">
        <f>C29/G29</f>
        <v>7.5038955871354507E-2</v>
      </c>
      <c r="F29" s="17">
        <v>1075</v>
      </c>
      <c r="G29" s="44">
        <v>2</v>
      </c>
      <c r="H29" s="9"/>
      <c r="I29" s="37"/>
      <c r="J29" s="8"/>
      <c r="K29" s="36"/>
      <c r="L29" s="9"/>
    </row>
    <row r="30" spans="1:12" s="27" customFormat="1" x14ac:dyDescent="0.25">
      <c r="A30" s="7" t="s">
        <v>7</v>
      </c>
      <c r="B30" s="38">
        <v>13278.903953836299</v>
      </c>
      <c r="C30" s="38">
        <v>1.21957423212817</v>
      </c>
      <c r="D30" s="45">
        <f t="shared" si="1"/>
        <v>6.2167153341930241</v>
      </c>
      <c r="E30" s="46">
        <f>C30/G30</f>
        <v>0.60978711606408498</v>
      </c>
      <c r="F30" s="38">
        <v>2136</v>
      </c>
      <c r="G30" s="47">
        <v>2</v>
      </c>
      <c r="H30" s="9"/>
      <c r="I30" s="37"/>
      <c r="J30" s="8"/>
      <c r="K30" s="36"/>
      <c r="L30" s="9"/>
    </row>
    <row r="31" spans="1:12" s="27" customFormat="1" ht="17.25" x14ac:dyDescent="0.45">
      <c r="A31" s="3" t="s">
        <v>34</v>
      </c>
      <c r="B31" s="14"/>
      <c r="C31" s="14"/>
      <c r="D31" s="14"/>
      <c r="E31" s="14"/>
      <c r="F31" s="14"/>
      <c r="G31" s="29" t="s">
        <v>31</v>
      </c>
    </row>
    <row r="32" spans="1:12" s="27" customFormat="1" ht="12" x14ac:dyDescent="0.25">
      <c r="A32" s="3"/>
      <c r="B32" s="14"/>
      <c r="C32" s="14"/>
      <c r="D32" s="14"/>
      <c r="E32" s="14"/>
      <c r="F32" s="14"/>
      <c r="G32" s="28"/>
    </row>
    <row r="33" spans="1:19" s="27" customFormat="1" ht="12" x14ac:dyDescent="0.25">
      <c r="A33" s="3"/>
      <c r="B33" s="14"/>
      <c r="C33" s="14"/>
      <c r="D33" s="14"/>
      <c r="E33" s="14"/>
      <c r="F33" s="14"/>
      <c r="G33" s="28"/>
    </row>
    <row r="34" spans="1:19" x14ac:dyDescent="0.25">
      <c r="O34" s="27"/>
      <c r="P34" s="27"/>
      <c r="Q34" s="27"/>
      <c r="R34" s="27"/>
      <c r="S34" s="27"/>
    </row>
    <row r="35" spans="1:19" x14ac:dyDescent="0.25">
      <c r="O35" s="27"/>
      <c r="P35" s="27"/>
      <c r="Q35" s="27"/>
      <c r="R35" s="27"/>
      <c r="S35" s="27"/>
    </row>
  </sheetData>
  <mergeCells count="6">
    <mergeCell ref="A1:G1"/>
    <mergeCell ref="A2:G2"/>
    <mergeCell ref="A4:A6"/>
    <mergeCell ref="B4:C4"/>
    <mergeCell ref="D4:E4"/>
    <mergeCell ref="F4:G4"/>
  </mergeCells>
  <pageMargins left="0.7" right="0.7" top="0.75" bottom="0.75" header="0.3" footer="0.3"/>
  <pageSetup paperSize="9" scale="80" orientation="portrait" horizontalDpi="4294967295" verticalDpi="4294967295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2026-07-07T03:34:17Z</cp:lastPrinted>
  <dcterms:created xsi:type="dcterms:W3CDTF">2019-09-09T05:11:24Z</dcterms:created>
  <dcterms:modified xsi:type="dcterms:W3CDTF">2026-07-07T03:35:52Z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