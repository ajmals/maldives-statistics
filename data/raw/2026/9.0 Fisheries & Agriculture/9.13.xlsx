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8EF11473-349D-44BB-9628-D176B08655E1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13" sheetId="13" r:id="rId1"/>
  </sheets>
  <definedNames>
    <definedName name="_xlnm.Print_Area" localSheetId="0">'9.13'!$A$1:$J$29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3" l="1"/>
  <c r="D7" i="13"/>
  <c r="E7" i="13"/>
  <c r="F7" i="13"/>
  <c r="G7" i="13"/>
  <c r="H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7" i="13" l="1"/>
</calcChain>
</file>

<file path=xl/sharedStrings.xml><?xml version="1.0" encoding="utf-8"?>
<sst xmlns="http://schemas.openxmlformats.org/spreadsheetml/2006/main" count="62" uniqueCount="61">
  <si>
    <t>Total</t>
  </si>
  <si>
    <t>(ރުފިޔާއިން )</t>
  </si>
  <si>
    <t>(Value in MVR)</t>
  </si>
  <si>
    <t>Agricultural crops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</si>
  <si>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</si>
  <si>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</si>
  <si>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</si>
  <si>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</si>
  <si>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</si>
  <si>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</si>
  <si>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</si>
  <si>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</si>
  <si>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</si>
  <si>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</si>
  <si>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</si>
  <si>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</si>
  <si>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</si>
  <si>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</si>
  <si>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</si>
  <si>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</si>
  <si>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</si>
  <si>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</si>
  <si>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</si>
  <si>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</si>
  <si>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</si>
  <si>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</si>
  <si>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</si>
  <si>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</si>
  <si>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</si>
  <si>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</si>
  <si>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</si>
  <si>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</si>
  <si>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</si>
  <si>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</si>
  <si>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</si>
  <si>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</si>
  <si>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</si>
  <si>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</si>
  <si>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</si>
  <si>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</si>
  <si>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</si>
  <si>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</si>
  <si>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</si>
  <si>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</si>
  <si>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</si>
  <si>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</si>
  <si>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</si>
  <si>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</si>
  <si>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</si>
  <si>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</si>
  <si>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</si>
  <si>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</si>
  <si>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</si>
  <si>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</si>
  <si>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</si>
  <si>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</si>
  <si>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</si>
  <si>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</si>
  <si>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</si>
  <si>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2025 ,cawtctwvWb egumwkirevuDnwd Wdcawh cSokumcaWa iawgEjcaWr cniaeret egukwtctwvWb unuveruk cTrOpcmia cSwaejcaWr  : 9.13 ulwvWt</t>
  </si>
  <si>
    <t>Table 9.13: IMPORTS OF FRESH AGRICULTURAL CROPS MAINLY PRODUCED IN MALDIVES,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</si>
</sst>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6" formatCode="[$-409]mmmm\ d\,\ yyyy;@"/>
  </numFmts>
  <fonts count="19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9"/>
      <name val="A_Randhoo"/>
    </font>
    <font>
      <b/>
      <sz val="11"/>
      <name val="A_Faseyha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sz val="10"/>
      <name val="Courier"/>
      <charset val="134"/>
    </font>
    <font>
      <b/>
      <sz val="12"/>
      <color indexed="8"/>
      <name val="Calibri"/>
      <family val="2"/>
    </font>
    <font>
      <b/>
      <sz val="9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0" fontId="7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33">
    <xf numFmtId="0" fontId="0" fillId="0" borderId="0" xfId="0"/>
    <xf numFmtId="0" fontId="10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38" fontId="4" fillId="2" borderId="1" xfId="0" applyNumberFormat="1" applyFont="1" applyFill="1" applyBorder="1"/>
    <xf numFmtId="0" fontId="9" fillId="2" borderId="0" xfId="0" applyFont="1" applyFill="1" applyBorder="1" applyAlignment="1">
      <alignment horizontal="center" vertical="center"/>
    </xf>
    <xf numFmtId="164" fontId="11" fillId="2" borderId="0" xfId="0" applyNumberFormat="1" applyFont="1" applyFill="1" applyBorder="1"/>
    <xf numFmtId="0" fontId="14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38" fontId="10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left" vertical="center" indent="1"/>
    </xf>
    <xf numFmtId="38" fontId="4" fillId="2" borderId="0" xfId="0" applyNumberFormat="1" applyFont="1" applyFill="1" applyBorder="1"/>
    <xf numFmtId="0" fontId="17" fillId="2" borderId="0" xfId="0" applyFont="1" applyFill="1" applyBorder="1" applyAlignment="1">
      <alignment horizontal="right" vertical="center" indent="1"/>
    </xf>
    <xf numFmtId="0" fontId="18" fillId="2" borderId="0" xfId="0" applyFont="1" applyFill="1" applyBorder="1" applyAlignment="1">
      <alignment horizontal="left" vertical="center" indent="1"/>
    </xf>
    <xf numFmtId="164" fontId="5" fillId="2" borderId="0" xfId="0" applyNumberFormat="1" applyFont="1" applyFill="1" applyBorder="1" applyAlignment="1">
      <alignment horizontal="left" vertical="center"/>
    </xf>
    <xf numFmtId="164" fontId="13" fillId="2" borderId="0" xfId="0" applyNumberFormat="1" applyFont="1" applyFill="1" applyBorder="1"/>
    <xf numFmtId="164" fontId="8" fillId="2" borderId="0" xfId="0" applyNumberFormat="1" applyFont="1" applyFill="1" applyBorder="1" applyAlignment="1">
      <alignment horizontal="right" vertical="center" indent="1"/>
    </xf>
    <xf numFmtId="0" fontId="18" fillId="2" borderId="0" xfId="0" applyFont="1" applyFill="1" applyBorder="1" applyAlignment="1">
      <alignment horizontal="left" vertical="center"/>
    </xf>
    <xf numFmtId="38" fontId="2" fillId="2" borderId="0" xfId="0" applyNumberFormat="1" applyFont="1" applyFill="1" applyBorder="1"/>
    <xf numFmtId="0" fontId="17" fillId="2" borderId="0" xfId="0" applyFont="1" applyFill="1" applyBorder="1" applyAlignment="1">
      <alignment vertical="center"/>
    </xf>
    <xf numFmtId="1" fontId="2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left" vertical="center"/>
    </xf>
    <xf numFmtId="164" fontId="8" fillId="2" borderId="0" xfId="0" applyNumberFormat="1" applyFont="1" applyFill="1" applyBorder="1" applyAlignment="1">
      <alignment horizontal="left" vertical="center" indent="1" readingOrder="2"/>
    </xf>
    <xf numFmtId="2" fontId="16" fillId="2" borderId="2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right" vertical="center" indent="1"/>
    </xf>
    <xf numFmtId="3" fontId="2" fillId="2" borderId="0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4137-6EEC-465C-9B6C-A9479AD72FC2}">
  <dimension ref="A1:U35"/>
  <sheetViews>
    <sheetView tabSelected="1" zoomScaleNormal="100" workbookViewId="0">
      <selection activeCell="K10" sqref="K10"/>
    </sheetView>
  </sheetViews>
  <sheetFormatPr defaultColWidth="15.42578125" defaultRowHeight="15"/>
  <cols>
    <col min="1" max="1" width="40.5703125" style="8" bestFit="1" customWidth="1"/>
    <col min="2" max="8" width="17.28515625" style="8" customWidth="1"/>
    <col min="9" max="9" width="24" style="8" customWidth="1"/>
    <col min="10" max="10" width="5.140625" style="8" customWidth="1"/>
    <col min="11" max="16384" width="15.42578125" style="8"/>
  </cols>
  <sheetData>
    <row r="1" spans="1:9" ht="18">
      <c r="A1" s="7" t="s">
        <v>59</v>
      </c>
      <c r="B1" s="7"/>
      <c r="C1" s="7"/>
      <c r="D1" s="7"/>
      <c r="E1" s="7"/>
      <c r="F1" s="7"/>
      <c r="G1" s="7"/>
      <c r="H1" s="7"/>
      <c r="I1" s="7"/>
    </row>
    <row r="2" spans="1:9" ht="15.75">
      <c r="A2" s="9" t="s">
        <v>60</v>
      </c>
      <c r="B2" s="9"/>
      <c r="C2" s="9"/>
      <c r="D2" s="9"/>
      <c r="E2" s="9"/>
      <c r="F2" s="9"/>
      <c r="G2" s="9"/>
      <c r="H2" s="9"/>
      <c r="I2" s="9"/>
    </row>
    <row r="3" spans="1:9" ht="21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pans="1:9">
      <c r="A4" s="11" t="s">
        <v>2</v>
      </c>
      <c r="B4" s="11"/>
      <c r="C4" s="11"/>
      <c r="D4" s="11"/>
      <c r="E4" s="11"/>
      <c r="F4" s="11"/>
      <c r="G4" s="11"/>
      <c r="H4" s="11"/>
      <c r="I4" s="11"/>
    </row>
    <row r="5" spans="1:9" ht="18.75">
      <c r="A5" s="1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28" t="s">
        <v>9</v>
      </c>
      <c r="H5" s="28" t="s">
        <v>10</v>
      </c>
      <c r="I5" s="3" t="s">
        <v>11</v>
      </c>
    </row>
    <row r="6" spans="1:9">
      <c r="A6" s="2"/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4"/>
    </row>
    <row r="7" spans="1:9" ht="21">
      <c r="A7" s="12" t="s">
        <v>0</v>
      </c>
      <c r="B7" s="13">
        <f t="shared" ref="B7:H7" si="0">SUM(B8:B26)</f>
        <v>693972214.54999971</v>
      </c>
      <c r="C7" s="13">
        <f t="shared" si="0"/>
        <v>231426179.50999996</v>
      </c>
      <c r="D7" s="13">
        <f t="shared" si="0"/>
        <v>157672583.17000002</v>
      </c>
      <c r="E7" s="13">
        <f t="shared" si="0"/>
        <v>144285288.09999952</v>
      </c>
      <c r="F7" s="13">
        <f t="shared" si="0"/>
        <v>8945170.2900000084</v>
      </c>
      <c r="G7" s="13">
        <f t="shared" si="0"/>
        <v>77405184.290000066</v>
      </c>
      <c r="H7" s="13">
        <f t="shared" si="0"/>
        <v>74237809.189999998</v>
      </c>
      <c r="I7" s="14" t="s">
        <v>4</v>
      </c>
    </row>
    <row r="8" spans="1:9" ht="21">
      <c r="A8" s="15" t="s">
        <v>19</v>
      </c>
      <c r="B8" s="16">
        <f t="shared" ref="B8:B26" si="1">SUM(C8:H8)</f>
        <v>48903202.719999999</v>
      </c>
      <c r="C8" s="31">
        <v>28242189.300000001</v>
      </c>
      <c r="D8" s="31">
        <v>14537154.880000001</v>
      </c>
      <c r="E8" s="31">
        <v>4307401.32</v>
      </c>
      <c r="F8" s="31">
        <v>4579.93</v>
      </c>
      <c r="G8" s="31">
        <v>567743.31000000006</v>
      </c>
      <c r="H8" s="31">
        <v>1244133.98</v>
      </c>
      <c r="I8" s="17" t="s">
        <v>20</v>
      </c>
    </row>
    <row r="9" spans="1:9" ht="21">
      <c r="A9" s="18" t="s">
        <v>21</v>
      </c>
      <c r="B9" s="16">
        <f t="shared" si="1"/>
        <v>29973322.97000001</v>
      </c>
      <c r="C9" s="31">
        <v>16736315.720000001</v>
      </c>
      <c r="D9" s="31">
        <v>6121554.2100000102</v>
      </c>
      <c r="E9" s="31">
        <v>4007451.73</v>
      </c>
      <c r="F9" s="31">
        <v>171370.31</v>
      </c>
      <c r="G9" s="31">
        <v>1017345.23</v>
      </c>
      <c r="H9" s="31">
        <v>1919285.77</v>
      </c>
      <c r="I9" s="17" t="s">
        <v>22</v>
      </c>
    </row>
    <row r="10" spans="1:9" ht="21">
      <c r="A10" s="18" t="s">
        <v>23</v>
      </c>
      <c r="B10" s="16">
        <f t="shared" si="1"/>
        <v>1563204.5300000003</v>
      </c>
      <c r="C10" s="31">
        <v>21318.84</v>
      </c>
      <c r="D10" s="31">
        <v>1485425.87</v>
      </c>
      <c r="E10" s="31">
        <v>47517.96</v>
      </c>
      <c r="F10" s="31">
        <v>0</v>
      </c>
      <c r="G10" s="31">
        <v>827.04</v>
      </c>
      <c r="H10" s="31">
        <v>8114.82</v>
      </c>
      <c r="I10" s="17" t="s">
        <v>24</v>
      </c>
    </row>
    <row r="11" spans="1:9" ht="21">
      <c r="A11" s="18" t="s">
        <v>25</v>
      </c>
      <c r="B11" s="16">
        <f t="shared" si="1"/>
        <v>43212503.429999888</v>
      </c>
      <c r="C11" s="31">
        <v>26945038.289999899</v>
      </c>
      <c r="D11" s="31">
        <v>6089226.8499999996</v>
      </c>
      <c r="E11" s="31">
        <v>4865419.08</v>
      </c>
      <c r="F11" s="31">
        <v>294577.12</v>
      </c>
      <c r="G11" s="31">
        <v>412058.48</v>
      </c>
      <c r="H11" s="31">
        <v>4606183.6100000003</v>
      </c>
      <c r="I11" s="17" t="s">
        <v>26</v>
      </c>
    </row>
    <row r="12" spans="1:9" ht="21">
      <c r="A12" s="18" t="s">
        <v>27</v>
      </c>
      <c r="B12" s="16">
        <f t="shared" si="1"/>
        <v>12612320.109999999</v>
      </c>
      <c r="C12" s="31">
        <v>200736.39</v>
      </c>
      <c r="D12" s="31">
        <v>1873012.09</v>
      </c>
      <c r="E12" s="31">
        <v>5822463.0700000003</v>
      </c>
      <c r="F12" s="31">
        <v>356407.6</v>
      </c>
      <c r="G12" s="31">
        <v>3477993.77</v>
      </c>
      <c r="H12" s="31">
        <v>881707.19</v>
      </c>
      <c r="I12" s="17" t="s">
        <v>28</v>
      </c>
    </row>
    <row r="13" spans="1:9" ht="21">
      <c r="A13" s="18" t="s">
        <v>29</v>
      </c>
      <c r="B13" s="16">
        <f t="shared" si="1"/>
        <v>5866770.4800000098</v>
      </c>
      <c r="C13" s="31">
        <v>182878.36</v>
      </c>
      <c r="D13" s="31">
        <v>5090945.9100000104</v>
      </c>
      <c r="E13" s="31">
        <v>125994.81</v>
      </c>
      <c r="F13" s="31">
        <v>510.29</v>
      </c>
      <c r="G13" s="31">
        <v>369445.3</v>
      </c>
      <c r="H13" s="31">
        <v>96995.81</v>
      </c>
      <c r="I13" s="17" t="s">
        <v>30</v>
      </c>
    </row>
    <row r="14" spans="1:9" ht="21">
      <c r="A14" s="18" t="s">
        <v>31</v>
      </c>
      <c r="B14" s="16">
        <f t="shared" si="1"/>
        <v>34813727.850000113</v>
      </c>
      <c r="C14" s="31">
        <v>19566911.800000101</v>
      </c>
      <c r="D14" s="31">
        <v>3858921.44</v>
      </c>
      <c r="E14" s="31">
        <v>3500811.8700000099</v>
      </c>
      <c r="F14" s="31">
        <v>53530.54</v>
      </c>
      <c r="G14" s="31">
        <v>3484148.19</v>
      </c>
      <c r="H14" s="31">
        <v>4349404.01</v>
      </c>
      <c r="I14" s="17" t="s">
        <v>32</v>
      </c>
    </row>
    <row r="15" spans="1:9" ht="21">
      <c r="A15" s="18" t="s">
        <v>33</v>
      </c>
      <c r="B15" s="16">
        <f t="shared" si="1"/>
        <v>56829304.999999993</v>
      </c>
      <c r="C15" s="31">
        <v>15252126.050000001</v>
      </c>
      <c r="D15" s="31">
        <v>28092204.75</v>
      </c>
      <c r="E15" s="31">
        <v>6884566.1100000003</v>
      </c>
      <c r="F15" s="31">
        <v>369084.37</v>
      </c>
      <c r="G15" s="31">
        <v>1413503.05</v>
      </c>
      <c r="H15" s="31">
        <v>4817820.67</v>
      </c>
      <c r="I15" s="17" t="s">
        <v>34</v>
      </c>
    </row>
    <row r="16" spans="1:9" ht="21">
      <c r="A16" s="18" t="s">
        <v>35</v>
      </c>
      <c r="B16" s="16">
        <f t="shared" si="1"/>
        <v>8371407.8299999917</v>
      </c>
      <c r="C16" s="31">
        <v>7410978.52999999</v>
      </c>
      <c r="D16" s="31">
        <v>534466.62000000104</v>
      </c>
      <c r="E16" s="31">
        <v>392396.9</v>
      </c>
      <c r="F16" s="31">
        <v>0</v>
      </c>
      <c r="G16" s="31">
        <v>11652.44</v>
      </c>
      <c r="H16" s="31">
        <v>21913.34</v>
      </c>
      <c r="I16" s="17" t="s">
        <v>36</v>
      </c>
    </row>
    <row r="17" spans="1:21" ht="21">
      <c r="A17" s="18" t="s">
        <v>37</v>
      </c>
      <c r="B17" s="16">
        <f t="shared" si="1"/>
        <v>41606220.910000011</v>
      </c>
      <c r="C17" s="31">
        <v>7218667.8600000096</v>
      </c>
      <c r="D17" s="31">
        <v>9568475.9199999906</v>
      </c>
      <c r="E17" s="31">
        <v>8196589.4000000097</v>
      </c>
      <c r="F17" s="31">
        <v>2856.54</v>
      </c>
      <c r="G17" s="31">
        <v>11445552.619999999</v>
      </c>
      <c r="H17" s="31">
        <v>5174078.57</v>
      </c>
      <c r="I17" s="17" t="s">
        <v>38</v>
      </c>
    </row>
    <row r="18" spans="1:21" ht="21">
      <c r="A18" s="18" t="s">
        <v>39</v>
      </c>
      <c r="B18" s="16">
        <f t="shared" si="1"/>
        <v>79619721.369999528</v>
      </c>
      <c r="C18" s="31">
        <v>598280.6</v>
      </c>
      <c r="D18" s="31">
        <v>6296187.3500000201</v>
      </c>
      <c r="E18" s="31">
        <v>47491552.7899995</v>
      </c>
      <c r="F18" s="31">
        <v>2770190.0400000098</v>
      </c>
      <c r="G18" s="31">
        <v>3017774.17</v>
      </c>
      <c r="H18" s="31">
        <v>19445736.420000002</v>
      </c>
      <c r="I18" s="17" t="s">
        <v>40</v>
      </c>
    </row>
    <row r="19" spans="1:21" ht="21">
      <c r="A19" s="18" t="s">
        <v>41</v>
      </c>
      <c r="B19" s="16">
        <f t="shared" si="1"/>
        <v>101037708.0500001</v>
      </c>
      <c r="C19" s="31">
        <v>7997605.3499999903</v>
      </c>
      <c r="D19" s="31">
        <v>30605466.27</v>
      </c>
      <c r="E19" s="31">
        <v>19139670.359999999</v>
      </c>
      <c r="F19" s="31">
        <v>206946.2</v>
      </c>
      <c r="G19" s="31">
        <v>30728584.440000098</v>
      </c>
      <c r="H19" s="31">
        <v>12359435.43</v>
      </c>
      <c r="I19" s="17" t="s">
        <v>42</v>
      </c>
    </row>
    <row r="20" spans="1:21" ht="21">
      <c r="A20" s="18" t="s">
        <v>43</v>
      </c>
      <c r="B20" s="16">
        <f t="shared" si="1"/>
        <v>54885696.589999899</v>
      </c>
      <c r="C20" s="31">
        <v>20996814.9099999</v>
      </c>
      <c r="D20" s="31">
        <v>543739.5</v>
      </c>
      <c r="E20" s="31">
        <v>17617033.82</v>
      </c>
      <c r="F20" s="31">
        <v>1405254.18</v>
      </c>
      <c r="G20" s="31">
        <v>4985464.4400000004</v>
      </c>
      <c r="H20" s="31">
        <v>9337389.7400000002</v>
      </c>
      <c r="I20" s="17" t="s">
        <v>44</v>
      </c>
    </row>
    <row r="21" spans="1:21" ht="21">
      <c r="A21" s="18" t="s">
        <v>45</v>
      </c>
      <c r="B21" s="16">
        <f t="shared" si="1"/>
        <v>25293666.79999999</v>
      </c>
      <c r="C21" s="31">
        <v>3606189.78</v>
      </c>
      <c r="D21" s="31">
        <v>15885742.76</v>
      </c>
      <c r="E21" s="31">
        <v>1513777.71</v>
      </c>
      <c r="F21" s="31">
        <v>11340.06</v>
      </c>
      <c r="G21" s="31">
        <v>4247643.3099999903</v>
      </c>
      <c r="H21" s="31">
        <v>28973.18</v>
      </c>
      <c r="I21" s="17" t="s">
        <v>46</v>
      </c>
    </row>
    <row r="22" spans="1:21" ht="21">
      <c r="A22" s="18" t="s">
        <v>47</v>
      </c>
      <c r="B22" s="16">
        <f t="shared" si="1"/>
        <v>44737842.219999984</v>
      </c>
      <c r="C22" s="31">
        <v>9869563.1600000001</v>
      </c>
      <c r="D22" s="31">
        <v>16669092.6</v>
      </c>
      <c r="E22" s="31">
        <v>8320143.3300000001</v>
      </c>
      <c r="F22" s="31">
        <v>3152.41</v>
      </c>
      <c r="G22" s="31">
        <v>7124300.7899999898</v>
      </c>
      <c r="H22" s="31">
        <v>2751589.93</v>
      </c>
      <c r="I22" s="17" t="s">
        <v>48</v>
      </c>
    </row>
    <row r="23" spans="1:21" ht="21">
      <c r="A23" s="18" t="s">
        <v>49</v>
      </c>
      <c r="B23" s="16">
        <f t="shared" si="1"/>
        <v>13555898.709999992</v>
      </c>
      <c r="C23" s="31">
        <v>8018464.6500000004</v>
      </c>
      <c r="D23" s="31">
        <v>1501849.98</v>
      </c>
      <c r="E23" s="31">
        <v>3507030.0699999901</v>
      </c>
      <c r="F23" s="31">
        <v>202353.56</v>
      </c>
      <c r="G23" s="31">
        <v>46167.6</v>
      </c>
      <c r="H23" s="31">
        <v>280032.84999999998</v>
      </c>
      <c r="I23" s="17" t="s">
        <v>50</v>
      </c>
    </row>
    <row r="24" spans="1:21" ht="21">
      <c r="A24" s="18" t="s">
        <v>51</v>
      </c>
      <c r="B24" s="16">
        <f t="shared" si="1"/>
        <v>751580.32</v>
      </c>
      <c r="C24" s="31">
        <v>125523.53</v>
      </c>
      <c r="D24" s="31">
        <v>26483.89</v>
      </c>
      <c r="E24" s="31">
        <v>304634.12</v>
      </c>
      <c r="F24" s="31">
        <v>0</v>
      </c>
      <c r="G24" s="31">
        <v>247747.12</v>
      </c>
      <c r="H24" s="31">
        <v>47191.66</v>
      </c>
      <c r="I24" s="17" t="s">
        <v>52</v>
      </c>
    </row>
    <row r="25" spans="1:21" ht="21">
      <c r="A25" s="18" t="s">
        <v>53</v>
      </c>
      <c r="B25" s="16">
        <f t="shared" si="1"/>
        <v>17218434.479999989</v>
      </c>
      <c r="C25" s="31">
        <v>3100170.23999999</v>
      </c>
      <c r="D25" s="31">
        <v>5149959.72</v>
      </c>
      <c r="E25" s="31">
        <v>2734439.55</v>
      </c>
      <c r="F25" s="31">
        <v>450908.91</v>
      </c>
      <c r="G25" s="31">
        <v>457232.8</v>
      </c>
      <c r="H25" s="31">
        <v>5325723.26</v>
      </c>
      <c r="I25" s="17" t="s">
        <v>54</v>
      </c>
    </row>
    <row r="26" spans="1:21" ht="21">
      <c r="A26" s="29" t="s">
        <v>55</v>
      </c>
      <c r="B26" s="6">
        <f t="shared" si="1"/>
        <v>73119680.180000111</v>
      </c>
      <c r="C26" s="32">
        <v>55336406.150000103</v>
      </c>
      <c r="D26" s="32">
        <v>3742672.56</v>
      </c>
      <c r="E26" s="32">
        <v>5506394.0999999996</v>
      </c>
      <c r="F26" s="32">
        <v>2642108.23</v>
      </c>
      <c r="G26" s="32">
        <v>4350000.1900000004</v>
      </c>
      <c r="H26" s="32">
        <v>1542098.95</v>
      </c>
      <c r="I26" s="30" t="s">
        <v>56</v>
      </c>
    </row>
    <row r="27" spans="1:21" s="20" customFormat="1">
      <c r="A27" s="19" t="s">
        <v>57</v>
      </c>
      <c r="B27" s="19"/>
      <c r="I27" s="21" t="s">
        <v>58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21">
      <c r="A28" s="22"/>
      <c r="B28" s="16"/>
      <c r="C28" s="23"/>
      <c r="D28" s="23"/>
      <c r="E28" s="23"/>
      <c r="F28" s="23"/>
      <c r="G28" s="23"/>
      <c r="H28" s="23"/>
      <c r="I28" s="24"/>
    </row>
    <row r="29" spans="1:21" ht="21">
      <c r="A29" s="22"/>
      <c r="B29" s="16"/>
      <c r="C29" s="23"/>
      <c r="D29" s="23"/>
      <c r="E29" s="23"/>
      <c r="F29" s="23"/>
      <c r="G29" s="23"/>
      <c r="H29" s="23"/>
      <c r="I29" s="24"/>
    </row>
    <row r="30" spans="1:21" ht="21">
      <c r="A30" s="22"/>
      <c r="B30" s="16"/>
      <c r="C30" s="23"/>
      <c r="D30" s="23"/>
      <c r="E30" s="23"/>
      <c r="F30" s="23"/>
      <c r="G30" s="23"/>
      <c r="H30" s="23"/>
      <c r="I30" s="24"/>
    </row>
    <row r="31" spans="1:21" ht="21">
      <c r="A31" s="22"/>
      <c r="B31" s="16"/>
      <c r="C31" s="23"/>
      <c r="D31" s="23"/>
      <c r="E31" s="23"/>
      <c r="F31" s="23"/>
      <c r="G31" s="23"/>
      <c r="H31" s="23"/>
      <c r="I31" s="24"/>
    </row>
    <row r="32" spans="1:21" ht="21">
      <c r="A32" s="22"/>
      <c r="B32" s="16"/>
      <c r="C32" s="23"/>
      <c r="D32" s="23"/>
      <c r="E32" s="23"/>
      <c r="F32" s="23"/>
      <c r="G32" s="23"/>
      <c r="H32" s="23"/>
      <c r="I32" s="24"/>
    </row>
    <row r="33" spans="1:9" ht="21">
      <c r="A33" s="22"/>
      <c r="B33" s="16"/>
      <c r="C33" s="23"/>
      <c r="D33" s="23"/>
      <c r="E33" s="23"/>
      <c r="F33" s="23"/>
      <c r="G33" s="23"/>
      <c r="H33" s="23"/>
      <c r="I33" s="24"/>
    </row>
    <row r="34" spans="1:9">
      <c r="A34" s="19"/>
      <c r="B34" s="19"/>
      <c r="C34" s="20"/>
      <c r="D34" s="20"/>
      <c r="E34" s="20"/>
      <c r="F34" s="20"/>
      <c r="G34" s="20"/>
      <c r="H34" s="20"/>
      <c r="I34" s="21"/>
    </row>
    <row r="35" spans="1:9">
      <c r="A35" s="19"/>
      <c r="B35" s="19"/>
      <c r="C35" s="25"/>
      <c r="D35" s="20"/>
      <c r="E35" s="26"/>
      <c r="F35" s="26"/>
      <c r="G35" s="26"/>
      <c r="H35" s="27"/>
      <c r="I35" s="20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4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2026-07-07T04:53:24Z</cp:lastPrinted>
  <dcterms:created xsi:type="dcterms:W3CDTF">2019-09-09T05:11:24Z</dcterms:created>
  <dcterms:modified xsi:type="dcterms:W3CDTF">2026-07-07T04:53:39Z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