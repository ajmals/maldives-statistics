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3B1C3724-DDC3-4FD2-94F9-217757BB7969}" xr6:coauthVersionLast="47" xr6:coauthVersionMax="47" xr10:uidLastSave="{00000000-0000-0000-0000-000000000000}"/>
  <bookViews>
    <workbookView xWindow="-120" yWindow="-120" windowWidth="29040" windowHeight="15720" tabRatio="889" xr2:uid="{00000000-000D-0000-FFFF-FFFF00000000}"/>
  </bookViews>
  <sheets>
    <sheet name="9.4" sheetId="4" r:id="rId1"/>
  </sheets>
  <definedNames>
    <definedName name="_xlnm.Print_Area" localSheetId="0">'9.4'!$A$1:$T$43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8" i="4" l="1"/>
  <c r="AN9" i="4"/>
  <c r="AN10" i="4"/>
  <c r="AN11" i="4"/>
  <c r="AN12" i="4"/>
  <c r="AN13" i="4"/>
  <c r="AN14" i="4"/>
  <c r="AN15" i="4"/>
  <c r="AN16" i="4"/>
  <c r="AN17" i="4"/>
  <c r="AN18" i="4"/>
  <c r="AN7" i="4"/>
  <c r="S10" i="4"/>
  <c r="S11" i="4"/>
  <c r="S12" i="4"/>
  <c r="S14" i="4"/>
  <c r="S18" i="4"/>
  <c r="S20" i="4"/>
  <c r="S21" i="4"/>
  <c r="J9" i="4"/>
  <c r="R15" i="4" s="1"/>
  <c r="I9" i="4"/>
  <c r="Q9" i="4" s="1"/>
  <c r="S9" i="4" l="1"/>
  <c r="AO7" i="4"/>
  <c r="R14" i="4"/>
  <c r="R12" i="4"/>
  <c r="R9" i="4"/>
  <c r="R11" i="4"/>
  <c r="R10" i="4"/>
  <c r="R13" i="4"/>
  <c r="R21" i="4"/>
  <c r="R19" i="4"/>
  <c r="R18" i="4"/>
  <c r="R17" i="4"/>
  <c r="R20" i="4"/>
  <c r="R16" i="4"/>
  <c r="Q10" i="4"/>
  <c r="Q11" i="4" l="1"/>
  <c r="Q12" i="4"/>
  <c r="Q13" i="4"/>
  <c r="Q14" i="4"/>
  <c r="Q15" i="4"/>
  <c r="Q16" i="4"/>
  <c r="Q17" i="4"/>
  <c r="Q18" i="4"/>
  <c r="Q19" i="4"/>
  <c r="Q20" i="4"/>
  <c r="Q21" i="4"/>
  <c r="H9" i="4"/>
  <c r="P14" i="4" l="1"/>
  <c r="P13" i="4"/>
  <c r="P20" i="4"/>
  <c r="P19" i="4"/>
  <c r="P11" i="4"/>
  <c r="P18" i="4"/>
  <c r="P17" i="4"/>
  <c r="P10" i="4"/>
  <c r="P16" i="4"/>
  <c r="P9" i="4"/>
  <c r="P12" i="4"/>
  <c r="P21" i="4"/>
  <c r="P15" i="4"/>
  <c r="AO8" i="4" l="1"/>
  <c r="AO9" i="4"/>
  <c r="AO10" i="4"/>
  <c r="AO11" i="4"/>
  <c r="AO12" i="4"/>
  <c r="AO13" i="4"/>
  <c r="AO14" i="4"/>
  <c r="AO15" i="4"/>
  <c r="AO16" i="4"/>
  <c r="AO17" i="4"/>
  <c r="AO18" i="4"/>
  <c r="G9" i="4"/>
  <c r="O10" i="4" s="1"/>
  <c r="O21" i="4" l="1"/>
  <c r="O20" i="4"/>
  <c r="O19" i="4"/>
  <c r="O11" i="4"/>
  <c r="O18" i="4"/>
  <c r="O17" i="4"/>
  <c r="O16" i="4"/>
  <c r="O12" i="4"/>
  <c r="O15" i="4"/>
  <c r="O14" i="4"/>
  <c r="O13" i="4"/>
  <c r="O9" i="4"/>
  <c r="F9" i="4" l="1"/>
  <c r="N9" i="4" l="1"/>
  <c r="N14" i="4"/>
  <c r="N19" i="4"/>
  <c r="N15" i="4"/>
  <c r="N16" i="4"/>
  <c r="N17" i="4"/>
  <c r="N10" i="4"/>
  <c r="N18" i="4"/>
  <c r="N11" i="4"/>
  <c r="N12" i="4"/>
  <c r="N20" i="4"/>
  <c r="N13" i="4"/>
  <c r="N21" i="4"/>
  <c r="E9" i="4" l="1"/>
  <c r="M14" i="4" l="1"/>
  <c r="M11" i="4"/>
  <c r="M15" i="4"/>
  <c r="M19" i="4"/>
  <c r="M13" i="4"/>
  <c r="M21" i="4"/>
  <c r="M10" i="4"/>
  <c r="M12" i="4"/>
  <c r="M16" i="4"/>
  <c r="M20" i="4"/>
  <c r="M17" i="4"/>
  <c r="M18" i="4"/>
  <c r="M9" i="4"/>
  <c r="D9" i="4" l="1"/>
  <c r="L11" i="4" l="1"/>
  <c r="L15" i="4"/>
  <c r="L19" i="4"/>
  <c r="L21" i="4"/>
  <c r="L12" i="4"/>
  <c r="L16" i="4"/>
  <c r="L20" i="4"/>
  <c r="L13" i="4"/>
  <c r="L17" i="4"/>
  <c r="L10" i="4"/>
  <c r="L14" i="4"/>
  <c r="L18" i="4"/>
  <c r="L9" i="4"/>
  <c r="C9" i="4" l="1"/>
  <c r="B9" i="4"/>
  <c r="K21" i="4" l="1"/>
  <c r="K14" i="4"/>
  <c r="K19" i="4"/>
  <c r="K13" i="4"/>
  <c r="K15" i="4"/>
  <c r="K16" i="4"/>
  <c r="K10" i="4"/>
  <c r="K17" i="4"/>
  <c r="K18" i="4"/>
  <c r="K11" i="4"/>
  <c r="K12" i="4"/>
  <c r="K20" i="4"/>
  <c r="K9" i="4"/>
</calcChain>
</file>

<file path=xl/sharedStrings.xml><?xml version="1.0" encoding="utf-8"?>
<sst xmlns="http://schemas.openxmlformats.org/spreadsheetml/2006/main" count="49" uniqueCount="32">
  <si>
    <t>cniawtcaws ctogWviawfiheb</t>
  </si>
  <si>
    <t>Percentage share</t>
  </si>
  <si>
    <t>udwdwA ununEb cswm</t>
  </si>
  <si>
    <t>Fish catch</t>
  </si>
  <si>
    <t>Total</t>
  </si>
  <si>
    <t>(cnunwTckircTem)</t>
  </si>
  <si>
    <t>(In metric tons)</t>
  </si>
  <si>
    <t>Month</t>
  </si>
  <si>
    <t xml:space="preserve"> eruvcSwrwhwa wyidim</t>
  </si>
  <si>
    <t>(cnia % ) urwvcnim ivurutia</t>
  </si>
  <si>
    <t>Fish Catch</t>
  </si>
  <si>
    <t>Growth</t>
  </si>
  <si>
    <t>% change over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</si>
  <si>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</si>
  <si>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</si>
  <si>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</si>
  <si>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</si>
  <si>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</si>
  <si>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</si>
  <si>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</si>
  <si>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</si>
  <si>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</si>
  <si>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</si>
  <si>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</si>
  <si>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</si>
  <si>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މަޢުލޫމާތުދެއްވި ފަރާތް: މިނިސްޓްރީ އޮފް ފިޝަރީޒް، މެރިންރިސޯސަސް އެންޑް އެގްރިކަލްޗަރ</t>
  </si>
  <si>
    <t xml:space="preserve"> previous year 2024</t>
  </si>
  <si>
    <t>Table  9.4 :  FISH CATCH  BY MONTH, 2018 - 2025</t>
  </si>
  <si>
    <t>2025 - 2018 ,urwvcnim eguhwminEb wtwvun ifih iawguhwmcswmikea : 9.4 ulwvWt</t>
  </si>
  <si>
    <t>(*)</t>
  </si>
  <si>
    <t xml:space="preserve">(*) - Indicates if the percentage change is greater than 100. </t>
  </si>
  <si>
    <t>Source: Ministry of Fisheries, Agriculture and Ocean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</si>
</sst>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7" formatCode="0.0"/>
    <numFmt numFmtId="170" formatCode="[$-409]mmmm\ d\,\ 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sz val="10"/>
      <name val="MS Sans Serif"/>
      <family val="2"/>
    </font>
    <font>
      <sz val="9"/>
      <name val="A_Randhoo"/>
    </font>
    <font>
      <b/>
      <sz val="12"/>
      <name val="A_Randhoo"/>
    </font>
    <font>
      <b/>
      <sz val="9"/>
      <name val="A_Faseyha"/>
    </font>
    <font>
      <b/>
      <sz val="11"/>
      <name val="A_Faseyha"/>
    </font>
    <font>
      <b/>
      <sz val="12"/>
      <name val="A_Faseyha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8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9" fillId="0" borderId="0"/>
    <xf numFmtId="0" fontId="9" fillId="0" borderId="0"/>
  </cellStyleXfs>
  <cellXfs count="75">
    <xf numFmtId="0" fontId="0" fillId="0" borderId="0" xfId="0"/>
    <xf numFmtId="164" fontId="4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9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11" fillId="2" borderId="0" xfId="2" applyFont="1" applyFill="1" applyAlignment="1">
      <alignment horizontal="right" vertical="center"/>
    </xf>
    <xf numFmtId="164" fontId="13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vertical="center"/>
    </xf>
    <xf numFmtId="164" fontId="12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4" fontId="5" fillId="2" borderId="1" xfId="2" applyFont="1" applyFill="1" applyBorder="1" applyAlignment="1">
      <alignment vertical="center"/>
    </xf>
    <xf numFmtId="165" fontId="8" fillId="2" borderId="0" xfId="2" applyNumberFormat="1" applyFont="1" applyFill="1" applyAlignment="1">
      <alignment horizontal="right" vertical="center"/>
    </xf>
    <xf numFmtId="165" fontId="8" fillId="2" borderId="1" xfId="2" applyNumberFormat="1" applyFont="1" applyFill="1" applyBorder="1" applyAlignment="1">
      <alignment horizontal="right" vertical="center"/>
    </xf>
    <xf numFmtId="164" fontId="7" fillId="2" borderId="0" xfId="2" applyFont="1" applyFill="1" applyAlignment="1">
      <alignment vertical="center"/>
    </xf>
    <xf numFmtId="164" fontId="6" fillId="2" borderId="0" xfId="2" applyFont="1" applyFill="1" applyAlignment="1">
      <alignment horizontal="right" vertical="center"/>
    </xf>
    <xf numFmtId="164" fontId="16" fillId="2" borderId="0" xfId="2" applyFont="1" applyFill="1" applyAlignment="1">
      <alignment horizontal="right" vertical="center"/>
    </xf>
    <xf numFmtId="164" fontId="9" fillId="2" borderId="0" xfId="2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/>
    </xf>
    <xf numFmtId="164" fontId="20" fillId="2" borderId="0" xfId="2" applyFont="1" applyFill="1" applyAlignment="1">
      <alignment vertical="center"/>
    </xf>
    <xf numFmtId="164" fontId="10" fillId="2" borderId="0" xfId="2" applyFont="1" applyFill="1" applyAlignment="1">
      <alignment horizontal="center" vertical="center"/>
    </xf>
    <xf numFmtId="164" fontId="16" fillId="2" borderId="0" xfId="2" applyFont="1" applyFill="1" applyAlignment="1">
      <alignment horizontal="center" vertical="center"/>
    </xf>
    <xf numFmtId="165" fontId="4" fillId="2" borderId="0" xfId="2" applyNumberFormat="1" applyFont="1" applyFill="1" applyAlignment="1">
      <alignment horizontal="right" vertical="center"/>
    </xf>
    <xf numFmtId="165" fontId="7" fillId="2" borderId="0" xfId="2" applyNumberFormat="1" applyFont="1" applyFill="1" applyAlignment="1">
      <alignment horizontal="left" vertical="center"/>
    </xf>
    <xf numFmtId="165" fontId="17" fillId="2" borderId="0" xfId="2" applyNumberFormat="1" applyFont="1" applyFill="1" applyAlignment="1">
      <alignment horizontal="right" vertical="center"/>
    </xf>
    <xf numFmtId="164" fontId="9" fillId="2" borderId="0" xfId="2" applyFont="1" applyFill="1" applyAlignment="1">
      <alignment horizontal="right"/>
    </xf>
    <xf numFmtId="164" fontId="9" fillId="2" borderId="0" xfId="2" applyFont="1" applyFill="1"/>
    <xf numFmtId="164" fontId="4" fillId="2" borderId="0" xfId="2" applyFont="1" applyFill="1" applyAlignment="1">
      <alignment horizontal="right"/>
    </xf>
    <xf numFmtId="43" fontId="4" fillId="2" borderId="0" xfId="1" applyFont="1" applyFill="1" applyAlignment="1">
      <alignment horizontal="right"/>
    </xf>
    <xf numFmtId="3" fontId="4" fillId="2" borderId="0" xfId="2" applyNumberFormat="1" applyFont="1" applyFill="1" applyAlignment="1">
      <alignment horizontal="right"/>
    </xf>
    <xf numFmtId="1" fontId="7" fillId="2" borderId="5" xfId="2" applyNumberFormat="1" applyFont="1" applyFill="1" applyBorder="1" applyAlignment="1">
      <alignment horizontal="right" vertical="center"/>
    </xf>
    <xf numFmtId="1" fontId="7" fillId="2" borderId="1" xfId="2" applyNumberFormat="1" applyFont="1" applyFill="1" applyBorder="1" applyAlignment="1">
      <alignment horizontal="right" vertical="center"/>
    </xf>
    <xf numFmtId="3" fontId="10" fillId="2" borderId="2" xfId="2" applyNumberFormat="1" applyFont="1" applyFill="1" applyBorder="1" applyAlignment="1">
      <alignment horizontal="right" vertical="center"/>
    </xf>
    <xf numFmtId="165" fontId="10" fillId="2" borderId="2" xfId="2" applyNumberFormat="1" applyFont="1" applyFill="1" applyBorder="1" applyAlignment="1">
      <alignment horizontal="right" vertical="center"/>
    </xf>
    <xf numFmtId="165" fontId="6" fillId="2" borderId="0" xfId="2" applyNumberFormat="1" applyFont="1" applyFill="1" applyAlignment="1">
      <alignment horizontal="right" vertical="center"/>
    </xf>
    <xf numFmtId="167" fontId="17" fillId="2" borderId="0" xfId="2" applyNumberFormat="1" applyFont="1" applyFill="1" applyAlignment="1">
      <alignment horizontal="center" vertical="center"/>
    </xf>
    <xf numFmtId="3" fontId="8" fillId="2" borderId="0" xfId="2" applyNumberFormat="1" applyFont="1" applyFill="1" applyAlignment="1">
      <alignment horizontal="right" vertical="center"/>
    </xf>
    <xf numFmtId="3" fontId="8" fillId="2" borderId="1" xfId="2" applyNumberFormat="1" applyFont="1" applyFill="1" applyBorder="1" applyAlignment="1">
      <alignment horizontal="right" vertical="center"/>
    </xf>
    <xf numFmtId="164" fontId="19" fillId="2" borderId="0" xfId="2" applyFont="1" applyFill="1" applyAlignment="1">
      <alignment horizontal="right" vertical="center"/>
    </xf>
    <xf numFmtId="164" fontId="4" fillId="2" borderId="0" xfId="2" applyFont="1" applyFill="1"/>
    <xf numFmtId="167" fontId="4" fillId="2" borderId="0" xfId="2" applyNumberFormat="1" applyFont="1" applyFill="1" applyAlignment="1">
      <alignment horizontal="right"/>
    </xf>
    <xf numFmtId="167" fontId="9" fillId="2" borderId="0" xfId="2" applyNumberFormat="1" applyFont="1" applyFill="1" applyAlignment="1">
      <alignment horizontal="right"/>
    </xf>
    <xf numFmtId="164" fontId="21" fillId="2" borderId="2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/>
    </xf>
    <xf numFmtId="164" fontId="7" fillId="2" borderId="0" xfId="2" applyFont="1" applyFill="1" applyAlignment="1">
      <alignment horizontal="center" vertical="center"/>
    </xf>
    <xf numFmtId="164" fontId="10" fillId="2" borderId="1" xfId="2" applyFont="1" applyFill="1" applyBorder="1" applyAlignment="1">
      <alignment horizontal="center" vertical="center"/>
    </xf>
    <xf numFmtId="164" fontId="10" fillId="2" borderId="5" xfId="2" applyFont="1" applyFill="1" applyBorder="1" applyAlignment="1">
      <alignment horizontal="center" vertical="center" wrapText="1"/>
    </xf>
    <xf numFmtId="1" fontId="7" fillId="2" borderId="7" xfId="2" applyNumberFormat="1" applyFont="1" applyFill="1" applyBorder="1" applyAlignment="1">
      <alignment horizontal="right" vertical="center"/>
    </xf>
    <xf numFmtId="3" fontId="10" fillId="2" borderId="3" xfId="2" applyNumberFormat="1" applyFont="1" applyFill="1" applyBorder="1" applyAlignment="1">
      <alignment horizontal="right" vertical="center"/>
    </xf>
    <xf numFmtId="165" fontId="10" fillId="2" borderId="0" xfId="2" applyNumberFormat="1" applyFont="1" applyFill="1" applyAlignment="1">
      <alignment horizontal="center" vertical="center"/>
    </xf>
    <xf numFmtId="0" fontId="26" fillId="2" borderId="0" xfId="8" applyFont="1" applyFill="1" applyAlignment="1">
      <alignment horizontal="left" vertical="center"/>
    </xf>
    <xf numFmtId="3" fontId="8" fillId="2" borderId="13" xfId="0" applyNumberFormat="1" applyFont="1" applyFill="1" applyBorder="1" applyAlignment="1">
      <alignment horizontal="right" vertical="center"/>
    </xf>
    <xf numFmtId="3" fontId="8" fillId="2" borderId="14" xfId="0" applyNumberFormat="1" applyFont="1" applyFill="1" applyBorder="1" applyAlignment="1">
      <alignment horizontal="right" vertical="center"/>
    </xf>
    <xf numFmtId="0" fontId="24" fillId="2" borderId="0" xfId="0" applyFont="1" applyFill="1" applyAlignment="1" applyProtection="1">
      <alignment vertical="center"/>
      <protection hidden="1"/>
    </xf>
    <xf numFmtId="164" fontId="7" fillId="2" borderId="2" xfId="2" applyFont="1" applyFill="1" applyBorder="1" applyAlignment="1">
      <alignment horizontal="left" vertical="center"/>
    </xf>
    <xf numFmtId="164" fontId="7" fillId="2" borderId="0" xfId="2" applyFont="1" applyFill="1" applyAlignment="1">
      <alignment horizontal="left" vertical="center"/>
    </xf>
    <xf numFmtId="164" fontId="7" fillId="2" borderId="1" xfId="2" applyFont="1" applyFill="1" applyBorder="1" applyAlignment="1">
      <alignment horizontal="left" vertical="center"/>
    </xf>
    <xf numFmtId="164" fontId="23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10" fillId="2" borderId="1" xfId="2" applyFont="1" applyFill="1" applyBorder="1" applyAlignment="1">
      <alignment horizontal="center" vertical="center"/>
    </xf>
    <xf numFmtId="164" fontId="22" fillId="2" borderId="12" xfId="2" applyFont="1" applyFill="1" applyBorder="1" applyAlignment="1">
      <alignment horizontal="center" vertical="center"/>
    </xf>
    <xf numFmtId="164" fontId="22" fillId="2" borderId="3" xfId="2" applyFont="1" applyFill="1" applyBorder="1" applyAlignment="1">
      <alignment horizontal="center" vertical="center"/>
    </xf>
    <xf numFmtId="164" fontId="22" fillId="2" borderId="10" xfId="2" applyFont="1" applyFill="1" applyBorder="1" applyAlignment="1">
      <alignment horizontal="center" vertical="center"/>
    </xf>
    <xf numFmtId="164" fontId="22" fillId="2" borderId="6" xfId="2" applyFont="1" applyFill="1" applyBorder="1" applyAlignment="1">
      <alignment horizontal="center" vertical="center"/>
    </xf>
    <xf numFmtId="164" fontId="22" fillId="2" borderId="11" xfId="2" applyFont="1" applyFill="1" applyBorder="1" applyAlignment="1">
      <alignment horizontal="center" vertical="center"/>
    </xf>
    <xf numFmtId="164" fontId="22" fillId="2" borderId="12" xfId="2" applyFont="1" applyFill="1" applyBorder="1" applyAlignment="1">
      <alignment vertical="center"/>
    </xf>
    <xf numFmtId="164" fontId="22" fillId="2" borderId="4" xfId="2" applyFont="1" applyFill="1" applyBorder="1" applyAlignment="1">
      <alignment vertical="center"/>
    </xf>
    <xf numFmtId="164" fontId="22" fillId="2" borderId="15" xfId="2" applyFont="1" applyFill="1" applyBorder="1" applyAlignment="1">
      <alignment horizontal="center" vertical="center"/>
    </xf>
    <xf numFmtId="164" fontId="5" fillId="2" borderId="9" xfId="2" applyFont="1" applyFill="1" applyBorder="1" applyAlignment="1">
      <alignment horizontal="center" vertical="center"/>
    </xf>
    <xf numFmtId="164" fontId="5" fillId="2" borderId="8" xfId="2" applyFont="1" applyFill="1" applyBorder="1" applyAlignment="1">
      <alignment horizontal="center" vertical="center"/>
    </xf>
    <xf numFmtId="164" fontId="5" fillId="2" borderId="16" xfId="2" applyFont="1" applyFill="1" applyBorder="1" applyAlignment="1">
      <alignment horizontal="center" vertical="center"/>
    </xf>
    <xf numFmtId="165" fontId="8" fillId="2" borderId="0" xfId="2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65" fontId="8" fillId="2" borderId="1" xfId="2" applyNumberFormat="1" applyFont="1" applyFill="1" applyBorder="1" applyAlignment="1">
      <alignment horizontal="center" vertical="center"/>
    </xf>
  </cellXfs>
  <cellStyles count="9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  <cellStyle name="Normal_Quick data" xfId="8" xr:uid="{CB39FE78-F1ED-413A-A91D-93A459EEE395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9.3: Fish Catch and Fish Catch Growth by Month, 2025</a:t>
            </a:r>
          </a:p>
        </c:rich>
      </c:tx>
      <c:layout>
        <c:manualLayout>
          <c:xMode val="edge"/>
          <c:yMode val="edge"/>
          <c:x val="0.24340534348255385"/>
          <c:y val="6.32754185832077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8476722577305318E-2"/>
          <c:y val="0.18116528703142876"/>
          <c:w val="0.88703977792249655"/>
          <c:h val="0.720800565563979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'9.4'!$AN$6</c:f>
              <c:strCache>
                <c:ptCount val="1"/>
                <c:pt idx="0">
                  <c:v>Fish Catch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'9.4'!$AM$7:$AM$18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'9.4'!$J$10:$J$21</c:f>
              <c:numCache>
                <c:formatCode>#,##0</c:formatCode>
                <c:ptCount val="12"/>
                <c:pt idx="0">
                  <c:v>15308.738116078001</c:v>
                </c:pt>
                <c:pt idx="1">
                  <c:v>15861.0054104304</c:v>
                </c:pt>
                <c:pt idx="2">
                  <c:v>10712.554436591399</c:v>
                </c:pt>
                <c:pt idx="3">
                  <c:v>13439.399384079899</c:v>
                </c:pt>
                <c:pt idx="4">
                  <c:v>16048.975270475699</c:v>
                </c:pt>
                <c:pt idx="5">
                  <c:v>10613.5196568544</c:v>
                </c:pt>
                <c:pt idx="6">
                  <c:v>11178.5403898446</c:v>
                </c:pt>
                <c:pt idx="7">
                  <c:v>11434.412719722901</c:v>
                </c:pt>
                <c:pt idx="8">
                  <c:v>10144.8066237863</c:v>
                </c:pt>
                <c:pt idx="9">
                  <c:v>8197.9586945771607</c:v>
                </c:pt>
                <c:pt idx="10">
                  <c:v>10774.794027375399</c:v>
                </c:pt>
                <c:pt idx="11">
                  <c:v>16417.822605590802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21364312"/>
        <c:axId val="421364704"/>
      </c:barChart>
      <c:lineChart>
        <c:grouping val="standard"/>
        <c:varyColors val="0"/>
        <c:ser>
          <c:idx val="1"/>
          <c:order val="1"/>
          <c:tx>
            <c:strRef>
              <c:f>'9.4'!$AO$6</c:f>
              <c:strCache>
                <c:ptCount val="1"/>
                <c:pt idx="0">
                  <c:v>Growth</c:v>
                </c:pt>
              </c:strCache>
            </c:strRef>
          </c:tx>
          <c:spPr>
            <a:ln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'9.4'!$AM$7:$AM$18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'9.4'!$AO$7:$AO$18</c:f>
              <c:numCache>
                <c:formatCode>#,##0</c:formatCode>
                <c:ptCount val="12"/>
                <c:pt idx="0">
                  <c:v>-9.0438890207132996</c:v>
                </c:pt>
                <c:pt idx="1">
                  <c:v>2.535026873869267</c:v>
                </c:pt>
                <c:pt idx="2">
                  <c:v>-6.4796343267382221</c:v>
                </c:pt>
                <c:pt idx="3">
                  <c:v>0</c:v>
                </c:pt>
                <c:pt idx="4">
                  <c:v>74.796945948587961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56.210308851033851</c:v>
                </c:pt>
                <c:pt idx="9">
                  <c:v>0</c:v>
                </c:pt>
                <c:pt idx="10">
                  <c:v>-17.745382539125231</c:v>
                </c:pt>
                <c:pt idx="11">
                  <c:v>59.645774682754151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366272"/>
        <c:axId val="421367056"/>
      </c:lineChart>
      <c:catAx>
        <c:axId val="42136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4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1364704"/>
        <c:scaling>
          <c:orientation val="minMax"/>
          <c:max val="18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4312"/>
        <c:crosses val="autoZero"/>
        <c:crossBetween val="between"/>
      </c:valAx>
      <c:catAx>
        <c:axId val="421366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1367056"/>
        <c:crosses val="autoZero"/>
        <c:auto val="0"/>
        <c:lblAlgn val="ctr"/>
        <c:lblOffset val="100"/>
        <c:noMultiLvlLbl val="0"/>
      </c:catAx>
      <c:valAx>
        <c:axId val="421367056"/>
        <c:scaling>
          <c:orientation val="minMax"/>
          <c:max val="180"/>
          <c:min val="-80"/>
        </c:scaling>
        <c:delete val="0"/>
        <c:axPos val="r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6272"/>
        <c:crosses val="max"/>
        <c:crossBetween val="between"/>
        <c:majorUnit val="20"/>
      </c:valAx>
      <c:spPr>
        <a:noFill/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1565207063696491"/>
          <c:y val="0.21744238419042911"/>
          <c:w val="0.24292038687260689"/>
          <c:h val="0.11195626105842199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23</xdr:row>
      <xdr:rowOff>104671</xdr:rowOff>
    </xdr:from>
    <xdr:to>
      <xdr:col>18</xdr:col>
      <xdr:colOff>360694</xdr:colOff>
      <xdr:row>41</xdr:row>
      <xdr:rowOff>63744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62"/>
  <sheetViews>
    <sheetView tabSelected="1" zoomScale="91" zoomScaleNormal="91" zoomScaleSheetLayoutView="100" workbookViewId="0">
      <selection activeCell="Z14" sqref="Z14"/>
    </sheetView>
  </sheetViews>
  <sheetFormatPr defaultColWidth="8.85546875" defaultRowHeight="12.75" x14ac:dyDescent="0.2"/>
  <cols>
    <col min="1" max="1" width="8.85546875" style="27"/>
    <col min="2" max="2" width="10.85546875" style="26" hidden="1" customWidth="1"/>
    <col min="3" max="10" width="10.85546875" style="26" customWidth="1"/>
    <col min="11" max="18" width="8.140625" style="26" customWidth="1"/>
    <col min="19" max="19" width="28.28515625" style="26" customWidth="1"/>
    <col min="20" max="20" width="4.85546875" style="26" customWidth="1"/>
    <col min="21" max="21" width="16.28515625" style="26" bestFit="1" customWidth="1"/>
    <col min="22" max="25" width="4.85546875" style="27" customWidth="1"/>
    <col min="26" max="26" width="21.28515625" style="27" customWidth="1"/>
    <col min="27" max="35" width="4.85546875" style="27" customWidth="1"/>
    <col min="36" max="39" width="8.85546875" style="27"/>
    <col min="40" max="40" width="10" style="27" bestFit="1" customWidth="1"/>
    <col min="41" max="16384" width="8.85546875" style="27"/>
  </cols>
  <sheetData>
    <row r="1" spans="1:47" s="10" customFormat="1" ht="19.5" x14ac:dyDescent="0.25">
      <c r="A1" s="58" t="s">
        <v>28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19"/>
      <c r="U1" s="19"/>
      <c r="V1" s="20"/>
      <c r="W1" s="20"/>
      <c r="X1" s="20"/>
    </row>
    <row r="2" spans="1:47" s="15" customFormat="1" ht="19.5" x14ac:dyDescent="0.25">
      <c r="A2" s="59" t="s">
        <v>27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21"/>
      <c r="U2" s="19"/>
      <c r="V2" s="20"/>
      <c r="W2" s="20"/>
      <c r="X2" s="20"/>
      <c r="Y2" s="10"/>
      <c r="Z2" s="10"/>
      <c r="AA2" s="10"/>
    </row>
    <row r="3" spans="1:47" s="11" customFormat="1" ht="19.5" x14ac:dyDescent="0.25">
      <c r="A3" s="58" t="s">
        <v>5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22"/>
      <c r="U3" s="19"/>
      <c r="V3" s="20"/>
      <c r="W3" s="20"/>
      <c r="X3" s="20"/>
      <c r="Y3" s="10"/>
      <c r="Z3" s="10"/>
      <c r="AA3" s="10"/>
      <c r="AG3" s="23"/>
    </row>
    <row r="4" spans="1:47" s="15" customFormat="1" ht="19.5" x14ac:dyDescent="0.25">
      <c r="A4" s="60" t="s">
        <v>6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45"/>
      <c r="U4" s="19"/>
      <c r="V4" s="20"/>
      <c r="W4" s="20"/>
      <c r="X4" s="20"/>
      <c r="Y4" s="10"/>
      <c r="Z4" s="10"/>
      <c r="AA4" s="10"/>
      <c r="AB4" s="24"/>
      <c r="AC4" s="24"/>
      <c r="AD4" s="24"/>
      <c r="AE4" s="24"/>
      <c r="AF4" s="24"/>
      <c r="AI4" s="25"/>
    </row>
    <row r="5" spans="1:47" s="11" customFormat="1" ht="13.5" customHeight="1" x14ac:dyDescent="0.2">
      <c r="A5" s="55" t="s">
        <v>7</v>
      </c>
      <c r="B5" s="66"/>
      <c r="C5" s="61" t="s">
        <v>2</v>
      </c>
      <c r="D5" s="61"/>
      <c r="E5" s="61"/>
      <c r="F5" s="61"/>
      <c r="G5" s="61"/>
      <c r="H5" s="61"/>
      <c r="I5" s="61"/>
      <c r="J5" s="62"/>
      <c r="K5" s="64" t="s">
        <v>0</v>
      </c>
      <c r="L5" s="61"/>
      <c r="M5" s="61"/>
      <c r="N5" s="61"/>
      <c r="O5" s="61"/>
      <c r="P5" s="61"/>
      <c r="Q5" s="61"/>
      <c r="R5" s="61"/>
      <c r="S5" s="43" t="s">
        <v>8</v>
      </c>
      <c r="T5" s="17"/>
      <c r="U5" s="19"/>
      <c r="V5" s="20"/>
      <c r="W5" s="20"/>
      <c r="X5" s="20"/>
      <c r="Y5" s="10"/>
      <c r="Z5" s="10"/>
      <c r="AA5" s="10"/>
      <c r="AB5" s="24"/>
      <c r="AC5" s="24"/>
      <c r="AD5" s="24"/>
      <c r="AE5" s="24"/>
      <c r="AF5" s="24"/>
      <c r="AI5" s="23"/>
      <c r="AL5" s="26"/>
      <c r="AM5" s="26"/>
      <c r="AN5" s="27"/>
      <c r="AO5" s="27"/>
    </row>
    <row r="6" spans="1:47" s="1" customFormat="1" ht="20.45" customHeight="1" x14ac:dyDescent="0.2">
      <c r="A6" s="56"/>
      <c r="B6" s="67"/>
      <c r="C6" s="68"/>
      <c r="D6" s="68"/>
      <c r="E6" s="68"/>
      <c r="F6" s="68"/>
      <c r="G6" s="68"/>
      <c r="H6" s="68"/>
      <c r="I6" s="68"/>
      <c r="J6" s="63"/>
      <c r="K6" s="65"/>
      <c r="L6" s="68"/>
      <c r="M6" s="68"/>
      <c r="N6" s="68"/>
      <c r="O6" s="68"/>
      <c r="P6" s="68"/>
      <c r="Q6" s="68"/>
      <c r="R6" s="68"/>
      <c r="S6" s="44" t="s">
        <v>9</v>
      </c>
      <c r="T6" s="17"/>
      <c r="U6" s="19"/>
      <c r="V6" s="20"/>
      <c r="W6" s="20"/>
      <c r="X6" s="20"/>
      <c r="Y6" s="10"/>
      <c r="Z6" s="10"/>
      <c r="AA6" s="10"/>
      <c r="AB6" s="24"/>
      <c r="AC6" s="24"/>
      <c r="AD6" s="24"/>
      <c r="AE6" s="24"/>
      <c r="AF6" s="24"/>
      <c r="AI6" s="23"/>
      <c r="AL6" s="26"/>
      <c r="AM6" s="28" t="s">
        <v>7</v>
      </c>
      <c r="AN6" s="15" t="s">
        <v>10</v>
      </c>
      <c r="AO6" s="15" t="s">
        <v>11</v>
      </c>
    </row>
    <row r="7" spans="1:47" s="1" customFormat="1" ht="19.5" x14ac:dyDescent="0.2">
      <c r="A7" s="56"/>
      <c r="B7" s="12"/>
      <c r="C7" s="69" t="s">
        <v>3</v>
      </c>
      <c r="D7" s="69"/>
      <c r="E7" s="69"/>
      <c r="F7" s="69"/>
      <c r="G7" s="69"/>
      <c r="H7" s="69"/>
      <c r="I7" s="69"/>
      <c r="J7" s="70"/>
      <c r="K7" s="71" t="s">
        <v>1</v>
      </c>
      <c r="L7" s="69"/>
      <c r="M7" s="69"/>
      <c r="N7" s="69"/>
      <c r="O7" s="69"/>
      <c r="P7" s="69"/>
      <c r="Q7" s="69"/>
      <c r="R7" s="69"/>
      <c r="S7" s="46" t="s">
        <v>12</v>
      </c>
      <c r="T7" s="16"/>
      <c r="U7" s="19"/>
      <c r="V7" s="20"/>
      <c r="W7" s="20"/>
      <c r="X7" s="20"/>
      <c r="Y7" s="10"/>
      <c r="Z7" s="10"/>
      <c r="AA7" s="10"/>
      <c r="AB7" s="24"/>
      <c r="AC7" s="24"/>
      <c r="AD7" s="24"/>
      <c r="AE7" s="24"/>
      <c r="AF7" s="24"/>
      <c r="AI7" s="23"/>
      <c r="AL7" s="26"/>
      <c r="AM7" s="27" t="s">
        <v>13</v>
      </c>
      <c r="AN7" s="29">
        <f>J10</f>
        <v>15308.738116078001</v>
      </c>
      <c r="AO7" s="30">
        <f>S10</f>
        <v>-9.0438890207132996</v>
      </c>
    </row>
    <row r="8" spans="1:47" s="1" customFormat="1" ht="18" customHeight="1" x14ac:dyDescent="0.2">
      <c r="A8" s="57"/>
      <c r="B8" s="31">
        <v>2017</v>
      </c>
      <c r="C8" s="31">
        <v>2018</v>
      </c>
      <c r="D8" s="31">
        <v>2019</v>
      </c>
      <c r="E8" s="31">
        <v>2020</v>
      </c>
      <c r="F8" s="32">
        <v>2021</v>
      </c>
      <c r="G8" s="31">
        <v>2022</v>
      </c>
      <c r="H8" s="31">
        <v>2023</v>
      </c>
      <c r="I8" s="31">
        <v>2024</v>
      </c>
      <c r="J8" s="48">
        <v>2025</v>
      </c>
      <c r="K8" s="32">
        <v>2018</v>
      </c>
      <c r="L8" s="32">
        <v>2019</v>
      </c>
      <c r="M8" s="32">
        <v>2020</v>
      </c>
      <c r="N8" s="32">
        <v>2021</v>
      </c>
      <c r="O8" s="32">
        <v>2022</v>
      </c>
      <c r="P8" s="32">
        <v>2023</v>
      </c>
      <c r="Q8" s="32">
        <v>2024</v>
      </c>
      <c r="R8" s="32">
        <v>2025</v>
      </c>
      <c r="S8" s="47" t="s">
        <v>26</v>
      </c>
      <c r="T8" s="35"/>
      <c r="U8" s="19"/>
      <c r="V8" s="20"/>
      <c r="W8" s="20"/>
      <c r="X8" s="20"/>
      <c r="Y8" s="10"/>
      <c r="Z8" s="10"/>
      <c r="AA8" s="10"/>
      <c r="AB8" s="24"/>
      <c r="AC8" s="24"/>
      <c r="AD8" s="24"/>
      <c r="AE8" s="24"/>
      <c r="AF8" s="24"/>
      <c r="AI8" s="23"/>
      <c r="AL8" s="26"/>
      <c r="AM8" s="27" t="s">
        <v>14</v>
      </c>
      <c r="AN8" s="29">
        <f>J11</f>
        <v>15861.0054104304</v>
      </c>
      <c r="AO8" s="30">
        <f t="shared" ref="AO8:AO18" si="0">S11</f>
        <v>2.535026873869267</v>
      </c>
    </row>
    <row r="9" spans="1:47" s="1" customFormat="1" ht="19.5" customHeight="1" x14ac:dyDescent="0.2">
      <c r="A9" s="4" t="s">
        <v>4</v>
      </c>
      <c r="B9" s="33">
        <f t="shared" ref="B9:C9" si="1">SUM(B10:B21)</f>
        <v>143159.9643316248</v>
      </c>
      <c r="C9" s="33">
        <f t="shared" si="1"/>
        <v>151024.32375223387</v>
      </c>
      <c r="D9" s="33">
        <f t="shared" ref="D9:H9" si="2">SUM(D10:D21)</f>
        <v>135068.92557018771</v>
      </c>
      <c r="E9" s="33">
        <f t="shared" si="2"/>
        <v>148582.96918261514</v>
      </c>
      <c r="F9" s="33">
        <f t="shared" si="2"/>
        <v>144992.65539280532</v>
      </c>
      <c r="G9" s="33">
        <f t="shared" si="2"/>
        <v>155205.44329252176</v>
      </c>
      <c r="H9" s="33">
        <f t="shared" si="2"/>
        <v>160683.19395362659</v>
      </c>
      <c r="I9" s="33">
        <f>SUM(I10:I21)</f>
        <v>107666.37614855113</v>
      </c>
      <c r="J9" s="49">
        <f>SUM(J10:J21)</f>
        <v>150132.52733540695</v>
      </c>
      <c r="K9" s="34">
        <f>C9/C9*100</f>
        <v>100</v>
      </c>
      <c r="L9" s="34">
        <f>D9/D9*100</f>
        <v>100</v>
      </c>
      <c r="M9" s="34">
        <f>E9/E9*100</f>
        <v>100</v>
      </c>
      <c r="N9" s="34">
        <f>F9/F9*100</f>
        <v>100</v>
      </c>
      <c r="O9" s="34">
        <f>G9/G9*100</f>
        <v>100</v>
      </c>
      <c r="P9" s="34">
        <f>H9/H9*100</f>
        <v>100</v>
      </c>
      <c r="Q9" s="34">
        <f>I9/I9*100</f>
        <v>100</v>
      </c>
      <c r="R9" s="34">
        <f>J9/J9*100</f>
        <v>100</v>
      </c>
      <c r="S9" s="50">
        <f>((J9-I9)/I9)*100</f>
        <v>39.44235211210578</v>
      </c>
      <c r="U9" s="19"/>
      <c r="V9" s="20"/>
      <c r="W9" s="20"/>
      <c r="X9" s="20"/>
      <c r="Y9" s="10"/>
      <c r="Z9" s="10"/>
      <c r="AA9" s="10"/>
      <c r="AB9" s="24"/>
      <c r="AC9" s="24"/>
      <c r="AD9" s="24"/>
      <c r="AE9" s="24"/>
      <c r="AF9" s="24"/>
      <c r="AI9" s="23"/>
      <c r="AL9" s="18"/>
      <c r="AM9" s="3" t="s">
        <v>15</v>
      </c>
      <c r="AN9" s="29">
        <f>J12</f>
        <v>10712.554436591399</v>
      </c>
      <c r="AO9" s="30">
        <f t="shared" si="0"/>
        <v>-6.4796343267382221</v>
      </c>
    </row>
    <row r="10" spans="1:47" s="1" customFormat="1" ht="19.5" customHeight="1" x14ac:dyDescent="0.2">
      <c r="A10" s="2" t="s">
        <v>13</v>
      </c>
      <c r="B10" s="37">
        <v>15502.525800186488</v>
      </c>
      <c r="C10" s="37">
        <v>16624.189194349769</v>
      </c>
      <c r="D10" s="37">
        <v>9626.2044042341786</v>
      </c>
      <c r="E10" s="37">
        <v>8261.4003988551322</v>
      </c>
      <c r="F10" s="37">
        <v>16102.320233870229</v>
      </c>
      <c r="G10" s="37">
        <v>16852.368805037793</v>
      </c>
      <c r="H10" s="37">
        <v>18686.681594546662</v>
      </c>
      <c r="I10" s="37">
        <v>16830.90663316095</v>
      </c>
      <c r="J10" s="52">
        <v>15308.738116078001</v>
      </c>
      <c r="K10" s="13">
        <f t="shared" ref="K10:K21" si="3">C10/$C$9*100</f>
        <v>11.007623660426336</v>
      </c>
      <c r="L10" s="13">
        <f t="shared" ref="L10:L21" si="4">D10/$D$9*100</f>
        <v>7.1268830810621813</v>
      </c>
      <c r="M10" s="13">
        <f t="shared" ref="M10:M21" si="5">E10/$E$9*100</f>
        <v>5.5601260657952665</v>
      </c>
      <c r="N10" s="13">
        <f t="shared" ref="N10:N21" si="6">F10/$F$9*100</f>
        <v>11.105610963704885</v>
      </c>
      <c r="O10" s="13">
        <f t="shared" ref="O10:O21" si="7">G10/$G$9*100</f>
        <v>10.858104231096764</v>
      </c>
      <c r="P10" s="13">
        <f t="shared" ref="P10:P21" si="8">H10/$H$9*100</f>
        <v>11.629518392533116</v>
      </c>
      <c r="Q10" s="13">
        <f>I10/$I$9*100</f>
        <v>15.632463202753986</v>
      </c>
      <c r="R10" s="13">
        <f>J10/$J$9*100</f>
        <v>10.196816364702348</v>
      </c>
      <c r="S10" s="72">
        <f t="shared" ref="S10:S21" si="9">((J10-I10)/I10)*100</f>
        <v>-9.0438890207132996</v>
      </c>
      <c r="U10" s="19"/>
      <c r="V10" s="20"/>
      <c r="W10" s="20"/>
      <c r="X10" s="20"/>
      <c r="Y10" s="10"/>
      <c r="Z10" s="10"/>
      <c r="AA10" s="10"/>
      <c r="AB10" s="36"/>
      <c r="AC10" s="36"/>
      <c r="AD10" s="24"/>
      <c r="AE10" s="24"/>
      <c r="AF10" s="24"/>
      <c r="AI10" s="23"/>
      <c r="AL10" s="18"/>
      <c r="AM10" s="27" t="s">
        <v>16</v>
      </c>
      <c r="AN10" s="29">
        <f>J13</f>
        <v>13439.399384079899</v>
      </c>
      <c r="AO10" s="30" t="str">
        <f t="shared" si="0"/>
        <v>(*)</v>
      </c>
    </row>
    <row r="11" spans="1:47" s="1" customFormat="1" ht="19.5" customHeight="1" x14ac:dyDescent="0.2">
      <c r="A11" s="2" t="s">
        <v>14</v>
      </c>
      <c r="B11" s="37">
        <v>12577.998944745086</v>
      </c>
      <c r="C11" s="37">
        <v>11703.499674855837</v>
      </c>
      <c r="D11" s="37">
        <v>13254.665364671266</v>
      </c>
      <c r="E11" s="37">
        <v>12845.465682601449</v>
      </c>
      <c r="F11" s="37">
        <v>14229.628201916312</v>
      </c>
      <c r="G11" s="37">
        <v>15063.766733315793</v>
      </c>
      <c r="H11" s="37">
        <v>21006.124975069819</v>
      </c>
      <c r="I11" s="37">
        <v>15468.865512603214</v>
      </c>
      <c r="J11" s="52">
        <v>15861.0054104304</v>
      </c>
      <c r="K11" s="13">
        <f t="shared" si="3"/>
        <v>7.7494137262658818</v>
      </c>
      <c r="L11" s="13">
        <f t="shared" si="4"/>
        <v>9.8132603844424313</v>
      </c>
      <c r="M11" s="13">
        <f t="shared" si="5"/>
        <v>8.6453149733559265</v>
      </c>
      <c r="N11" s="13">
        <f t="shared" si="6"/>
        <v>9.8140337959645372</v>
      </c>
      <c r="O11" s="13">
        <f t="shared" si="7"/>
        <v>9.7056948607946207</v>
      </c>
      <c r="P11" s="13">
        <f t="shared" si="8"/>
        <v>13.073006864135536</v>
      </c>
      <c r="Q11" s="13">
        <f t="shared" ref="Q11:Q21" si="10">I11/$I$9*100</f>
        <v>14.367406116892306</v>
      </c>
      <c r="R11" s="13">
        <f t="shared" ref="R11:R21" si="11">J11/$J$9*100</f>
        <v>10.564669556914714</v>
      </c>
      <c r="S11" s="72">
        <f t="shared" si="9"/>
        <v>2.535026873869267</v>
      </c>
      <c r="U11" s="19"/>
      <c r="V11" s="20"/>
      <c r="W11" s="20"/>
      <c r="X11" s="20"/>
      <c r="Y11" s="10"/>
      <c r="Z11" s="10"/>
      <c r="AA11" s="10"/>
      <c r="AB11" s="36"/>
      <c r="AC11" s="36"/>
      <c r="AD11" s="24"/>
      <c r="AE11" s="24"/>
      <c r="AF11" s="24"/>
      <c r="AI11" s="23"/>
      <c r="AL11" s="18"/>
      <c r="AM11" s="3" t="s">
        <v>17</v>
      </c>
      <c r="AN11" s="29">
        <f>J14</f>
        <v>16048.975270475699</v>
      </c>
      <c r="AO11" s="30">
        <f t="shared" si="0"/>
        <v>74.796945948587961</v>
      </c>
    </row>
    <row r="12" spans="1:47" s="1" customFormat="1" ht="19.5" customHeight="1" x14ac:dyDescent="0.2">
      <c r="A12" s="2" t="s">
        <v>15</v>
      </c>
      <c r="B12" s="37">
        <v>11854.913529886182</v>
      </c>
      <c r="C12" s="37">
        <v>13777.073421766561</v>
      </c>
      <c r="D12" s="37">
        <v>15358.544360522132</v>
      </c>
      <c r="E12" s="37">
        <v>18426.100647688796</v>
      </c>
      <c r="F12" s="37">
        <v>11556.58417297598</v>
      </c>
      <c r="G12" s="37">
        <v>14646.503597259485</v>
      </c>
      <c r="H12" s="37">
        <v>15641.558659420272</v>
      </c>
      <c r="I12" s="37">
        <v>11454.782452432395</v>
      </c>
      <c r="J12" s="52">
        <v>10712.554436591399</v>
      </c>
      <c r="K12" s="13">
        <f t="shared" si="3"/>
        <v>9.1224202032308579</v>
      </c>
      <c r="L12" s="13">
        <f t="shared" si="4"/>
        <v>11.37089400518046</v>
      </c>
      <c r="M12" s="13">
        <f t="shared" si="5"/>
        <v>12.401219836334198</v>
      </c>
      <c r="N12" s="13">
        <f t="shared" si="6"/>
        <v>7.9704617738516355</v>
      </c>
      <c r="O12" s="13">
        <f t="shared" si="7"/>
        <v>9.4368491765167324</v>
      </c>
      <c r="P12" s="13">
        <f t="shared" si="8"/>
        <v>9.7344086052549148</v>
      </c>
      <c r="Q12" s="13">
        <f t="shared" si="10"/>
        <v>10.639145536604506</v>
      </c>
      <c r="R12" s="13">
        <f t="shared" si="11"/>
        <v>7.1353987218631021</v>
      </c>
      <c r="S12" s="72">
        <f t="shared" si="9"/>
        <v>-6.4796343267382221</v>
      </c>
      <c r="U12" s="19"/>
      <c r="V12" s="20"/>
      <c r="W12" s="20"/>
      <c r="X12" s="20"/>
      <c r="Y12" s="10"/>
      <c r="Z12" s="10"/>
      <c r="AA12" s="10"/>
      <c r="AB12" s="36"/>
      <c r="AC12" s="36"/>
      <c r="AD12" s="24"/>
      <c r="AE12" s="24"/>
      <c r="AF12" s="24"/>
      <c r="AI12" s="23"/>
      <c r="AL12" s="18"/>
      <c r="AM12" s="3" t="s">
        <v>18</v>
      </c>
      <c r="AN12" s="29">
        <f>J15</f>
        <v>10613.5196568544</v>
      </c>
      <c r="AO12" s="30" t="str">
        <f t="shared" si="0"/>
        <v>(*)</v>
      </c>
    </row>
    <row r="13" spans="1:47" s="1" customFormat="1" ht="19.5" customHeight="1" x14ac:dyDescent="0.2">
      <c r="A13" s="2" t="s">
        <v>16</v>
      </c>
      <c r="B13" s="37">
        <v>14617.157081737798</v>
      </c>
      <c r="C13" s="37">
        <v>19615.087583546981</v>
      </c>
      <c r="D13" s="37">
        <v>16513.057387880901</v>
      </c>
      <c r="E13" s="37">
        <v>10145.875757860187</v>
      </c>
      <c r="F13" s="37">
        <v>12365.768316657599</v>
      </c>
      <c r="G13" s="37">
        <v>16711.768607973034</v>
      </c>
      <c r="H13" s="37">
        <v>12996.099502326333</v>
      </c>
      <c r="I13" s="37">
        <v>6415.5927879025621</v>
      </c>
      <c r="J13" s="52">
        <v>13439.399384079899</v>
      </c>
      <c r="K13" s="13">
        <f t="shared" si="3"/>
        <v>12.988032057489576</v>
      </c>
      <c r="L13" s="13">
        <f t="shared" si="4"/>
        <v>12.225652434985866</v>
      </c>
      <c r="M13" s="13">
        <f t="shared" si="5"/>
        <v>6.8284244241952452</v>
      </c>
      <c r="N13" s="13">
        <f t="shared" si="6"/>
        <v>8.5285480724227085</v>
      </c>
      <c r="O13" s="13">
        <f t="shared" si="7"/>
        <v>10.767514497848966</v>
      </c>
      <c r="P13" s="13">
        <f t="shared" si="8"/>
        <v>8.0880266209277778</v>
      </c>
      <c r="Q13" s="13">
        <f t="shared" si="10"/>
        <v>5.9587709899799544</v>
      </c>
      <c r="R13" s="13">
        <f t="shared" si="11"/>
        <v>8.9516906313415401</v>
      </c>
      <c r="S13" s="73" t="s">
        <v>29</v>
      </c>
      <c r="U13" s="19"/>
      <c r="V13" s="20"/>
      <c r="W13" s="20"/>
      <c r="X13" s="20"/>
      <c r="Y13" s="10"/>
      <c r="Z13" s="10"/>
      <c r="AA13" s="10"/>
      <c r="AB13" s="36"/>
      <c r="AC13" s="36"/>
      <c r="AD13" s="24"/>
      <c r="AE13" s="24"/>
      <c r="AF13" s="24"/>
      <c r="AI13" s="23"/>
      <c r="AL13" s="18"/>
      <c r="AM13" s="3" t="s">
        <v>19</v>
      </c>
      <c r="AN13" s="29">
        <f>J16</f>
        <v>11178.5403898446</v>
      </c>
      <c r="AO13" s="30" t="str">
        <f t="shared" si="0"/>
        <v>(*)</v>
      </c>
    </row>
    <row r="14" spans="1:47" s="1" customFormat="1" ht="19.5" customHeight="1" x14ac:dyDescent="0.2">
      <c r="A14" s="2" t="s">
        <v>17</v>
      </c>
      <c r="B14" s="37">
        <v>13980.242230759486</v>
      </c>
      <c r="C14" s="37">
        <v>11454.638303350384</v>
      </c>
      <c r="D14" s="37">
        <v>8869.3965661088441</v>
      </c>
      <c r="E14" s="37">
        <v>4305.518616340647</v>
      </c>
      <c r="F14" s="37">
        <v>6847.208336652996</v>
      </c>
      <c r="G14" s="37">
        <v>7052.3109054440902</v>
      </c>
      <c r="H14" s="37">
        <v>18722.200320014083</v>
      </c>
      <c r="I14" s="37">
        <v>9181.4963833499096</v>
      </c>
      <c r="J14" s="52">
        <v>16048.975270475699</v>
      </c>
      <c r="K14" s="13">
        <f t="shared" si="3"/>
        <v>7.5846314148325753</v>
      </c>
      <c r="L14" s="13">
        <f t="shared" si="4"/>
        <v>6.5665707553880832</v>
      </c>
      <c r="M14" s="13">
        <f t="shared" si="5"/>
        <v>2.8977201357774534</v>
      </c>
      <c r="N14" s="13">
        <f t="shared" si="6"/>
        <v>4.7224518497871175</v>
      </c>
      <c r="O14" s="13">
        <f t="shared" si="7"/>
        <v>4.5438553931077816</v>
      </c>
      <c r="P14" s="13">
        <f t="shared" si="8"/>
        <v>11.651623209218345</v>
      </c>
      <c r="Q14" s="13">
        <f t="shared" si="10"/>
        <v>8.5277286296715999</v>
      </c>
      <c r="R14" s="13">
        <f t="shared" si="11"/>
        <v>10.689872178479435</v>
      </c>
      <c r="S14" s="72">
        <f t="shared" si="9"/>
        <v>74.796945948587961</v>
      </c>
      <c r="U14" s="19"/>
      <c r="V14" s="20"/>
      <c r="W14" s="20"/>
      <c r="X14" s="20"/>
      <c r="Y14" s="10"/>
      <c r="Z14" s="10"/>
      <c r="AA14" s="10"/>
      <c r="AB14" s="36"/>
      <c r="AC14" s="36"/>
      <c r="AD14" s="24"/>
      <c r="AE14" s="24"/>
      <c r="AF14" s="24"/>
      <c r="AI14" s="23"/>
      <c r="AL14" s="18"/>
      <c r="AM14" s="3" t="s">
        <v>20</v>
      </c>
      <c r="AN14" s="29">
        <f>J17</f>
        <v>11434.412719722901</v>
      </c>
      <c r="AO14" s="30" t="str">
        <f t="shared" si="0"/>
        <v>(*)</v>
      </c>
    </row>
    <row r="15" spans="1:47" s="1" customFormat="1" ht="19.5" customHeight="1" x14ac:dyDescent="0.2">
      <c r="A15" s="2" t="s">
        <v>18</v>
      </c>
      <c r="B15" s="37">
        <v>8234.1337762096937</v>
      </c>
      <c r="C15" s="37">
        <v>6052.3320355677242</v>
      </c>
      <c r="D15" s="37">
        <v>6403.4358210428309</v>
      </c>
      <c r="E15" s="37">
        <v>6833.2970732054591</v>
      </c>
      <c r="F15" s="37">
        <v>8991.3409650774011</v>
      </c>
      <c r="G15" s="37">
        <v>10445.256415566162</v>
      </c>
      <c r="H15" s="37">
        <v>4769.8820092888427</v>
      </c>
      <c r="I15" s="37">
        <v>4428.487806472036</v>
      </c>
      <c r="J15" s="52">
        <v>10613.5196568544</v>
      </c>
      <c r="K15" s="13">
        <f t="shared" si="3"/>
        <v>4.007521361590074</v>
      </c>
      <c r="L15" s="13">
        <f t="shared" si="4"/>
        <v>4.7408652982253319</v>
      </c>
      <c r="M15" s="13">
        <f t="shared" si="5"/>
        <v>4.5989773328644619</v>
      </c>
      <c r="N15" s="13">
        <f t="shared" si="6"/>
        <v>6.201238911528729</v>
      </c>
      <c r="O15" s="13">
        <f t="shared" si="7"/>
        <v>6.7299549513090069</v>
      </c>
      <c r="P15" s="13">
        <f t="shared" si="8"/>
        <v>2.9685008692728858</v>
      </c>
      <c r="Q15" s="13">
        <f t="shared" si="10"/>
        <v>4.113157668055897</v>
      </c>
      <c r="R15" s="13">
        <f t="shared" si="11"/>
        <v>7.0694338163927837</v>
      </c>
      <c r="S15" s="73" t="s">
        <v>29</v>
      </c>
      <c r="U15" s="19"/>
      <c r="V15" s="20"/>
      <c r="W15" s="20"/>
      <c r="X15" s="20"/>
      <c r="Y15" s="10"/>
      <c r="Z15" s="10"/>
      <c r="AA15" s="10"/>
      <c r="AB15" s="36"/>
      <c r="AC15" s="36"/>
      <c r="AD15" s="24"/>
      <c r="AG15" s="8"/>
      <c r="AH15" s="8"/>
      <c r="AI15" s="8"/>
      <c r="AJ15" s="8"/>
      <c r="AK15" s="8"/>
      <c r="AL15" s="18"/>
      <c r="AM15" s="3" t="s">
        <v>21</v>
      </c>
      <c r="AN15" s="29">
        <f>J18</f>
        <v>10144.8066237863</v>
      </c>
      <c r="AO15" s="30">
        <f t="shared" si="0"/>
        <v>56.210308851033851</v>
      </c>
      <c r="AP15" s="8"/>
      <c r="AQ15" s="8"/>
      <c r="AR15" s="8"/>
      <c r="AS15" s="8"/>
      <c r="AT15" s="8"/>
      <c r="AU15" s="8"/>
    </row>
    <row r="16" spans="1:47" s="1" customFormat="1" ht="19.5" customHeight="1" x14ac:dyDescent="0.2">
      <c r="A16" s="2" t="s">
        <v>19</v>
      </c>
      <c r="B16" s="37">
        <v>11166.244052147251</v>
      </c>
      <c r="C16" s="37">
        <v>8732.0880706840289</v>
      </c>
      <c r="D16" s="37">
        <v>9626.1921859423455</v>
      </c>
      <c r="E16" s="37">
        <v>10429.30445643955</v>
      </c>
      <c r="F16" s="37">
        <v>7040.4639566209662</v>
      </c>
      <c r="G16" s="37">
        <v>4262.7563245069623</v>
      </c>
      <c r="H16" s="37">
        <v>5528.2951660621029</v>
      </c>
      <c r="I16" s="37">
        <v>1699.218157241731</v>
      </c>
      <c r="J16" s="52">
        <v>11178.5403898446</v>
      </c>
      <c r="K16" s="13">
        <f t="shared" si="3"/>
        <v>5.7819084063634936</v>
      </c>
      <c r="L16" s="13">
        <f t="shared" si="4"/>
        <v>7.1268740350941453</v>
      </c>
      <c r="M16" s="13">
        <f t="shared" si="5"/>
        <v>7.0191789232731425</v>
      </c>
      <c r="N16" s="13">
        <f t="shared" si="6"/>
        <v>4.8557383389850797</v>
      </c>
      <c r="O16" s="13">
        <f t="shared" si="7"/>
        <v>2.7465250148944707</v>
      </c>
      <c r="P16" s="13">
        <f t="shared" si="8"/>
        <v>3.4404937007025</v>
      </c>
      <c r="Q16" s="13">
        <f t="shared" si="10"/>
        <v>1.5782254572191221</v>
      </c>
      <c r="R16" s="13">
        <f t="shared" si="11"/>
        <v>7.4457817957536481</v>
      </c>
      <c r="S16" s="73" t="s">
        <v>29</v>
      </c>
      <c r="U16" s="19"/>
      <c r="V16" s="20"/>
      <c r="W16" s="20"/>
      <c r="X16" s="20"/>
      <c r="Y16" s="10"/>
      <c r="Z16" s="10"/>
      <c r="AA16" s="10"/>
      <c r="AB16" s="36"/>
      <c r="AC16" s="36"/>
      <c r="AD16" s="24"/>
      <c r="AL16" s="18"/>
      <c r="AM16" s="3" t="s">
        <v>22</v>
      </c>
      <c r="AN16" s="29">
        <f>J19</f>
        <v>8197.9586945771607</v>
      </c>
      <c r="AO16" s="30" t="str">
        <f t="shared" si="0"/>
        <v>(*)</v>
      </c>
    </row>
    <row r="17" spans="1:41" s="1" customFormat="1" ht="19.5" customHeight="1" x14ac:dyDescent="0.2">
      <c r="A17" s="2" t="s">
        <v>20</v>
      </c>
      <c r="B17" s="37">
        <v>6985.0008384718385</v>
      </c>
      <c r="C17" s="37">
        <v>7900.8902474691677</v>
      </c>
      <c r="D17" s="37">
        <v>8785.0269118440792</v>
      </c>
      <c r="E17" s="37">
        <v>12848.42850617399</v>
      </c>
      <c r="F17" s="37">
        <v>9796.1166943325406</v>
      </c>
      <c r="G17" s="37">
        <v>8223.2280173417075</v>
      </c>
      <c r="H17" s="37">
        <v>7859.8869713138192</v>
      </c>
      <c r="I17" s="37">
        <v>5306.500358575513</v>
      </c>
      <c r="J17" s="52">
        <v>11434.412719722901</v>
      </c>
      <c r="K17" s="13">
        <f t="shared" si="3"/>
        <v>5.2315349283941428</v>
      </c>
      <c r="L17" s="13">
        <f t="shared" si="4"/>
        <v>6.5041066068738331</v>
      </c>
      <c r="M17" s="13">
        <f t="shared" si="5"/>
        <v>8.6473090266372949</v>
      </c>
      <c r="N17" s="13">
        <f t="shared" si="6"/>
        <v>6.7562847702826705</v>
      </c>
      <c r="O17" s="13">
        <f t="shared" si="7"/>
        <v>5.2982858351450144</v>
      </c>
      <c r="P17" s="13">
        <f t="shared" si="8"/>
        <v>4.8915426547857859</v>
      </c>
      <c r="Q17" s="13">
        <f t="shared" si="10"/>
        <v>4.9286514029727773</v>
      </c>
      <c r="R17" s="13">
        <f t="shared" si="11"/>
        <v>7.6162127705860794</v>
      </c>
      <c r="S17" s="73" t="s">
        <v>29</v>
      </c>
      <c r="U17" s="19"/>
      <c r="V17" s="20"/>
      <c r="W17" s="20"/>
      <c r="X17" s="20"/>
      <c r="Y17" s="10"/>
      <c r="AA17" s="10"/>
      <c r="AB17" s="36"/>
      <c r="AC17" s="36"/>
      <c r="AD17" s="24"/>
      <c r="AL17" s="18"/>
      <c r="AM17" s="3" t="s">
        <v>23</v>
      </c>
      <c r="AN17" s="29">
        <f>J20</f>
        <v>10774.794027375399</v>
      </c>
      <c r="AO17" s="30">
        <f t="shared" si="0"/>
        <v>-17.745382539125231</v>
      </c>
    </row>
    <row r="18" spans="1:41" s="1" customFormat="1" ht="19.5" customHeight="1" x14ac:dyDescent="0.2">
      <c r="A18" s="2" t="s">
        <v>21</v>
      </c>
      <c r="B18" s="37">
        <v>5862.8220043651399</v>
      </c>
      <c r="C18" s="37">
        <v>8501.6631821592819</v>
      </c>
      <c r="D18" s="37">
        <v>12909.522650218742</v>
      </c>
      <c r="E18" s="37">
        <v>13847.217261766658</v>
      </c>
      <c r="F18" s="37">
        <v>12333.628263863746</v>
      </c>
      <c r="G18" s="37">
        <v>17803.934280192389</v>
      </c>
      <c r="H18" s="37">
        <v>7061.3752631015441</v>
      </c>
      <c r="I18" s="37">
        <v>6494.3259496789342</v>
      </c>
      <c r="J18" s="52">
        <v>10144.8066237863</v>
      </c>
      <c r="K18" s="13">
        <f t="shared" si="3"/>
        <v>5.6293337198495674</v>
      </c>
      <c r="L18" s="13">
        <f t="shared" si="4"/>
        <v>9.5577295782295906</v>
      </c>
      <c r="M18" s="13">
        <f t="shared" si="5"/>
        <v>9.3195184737140409</v>
      </c>
      <c r="N18" s="13">
        <f t="shared" si="6"/>
        <v>8.5063813959750085</v>
      </c>
      <c r="O18" s="13">
        <f t="shared" si="7"/>
        <v>11.471204812473374</v>
      </c>
      <c r="P18" s="13">
        <f t="shared" si="8"/>
        <v>4.394594785774216</v>
      </c>
      <c r="Q18" s="13">
        <f t="shared" si="10"/>
        <v>6.031897962942935</v>
      </c>
      <c r="R18" s="13">
        <f t="shared" si="11"/>
        <v>6.7572342941527026</v>
      </c>
      <c r="S18" s="72">
        <f t="shared" si="9"/>
        <v>56.210308851033851</v>
      </c>
      <c r="U18" s="19"/>
      <c r="V18" s="20"/>
      <c r="W18" s="20"/>
      <c r="X18" s="20"/>
      <c r="Y18" s="10"/>
      <c r="Z18" s="10"/>
      <c r="AA18" s="10"/>
      <c r="AB18" s="36"/>
      <c r="AC18" s="36"/>
      <c r="AD18" s="24"/>
      <c r="AM18" s="3" t="s">
        <v>24</v>
      </c>
      <c r="AN18" s="29">
        <f>J21</f>
        <v>16417.822605590802</v>
      </c>
      <c r="AO18" s="30">
        <f t="shared" si="0"/>
        <v>59.645774682754151</v>
      </c>
    </row>
    <row r="19" spans="1:41" s="1" customFormat="1" ht="19.5" customHeight="1" x14ac:dyDescent="0.25">
      <c r="A19" s="2" t="s">
        <v>22</v>
      </c>
      <c r="B19" s="37">
        <v>11841.761255422482</v>
      </c>
      <c r="C19" s="37">
        <v>15063.659543159578</v>
      </c>
      <c r="D19" s="37">
        <v>14183.756064596068</v>
      </c>
      <c r="E19" s="37">
        <v>13827.910552801197</v>
      </c>
      <c r="F19" s="37">
        <v>9476.5537017619008</v>
      </c>
      <c r="G19" s="37">
        <v>14038.270668715908</v>
      </c>
      <c r="H19" s="37">
        <v>18142.463224126146</v>
      </c>
      <c r="I19" s="37">
        <v>7002.975211187505</v>
      </c>
      <c r="J19" s="52">
        <v>8197.9586945771607</v>
      </c>
      <c r="K19" s="13">
        <f t="shared" si="3"/>
        <v>9.9743267633315682</v>
      </c>
      <c r="L19" s="13">
        <f t="shared" si="4"/>
        <v>10.501124521957916</v>
      </c>
      <c r="M19" s="13">
        <f t="shared" si="5"/>
        <v>9.3065245827777705</v>
      </c>
      <c r="N19" s="13">
        <f t="shared" si="6"/>
        <v>6.535885335770006</v>
      </c>
      <c r="O19" s="13">
        <f t="shared" si="7"/>
        <v>9.0449602609989856</v>
      </c>
      <c r="P19" s="13">
        <f t="shared" si="8"/>
        <v>11.290828105745824</v>
      </c>
      <c r="Q19" s="13">
        <f t="shared" si="10"/>
        <v>6.5043288923602764</v>
      </c>
      <c r="R19" s="13">
        <f t="shared" si="11"/>
        <v>5.460481376072706</v>
      </c>
      <c r="S19" s="73" t="s">
        <v>29</v>
      </c>
      <c r="U19" s="19"/>
      <c r="V19" s="20"/>
      <c r="W19" s="20"/>
      <c r="X19" s="20"/>
      <c r="Y19" s="10"/>
      <c r="Z19" s="10"/>
      <c r="AA19" s="10"/>
      <c r="AB19" s="36"/>
      <c r="AC19" s="36"/>
      <c r="AD19" s="36"/>
    </row>
    <row r="20" spans="1:41" s="1" customFormat="1" ht="19.5" customHeight="1" x14ac:dyDescent="0.25">
      <c r="A20" s="2" t="s">
        <v>23</v>
      </c>
      <c r="B20" s="37">
        <v>15699.534266345063</v>
      </c>
      <c r="C20" s="37">
        <v>17296.697324919154</v>
      </c>
      <c r="D20" s="37">
        <v>11174.435514952173</v>
      </c>
      <c r="E20" s="37">
        <v>18874.862941691033</v>
      </c>
      <c r="F20" s="37">
        <v>10996.899179582402</v>
      </c>
      <c r="G20" s="37">
        <v>16877.464501530445</v>
      </c>
      <c r="H20" s="37">
        <v>16790.88686542914</v>
      </c>
      <c r="I20" s="37">
        <v>13099.318141623524</v>
      </c>
      <c r="J20" s="52">
        <v>10774.794027375399</v>
      </c>
      <c r="K20" s="13">
        <f t="shared" si="3"/>
        <v>11.452921552753061</v>
      </c>
      <c r="L20" s="13">
        <f t="shared" si="4"/>
        <v>8.2731357103640004</v>
      </c>
      <c r="M20" s="13">
        <f t="shared" si="5"/>
        <v>12.703247919681143</v>
      </c>
      <c r="N20" s="13">
        <f t="shared" si="6"/>
        <v>7.584452570918347</v>
      </c>
      <c r="O20" s="13">
        <f t="shared" si="7"/>
        <v>10.874273571527276</v>
      </c>
      <c r="P20" s="13">
        <f t="shared" si="8"/>
        <v>10.44968453282987</v>
      </c>
      <c r="Q20" s="13">
        <f t="shared" si="10"/>
        <v>12.166582186763609</v>
      </c>
      <c r="R20" s="13">
        <f t="shared" si="11"/>
        <v>7.1768551549816566</v>
      </c>
      <c r="S20" s="72">
        <f t="shared" si="9"/>
        <v>-17.745382539125231</v>
      </c>
      <c r="U20" s="19"/>
      <c r="V20" s="20"/>
      <c r="W20" s="20"/>
      <c r="X20" s="20"/>
      <c r="Y20" s="10"/>
      <c r="Z20" s="10"/>
      <c r="AA20" s="10"/>
      <c r="AB20" s="36"/>
      <c r="AC20" s="36"/>
      <c r="AD20" s="36"/>
    </row>
    <row r="21" spans="1:41" s="1" customFormat="1" ht="19.5" customHeight="1" x14ac:dyDescent="0.25">
      <c r="A21" s="5" t="s">
        <v>24</v>
      </c>
      <c r="B21" s="38">
        <v>14837.630551348317</v>
      </c>
      <c r="C21" s="38">
        <v>14302.505170405399</v>
      </c>
      <c r="D21" s="38">
        <v>8364.68833817417</v>
      </c>
      <c r="E21" s="38">
        <v>17937.58728719104</v>
      </c>
      <c r="F21" s="38">
        <v>25256.143369493253</v>
      </c>
      <c r="G21" s="38">
        <v>13227.814435637976</v>
      </c>
      <c r="H21" s="38">
        <v>13477.739402927815</v>
      </c>
      <c r="I21" s="38">
        <v>10283.906754322856</v>
      </c>
      <c r="J21" s="53">
        <v>16417.822605590802</v>
      </c>
      <c r="K21" s="14">
        <f t="shared" si="3"/>
        <v>9.4703322054728574</v>
      </c>
      <c r="L21" s="14">
        <f t="shared" si="4"/>
        <v>6.1929035881961703</v>
      </c>
      <c r="M21" s="14">
        <f t="shared" si="5"/>
        <v>12.072438305594055</v>
      </c>
      <c r="N21" s="14">
        <f t="shared" si="6"/>
        <v>17.418912220809283</v>
      </c>
      <c r="O21" s="14">
        <f t="shared" si="7"/>
        <v>8.5227773942870027</v>
      </c>
      <c r="P21" s="14">
        <f t="shared" si="8"/>
        <v>8.3877716588192239</v>
      </c>
      <c r="Q21" s="14">
        <f t="shared" si="10"/>
        <v>9.5516419537830295</v>
      </c>
      <c r="R21" s="14">
        <f t="shared" si="11"/>
        <v>10.935553338759291</v>
      </c>
      <c r="S21" s="74">
        <f t="shared" si="9"/>
        <v>59.645774682754151</v>
      </c>
      <c r="U21" s="19"/>
      <c r="V21" s="20"/>
      <c r="W21" s="20"/>
      <c r="X21" s="20"/>
      <c r="Y21" s="10"/>
      <c r="Z21" s="10"/>
      <c r="AA21" s="10"/>
      <c r="AB21" s="36"/>
      <c r="AC21" s="36"/>
      <c r="AD21" s="36"/>
    </row>
    <row r="22" spans="1:41" s="40" customFormat="1" ht="19.5" x14ac:dyDescent="0.2">
      <c r="A22" s="9" t="s">
        <v>31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6" t="s">
        <v>25</v>
      </c>
      <c r="T22" s="39"/>
      <c r="U22" s="19"/>
      <c r="V22" s="20"/>
      <c r="W22" s="20"/>
      <c r="X22" s="20"/>
      <c r="Y22" s="10"/>
      <c r="Z22" s="10"/>
      <c r="AA22" s="10"/>
    </row>
    <row r="23" spans="1:41" s="40" customFormat="1" ht="12.75" customHeight="1" x14ac:dyDescent="0.2">
      <c r="A23" s="51" t="s">
        <v>30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19"/>
      <c r="V23" s="20"/>
      <c r="W23" s="20"/>
      <c r="X23" s="20"/>
      <c r="Y23" s="10"/>
      <c r="Z23" s="10"/>
      <c r="AA23" s="10"/>
    </row>
    <row r="24" spans="1:41" s="40" customFormat="1" ht="19.5" x14ac:dyDescent="0.2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19"/>
      <c r="V24" s="20"/>
      <c r="W24" s="20"/>
      <c r="X24" s="20"/>
      <c r="Y24" s="10"/>
      <c r="Z24" s="10"/>
      <c r="AA24" s="10"/>
    </row>
    <row r="25" spans="1:41" s="40" customFormat="1" ht="19.5" x14ac:dyDescent="0.2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19"/>
      <c r="V25" s="20"/>
      <c r="W25" s="20"/>
      <c r="X25" s="20"/>
      <c r="Y25" s="10"/>
      <c r="Z25" s="10"/>
      <c r="AA25" s="10"/>
    </row>
    <row r="26" spans="1:41" s="40" customFormat="1" x14ac:dyDescent="0.2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54"/>
      <c r="V26" s="54"/>
      <c r="W26" s="54"/>
      <c r="X26" s="54"/>
      <c r="Y26" s="54"/>
      <c r="Z26" s="54"/>
    </row>
    <row r="27" spans="1:41" s="40" customFormat="1" ht="12" x14ac:dyDescent="0.2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</row>
    <row r="28" spans="1:41" x14ac:dyDescent="0.2">
      <c r="A28" s="40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40"/>
      <c r="W28" s="40"/>
      <c r="X28" s="40"/>
    </row>
    <row r="29" spans="1:41" x14ac:dyDescent="0.2">
      <c r="A29" s="40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40"/>
      <c r="W29" s="40"/>
      <c r="X29" s="40"/>
    </row>
    <row r="30" spans="1:41" x14ac:dyDescent="0.2">
      <c r="A30" s="40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40"/>
      <c r="W30" s="40"/>
      <c r="X30" s="40"/>
    </row>
    <row r="31" spans="1:41" x14ac:dyDescent="0.2">
      <c r="A31" s="40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40"/>
      <c r="W31" s="40"/>
      <c r="X31" s="40"/>
    </row>
    <row r="32" spans="1:41" x14ac:dyDescent="0.2">
      <c r="A32" s="40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40"/>
      <c r="W32" s="40"/>
      <c r="X32" s="40"/>
    </row>
    <row r="33" spans="1:24" x14ac:dyDescent="0.2">
      <c r="A33" s="40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40"/>
      <c r="W33" s="40"/>
      <c r="X33" s="40"/>
    </row>
    <row r="34" spans="1:24" x14ac:dyDescent="0.2">
      <c r="A34" s="40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40"/>
      <c r="W34" s="40"/>
      <c r="X34" s="40"/>
    </row>
    <row r="35" spans="1:24" x14ac:dyDescent="0.2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</row>
    <row r="36" spans="1:24" x14ac:dyDescent="0.2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  <row r="37" spans="1:24" x14ac:dyDescent="0.2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</row>
    <row r="38" spans="1:24" x14ac:dyDescent="0.2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 spans="1:24" x14ac:dyDescent="0.2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</row>
    <row r="40" spans="1:24" x14ac:dyDescent="0.2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</row>
    <row r="41" spans="1:24" x14ac:dyDescent="0.2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</row>
    <row r="42" spans="1:24" x14ac:dyDescent="0.2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</row>
    <row r="43" spans="1:24" x14ac:dyDescent="0.2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</row>
    <row r="44" spans="1:24" x14ac:dyDescent="0.2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</row>
    <row r="45" spans="1:24" x14ac:dyDescent="0.2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</row>
    <row r="46" spans="1:24" x14ac:dyDescent="0.2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</row>
    <row r="47" spans="1:24" x14ac:dyDescent="0.2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</row>
    <row r="48" spans="1:24" x14ac:dyDescent="0.2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</row>
    <row r="49" spans="2:18" x14ac:dyDescent="0.2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</row>
    <row r="50" spans="2:18" x14ac:dyDescent="0.2">
      <c r="B50" s="15"/>
      <c r="C50" s="15"/>
      <c r="D50" s="15"/>
      <c r="E50" s="15"/>
      <c r="F50" s="15"/>
      <c r="G50" s="15"/>
      <c r="H50" s="15"/>
      <c r="I50" s="15"/>
      <c r="J50" s="15"/>
      <c r="K50" s="28"/>
      <c r="L50" s="28"/>
      <c r="M50" s="28"/>
      <c r="N50" s="28"/>
      <c r="O50" s="28"/>
      <c r="P50" s="28"/>
      <c r="Q50" s="28"/>
      <c r="R50" s="28"/>
    </row>
    <row r="51" spans="2:18" x14ac:dyDescent="0.2">
      <c r="B51" s="41"/>
      <c r="C51" s="41"/>
      <c r="D51" s="41"/>
      <c r="E51" s="41"/>
      <c r="F51" s="41"/>
      <c r="G51" s="41"/>
      <c r="H51" s="41"/>
      <c r="I51" s="41"/>
      <c r="J51" s="41"/>
      <c r="K51" s="28"/>
      <c r="L51" s="28"/>
      <c r="M51" s="28"/>
      <c r="N51" s="28"/>
      <c r="O51" s="28"/>
      <c r="P51" s="28"/>
      <c r="Q51" s="28"/>
      <c r="R51" s="28"/>
    </row>
    <row r="52" spans="2:18" x14ac:dyDescent="0.2">
      <c r="B52" s="41"/>
      <c r="C52" s="41"/>
      <c r="D52" s="41"/>
      <c r="E52" s="41"/>
      <c r="F52" s="41"/>
      <c r="G52" s="41"/>
      <c r="H52" s="41"/>
      <c r="I52" s="41"/>
      <c r="J52" s="41"/>
      <c r="K52" s="28"/>
      <c r="L52" s="28"/>
      <c r="M52" s="28"/>
      <c r="N52" s="28"/>
      <c r="O52" s="28"/>
      <c r="P52" s="28"/>
      <c r="Q52" s="28"/>
      <c r="R52" s="28"/>
    </row>
    <row r="53" spans="2:18" x14ac:dyDescent="0.2">
      <c r="B53" s="41"/>
      <c r="C53" s="41"/>
      <c r="D53" s="41"/>
      <c r="E53" s="41"/>
      <c r="F53" s="41"/>
      <c r="G53" s="41"/>
      <c r="H53" s="41"/>
      <c r="I53" s="41"/>
      <c r="J53" s="41"/>
      <c r="K53" s="28"/>
      <c r="L53" s="28"/>
      <c r="M53" s="28"/>
      <c r="N53" s="28"/>
      <c r="O53" s="28"/>
      <c r="P53" s="28"/>
      <c r="Q53" s="28"/>
      <c r="R53" s="28"/>
    </row>
    <row r="54" spans="2:18" x14ac:dyDescent="0.2">
      <c r="B54" s="41"/>
      <c r="C54" s="41"/>
      <c r="D54" s="41"/>
      <c r="E54" s="41"/>
      <c r="F54" s="41"/>
      <c r="G54" s="41"/>
      <c r="H54" s="41"/>
      <c r="I54" s="41"/>
      <c r="J54" s="41"/>
      <c r="K54" s="28"/>
      <c r="L54" s="28"/>
      <c r="M54" s="28"/>
      <c r="N54" s="28"/>
      <c r="O54" s="28"/>
      <c r="P54" s="28"/>
      <c r="Q54" s="28"/>
      <c r="R54" s="28"/>
    </row>
    <row r="55" spans="2:18" x14ac:dyDescent="0.2">
      <c r="B55" s="41"/>
      <c r="C55" s="41"/>
      <c r="D55" s="41"/>
      <c r="E55" s="41"/>
      <c r="F55" s="41"/>
      <c r="G55" s="41"/>
      <c r="H55" s="41"/>
      <c r="I55" s="41"/>
      <c r="J55" s="41"/>
      <c r="K55" s="28"/>
      <c r="L55" s="28"/>
      <c r="M55" s="28"/>
      <c r="N55" s="28"/>
      <c r="O55" s="28"/>
      <c r="P55" s="28"/>
      <c r="Q55" s="28"/>
      <c r="R55" s="28"/>
    </row>
    <row r="56" spans="2:18" x14ac:dyDescent="0.2">
      <c r="B56" s="41"/>
      <c r="C56" s="41"/>
      <c r="D56" s="41"/>
      <c r="E56" s="41"/>
      <c r="F56" s="41"/>
      <c r="G56" s="41"/>
      <c r="H56" s="41"/>
      <c r="I56" s="41"/>
      <c r="J56" s="41"/>
      <c r="K56" s="28"/>
      <c r="L56" s="28"/>
      <c r="M56" s="28"/>
      <c r="N56" s="28"/>
      <c r="O56" s="28"/>
      <c r="P56" s="28"/>
      <c r="Q56" s="28"/>
      <c r="R56" s="28"/>
    </row>
    <row r="57" spans="2:18" x14ac:dyDescent="0.2">
      <c r="B57" s="41"/>
      <c r="C57" s="41"/>
      <c r="D57" s="41"/>
      <c r="E57" s="41"/>
      <c r="F57" s="41"/>
      <c r="G57" s="41"/>
      <c r="H57" s="41"/>
      <c r="I57" s="41"/>
      <c r="J57" s="41"/>
      <c r="K57" s="28"/>
      <c r="L57" s="28"/>
      <c r="M57" s="28"/>
      <c r="N57" s="28"/>
      <c r="O57" s="28"/>
      <c r="P57" s="28"/>
      <c r="Q57" s="28"/>
      <c r="R57" s="28"/>
    </row>
    <row r="58" spans="2:18" x14ac:dyDescent="0.2">
      <c r="B58" s="42"/>
      <c r="C58" s="42"/>
      <c r="D58" s="42"/>
      <c r="E58" s="42"/>
      <c r="F58" s="42"/>
      <c r="G58" s="42"/>
      <c r="H58" s="42"/>
      <c r="I58" s="42"/>
      <c r="J58" s="42"/>
    </row>
    <row r="59" spans="2:18" x14ac:dyDescent="0.2">
      <c r="B59" s="42"/>
      <c r="C59" s="42"/>
      <c r="D59" s="42"/>
      <c r="E59" s="42"/>
      <c r="F59" s="42"/>
      <c r="G59" s="42"/>
      <c r="H59" s="42"/>
      <c r="I59" s="42"/>
      <c r="J59" s="42"/>
    </row>
    <row r="60" spans="2:18" x14ac:dyDescent="0.2">
      <c r="B60" s="42"/>
      <c r="C60" s="42"/>
      <c r="D60" s="42"/>
      <c r="E60" s="42"/>
      <c r="F60" s="42"/>
      <c r="G60" s="42"/>
      <c r="H60" s="42"/>
      <c r="I60" s="42"/>
      <c r="J60" s="42"/>
    </row>
    <row r="61" spans="2:18" x14ac:dyDescent="0.2">
      <c r="B61" s="42"/>
      <c r="C61" s="42"/>
      <c r="D61" s="42"/>
      <c r="E61" s="42"/>
      <c r="F61" s="42"/>
      <c r="G61" s="42"/>
      <c r="H61" s="42"/>
      <c r="I61" s="42"/>
      <c r="J61" s="42"/>
    </row>
    <row r="62" spans="2:18" x14ac:dyDescent="0.2">
      <c r="B62" s="42"/>
      <c r="C62" s="42"/>
      <c r="D62" s="42"/>
      <c r="E62" s="42"/>
      <c r="F62" s="42"/>
      <c r="G62" s="42"/>
      <c r="H62" s="42"/>
      <c r="I62" s="42"/>
      <c r="J62" s="42"/>
    </row>
  </sheetData>
  <mergeCells count="9">
    <mergeCell ref="A2:S2"/>
    <mergeCell ref="A1:S1"/>
    <mergeCell ref="A3:S3"/>
    <mergeCell ref="A4:S4"/>
    <mergeCell ref="A5:A8"/>
    <mergeCell ref="C5:J6"/>
    <mergeCell ref="C7:J7"/>
    <mergeCell ref="K7:R7"/>
    <mergeCell ref="K5:R6"/>
  </mergeCells>
  <pageMargins left="0.7" right="0.7" top="0.75" bottom="0.75" header="0.3" footer="0.3"/>
  <pageSetup paperSize="9" scale="45" orientation="portrait" horizontalDpi="4294967295" verticalDpi="4294967295" r:id="rId1"/>
  <colBreaks count="1" manualBreakCount="1">
    <brk id="20" max="42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9.4</vt:lpstr>
      <vt:lpstr>'9.4'!Print_Area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2026-07-06T09:06:45Z</cp:lastPrinted>
  <dcterms:created xsi:type="dcterms:W3CDTF">2019-09-09T05:11:24Z</dcterms:created>
  <dcterms:modified xsi:type="dcterms:W3CDTF">2026-07-06T09:07:00Z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