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8BF4F512-C04F-49BC-B18D-42CEE024B3AF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2" sheetId="2" r:id="rId1"/>
  </sheets>
  <definedNames>
    <definedName name="_xlnm.Print_Area" localSheetId="0">'8.2'!$A$1:$U$48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" l="1"/>
  <c r="N18" i="2"/>
  <c r="N17" i="2"/>
  <c r="N16" i="2"/>
  <c r="N15" i="2"/>
  <c r="N14" i="2"/>
  <c r="N13" i="2"/>
  <c r="N12" i="2"/>
  <c r="N11" i="2"/>
  <c r="N10" i="2"/>
  <c r="N9" i="2"/>
  <c r="N8" i="2"/>
  <c r="L7" i="2"/>
  <c r="P7" i="2"/>
  <c r="O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N30" i="2"/>
  <c r="N29" i="2"/>
  <c r="N28" i="2"/>
  <c r="N27" i="2"/>
  <c r="N26" i="2"/>
  <c r="N25" i="2"/>
  <c r="N24" i="2"/>
  <c r="N23" i="2"/>
  <c r="N22" i="2"/>
  <c r="N21" i="2"/>
  <c r="N20" i="2"/>
  <c r="N7" i="2" l="1"/>
  <c r="R7" i="2"/>
  <c r="H9" i="2" l="1"/>
  <c r="K30" i="2" l="1"/>
  <c r="Q30" i="2" s="1"/>
  <c r="K29" i="2"/>
  <c r="Q29" i="2" s="1"/>
  <c r="K28" i="2"/>
  <c r="Q28" i="2" s="1"/>
  <c r="K27" i="2"/>
  <c r="Q27" i="2" s="1"/>
  <c r="K26" i="2"/>
  <c r="Q26" i="2" s="1"/>
  <c r="K25" i="2"/>
  <c r="Q25" i="2" s="1"/>
  <c r="K24" i="2"/>
  <c r="Q24" i="2" s="1"/>
  <c r="K23" i="2"/>
  <c r="Q23" i="2" s="1"/>
  <c r="K22" i="2"/>
  <c r="Q22" i="2" s="1"/>
  <c r="K21" i="2"/>
  <c r="Q21" i="2" s="1"/>
  <c r="K20" i="2"/>
  <c r="Q20" i="2" s="1"/>
  <c r="K19" i="2"/>
  <c r="Q19" i="2" s="1"/>
  <c r="K18" i="2"/>
  <c r="Q18" i="2" s="1"/>
  <c r="K17" i="2"/>
  <c r="Q17" i="2" s="1"/>
  <c r="K16" i="2"/>
  <c r="Q16" i="2" s="1"/>
  <c r="K15" i="2"/>
  <c r="Q15" i="2" s="1"/>
  <c r="K14" i="2"/>
  <c r="Q14" i="2" s="1"/>
  <c r="K13" i="2"/>
  <c r="Q13" i="2" s="1"/>
  <c r="K12" i="2"/>
  <c r="Q12" i="2" s="1"/>
  <c r="K11" i="2"/>
  <c r="Q11" i="2" s="1"/>
  <c r="K10" i="2"/>
  <c r="Q10" i="2" s="1"/>
  <c r="K9" i="2"/>
  <c r="Q9" i="2" s="1"/>
  <c r="K8" i="2"/>
  <c r="Q8" i="2" s="1"/>
  <c r="M7" i="2"/>
  <c r="S7" i="2" s="1"/>
  <c r="K7" i="2" l="1"/>
  <c r="Q7" i="2" s="1"/>
  <c r="H30" i="2" l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8" i="2"/>
  <c r="J7" i="2"/>
  <c r="I7" i="2"/>
  <c r="H7" i="2" l="1"/>
  <c r="E30" i="2" l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G7" i="2"/>
  <c r="F7" i="2"/>
  <c r="E7" i="2" l="1"/>
  <c r="B30" i="2" l="1"/>
  <c r="B29" i="2"/>
  <c r="B28" i="2"/>
  <c r="B27" i="2"/>
  <c r="B26" i="2"/>
  <c r="B25" i="2"/>
  <c r="B24" i="2"/>
  <c r="B23" i="2"/>
  <c r="B22" i="2"/>
  <c r="B21" i="2"/>
  <c r="B20" i="2"/>
  <c r="D7" i="2"/>
  <c r="C7" i="2"/>
  <c r="B19" i="2"/>
  <c r="B18" i="2"/>
  <c r="B17" i="2"/>
  <c r="B16" i="2"/>
  <c r="B15" i="2"/>
  <c r="B14" i="2"/>
  <c r="B13" i="2"/>
  <c r="B12" i="2"/>
  <c r="B11" i="2"/>
  <c r="B10" i="2"/>
  <c r="B9" i="2"/>
  <c r="B8" i="2"/>
  <c r="B7" i="2" l="1"/>
</calcChain>
</file>

<file path=xl/sharedStrings.xml><?xml version="1.0" encoding="utf-8"?>
<sst xmlns="http://schemas.openxmlformats.org/spreadsheetml/2006/main" count="92" uniqueCount="60">
  <si>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</si>
  <si>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</si>
  <si>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</si>
  <si>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</si>
  <si>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</si>
  <si>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</si>
  <si>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</si>
  <si>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</si>
  <si>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</si>
  <si>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</si>
  <si>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</si>
  <si>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</si>
  <si>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</si>
  <si>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</si>
  <si>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</si>
  <si>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</si>
  <si>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</si>
  <si>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</si>
  <si>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</si>
  <si>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</si>
  <si>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</si>
  <si>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</si>
  <si>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</si>
  <si>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</si>
  <si>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</si>
  <si>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</si>
  <si>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</si>
  <si>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</si>
  <si>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</si>
  <si>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</si>
  <si>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</si>
  <si>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</si>
  <si>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</si>
  <si>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</si>
  <si>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</si>
  <si>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</si>
  <si>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</si>
  <si>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</si>
  <si>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</si>
  <si>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</si>
  <si>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</si>
  <si>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</si>
  <si>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</si>
  <si>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</si>
  <si>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</si>
  <si>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</si>
  <si>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</si>
  <si>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</si>
  <si>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</si>
  <si>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</si>
  <si>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</si>
  <si>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</si>
  <si>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</si>
  <si>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</si>
  <si>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</si>
  <si>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</si>
  <si>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</si>
  <si>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TABLE 8.2  : NUMBER OF  LOGGED CASES BY  LOCALITY &amp; TYPE OF CASES, 2021 - 2025</t>
  </si>
  <si>
    <t>ތާވަލު 8.2: މާލެ އަދި އަތޮޅުތަކުން ހުށަހެޅިފައިވާ މައްސަލަތަކުގެ ޢަދަދު އަދި ބާވަތް، 2021- 2025</t>
  </si>
  <si>
    <t>% change over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</si>
</sst>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67" fontId="23" fillId="0" borderId="0"/>
    <xf numFmtId="0" fontId="28" fillId="0" borderId="14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2" fontId="32" fillId="0" borderId="0"/>
    <xf numFmtId="1" fontId="33" fillId="0" borderId="18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1" fillId="0" borderId="0"/>
    <xf numFmtId="40" fontId="31" fillId="0" borderId="0" applyFont="0" applyFill="0" applyBorder="0" applyAlignment="0" applyProtection="0"/>
    <xf numFmtId="0" fontId="31" fillId="0" borderId="0"/>
    <xf numFmtId="0" fontId="27" fillId="0" borderId="0"/>
    <xf numFmtId="1" fontId="33" fillId="0" borderId="18" applyNumberFormat="0"/>
    <xf numFmtId="0" fontId="1" fillId="0" borderId="0"/>
    <xf numFmtId="0" fontId="31" fillId="0" borderId="0"/>
    <xf numFmtId="0" fontId="22" fillId="0" borderId="0" applyFill="0" applyProtection="0"/>
    <xf numFmtId="1" fontId="33" fillId="0" borderId="18" applyNumberFormat="0"/>
    <xf numFmtId="43" fontId="1" fillId="0" borderId="0" applyFont="0" applyFill="0" applyBorder="0" applyAlignment="0" applyProtection="0"/>
    <xf numFmtId="0" fontId="1" fillId="0" borderId="0"/>
    <xf numFmtId="0" fontId="34" fillId="0" borderId="0"/>
    <xf numFmtId="0" fontId="35" fillId="0" borderId="0"/>
    <xf numFmtId="0" fontId="34" fillId="0" borderId="0"/>
    <xf numFmtId="0" fontId="1" fillId="0" borderId="0"/>
    <xf numFmtId="0" fontId="31" fillId="0" borderId="0"/>
    <xf numFmtId="0" fontId="22" fillId="0" borderId="0" applyFill="0" applyProtection="0"/>
    <xf numFmtId="1" fontId="33" fillId="0" borderId="18" applyNumberFormat="0"/>
    <xf numFmtId="0" fontId="1" fillId="0" borderId="0"/>
    <xf numFmtId="0" fontId="27" fillId="0" borderId="0"/>
    <xf numFmtId="0" fontId="34" fillId="0" borderId="0"/>
    <xf numFmtId="0" fontId="35" fillId="0" borderId="0"/>
    <xf numFmtId="0" fontId="27" fillId="0" borderId="0"/>
    <xf numFmtId="0" fontId="34" fillId="0" borderId="0"/>
    <xf numFmtId="0" fontId="36" fillId="0" borderId="0"/>
    <xf numFmtId="0" fontId="34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36" fillId="0" borderId="0" applyBorder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Border="0"/>
    <xf numFmtId="0" fontId="1" fillId="0" borderId="0"/>
    <xf numFmtId="0" fontId="1" fillId="0" borderId="0"/>
    <xf numFmtId="1" fontId="33" fillId="0" borderId="18" applyNumberFormat="0"/>
    <xf numFmtId="1" fontId="33" fillId="0" borderId="18" applyNumberFormat="0"/>
    <xf numFmtId="1" fontId="33" fillId="0" borderId="18" applyNumberFormat="0"/>
    <xf numFmtId="1" fontId="33" fillId="0" borderId="18" applyNumberFormat="0"/>
    <xf numFmtId="0" fontId="37" fillId="0" borderId="0"/>
    <xf numFmtId="0" fontId="37" fillId="0" borderId="0"/>
  </cellStyleXfs>
  <cellXfs count="69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21" fillId="2" borderId="3" xfId="0" applyNumberFormat="1" applyFont="1" applyFill="1" applyBorder="1" applyAlignment="1">
      <alignment horizontal="right" vertical="center" wrapText="1"/>
    </xf>
    <xf numFmtId="164" fontId="21" fillId="2" borderId="6" xfId="0" applyNumberFormat="1" applyFont="1" applyFill="1" applyBorder="1" applyAlignment="1">
      <alignment horizontal="right" vertical="center" wrapText="1"/>
    </xf>
    <xf numFmtId="164" fontId="21" fillId="2" borderId="7" xfId="0" applyNumberFormat="1" applyFont="1" applyFill="1" applyBorder="1" applyAlignment="1">
      <alignment horizontal="right"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6" fontId="5" fillId="2" borderId="0" xfId="3" applyFont="1" applyFill="1" applyBorder="1" applyAlignment="1">
      <alignment horizontal="center" vertical="center"/>
    </xf>
    <xf numFmtId="164" fontId="24" fillId="2" borderId="0" xfId="0" applyNumberFormat="1" applyFont="1" applyFill="1"/>
    <xf numFmtId="166" fontId="6" fillId="2" borderId="0" xfId="3" applyFont="1" applyFill="1" applyBorder="1" applyAlignment="1">
      <alignment horizontal="center" vertical="center"/>
    </xf>
    <xf numFmtId="166" fontId="14" fillId="2" borderId="0" xfId="3" applyFont="1" applyFill="1" applyBorder="1" applyAlignment="1">
      <alignment horizontal="center" vertical="center"/>
    </xf>
    <xf numFmtId="166" fontId="13" fillId="2" borderId="0" xfId="3" applyFont="1" applyFill="1" applyBorder="1" applyAlignment="1">
      <alignment horizontal="center" vertical="center"/>
    </xf>
    <xf numFmtId="166" fontId="13" fillId="2" borderId="11" xfId="3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0" xfId="0" applyNumberFormat="1" applyFont="1" applyFill="1" applyAlignment="1">
      <alignment horizontal="right" vertical="center" wrapText="1"/>
    </xf>
    <xf numFmtId="164" fontId="25" fillId="2" borderId="4" xfId="0" applyNumberFormat="1" applyFont="1" applyFill="1" applyBorder="1" applyAlignment="1">
      <alignment horizontal="left" vertical="center" indent="1"/>
    </xf>
    <xf numFmtId="166" fontId="13" fillId="2" borderId="4" xfId="3" applyFont="1" applyFill="1" applyBorder="1" applyAlignment="1">
      <alignment horizontal="center" vertical="center"/>
    </xf>
    <xf numFmtId="166" fontId="13" fillId="2" borderId="8" xfId="3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right" vertical="center" indent="1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3" fillId="2" borderId="0" xfId="0" applyNumberFormat="1" applyFont="1" applyFill="1"/>
    <xf numFmtId="164" fontId="14" fillId="2" borderId="0" xfId="0" applyNumberFormat="1" applyFont="1" applyFill="1"/>
    <xf numFmtId="164" fontId="26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3" fontId="5" fillId="2" borderId="12" xfId="3" applyNumberFormat="1" applyFont="1" applyFill="1" applyBorder="1" applyAlignment="1">
      <alignment horizontal="right" vertical="center"/>
    </xf>
    <xf numFmtId="3" fontId="13" fillId="2" borderId="0" xfId="3" applyNumberFormat="1" applyFont="1" applyFill="1" applyBorder="1" applyAlignment="1">
      <alignment horizontal="right" vertical="center"/>
    </xf>
    <xf numFmtId="3" fontId="5" fillId="2" borderId="9" xfId="3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29" fillId="2" borderId="13" xfId="0" applyNumberFormat="1" applyFont="1" applyFill="1" applyBorder="1" applyAlignment="1">
      <alignment horizontal="right"/>
    </xf>
    <xf numFmtId="164" fontId="30" fillId="2" borderId="10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right" vertical="center" wrapText="1"/>
    </xf>
    <xf numFmtId="164" fontId="21" fillId="2" borderId="15" xfId="0" applyNumberFormat="1" applyFont="1" applyFill="1" applyBorder="1" applyAlignment="1">
      <alignment horizontal="right" vertical="center" wrapText="1"/>
    </xf>
    <xf numFmtId="166" fontId="5" fillId="2" borderId="11" xfId="3" applyFont="1" applyFill="1" applyBorder="1" applyAlignment="1">
      <alignment horizontal="center" vertical="center"/>
    </xf>
    <xf numFmtId="165" fontId="15" fillId="2" borderId="19" xfId="4" applyNumberFormat="1" applyFont="1" applyFill="1" applyBorder="1" applyAlignment="1" applyProtection="1">
      <alignment horizontal="right" vertical="center"/>
      <protection locked="0"/>
    </xf>
    <xf numFmtId="165" fontId="15" fillId="2" borderId="0" xfId="4" applyNumberFormat="1" applyFont="1" applyFill="1" applyBorder="1" applyAlignment="1" applyProtection="1">
      <alignment horizontal="right" vertical="center"/>
      <protection locked="0"/>
    </xf>
    <xf numFmtId="165" fontId="15" fillId="2" borderId="9" xfId="4" applyNumberFormat="1" applyFont="1" applyFill="1" applyBorder="1" applyAlignment="1" applyProtection="1">
      <alignment horizontal="right" vertical="center"/>
      <protection locked="0"/>
    </xf>
    <xf numFmtId="165" fontId="15" fillId="2" borderId="24" xfId="4" applyNumberFormat="1" applyFont="1" applyFill="1" applyBorder="1" applyAlignment="1" applyProtection="1">
      <alignment horizontal="right" vertical="center"/>
      <protection locked="0"/>
    </xf>
    <xf numFmtId="165" fontId="15" fillId="2" borderId="21" xfId="4" applyNumberFormat="1" applyFont="1" applyFill="1" applyBorder="1" applyAlignment="1" applyProtection="1">
      <alignment horizontal="right" vertical="center"/>
      <protection locked="0"/>
    </xf>
    <xf numFmtId="165" fontId="12" fillId="2" borderId="20" xfId="4" applyNumberFormat="1" applyFont="1" applyFill="1" applyBorder="1" applyAlignment="1" applyProtection="1">
      <alignment horizontal="right" vertical="center"/>
      <protection locked="0"/>
    </xf>
    <xf numFmtId="165" fontId="12" fillId="2" borderId="22" xfId="4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16" xfId="0" applyNumberFormat="1" applyFont="1" applyFill="1" applyBorder="1" applyAlignment="1">
      <alignment horizontal="center" vertical="top"/>
    </xf>
    <xf numFmtId="164" fontId="3" fillId="2" borderId="17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15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/>
    </xf>
    <xf numFmtId="164" fontId="20" fillId="2" borderId="23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'8.2'!$O$6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'8.2'!$O$8:$O$19</c:f>
              <c:numCache>
                <c:formatCode>_-* #,##0_-;\-* #,##0_-;_-* "-"??_-;_-@_-</c:formatCode>
                <c:ptCount val="12"/>
                <c:pt idx="0">
                  <c:v>2873</c:v>
                </c:pt>
                <c:pt idx="1">
                  <c:v>3003</c:v>
                </c:pt>
                <c:pt idx="2">
                  <c:v>1071</c:v>
                </c:pt>
                <c:pt idx="3">
                  <c:v>787</c:v>
                </c:pt>
                <c:pt idx="4">
                  <c:v>341</c:v>
                </c:pt>
                <c:pt idx="5">
                  <c:v>451</c:v>
                </c:pt>
                <c:pt idx="6">
                  <c:v>204</c:v>
                </c:pt>
                <c:pt idx="7">
                  <c:v>109</c:v>
                </c:pt>
                <c:pt idx="8">
                  <c:v>269</c:v>
                </c:pt>
                <c:pt idx="9">
                  <c:v>188</c:v>
                </c:pt>
                <c:pt idx="10">
                  <c:v>101</c:v>
                </c:pt>
                <c:pt idx="11">
                  <c:v>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'8.2'!$P$6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'8.2'!$P$8:$P$19</c:f>
              <c:numCache>
                <c:formatCode>_-* #,##0_-;\-* #,##0_-;_-* "-"??_-;_-@_-</c:formatCode>
                <c:ptCount val="12"/>
                <c:pt idx="0">
                  <c:v>605</c:v>
                </c:pt>
                <c:pt idx="1">
                  <c:v>75</c:v>
                </c:pt>
                <c:pt idx="2">
                  <c:v>1004</c:v>
                </c:pt>
                <c:pt idx="3">
                  <c:v>211</c:v>
                </c:pt>
                <c:pt idx="4">
                  <c:v>263</c:v>
                </c:pt>
                <c:pt idx="5">
                  <c:v>146</c:v>
                </c:pt>
                <c:pt idx="6">
                  <c:v>29</c:v>
                </c:pt>
                <c:pt idx="7">
                  <c:v>162</c:v>
                </c:pt>
                <c:pt idx="8">
                  <c:v>85</c:v>
                </c:pt>
                <c:pt idx="9">
                  <c:v>126</c:v>
                </c:pt>
                <c:pt idx="10">
                  <c:v>6</c:v>
                </c:pt>
                <c:pt idx="11">
                  <c:v>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rgbClr val="F9FFF3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8EF-46C2-8BD5-85EB5D4E8DF9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8EF-46C2-8BD5-85EB5D4E8DF9}"/>
              </c:ext>
            </c:extLst>
          </c:dPt>
          <c:dLbls>
            <c:dLbl>
              <c:idx val="0"/>
              <c:layout>
                <c:manualLayout>
                  <c:x val="-0.10606197418875042"/>
                  <c:y val="-0.200132396777315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EF-46C2-8BD5-85EB5D4E8DF9}"/>
                </c:ext>
              </c:extLst>
            </c:dLbl>
            <c:dLbl>
              <c:idx val="1"/>
              <c:layout>
                <c:manualLayout>
                  <c:x val="0.10203290881037082"/>
                  <c:y val="0.189242150682071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EF-46C2-8BD5-85EB5D4E8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'8.2'!$O$7:$P$7</c:f>
              <c:numCache>
                <c:formatCode>_-* #,##0_-;\-* #,##0_-;_-* "-"??_-;_-@_-</c:formatCode>
                <c:ptCount val="2"/>
                <c:pt idx="0">
                  <c:v>12373</c:v>
                </c:pt>
                <c:pt idx="1">
                  <c:v>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3183</c:v>
              </c:pt>
              <c:pt idx="1">
                <c:v>587</c:v>
              </c:pt>
            </c:numLit>
          </c:val>
          <c:extLst>
            <c:ext xmlns:c16="http://schemas.microsoft.com/office/drawing/2014/chart" uri="{C3380CC4-5D6E-409C-BE32-E72D297353CC}">
              <c16:uniqueId val="{00000000-46B9-4D23-9264-6230849E2B70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2773</c:v>
              </c:pt>
              <c:pt idx="1">
                <c:v>109</c:v>
              </c:pt>
            </c:numLit>
          </c:val>
          <c:extLst>
            <c:ext xmlns:c16="http://schemas.microsoft.com/office/drawing/2014/chart" uri="{C3380CC4-5D6E-409C-BE32-E72D297353CC}">
              <c16:uniqueId val="{00000001-46B9-4D23-9264-6230849E2B70}"/>
            </c:ext>
          </c:extLst>
        </c:ser>
        <c:ser>
          <c:idx val="3"/>
          <c:order val="3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950</c:v>
              </c:pt>
              <c:pt idx="1">
                <c:v>737</c:v>
              </c:pt>
            </c:numLit>
          </c:val>
          <c:extLst>
            <c:ext xmlns:c16="http://schemas.microsoft.com/office/drawing/2014/chart" uri="{C3380CC4-5D6E-409C-BE32-E72D297353CC}">
              <c16:uniqueId val="{00000002-46B9-4D23-9264-6230849E2B70}"/>
            </c:ext>
          </c:extLst>
        </c:ser>
        <c:ser>
          <c:idx val="4"/>
          <c:order val="4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788</c:v>
              </c:pt>
              <c:pt idx="1">
                <c:v>240</c:v>
              </c:pt>
            </c:numLit>
          </c:val>
          <c:extLst>
            <c:ext xmlns:c16="http://schemas.microsoft.com/office/drawing/2014/chart" uri="{C3380CC4-5D6E-409C-BE32-E72D297353CC}">
              <c16:uniqueId val="{00000003-46B9-4D23-9264-6230849E2B70}"/>
            </c:ext>
          </c:extLst>
        </c:ser>
        <c:ser>
          <c:idx val="5"/>
          <c:order val="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378</c:v>
              </c:pt>
              <c:pt idx="1">
                <c:v>333</c:v>
              </c:pt>
            </c:numLit>
          </c:val>
          <c:extLst>
            <c:ext xmlns:c16="http://schemas.microsoft.com/office/drawing/2014/chart" uri="{C3380CC4-5D6E-409C-BE32-E72D297353CC}">
              <c16:uniqueId val="{00000004-46B9-4D23-9264-6230849E2B70}"/>
            </c:ext>
          </c:extLst>
        </c:ser>
        <c:ser>
          <c:idx val="6"/>
          <c:order val="6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503</c:v>
              </c:pt>
              <c:pt idx="1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5-46B9-4D23-9264-6230849E2B70}"/>
            </c:ext>
          </c:extLst>
        </c:ser>
        <c:ser>
          <c:idx val="7"/>
          <c:order val="7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464</c:v>
              </c:pt>
              <c:pt idx="1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6-46B9-4D23-9264-6230849E2B70}"/>
            </c:ext>
          </c:extLst>
        </c:ser>
        <c:ser>
          <c:idx val="8"/>
          <c:order val="8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131</c:v>
              </c:pt>
              <c:pt idx="1">
                <c:v>189</c:v>
              </c:pt>
            </c:numLit>
          </c:val>
          <c:extLst>
            <c:ext xmlns:c16="http://schemas.microsoft.com/office/drawing/2014/chart" uri="{C3380CC4-5D6E-409C-BE32-E72D297353CC}">
              <c16:uniqueId val="{00000007-46B9-4D23-9264-6230849E2B70}"/>
            </c:ext>
          </c:extLst>
        </c:ser>
        <c:ser>
          <c:idx val="9"/>
          <c:order val="9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528</c:v>
              </c:pt>
              <c:pt idx="1">
                <c:v>140</c:v>
              </c:pt>
            </c:numLit>
          </c:val>
          <c:extLst>
            <c:ext xmlns:c16="http://schemas.microsoft.com/office/drawing/2014/chart" uri="{C3380CC4-5D6E-409C-BE32-E72D297353CC}">
              <c16:uniqueId val="{00000008-46B9-4D23-9264-6230849E2B70}"/>
            </c:ext>
          </c:extLst>
        </c:ser>
        <c:ser>
          <c:idx val="10"/>
          <c:order val="1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150</c:v>
              </c:pt>
              <c:pt idx="1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9-46B9-4D23-9264-6230849E2B70}"/>
            </c:ext>
          </c:extLst>
        </c:ser>
        <c:ser>
          <c:idx val="11"/>
          <c:order val="1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147</c:v>
              </c:pt>
              <c:pt idx="1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A-46B9-4D23-9264-6230849E2B70}"/>
            </c:ext>
          </c:extLst>
        </c:ser>
        <c:ser>
          <c:idx val="12"/>
          <c:order val="12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Lit>
              <c:formatCode>General</c:formatCode>
              <c:ptCount val="2"/>
              <c:pt idx="0">
                <c:v>2383</c:v>
              </c:pt>
              <c:pt idx="1">
                <c:v>1279</c:v>
              </c:pt>
            </c:numLit>
          </c:val>
          <c:extLst>
            <c:ext xmlns:c16="http://schemas.microsoft.com/office/drawing/2014/chart" uri="{C3380CC4-5D6E-409C-BE32-E72D297353CC}">
              <c16:uniqueId val="{0000000B-46B9-4D23-9264-6230849E2B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291402</xdr:colOff>
      <xdr:row>31</xdr:row>
      <xdr:rowOff>97647</xdr:rowOff>
    </xdr:from>
    <xdr:to>
      <xdr:col>9</xdr:col>
      <xdr:colOff>284655</xdr:colOff>
      <xdr:row>47</xdr:row>
      <xdr:rowOff>154722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448878</xdr:colOff>
      <xdr:row>31</xdr:row>
      <xdr:rowOff>139335</xdr:rowOff>
    </xdr:from>
    <xdr:to>
      <xdr:col>19</xdr:col>
      <xdr:colOff>1280797</xdr:colOff>
      <xdr:row>47</xdr:row>
      <xdr:rowOff>168422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838968</xdr:colOff>
      <xdr:row>32</xdr:row>
      <xdr:rowOff>31396</xdr:rowOff>
    </xdr:from>
    <xdr:to>
      <xdr:col>8</xdr:col>
      <xdr:colOff>558363</xdr:colOff>
      <xdr:row>33</xdr:row>
      <xdr:rowOff>127930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38968" y="4892430"/>
          <a:ext cx="5795688" cy="2826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9</xdr:col>
      <xdr:colOff>476468</xdr:colOff>
      <xdr:row>32</xdr:row>
      <xdr:rowOff>67764</xdr:rowOff>
    </xdr:from>
    <xdr:to>
      <xdr:col>19</xdr:col>
      <xdr:colOff>1237154</xdr:colOff>
      <xdr:row>34</xdr:row>
      <xdr:rowOff>186119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165865" y="4928798"/>
          <a:ext cx="5085255" cy="490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D41"/>
  <sheetViews>
    <sheetView tabSelected="1" zoomScaleNormal="100" workbookViewId="0">
      <selection activeCell="W1" sqref="W1:Z6"/>
    </sheetView>
  </sheetViews>
  <sheetFormatPr defaultColWidth="9.140625" defaultRowHeight="15"/>
  <cols>
    <col min="1" max="1" width="26.7109375" style="1" customWidth="1"/>
    <col min="2" max="16" width="9.140625" style="1" customWidth="1"/>
    <col min="17" max="18" width="9.42578125" style="1" customWidth="1"/>
    <col min="19" max="19" width="9.28515625" style="1" customWidth="1"/>
    <col min="20" max="20" width="35.140625" style="1" customWidth="1"/>
    <col min="21" max="21" width="5" style="1" customWidth="1"/>
    <col min="22" max="22" width="9.140625" style="1"/>
    <col min="23" max="23" width="22.140625" style="1" bestFit="1" customWidth="1"/>
    <col min="24" max="16384" width="9.140625" style="1"/>
  </cols>
  <sheetData>
    <row r="1" spans="1:30" ht="21">
      <c r="A1" s="64" t="s">
        <v>58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  <c r="O1" s="65"/>
      <c r="P1" s="65"/>
      <c r="Q1" s="64"/>
      <c r="R1" s="64"/>
      <c r="S1" s="64"/>
      <c r="T1" s="64"/>
    </row>
    <row r="2" spans="1:30" ht="21.75" customHeight="1">
      <c r="A2" s="50" t="s">
        <v>57</v>
      </c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0"/>
      <c r="R2" s="50"/>
      <c r="S2" s="50"/>
      <c r="T2" s="50"/>
      <c r="W2" s="2"/>
    </row>
    <row r="3" spans="1:30" ht="17.25" customHeight="1">
      <c r="A3" s="53" t="s">
        <v>31</v>
      </c>
      <c r="B3" s="55">
        <v>2021</v>
      </c>
      <c r="C3" s="56"/>
      <c r="D3" s="57"/>
      <c r="E3" s="55">
        <v>2022</v>
      </c>
      <c r="F3" s="56"/>
      <c r="G3" s="57"/>
      <c r="H3" s="55">
        <v>2023</v>
      </c>
      <c r="I3" s="56"/>
      <c r="J3" s="57"/>
      <c r="K3" s="55">
        <v>2024</v>
      </c>
      <c r="L3" s="56"/>
      <c r="M3" s="57"/>
      <c r="N3" s="55">
        <v>2025</v>
      </c>
      <c r="O3" s="56"/>
      <c r="P3" s="57"/>
      <c r="Q3" s="67" t="s">
        <v>32</v>
      </c>
      <c r="R3" s="68"/>
      <c r="S3" s="68"/>
      <c r="T3" s="49" t="s">
        <v>0</v>
      </c>
    </row>
    <row r="4" spans="1:30" ht="16.5" customHeight="1">
      <c r="A4" s="66"/>
      <c r="B4" s="58"/>
      <c r="C4" s="59"/>
      <c r="D4" s="60"/>
      <c r="E4" s="58"/>
      <c r="F4" s="59"/>
      <c r="G4" s="60"/>
      <c r="H4" s="58"/>
      <c r="I4" s="59"/>
      <c r="J4" s="60"/>
      <c r="K4" s="58"/>
      <c r="L4" s="59"/>
      <c r="M4" s="60"/>
      <c r="N4" s="58"/>
      <c r="O4" s="59"/>
      <c r="P4" s="60"/>
      <c r="Q4" s="63" t="s">
        <v>59</v>
      </c>
      <c r="R4" s="63"/>
      <c r="S4" s="63"/>
      <c r="T4" s="61"/>
      <c r="W4" s="3"/>
      <c r="X4" s="3"/>
      <c r="Y4" s="3"/>
      <c r="Z4" s="3"/>
      <c r="AA4" s="3"/>
      <c r="AB4" s="3"/>
    </row>
    <row r="5" spans="1:30" ht="18.75">
      <c r="A5" s="66"/>
      <c r="B5" s="10" t="s">
        <v>33</v>
      </c>
      <c r="C5" s="40" t="s">
        <v>34</v>
      </c>
      <c r="D5" s="9" t="s">
        <v>35</v>
      </c>
      <c r="E5" s="10" t="s">
        <v>33</v>
      </c>
      <c r="F5" s="40" t="s">
        <v>34</v>
      </c>
      <c r="G5" s="9" t="s">
        <v>35</v>
      </c>
      <c r="H5" s="10" t="s">
        <v>33</v>
      </c>
      <c r="I5" s="40" t="s">
        <v>34</v>
      </c>
      <c r="J5" s="9" t="s">
        <v>35</v>
      </c>
      <c r="K5" s="10" t="s">
        <v>33</v>
      </c>
      <c r="L5" s="40" t="s">
        <v>34</v>
      </c>
      <c r="M5" s="9" t="s">
        <v>35</v>
      </c>
      <c r="N5" s="10" t="s">
        <v>33</v>
      </c>
      <c r="O5" s="40" t="s">
        <v>34</v>
      </c>
      <c r="P5" s="9" t="s">
        <v>35</v>
      </c>
      <c r="Q5" s="40" t="s">
        <v>33</v>
      </c>
      <c r="R5" s="8" t="s">
        <v>34</v>
      </c>
      <c r="S5" s="8" t="s">
        <v>35</v>
      </c>
      <c r="T5" s="61"/>
      <c r="W5" s="3"/>
      <c r="X5" s="3"/>
      <c r="Y5" s="3"/>
      <c r="Z5" s="3"/>
      <c r="AA5" s="3"/>
      <c r="AB5" s="3"/>
    </row>
    <row r="6" spans="1:30" ht="13.5" customHeight="1">
      <c r="A6" s="54"/>
      <c r="B6" s="12" t="s">
        <v>36</v>
      </c>
      <c r="C6" s="39" t="s">
        <v>37</v>
      </c>
      <c r="D6" s="11" t="s">
        <v>38</v>
      </c>
      <c r="E6" s="12" t="s">
        <v>36</v>
      </c>
      <c r="F6" s="39" t="s">
        <v>37</v>
      </c>
      <c r="G6" s="11" t="s">
        <v>38</v>
      </c>
      <c r="H6" s="12" t="s">
        <v>36</v>
      </c>
      <c r="I6" s="39" t="s">
        <v>37</v>
      </c>
      <c r="J6" s="11" t="s">
        <v>38</v>
      </c>
      <c r="K6" s="12" t="s">
        <v>36</v>
      </c>
      <c r="L6" s="39" t="s">
        <v>37</v>
      </c>
      <c r="M6" s="11" t="s">
        <v>38</v>
      </c>
      <c r="N6" s="12" t="s">
        <v>36</v>
      </c>
      <c r="O6" s="39" t="s">
        <v>37</v>
      </c>
      <c r="P6" s="11" t="s">
        <v>38</v>
      </c>
      <c r="Q6" s="39" t="s">
        <v>36</v>
      </c>
      <c r="R6" s="39" t="s">
        <v>37</v>
      </c>
      <c r="S6" s="39" t="s">
        <v>38</v>
      </c>
      <c r="T6" s="62"/>
      <c r="W6" s="3"/>
      <c r="X6" s="3"/>
      <c r="Y6" s="3"/>
      <c r="Z6" s="3"/>
      <c r="AA6" s="3"/>
      <c r="AB6" s="3"/>
    </row>
    <row r="7" spans="1:30" s="14" customFormat="1" ht="15.75">
      <c r="A7" s="4" t="s">
        <v>2</v>
      </c>
      <c r="B7" s="32">
        <f t="shared" ref="B7:D7" si="0">SUM(B8:B19)</f>
        <v>14143</v>
      </c>
      <c r="C7" s="13">
        <f t="shared" si="0"/>
        <v>10188</v>
      </c>
      <c r="D7" s="41">
        <f t="shared" si="0"/>
        <v>3955</v>
      </c>
      <c r="E7" s="32">
        <f t="shared" ref="E7:J7" si="1">SUM(E8:E19)</f>
        <v>13543</v>
      </c>
      <c r="F7" s="13">
        <f t="shared" si="1"/>
        <v>9478</v>
      </c>
      <c r="G7" s="41">
        <f t="shared" si="1"/>
        <v>4065</v>
      </c>
      <c r="H7" s="32">
        <f t="shared" si="1"/>
        <v>15015</v>
      </c>
      <c r="I7" s="13">
        <f t="shared" si="1"/>
        <v>11043</v>
      </c>
      <c r="J7" s="41">
        <f t="shared" si="1"/>
        <v>3972</v>
      </c>
      <c r="K7" s="32">
        <f t="shared" ref="K7:P7" si="2">SUM(K8:K19)</f>
        <v>16321</v>
      </c>
      <c r="L7" s="13">
        <f t="shared" si="2"/>
        <v>12378</v>
      </c>
      <c r="M7" s="41">
        <f t="shared" si="2"/>
        <v>3943</v>
      </c>
      <c r="N7" s="32">
        <f t="shared" si="2"/>
        <v>16902</v>
      </c>
      <c r="O7" s="13">
        <f t="shared" si="2"/>
        <v>12373</v>
      </c>
      <c r="P7" s="41">
        <f t="shared" si="2"/>
        <v>4529</v>
      </c>
      <c r="Q7" s="47">
        <f>(N7-K7)/K7*100</f>
        <v>3.5598308927149076</v>
      </c>
      <c r="R7" s="48">
        <f>(O7-L7)/L7*100</f>
        <v>-4.0394247859104865E-2</v>
      </c>
      <c r="S7" s="48">
        <f>(P7-M7)/M7*100</f>
        <v>14.86178037027644</v>
      </c>
      <c r="T7" s="38" t="s">
        <v>3</v>
      </c>
      <c r="V7" s="15"/>
      <c r="W7" s="16"/>
      <c r="X7" s="16"/>
      <c r="Y7" s="15"/>
      <c r="Z7" s="16"/>
      <c r="AA7" s="16"/>
      <c r="AB7" s="4"/>
      <c r="AC7" s="4"/>
      <c r="AD7" s="4"/>
    </row>
    <row r="8" spans="1:30" ht="18.75">
      <c r="A8" s="31" t="s">
        <v>1</v>
      </c>
      <c r="B8" s="32">
        <f>SUM(C8:D8)</f>
        <v>4662</v>
      </c>
      <c r="C8" s="17">
        <v>3841</v>
      </c>
      <c r="D8" s="18">
        <v>821</v>
      </c>
      <c r="E8" s="32">
        <f>SUM(F8:G8)</f>
        <v>3982</v>
      </c>
      <c r="F8" s="17">
        <v>3030</v>
      </c>
      <c r="G8" s="18">
        <v>952</v>
      </c>
      <c r="H8" s="32">
        <f>SUM(I8:J8)</f>
        <v>3825</v>
      </c>
      <c r="I8" s="17">
        <v>3088</v>
      </c>
      <c r="J8" s="17">
        <v>737</v>
      </c>
      <c r="K8" s="32">
        <f>SUM(L8:M8)</f>
        <v>3767</v>
      </c>
      <c r="L8" s="17">
        <v>3183</v>
      </c>
      <c r="M8" s="17">
        <v>584</v>
      </c>
      <c r="N8" s="32">
        <f>SUM(O8:P8)</f>
        <v>3478</v>
      </c>
      <c r="O8" s="17">
        <v>2873</v>
      </c>
      <c r="P8" s="17">
        <v>605</v>
      </c>
      <c r="Q8" s="42">
        <f t="shared" ref="Q8:Q30" si="3">(N8-K8)/K8*100</f>
        <v>-7.6718874435890632</v>
      </c>
      <c r="R8" s="43">
        <f t="shared" ref="R8:R30" si="4">(O8-L8)/L8*100</f>
        <v>-9.7392397109644993</v>
      </c>
      <c r="S8" s="43">
        <f t="shared" ref="S8:S30" si="5">(P8-M8)/M8*100</f>
        <v>3.595890410958904</v>
      </c>
      <c r="T8" s="6" t="s">
        <v>4</v>
      </c>
      <c r="U8" s="5"/>
      <c r="V8" s="15"/>
      <c r="W8" s="16"/>
      <c r="X8" s="16"/>
      <c r="Y8" s="15"/>
      <c r="Z8" s="16"/>
      <c r="AA8" s="16"/>
      <c r="AB8" s="4"/>
      <c r="AC8" s="4"/>
      <c r="AD8" s="4"/>
    </row>
    <row r="9" spans="1:30" ht="18.75">
      <c r="A9" s="31" t="s">
        <v>15</v>
      </c>
      <c r="B9" s="32">
        <f t="shared" ref="B9:B18" si="6">SUM(C9:D9)</f>
        <v>1553</v>
      </c>
      <c r="C9" s="17">
        <v>1426</v>
      </c>
      <c r="D9" s="18">
        <v>127</v>
      </c>
      <c r="E9" s="32">
        <f t="shared" ref="E9:E18" si="7">SUM(F9:G9)</f>
        <v>1618</v>
      </c>
      <c r="F9" s="17">
        <v>1469</v>
      </c>
      <c r="G9" s="18">
        <v>149</v>
      </c>
      <c r="H9" s="32">
        <f>SUM(I9:J9)</f>
        <v>2298</v>
      </c>
      <c r="I9" s="17">
        <v>2216</v>
      </c>
      <c r="J9" s="17">
        <v>82</v>
      </c>
      <c r="K9" s="32">
        <f t="shared" ref="K9:K18" si="8">SUM(L9:M9)</f>
        <v>2882</v>
      </c>
      <c r="L9" s="17">
        <v>2773</v>
      </c>
      <c r="M9" s="17">
        <v>109</v>
      </c>
      <c r="N9" s="32">
        <f t="shared" ref="N9:N18" si="9">SUM(O9:P9)</f>
        <v>3078</v>
      </c>
      <c r="O9" s="17">
        <v>3003</v>
      </c>
      <c r="P9" s="17">
        <v>75</v>
      </c>
      <c r="Q9" s="42">
        <f t="shared" si="3"/>
        <v>6.8008327550312293</v>
      </c>
      <c r="R9" s="43">
        <f t="shared" si="4"/>
        <v>8.2942661377569422</v>
      </c>
      <c r="S9" s="43">
        <f t="shared" si="5"/>
        <v>-31.192660550458719</v>
      </c>
      <c r="T9" s="6" t="s">
        <v>39</v>
      </c>
      <c r="U9" s="5"/>
      <c r="V9" s="15"/>
      <c r="W9" s="16"/>
      <c r="X9" s="16"/>
      <c r="Y9" s="15"/>
      <c r="Z9" s="16"/>
      <c r="AA9" s="16"/>
      <c r="AB9" s="4"/>
      <c r="AC9" s="4"/>
      <c r="AD9" s="4"/>
    </row>
    <row r="10" spans="1:30" ht="18.75">
      <c r="A10" s="31" t="s">
        <v>5</v>
      </c>
      <c r="B10" s="32">
        <f t="shared" si="6"/>
        <v>1440</v>
      </c>
      <c r="C10" s="17">
        <v>864</v>
      </c>
      <c r="D10" s="18">
        <v>576</v>
      </c>
      <c r="E10" s="32">
        <f t="shared" si="7"/>
        <v>1429</v>
      </c>
      <c r="F10" s="17">
        <v>784</v>
      </c>
      <c r="G10" s="18">
        <v>645</v>
      </c>
      <c r="H10" s="32">
        <f t="shared" ref="H10:H18" si="10">SUM(I10:J10)</f>
        <v>1732</v>
      </c>
      <c r="I10" s="17">
        <v>978</v>
      </c>
      <c r="J10" s="17">
        <v>754</v>
      </c>
      <c r="K10" s="32">
        <f t="shared" si="8"/>
        <v>1687</v>
      </c>
      <c r="L10" s="17">
        <v>950</v>
      </c>
      <c r="M10" s="17">
        <v>737</v>
      </c>
      <c r="N10" s="32">
        <f t="shared" si="9"/>
        <v>2075</v>
      </c>
      <c r="O10" s="17">
        <v>1071</v>
      </c>
      <c r="P10" s="17">
        <v>1004</v>
      </c>
      <c r="Q10" s="42">
        <f t="shared" si="3"/>
        <v>22.999407231772377</v>
      </c>
      <c r="R10" s="43">
        <f t="shared" si="4"/>
        <v>12.736842105263158</v>
      </c>
      <c r="S10" s="43">
        <f t="shared" si="5"/>
        <v>36.227951153324291</v>
      </c>
      <c r="T10" s="6" t="s">
        <v>8</v>
      </c>
      <c r="U10" s="5"/>
      <c r="V10" s="15"/>
      <c r="W10" s="16"/>
      <c r="X10" s="16"/>
      <c r="Y10" s="15"/>
      <c r="Z10" s="16"/>
      <c r="AA10" s="16"/>
      <c r="AB10" s="4"/>
      <c r="AC10" s="4"/>
      <c r="AD10" s="4"/>
    </row>
    <row r="11" spans="1:30" ht="18.75">
      <c r="A11" s="31" t="s">
        <v>27</v>
      </c>
      <c r="B11" s="32">
        <f t="shared" si="6"/>
        <v>974</v>
      </c>
      <c r="C11" s="17">
        <v>722</v>
      </c>
      <c r="D11" s="18">
        <v>252</v>
      </c>
      <c r="E11" s="32">
        <f t="shared" si="7"/>
        <v>1412</v>
      </c>
      <c r="F11" s="17">
        <v>962</v>
      </c>
      <c r="G11" s="18">
        <v>450</v>
      </c>
      <c r="H11" s="32">
        <f t="shared" si="10"/>
        <v>1482</v>
      </c>
      <c r="I11" s="17">
        <v>1039</v>
      </c>
      <c r="J11" s="17">
        <v>443</v>
      </c>
      <c r="K11" s="32">
        <f t="shared" si="8"/>
        <v>1028</v>
      </c>
      <c r="L11" s="17">
        <v>788</v>
      </c>
      <c r="M11" s="17">
        <v>240</v>
      </c>
      <c r="N11" s="32">
        <f t="shared" si="9"/>
        <v>998</v>
      </c>
      <c r="O11" s="17">
        <v>787</v>
      </c>
      <c r="P11" s="17">
        <v>211</v>
      </c>
      <c r="Q11" s="42">
        <f t="shared" si="3"/>
        <v>-2.9182879377431905</v>
      </c>
      <c r="R11" s="43">
        <f t="shared" si="4"/>
        <v>-0.12690355329949238</v>
      </c>
      <c r="S11" s="43">
        <f t="shared" si="5"/>
        <v>-12.083333333333334</v>
      </c>
      <c r="T11" s="6" t="s">
        <v>9</v>
      </c>
      <c r="U11" s="5"/>
      <c r="V11" s="15"/>
      <c r="W11" s="16"/>
      <c r="X11" s="16"/>
      <c r="Y11" s="15"/>
      <c r="Z11" s="16"/>
      <c r="AA11" s="16"/>
      <c r="AB11" s="4"/>
      <c r="AC11" s="4"/>
      <c r="AD11" s="4"/>
    </row>
    <row r="12" spans="1:30" ht="18.75">
      <c r="A12" s="31" t="s">
        <v>6</v>
      </c>
      <c r="B12" s="32">
        <f t="shared" si="6"/>
        <v>610</v>
      </c>
      <c r="C12" s="17">
        <v>312</v>
      </c>
      <c r="D12" s="18">
        <v>298</v>
      </c>
      <c r="E12" s="32">
        <f t="shared" si="7"/>
        <v>521</v>
      </c>
      <c r="F12" s="17">
        <v>265</v>
      </c>
      <c r="G12" s="18">
        <v>256</v>
      </c>
      <c r="H12" s="32">
        <f t="shared" si="10"/>
        <v>655</v>
      </c>
      <c r="I12" s="17">
        <v>346</v>
      </c>
      <c r="J12" s="17">
        <v>309</v>
      </c>
      <c r="K12" s="32">
        <f t="shared" si="8"/>
        <v>710</v>
      </c>
      <c r="L12" s="17">
        <v>377</v>
      </c>
      <c r="M12" s="17">
        <v>333</v>
      </c>
      <c r="N12" s="32">
        <f t="shared" si="9"/>
        <v>604</v>
      </c>
      <c r="O12" s="17">
        <v>341</v>
      </c>
      <c r="P12" s="17">
        <v>263</v>
      </c>
      <c r="Q12" s="42">
        <f t="shared" si="3"/>
        <v>-14.929577464788732</v>
      </c>
      <c r="R12" s="43">
        <f t="shared" si="4"/>
        <v>-9.549071618037134</v>
      </c>
      <c r="S12" s="43">
        <f t="shared" si="5"/>
        <v>-21.021021021021021</v>
      </c>
      <c r="T12" s="6" t="s">
        <v>11</v>
      </c>
      <c r="U12" s="5"/>
      <c r="V12" s="15"/>
      <c r="W12" s="16"/>
      <c r="X12" s="16"/>
      <c r="Y12" s="15"/>
      <c r="Z12" s="16"/>
      <c r="AA12" s="16"/>
      <c r="AB12" s="4"/>
      <c r="AC12" s="4"/>
      <c r="AD12" s="4"/>
    </row>
    <row r="13" spans="1:30" ht="18.75">
      <c r="A13" s="31" t="s">
        <v>12</v>
      </c>
      <c r="B13" s="32">
        <f t="shared" si="6"/>
        <v>503</v>
      </c>
      <c r="C13" s="17">
        <v>327</v>
      </c>
      <c r="D13" s="18">
        <v>176</v>
      </c>
      <c r="E13" s="32">
        <f t="shared" si="7"/>
        <v>482</v>
      </c>
      <c r="F13" s="17">
        <v>346</v>
      </c>
      <c r="G13" s="18">
        <v>136</v>
      </c>
      <c r="H13" s="32">
        <f t="shared" si="10"/>
        <v>612</v>
      </c>
      <c r="I13" s="17">
        <v>449</v>
      </c>
      <c r="J13" s="17">
        <v>163</v>
      </c>
      <c r="K13" s="32">
        <f t="shared" si="8"/>
        <v>672</v>
      </c>
      <c r="L13" s="17">
        <v>503</v>
      </c>
      <c r="M13" s="17">
        <v>169</v>
      </c>
      <c r="N13" s="32">
        <f t="shared" si="9"/>
        <v>597</v>
      </c>
      <c r="O13" s="17">
        <v>451</v>
      </c>
      <c r="P13" s="17">
        <v>146</v>
      </c>
      <c r="Q13" s="42">
        <f t="shared" si="3"/>
        <v>-11.160714285714286</v>
      </c>
      <c r="R13" s="43">
        <f t="shared" si="4"/>
        <v>-10.337972166998012</v>
      </c>
      <c r="S13" s="43">
        <f t="shared" si="5"/>
        <v>-13.609467455621301</v>
      </c>
      <c r="T13" s="6" t="s">
        <v>13</v>
      </c>
      <c r="U13" s="5"/>
      <c r="V13" s="15"/>
      <c r="W13" s="16"/>
      <c r="X13" s="16"/>
      <c r="Y13" s="15"/>
      <c r="Z13" s="16"/>
      <c r="AA13" s="16"/>
      <c r="AB13" s="4"/>
      <c r="AC13" s="4"/>
      <c r="AD13" s="4"/>
    </row>
    <row r="14" spans="1:30" ht="18.75">
      <c r="A14" s="31" t="s">
        <v>10</v>
      </c>
      <c r="B14" s="32">
        <f t="shared" si="6"/>
        <v>377</v>
      </c>
      <c r="C14" s="17">
        <v>345</v>
      </c>
      <c r="D14" s="18">
        <v>32</v>
      </c>
      <c r="E14" s="32">
        <f t="shared" si="7"/>
        <v>372</v>
      </c>
      <c r="F14" s="17">
        <v>345</v>
      </c>
      <c r="G14" s="18">
        <v>27</v>
      </c>
      <c r="H14" s="32">
        <f t="shared" si="10"/>
        <v>478</v>
      </c>
      <c r="I14" s="17">
        <v>439</v>
      </c>
      <c r="J14" s="17">
        <v>39</v>
      </c>
      <c r="K14" s="32">
        <f t="shared" si="8"/>
        <v>508</v>
      </c>
      <c r="L14" s="17">
        <v>464</v>
      </c>
      <c r="M14" s="17">
        <v>44</v>
      </c>
      <c r="N14" s="32">
        <f t="shared" si="9"/>
        <v>233</v>
      </c>
      <c r="O14" s="17">
        <v>204</v>
      </c>
      <c r="P14" s="17">
        <v>29</v>
      </c>
      <c r="Q14" s="42">
        <f t="shared" si="3"/>
        <v>-54.133858267716541</v>
      </c>
      <c r="R14" s="43">
        <f t="shared" si="4"/>
        <v>-56.034482758620683</v>
      </c>
      <c r="S14" s="43">
        <f t="shared" si="5"/>
        <v>-34.090909090909086</v>
      </c>
      <c r="T14" s="6" t="s">
        <v>14</v>
      </c>
      <c r="U14" s="5"/>
      <c r="V14" s="15"/>
      <c r="W14" s="16"/>
      <c r="X14" s="16"/>
      <c r="Y14" s="15"/>
      <c r="Z14" s="16"/>
      <c r="AA14" s="16"/>
      <c r="AB14" s="4"/>
      <c r="AC14" s="4"/>
      <c r="AD14" s="4"/>
    </row>
    <row r="15" spans="1:30" ht="18.75">
      <c r="A15" s="5" t="s">
        <v>17</v>
      </c>
      <c r="B15" s="32">
        <f t="shared" si="6"/>
        <v>342</v>
      </c>
      <c r="C15" s="17">
        <v>116</v>
      </c>
      <c r="D15" s="18">
        <v>226</v>
      </c>
      <c r="E15" s="32">
        <f t="shared" si="7"/>
        <v>334</v>
      </c>
      <c r="F15" s="17">
        <v>146</v>
      </c>
      <c r="G15" s="18">
        <v>188</v>
      </c>
      <c r="H15" s="32">
        <f t="shared" si="10"/>
        <v>289</v>
      </c>
      <c r="I15" s="17">
        <v>129</v>
      </c>
      <c r="J15" s="17">
        <v>160</v>
      </c>
      <c r="K15" s="32">
        <f t="shared" si="8"/>
        <v>320</v>
      </c>
      <c r="L15" s="17">
        <v>131</v>
      </c>
      <c r="M15" s="17">
        <v>189</v>
      </c>
      <c r="N15" s="32">
        <f t="shared" si="9"/>
        <v>271</v>
      </c>
      <c r="O15" s="17">
        <v>109</v>
      </c>
      <c r="P15" s="17">
        <v>162</v>
      </c>
      <c r="Q15" s="42">
        <f t="shared" si="3"/>
        <v>-15.312500000000002</v>
      </c>
      <c r="R15" s="43">
        <f t="shared" si="4"/>
        <v>-16.793893129770993</v>
      </c>
      <c r="S15" s="43">
        <f t="shared" si="5"/>
        <v>-14.285714285714285</v>
      </c>
      <c r="T15" s="6" t="s">
        <v>18</v>
      </c>
      <c r="U15" s="5"/>
      <c r="V15" s="15"/>
      <c r="W15" s="16"/>
      <c r="X15" s="16"/>
      <c r="Y15" s="15"/>
      <c r="Z15" s="16"/>
      <c r="AA15" s="16"/>
      <c r="AB15" s="4"/>
      <c r="AC15" s="4"/>
      <c r="AD15" s="4"/>
    </row>
    <row r="16" spans="1:30" ht="18.75">
      <c r="A16" s="5" t="s">
        <v>16</v>
      </c>
      <c r="B16" s="32">
        <f t="shared" si="6"/>
        <v>987</v>
      </c>
      <c r="C16" s="17">
        <v>703</v>
      </c>
      <c r="D16" s="18">
        <v>284</v>
      </c>
      <c r="E16" s="32">
        <f t="shared" si="7"/>
        <v>914</v>
      </c>
      <c r="F16" s="17">
        <v>627</v>
      </c>
      <c r="G16" s="18">
        <v>287</v>
      </c>
      <c r="H16" s="32">
        <f t="shared" si="10"/>
        <v>753</v>
      </c>
      <c r="I16" s="17">
        <v>537</v>
      </c>
      <c r="J16" s="17">
        <v>216</v>
      </c>
      <c r="K16" s="32">
        <f t="shared" si="8"/>
        <v>668</v>
      </c>
      <c r="L16" s="17">
        <v>528</v>
      </c>
      <c r="M16" s="17">
        <v>140</v>
      </c>
      <c r="N16" s="32">
        <f t="shared" si="9"/>
        <v>354</v>
      </c>
      <c r="O16" s="17">
        <v>269</v>
      </c>
      <c r="P16" s="17">
        <v>85</v>
      </c>
      <c r="Q16" s="42">
        <f t="shared" si="3"/>
        <v>-47.005988023952092</v>
      </c>
      <c r="R16" s="43">
        <f t="shared" si="4"/>
        <v>-49.053030303030305</v>
      </c>
      <c r="S16" s="43">
        <f t="shared" si="5"/>
        <v>-39.285714285714285</v>
      </c>
      <c r="T16" s="6" t="s">
        <v>20</v>
      </c>
      <c r="U16" s="5"/>
      <c r="V16" s="15"/>
      <c r="W16" s="16"/>
      <c r="X16" s="16"/>
      <c r="Y16" s="15"/>
      <c r="Z16" s="16"/>
      <c r="AA16" s="16"/>
      <c r="AB16" s="4"/>
      <c r="AC16" s="4"/>
      <c r="AD16" s="4"/>
    </row>
    <row r="17" spans="1:30" ht="18.75">
      <c r="A17" s="5" t="s">
        <v>19</v>
      </c>
      <c r="B17" s="32">
        <f t="shared" si="6"/>
        <v>267</v>
      </c>
      <c r="C17" s="17">
        <v>139</v>
      </c>
      <c r="D17" s="18">
        <v>128</v>
      </c>
      <c r="E17" s="32">
        <f t="shared" si="7"/>
        <v>228</v>
      </c>
      <c r="F17" s="17">
        <v>132</v>
      </c>
      <c r="G17" s="18">
        <v>96</v>
      </c>
      <c r="H17" s="32">
        <f t="shared" si="10"/>
        <v>247</v>
      </c>
      <c r="I17" s="17">
        <v>136</v>
      </c>
      <c r="J17" s="17">
        <v>111</v>
      </c>
      <c r="K17" s="32">
        <f t="shared" si="8"/>
        <v>284</v>
      </c>
      <c r="L17" s="17">
        <v>168</v>
      </c>
      <c r="M17" s="17">
        <v>116</v>
      </c>
      <c r="N17" s="32">
        <f t="shared" si="9"/>
        <v>314</v>
      </c>
      <c r="O17" s="17">
        <v>188</v>
      </c>
      <c r="P17" s="17">
        <v>126</v>
      </c>
      <c r="Q17" s="42">
        <f t="shared" si="3"/>
        <v>10.56338028169014</v>
      </c>
      <c r="R17" s="43">
        <f t="shared" si="4"/>
        <v>11.904761904761903</v>
      </c>
      <c r="S17" s="43">
        <f t="shared" si="5"/>
        <v>8.6206896551724146</v>
      </c>
      <c r="T17" s="6" t="s">
        <v>22</v>
      </c>
      <c r="U17" s="5"/>
      <c r="V17" s="15"/>
      <c r="W17" s="16"/>
      <c r="X17" s="16"/>
      <c r="Y17" s="15"/>
      <c r="Z17" s="16"/>
      <c r="AA17" s="16"/>
      <c r="AB17" s="4"/>
      <c r="AC17" s="4"/>
      <c r="AD17" s="4"/>
    </row>
    <row r="18" spans="1:30" ht="18.75">
      <c r="A18" s="5" t="s">
        <v>21</v>
      </c>
      <c r="B18" s="32">
        <f t="shared" si="6"/>
        <v>150</v>
      </c>
      <c r="C18" s="17">
        <v>132</v>
      </c>
      <c r="D18" s="18">
        <v>18</v>
      </c>
      <c r="E18" s="32">
        <f t="shared" si="7"/>
        <v>116</v>
      </c>
      <c r="F18" s="17">
        <v>101</v>
      </c>
      <c r="G18" s="18">
        <v>15</v>
      </c>
      <c r="H18" s="32">
        <f t="shared" si="10"/>
        <v>128</v>
      </c>
      <c r="I18" s="17">
        <v>119</v>
      </c>
      <c r="J18" s="17">
        <v>9</v>
      </c>
      <c r="K18" s="32">
        <f t="shared" si="8"/>
        <v>166</v>
      </c>
      <c r="L18" s="17">
        <v>147</v>
      </c>
      <c r="M18" s="17">
        <v>19</v>
      </c>
      <c r="N18" s="32">
        <f t="shared" si="9"/>
        <v>107</v>
      </c>
      <c r="O18" s="17">
        <v>101</v>
      </c>
      <c r="P18" s="17">
        <v>6</v>
      </c>
      <c r="Q18" s="42">
        <f t="shared" si="3"/>
        <v>-35.542168674698793</v>
      </c>
      <c r="R18" s="43">
        <f t="shared" si="4"/>
        <v>-31.292517006802722</v>
      </c>
      <c r="S18" s="43">
        <f t="shared" si="5"/>
        <v>-68.421052631578945</v>
      </c>
      <c r="T18" s="6" t="s">
        <v>23</v>
      </c>
      <c r="U18" s="5"/>
      <c r="V18" s="15"/>
      <c r="W18" s="16"/>
      <c r="X18" s="16"/>
      <c r="Y18" s="15"/>
      <c r="Z18" s="16"/>
      <c r="AA18" s="16"/>
      <c r="AB18" s="4"/>
      <c r="AC18" s="4"/>
      <c r="AD18" s="4"/>
    </row>
    <row r="19" spans="1:30" ht="18.75">
      <c r="A19" s="35" t="s">
        <v>7</v>
      </c>
      <c r="B19" s="34">
        <f>SUM(C19:D19)</f>
        <v>2278</v>
      </c>
      <c r="C19" s="23">
        <v>1261</v>
      </c>
      <c r="D19" s="24">
        <v>1017</v>
      </c>
      <c r="E19" s="34">
        <f>SUM(F19:G19)</f>
        <v>2135</v>
      </c>
      <c r="F19" s="23">
        <v>1271</v>
      </c>
      <c r="G19" s="24">
        <v>864</v>
      </c>
      <c r="H19" s="34">
        <f>SUM(I19:J19)</f>
        <v>2516</v>
      </c>
      <c r="I19" s="23">
        <v>1567</v>
      </c>
      <c r="J19" s="24">
        <v>949</v>
      </c>
      <c r="K19" s="34">
        <f>SUM(L19:M19)</f>
        <v>3629</v>
      </c>
      <c r="L19" s="23">
        <v>2366</v>
      </c>
      <c r="M19" s="24">
        <v>1263</v>
      </c>
      <c r="N19" s="34">
        <f>SUM(O19:P19)</f>
        <v>4793</v>
      </c>
      <c r="O19" s="23">
        <v>2976</v>
      </c>
      <c r="P19" s="24">
        <v>1817</v>
      </c>
      <c r="Q19" s="44">
        <f t="shared" si="3"/>
        <v>32.074951777349128</v>
      </c>
      <c r="R19" s="45">
        <f t="shared" si="4"/>
        <v>25.781910397295011</v>
      </c>
      <c r="S19" s="45">
        <f t="shared" si="5"/>
        <v>43.86381631037213</v>
      </c>
      <c r="T19" s="36" t="s">
        <v>24</v>
      </c>
      <c r="U19" s="5"/>
      <c r="V19" s="15"/>
      <c r="W19" s="16"/>
      <c r="X19" s="16"/>
      <c r="Y19" s="15"/>
      <c r="Z19" s="16"/>
      <c r="AA19" s="16"/>
      <c r="AB19" s="4"/>
      <c r="AC19" s="4"/>
      <c r="AD19" s="4"/>
    </row>
    <row r="20" spans="1:30" ht="18.75" hidden="1">
      <c r="A20" s="19" t="s">
        <v>40</v>
      </c>
      <c r="B20" s="32">
        <f t="shared" ref="B20:B30" si="11">C20+D20</f>
        <v>0</v>
      </c>
      <c r="C20" s="17"/>
      <c r="D20" s="18"/>
      <c r="E20" s="32">
        <f t="shared" ref="E20:E30" si="12">F20+G20</f>
        <v>0</v>
      </c>
      <c r="F20" s="17"/>
      <c r="G20" s="18"/>
      <c r="H20" s="32">
        <f t="shared" ref="H20:H30" si="13">I20+J20</f>
        <v>0</v>
      </c>
      <c r="I20" s="17"/>
      <c r="J20" s="18"/>
      <c r="K20" s="32">
        <f t="shared" ref="K20:K30" si="14">L20+M20</f>
        <v>0</v>
      </c>
      <c r="L20" s="17"/>
      <c r="M20" s="18"/>
      <c r="N20" s="32">
        <f t="shared" ref="N20:N30" si="15">O20+P20</f>
        <v>0</v>
      </c>
      <c r="O20" s="17"/>
      <c r="P20" s="18"/>
      <c r="Q20" s="42" t="e">
        <f t="shared" si="3"/>
        <v>#DIV/0!</v>
      </c>
      <c r="R20" s="43" t="e">
        <f t="shared" si="4"/>
        <v>#DIV/0!</v>
      </c>
      <c r="S20" s="43" t="e">
        <f t="shared" si="5"/>
        <v>#DIV/0!</v>
      </c>
      <c r="T20" s="6" t="s">
        <v>41</v>
      </c>
      <c r="W20" s="3"/>
      <c r="X20" s="3"/>
      <c r="Y20" s="3"/>
      <c r="Z20" s="3"/>
      <c r="AA20" s="3"/>
      <c r="AB20" s="3"/>
    </row>
    <row r="21" spans="1:30" ht="18.75" hidden="1">
      <c r="A21" s="19" t="s">
        <v>42</v>
      </c>
      <c r="B21" s="32">
        <f t="shared" si="11"/>
        <v>0</v>
      </c>
      <c r="C21" s="17"/>
      <c r="D21" s="18"/>
      <c r="E21" s="32">
        <f t="shared" si="12"/>
        <v>0</v>
      </c>
      <c r="F21" s="17"/>
      <c r="G21" s="18"/>
      <c r="H21" s="32">
        <f t="shared" si="13"/>
        <v>0</v>
      </c>
      <c r="I21" s="17"/>
      <c r="J21" s="18"/>
      <c r="K21" s="32">
        <f t="shared" si="14"/>
        <v>0</v>
      </c>
      <c r="L21" s="17"/>
      <c r="M21" s="18"/>
      <c r="N21" s="32">
        <f t="shared" si="15"/>
        <v>0</v>
      </c>
      <c r="O21" s="17"/>
      <c r="P21" s="18"/>
      <c r="Q21" s="42" t="e">
        <f t="shared" si="3"/>
        <v>#DIV/0!</v>
      </c>
      <c r="R21" s="43" t="e">
        <f t="shared" si="4"/>
        <v>#DIV/0!</v>
      </c>
      <c r="S21" s="43" t="e">
        <f t="shared" si="5"/>
        <v>#DIV/0!</v>
      </c>
      <c r="T21" s="6" t="s">
        <v>43</v>
      </c>
      <c r="W21" s="3"/>
      <c r="X21" s="3"/>
      <c r="Y21" s="3"/>
      <c r="Z21" s="3"/>
      <c r="AA21" s="3"/>
      <c r="AB21" s="3"/>
    </row>
    <row r="22" spans="1:30" ht="18.75" hidden="1">
      <c r="A22" s="19" t="s">
        <v>44</v>
      </c>
      <c r="B22" s="32">
        <f t="shared" si="11"/>
        <v>0</v>
      </c>
      <c r="C22" s="33"/>
      <c r="D22" s="18"/>
      <c r="E22" s="32">
        <f t="shared" si="12"/>
        <v>0</v>
      </c>
      <c r="F22" s="33"/>
      <c r="G22" s="18"/>
      <c r="H22" s="32">
        <f t="shared" si="13"/>
        <v>0</v>
      </c>
      <c r="I22" s="33"/>
      <c r="J22" s="18"/>
      <c r="K22" s="32">
        <f t="shared" si="14"/>
        <v>0</v>
      </c>
      <c r="L22" s="33"/>
      <c r="M22" s="18"/>
      <c r="N22" s="32">
        <f t="shared" si="15"/>
        <v>0</v>
      </c>
      <c r="O22" s="33"/>
      <c r="P22" s="18"/>
      <c r="Q22" s="42" t="e">
        <f t="shared" si="3"/>
        <v>#DIV/0!</v>
      </c>
      <c r="R22" s="43" t="e">
        <f t="shared" si="4"/>
        <v>#DIV/0!</v>
      </c>
      <c r="S22" s="43" t="e">
        <f t="shared" si="5"/>
        <v>#DIV/0!</v>
      </c>
      <c r="T22" s="20" t="s">
        <v>45</v>
      </c>
      <c r="W22" s="3"/>
      <c r="X22" s="3"/>
      <c r="Y22" s="3"/>
      <c r="Z22" s="3"/>
      <c r="AA22" s="3"/>
      <c r="AB22" s="3"/>
    </row>
    <row r="23" spans="1:30" ht="37.5" hidden="1">
      <c r="A23" s="19" t="s">
        <v>46</v>
      </c>
      <c r="B23" s="32">
        <f t="shared" si="11"/>
        <v>0</v>
      </c>
      <c r="C23" s="17"/>
      <c r="D23" s="18"/>
      <c r="E23" s="32">
        <f t="shared" si="12"/>
        <v>0</v>
      </c>
      <c r="F23" s="17"/>
      <c r="G23" s="18"/>
      <c r="H23" s="32">
        <f t="shared" si="13"/>
        <v>0</v>
      </c>
      <c r="I23" s="17"/>
      <c r="J23" s="18"/>
      <c r="K23" s="32">
        <f t="shared" si="14"/>
        <v>0</v>
      </c>
      <c r="L23" s="17"/>
      <c r="M23" s="18"/>
      <c r="N23" s="32">
        <f t="shared" si="15"/>
        <v>0</v>
      </c>
      <c r="O23" s="17"/>
      <c r="P23" s="18"/>
      <c r="Q23" s="42" t="e">
        <f t="shared" si="3"/>
        <v>#DIV/0!</v>
      </c>
      <c r="R23" s="43" t="e">
        <f t="shared" si="4"/>
        <v>#DIV/0!</v>
      </c>
      <c r="S23" s="43" t="e">
        <f t="shared" si="5"/>
        <v>#DIV/0!</v>
      </c>
      <c r="T23" s="21" t="s">
        <v>47</v>
      </c>
      <c r="W23" s="3"/>
      <c r="X23" s="3"/>
      <c r="Y23" s="3"/>
      <c r="Z23" s="3"/>
      <c r="AA23" s="3"/>
      <c r="AB23" s="3"/>
    </row>
    <row r="24" spans="1:30" ht="18.75" hidden="1">
      <c r="A24" s="19" t="s">
        <v>25</v>
      </c>
      <c r="B24" s="32">
        <f t="shared" si="11"/>
        <v>0</v>
      </c>
      <c r="C24" s="17"/>
      <c r="D24" s="18"/>
      <c r="E24" s="32">
        <f t="shared" si="12"/>
        <v>0</v>
      </c>
      <c r="F24" s="17"/>
      <c r="G24" s="18"/>
      <c r="H24" s="32">
        <f t="shared" si="13"/>
        <v>0</v>
      </c>
      <c r="I24" s="17"/>
      <c r="J24" s="18"/>
      <c r="K24" s="32">
        <f t="shared" si="14"/>
        <v>0</v>
      </c>
      <c r="L24" s="17"/>
      <c r="M24" s="18"/>
      <c r="N24" s="32">
        <f t="shared" si="15"/>
        <v>0</v>
      </c>
      <c r="O24" s="17"/>
      <c r="P24" s="18"/>
      <c r="Q24" s="42" t="e">
        <f t="shared" si="3"/>
        <v>#DIV/0!</v>
      </c>
      <c r="R24" s="43" t="e">
        <f t="shared" si="4"/>
        <v>#DIV/0!</v>
      </c>
      <c r="S24" s="43" t="e">
        <f t="shared" si="5"/>
        <v>#DIV/0!</v>
      </c>
      <c r="T24" s="20" t="s">
        <v>26</v>
      </c>
      <c r="W24" s="3"/>
      <c r="X24" s="3"/>
      <c r="Y24" s="3"/>
      <c r="Z24" s="3"/>
      <c r="AA24" s="3"/>
      <c r="AB24" s="3"/>
    </row>
    <row r="25" spans="1:30" ht="18.75" hidden="1">
      <c r="A25" s="19" t="s">
        <v>48</v>
      </c>
      <c r="B25" s="32">
        <f t="shared" si="11"/>
        <v>0</v>
      </c>
      <c r="C25" s="17"/>
      <c r="D25" s="18"/>
      <c r="E25" s="32">
        <f t="shared" si="12"/>
        <v>0</v>
      </c>
      <c r="F25" s="17"/>
      <c r="G25" s="18"/>
      <c r="H25" s="32">
        <f t="shared" si="13"/>
        <v>0</v>
      </c>
      <c r="I25" s="17"/>
      <c r="J25" s="18"/>
      <c r="K25" s="32">
        <f t="shared" si="14"/>
        <v>0</v>
      </c>
      <c r="L25" s="17"/>
      <c r="M25" s="18"/>
      <c r="N25" s="32">
        <f t="shared" si="15"/>
        <v>0</v>
      </c>
      <c r="O25" s="17"/>
      <c r="P25" s="18"/>
      <c r="Q25" s="42" t="e">
        <f t="shared" si="3"/>
        <v>#DIV/0!</v>
      </c>
      <c r="R25" s="43" t="e">
        <f t="shared" si="4"/>
        <v>#DIV/0!</v>
      </c>
      <c r="S25" s="43" t="e">
        <f t="shared" si="5"/>
        <v>#DIV/0!</v>
      </c>
      <c r="T25" s="20" t="s">
        <v>49</v>
      </c>
      <c r="W25" s="3"/>
      <c r="X25" s="3"/>
      <c r="Y25" s="3"/>
      <c r="Z25" s="3"/>
      <c r="AA25" s="3"/>
      <c r="AB25" s="3"/>
    </row>
    <row r="26" spans="1:30" ht="18.75" hidden="1">
      <c r="A26" s="19" t="s">
        <v>50</v>
      </c>
      <c r="B26" s="32">
        <f t="shared" si="11"/>
        <v>0</v>
      </c>
      <c r="C26" s="17"/>
      <c r="D26" s="18"/>
      <c r="E26" s="32">
        <f t="shared" si="12"/>
        <v>0</v>
      </c>
      <c r="F26" s="17"/>
      <c r="G26" s="18"/>
      <c r="H26" s="32">
        <f t="shared" si="13"/>
        <v>0</v>
      </c>
      <c r="I26" s="17"/>
      <c r="J26" s="18"/>
      <c r="K26" s="32">
        <f t="shared" si="14"/>
        <v>0</v>
      </c>
      <c r="L26" s="17"/>
      <c r="M26" s="18"/>
      <c r="N26" s="32">
        <f t="shared" si="15"/>
        <v>0</v>
      </c>
      <c r="O26" s="17"/>
      <c r="P26" s="18"/>
      <c r="Q26" s="42" t="e">
        <f t="shared" si="3"/>
        <v>#DIV/0!</v>
      </c>
      <c r="R26" s="43" t="e">
        <f t="shared" si="4"/>
        <v>#DIV/0!</v>
      </c>
      <c r="S26" s="43" t="e">
        <f t="shared" si="5"/>
        <v>#DIV/0!</v>
      </c>
      <c r="T26" s="20" t="s">
        <v>51</v>
      </c>
      <c r="W26" s="3"/>
      <c r="X26" s="3"/>
      <c r="Y26" s="3"/>
      <c r="Z26" s="3"/>
      <c r="AA26" s="3"/>
      <c r="AB26" s="3"/>
    </row>
    <row r="27" spans="1:30" ht="18.75" hidden="1">
      <c r="A27" s="19" t="s">
        <v>52</v>
      </c>
      <c r="B27" s="32">
        <f t="shared" si="11"/>
        <v>0</v>
      </c>
      <c r="C27" s="17"/>
      <c r="D27" s="18"/>
      <c r="E27" s="32">
        <f t="shared" si="12"/>
        <v>0</v>
      </c>
      <c r="F27" s="17"/>
      <c r="G27" s="18"/>
      <c r="H27" s="32">
        <f t="shared" si="13"/>
        <v>0</v>
      </c>
      <c r="I27" s="17"/>
      <c r="J27" s="18"/>
      <c r="K27" s="32">
        <f t="shared" si="14"/>
        <v>0</v>
      </c>
      <c r="L27" s="17"/>
      <c r="M27" s="18"/>
      <c r="N27" s="32">
        <f t="shared" si="15"/>
        <v>0</v>
      </c>
      <c r="O27" s="17"/>
      <c r="P27" s="18"/>
      <c r="Q27" s="42" t="e">
        <f t="shared" si="3"/>
        <v>#DIV/0!</v>
      </c>
      <c r="R27" s="43" t="e">
        <f t="shared" si="4"/>
        <v>#DIV/0!</v>
      </c>
      <c r="S27" s="43" t="e">
        <f t="shared" si="5"/>
        <v>#DIV/0!</v>
      </c>
      <c r="T27" s="20" t="s">
        <v>53</v>
      </c>
      <c r="W27" s="3"/>
      <c r="X27" s="3"/>
      <c r="Y27" s="3"/>
      <c r="Z27" s="3"/>
      <c r="AA27" s="3"/>
      <c r="AB27" s="3"/>
    </row>
    <row r="28" spans="1:30" ht="18.75" hidden="1">
      <c r="A28" s="19" t="s">
        <v>54</v>
      </c>
      <c r="B28" s="32">
        <f t="shared" si="11"/>
        <v>0</v>
      </c>
      <c r="C28" s="17"/>
      <c r="D28" s="18"/>
      <c r="E28" s="32">
        <f t="shared" si="12"/>
        <v>0</v>
      </c>
      <c r="F28" s="17"/>
      <c r="G28" s="18"/>
      <c r="H28" s="32">
        <f t="shared" si="13"/>
        <v>0</v>
      </c>
      <c r="I28" s="17"/>
      <c r="J28" s="18"/>
      <c r="K28" s="32">
        <f t="shared" si="14"/>
        <v>0</v>
      </c>
      <c r="L28" s="17"/>
      <c r="M28" s="18"/>
      <c r="N28" s="32">
        <f t="shared" si="15"/>
        <v>0</v>
      </c>
      <c r="O28" s="17"/>
      <c r="P28" s="18"/>
      <c r="Q28" s="42" t="e">
        <f t="shared" si="3"/>
        <v>#DIV/0!</v>
      </c>
      <c r="R28" s="43" t="e">
        <f t="shared" si="4"/>
        <v>#DIV/0!</v>
      </c>
      <c r="S28" s="43" t="e">
        <f t="shared" si="5"/>
        <v>#DIV/0!</v>
      </c>
      <c r="T28" s="20" t="s">
        <v>28</v>
      </c>
      <c r="W28" s="3"/>
      <c r="X28" s="3"/>
      <c r="Y28" s="3"/>
      <c r="Z28" s="3"/>
      <c r="AA28" s="3"/>
      <c r="AB28" s="3"/>
    </row>
    <row r="29" spans="1:30" ht="18.75" hidden="1">
      <c r="A29" s="19" t="s">
        <v>55</v>
      </c>
      <c r="B29" s="32">
        <f t="shared" si="11"/>
        <v>0</v>
      </c>
      <c r="C29" s="17"/>
      <c r="D29" s="18"/>
      <c r="E29" s="32">
        <f t="shared" si="12"/>
        <v>0</v>
      </c>
      <c r="F29" s="17"/>
      <c r="G29" s="18"/>
      <c r="H29" s="32">
        <f t="shared" si="13"/>
        <v>0</v>
      </c>
      <c r="I29" s="17"/>
      <c r="J29" s="18"/>
      <c r="K29" s="32">
        <f t="shared" si="14"/>
        <v>0</v>
      </c>
      <c r="L29" s="17"/>
      <c r="M29" s="18"/>
      <c r="N29" s="32">
        <f t="shared" si="15"/>
        <v>0</v>
      </c>
      <c r="O29" s="17"/>
      <c r="P29" s="18"/>
      <c r="Q29" s="42" t="e">
        <f t="shared" si="3"/>
        <v>#DIV/0!</v>
      </c>
      <c r="R29" s="43" t="e">
        <f t="shared" si="4"/>
        <v>#DIV/0!</v>
      </c>
      <c r="S29" s="43" t="e">
        <f t="shared" si="5"/>
        <v>#DIV/0!</v>
      </c>
      <c r="T29" s="20" t="s">
        <v>56</v>
      </c>
      <c r="V29" s="6"/>
      <c r="W29" s="3"/>
      <c r="X29" s="3"/>
      <c r="Y29" s="3"/>
      <c r="Z29" s="3"/>
      <c r="AA29" s="3"/>
      <c r="AB29" s="3"/>
    </row>
    <row r="30" spans="1:30" ht="18.75" hidden="1">
      <c r="A30" s="22" t="s">
        <v>7</v>
      </c>
      <c r="B30" s="34">
        <f t="shared" si="11"/>
        <v>0</v>
      </c>
      <c r="C30" s="23"/>
      <c r="D30" s="24"/>
      <c r="E30" s="34">
        <f t="shared" si="12"/>
        <v>0</v>
      </c>
      <c r="F30" s="23"/>
      <c r="G30" s="24"/>
      <c r="H30" s="34">
        <f t="shared" si="13"/>
        <v>0</v>
      </c>
      <c r="I30" s="23"/>
      <c r="J30" s="24"/>
      <c r="K30" s="34">
        <f t="shared" si="14"/>
        <v>0</v>
      </c>
      <c r="L30" s="23"/>
      <c r="M30" s="24"/>
      <c r="N30" s="34">
        <f t="shared" si="15"/>
        <v>0</v>
      </c>
      <c r="O30" s="23"/>
      <c r="P30" s="24"/>
      <c r="Q30" s="44" t="e">
        <f t="shared" si="3"/>
        <v>#DIV/0!</v>
      </c>
      <c r="R30" s="46" t="e">
        <f t="shared" si="4"/>
        <v>#DIV/0!</v>
      </c>
      <c r="S30" s="46" t="e">
        <f t="shared" si="5"/>
        <v>#DIV/0!</v>
      </c>
      <c r="T30" s="25" t="s">
        <v>24</v>
      </c>
      <c r="W30" s="3"/>
      <c r="X30" s="3"/>
      <c r="Y30" s="3"/>
      <c r="Z30" s="3"/>
      <c r="AA30" s="3"/>
      <c r="AB30" s="3"/>
    </row>
    <row r="31" spans="1:30" ht="16.5">
      <c r="A31" s="27" t="s">
        <v>29</v>
      </c>
      <c r="B31" s="26"/>
      <c r="E31" s="26"/>
      <c r="H31" s="26"/>
      <c r="K31" s="26"/>
      <c r="N31" s="26"/>
      <c r="Q31" s="26"/>
      <c r="R31" s="26"/>
      <c r="S31" s="26"/>
      <c r="T31" s="37" t="s">
        <v>30</v>
      </c>
      <c r="W31" s="3"/>
      <c r="X31" s="3"/>
      <c r="Y31" s="3"/>
      <c r="Z31" s="3"/>
      <c r="AA31" s="3"/>
      <c r="AB31" s="3"/>
    </row>
    <row r="32" spans="1:30">
      <c r="C32" s="28"/>
      <c r="D32" s="28"/>
      <c r="F32" s="28"/>
      <c r="G32" s="28"/>
      <c r="I32" s="28"/>
      <c r="J32" s="28"/>
      <c r="L32" s="28"/>
      <c r="M32" s="28"/>
      <c r="O32" s="28"/>
      <c r="P32" s="28"/>
    </row>
    <row r="33" spans="1:28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W33" s="3"/>
      <c r="X33" s="3"/>
      <c r="Y33" s="3"/>
      <c r="Z33" s="3"/>
      <c r="AA33" s="3"/>
      <c r="AB33" s="3"/>
    </row>
    <row r="34" spans="1:28">
      <c r="A34" s="28"/>
      <c r="B34" s="28"/>
      <c r="E34" s="28"/>
      <c r="H34" s="28"/>
      <c r="K34" s="28"/>
      <c r="N34" s="28"/>
      <c r="Q34" s="28"/>
      <c r="R34" s="28"/>
      <c r="S34" s="28"/>
      <c r="T34" s="28"/>
      <c r="W34" s="3"/>
      <c r="X34" s="3"/>
      <c r="Y34" s="3"/>
      <c r="Z34" s="3"/>
      <c r="AA34" s="3"/>
      <c r="AB34" s="3"/>
    </row>
    <row r="35" spans="1:28">
      <c r="W35" s="3"/>
      <c r="X35" s="3"/>
      <c r="Y35" s="3"/>
      <c r="Z35" s="3"/>
      <c r="AA35" s="3"/>
      <c r="AB35" s="3"/>
    </row>
    <row r="36" spans="1:28">
      <c r="W36" s="3"/>
      <c r="X36" s="3"/>
      <c r="Y36" s="3"/>
      <c r="Z36" s="3"/>
      <c r="AA36" s="3"/>
      <c r="AB36" s="3"/>
    </row>
    <row r="37" spans="1:28">
      <c r="W37" s="3"/>
      <c r="X37" s="3"/>
      <c r="Y37" s="3"/>
      <c r="Z37" s="3"/>
      <c r="AA37" s="3"/>
      <c r="AB37" s="3"/>
    </row>
    <row r="38" spans="1:28">
      <c r="C38" s="7"/>
      <c r="D38" s="7"/>
      <c r="F38" s="7"/>
      <c r="G38" s="7"/>
      <c r="I38" s="7"/>
      <c r="J38" s="7"/>
      <c r="L38" s="7"/>
      <c r="M38" s="7"/>
      <c r="O38" s="7"/>
      <c r="P38" s="7"/>
      <c r="W38" s="3"/>
      <c r="X38" s="3"/>
      <c r="Y38" s="3"/>
      <c r="Z38" s="3"/>
      <c r="AA38" s="3"/>
      <c r="AB38" s="3"/>
    </row>
    <row r="39" spans="1:28" ht="17.25">
      <c r="A39" s="29"/>
      <c r="B39" s="7"/>
      <c r="E39" s="7"/>
      <c r="H39" s="7"/>
      <c r="K39" s="7"/>
      <c r="N39" s="7"/>
      <c r="Q39" s="7"/>
      <c r="R39" s="7"/>
      <c r="S39" s="7"/>
      <c r="T39" s="30"/>
      <c r="W39" s="3"/>
      <c r="X39" s="3"/>
      <c r="Y39" s="3"/>
      <c r="Z39" s="3"/>
      <c r="AA39" s="3"/>
      <c r="AB39" s="3"/>
    </row>
    <row r="40" spans="1:28">
      <c r="W40" s="3"/>
      <c r="X40" s="3"/>
      <c r="Y40" s="3"/>
      <c r="Z40" s="3"/>
      <c r="AA40" s="3"/>
      <c r="AB40" s="3"/>
    </row>
    <row r="41" spans="1:28">
      <c r="W41" s="3"/>
      <c r="X41" s="3"/>
      <c r="Y41" s="3"/>
      <c r="Z41" s="3"/>
      <c r="AA41" s="3"/>
      <c r="AB41" s="3"/>
    </row>
  </sheetData>
  <mergeCells count="11">
    <mergeCell ref="A1:T1"/>
    <mergeCell ref="A2:T2"/>
    <mergeCell ref="A3:A6"/>
    <mergeCell ref="Q3:S3"/>
    <mergeCell ref="B3:D4"/>
    <mergeCell ref="E3:G4"/>
    <mergeCell ref="H3:J4"/>
    <mergeCell ref="K3:M4"/>
    <mergeCell ref="N3:P4"/>
    <mergeCell ref="T3:T6"/>
    <mergeCell ref="Q4:S4"/>
  </mergeCells>
  <pageMargins left="0.7" right="0.7" top="0.75" bottom="0.75" header="0.3" footer="0.3"/>
  <pageSetup paperSize="9" scale="36" orientation="portrait" horizontalDpi="4294967295" verticalDpi="4294967295" r:id="rId1"/>
  <colBreaks count="1" manualBreakCount="1">
    <brk id="21" max="1048575" man="1"/>
  </colBreaks>
  <ignoredErrors>
    <ignoredError sqref="Q8:S19" unlockedFormula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2026-06-25T02:45:00Z</cp:lastPrinted>
  <dcterms:created xsi:type="dcterms:W3CDTF">2019-06-30T04:22:49Z</dcterms:created>
  <dcterms:modified xsi:type="dcterms:W3CDTF">2026-06-25T02:45:21Z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