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LAw &amp; order\"/>
    </mc:Choice>
  </mc:AlternateContent>
  <xr:revisionPtr revIDLastSave="0" documentId="13_ncr:1_{09911459-3764-4BD8-8CC1-A0DE6C01867C}" xr6:coauthVersionLast="47" xr6:coauthVersionMax="47" xr10:uidLastSave="{00000000-0000-0000-0000-000000000000}"/>
  <bookViews>
    <workbookView xWindow="-120" yWindow="-120" windowWidth="29040" windowHeight="15720" tabRatio="833" xr2:uid="{00000000-000D-0000-FFFF-FFFF00000000}"/>
  </bookViews>
  <sheets>
    <sheet name="8.7" sheetId="7" r:id="rId1"/>
  </sheets>
  <definedNames>
    <definedName name="_xlnm.Print_Area" localSheetId="0">'8.7'!$A$1:$P$31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7" l="1"/>
  <c r="M7" i="7"/>
  <c r="M8" i="7"/>
  <c r="M9" i="7"/>
  <c r="M10" i="7"/>
  <c r="M11" i="7"/>
  <c r="M12" i="7"/>
  <c r="M13" i="7"/>
  <c r="N9" i="7" l="1"/>
  <c r="N11" i="7"/>
  <c r="N12" i="7"/>
  <c r="N7" i="7"/>
  <c r="N10" i="7"/>
  <c r="N8" i="7"/>
  <c r="N13" i="7"/>
  <c r="N6" i="7"/>
  <c r="J6" i="7" l="1"/>
  <c r="M6" i="7" s="1"/>
  <c r="I6" i="7" l="1"/>
  <c r="H6" i="7" l="1"/>
  <c r="G6" i="7" l="1"/>
  <c r="F6" i="7" l="1"/>
  <c r="E6" i="7" l="1"/>
  <c r="D6" i="7" l="1"/>
  <c r="C6" i="7" l="1"/>
  <c r="B6" i="7"/>
</calcChain>
</file>

<file path=xl/sharedStrings.xml><?xml version="1.0" encoding="utf-8"?>
<sst xmlns="http://schemas.openxmlformats.org/spreadsheetml/2006/main" count="27" uniqueCount="27">
  <si>
    <t>Total</t>
  </si>
  <si>
    <t>Source: Maldives Police Service</t>
  </si>
  <si>
    <t>csivrws csilop cscviDclOm :Ivcaed utWmUluAwm</t>
  </si>
  <si>
    <t>ކުރީ އަހަރާއި  އަޅާ</t>
  </si>
  <si>
    <t>ބަލާއިރު އިތުރުވި މިންވަރު</t>
  </si>
  <si>
    <t>ޖުމްލަ</t>
  </si>
  <si>
    <t xml:space="preserve">Type </t>
  </si>
  <si>
    <t>އިންސައްތަ</t>
  </si>
  <si>
    <t xml:space="preserve"> މައްސަލައިގެ ބާވަތް</t>
  </si>
  <si>
    <t>Percentage share</t>
  </si>
  <si>
    <t>Theft from  places (not by forced entry)</t>
  </si>
  <si>
    <t>ތަންތަނުން ކޮށްފައިވާ ވައްކަން (ފަޅާލައިގެންނޫން ގޮތްގޮތަށް)</t>
  </si>
  <si>
    <t>Vehicles</t>
  </si>
  <si>
    <t>ދުއްވާތަކެތީގެ ވައްކަން</t>
  </si>
  <si>
    <t>Mobile phones</t>
  </si>
  <si>
    <t>މޯބަލް ފޯން</t>
  </si>
  <si>
    <t>Money</t>
  </si>
  <si>
    <t>ފައިސާ</t>
  </si>
  <si>
    <t>Electronic items (except mobile phones)</t>
  </si>
  <si>
    <t>އިލެކްޓްރޯނިކް ސާމާނު</t>
  </si>
  <si>
    <t>Theft from  places (by forced  entry)</t>
  </si>
  <si>
    <t>ފަޅާލައިގެންވަދެ ތަންތަނުން ކޮށްފައިވާ ވައްކަން</t>
  </si>
  <si>
    <t>Other theft</t>
  </si>
  <si>
    <t>އެހެނިހެން ވައްކަން</t>
  </si>
  <si>
    <t>Table 8.7:  THEFT CASES LOGGED BY TYPE, 2016 - 2025</t>
  </si>
  <si>
    <t>ތާވަލު 8.7: ހުށަހެޅިފައިވާ ވައްކަމުގެ މައްސަލަތަކުގެ ބާވަތް، 2016- 2025</t>
  </si>
  <si>
    <t>%change over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</si>
</sst>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b/>
      <sz val="9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/>
      <top/>
      <bottom style="thin">
        <color indexed="64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167" fontId="19" fillId="0" borderId="0"/>
    <xf numFmtId="0" fontId="27" fillId="0" borderId="7" applyNumberFormat="0" applyFill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172" fontId="30" fillId="0" borderId="0"/>
    <xf numFmtId="1" fontId="31" fillId="0" borderId="11" applyNumberFormat="0"/>
    <xf numFmtId="0" fontId="26" fillId="0" borderId="0"/>
    <xf numFmtId="0" fontId="1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9" fillId="0" borderId="0"/>
    <xf numFmtId="40" fontId="29" fillId="0" borderId="0" applyFont="0" applyFill="0" applyBorder="0" applyAlignment="0" applyProtection="0"/>
    <xf numFmtId="0" fontId="29" fillId="0" borderId="0"/>
    <xf numFmtId="0" fontId="26" fillId="0" borderId="0"/>
    <xf numFmtId="1" fontId="31" fillId="0" borderId="11" applyNumberFormat="0"/>
    <xf numFmtId="0" fontId="1" fillId="0" borderId="0"/>
    <xf numFmtId="0" fontId="29" fillId="0" borderId="0"/>
    <xf numFmtId="0" fontId="18" fillId="0" borderId="0" applyFill="0" applyProtection="0"/>
    <xf numFmtId="1" fontId="31" fillId="0" borderId="11" applyNumberFormat="0"/>
    <xf numFmtId="43" fontId="1" fillId="0" borderId="0" applyFont="0" applyFill="0" applyBorder="0" applyAlignment="0" applyProtection="0"/>
    <xf numFmtId="0" fontId="1" fillId="0" borderId="0"/>
    <xf numFmtId="0" fontId="32" fillId="0" borderId="0"/>
    <xf numFmtId="0" fontId="33" fillId="0" borderId="0"/>
    <xf numFmtId="0" fontId="32" fillId="0" borderId="0"/>
    <xf numFmtId="0" fontId="1" fillId="0" borderId="0"/>
    <xf numFmtId="0" fontId="29" fillId="0" borderId="0"/>
    <xf numFmtId="0" fontId="18" fillId="0" borderId="0" applyFill="0" applyProtection="0"/>
    <xf numFmtId="1" fontId="31" fillId="0" borderId="11" applyNumberFormat="0"/>
    <xf numFmtId="0" fontId="1" fillId="0" borderId="0"/>
    <xf numFmtId="0" fontId="26" fillId="0" borderId="0"/>
    <xf numFmtId="0" fontId="32" fillId="0" borderId="0"/>
    <xf numFmtId="0" fontId="33" fillId="0" borderId="0"/>
    <xf numFmtId="0" fontId="26" fillId="0" borderId="0"/>
    <xf numFmtId="0" fontId="32" fillId="0" borderId="0"/>
    <xf numFmtId="0" fontId="34" fillId="0" borderId="0"/>
    <xf numFmtId="0" fontId="32" fillId="0" borderId="0"/>
    <xf numFmtId="0" fontId="3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9" fillId="0" borderId="0" applyFont="0" applyFill="0" applyBorder="0" applyAlignment="0" applyProtection="0"/>
    <xf numFmtId="0" fontId="1" fillId="0" borderId="0"/>
    <xf numFmtId="0" fontId="34" fillId="0" borderId="0" applyBorder="0"/>
    <xf numFmtId="0" fontId="1" fillId="0" borderId="0"/>
    <xf numFmtId="40" fontId="2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4" fillId="0" borderId="0" applyBorder="0"/>
    <xf numFmtId="0" fontId="1" fillId="0" borderId="0"/>
    <xf numFmtId="0" fontId="1" fillId="0" borderId="0"/>
    <xf numFmtId="1" fontId="31" fillId="0" borderId="11" applyNumberFormat="0"/>
    <xf numFmtId="1" fontId="31" fillId="0" borderId="11" applyNumberFormat="0"/>
    <xf numFmtId="1" fontId="31" fillId="0" borderId="11" applyNumberFormat="0"/>
    <xf numFmtId="1" fontId="31" fillId="0" borderId="11" applyNumberFormat="0"/>
    <xf numFmtId="0" fontId="35" fillId="0" borderId="0"/>
    <xf numFmtId="0" fontId="35" fillId="0" borderId="0"/>
  </cellStyleXfs>
  <cellXfs count="50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8" fillId="2" borderId="0" xfId="0" applyNumberFormat="1" applyFont="1" applyFill="1"/>
    <xf numFmtId="164" fontId="5" fillId="2" borderId="0" xfId="0" applyNumberFormat="1" applyFont="1" applyFill="1" applyAlignment="1">
      <alignment vertical="center"/>
    </xf>
    <xf numFmtId="167" fontId="15" fillId="2" borderId="0" xfId="1" applyNumberFormat="1" applyFont="1" applyFill="1" applyBorder="1" applyAlignment="1">
      <alignment horizontal="right"/>
    </xf>
    <xf numFmtId="164" fontId="9" fillId="2" borderId="0" xfId="0" applyNumberFormat="1" applyFont="1" applyFill="1" applyAlignment="1">
      <alignment horizontal="right" vertical="center" indent="1"/>
    </xf>
    <xf numFmtId="164" fontId="9" fillId="2" borderId="4" xfId="0" applyNumberFormat="1" applyFont="1" applyFill="1" applyBorder="1" applyAlignment="1">
      <alignment horizontal="right" vertical="center" indent="1"/>
    </xf>
    <xf numFmtId="164" fontId="14" fillId="2" borderId="0" xfId="0" applyNumberFormat="1" applyFont="1" applyFill="1"/>
    <xf numFmtId="164" fontId="16" fillId="2" borderId="5" xfId="0" applyNumberFormat="1" applyFont="1" applyFill="1" applyBorder="1" applyAlignment="1">
      <alignment vertical="center"/>
    </xf>
    <xf numFmtId="164" fontId="12" fillId="2" borderId="0" xfId="0" applyNumberFormat="1" applyFont="1" applyFill="1"/>
    <xf numFmtId="164" fontId="21" fillId="2" borderId="0" xfId="0" applyNumberFormat="1" applyFont="1" applyFill="1" applyAlignment="1">
      <alignment horizontal="right" vertical="center"/>
    </xf>
    <xf numFmtId="164" fontId="20" fillId="2" borderId="0" xfId="0" applyNumberFormat="1" applyFont="1" applyFill="1" applyAlignment="1">
      <alignment vertical="center"/>
    </xf>
    <xf numFmtId="164" fontId="23" fillId="2" borderId="0" xfId="0" applyNumberFormat="1" applyFont="1" applyFill="1" applyAlignment="1">
      <alignment vertical="center"/>
    </xf>
    <xf numFmtId="164" fontId="11" fillId="2" borderId="0" xfId="0" applyNumberFormat="1" applyFont="1" applyFill="1" applyAlignment="1">
      <alignment horizontal="left" vertical="center" indent="1"/>
    </xf>
    <xf numFmtId="164" fontId="8" fillId="2" borderId="0" xfId="0" applyNumberFormat="1" applyFont="1" applyFill="1" applyAlignment="1">
      <alignment vertical="center"/>
    </xf>
    <xf numFmtId="164" fontId="11" fillId="2" borderId="4" xfId="0" applyNumberFormat="1" applyFont="1" applyFill="1" applyBorder="1" applyAlignment="1">
      <alignment horizontal="left" vertical="center" indent="1"/>
    </xf>
    <xf numFmtId="164" fontId="24" fillId="2" borderId="0" xfId="0" applyNumberFormat="1" applyFont="1" applyFill="1"/>
    <xf numFmtId="164" fontId="0" fillId="2" borderId="0" xfId="0" applyNumberFormat="1" applyFill="1" applyAlignment="1">
      <alignment vertical="center"/>
    </xf>
    <xf numFmtId="164" fontId="7" fillId="2" borderId="0" xfId="0" applyNumberFormat="1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top" wrapText="1"/>
    </xf>
    <xf numFmtId="164" fontId="6" fillId="2" borderId="0" xfId="0" applyNumberFormat="1" applyFont="1" applyFill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right" vertical="center"/>
    </xf>
    <xf numFmtId="3" fontId="13" fillId="2" borderId="0" xfId="0" applyNumberFormat="1" applyFont="1" applyFill="1" applyAlignment="1">
      <alignment horizontal="right" vertical="center"/>
    </xf>
    <xf numFmtId="3" fontId="13" fillId="2" borderId="4" xfId="0" applyNumberFormat="1" applyFont="1" applyFill="1" applyBorder="1" applyAlignment="1">
      <alignment horizontal="right" vertical="center"/>
    </xf>
    <xf numFmtId="164" fontId="28" fillId="2" borderId="5" xfId="0" applyNumberFormat="1" applyFont="1" applyFill="1" applyBorder="1" applyAlignment="1">
      <alignment horizontal="right" vertical="center"/>
    </xf>
    <xf numFmtId="164" fontId="7" fillId="2" borderId="3" xfId="0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right" vertical="center" wrapText="1"/>
    </xf>
    <xf numFmtId="164" fontId="7" fillId="2" borderId="0" xfId="0" applyNumberFormat="1" applyFont="1" applyFill="1" applyAlignment="1">
      <alignment horizontal="right" vertical="center" wrapText="1"/>
    </xf>
    <xf numFmtId="164" fontId="7" fillId="2" borderId="4" xfId="0" applyNumberFormat="1" applyFont="1" applyFill="1" applyBorder="1" applyAlignment="1">
      <alignment horizontal="right" vertical="center" wrapText="1"/>
    </xf>
    <xf numFmtId="164" fontId="25" fillId="2" borderId="6" xfId="0" applyNumberFormat="1" applyFont="1" applyFill="1" applyBorder="1" applyAlignment="1">
      <alignment horizontal="right" vertical="center"/>
    </xf>
    <xf numFmtId="3" fontId="13" fillId="2" borderId="0" xfId="0" applyNumberFormat="1" applyFont="1" applyFill="1" applyAlignment="1">
      <alignment horizontal="center" vertical="center"/>
    </xf>
    <xf numFmtId="3" fontId="13" fillId="2" borderId="14" xfId="0" applyNumberFormat="1" applyFont="1" applyFill="1" applyBorder="1" applyAlignment="1">
      <alignment horizontal="center" vertical="center"/>
    </xf>
    <xf numFmtId="3" fontId="10" fillId="2" borderId="12" xfId="0" applyNumberFormat="1" applyFont="1" applyFill="1" applyBorder="1" applyAlignment="1">
      <alignment horizontal="center" vertical="center"/>
    </xf>
    <xf numFmtId="164" fontId="9" fillId="2" borderId="4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8" xfId="0" applyNumberFormat="1" applyFont="1" applyFill="1" applyBorder="1" applyAlignment="1">
      <alignment horizontal="center" vertical="top"/>
    </xf>
    <xf numFmtId="164" fontId="3" fillId="2" borderId="9" xfId="0" applyNumberFormat="1" applyFont="1" applyFill="1" applyBorder="1" applyAlignment="1">
      <alignment horizontal="center" vertical="top"/>
    </xf>
    <xf numFmtId="164" fontId="3" fillId="2" borderId="10" xfId="0" applyNumberFormat="1" applyFont="1" applyFill="1" applyBorder="1" applyAlignment="1">
      <alignment horizontal="center" vertical="top"/>
    </xf>
    <xf numFmtId="164" fontId="17" fillId="2" borderId="1" xfId="0" applyNumberFormat="1" applyFont="1" applyFill="1" applyBorder="1" applyAlignment="1">
      <alignment horizontal="center" vertical="center"/>
    </xf>
    <xf numFmtId="164" fontId="17" fillId="2" borderId="13" xfId="0" applyNumberFormat="1" applyFont="1" applyFill="1" applyBorder="1" applyAlignment="1">
      <alignment horizontal="center" vertical="center"/>
    </xf>
    <xf numFmtId="164" fontId="22" fillId="2" borderId="3" xfId="0" applyNumberFormat="1" applyFont="1" applyFill="1" applyBorder="1" applyAlignment="1">
      <alignment horizontal="right" vertical="center" wrapText="1"/>
    </xf>
    <xf numFmtId="164" fontId="22" fillId="2" borderId="0" xfId="0" applyNumberFormat="1" applyFont="1" applyFill="1" applyAlignment="1">
      <alignment horizontal="right" vertical="center" wrapText="1"/>
    </xf>
    <xf numFmtId="164" fontId="6" fillId="2" borderId="3" xfId="0" applyNumberFormat="1" applyFont="1" applyFill="1" applyBorder="1" applyAlignment="1">
      <alignment horizontal="left" vertical="center" wrapText="1"/>
    </xf>
    <xf numFmtId="164" fontId="6" fillId="2" borderId="0" xfId="0" applyNumberFormat="1" applyFont="1" applyFill="1" applyAlignment="1">
      <alignment horizontal="left" vertical="center" wrapText="1"/>
    </xf>
    <xf numFmtId="164" fontId="6" fillId="2" borderId="4" xfId="0" applyNumberFormat="1" applyFont="1" applyFill="1" applyBorder="1" applyAlignment="1">
      <alignment horizontal="left" vertical="center" wrapText="1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righ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2F75B5"/>
      <color rgb="FFFF3399"/>
      <color rgb="FF9BC2E6"/>
      <color rgb="FF003399"/>
      <color rgb="FFEDF1F9"/>
      <color rgb="FFAEAAAA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3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839368213964375E-2"/>
          <c:y val="0.1772514214065041"/>
          <c:w val="0.90921450982037544"/>
          <c:h val="0.65020293544955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'8.7'!$I$3:$I$5</c:f>
              <c:strCache>
                <c:ptCount val="3"/>
                <c:pt idx="0">
                  <c:v>2023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'8.7'!$I$7:$I$13</c:f>
              <c:numCache>
                <c:formatCode>#,##0</c:formatCode>
                <c:ptCount val="7"/>
                <c:pt idx="0">
                  <c:v>1881</c:v>
                </c:pt>
                <c:pt idx="1">
                  <c:v>535</c:v>
                </c:pt>
                <c:pt idx="2">
                  <c:v>547</c:v>
                </c:pt>
                <c:pt idx="3">
                  <c:v>161</c:v>
                </c:pt>
                <c:pt idx="4">
                  <c:v>24</c:v>
                </c:pt>
                <c:pt idx="5">
                  <c:v>214</c:v>
                </c:pt>
                <c:pt idx="6">
                  <c:v>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2-432D-B48E-6D73FF7657F3}"/>
            </c:ext>
          </c:extLst>
        </c:ser>
        <c:ser>
          <c:idx val="1"/>
          <c:order val="1"/>
          <c:tx>
            <c:strRef>
              <c:f>'8.7'!$J$3:$J$5</c:f>
              <c:strCache>
                <c:ptCount val="3"/>
                <c:pt idx="0">
                  <c:v>2024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'8.7'!$J$7:$J$13</c:f>
              <c:numCache>
                <c:formatCode>#,##0</c:formatCode>
                <c:ptCount val="7"/>
                <c:pt idx="0">
                  <c:v>1729</c:v>
                </c:pt>
                <c:pt idx="1">
                  <c:v>601</c:v>
                </c:pt>
                <c:pt idx="2">
                  <c:v>581</c:v>
                </c:pt>
                <c:pt idx="3">
                  <c:v>93</c:v>
                </c:pt>
                <c:pt idx="4">
                  <c:v>19</c:v>
                </c:pt>
                <c:pt idx="5">
                  <c:v>205</c:v>
                </c:pt>
                <c:pt idx="6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2-432D-B48E-6D73FF7657F3}"/>
            </c:ext>
          </c:extLst>
        </c:ser>
        <c:ser>
          <c:idx val="2"/>
          <c:order val="2"/>
          <c:tx>
            <c:strRef>
              <c:f>'8.7'!$K$3:$K$5</c:f>
              <c:strCache>
                <c:ptCount val="3"/>
                <c:pt idx="0">
                  <c:v>2025 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'8.7'!$K$7:$K$13</c:f>
              <c:numCache>
                <c:formatCode>#,##0</c:formatCode>
                <c:ptCount val="7"/>
                <c:pt idx="0">
                  <c:v>1402</c:v>
                </c:pt>
                <c:pt idx="1">
                  <c:v>836</c:v>
                </c:pt>
                <c:pt idx="2">
                  <c:v>461</c:v>
                </c:pt>
                <c:pt idx="3">
                  <c:v>76</c:v>
                </c:pt>
                <c:pt idx="4">
                  <c:v>31</c:v>
                </c:pt>
                <c:pt idx="5">
                  <c:v>134</c:v>
                </c:pt>
                <c:pt idx="6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F-4895-86B0-AB7221C2C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3831680"/>
        <c:axId val="43833216"/>
      </c:barChart>
      <c:catAx>
        <c:axId val="43831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3216"/>
        <c:crosses val="autoZero"/>
        <c:auto val="1"/>
        <c:lblAlgn val="ctr"/>
        <c:lblOffset val="100"/>
        <c:noMultiLvlLbl val="0"/>
      </c:catAx>
      <c:valAx>
        <c:axId val="438332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 Numbers</a:t>
                </a:r>
              </a:p>
            </c:rich>
          </c:tx>
          <c:layout>
            <c:manualLayout>
              <c:xMode val="edge"/>
              <c:yMode val="edge"/>
              <c:x val="4.4909331656092562E-3"/>
              <c:y val="0.108977228863492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1680"/>
        <c:crosses val="autoZero"/>
        <c:crossBetween val="between"/>
      </c:valAx>
      <c:spPr>
        <a:solidFill>
          <a:srgbClr val="F9FFF3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9195757309997252"/>
          <c:y val="0.21149739193993156"/>
          <c:w val="0.18688541051012691"/>
          <c:h val="7.1203030000996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14</xdr:row>
      <xdr:rowOff>85725</xdr:rowOff>
    </xdr:from>
    <xdr:to>
      <xdr:col>13</xdr:col>
      <xdr:colOff>552450</xdr:colOff>
      <xdr:row>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0.27309</cdr:x>
      <cdr:y>0.04276</cdr:y>
    </cdr:from>
    <cdr:to>
      <cdr:x>0.76074</cdr:x>
      <cdr:y>0.12895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71675" y="128703"/>
          <a:ext cx="3520830" cy="2594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8.10: Number of Theft cases  by type, 2023 - 2025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Ahmed Niushad" id="{DBDE2DE8-5A1D-469D-9D4F-1519C36D303F}" userId="S::an_3296@police.gov.mv::1f543509-6153-4477-832c-70ea98389b3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92D050"/>
  </sheetPr>
  <dimension ref="A1:W23"/>
  <sheetViews>
    <sheetView tabSelected="1" zoomScaleNormal="100" workbookViewId="0">
      <selection activeCell="M6" sqref="M6:M13"/>
    </sheetView>
  </sheetViews>
  <sheetFormatPr defaultColWidth="9.140625" defaultRowHeight="15"/>
  <cols>
    <col min="1" max="1" width="33" style="1" customWidth="1"/>
    <col min="2" max="11" width="9.7109375" style="1" customWidth="1"/>
    <col min="12" max="12" width="2.7109375" style="1" customWidth="1"/>
    <col min="13" max="13" width="15.5703125" style="1" customWidth="1"/>
    <col min="14" max="14" width="14.28515625" style="1" customWidth="1"/>
    <col min="15" max="15" width="36" style="1" customWidth="1"/>
    <col min="16" max="16" width="5.42578125" style="1" customWidth="1"/>
    <col min="17" max="17" width="22.140625" style="1" bestFit="1" customWidth="1"/>
    <col min="18" max="16384" width="9.140625" style="1"/>
  </cols>
  <sheetData>
    <row r="1" spans="1:23" ht="21">
      <c r="A1" s="40" t="s">
        <v>25</v>
      </c>
      <c r="B1" s="40"/>
      <c r="C1" s="40"/>
      <c r="D1" s="40"/>
      <c r="E1" s="40"/>
      <c r="F1" s="40"/>
      <c r="G1" s="40"/>
      <c r="H1" s="40"/>
      <c r="I1" s="40"/>
      <c r="J1" s="40"/>
      <c r="K1" s="41"/>
      <c r="L1" s="40"/>
      <c r="M1" s="40"/>
      <c r="N1" s="40"/>
      <c r="O1" s="40"/>
    </row>
    <row r="2" spans="1:23" ht="15.75" customHeight="1">
      <c r="A2" s="36" t="s">
        <v>24</v>
      </c>
      <c r="B2" s="36"/>
      <c r="C2" s="36"/>
      <c r="D2" s="36"/>
      <c r="E2" s="37"/>
      <c r="F2" s="37"/>
      <c r="G2" s="38"/>
      <c r="H2" s="39"/>
      <c r="I2" s="39"/>
      <c r="J2" s="39"/>
      <c r="K2" s="39"/>
      <c r="L2" s="36"/>
      <c r="M2" s="37"/>
      <c r="N2" s="37"/>
      <c r="O2" s="36"/>
      <c r="Q2" s="2"/>
    </row>
    <row r="3" spans="1:23" ht="17.25">
      <c r="A3" s="44" t="s">
        <v>6</v>
      </c>
      <c r="B3" s="47">
        <v>2016</v>
      </c>
      <c r="C3" s="47">
        <v>2017</v>
      </c>
      <c r="D3" s="47">
        <v>2018</v>
      </c>
      <c r="E3" s="47">
        <v>2019</v>
      </c>
      <c r="F3" s="47">
        <v>2020</v>
      </c>
      <c r="G3" s="47">
        <v>2021</v>
      </c>
      <c r="H3" s="47">
        <v>2022</v>
      </c>
      <c r="I3" s="47">
        <v>2023</v>
      </c>
      <c r="J3" s="47">
        <v>2024</v>
      </c>
      <c r="K3" s="47">
        <v>2025</v>
      </c>
      <c r="L3" s="28"/>
      <c r="M3" s="27" t="s">
        <v>3</v>
      </c>
      <c r="N3" s="19" t="s">
        <v>7</v>
      </c>
      <c r="O3" s="42" t="s">
        <v>8</v>
      </c>
      <c r="R3" s="3"/>
      <c r="S3" s="3"/>
      <c r="T3" s="3"/>
      <c r="U3" s="3"/>
      <c r="V3" s="3"/>
      <c r="W3" s="3"/>
    </row>
    <row r="4" spans="1:23" ht="34.5">
      <c r="A4" s="45"/>
      <c r="B4" s="48"/>
      <c r="C4" s="48"/>
      <c r="D4" s="48"/>
      <c r="E4" s="48"/>
      <c r="F4" s="48"/>
      <c r="G4" s="48"/>
      <c r="H4" s="48"/>
      <c r="I4" s="48"/>
      <c r="J4" s="48"/>
      <c r="K4" s="48"/>
      <c r="L4" s="29"/>
      <c r="M4" s="20" t="s">
        <v>4</v>
      </c>
      <c r="N4" s="21" t="s">
        <v>9</v>
      </c>
      <c r="O4" s="43"/>
      <c r="R4" s="3"/>
      <c r="S4" s="3"/>
      <c r="T4" s="3"/>
      <c r="U4" s="3"/>
      <c r="V4" s="3"/>
      <c r="W4" s="3"/>
    </row>
    <row r="5" spans="1:23" ht="17.25">
      <c r="A5" s="46"/>
      <c r="B5" s="49"/>
      <c r="C5" s="49"/>
      <c r="D5" s="49"/>
      <c r="E5" s="49"/>
      <c r="F5" s="49"/>
      <c r="G5" s="49"/>
      <c r="H5" s="49"/>
      <c r="I5" s="49"/>
      <c r="J5" s="49"/>
      <c r="K5" s="49"/>
      <c r="L5" s="30"/>
      <c r="M5" s="22" t="s">
        <v>26</v>
      </c>
      <c r="N5" s="22">
        <v>2025</v>
      </c>
      <c r="O5" s="35"/>
      <c r="R5" s="3"/>
      <c r="S5" s="3"/>
      <c r="T5" s="3"/>
      <c r="U5" s="3"/>
      <c r="V5" s="3"/>
      <c r="W5" s="3"/>
    </row>
    <row r="6" spans="1:23" s="12" customFormat="1" ht="17.25">
      <c r="A6" s="4" t="s">
        <v>0</v>
      </c>
      <c r="B6" s="23">
        <f t="shared" ref="B6:F6" si="0">SUM(B7:B13)</f>
        <v>3616</v>
      </c>
      <c r="C6" s="23">
        <f t="shared" si="0"/>
        <v>3503</v>
      </c>
      <c r="D6" s="23">
        <f t="shared" si="0"/>
        <v>3270</v>
      </c>
      <c r="E6" s="23">
        <f t="shared" si="0"/>
        <v>4554</v>
      </c>
      <c r="F6" s="23">
        <f t="shared" si="0"/>
        <v>3581</v>
      </c>
      <c r="G6" s="23">
        <f>SUM(G7:G13)</f>
        <v>4662</v>
      </c>
      <c r="H6" s="23">
        <f>SUM(H7:H13)</f>
        <v>3982</v>
      </c>
      <c r="I6" s="23">
        <f>SUM(I7:I13)</f>
        <v>3825</v>
      </c>
      <c r="J6" s="23">
        <f>SUM(J7:J13)</f>
        <v>3770</v>
      </c>
      <c r="K6" s="23">
        <f>SUM(K7:K13)</f>
        <v>3478</v>
      </c>
      <c r="L6" s="23"/>
      <c r="M6" s="34">
        <f>((K6-J6)/J6*100)</f>
        <v>-7.7453580901856762</v>
      </c>
      <c r="N6" s="34">
        <f>K6/$K$6*100</f>
        <v>100</v>
      </c>
      <c r="O6" s="31" t="s">
        <v>5</v>
      </c>
      <c r="Q6" s="23"/>
      <c r="R6" s="13"/>
      <c r="S6" s="13"/>
      <c r="T6" s="13"/>
      <c r="U6" s="13"/>
      <c r="V6" s="13"/>
      <c r="W6" s="13"/>
    </row>
    <row r="7" spans="1:23" s="18" customFormat="1" ht="18.75">
      <c r="A7" s="14" t="s">
        <v>10</v>
      </c>
      <c r="B7" s="24">
        <v>1054</v>
      </c>
      <c r="C7" s="24">
        <v>1217</v>
      </c>
      <c r="D7" s="24">
        <v>1290</v>
      </c>
      <c r="E7" s="24">
        <v>1777</v>
      </c>
      <c r="F7" s="24">
        <v>1609</v>
      </c>
      <c r="G7" s="24">
        <v>2251</v>
      </c>
      <c r="H7" s="24">
        <v>1989</v>
      </c>
      <c r="I7" s="24">
        <v>1881</v>
      </c>
      <c r="J7" s="24">
        <v>1729</v>
      </c>
      <c r="K7" s="24">
        <v>1402</v>
      </c>
      <c r="L7" s="24"/>
      <c r="M7" s="32">
        <f t="shared" ref="M7:M13" si="1">((K7-J7)/J7*100)</f>
        <v>-18.912666281087333</v>
      </c>
      <c r="N7" s="32">
        <f t="shared" ref="N7:N13" si="2">K7/$K$6*100</f>
        <v>40.310523289246689</v>
      </c>
      <c r="O7" s="6" t="s">
        <v>11</v>
      </c>
      <c r="Q7" s="23"/>
      <c r="R7" s="13"/>
      <c r="S7" s="13"/>
      <c r="T7" s="15"/>
      <c r="U7" s="15"/>
      <c r="V7" s="15"/>
      <c r="W7" s="15"/>
    </row>
    <row r="8" spans="1:23" s="18" customFormat="1" ht="18.75">
      <c r="A8" s="14" t="s">
        <v>12</v>
      </c>
      <c r="B8" s="24">
        <v>650</v>
      </c>
      <c r="C8" s="24">
        <v>666</v>
      </c>
      <c r="D8" s="24">
        <v>494</v>
      </c>
      <c r="E8" s="24">
        <v>777</v>
      </c>
      <c r="F8" s="24">
        <v>479</v>
      </c>
      <c r="G8" s="24">
        <v>685</v>
      </c>
      <c r="H8" s="24">
        <v>493</v>
      </c>
      <c r="I8" s="24">
        <v>535</v>
      </c>
      <c r="J8" s="24">
        <v>601</v>
      </c>
      <c r="K8" s="24">
        <v>836</v>
      </c>
      <c r="L8" s="24"/>
      <c r="M8" s="32">
        <f t="shared" si="1"/>
        <v>39.101497504159731</v>
      </c>
      <c r="N8" s="32">
        <f t="shared" si="2"/>
        <v>24.036802760207017</v>
      </c>
      <c r="O8" s="6" t="s">
        <v>13</v>
      </c>
      <c r="Q8" s="23"/>
      <c r="R8" s="24"/>
      <c r="S8" s="13"/>
      <c r="T8" s="15"/>
      <c r="U8" s="15"/>
      <c r="V8" s="15"/>
      <c r="W8" s="15"/>
    </row>
    <row r="9" spans="1:23" s="18" customFormat="1" ht="18.75">
      <c r="A9" s="14" t="s">
        <v>14</v>
      </c>
      <c r="B9" s="24">
        <v>778</v>
      </c>
      <c r="C9" s="24">
        <v>606</v>
      </c>
      <c r="D9" s="24">
        <v>523</v>
      </c>
      <c r="E9" s="24">
        <v>757</v>
      </c>
      <c r="F9" s="24">
        <v>583</v>
      </c>
      <c r="G9" s="24">
        <v>705</v>
      </c>
      <c r="H9" s="24">
        <v>561</v>
      </c>
      <c r="I9" s="24">
        <v>547</v>
      </c>
      <c r="J9" s="24">
        <v>581</v>
      </c>
      <c r="K9" s="24">
        <v>461</v>
      </c>
      <c r="L9" s="24"/>
      <c r="M9" s="32">
        <f t="shared" si="1"/>
        <v>-20.654044750430291</v>
      </c>
      <c r="N9" s="32">
        <f t="shared" si="2"/>
        <v>13.254744105807937</v>
      </c>
      <c r="O9" s="6" t="s">
        <v>15</v>
      </c>
      <c r="Q9" s="23"/>
      <c r="R9" s="24"/>
      <c r="S9" s="13"/>
      <c r="T9" s="15"/>
      <c r="U9" s="15"/>
      <c r="V9" s="15"/>
      <c r="W9" s="15"/>
    </row>
    <row r="10" spans="1:23" s="18" customFormat="1" ht="18.75">
      <c r="A10" s="14" t="s">
        <v>16</v>
      </c>
      <c r="B10" s="24">
        <v>278</v>
      </c>
      <c r="C10" s="24">
        <v>237</v>
      </c>
      <c r="D10" s="24">
        <v>223</v>
      </c>
      <c r="E10" s="24">
        <v>232</v>
      </c>
      <c r="F10" s="24">
        <v>129</v>
      </c>
      <c r="G10" s="24">
        <v>105</v>
      </c>
      <c r="H10" s="24">
        <v>276</v>
      </c>
      <c r="I10" s="24">
        <v>161</v>
      </c>
      <c r="J10" s="24">
        <v>93</v>
      </c>
      <c r="K10" s="24">
        <v>76</v>
      </c>
      <c r="L10" s="24"/>
      <c r="M10" s="32">
        <f t="shared" si="1"/>
        <v>-18.27956989247312</v>
      </c>
      <c r="N10" s="32">
        <f t="shared" si="2"/>
        <v>2.1851638872915471</v>
      </c>
      <c r="O10" s="6" t="s">
        <v>17</v>
      </c>
      <c r="R10" s="24"/>
      <c r="S10" s="13"/>
      <c r="T10" s="15"/>
      <c r="U10" s="15"/>
      <c r="V10" s="15"/>
      <c r="W10" s="15"/>
    </row>
    <row r="11" spans="1:23" s="18" customFormat="1" ht="18.75">
      <c r="A11" s="14" t="s">
        <v>18</v>
      </c>
      <c r="B11" s="24">
        <v>181</v>
      </c>
      <c r="C11" s="24">
        <v>135</v>
      </c>
      <c r="D11" s="24">
        <v>92</v>
      </c>
      <c r="E11" s="24">
        <v>94</v>
      </c>
      <c r="F11" s="24">
        <v>73</v>
      </c>
      <c r="G11" s="24">
        <v>53</v>
      </c>
      <c r="H11" s="24">
        <v>43</v>
      </c>
      <c r="I11" s="24">
        <v>24</v>
      </c>
      <c r="J11" s="24">
        <v>19</v>
      </c>
      <c r="K11" s="24">
        <v>31</v>
      </c>
      <c r="L11" s="24"/>
      <c r="M11" s="32">
        <f t="shared" si="1"/>
        <v>63.157894736842103</v>
      </c>
      <c r="N11" s="32">
        <f t="shared" si="2"/>
        <v>0.89131684876365724</v>
      </c>
      <c r="O11" s="6" t="s">
        <v>19</v>
      </c>
      <c r="Q11" s="23"/>
      <c r="R11" s="24"/>
      <c r="S11" s="13"/>
      <c r="T11" s="24"/>
      <c r="U11" s="15"/>
      <c r="V11" s="15"/>
      <c r="W11" s="15"/>
    </row>
    <row r="12" spans="1:23" s="18" customFormat="1" ht="18.75">
      <c r="A12" s="14" t="s">
        <v>20</v>
      </c>
      <c r="B12" s="24">
        <v>258</v>
      </c>
      <c r="C12" s="24">
        <v>174</v>
      </c>
      <c r="D12" s="24">
        <v>227</v>
      </c>
      <c r="E12" s="24">
        <v>306</v>
      </c>
      <c r="F12" s="24">
        <v>190</v>
      </c>
      <c r="G12" s="24">
        <v>236</v>
      </c>
      <c r="H12" s="24">
        <v>156</v>
      </c>
      <c r="I12" s="24">
        <v>214</v>
      </c>
      <c r="J12" s="24">
        <v>205</v>
      </c>
      <c r="K12" s="24">
        <v>134</v>
      </c>
      <c r="L12" s="24"/>
      <c r="M12" s="32">
        <f t="shared" si="1"/>
        <v>-34.634146341463413</v>
      </c>
      <c r="N12" s="32">
        <f t="shared" si="2"/>
        <v>3.8527889591719378</v>
      </c>
      <c r="O12" s="6" t="s">
        <v>21</v>
      </c>
      <c r="Q12" s="23"/>
      <c r="R12" s="24"/>
      <c r="S12" s="13"/>
      <c r="T12" s="24"/>
      <c r="U12" s="15"/>
      <c r="V12" s="15"/>
      <c r="W12" s="15"/>
    </row>
    <row r="13" spans="1:23" s="18" customFormat="1" ht="18.75">
      <c r="A13" s="16" t="s">
        <v>22</v>
      </c>
      <c r="B13" s="25">
        <v>417</v>
      </c>
      <c r="C13" s="25">
        <v>468</v>
      </c>
      <c r="D13" s="25">
        <v>421</v>
      </c>
      <c r="E13" s="25">
        <v>611</v>
      </c>
      <c r="F13" s="25">
        <v>518</v>
      </c>
      <c r="G13" s="25">
        <v>627</v>
      </c>
      <c r="H13" s="25">
        <v>464</v>
      </c>
      <c r="I13" s="25">
        <v>463</v>
      </c>
      <c r="J13" s="25">
        <v>542</v>
      </c>
      <c r="K13" s="25">
        <v>538</v>
      </c>
      <c r="L13" s="25"/>
      <c r="M13" s="33">
        <f t="shared" si="1"/>
        <v>-0.73800738007380073</v>
      </c>
      <c r="N13" s="33">
        <f t="shared" si="2"/>
        <v>15.468660149511212</v>
      </c>
      <c r="O13" s="7" t="s">
        <v>23</v>
      </c>
      <c r="Q13" s="23"/>
      <c r="R13" s="24"/>
      <c r="S13" s="13"/>
      <c r="T13" s="24"/>
      <c r="U13" s="15"/>
      <c r="V13" s="15"/>
      <c r="W13" s="15"/>
    </row>
    <row r="14" spans="1:23">
      <c r="A14" s="9" t="s">
        <v>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26" t="s">
        <v>2</v>
      </c>
      <c r="Q14" s="23"/>
      <c r="R14" s="24"/>
      <c r="S14" s="13"/>
      <c r="T14" s="24"/>
      <c r="U14" s="3"/>
      <c r="V14" s="3"/>
      <c r="W14" s="3"/>
    </row>
    <row r="15" spans="1:23">
      <c r="Q15" s="23"/>
      <c r="R15" s="13"/>
      <c r="S15" s="13"/>
      <c r="T15" s="24"/>
      <c r="U15" s="3"/>
      <c r="V15" s="3"/>
      <c r="W15" s="3"/>
    </row>
    <row r="16" spans="1:23">
      <c r="A16" s="17"/>
      <c r="Q16" s="23"/>
      <c r="R16" s="13"/>
      <c r="S16" s="13"/>
      <c r="T16" s="24"/>
      <c r="U16" s="3"/>
      <c r="V16" s="3"/>
      <c r="W16" s="3"/>
    </row>
    <row r="17" spans="1:23">
      <c r="Q17" s="23"/>
      <c r="R17" s="13"/>
      <c r="S17" s="13"/>
      <c r="T17" s="24"/>
      <c r="U17" s="3"/>
      <c r="V17" s="3"/>
      <c r="W17" s="3"/>
    </row>
    <row r="18" spans="1:23">
      <c r="Q18" s="23"/>
      <c r="R18" s="13"/>
      <c r="S18" s="13"/>
      <c r="T18" s="3"/>
      <c r="U18" s="3"/>
      <c r="V18" s="3"/>
      <c r="W18" s="3"/>
    </row>
    <row r="19" spans="1:23">
      <c r="R19" s="3"/>
      <c r="S19" s="3"/>
      <c r="T19" s="3"/>
      <c r="U19" s="3"/>
      <c r="V19" s="3"/>
      <c r="W19" s="3"/>
    </row>
    <row r="20" spans="1:23">
      <c r="R20" s="3"/>
      <c r="S20" s="3"/>
      <c r="T20" s="3"/>
      <c r="U20" s="3"/>
      <c r="V20" s="3"/>
      <c r="W20" s="3"/>
    </row>
    <row r="21" spans="1:23" ht="17.25">
      <c r="A21" s="10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1"/>
      <c r="R21" s="3"/>
      <c r="S21" s="3"/>
      <c r="T21" s="3"/>
      <c r="U21" s="3"/>
      <c r="V21" s="3"/>
      <c r="W21" s="3"/>
    </row>
    <row r="22" spans="1:23">
      <c r="R22" s="3"/>
      <c r="S22" s="3"/>
      <c r="T22" s="3"/>
      <c r="U22" s="3"/>
      <c r="V22" s="3"/>
      <c r="W22" s="3"/>
    </row>
    <row r="23" spans="1:23">
      <c r="R23" s="3"/>
      <c r="S23" s="3"/>
      <c r="T23" s="3"/>
      <c r="U23" s="3"/>
      <c r="V23" s="3"/>
      <c r="W23" s="3"/>
    </row>
  </sheetData>
  <mergeCells count="14">
    <mergeCell ref="D3:D5"/>
    <mergeCell ref="O3:O5"/>
    <mergeCell ref="K3:K5"/>
    <mergeCell ref="A1:O1"/>
    <mergeCell ref="A2:O2"/>
    <mergeCell ref="A3:A5"/>
    <mergeCell ref="B3:B5"/>
    <mergeCell ref="C3:C5"/>
    <mergeCell ref="E3:E5"/>
    <mergeCell ref="F3:F5"/>
    <mergeCell ref="G3:G5"/>
    <mergeCell ref="J3:J5"/>
    <mergeCell ref="H3:H5"/>
    <mergeCell ref="I3:I5"/>
  </mergeCells>
  <pageMargins left="0.7" right="0.7" top="0.75" bottom="0.75" header="0.3" footer="0.3"/>
  <pageSetup paperSize="9" scale="42" orientation="portrait" horizontalDpi="4294967295" verticalDpi="4294967295" r:id="rId1"/>
  <colBreaks count="1" manualBreakCount="1">
    <brk id="16" max="1048575" man="1"/>
  </colBreaks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8.7</vt:lpstr>
      <vt:lpstr>'8.7'!Print_Area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2026-06-25T03:04:45Z</cp:lastPrinted>
  <dcterms:created xsi:type="dcterms:W3CDTF">2019-06-30T04:22:49Z</dcterms:created>
  <dcterms:modified xsi:type="dcterms:W3CDTF">2026-06-25T03:04:51Z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