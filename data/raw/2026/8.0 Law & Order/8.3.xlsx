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6\Final\LAw &amp; order\"/>
    </mc:Choice>
  </mc:AlternateContent>
  <xr:revisionPtr revIDLastSave="0" documentId="13_ncr:1_{C335ADDA-2FD5-4617-8ECE-343F146E60CB}" xr6:coauthVersionLast="47" xr6:coauthVersionMax="47" xr10:uidLastSave="{00000000-0000-0000-0000-000000000000}"/>
  <bookViews>
    <workbookView xWindow="-120" yWindow="-120" windowWidth="29040" windowHeight="15720" tabRatio="833" xr2:uid="{00000000-000D-0000-FFFF-FFFF00000000}"/>
  </bookViews>
  <sheets>
    <sheet name="8.3" sheetId="3" r:id="rId1"/>
  </sheets>
  <definedNames>
    <definedName name="_xlnm.Print_Area" localSheetId="0">'8.3'!$A$1:$U$60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6" i="3" l="1"/>
  <c r="Q8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P8" i="3" l="1"/>
  <c r="S7" i="3"/>
  <c r="P6" i="3" l="1"/>
  <c r="S6" i="3" s="1"/>
  <c r="O8" i="3" l="1"/>
  <c r="N8" i="3" l="1"/>
  <c r="O6" i="3" l="1"/>
  <c r="N6" i="3" l="1"/>
  <c r="M8" i="3" l="1"/>
  <c r="M6" i="3" l="1"/>
  <c r="L8" i="3" l="1"/>
  <c r="L6" i="3" l="1"/>
  <c r="K8" i="3" l="1"/>
  <c r="K6" i="3" l="1"/>
  <c r="J8" i="3" l="1"/>
  <c r="I8" i="3"/>
  <c r="I6" i="3" s="1"/>
  <c r="H8" i="3"/>
  <c r="H6" i="3" s="1"/>
  <c r="G8" i="3"/>
  <c r="G6" i="3" s="1"/>
  <c r="F8" i="3"/>
  <c r="F6" i="3" s="1"/>
  <c r="E8" i="3"/>
  <c r="E6" i="3" s="1"/>
  <c r="D8" i="3"/>
  <c r="D6" i="3" s="1"/>
  <c r="C8" i="3"/>
  <c r="C6" i="3" s="1"/>
  <c r="B8" i="3"/>
  <c r="B6" i="3" s="1"/>
  <c r="J6" i="3" l="1"/>
</calcChain>
</file>

<file path=xl/sharedStrings.xml><?xml version="1.0" encoding="utf-8"?>
<sst xmlns="http://schemas.openxmlformats.org/spreadsheetml/2006/main" count="55" uniqueCount="52">
  <si>
    <t>Source: Maldives Police Service</t>
  </si>
  <si>
    <t>csivrws csilop cscviDclOm :Ivcaed utWmUluAwm</t>
  </si>
  <si>
    <t>އަތޮޅުތައް</t>
  </si>
  <si>
    <t>Republic</t>
  </si>
  <si>
    <t>Male'</t>
  </si>
  <si>
    <t>Atolls</t>
  </si>
  <si>
    <t>Locality</t>
  </si>
  <si>
    <t>ކުރީ އަހަރާއި  އަޅާ</t>
  </si>
  <si>
    <t>ތަން</t>
  </si>
  <si>
    <t>ބަލާއިރު އިތުރުވި މިންވަރު</t>
  </si>
  <si>
    <t>ejcaWriLum</t>
  </si>
  <si>
    <t>elWm</t>
  </si>
  <si>
    <t>HA</t>
  </si>
  <si>
    <t>ah</t>
  </si>
  <si>
    <t>HDh</t>
  </si>
  <si>
    <t>dh</t>
  </si>
  <si>
    <t>Sh</t>
  </si>
  <si>
    <t>S</t>
  </si>
  <si>
    <t>N</t>
  </si>
  <si>
    <t>n</t>
  </si>
  <si>
    <t>R</t>
  </si>
  <si>
    <t>r</t>
  </si>
  <si>
    <t>B</t>
  </si>
  <si>
    <t>b</t>
  </si>
  <si>
    <t>Lh</t>
  </si>
  <si>
    <t>L</t>
  </si>
  <si>
    <t>K</t>
  </si>
  <si>
    <t>k</t>
  </si>
  <si>
    <t>AA</t>
  </si>
  <si>
    <t xml:space="preserve"> aa</t>
  </si>
  <si>
    <t>ADh</t>
  </si>
  <si>
    <t>da</t>
  </si>
  <si>
    <t>V</t>
  </si>
  <si>
    <t>v</t>
  </si>
  <si>
    <t>M</t>
  </si>
  <si>
    <t>m</t>
  </si>
  <si>
    <t>F</t>
  </si>
  <si>
    <t>f</t>
  </si>
  <si>
    <t>Dh</t>
  </si>
  <si>
    <t>d</t>
  </si>
  <si>
    <t>Th</t>
  </si>
  <si>
    <t>t</t>
  </si>
  <si>
    <t>l</t>
  </si>
  <si>
    <t>GA</t>
  </si>
  <si>
    <t>ag</t>
  </si>
  <si>
    <t>GDh</t>
  </si>
  <si>
    <t>dg</t>
  </si>
  <si>
    <t>Gn</t>
  </si>
  <si>
    <t>s</t>
  </si>
  <si>
    <t>% change over 2024</t>
  </si>
  <si>
    <t>ތާވަލު 8.3: އެކި އަތޮޅުތަކުން ހުށަހެޅިފައިވާ މައްސަލަތަކުގެ އަދަދު، 2020- 2025</t>
  </si>
  <si>
    <t>TABLE: 8.3: NUMBER OF  LOGGED CASES BY ATOLL, 2020 - 2025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</si>
</sst>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General_)"/>
    <numFmt numFmtId="165" formatCode="0.0"/>
    <numFmt numFmtId="166" formatCode="_-* #,##0_-;\-* #,##0_-;_-* &quot;-&quot;??_-;_-@_-"/>
    <numFmt numFmtId="167" formatCode="#,##0.0"/>
    <numFmt numFmtId="172" formatCode="0.00_)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name val="Faruma"/>
      <family val="3"/>
    </font>
    <font>
      <b/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9"/>
      <color rgb="FF000000"/>
      <name val="Faruma"/>
      <family val="3"/>
    </font>
    <font>
      <sz val="10"/>
      <color rgb="FFFF0000"/>
      <name val="Courier"/>
      <family val="3"/>
    </font>
    <font>
      <sz val="10"/>
      <name val="Faruma"/>
      <family val="3"/>
    </font>
    <font>
      <b/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Courier"/>
      <family val="3"/>
    </font>
    <font>
      <b/>
      <sz val="10"/>
      <name val="Courier"/>
      <family val="3"/>
    </font>
    <font>
      <sz val="9"/>
      <name val="Faruma"/>
      <family val="3"/>
    </font>
    <font>
      <b/>
      <sz val="9"/>
      <name val="Faruma"/>
      <family val="3"/>
    </font>
    <font>
      <sz val="10"/>
      <color theme="2" tint="-0.499984740745262"/>
      <name val="Times New Roman"/>
      <family val="1"/>
    </font>
    <font>
      <b/>
      <sz val="10"/>
      <color rgb="FFFF0000"/>
      <name val="Courier"/>
      <family val="3"/>
    </font>
    <font>
      <sz val="9"/>
      <color rgb="FFFF0000"/>
      <name val="Courier"/>
      <family val="3"/>
    </font>
    <font>
      <i/>
      <sz val="10"/>
      <name val="Courier"/>
      <family val="3"/>
    </font>
    <font>
      <sz val="10"/>
      <name val="Arial"/>
      <family val="2"/>
    </font>
    <font>
      <b/>
      <sz val="10"/>
      <name val="Faruma"/>
      <family val="3"/>
    </font>
    <font>
      <b/>
      <sz val="15"/>
      <color theme="3"/>
      <name val="Arial Mäori"/>
      <family val="2"/>
    </font>
    <font>
      <b/>
      <sz val="10"/>
      <name val="A_Faseyha"/>
    </font>
    <font>
      <sz val="10"/>
      <name val="A_Faseyha"/>
    </font>
    <font>
      <sz val="9"/>
      <color theme="1"/>
      <name val="A_Faseyha"/>
    </font>
    <font>
      <sz val="10"/>
      <name val="Helv"/>
    </font>
    <font>
      <b/>
      <i/>
      <sz val="16"/>
      <name val="Helv"/>
    </font>
    <font>
      <b/>
      <sz val="10"/>
      <name val="TimesNewRomanPS"/>
    </font>
    <font>
      <sz val="10"/>
      <color rgb="FF000000"/>
      <name val="Arial"/>
      <family val="2"/>
    </font>
    <font>
      <b/>
      <sz val="10"/>
      <color rgb="FF000000"/>
      <name val="Times"/>
      <family val="1"/>
    </font>
    <font>
      <sz val="11"/>
      <color rgb="FF000000"/>
      <name val="Calibri"/>
      <family val="2"/>
    </font>
    <font>
      <sz val="11"/>
      <color theme="1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/>
      <bottom style="thick">
        <color theme="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/>
      <diagonal/>
    </border>
  </borders>
  <cellStyleXfs count="7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6" fontId="18" fillId="0" borderId="0" applyFont="0" applyFill="0" applyBorder="0" applyAlignment="0" applyProtection="0"/>
    <xf numFmtId="9" fontId="19" fillId="0" borderId="0" applyFont="0" applyFill="0" applyBorder="0" applyAlignment="0" applyProtection="0"/>
    <xf numFmtId="167" fontId="19" fillId="0" borderId="0"/>
    <xf numFmtId="0" fontId="29" fillId="0" borderId="4" applyNumberFormat="0" applyFill="0" applyAlignment="0" applyProtection="0"/>
    <xf numFmtId="0" fontId="27" fillId="0" borderId="0"/>
    <xf numFmtId="0" fontId="27" fillId="0" borderId="0"/>
    <xf numFmtId="9" fontId="27" fillId="0" borderId="0" applyFont="0" applyFill="0" applyBorder="0" applyAlignment="0" applyProtection="0"/>
    <xf numFmtId="0" fontId="27" fillId="0" borderId="0"/>
    <xf numFmtId="0" fontId="27" fillId="0" borderId="0"/>
    <xf numFmtId="43" fontId="27" fillId="0" borderId="0" applyFont="0" applyFill="0" applyBorder="0" applyAlignment="0" applyProtection="0"/>
    <xf numFmtId="172" fontId="34" fillId="0" borderId="0"/>
    <xf numFmtId="1" fontId="35" fillId="0" borderId="5" applyNumberFormat="0"/>
    <xf numFmtId="0" fontId="27" fillId="0" borderId="0"/>
    <xf numFmtId="0" fontId="1" fillId="0" borderId="0"/>
    <xf numFmtId="0" fontId="27" fillId="0" borderId="0"/>
    <xf numFmtId="9" fontId="27" fillId="0" borderId="0" applyFont="0" applyFill="0" applyBorder="0" applyAlignment="0" applyProtection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33" fillId="0" borderId="0"/>
    <xf numFmtId="40" fontId="33" fillId="0" borderId="0" applyFont="0" applyFill="0" applyBorder="0" applyAlignment="0" applyProtection="0"/>
    <xf numFmtId="0" fontId="33" fillId="0" borderId="0"/>
    <xf numFmtId="0" fontId="27" fillId="0" borderId="0"/>
    <xf numFmtId="1" fontId="35" fillId="0" borderId="5" applyNumberFormat="0"/>
    <xf numFmtId="0" fontId="1" fillId="0" borderId="0"/>
    <xf numFmtId="0" fontId="33" fillId="0" borderId="0"/>
    <xf numFmtId="0" fontId="18" fillId="0" borderId="0" applyFill="0" applyProtection="0"/>
    <xf numFmtId="1" fontId="35" fillId="0" borderId="5" applyNumberFormat="0"/>
    <xf numFmtId="43" fontId="1" fillId="0" borderId="0" applyFont="0" applyFill="0" applyBorder="0" applyAlignment="0" applyProtection="0"/>
    <xf numFmtId="0" fontId="1" fillId="0" borderId="0"/>
    <xf numFmtId="0" fontId="36" fillId="0" borderId="0"/>
    <xf numFmtId="0" fontId="37" fillId="0" borderId="0"/>
    <xf numFmtId="0" fontId="36" fillId="0" borderId="0"/>
    <xf numFmtId="0" fontId="1" fillId="0" borderId="0"/>
    <xf numFmtId="0" fontId="33" fillId="0" borderId="0"/>
    <xf numFmtId="0" fontId="18" fillId="0" borderId="0" applyFill="0" applyProtection="0"/>
    <xf numFmtId="1" fontId="35" fillId="0" borderId="5" applyNumberFormat="0"/>
    <xf numFmtId="0" fontId="1" fillId="0" borderId="0"/>
    <xf numFmtId="0" fontId="27" fillId="0" borderId="0"/>
    <xf numFmtId="0" fontId="36" fillId="0" borderId="0"/>
    <xf numFmtId="0" fontId="37" fillId="0" borderId="0"/>
    <xf numFmtId="0" fontId="27" fillId="0" borderId="0"/>
    <xf numFmtId="0" fontId="36" fillId="0" borderId="0"/>
    <xf numFmtId="0" fontId="38" fillId="0" borderId="0"/>
    <xf numFmtId="0" fontId="36" fillId="0" borderId="0"/>
    <xf numFmtId="0" fontId="36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0" fontId="33" fillId="0" borderId="0" applyFont="0" applyFill="0" applyBorder="0" applyAlignment="0" applyProtection="0"/>
    <xf numFmtId="0" fontId="1" fillId="0" borderId="0"/>
    <xf numFmtId="0" fontId="38" fillId="0" borderId="0" applyBorder="0"/>
    <xf numFmtId="0" fontId="1" fillId="0" borderId="0"/>
    <xf numFmtId="40" fontId="3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38" fillId="0" borderId="0" applyBorder="0"/>
    <xf numFmtId="0" fontId="1" fillId="0" borderId="0"/>
    <xf numFmtId="0" fontId="1" fillId="0" borderId="0"/>
    <xf numFmtId="1" fontId="35" fillId="0" borderId="5" applyNumberFormat="0"/>
    <xf numFmtId="1" fontId="35" fillId="0" borderId="5" applyNumberFormat="0"/>
    <xf numFmtId="1" fontId="35" fillId="0" borderId="5" applyNumberFormat="0"/>
    <xf numFmtId="1" fontId="35" fillId="0" borderId="5" applyNumberFormat="0"/>
    <xf numFmtId="0" fontId="39" fillId="0" borderId="0"/>
    <xf numFmtId="0" fontId="39" fillId="0" borderId="0"/>
  </cellStyleXfs>
  <cellXfs count="55">
    <xf numFmtId="0" fontId="0" fillId="0" borderId="0" xfId="0"/>
    <xf numFmtId="164" fontId="0" fillId="2" borderId="0" xfId="0" applyNumberFormat="1" applyFill="1"/>
    <xf numFmtId="164" fontId="2" fillId="2" borderId="0" xfId="3" applyNumberFormat="1" applyFont="1" applyFill="1" applyAlignment="1">
      <alignment vertical="center"/>
    </xf>
    <xf numFmtId="164" fontId="10" fillId="2" borderId="0" xfId="0" applyNumberFormat="1" applyFont="1" applyFill="1"/>
    <xf numFmtId="164" fontId="7" fillId="2" borderId="0" xfId="0" applyNumberFormat="1" applyFont="1" applyFill="1" applyAlignment="1">
      <alignment vertical="center"/>
    </xf>
    <xf numFmtId="164" fontId="13" fillId="2" borderId="0" xfId="0" applyNumberFormat="1" applyFont="1" applyFill="1" applyAlignment="1">
      <alignment vertical="center"/>
    </xf>
    <xf numFmtId="166" fontId="14" fillId="2" borderId="0" xfId="1" applyNumberFormat="1" applyFont="1" applyFill="1" applyBorder="1" applyAlignment="1">
      <alignment horizontal="center"/>
    </xf>
    <xf numFmtId="164" fontId="10" fillId="2" borderId="0" xfId="0" applyNumberFormat="1" applyFont="1" applyFill="1" applyAlignment="1">
      <alignment horizontal="center" vertical="top"/>
    </xf>
    <xf numFmtId="164" fontId="16" fillId="2" borderId="3" xfId="0" applyNumberFormat="1" applyFont="1" applyFill="1" applyBorder="1" applyAlignment="1">
      <alignment horizontal="left" vertical="center"/>
    </xf>
    <xf numFmtId="166" fontId="7" fillId="2" borderId="0" xfId="4" applyFont="1" applyFill="1" applyBorder="1" applyAlignment="1">
      <alignment horizontal="center" vertical="center"/>
    </xf>
    <xf numFmtId="166" fontId="13" fillId="2" borderId="0" xfId="4" applyFont="1" applyFill="1" applyBorder="1" applyAlignment="1">
      <alignment horizontal="center" vertical="center"/>
    </xf>
    <xf numFmtId="166" fontId="13" fillId="2" borderId="2" xfId="4" applyFont="1" applyFill="1" applyBorder="1" applyAlignment="1">
      <alignment horizontal="center" vertical="center"/>
    </xf>
    <xf numFmtId="164" fontId="14" fillId="2" borderId="0" xfId="0" applyNumberFormat="1" applyFont="1" applyFill="1"/>
    <xf numFmtId="164" fontId="21" fillId="2" borderId="0" xfId="0" applyNumberFormat="1" applyFont="1" applyFill="1" applyAlignment="1">
      <alignment horizontal="right" vertical="center"/>
    </xf>
    <xf numFmtId="164" fontId="8" fillId="2" borderId="0" xfId="0" applyNumberFormat="1" applyFont="1" applyFill="1" applyAlignment="1">
      <alignment horizontal="right" vertical="center"/>
    </xf>
    <xf numFmtId="166" fontId="17" fillId="2" borderId="0" xfId="4" applyFont="1" applyFill="1" applyBorder="1" applyAlignment="1">
      <alignment horizontal="center" vertical="center"/>
    </xf>
    <xf numFmtId="9" fontId="12" fillId="2" borderId="0" xfId="2" applyFont="1" applyFill="1" applyBorder="1" applyAlignment="1" applyProtection="1">
      <alignment horizontal="center" vertical="center"/>
      <protection locked="0"/>
    </xf>
    <xf numFmtId="164" fontId="20" fillId="2" borderId="0" xfId="0" applyNumberFormat="1" applyFont="1" applyFill="1" applyAlignment="1">
      <alignment vertical="center"/>
    </xf>
    <xf numFmtId="0" fontId="0" fillId="2" borderId="0" xfId="0" applyFill="1" applyAlignment="1">
      <alignment horizontal="center" vertical="center"/>
    </xf>
    <xf numFmtId="0" fontId="23" fillId="2" borderId="0" xfId="0" applyFont="1" applyFill="1"/>
    <xf numFmtId="164" fontId="24" fillId="2" borderId="0" xfId="0" applyNumberFormat="1" applyFont="1" applyFill="1" applyAlignment="1">
      <alignment vertical="center"/>
    </xf>
    <xf numFmtId="164" fontId="13" fillId="2" borderId="0" xfId="0" applyNumberFormat="1" applyFont="1" applyFill="1" applyAlignment="1">
      <alignment horizontal="left" vertical="center" indent="1"/>
    </xf>
    <xf numFmtId="164" fontId="19" fillId="2" borderId="0" xfId="0" applyNumberFormat="1" applyFont="1" applyFill="1" applyAlignment="1">
      <alignment vertical="center"/>
    </xf>
    <xf numFmtId="164" fontId="10" fillId="2" borderId="0" xfId="0" applyNumberFormat="1" applyFont="1" applyFill="1" applyAlignment="1">
      <alignment vertical="center"/>
    </xf>
    <xf numFmtId="164" fontId="13" fillId="2" borderId="2" xfId="0" applyNumberFormat="1" applyFont="1" applyFill="1" applyBorder="1" applyAlignment="1">
      <alignment horizontal="left" vertical="center" indent="1"/>
    </xf>
    <xf numFmtId="164" fontId="25" fillId="2" borderId="0" xfId="0" applyNumberFormat="1" applyFont="1" applyFill="1" applyAlignment="1">
      <alignment horizontal="center" vertical="top"/>
    </xf>
    <xf numFmtId="164" fontId="3" fillId="2" borderId="0" xfId="0" applyNumberFormat="1" applyFont="1" applyFill="1" applyAlignment="1">
      <alignment horizontal="center" vertical="top"/>
    </xf>
    <xf numFmtId="164" fontId="26" fillId="2" borderId="0" xfId="0" applyNumberFormat="1" applyFont="1" applyFill="1"/>
    <xf numFmtId="9" fontId="12" fillId="2" borderId="2" xfId="2" applyFont="1" applyFill="1" applyBorder="1" applyAlignment="1" applyProtection="1">
      <alignment horizontal="center" vertical="center"/>
      <protection locked="0"/>
    </xf>
    <xf numFmtId="3" fontId="30" fillId="2" borderId="0" xfId="0" applyNumberFormat="1" applyFont="1" applyFill="1" applyAlignment="1">
      <alignment horizontal="right" vertical="center" indent="1"/>
    </xf>
    <xf numFmtId="164" fontId="31" fillId="2" borderId="0" xfId="0" applyNumberFormat="1" applyFont="1" applyFill="1" applyAlignment="1">
      <alignment horizontal="right" vertical="center" indent="1"/>
    </xf>
    <xf numFmtId="164" fontId="31" fillId="2" borderId="2" xfId="0" applyNumberFormat="1" applyFont="1" applyFill="1" applyBorder="1" applyAlignment="1">
      <alignment horizontal="right" vertical="center" indent="1"/>
    </xf>
    <xf numFmtId="164" fontId="32" fillId="2" borderId="3" xfId="0" applyNumberFormat="1" applyFont="1" applyFill="1" applyBorder="1" applyAlignment="1">
      <alignment horizontal="right"/>
    </xf>
    <xf numFmtId="3" fontId="28" fillId="2" borderId="0" xfId="0" applyNumberFormat="1" applyFont="1" applyFill="1" applyAlignment="1">
      <alignment horizontal="right" vertical="center" indent="1"/>
    </xf>
    <xf numFmtId="164" fontId="8" fillId="2" borderId="1" xfId="0" applyNumberFormat="1" applyFont="1" applyFill="1" applyBorder="1" applyAlignment="1">
      <alignment horizontal="right" vertical="center"/>
    </xf>
    <xf numFmtId="164" fontId="8" fillId="2" borderId="2" xfId="0" applyNumberFormat="1" applyFont="1" applyFill="1" applyBorder="1" applyAlignment="1">
      <alignment horizontal="right" vertical="center"/>
    </xf>
    <xf numFmtId="164" fontId="9" fillId="2" borderId="1" xfId="0" applyNumberFormat="1" applyFont="1" applyFill="1" applyBorder="1" applyAlignment="1">
      <alignment horizontal="center" vertical="center" wrapText="1"/>
    </xf>
    <xf numFmtId="164" fontId="9" fillId="2" borderId="0" xfId="0" applyNumberFormat="1" applyFont="1" applyFill="1" applyAlignment="1">
      <alignment horizontal="right" vertical="center" wrapText="1"/>
    </xf>
    <xf numFmtId="164" fontId="8" fillId="2" borderId="0" xfId="0" applyNumberFormat="1" applyFont="1" applyFill="1" applyAlignment="1">
      <alignment horizontal="right" vertical="center" wrapText="1"/>
    </xf>
    <xf numFmtId="165" fontId="12" fillId="2" borderId="7" xfId="0" applyNumberFormat="1" applyFont="1" applyFill="1" applyBorder="1" applyAlignment="1">
      <alignment horizontal="right" vertical="center" indent="5"/>
    </xf>
    <xf numFmtId="165" fontId="12" fillId="2" borderId="0" xfId="0" applyNumberFormat="1" applyFont="1" applyFill="1" applyAlignment="1">
      <alignment horizontal="right" vertical="center" indent="5"/>
    </xf>
    <xf numFmtId="165" fontId="15" fillId="2" borderId="0" xfId="0" applyNumberFormat="1" applyFont="1" applyFill="1" applyAlignment="1">
      <alignment horizontal="right" vertical="center" indent="5"/>
    </xf>
    <xf numFmtId="165" fontId="15" fillId="2" borderId="6" xfId="0" applyNumberFormat="1" applyFont="1" applyFill="1" applyBorder="1" applyAlignment="1">
      <alignment horizontal="right" vertical="center" indent="5"/>
    </xf>
    <xf numFmtId="164" fontId="11" fillId="2" borderId="2" xfId="0" applyNumberFormat="1" applyFont="1" applyFill="1" applyBorder="1" applyAlignment="1">
      <alignment horizontal="right" vertical="center" wrapText="1"/>
    </xf>
    <xf numFmtId="164" fontId="7" fillId="2" borderId="1" xfId="0" applyNumberFormat="1" applyFont="1" applyFill="1" applyBorder="1" applyAlignment="1">
      <alignment horizontal="left" vertical="center" wrapText="1"/>
    </xf>
    <xf numFmtId="164" fontId="7" fillId="2" borderId="2" xfId="0" applyNumberFormat="1" applyFont="1" applyFill="1" applyBorder="1" applyAlignment="1">
      <alignment horizontal="left" vertical="center" wrapText="1"/>
    </xf>
    <xf numFmtId="164" fontId="7" fillId="2" borderId="1" xfId="0" applyNumberFormat="1" applyFont="1" applyFill="1" applyBorder="1" applyAlignment="1">
      <alignment horizontal="right" vertical="center"/>
    </xf>
    <xf numFmtId="164" fontId="7" fillId="2" borderId="2" xfId="0" applyNumberFormat="1" applyFont="1" applyFill="1" applyBorder="1" applyAlignment="1">
      <alignment horizontal="right" vertical="center"/>
    </xf>
    <xf numFmtId="164" fontId="7" fillId="2" borderId="0" xfId="0" applyNumberFormat="1" applyFont="1" applyFill="1" applyAlignment="1">
      <alignment horizontal="left" vertical="center" wrapText="1"/>
    </xf>
    <xf numFmtId="164" fontId="4" fillId="2" borderId="0" xfId="0" applyNumberFormat="1" applyFont="1" applyFill="1" applyAlignment="1">
      <alignment horizontal="center" vertical="center"/>
    </xf>
    <xf numFmtId="164" fontId="5" fillId="2" borderId="2" xfId="0" applyNumberFormat="1" applyFont="1" applyFill="1" applyBorder="1" applyAlignment="1">
      <alignment horizontal="center" vertical="top"/>
    </xf>
    <xf numFmtId="164" fontId="5" fillId="2" borderId="6" xfId="0" applyNumberFormat="1" applyFont="1" applyFill="1" applyBorder="1" applyAlignment="1">
      <alignment horizontal="center" vertical="top"/>
    </xf>
    <xf numFmtId="164" fontId="7" fillId="2" borderId="0" xfId="0" applyNumberFormat="1" applyFont="1" applyFill="1" applyAlignment="1">
      <alignment horizontal="right" vertical="center"/>
    </xf>
    <xf numFmtId="164" fontId="22" fillId="2" borderId="1" xfId="0" applyNumberFormat="1" applyFont="1" applyFill="1" applyBorder="1" applyAlignment="1">
      <alignment horizontal="right" vertical="center" wrapText="1"/>
    </xf>
    <xf numFmtId="164" fontId="22" fillId="2" borderId="0" xfId="0" applyNumberFormat="1" applyFont="1" applyFill="1" applyAlignment="1">
      <alignment horizontal="right" vertical="center" wrapText="1"/>
    </xf>
  </cellXfs>
  <cellStyles count="73">
    <cellStyle name="1" xfId="9" xr:uid="{00000000-0005-0000-0000-000000000000}"/>
    <cellStyle name="Comma" xfId="1" builtinId="3"/>
    <cellStyle name="Comma 2" xfId="4" xr:uid="{00000000-0005-0000-0000-000002000000}"/>
    <cellStyle name="Comma 2 2" xfId="53" xr:uid="{9A84C4CD-F55D-4D7F-A24D-2331BEF12D2F}"/>
    <cellStyle name="Comma 2 2 2 5" xfId="34" xr:uid="{72CAE074-9478-48BE-827F-7C347CA8E33E}"/>
    <cellStyle name="Comma 2 3" xfId="60" xr:uid="{48917DD4-5850-420F-B56E-6D1242EC9C7D}"/>
    <cellStyle name="Comma 2 4" xfId="26" xr:uid="{25E79544-726A-40BC-9B88-F4040A358A37}"/>
    <cellStyle name="Comma 3" xfId="13" xr:uid="{B8EE6C01-62F8-4757-AEA0-A8E2BB20DD32}"/>
    <cellStyle name="Comma 3 2" xfId="56" xr:uid="{32AB1500-45AA-4601-AE5B-CC2189D86C97}"/>
    <cellStyle name="Heading 1 2" xfId="7" xr:uid="{00000000-0005-0000-0000-000003000000}"/>
    <cellStyle name="Hyperlink" xfId="3" builtinId="8"/>
    <cellStyle name="Normal" xfId="0" builtinId="0"/>
    <cellStyle name="Normal - Style1" xfId="14" xr:uid="{643D6BAF-51F0-40E9-A034-4148317B748D}"/>
    <cellStyle name="Normal 10" xfId="20" xr:uid="{53C320C8-74A4-4753-953E-745E7CA03BF9}"/>
    <cellStyle name="Normal 11" xfId="31" xr:uid="{C334F9A6-404A-429F-AAC8-A64A5D797F6B}"/>
    <cellStyle name="Normal 12" xfId="33" xr:uid="{AD19A09E-E36B-4581-9623-F54EE49DE1A7}"/>
    <cellStyle name="Normal 13" xfId="42" xr:uid="{8F3E15E1-866E-4642-A160-6EC78A16082E}"/>
    <cellStyle name="Normal 14" xfId="67" xr:uid="{38102293-679E-4BC4-8C21-B50A9352FE0D}"/>
    <cellStyle name="Normal 15" xfId="68" xr:uid="{DDD174B3-A44D-4519-9D5A-E09E51F6BD36}"/>
    <cellStyle name="Normal 16" xfId="69" xr:uid="{2B037F2C-6E53-4DFC-BCEF-4BAE4D22C99F}"/>
    <cellStyle name="Normal 17" xfId="70" xr:uid="{862E1F38-3D0E-4A33-9EDA-CE90F84B8E45}"/>
    <cellStyle name="Normal 18" xfId="71" xr:uid="{CF87BC40-E55D-4F82-AE28-8FA1017CE6B1}"/>
    <cellStyle name="Normal 19" xfId="72" xr:uid="{FA237C1A-38D9-46F9-9E54-DD0D4DE6F649}"/>
    <cellStyle name="Normal 2" xfId="8" xr:uid="{00000000-0005-0000-0000-000006000000}"/>
    <cellStyle name="Normal 2 2" xfId="15" xr:uid="{E1B4ADD7-AF9F-4C31-814B-2F7CCD24FB28}"/>
    <cellStyle name="Normal 2 2 2" xfId="27" xr:uid="{86D4674A-12DC-467D-8791-E9A1C7FC3D5C}"/>
    <cellStyle name="Normal 2 2 2 2" xfId="51" xr:uid="{E5E93CD8-FF9A-48B1-ADA9-AB3C731E6334}"/>
    <cellStyle name="Normal 2 2 3" xfId="28" xr:uid="{A9406696-2B5F-40B4-B07A-9A75502DB3A9}"/>
    <cellStyle name="Normal 2 2 3 2" xfId="49" xr:uid="{F69FCC6A-DC9B-4565-AD31-066A6C2F5064}"/>
    <cellStyle name="Normal 2 2 4" xfId="45" xr:uid="{6F0840CA-9553-405D-ACE5-D01A72852DAD}"/>
    <cellStyle name="Normal 2 3" xfId="30" xr:uid="{E13F57EA-1139-4D18-983A-599F278AD76F}"/>
    <cellStyle name="Normal 2 3 2" xfId="41" xr:uid="{0043EE02-D5BD-4812-AD16-BFACC7EF42A8}"/>
    <cellStyle name="Normal 2 3 3" xfId="44" xr:uid="{0A8706C9-91EC-4327-A8A0-F2E5BA34A857}"/>
    <cellStyle name="Normal 2 4" xfId="32" xr:uid="{20B2D89D-D384-47E8-A9EE-FCD14F76982F}"/>
    <cellStyle name="Normal 2 4 2" xfId="52" xr:uid="{3F0CEA5C-059B-43A9-859D-A965B48327F7}"/>
    <cellStyle name="Normal 2 5" xfId="36" xr:uid="{CE7AC479-92A4-4367-8F5E-D56B9C5A1031}"/>
    <cellStyle name="Normal 3" xfId="6" xr:uid="{00000000-0005-0000-0000-000007000000}"/>
    <cellStyle name="Normal 3 2" xfId="29" xr:uid="{D8C0391F-9AA5-43CD-9EDF-E1CEE95293DA}"/>
    <cellStyle name="Normal 3 2 2" xfId="38" xr:uid="{519BA7B2-00D0-4BC8-9FC5-2049B7FF832F}"/>
    <cellStyle name="Normal 3 2 2 2" xfId="63" xr:uid="{FFD9FBF6-074E-4300-A11B-1E9E248674A4}"/>
    <cellStyle name="Normal 3 3" xfId="47" xr:uid="{96442A53-EA32-4F89-842D-FC2B3500B36F}"/>
    <cellStyle name="Normal 3 3 2" xfId="66" xr:uid="{FC90F908-F2F6-489E-BDC8-B211A625F9C1}"/>
    <cellStyle name="Normal 3 4" xfId="57" xr:uid="{8D94B436-169A-4EF4-AF1F-BD2D38E48701}"/>
    <cellStyle name="Normal 3 5" xfId="61" xr:uid="{20B92D94-623A-4A41-B83E-988C78EE9919}"/>
    <cellStyle name="Normal 3 6" xfId="16" xr:uid="{2260A489-F0D9-40BA-A22E-29EA47F1B2F4}"/>
    <cellStyle name="Normal 4" xfId="21" xr:uid="{D3B53A52-2AD8-4381-AB54-845A42EF1FF2}"/>
    <cellStyle name="Normal 4 2" xfId="17" xr:uid="{861AA663-ADE1-4537-934E-8307E5FD8F74}"/>
    <cellStyle name="Normal 4 2 2" xfId="22" xr:uid="{E8677BA3-8211-444C-BEC4-9A07A188675B}"/>
    <cellStyle name="Normal 4 2 3" xfId="46" xr:uid="{A1A62C66-066C-4E8B-898C-FFCDC593C940}"/>
    <cellStyle name="Normal 4 3" xfId="37" xr:uid="{41EDC26E-37D1-45EB-B40D-C33CA90D2064}"/>
    <cellStyle name="Normal 4 3 2" xfId="54" xr:uid="{F0BD437D-A11C-4FCC-8D12-ECC542C171DB}"/>
    <cellStyle name="Normal 4 4" xfId="59" xr:uid="{644A2FD9-99FD-44AF-AD6A-7DA7696F10CB}"/>
    <cellStyle name="Normal 5" xfId="18" xr:uid="{497704D6-52EF-4ABE-A3CD-97569A2A33A7}"/>
    <cellStyle name="Normal 5 2" xfId="11" xr:uid="{00CB0B8C-510E-4BED-8B9B-553F22BD15C7}"/>
    <cellStyle name="Normal 5 2 2" xfId="62" xr:uid="{C310ED55-448A-4742-B398-B242C3A89A52}"/>
    <cellStyle name="Normal 5 3" xfId="35" xr:uid="{B6E770DA-49EF-4C68-912F-2AD9E34AB464}"/>
    <cellStyle name="Normal 5 4" xfId="48" xr:uid="{439C9414-9BA2-497D-BF7E-0C5A82DE1171}"/>
    <cellStyle name="Normal 6" xfId="23" xr:uid="{FF1D5E57-8C3F-43A7-8100-05F86404E24E}"/>
    <cellStyle name="Normal 6 2" xfId="39" xr:uid="{BF19C48D-9054-4CB1-8B26-C788F7386A5B}"/>
    <cellStyle name="Normal 6 2 2" xfId="64" xr:uid="{8DCBD4A4-A7DB-4626-B9AE-A2DBD111A1EA}"/>
    <cellStyle name="Normal 6 3" xfId="50" xr:uid="{EF61BC19-A02A-4B29-B5E5-F8ADBFFE6AF9}"/>
    <cellStyle name="Normal 7" xfId="24" xr:uid="{5E137597-5161-4D95-90E4-F6DC879E5B22}"/>
    <cellStyle name="Normal 7 2" xfId="40" xr:uid="{AF7B1DEB-2498-4714-A82C-DA80CF2C533D}"/>
    <cellStyle name="Normal 7 2 2" xfId="55" xr:uid="{72B3ACED-6426-4333-A31F-F7A584556C09}"/>
    <cellStyle name="Normal 7 3" xfId="65" xr:uid="{479EC22B-EFA4-4A4A-859B-B213AB646001}"/>
    <cellStyle name="Normal 7 4" xfId="43" xr:uid="{2E7F84E1-ECE1-404D-A212-C39658E7599D}"/>
    <cellStyle name="Normal 8" xfId="25" xr:uid="{CEB51C94-2E45-4D5B-9F0F-359FEE19D53C}"/>
    <cellStyle name="Normal 8 2" xfId="58" xr:uid="{286B7DE3-B5D9-42D4-91CA-A0F00AB06695}"/>
    <cellStyle name="Normal 9" xfId="12" xr:uid="{585AC317-7540-4658-AB5A-C34FB49F1152}"/>
    <cellStyle name="Percent" xfId="2" builtinId="5"/>
    <cellStyle name="Percent 2" xfId="5" xr:uid="{00000000-0005-0000-0000-00000E000000}"/>
    <cellStyle name="Percent 2 2" xfId="10" xr:uid="{67C19ACC-B2FB-4E73-ACA6-0EF4958B92CE}"/>
    <cellStyle name="Percent 2 3" xfId="19" xr:uid="{2ABB9611-6919-4949-B383-4EF485E15F01}"/>
  </cellStyles>
  <dxfs count="0"/>
  <tableStyles count="0" defaultTableStyle="TableStyleMedium2" defaultPivotStyle="PivotStyleLight16"/>
  <colors>
    <mruColors>
      <color rgb="FF336600"/>
      <color rgb="FFF9FFF3"/>
      <color rgb="FF003300"/>
      <color rgb="FF2F75B5"/>
      <color rgb="FFFF3399"/>
      <color rgb="FF9BC2E6"/>
      <color rgb="FF003399"/>
      <color rgb="FFEDF1F9"/>
      <color rgb="FFAEAAAA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36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>
                <a:latin typeface="Candara" pitchFamily="34" charset="0"/>
                <a:cs typeface="Consolas" pitchFamily="49" charset="0"/>
              </a:defRPr>
            </a:pPr>
            <a:r>
              <a:rPr lang="en-US" sz="1100">
                <a:latin typeface="Candara" pitchFamily="34" charset="0"/>
                <a:cs typeface="Consolas" pitchFamily="49" charset="0"/>
              </a:rPr>
              <a:t>Figure 8.5: Number of logged cases by Atoll, 2023 -2025</a:t>
            </a:r>
          </a:p>
        </c:rich>
      </c:tx>
      <c:layout>
        <c:manualLayout>
          <c:xMode val="edge"/>
          <c:yMode val="edge"/>
          <c:x val="0.22629300488757986"/>
          <c:y val="3.906443748171257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0836508005459606E-2"/>
          <c:y val="0.15366966895041112"/>
          <c:w val="0.9089788148537401"/>
          <c:h val="0.68711024629158801"/>
        </c:manualLayout>
      </c:layout>
      <c:barChart>
        <c:barDir val="col"/>
        <c:grouping val="clustered"/>
        <c:varyColors val="0"/>
        <c:ser>
          <c:idx val="3"/>
          <c:order val="0"/>
          <c:tx>
            <c:strRef>
              <c:f>'8.3'!$O$3:$O$5</c:f>
              <c:strCache>
                <c:ptCount val="3"/>
                <c:pt idx="0">
                  <c:v>2023 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</c:spPr>
          <c:invertIfNegative val="0"/>
          <c:cat>
            <c:strRef>
              <c:f>'8.3'!$A$9:$A$28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'8.3'!$O$9:$O$28</c:f>
              <c:numCache>
                <c:formatCode>_-* #,##0_-;\-* #,##0_-;_-* "-"??_-;_-@_-</c:formatCode>
                <c:ptCount val="20"/>
                <c:pt idx="0">
                  <c:v>126</c:v>
                </c:pt>
                <c:pt idx="1">
                  <c:v>352</c:v>
                </c:pt>
                <c:pt idx="2">
                  <c:v>101</c:v>
                </c:pt>
                <c:pt idx="3">
                  <c:v>221</c:v>
                </c:pt>
                <c:pt idx="4">
                  <c:v>202</c:v>
                </c:pt>
                <c:pt idx="5">
                  <c:v>155</c:v>
                </c:pt>
                <c:pt idx="6">
                  <c:v>175</c:v>
                </c:pt>
                <c:pt idx="7">
                  <c:v>243</c:v>
                </c:pt>
                <c:pt idx="8">
                  <c:v>174</c:v>
                </c:pt>
                <c:pt idx="9">
                  <c:v>217</c:v>
                </c:pt>
                <c:pt idx="10">
                  <c:v>29</c:v>
                </c:pt>
                <c:pt idx="11">
                  <c:v>82</c:v>
                </c:pt>
                <c:pt idx="12">
                  <c:v>72</c:v>
                </c:pt>
                <c:pt idx="13">
                  <c:v>87</c:v>
                </c:pt>
                <c:pt idx="14">
                  <c:v>140</c:v>
                </c:pt>
                <c:pt idx="15">
                  <c:v>264</c:v>
                </c:pt>
                <c:pt idx="16">
                  <c:v>178</c:v>
                </c:pt>
                <c:pt idx="17">
                  <c:v>228</c:v>
                </c:pt>
                <c:pt idx="18">
                  <c:v>353</c:v>
                </c:pt>
                <c:pt idx="19">
                  <c:v>573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84-47A1-A892-10451405B9C8}"/>
            </c:ext>
          </c:extLst>
        </c:ser>
        <c:ser>
          <c:idx val="1"/>
          <c:order val="1"/>
          <c:tx>
            <c:strRef>
              <c:f>'8.3'!$P$3:$P$5</c:f>
              <c:strCache>
                <c:ptCount val="3"/>
                <c:pt idx="0">
                  <c:v>2024 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</c:spPr>
          <c:invertIfNegative val="0"/>
          <c:cat>
            <c:strRef>
              <c:f>'8.3'!$A$9:$A$28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'8.3'!$P$9:$P$28</c:f>
              <c:numCache>
                <c:formatCode>_-* #,##0_-;\-* #,##0_-;_-* "-"??_-;_-@_-</c:formatCode>
                <c:ptCount val="20"/>
                <c:pt idx="0">
                  <c:v>150</c:v>
                </c:pt>
                <c:pt idx="1">
                  <c:v>364</c:v>
                </c:pt>
                <c:pt idx="2">
                  <c:v>102</c:v>
                </c:pt>
                <c:pt idx="3">
                  <c:v>110</c:v>
                </c:pt>
                <c:pt idx="4">
                  <c:v>138</c:v>
                </c:pt>
                <c:pt idx="5">
                  <c:v>121</c:v>
                </c:pt>
                <c:pt idx="6">
                  <c:v>179</c:v>
                </c:pt>
                <c:pt idx="7">
                  <c:v>301</c:v>
                </c:pt>
                <c:pt idx="8">
                  <c:v>181</c:v>
                </c:pt>
                <c:pt idx="9">
                  <c:v>237</c:v>
                </c:pt>
                <c:pt idx="10">
                  <c:v>37</c:v>
                </c:pt>
                <c:pt idx="11">
                  <c:v>133</c:v>
                </c:pt>
                <c:pt idx="12">
                  <c:v>65</c:v>
                </c:pt>
                <c:pt idx="13">
                  <c:v>82</c:v>
                </c:pt>
                <c:pt idx="14">
                  <c:v>139</c:v>
                </c:pt>
                <c:pt idx="15">
                  <c:v>248</c:v>
                </c:pt>
                <c:pt idx="16">
                  <c:v>189</c:v>
                </c:pt>
                <c:pt idx="17">
                  <c:v>278</c:v>
                </c:pt>
                <c:pt idx="18">
                  <c:v>386</c:v>
                </c:pt>
                <c:pt idx="19">
                  <c:v>503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484-47A1-A892-10451405B9C8}"/>
            </c:ext>
          </c:extLst>
        </c:ser>
        <c:ser>
          <c:idx val="0"/>
          <c:order val="2"/>
          <c:tx>
            <c:strRef>
              <c:f>'8.3'!$Q$3:$Q$5</c:f>
              <c:strCache>
                <c:ptCount val="3"/>
                <c:pt idx="0">
                  <c:v>2025 </c:v>
                </c:pt>
              </c:strCache>
            </c:strRef>
          </c:tx>
          <c:spPr>
            <a:solidFill>
              <a:srgbClr val="336600"/>
            </a:solidFill>
          </c:spPr>
          <c:invertIfNegative val="0"/>
          <c:dPt>
            <c:idx val="17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0-C641-4DA0-A716-01A3F8767B39}"/>
              </c:ext>
            </c:extLst>
          </c:dPt>
          <c:cat>
            <c:strRef>
              <c:f>'8.3'!$A$9:$A$28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'8.3'!$Q$9:$Q$28</c:f>
              <c:numCache>
                <c:formatCode>_-* #,##0_-;\-* #,##0_-;_-* "-"??_-;_-@_-</c:formatCode>
                <c:ptCount val="20"/>
                <c:pt idx="0">
                  <c:v>215</c:v>
                </c:pt>
                <c:pt idx="1">
                  <c:v>397</c:v>
                </c:pt>
                <c:pt idx="2">
                  <c:v>115</c:v>
                </c:pt>
                <c:pt idx="3">
                  <c:v>169</c:v>
                </c:pt>
                <c:pt idx="4">
                  <c:v>232</c:v>
                </c:pt>
                <c:pt idx="5">
                  <c:v>142</c:v>
                </c:pt>
                <c:pt idx="6">
                  <c:v>257</c:v>
                </c:pt>
                <c:pt idx="7">
                  <c:v>363</c:v>
                </c:pt>
                <c:pt idx="8">
                  <c:v>226</c:v>
                </c:pt>
                <c:pt idx="9">
                  <c:v>210</c:v>
                </c:pt>
                <c:pt idx="10">
                  <c:v>40</c:v>
                </c:pt>
                <c:pt idx="11">
                  <c:v>184</c:v>
                </c:pt>
                <c:pt idx="12">
                  <c:v>91</c:v>
                </c:pt>
                <c:pt idx="13">
                  <c:v>114</c:v>
                </c:pt>
                <c:pt idx="14">
                  <c:v>156</c:v>
                </c:pt>
                <c:pt idx="15">
                  <c:v>267</c:v>
                </c:pt>
                <c:pt idx="16">
                  <c:v>175</c:v>
                </c:pt>
                <c:pt idx="17">
                  <c:v>299</c:v>
                </c:pt>
                <c:pt idx="18">
                  <c:v>343</c:v>
                </c:pt>
                <c:pt idx="19">
                  <c:v>534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BED-4103-92EF-A6E882D100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1"/>
        <c:axId val="42395904"/>
        <c:axId val="42397696"/>
      </c:barChart>
      <c:catAx>
        <c:axId val="4239590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42397696"/>
        <c:crosses val="autoZero"/>
        <c:auto val="1"/>
        <c:lblAlgn val="ctr"/>
        <c:lblOffset val="100"/>
        <c:noMultiLvlLbl val="0"/>
      </c:catAx>
      <c:valAx>
        <c:axId val="42397696"/>
        <c:scaling>
          <c:orientation val="minMax"/>
        </c:scaling>
        <c:delete val="0"/>
        <c:axPos val="l"/>
        <c:majorGridlines>
          <c:spPr>
            <a:ln>
              <a:solidFill>
                <a:schemeClr val="accent6">
                  <a:lumMod val="20000"/>
                  <a:lumOff val="80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</a:t>
                </a:r>
              </a:p>
            </c:rich>
          </c:tx>
          <c:overlay val="0"/>
        </c:title>
        <c:numFmt formatCode="#,##0" sourceLinked="0"/>
        <c:majorTickMark val="out"/>
        <c:minorTickMark val="none"/>
        <c:tickLblPos val="nextTo"/>
        <c:crossAx val="42395904"/>
        <c:crosses val="autoZero"/>
        <c:crossBetween val="between"/>
      </c:valAx>
      <c:spPr>
        <a:solidFill>
          <a:srgbClr val="F9FFF3"/>
        </a:solidFill>
        <a:ln>
          <a:solidFill>
            <a:sysClr val="window" lastClr="FFFFFF">
              <a:lumMod val="65000"/>
            </a:sysClr>
          </a:solidFill>
        </a:ln>
      </c:spPr>
    </c:plotArea>
    <c:legend>
      <c:legendPos val="r"/>
      <c:layout>
        <c:manualLayout>
          <c:xMode val="edge"/>
          <c:yMode val="edge"/>
          <c:x val="0.61302772931371941"/>
          <c:y val="0.23275412955655031"/>
          <c:w val="0.23393790590304717"/>
          <c:h val="8.4562321598477652E-2"/>
        </c:manualLayout>
      </c:layout>
      <c:overlay val="0"/>
      <c:txPr>
        <a:bodyPr/>
        <a:lstStyle/>
        <a:p>
          <a:pPr>
            <a:defRPr sz="105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4" l="0.70000000000000062" r="0.70000000000000062" t="0.750000000000004" header="0.30000000000000032" footer="0.30000000000000032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5470396866824538E-2"/>
          <c:y val="0.15731735335360053"/>
          <c:w val="0.88977289914881652"/>
          <c:h val="0.7582639669890592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6">
                <a:lumMod val="75000"/>
              </a:schemeClr>
            </a:solidFill>
            <a:ln>
              <a:noFill/>
            </a:ln>
          </c:spPr>
          <c:invertIfNegative val="0"/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C-8C29-424A-8D3B-0E1C0DE03347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D-8C29-424A-8D3B-0E1C0DE03347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2-4B4B-4F7A-8994-D8408ACC9045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392F-4D3A-BEDB-1D3DA447123E}"/>
              </c:ext>
            </c:extLst>
          </c:dPt>
          <c:dPt>
            <c:idx val="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392F-4D3A-BEDB-1D3DA447123E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13-4B4B-4F7A-8994-D8408ACC9045}"/>
              </c:ext>
            </c:extLst>
          </c:dPt>
          <c:dPt>
            <c:idx val="1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4-3730-4580-A847-0491FE86EA2D}"/>
              </c:ext>
            </c:extLst>
          </c:dPt>
          <c:dPt>
            <c:idx val="1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4-4B4B-4F7A-8994-D8408ACC9045}"/>
              </c:ext>
            </c:extLst>
          </c:dPt>
          <c:dPt>
            <c:idx val="1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0-8C29-424A-8D3B-0E1C0DE03347}"/>
              </c:ext>
            </c:extLst>
          </c:dPt>
          <c:dPt>
            <c:idx val="1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F-8C29-424A-8D3B-0E1C0DE03347}"/>
              </c:ext>
            </c:extLst>
          </c:dPt>
          <c:dPt>
            <c:idx val="1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392F-4D3A-BEDB-1D3DA447123E}"/>
              </c:ext>
            </c:extLst>
          </c:dPt>
          <c:dPt>
            <c:idx val="16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7-392F-4D3A-BEDB-1D3DA447123E}"/>
              </c:ext>
            </c:extLst>
          </c:dPt>
          <c:dPt>
            <c:idx val="1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9-392F-4D3A-BEDB-1D3DA447123E}"/>
              </c:ext>
            </c:extLst>
          </c:dPt>
          <c:dPt>
            <c:idx val="18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E-8C29-424A-8D3B-0E1C0DE03347}"/>
              </c:ext>
            </c:extLst>
          </c:dPt>
          <c:dPt>
            <c:idx val="1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B-392F-4D3A-BEDB-1D3DA447123E}"/>
              </c:ext>
            </c:extLst>
          </c:dPt>
          <c:cat>
            <c:strRef>
              <c:f>'8.3'!$A$9:$A$28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'8.3'!$S$9:$S$28</c:f>
              <c:numCache>
                <c:formatCode>0.0</c:formatCode>
                <c:ptCount val="20"/>
                <c:pt idx="0">
                  <c:v>43.333333333333336</c:v>
                </c:pt>
                <c:pt idx="1">
                  <c:v>9.0659340659340657</c:v>
                </c:pt>
                <c:pt idx="2">
                  <c:v>12.745098039215685</c:v>
                </c:pt>
                <c:pt idx="3">
                  <c:v>53.63636363636364</c:v>
                </c:pt>
                <c:pt idx="4">
                  <c:v>68.115942028985515</c:v>
                </c:pt>
                <c:pt idx="5">
                  <c:v>17.355371900826448</c:v>
                </c:pt>
                <c:pt idx="6">
                  <c:v>43.575418994413404</c:v>
                </c:pt>
                <c:pt idx="7">
                  <c:v>20.598006644518271</c:v>
                </c:pt>
                <c:pt idx="8">
                  <c:v>24.861878453038674</c:v>
                </c:pt>
                <c:pt idx="9">
                  <c:v>-11.39240506329114</c:v>
                </c:pt>
                <c:pt idx="10">
                  <c:v>8.1081081081081088</c:v>
                </c:pt>
                <c:pt idx="11">
                  <c:v>38.345864661654133</c:v>
                </c:pt>
                <c:pt idx="12">
                  <c:v>40</c:v>
                </c:pt>
                <c:pt idx="13">
                  <c:v>39.024390243902438</c:v>
                </c:pt>
                <c:pt idx="14">
                  <c:v>12.23021582733813</c:v>
                </c:pt>
                <c:pt idx="15">
                  <c:v>7.661290322580645</c:v>
                </c:pt>
                <c:pt idx="16">
                  <c:v>-7.4074074074074066</c:v>
                </c:pt>
                <c:pt idx="17">
                  <c:v>7.5539568345323742</c:v>
                </c:pt>
                <c:pt idx="18">
                  <c:v>-11.139896373056994</c:v>
                </c:pt>
                <c:pt idx="19">
                  <c:v>6.1630218687872764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B952-48BE-A343-C20ED7FB5D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42657664"/>
        <c:axId val="42659200"/>
      </c:barChart>
      <c:catAx>
        <c:axId val="4265766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low"/>
        <c:txPr>
          <a:bodyPr/>
          <a:lstStyle/>
          <a:p>
            <a:pPr>
              <a:defRPr sz="900"/>
            </a:pPr>
            <a:endParaRPr lang="en-US"/>
          </a:p>
        </c:txPr>
        <c:crossAx val="42659200"/>
        <c:crosses val="autoZero"/>
        <c:auto val="1"/>
        <c:lblAlgn val="ctr"/>
        <c:lblOffset val="100"/>
        <c:noMultiLvlLbl val="0"/>
      </c:catAx>
      <c:valAx>
        <c:axId val="42659200"/>
        <c:scaling>
          <c:orientation val="minMax"/>
          <c:max val="100"/>
          <c:min val="-40"/>
        </c:scaling>
        <c:delete val="0"/>
        <c:axPos val="l"/>
        <c:majorGridlines>
          <c:spPr>
            <a:ln>
              <a:solidFill>
                <a:schemeClr val="accent6">
                  <a:lumMod val="20000"/>
                  <a:lumOff val="80000"/>
                </a:schemeClr>
              </a:solidFill>
            </a:ln>
          </c:spPr>
        </c:majorGridlines>
        <c:numFmt formatCode="0" sourceLinked="0"/>
        <c:majorTickMark val="out"/>
        <c:minorTickMark val="none"/>
        <c:tickLblPos val="nextTo"/>
        <c:crossAx val="42657664"/>
        <c:crosses val="autoZero"/>
        <c:crossBetween val="between"/>
      </c:valAx>
      <c:spPr>
        <a:solidFill>
          <a:srgbClr val="F9FFF3"/>
        </a:solidFill>
        <a:ln w="6350">
          <a:solidFill>
            <a:schemeClr val="bg1">
              <a:lumMod val="65000"/>
            </a:schemeClr>
          </a:solidFill>
        </a:ln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180975</xdr:colOff>
      <xdr:row>30</xdr:row>
      <xdr:rowOff>79699</xdr:rowOff>
    </xdr:from>
    <xdr:to>
      <xdr:col>19</xdr:col>
      <xdr:colOff>631308</xdr:colOff>
      <xdr:row>43</xdr:row>
      <xdr:rowOff>163209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242790</xdr:colOff>
      <xdr:row>44</xdr:row>
      <xdr:rowOff>62590</xdr:rowOff>
    </xdr:from>
    <xdr:to>
      <xdr:col>19</xdr:col>
      <xdr:colOff>631308</xdr:colOff>
      <xdr:row>59</xdr:row>
      <xdr:rowOff>38099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675611</xdr:colOff>
      <xdr:row>45</xdr:row>
      <xdr:rowOff>102516</xdr:rowOff>
    </xdr:from>
    <xdr:to>
      <xdr:col>18</xdr:col>
      <xdr:colOff>1329070</xdr:colOff>
      <xdr:row>47</xdr:row>
      <xdr:rowOff>27559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 txBox="1"/>
      </xdr:nvSpPr>
      <xdr:spPr>
        <a:xfrm>
          <a:off x="1594884" y="8951906"/>
          <a:ext cx="4939709" cy="30161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chemeClr val="tx1"/>
              </a:solidFill>
            </a:rPr>
            <a:t>Figure 8.6: </a:t>
          </a:r>
          <a:r>
            <a:rPr lang="en-US" sz="1100" b="1"/>
            <a:t>Percentage</a:t>
          </a:r>
          <a:r>
            <a:rPr lang="en-US" sz="1100" b="1" baseline="0"/>
            <a:t> change of logged cases over previous year (2025) by Atolls</a:t>
          </a:r>
          <a:endParaRPr lang="en-US" sz="1100" b="1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hmed Niushad" id="{DBDE2DE8-5A1D-469D-9D4F-1519C36D303F}" userId="S::an_3296@police.gov.mv::1f543509-6153-4477-832c-70ea98389b31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92D050"/>
  </sheetPr>
  <dimension ref="A1:AB60"/>
  <sheetViews>
    <sheetView tabSelected="1" zoomScale="86" zoomScaleNormal="86" workbookViewId="0">
      <selection activeCell="Y13" sqref="Y13"/>
    </sheetView>
  </sheetViews>
  <sheetFormatPr defaultColWidth="9.140625" defaultRowHeight="15"/>
  <cols>
    <col min="1" max="1" width="13.85546875" style="1" customWidth="1"/>
    <col min="2" max="6" width="10.42578125" style="1" hidden="1" customWidth="1"/>
    <col min="7" max="7" width="7.28515625" style="1" hidden="1" customWidth="1"/>
    <col min="8" max="11" width="10.42578125" style="1" hidden="1" customWidth="1"/>
    <col min="12" max="17" width="10.42578125" style="1" bestFit="1" customWidth="1"/>
    <col min="18" max="18" width="1.42578125" style="1" customWidth="1"/>
    <col min="19" max="19" width="25.28515625" style="1" customWidth="1"/>
    <col min="20" max="20" width="11" style="1" customWidth="1"/>
    <col min="21" max="21" width="4.42578125" style="1" customWidth="1"/>
    <col min="22" max="22" width="17.7109375" style="1" customWidth="1"/>
    <col min="23" max="23" width="0.140625" style="1" customWidth="1"/>
    <col min="24" max="24" width="2.42578125" style="1" customWidth="1"/>
    <col min="25" max="25" width="22.140625" style="1" bestFit="1" customWidth="1"/>
    <col min="26" max="16384" width="9.140625" style="1"/>
  </cols>
  <sheetData>
    <row r="1" spans="1:28" ht="21.75">
      <c r="A1" s="49" t="s">
        <v>50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</row>
    <row r="2" spans="1:28" ht="21.75" customHeight="1">
      <c r="A2" s="50" t="s">
        <v>51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1"/>
      <c r="R2" s="50"/>
      <c r="S2" s="50"/>
      <c r="T2" s="50"/>
    </row>
    <row r="3" spans="1:28" ht="16.5" customHeight="1">
      <c r="A3" s="44" t="s">
        <v>6</v>
      </c>
      <c r="B3" s="46">
        <v>2010</v>
      </c>
      <c r="C3" s="46">
        <v>2011</v>
      </c>
      <c r="D3" s="46">
        <v>2012</v>
      </c>
      <c r="E3" s="46">
        <v>2013</v>
      </c>
      <c r="F3" s="46">
        <v>2014</v>
      </c>
      <c r="G3" s="46">
        <v>2015</v>
      </c>
      <c r="H3" s="46">
        <v>2016</v>
      </c>
      <c r="I3" s="46">
        <v>2017</v>
      </c>
      <c r="J3" s="46">
        <v>2018</v>
      </c>
      <c r="K3" s="46">
        <v>2019</v>
      </c>
      <c r="L3" s="46">
        <v>2020</v>
      </c>
      <c r="M3" s="46">
        <v>2021</v>
      </c>
      <c r="N3" s="46">
        <v>2022</v>
      </c>
      <c r="O3" s="46">
        <v>2023</v>
      </c>
      <c r="P3" s="46">
        <v>2024</v>
      </c>
      <c r="Q3" s="46">
        <v>2025</v>
      </c>
      <c r="R3" s="34"/>
      <c r="S3" s="36" t="s">
        <v>7</v>
      </c>
      <c r="T3" s="53" t="s">
        <v>8</v>
      </c>
      <c r="W3" s="3"/>
      <c r="X3" s="3"/>
      <c r="Y3" s="2"/>
      <c r="Z3" s="3"/>
      <c r="AA3" s="3"/>
      <c r="AB3" s="3"/>
    </row>
    <row r="4" spans="1:28" ht="15.75" customHeight="1">
      <c r="A4" s="48"/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14"/>
      <c r="S4" s="37" t="s">
        <v>9</v>
      </c>
      <c r="T4" s="54"/>
      <c r="W4" s="3"/>
      <c r="X4" s="3"/>
      <c r="Y4" s="3"/>
      <c r="Z4" s="3"/>
      <c r="AA4" s="3"/>
      <c r="AB4" s="3"/>
    </row>
    <row r="5" spans="1:28" ht="15.75" customHeight="1">
      <c r="A5" s="45"/>
      <c r="B5" s="47"/>
      <c r="C5" s="47"/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35"/>
      <c r="S5" s="38" t="s">
        <v>49</v>
      </c>
      <c r="T5" s="43"/>
      <c r="W5" s="3"/>
      <c r="X5" s="3"/>
      <c r="Y5" s="3"/>
      <c r="Z5" s="3"/>
      <c r="AA5" s="3"/>
      <c r="AB5" s="3"/>
    </row>
    <row r="6" spans="1:28" s="17" customFormat="1" ht="15.75" customHeight="1">
      <c r="A6" s="4" t="s">
        <v>3</v>
      </c>
      <c r="B6" s="15">
        <f t="shared" ref="B6:J6" si="0">SUM(B7:B8)</f>
        <v>16994</v>
      </c>
      <c r="C6" s="9">
        <f t="shared" si="0"/>
        <v>17803</v>
      </c>
      <c r="D6" s="9">
        <f t="shared" si="0"/>
        <v>20512</v>
      </c>
      <c r="E6" s="9">
        <f t="shared" si="0"/>
        <v>21885</v>
      </c>
      <c r="F6" s="9">
        <f t="shared" si="0"/>
        <v>18187</v>
      </c>
      <c r="G6" s="9">
        <f t="shared" si="0"/>
        <v>16362</v>
      </c>
      <c r="H6" s="9">
        <f t="shared" si="0"/>
        <v>16287</v>
      </c>
      <c r="I6" s="9">
        <f t="shared" si="0"/>
        <v>15535</v>
      </c>
      <c r="J6" s="9">
        <f t="shared" si="0"/>
        <v>14811</v>
      </c>
      <c r="K6" s="9">
        <f t="shared" ref="K6:Q6" si="1">SUM(K7:K8)</f>
        <v>16480</v>
      </c>
      <c r="L6" s="9">
        <f t="shared" si="1"/>
        <v>12787</v>
      </c>
      <c r="M6" s="9">
        <f t="shared" si="1"/>
        <v>14143</v>
      </c>
      <c r="N6" s="9">
        <f t="shared" si="1"/>
        <v>13543</v>
      </c>
      <c r="O6" s="9">
        <f t="shared" si="1"/>
        <v>15015</v>
      </c>
      <c r="P6" s="9">
        <f t="shared" si="1"/>
        <v>16321</v>
      </c>
      <c r="Q6" s="9">
        <f t="shared" si="1"/>
        <v>16902</v>
      </c>
      <c r="R6" s="16"/>
      <c r="S6" s="39">
        <f>IFERROR(((Q6-P6)/P6)*100,"-`")</f>
        <v>3.5598308927149076</v>
      </c>
      <c r="T6" s="29" t="s">
        <v>10</v>
      </c>
      <c r="W6" s="18"/>
      <c r="X6" s="19"/>
      <c r="Y6" s="3"/>
      <c r="Z6" s="18"/>
      <c r="AA6" s="19"/>
      <c r="AB6" s="20"/>
    </row>
    <row r="7" spans="1:28" s="17" customFormat="1" ht="15.75" customHeight="1">
      <c r="A7" s="4" t="s">
        <v>4</v>
      </c>
      <c r="B7" s="15">
        <v>12238</v>
      </c>
      <c r="C7" s="9">
        <v>11907</v>
      </c>
      <c r="D7" s="9">
        <v>14555</v>
      </c>
      <c r="E7" s="9">
        <v>15284</v>
      </c>
      <c r="F7" s="9">
        <v>12660</v>
      </c>
      <c r="G7" s="9">
        <v>11039</v>
      </c>
      <c r="H7" s="9">
        <v>11481</v>
      </c>
      <c r="I7" s="9">
        <v>10930</v>
      </c>
      <c r="J7" s="9">
        <v>10203</v>
      </c>
      <c r="K7" s="9">
        <v>11459</v>
      </c>
      <c r="L7" s="9">
        <v>7852</v>
      </c>
      <c r="M7" s="9">
        <v>10188</v>
      </c>
      <c r="N7" s="9">
        <v>9478</v>
      </c>
      <c r="O7" s="9">
        <v>11043</v>
      </c>
      <c r="P7" s="9">
        <v>12378</v>
      </c>
      <c r="Q7" s="9">
        <v>12373</v>
      </c>
      <c r="R7" s="16"/>
      <c r="S7" s="40">
        <f t="shared" ref="S7:S28" si="2">IFERROR(((Q7-P7)/P7)*100,"-`")</f>
        <v>-4.0394247859104865E-2</v>
      </c>
      <c r="T7" s="29" t="s">
        <v>11</v>
      </c>
      <c r="Y7" s="3"/>
      <c r="Z7" s="20"/>
      <c r="AA7" s="20"/>
      <c r="AB7" s="20"/>
    </row>
    <row r="8" spans="1:28" s="17" customFormat="1" ht="15.75" customHeight="1">
      <c r="A8" s="4" t="s">
        <v>5</v>
      </c>
      <c r="B8" s="15">
        <f>SUM(B9:B28)</f>
        <v>4756</v>
      </c>
      <c r="C8" s="9">
        <f>SUM(C9:C28)</f>
        <v>5896</v>
      </c>
      <c r="D8" s="9">
        <f>SUM(D9:D28)</f>
        <v>5957</v>
      </c>
      <c r="E8" s="9">
        <f t="shared" ref="E8:J8" si="3">SUM(E9:E28)</f>
        <v>6601</v>
      </c>
      <c r="F8" s="9">
        <f t="shared" si="3"/>
        <v>5527</v>
      </c>
      <c r="G8" s="9">
        <f t="shared" si="3"/>
        <v>5323</v>
      </c>
      <c r="H8" s="9">
        <f t="shared" si="3"/>
        <v>4806</v>
      </c>
      <c r="I8" s="9">
        <f t="shared" si="3"/>
        <v>4605</v>
      </c>
      <c r="J8" s="9">
        <f t="shared" si="3"/>
        <v>4608</v>
      </c>
      <c r="K8" s="9">
        <f t="shared" ref="K8:Q8" si="4">SUM(K9:K28)</f>
        <v>5021</v>
      </c>
      <c r="L8" s="9">
        <f t="shared" si="4"/>
        <v>4935</v>
      </c>
      <c r="M8" s="9">
        <f t="shared" si="4"/>
        <v>3955</v>
      </c>
      <c r="N8" s="9">
        <f t="shared" si="4"/>
        <v>4065</v>
      </c>
      <c r="O8" s="9">
        <f t="shared" si="4"/>
        <v>3972</v>
      </c>
      <c r="P8" s="9">
        <f t="shared" si="4"/>
        <v>3943</v>
      </c>
      <c r="Q8" s="9">
        <f t="shared" si="4"/>
        <v>4529</v>
      </c>
      <c r="R8" s="16"/>
      <c r="S8" s="40">
        <f t="shared" si="2"/>
        <v>14.86178037027644</v>
      </c>
      <c r="T8" s="33" t="s">
        <v>2</v>
      </c>
      <c r="W8" s="18"/>
      <c r="X8" s="19"/>
      <c r="Y8" s="3"/>
      <c r="Z8" s="20"/>
      <c r="AA8" s="20"/>
      <c r="AB8" s="20"/>
    </row>
    <row r="9" spans="1:28" s="22" customFormat="1" ht="15.75" customHeight="1">
      <c r="A9" s="21" t="s">
        <v>12</v>
      </c>
      <c r="B9" s="10">
        <v>269</v>
      </c>
      <c r="C9" s="10">
        <v>246</v>
      </c>
      <c r="D9" s="10">
        <v>236</v>
      </c>
      <c r="E9" s="10">
        <v>236</v>
      </c>
      <c r="F9" s="10">
        <v>210</v>
      </c>
      <c r="G9" s="10">
        <v>212</v>
      </c>
      <c r="H9" s="10">
        <v>154</v>
      </c>
      <c r="I9" s="10">
        <v>103</v>
      </c>
      <c r="J9" s="10">
        <v>134</v>
      </c>
      <c r="K9" s="10">
        <v>139</v>
      </c>
      <c r="L9" s="10">
        <v>91</v>
      </c>
      <c r="M9" s="10">
        <v>91</v>
      </c>
      <c r="N9" s="10">
        <v>126</v>
      </c>
      <c r="O9" s="10">
        <v>126</v>
      </c>
      <c r="P9" s="10">
        <v>150</v>
      </c>
      <c r="Q9" s="10">
        <v>215</v>
      </c>
      <c r="R9" s="16"/>
      <c r="S9" s="41">
        <f t="shared" si="2"/>
        <v>43.333333333333336</v>
      </c>
      <c r="T9" s="30" t="s">
        <v>13</v>
      </c>
      <c r="V9" s="5"/>
      <c r="W9" s="18"/>
      <c r="X9" s="19"/>
      <c r="Y9" s="3"/>
      <c r="Z9" s="23"/>
      <c r="AA9" s="23"/>
      <c r="AB9" s="23"/>
    </row>
    <row r="10" spans="1:28" s="22" customFormat="1" ht="15.75" customHeight="1">
      <c r="A10" s="21" t="s">
        <v>14</v>
      </c>
      <c r="B10" s="10">
        <v>575</v>
      </c>
      <c r="C10" s="10">
        <v>726</v>
      </c>
      <c r="D10" s="10">
        <v>630</v>
      </c>
      <c r="E10" s="10">
        <v>608</v>
      </c>
      <c r="F10" s="10">
        <v>568</v>
      </c>
      <c r="G10" s="10">
        <v>395</v>
      </c>
      <c r="H10" s="10">
        <v>262</v>
      </c>
      <c r="I10" s="10">
        <v>328</v>
      </c>
      <c r="J10" s="10">
        <v>354</v>
      </c>
      <c r="K10" s="10">
        <v>359</v>
      </c>
      <c r="L10" s="10">
        <v>521</v>
      </c>
      <c r="M10" s="10">
        <v>423</v>
      </c>
      <c r="N10" s="10">
        <v>341</v>
      </c>
      <c r="O10" s="10">
        <v>352</v>
      </c>
      <c r="P10" s="10">
        <v>364</v>
      </c>
      <c r="Q10" s="10">
        <v>397</v>
      </c>
      <c r="R10" s="16"/>
      <c r="S10" s="41">
        <f t="shared" si="2"/>
        <v>9.0659340659340657</v>
      </c>
      <c r="T10" s="30" t="s">
        <v>15</v>
      </c>
      <c r="V10" s="5"/>
      <c r="W10" s="18"/>
      <c r="X10" s="19"/>
      <c r="Y10" s="3"/>
      <c r="Z10" s="23"/>
      <c r="AA10" s="23"/>
      <c r="AB10" s="23"/>
    </row>
    <row r="11" spans="1:28" s="22" customFormat="1" ht="15.75" customHeight="1">
      <c r="A11" s="21" t="s">
        <v>16</v>
      </c>
      <c r="B11" s="10">
        <v>164</v>
      </c>
      <c r="C11" s="10">
        <v>186</v>
      </c>
      <c r="D11" s="10">
        <v>171</v>
      </c>
      <c r="E11" s="10">
        <v>138</v>
      </c>
      <c r="F11" s="10">
        <v>155</v>
      </c>
      <c r="G11" s="10">
        <v>148</v>
      </c>
      <c r="H11" s="10">
        <v>107</v>
      </c>
      <c r="I11" s="10">
        <v>71</v>
      </c>
      <c r="J11" s="10">
        <v>88</v>
      </c>
      <c r="K11" s="10">
        <v>116</v>
      </c>
      <c r="L11" s="10">
        <v>143</v>
      </c>
      <c r="M11" s="10">
        <v>89</v>
      </c>
      <c r="N11" s="10">
        <v>109</v>
      </c>
      <c r="O11" s="10">
        <v>101</v>
      </c>
      <c r="P11" s="10">
        <v>102</v>
      </c>
      <c r="Q11" s="10">
        <v>115</v>
      </c>
      <c r="R11" s="16"/>
      <c r="S11" s="41">
        <f t="shared" si="2"/>
        <v>12.745098039215685</v>
      </c>
      <c r="T11" s="30" t="s">
        <v>17</v>
      </c>
      <c r="V11" s="5"/>
      <c r="W11" s="18"/>
      <c r="X11" s="19"/>
      <c r="Y11" s="3"/>
      <c r="Z11" s="23"/>
      <c r="AA11" s="23"/>
      <c r="AB11" s="23"/>
    </row>
    <row r="12" spans="1:28" s="22" customFormat="1" ht="15.75" customHeight="1">
      <c r="A12" s="21" t="s">
        <v>18</v>
      </c>
      <c r="B12" s="10">
        <v>199</v>
      </c>
      <c r="C12" s="10">
        <v>232</v>
      </c>
      <c r="D12" s="10">
        <v>268</v>
      </c>
      <c r="E12" s="10">
        <v>260</v>
      </c>
      <c r="F12" s="10">
        <v>221</v>
      </c>
      <c r="G12" s="10">
        <v>144</v>
      </c>
      <c r="H12" s="10">
        <v>155</v>
      </c>
      <c r="I12" s="10">
        <v>177</v>
      </c>
      <c r="J12" s="10">
        <v>177</v>
      </c>
      <c r="K12" s="10">
        <v>219</v>
      </c>
      <c r="L12" s="10">
        <v>172</v>
      </c>
      <c r="M12" s="10">
        <v>132</v>
      </c>
      <c r="N12" s="10">
        <v>173</v>
      </c>
      <c r="O12" s="10">
        <v>221</v>
      </c>
      <c r="P12" s="10">
        <v>110</v>
      </c>
      <c r="Q12" s="10">
        <v>169</v>
      </c>
      <c r="R12" s="16"/>
      <c r="S12" s="41">
        <f t="shared" si="2"/>
        <v>53.63636363636364</v>
      </c>
      <c r="T12" s="30" t="s">
        <v>19</v>
      </c>
      <c r="V12" s="5"/>
      <c r="W12" s="18"/>
      <c r="X12" s="19"/>
      <c r="Y12" s="3"/>
      <c r="Z12" s="23"/>
      <c r="AA12" s="23"/>
      <c r="AB12" s="23"/>
    </row>
    <row r="13" spans="1:28" s="22" customFormat="1" ht="15.75" customHeight="1">
      <c r="A13" s="21" t="s">
        <v>20</v>
      </c>
      <c r="B13" s="10">
        <v>205</v>
      </c>
      <c r="C13" s="10">
        <v>250</v>
      </c>
      <c r="D13" s="10">
        <v>220</v>
      </c>
      <c r="E13" s="10">
        <v>229</v>
      </c>
      <c r="F13" s="10">
        <v>242</v>
      </c>
      <c r="G13" s="10">
        <v>265</v>
      </c>
      <c r="H13" s="10">
        <v>234</v>
      </c>
      <c r="I13" s="10">
        <v>218</v>
      </c>
      <c r="J13" s="10">
        <v>187</v>
      </c>
      <c r="K13" s="10">
        <v>256</v>
      </c>
      <c r="L13" s="10">
        <v>219</v>
      </c>
      <c r="M13" s="10">
        <v>178</v>
      </c>
      <c r="N13" s="10">
        <v>207</v>
      </c>
      <c r="O13" s="10">
        <v>202</v>
      </c>
      <c r="P13" s="10">
        <v>138</v>
      </c>
      <c r="Q13" s="10">
        <v>232</v>
      </c>
      <c r="R13" s="16"/>
      <c r="S13" s="41">
        <f t="shared" si="2"/>
        <v>68.115942028985515</v>
      </c>
      <c r="T13" s="30" t="s">
        <v>21</v>
      </c>
      <c r="V13" s="5"/>
      <c r="W13" s="18"/>
      <c r="X13" s="19"/>
      <c r="Y13" s="3"/>
      <c r="Z13" s="23"/>
      <c r="AA13" s="23"/>
      <c r="AB13" s="23"/>
    </row>
    <row r="14" spans="1:28" s="22" customFormat="1" ht="15.75" customHeight="1">
      <c r="A14" s="21" t="s">
        <v>22</v>
      </c>
      <c r="B14" s="10">
        <v>173</v>
      </c>
      <c r="C14" s="10">
        <v>218</v>
      </c>
      <c r="D14" s="10">
        <v>245</v>
      </c>
      <c r="E14" s="10">
        <v>157</v>
      </c>
      <c r="F14" s="10">
        <v>167</v>
      </c>
      <c r="G14" s="10">
        <v>149</v>
      </c>
      <c r="H14" s="10">
        <v>158</v>
      </c>
      <c r="I14" s="10">
        <v>186</v>
      </c>
      <c r="J14" s="10">
        <v>155</v>
      </c>
      <c r="K14" s="10">
        <v>146</v>
      </c>
      <c r="L14" s="10">
        <v>152</v>
      </c>
      <c r="M14" s="10">
        <v>132</v>
      </c>
      <c r="N14" s="10">
        <v>162</v>
      </c>
      <c r="O14" s="10">
        <v>155</v>
      </c>
      <c r="P14" s="10">
        <v>121</v>
      </c>
      <c r="Q14" s="10">
        <v>142</v>
      </c>
      <c r="R14" s="16"/>
      <c r="S14" s="41">
        <f t="shared" si="2"/>
        <v>17.355371900826448</v>
      </c>
      <c r="T14" s="30" t="s">
        <v>23</v>
      </c>
      <c r="V14" s="5"/>
      <c r="W14" s="18"/>
      <c r="X14" s="19"/>
      <c r="Y14" s="3"/>
      <c r="Z14" s="23"/>
      <c r="AA14" s="23"/>
      <c r="AB14" s="23"/>
    </row>
    <row r="15" spans="1:28" s="22" customFormat="1" ht="15.75" customHeight="1">
      <c r="A15" s="21" t="s">
        <v>24</v>
      </c>
      <c r="B15" s="10">
        <v>182</v>
      </c>
      <c r="C15" s="10">
        <v>185</v>
      </c>
      <c r="D15" s="10">
        <v>253</v>
      </c>
      <c r="E15" s="10">
        <v>208</v>
      </c>
      <c r="F15" s="10">
        <v>245</v>
      </c>
      <c r="G15" s="10">
        <v>243</v>
      </c>
      <c r="H15" s="10">
        <v>204</v>
      </c>
      <c r="I15" s="10">
        <v>196</v>
      </c>
      <c r="J15" s="10">
        <v>170</v>
      </c>
      <c r="K15" s="10">
        <v>230</v>
      </c>
      <c r="L15" s="10">
        <v>190</v>
      </c>
      <c r="M15" s="10">
        <v>159</v>
      </c>
      <c r="N15" s="10">
        <v>177</v>
      </c>
      <c r="O15" s="10">
        <v>175</v>
      </c>
      <c r="P15" s="10">
        <v>179</v>
      </c>
      <c r="Q15" s="10">
        <v>257</v>
      </c>
      <c r="R15" s="16"/>
      <c r="S15" s="41">
        <f t="shared" si="2"/>
        <v>43.575418994413404</v>
      </c>
      <c r="T15" s="30" t="s">
        <v>25</v>
      </c>
      <c r="V15" s="5"/>
      <c r="W15" s="18"/>
      <c r="X15" s="19"/>
      <c r="Y15" s="3"/>
      <c r="Z15" s="23"/>
      <c r="AA15" s="23"/>
      <c r="AB15" s="23"/>
    </row>
    <row r="16" spans="1:28" s="22" customFormat="1" ht="15.75" customHeight="1">
      <c r="A16" s="21" t="s">
        <v>26</v>
      </c>
      <c r="B16" s="10">
        <v>228</v>
      </c>
      <c r="C16" s="10">
        <v>363</v>
      </c>
      <c r="D16" s="10">
        <v>372</v>
      </c>
      <c r="E16" s="10">
        <v>281</v>
      </c>
      <c r="F16" s="10">
        <v>277</v>
      </c>
      <c r="G16" s="10">
        <v>530</v>
      </c>
      <c r="H16" s="10">
        <v>602</v>
      </c>
      <c r="I16" s="10">
        <v>653</v>
      </c>
      <c r="J16" s="10">
        <v>524</v>
      </c>
      <c r="K16" s="10">
        <v>705</v>
      </c>
      <c r="L16" s="10">
        <v>497</v>
      </c>
      <c r="M16" s="10">
        <v>435</v>
      </c>
      <c r="N16" s="10">
        <v>490</v>
      </c>
      <c r="O16" s="10">
        <v>243</v>
      </c>
      <c r="P16" s="10">
        <v>301</v>
      </c>
      <c r="Q16" s="10">
        <v>363</v>
      </c>
      <c r="R16" s="16"/>
      <c r="S16" s="41">
        <f t="shared" si="2"/>
        <v>20.598006644518271</v>
      </c>
      <c r="T16" s="30" t="s">
        <v>27</v>
      </c>
      <c r="V16" s="5"/>
      <c r="W16" s="18"/>
      <c r="X16" s="19"/>
      <c r="Y16" s="3"/>
      <c r="Z16" s="23"/>
      <c r="AA16" s="23"/>
      <c r="AB16" s="23"/>
    </row>
    <row r="17" spans="1:28" s="22" customFormat="1" ht="15.75" customHeight="1">
      <c r="A17" s="21" t="s">
        <v>28</v>
      </c>
      <c r="B17" s="10">
        <v>114</v>
      </c>
      <c r="C17" s="10">
        <v>111</v>
      </c>
      <c r="D17" s="10">
        <v>103</v>
      </c>
      <c r="E17" s="10">
        <v>135</v>
      </c>
      <c r="F17" s="10">
        <v>91</v>
      </c>
      <c r="G17" s="10">
        <v>124</v>
      </c>
      <c r="H17" s="10">
        <v>100</v>
      </c>
      <c r="I17" s="10">
        <v>131</v>
      </c>
      <c r="J17" s="10">
        <v>122</v>
      </c>
      <c r="K17" s="10">
        <v>108</v>
      </c>
      <c r="L17" s="10">
        <v>99</v>
      </c>
      <c r="M17" s="10">
        <v>82</v>
      </c>
      <c r="N17" s="10">
        <v>115</v>
      </c>
      <c r="O17" s="10">
        <v>174</v>
      </c>
      <c r="P17" s="10">
        <v>181</v>
      </c>
      <c r="Q17" s="10">
        <v>226</v>
      </c>
      <c r="R17" s="16"/>
      <c r="S17" s="41">
        <f t="shared" si="2"/>
        <v>24.861878453038674</v>
      </c>
      <c r="T17" s="30" t="s">
        <v>29</v>
      </c>
      <c r="V17" s="5"/>
      <c r="W17" s="18"/>
      <c r="X17" s="19"/>
      <c r="Y17" s="3"/>
      <c r="Z17" s="23"/>
      <c r="AA17" s="23"/>
      <c r="AB17" s="23"/>
    </row>
    <row r="18" spans="1:28" s="22" customFormat="1" ht="15.75" customHeight="1">
      <c r="A18" s="21" t="s">
        <v>30</v>
      </c>
      <c r="B18" s="10">
        <v>141</v>
      </c>
      <c r="C18" s="10">
        <v>187</v>
      </c>
      <c r="D18" s="10">
        <v>151</v>
      </c>
      <c r="E18" s="10">
        <v>500</v>
      </c>
      <c r="F18" s="10">
        <v>284</v>
      </c>
      <c r="G18" s="10">
        <v>256</v>
      </c>
      <c r="H18" s="10">
        <v>197</v>
      </c>
      <c r="I18" s="10">
        <v>178</v>
      </c>
      <c r="J18" s="10">
        <v>193</v>
      </c>
      <c r="K18" s="10">
        <v>210</v>
      </c>
      <c r="L18" s="10">
        <v>193</v>
      </c>
      <c r="M18" s="10">
        <v>183</v>
      </c>
      <c r="N18" s="10">
        <v>206</v>
      </c>
      <c r="O18" s="10">
        <v>217</v>
      </c>
      <c r="P18" s="10">
        <v>237</v>
      </c>
      <c r="Q18" s="10">
        <v>210</v>
      </c>
      <c r="R18" s="16"/>
      <c r="S18" s="41">
        <f t="shared" si="2"/>
        <v>-11.39240506329114</v>
      </c>
      <c r="T18" s="30" t="s">
        <v>31</v>
      </c>
      <c r="V18" s="5"/>
      <c r="W18" s="18"/>
      <c r="X18" s="19"/>
      <c r="Y18" s="3"/>
      <c r="Z18" s="23"/>
      <c r="AA18" s="23"/>
      <c r="AB18" s="23"/>
    </row>
    <row r="19" spans="1:28" s="22" customFormat="1" ht="15.75" customHeight="1">
      <c r="A19" s="21" t="s">
        <v>32</v>
      </c>
      <c r="B19" s="10">
        <v>15</v>
      </c>
      <c r="C19" s="10">
        <v>18</v>
      </c>
      <c r="D19" s="10">
        <v>27</v>
      </c>
      <c r="E19" s="10">
        <v>19</v>
      </c>
      <c r="F19" s="10">
        <v>32</v>
      </c>
      <c r="G19" s="10">
        <v>40</v>
      </c>
      <c r="H19" s="10">
        <v>35</v>
      </c>
      <c r="I19" s="10">
        <v>36</v>
      </c>
      <c r="J19" s="10">
        <v>28</v>
      </c>
      <c r="K19" s="10">
        <v>33</v>
      </c>
      <c r="L19" s="10">
        <v>17</v>
      </c>
      <c r="M19" s="10">
        <v>18</v>
      </c>
      <c r="N19" s="10">
        <v>35</v>
      </c>
      <c r="O19" s="10">
        <v>29</v>
      </c>
      <c r="P19" s="10">
        <v>37</v>
      </c>
      <c r="Q19" s="10">
        <v>40</v>
      </c>
      <c r="R19" s="16"/>
      <c r="S19" s="41">
        <f t="shared" si="2"/>
        <v>8.1081081081081088</v>
      </c>
      <c r="T19" s="30" t="s">
        <v>33</v>
      </c>
      <c r="V19" s="5"/>
      <c r="W19" s="18"/>
      <c r="X19" s="19"/>
      <c r="Y19" s="3"/>
      <c r="Z19" s="23"/>
      <c r="AA19" s="23"/>
      <c r="AB19" s="23"/>
    </row>
    <row r="20" spans="1:28" s="22" customFormat="1" ht="15.75" customHeight="1">
      <c r="A20" s="21" t="s">
        <v>34</v>
      </c>
      <c r="B20" s="10">
        <v>83</v>
      </c>
      <c r="C20" s="10">
        <v>105</v>
      </c>
      <c r="D20" s="10">
        <v>108</v>
      </c>
      <c r="E20" s="10">
        <v>77</v>
      </c>
      <c r="F20" s="10">
        <v>64</v>
      </c>
      <c r="G20" s="10">
        <v>68</v>
      </c>
      <c r="H20" s="10">
        <v>65</v>
      </c>
      <c r="I20" s="10">
        <v>66</v>
      </c>
      <c r="J20" s="10">
        <v>78</v>
      </c>
      <c r="K20" s="10">
        <v>88</v>
      </c>
      <c r="L20" s="10">
        <v>70</v>
      </c>
      <c r="M20" s="10">
        <v>48</v>
      </c>
      <c r="N20" s="10">
        <v>73</v>
      </c>
      <c r="O20" s="10">
        <v>82</v>
      </c>
      <c r="P20" s="10">
        <v>133</v>
      </c>
      <c r="Q20" s="10">
        <v>184</v>
      </c>
      <c r="R20" s="16"/>
      <c r="S20" s="41">
        <f t="shared" si="2"/>
        <v>38.345864661654133</v>
      </c>
      <c r="T20" s="30" t="s">
        <v>35</v>
      </c>
      <c r="V20" s="5"/>
      <c r="W20" s="18"/>
      <c r="X20" s="19"/>
      <c r="Y20" s="3"/>
      <c r="Z20" s="23"/>
      <c r="AA20" s="23"/>
      <c r="AB20" s="23"/>
    </row>
    <row r="21" spans="1:28" s="22" customFormat="1" ht="15.75" customHeight="1">
      <c r="A21" s="21" t="s">
        <v>36</v>
      </c>
      <c r="B21" s="10">
        <v>43</v>
      </c>
      <c r="C21" s="10">
        <v>56</v>
      </c>
      <c r="D21" s="10">
        <v>64</v>
      </c>
      <c r="E21" s="10">
        <v>39</v>
      </c>
      <c r="F21" s="10">
        <v>64</v>
      </c>
      <c r="G21" s="10">
        <v>75</v>
      </c>
      <c r="H21" s="10">
        <v>63</v>
      </c>
      <c r="I21" s="10">
        <v>72</v>
      </c>
      <c r="J21" s="10">
        <v>60</v>
      </c>
      <c r="K21" s="10">
        <v>70</v>
      </c>
      <c r="L21" s="10">
        <v>91</v>
      </c>
      <c r="M21" s="10">
        <v>90</v>
      </c>
      <c r="N21" s="10">
        <v>61</v>
      </c>
      <c r="O21" s="10">
        <v>72</v>
      </c>
      <c r="P21" s="10">
        <v>65</v>
      </c>
      <c r="Q21" s="10">
        <v>91</v>
      </c>
      <c r="R21" s="16"/>
      <c r="S21" s="41">
        <f t="shared" si="2"/>
        <v>40</v>
      </c>
      <c r="T21" s="30" t="s">
        <v>37</v>
      </c>
      <c r="V21" s="5"/>
      <c r="W21" s="18"/>
      <c r="X21" s="19"/>
      <c r="Y21" s="5"/>
      <c r="Z21" s="23"/>
      <c r="AA21" s="23"/>
      <c r="AB21" s="23"/>
    </row>
    <row r="22" spans="1:28" s="22" customFormat="1" ht="15.75" customHeight="1">
      <c r="A22" s="21" t="s">
        <v>38</v>
      </c>
      <c r="B22" s="10">
        <v>50</v>
      </c>
      <c r="C22" s="10">
        <v>89</v>
      </c>
      <c r="D22" s="10">
        <v>62</v>
      </c>
      <c r="E22" s="10">
        <v>79</v>
      </c>
      <c r="F22" s="10">
        <v>73</v>
      </c>
      <c r="G22" s="10">
        <v>67</v>
      </c>
      <c r="H22" s="10">
        <v>82</v>
      </c>
      <c r="I22" s="10">
        <v>123</v>
      </c>
      <c r="J22" s="10">
        <v>139</v>
      </c>
      <c r="K22" s="10">
        <v>156</v>
      </c>
      <c r="L22" s="10">
        <v>130</v>
      </c>
      <c r="M22" s="10">
        <v>110</v>
      </c>
      <c r="N22" s="10">
        <v>116</v>
      </c>
      <c r="O22" s="10">
        <v>87</v>
      </c>
      <c r="P22" s="10">
        <v>82</v>
      </c>
      <c r="Q22" s="10">
        <v>114</v>
      </c>
      <c r="R22" s="16"/>
      <c r="S22" s="41">
        <f t="shared" si="2"/>
        <v>39.024390243902438</v>
      </c>
      <c r="T22" s="30" t="s">
        <v>39</v>
      </c>
      <c r="V22" s="5"/>
      <c r="W22" s="18"/>
      <c r="X22" s="19"/>
      <c r="Y22" s="5"/>
      <c r="Z22" s="23"/>
      <c r="AA22" s="23"/>
      <c r="AB22" s="23"/>
    </row>
    <row r="23" spans="1:28" s="22" customFormat="1" ht="15.75" customHeight="1">
      <c r="A23" s="21" t="s">
        <v>40</v>
      </c>
      <c r="B23" s="10">
        <v>160</v>
      </c>
      <c r="C23" s="10">
        <v>145</v>
      </c>
      <c r="D23" s="10">
        <v>172</v>
      </c>
      <c r="E23" s="10">
        <v>220</v>
      </c>
      <c r="F23" s="10">
        <v>167</v>
      </c>
      <c r="G23" s="10">
        <v>144</v>
      </c>
      <c r="H23" s="10">
        <v>138</v>
      </c>
      <c r="I23" s="10">
        <v>110</v>
      </c>
      <c r="J23" s="10">
        <v>155</v>
      </c>
      <c r="K23" s="10">
        <v>207</v>
      </c>
      <c r="L23" s="10">
        <v>225</v>
      </c>
      <c r="M23" s="10">
        <v>145</v>
      </c>
      <c r="N23" s="10">
        <v>150</v>
      </c>
      <c r="O23" s="10">
        <v>140</v>
      </c>
      <c r="P23" s="10">
        <v>139</v>
      </c>
      <c r="Q23" s="10">
        <v>156</v>
      </c>
      <c r="R23" s="16"/>
      <c r="S23" s="41">
        <f t="shared" si="2"/>
        <v>12.23021582733813</v>
      </c>
      <c r="T23" s="30" t="s">
        <v>41</v>
      </c>
      <c r="V23" s="5"/>
      <c r="W23" s="18"/>
      <c r="X23" s="19"/>
      <c r="Y23" s="5"/>
      <c r="Z23" s="23"/>
      <c r="AA23" s="23"/>
      <c r="AB23" s="23"/>
    </row>
    <row r="24" spans="1:28" s="22" customFormat="1" ht="15.75" customHeight="1">
      <c r="A24" s="21" t="s">
        <v>25</v>
      </c>
      <c r="B24" s="10">
        <v>454</v>
      </c>
      <c r="C24" s="10">
        <v>487</v>
      </c>
      <c r="D24" s="10">
        <v>403</v>
      </c>
      <c r="E24" s="10">
        <v>397</v>
      </c>
      <c r="F24" s="10">
        <v>345</v>
      </c>
      <c r="G24" s="10">
        <v>368</v>
      </c>
      <c r="H24" s="10">
        <v>316</v>
      </c>
      <c r="I24" s="10">
        <v>396</v>
      </c>
      <c r="J24" s="10">
        <v>298</v>
      </c>
      <c r="K24" s="10">
        <v>257</v>
      </c>
      <c r="L24" s="10">
        <v>283</v>
      </c>
      <c r="M24" s="10">
        <v>223</v>
      </c>
      <c r="N24" s="10">
        <v>198</v>
      </c>
      <c r="O24" s="10">
        <v>264</v>
      </c>
      <c r="P24" s="10">
        <v>248</v>
      </c>
      <c r="Q24" s="10">
        <v>267</v>
      </c>
      <c r="R24" s="16"/>
      <c r="S24" s="41">
        <f t="shared" si="2"/>
        <v>7.661290322580645</v>
      </c>
      <c r="T24" s="30" t="s">
        <v>42</v>
      </c>
      <c r="V24" s="5"/>
      <c r="W24" s="18"/>
      <c r="X24" s="19"/>
      <c r="Y24" s="5"/>
      <c r="Z24" s="23"/>
      <c r="AA24" s="23"/>
      <c r="AB24" s="23"/>
    </row>
    <row r="25" spans="1:28" s="22" customFormat="1" ht="15.75" customHeight="1">
      <c r="A25" s="21" t="s">
        <v>43</v>
      </c>
      <c r="B25" s="10">
        <v>237</v>
      </c>
      <c r="C25" s="10">
        <v>389</v>
      </c>
      <c r="D25" s="10">
        <v>337</v>
      </c>
      <c r="E25" s="10">
        <v>558</v>
      </c>
      <c r="F25" s="10">
        <v>383</v>
      </c>
      <c r="G25" s="10">
        <v>419</v>
      </c>
      <c r="H25" s="10">
        <v>274</v>
      </c>
      <c r="I25" s="10">
        <v>231</v>
      </c>
      <c r="J25" s="10">
        <v>247</v>
      </c>
      <c r="K25" s="10">
        <v>228</v>
      </c>
      <c r="L25" s="10">
        <v>236</v>
      </c>
      <c r="M25" s="10">
        <v>183</v>
      </c>
      <c r="N25" s="10">
        <v>145</v>
      </c>
      <c r="O25" s="10">
        <v>178</v>
      </c>
      <c r="P25" s="10">
        <v>189</v>
      </c>
      <c r="Q25" s="10">
        <v>175</v>
      </c>
      <c r="R25" s="16"/>
      <c r="S25" s="41">
        <f t="shared" si="2"/>
        <v>-7.4074074074074066</v>
      </c>
      <c r="T25" s="30" t="s">
        <v>44</v>
      </c>
      <c r="V25" s="5"/>
      <c r="W25" s="18"/>
      <c r="X25" s="19"/>
      <c r="Y25" s="5"/>
      <c r="Z25" s="23"/>
      <c r="AA25" s="23"/>
      <c r="AB25" s="23"/>
    </row>
    <row r="26" spans="1:28" s="22" customFormat="1" ht="15.75" customHeight="1">
      <c r="A26" s="21" t="s">
        <v>45</v>
      </c>
      <c r="B26" s="10">
        <v>396</v>
      </c>
      <c r="C26" s="10">
        <v>454</v>
      </c>
      <c r="D26" s="10">
        <v>354</v>
      </c>
      <c r="E26" s="10">
        <v>494</v>
      </c>
      <c r="F26" s="10">
        <v>426</v>
      </c>
      <c r="G26" s="10">
        <v>403</v>
      </c>
      <c r="H26" s="10">
        <v>252</v>
      </c>
      <c r="I26" s="10">
        <v>299</v>
      </c>
      <c r="J26" s="10">
        <v>388</v>
      </c>
      <c r="K26" s="10">
        <v>365</v>
      </c>
      <c r="L26" s="10">
        <v>274</v>
      </c>
      <c r="M26" s="10">
        <v>188</v>
      </c>
      <c r="N26" s="10">
        <v>240</v>
      </c>
      <c r="O26" s="10">
        <v>228</v>
      </c>
      <c r="P26" s="10">
        <v>278</v>
      </c>
      <c r="Q26" s="10">
        <v>299</v>
      </c>
      <c r="R26" s="16"/>
      <c r="S26" s="41">
        <f t="shared" si="2"/>
        <v>7.5539568345323742</v>
      </c>
      <c r="T26" s="30" t="s">
        <v>46</v>
      </c>
      <c r="V26" s="5"/>
      <c r="W26" s="23"/>
      <c r="X26" s="23"/>
      <c r="Y26" s="23"/>
      <c r="Z26" s="23"/>
      <c r="AA26" s="23"/>
      <c r="AB26" s="23"/>
    </row>
    <row r="27" spans="1:28" s="22" customFormat="1" ht="15.75" customHeight="1">
      <c r="A27" s="21" t="s">
        <v>47</v>
      </c>
      <c r="B27" s="10">
        <v>228</v>
      </c>
      <c r="C27" s="10">
        <v>453</v>
      </c>
      <c r="D27" s="10">
        <v>676</v>
      </c>
      <c r="E27" s="10">
        <v>617</v>
      </c>
      <c r="F27" s="10">
        <v>525</v>
      </c>
      <c r="G27" s="10">
        <v>365</v>
      </c>
      <c r="H27" s="10">
        <v>282</v>
      </c>
      <c r="I27" s="10">
        <v>275</v>
      </c>
      <c r="J27" s="10">
        <v>268</v>
      </c>
      <c r="K27" s="10">
        <v>379</v>
      </c>
      <c r="L27" s="10">
        <v>501</v>
      </c>
      <c r="M27" s="10">
        <v>336</v>
      </c>
      <c r="N27" s="10">
        <v>326</v>
      </c>
      <c r="O27" s="10">
        <v>353</v>
      </c>
      <c r="P27" s="10">
        <v>386</v>
      </c>
      <c r="Q27" s="10">
        <v>343</v>
      </c>
      <c r="R27" s="16"/>
      <c r="S27" s="41">
        <f t="shared" si="2"/>
        <v>-11.139896373056994</v>
      </c>
      <c r="T27" s="30" t="s">
        <v>18</v>
      </c>
      <c r="V27" s="5"/>
      <c r="W27" s="23"/>
      <c r="X27" s="23"/>
      <c r="Y27" s="23"/>
      <c r="Z27" s="23"/>
      <c r="AA27" s="23"/>
      <c r="AB27" s="23"/>
    </row>
    <row r="28" spans="1:28" s="22" customFormat="1" ht="15.75" customHeight="1">
      <c r="A28" s="24" t="s">
        <v>17</v>
      </c>
      <c r="B28" s="11">
        <v>840</v>
      </c>
      <c r="C28" s="11">
        <v>996</v>
      </c>
      <c r="D28" s="11">
        <v>1105</v>
      </c>
      <c r="E28" s="11">
        <v>1349</v>
      </c>
      <c r="F28" s="11">
        <v>988</v>
      </c>
      <c r="G28" s="11">
        <v>908</v>
      </c>
      <c r="H28" s="11">
        <v>1126</v>
      </c>
      <c r="I28" s="11">
        <v>756</v>
      </c>
      <c r="J28" s="11">
        <v>843</v>
      </c>
      <c r="K28" s="11">
        <v>750</v>
      </c>
      <c r="L28" s="11">
        <v>831</v>
      </c>
      <c r="M28" s="11">
        <v>710</v>
      </c>
      <c r="N28" s="11">
        <v>615</v>
      </c>
      <c r="O28" s="11">
        <v>573</v>
      </c>
      <c r="P28" s="11">
        <v>503</v>
      </c>
      <c r="Q28" s="11">
        <v>534</v>
      </c>
      <c r="R28" s="28"/>
      <c r="S28" s="42">
        <f t="shared" si="2"/>
        <v>6.1630218687872764</v>
      </c>
      <c r="T28" s="31" t="s">
        <v>48</v>
      </c>
      <c r="V28" s="5"/>
      <c r="W28" s="23"/>
      <c r="X28" s="23"/>
      <c r="Y28" s="23"/>
      <c r="Z28" s="23"/>
      <c r="AA28" s="23"/>
      <c r="AB28" s="23"/>
    </row>
    <row r="29" spans="1:28" s="26" customFormat="1" ht="14.25" customHeight="1">
      <c r="A29" s="8" t="s">
        <v>0</v>
      </c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32" t="s">
        <v>1</v>
      </c>
      <c r="W29" s="7"/>
      <c r="X29" s="7"/>
      <c r="Y29" s="7"/>
      <c r="Z29" s="7"/>
      <c r="AA29" s="7"/>
      <c r="AB29" s="7"/>
    </row>
    <row r="30" spans="1:28">
      <c r="W30" s="3"/>
      <c r="X30" s="3"/>
      <c r="Y30" s="3"/>
      <c r="Z30" s="3"/>
      <c r="AA30" s="3"/>
      <c r="AB30" s="3"/>
    </row>
    <row r="31" spans="1:28">
      <c r="A31" s="27"/>
      <c r="W31" s="3"/>
      <c r="X31" s="3"/>
      <c r="Z31" s="3"/>
      <c r="AA31" s="3"/>
      <c r="AB31" s="3"/>
    </row>
    <row r="32" spans="1:28">
      <c r="W32" s="3"/>
      <c r="X32" s="3"/>
      <c r="Y32" s="3"/>
      <c r="Z32" s="3"/>
      <c r="AA32" s="3"/>
      <c r="AB32" s="3"/>
    </row>
    <row r="33" spans="1:28">
      <c r="W33" s="3"/>
      <c r="X33" s="3"/>
      <c r="Y33" s="3"/>
      <c r="Z33" s="3"/>
      <c r="AA33" s="3"/>
      <c r="AB33" s="3"/>
    </row>
    <row r="34" spans="1:28">
      <c r="W34" s="3"/>
      <c r="X34" s="3"/>
      <c r="Y34" s="3"/>
      <c r="Z34" s="3"/>
      <c r="AA34" s="3"/>
      <c r="AB34" s="3"/>
    </row>
    <row r="35" spans="1:28">
      <c r="W35" s="3"/>
      <c r="X35" s="3"/>
      <c r="Y35" s="3"/>
      <c r="Z35" s="3"/>
      <c r="AA35" s="3"/>
      <c r="AB35" s="3"/>
    </row>
    <row r="36" spans="1:28" ht="17.25">
      <c r="A36" s="12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13"/>
      <c r="W36" s="3"/>
      <c r="X36" s="3"/>
      <c r="Y36" s="3"/>
      <c r="Z36" s="3"/>
      <c r="AA36" s="3"/>
      <c r="AB36" s="3"/>
    </row>
    <row r="37" spans="1:28">
      <c r="W37" s="3"/>
      <c r="X37" s="3"/>
      <c r="Y37" s="3"/>
      <c r="Z37" s="3"/>
      <c r="AA37" s="3"/>
      <c r="AB37" s="3"/>
    </row>
    <row r="38" spans="1:28">
      <c r="W38" s="3"/>
      <c r="X38" s="3"/>
      <c r="Y38" s="3"/>
      <c r="Z38" s="3"/>
      <c r="AA38" s="3"/>
      <c r="AB38" s="3"/>
    </row>
    <row r="45" spans="1:28" ht="5.25" customHeight="1"/>
    <row r="60" s="1" customFormat="1" ht="9" customHeight="1"/>
  </sheetData>
  <mergeCells count="20">
    <mergeCell ref="T3:T5"/>
    <mergeCell ref="O3:O5"/>
    <mergeCell ref="P3:P5"/>
    <mergeCell ref="Q3:Q5"/>
    <mergeCell ref="A1:T1"/>
    <mergeCell ref="A2:T2"/>
    <mergeCell ref="A3:A5"/>
    <mergeCell ref="B3:B5"/>
    <mergeCell ref="C3:C5"/>
    <mergeCell ref="D3:D5"/>
    <mergeCell ref="E3:E5"/>
    <mergeCell ref="F3:F5"/>
    <mergeCell ref="G3:G5"/>
    <mergeCell ref="H3:H5"/>
    <mergeCell ref="K3:K5"/>
    <mergeCell ref="L3:L5"/>
    <mergeCell ref="M3:M5"/>
    <mergeCell ref="N3:N5"/>
    <mergeCell ref="I3:I5"/>
    <mergeCell ref="J3:J5"/>
  </mergeCells>
  <pageMargins left="0.7" right="0.7" top="0.75" bottom="0.75" header="0.3" footer="0.3"/>
  <pageSetup paperSize="9" scale="73" orientation="portrait" r:id="rId1"/>
  <colBreaks count="1" manualBreakCount="1">
    <brk id="21" max="1048575" man="1"/>
  </colBreaks>
  <drawing r:id="rId2"/>
</worksheet>
</file>

<file path=docMetadata/LabelInfo.xml><?xml version="1.0" encoding="utf-8"?>
<clbl:labelList xmlns:clbl="http://schemas.microsoft.com/office/2020/mipLabelMetadata">
  <clbl:label id="{defa4170-0d19-0005-0004-bc88714345d2}" enabled="1" method="Standard" siteId="{75c82633-bac2-4eeb-a472-e92fb7a90b9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8.3</vt:lpstr>
      <vt:lpstr>'8.3'!Print_Area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2026-06-25T02:47:09Z</cp:lastPrinted>
  <dcterms:created xsi:type="dcterms:W3CDTF">2019-06-30T04:22:49Z</dcterms:created>
  <dcterms:modified xsi:type="dcterms:W3CDTF">2026-06-25T02:47:16Z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2023-07-17T04:33:18Z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75c82633-bac2-4eeb-a472-e92fb7a90b9f</vt:lpwstr>
  </property>
  <property fmtid="{D5CDD505-2E9C-101B-9397-08002B2CF9AE}" pid="7" name="MSIP_Label_defa4170-0d19-0005-0004-bc88714345d2_ActionId">
    <vt:lpwstr>b5bda0bc-38ca-4d61-82ae-4e15e380adf9</vt:lpwstr>
  </property>
  <property fmtid="{D5CDD505-2E9C-101B-9397-08002B2CF9AE}" pid="8" name="MSIP_Label_defa4170-0d19-0005-0004-bc88714345d2_ContentBits">
    <vt:lpwstr>0</vt:lpwstr>
  </property>
</Properties>
</file>