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AFC45C37-16DE-4836-8B74-B9A4EBD62342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11" sheetId="11" r:id="rId1"/>
  </sheets>
  <definedNames>
    <definedName name="_xlnm.Print_Area" localSheetId="0">'8.11'!$A$1:$N$30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1" l="1"/>
  <c r="L8" i="11"/>
  <c r="L9" i="11"/>
  <c r="L10" i="11"/>
  <c r="L11" i="11"/>
  <c r="L12" i="11"/>
  <c r="L6" i="11"/>
  <c r="K5" i="11"/>
  <c r="J5" i="11" l="1"/>
  <c r="L5" i="11" s="1"/>
  <c r="I5" i="11" l="1"/>
  <c r="H5" i="11" l="1"/>
  <c r="G5" i="11" l="1"/>
  <c r="F5" i="11" l="1"/>
  <c r="E5" i="11" l="1"/>
  <c r="D5" i="11" l="1"/>
  <c r="C5" i="11"/>
  <c r="B5" i="11"/>
</calcChain>
</file>

<file path=xl/sharedStrings.xml><?xml version="1.0" encoding="utf-8"?>
<sst xmlns="http://schemas.openxmlformats.org/spreadsheetml/2006/main" count="26" uniqueCount="25">
  <si>
    <t>Total</t>
  </si>
  <si>
    <t>Traffic accidents</t>
  </si>
  <si>
    <t>Source: Maldives Police Service</t>
  </si>
  <si>
    <t>csivrws csilop cscviDclOm :Ivcaed utWmUluAwm</t>
  </si>
  <si>
    <t>-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</si>
  <si>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</si>
  <si>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</si>
  <si>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</si>
  <si>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</si>
  <si>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>Homicides</t>
  </si>
  <si>
    <t>ގަސްތުގައި މީހުން މެރުން</t>
  </si>
  <si>
    <t>Suicides</t>
  </si>
  <si>
    <t>އަމިއްލައަށް މަރުވުން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</si>
  <si>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</si>
  <si>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</si>
  <si>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</si>
  <si>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</si>
  <si>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</si>
  <si>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</si>
  <si>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</si>
  <si>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Marine Accidents</t>
  </si>
  <si>
    <t>ކަނޑުމަތީގެ އެކްސިޑެންޓް</t>
  </si>
  <si>
    <t>% change over 2024</t>
  </si>
  <si>
    <t>Table 8.11 : LOGGED CASES OF DEATH , 2016 - 2025</t>
  </si>
  <si>
    <t>ތާވަލު 8.11: ހުށަހެޅިފައިވާ މަރުގެ މައްސަލަތައް، 2016- 2025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</si>
</sst>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_Randhoo"/>
    </font>
    <font>
      <sz val="9"/>
      <color theme="1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0"/>
      <color theme="1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8" fillId="0" borderId="7" applyNumberFormat="0" applyFill="0" applyAlignment="0" applyProtection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172" fontId="20" fillId="0" borderId="0"/>
    <xf numFmtId="1" fontId="21" fillId="0" borderId="11" applyNumberFormat="0"/>
    <xf numFmtId="0" fontId="17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9" fillId="0" borderId="0"/>
    <xf numFmtId="40" fontId="19" fillId="0" borderId="0" applyFont="0" applyFill="0" applyBorder="0" applyAlignment="0" applyProtection="0"/>
    <xf numFmtId="0" fontId="19" fillId="0" borderId="0"/>
    <xf numFmtId="0" fontId="17" fillId="0" borderId="0"/>
    <xf numFmtId="1" fontId="21" fillId="0" borderId="11" applyNumberFormat="0"/>
    <xf numFmtId="0" fontId="1" fillId="0" borderId="0"/>
    <xf numFmtId="0" fontId="19" fillId="0" borderId="0"/>
    <xf numFmtId="0" fontId="6" fillId="0" borderId="0" applyFill="0" applyProtection="0"/>
    <xf numFmtId="1" fontId="21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22" fillId="0" borderId="0"/>
    <xf numFmtId="0" fontId="23" fillId="0" borderId="0"/>
    <xf numFmtId="0" fontId="22" fillId="0" borderId="0"/>
    <xf numFmtId="0" fontId="1" fillId="0" borderId="0"/>
    <xf numFmtId="0" fontId="19" fillId="0" borderId="0"/>
    <xf numFmtId="0" fontId="6" fillId="0" borderId="0" applyFill="0" applyProtection="0"/>
    <xf numFmtId="1" fontId="21" fillId="0" borderId="11" applyNumberFormat="0"/>
    <xf numFmtId="0" fontId="1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9" fillId="0" borderId="0" applyFont="0" applyFill="0" applyBorder="0" applyAlignment="0" applyProtection="0"/>
    <xf numFmtId="0" fontId="1" fillId="0" borderId="0"/>
    <xf numFmtId="0" fontId="24" fillId="0" borderId="0" applyBorder="0"/>
    <xf numFmtId="0" fontId="1" fillId="0" borderId="0"/>
    <xf numFmtId="40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4" fillId="0" borderId="0" applyBorder="0"/>
    <xf numFmtId="0" fontId="1" fillId="0" borderId="0"/>
    <xf numFmtId="0" fontId="1" fillId="0" borderId="0"/>
    <xf numFmtId="1" fontId="21" fillId="0" borderId="11" applyNumberFormat="0"/>
    <xf numFmtId="1" fontId="21" fillId="0" borderId="11" applyNumberFormat="0"/>
    <xf numFmtId="1" fontId="21" fillId="0" borderId="11" applyNumberFormat="0"/>
    <xf numFmtId="1" fontId="21" fillId="0" borderId="11" applyNumberFormat="0"/>
    <xf numFmtId="0" fontId="25" fillId="0" borderId="0"/>
    <xf numFmtId="0" fontId="25" fillId="0" borderId="0"/>
  </cellStyleXfs>
  <cellXfs count="40">
    <xf numFmtId="0" fontId="0" fillId="0" borderId="0" xfId="0"/>
    <xf numFmtId="164" fontId="0" fillId="2" borderId="0" xfId="0" applyNumberFormat="1" applyFill="1"/>
    <xf numFmtId="164" fontId="4" fillId="2" borderId="0" xfId="0" applyNumberFormat="1" applyFont="1" applyFill="1"/>
    <xf numFmtId="164" fontId="8" fillId="2" borderId="5" xfId="0" applyNumberFormat="1" applyFont="1" applyFill="1" applyBorder="1" applyAlignment="1">
      <alignment vertical="center"/>
    </xf>
    <xf numFmtId="164" fontId="10" fillId="2" borderId="0" xfId="0" applyNumberFormat="1" applyFont="1" applyFill="1"/>
    <xf numFmtId="3" fontId="3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 indent="1"/>
    </xf>
    <xf numFmtId="3" fontId="3" fillId="2" borderId="4" xfId="0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 applyAlignment="1">
      <alignment horizontal="right" vertical="center" indent="1"/>
    </xf>
    <xf numFmtId="164" fontId="11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right" vertical="center" wrapText="1"/>
    </xf>
    <xf numFmtId="164" fontId="13" fillId="2" borderId="0" xfId="0" applyNumberFormat="1" applyFont="1" applyFill="1" applyAlignment="1">
      <alignment horizontal="right" vertical="center" wrapText="1"/>
    </xf>
    <xf numFmtId="164" fontId="5" fillId="2" borderId="0" xfId="0" applyNumberFormat="1" applyFont="1" applyFill="1" applyAlignment="1">
      <alignment vertical="center"/>
    </xf>
    <xf numFmtId="166" fontId="5" fillId="2" borderId="3" xfId="1" applyNumberFormat="1" applyFont="1" applyFill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/>
    <xf numFmtId="164" fontId="3" fillId="2" borderId="0" xfId="0" applyNumberFormat="1" applyFont="1" applyFill="1" applyAlignment="1">
      <alignment horizontal="left" vertical="center" indent="1"/>
    </xf>
    <xf numFmtId="164" fontId="3" fillId="2" borderId="4" xfId="0" applyNumberFormat="1" applyFont="1" applyFill="1" applyBorder="1" applyAlignment="1">
      <alignment horizontal="left" vertical="center" indent="1"/>
    </xf>
    <xf numFmtId="164" fontId="3" fillId="2" borderId="0" xfId="0" applyNumberFormat="1" applyFont="1" applyFill="1" applyAlignment="1">
      <alignment horizontal="right" vertical="center" indent="1"/>
    </xf>
    <xf numFmtId="164" fontId="9" fillId="2" borderId="6" xfId="0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 applyAlignment="1">
      <alignment horizontal="center" vertical="center"/>
    </xf>
    <xf numFmtId="164" fontId="14" fillId="2" borderId="4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11" fillId="2" borderId="1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left" vertical="center" wrapText="1"/>
    </xf>
    <xf numFmtId="164" fontId="14" fillId="2" borderId="4" xfId="0" applyNumberFormat="1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15" fillId="2" borderId="3" xfId="0" applyNumberFormat="1" applyFont="1" applyFill="1" applyBorder="1" applyAlignment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/>
    </xf>
    <xf numFmtId="3" fontId="5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3" fillId="2" borderId="14" xfId="0" applyNumberFormat="1" applyFont="1" applyFill="1" applyBorder="1" applyAlignment="1">
      <alignment horizontal="center" vertical="center"/>
    </xf>
  </cellXfs>
  <cellStyles count="71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18" xfId="69" xr:uid="{CF87BC40-E55D-4F82-AE28-8FA1017CE6B1}"/>
    <cellStyle name="Normal 19" xfId="70" xr:uid="{FA237C1A-38D9-46F9-9E54-DD0D4DE6F649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8.17: Number of death cases by type, 2023</a:t>
            </a:r>
            <a:r>
              <a:rPr lang="en-US" sz="1200" b="1" baseline="0"/>
              <a:t> - 2025</a:t>
            </a:r>
            <a:endParaRPr lang="en-US" sz="1200" b="1"/>
          </a:p>
        </c:rich>
      </c:tx>
      <c:layout>
        <c:manualLayout>
          <c:xMode val="edge"/>
          <c:yMode val="edge"/>
          <c:x val="0.19622665072323045"/>
          <c:y val="3.793781297497272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149385418000054E-2"/>
          <c:y val="0.15634564301814474"/>
          <c:w val="0.93339301714960088"/>
          <c:h val="0.725316488047288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'8.11'!$I$3:$I$4</c:f>
              <c:strCache>
                <c:ptCount val="2"/>
                <c:pt idx="0">
                  <c:v>2023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'8.11'!$A$7:$A$11</c:f>
              <c:strCache>
                <c:ptCount val="5"/>
                <c:pt idx="0">
                  <c:v>Suicides</c:v>
                </c:pt>
                <c:pt idx="1">
                  <c:v>Diving/snorkeling  accidents</c:v>
                </c:pt>
                <c:pt idx="2">
                  <c:v>Traffic accidents</c:v>
                </c:pt>
                <c:pt idx="3">
                  <c:v>Marine Accidents</c:v>
                </c:pt>
                <c:pt idx="4">
                  <c:v>Drowning</c:v>
                </c:pt>
              </c:strCache>
            </c:strRef>
          </c:cat>
          <c:val>
            <c:numRef>
              <c:f>'8.11'!$I$7:$I$11</c:f>
              <c:numCache>
                <c:formatCode>#,##0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4</c:v>
                </c:pt>
                <c:pt idx="4">
                  <c:v>23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AE9-43C6-BAC7-B970DD4052CC}"/>
            </c:ext>
          </c:extLst>
        </c:ser>
        <c:ser>
          <c:idx val="2"/>
          <c:order val="1"/>
          <c:tx>
            <c:strRef>
              <c:f>'8.11'!$J$3:$J$4</c:f>
              <c:strCache>
                <c:ptCount val="2"/>
                <c:pt idx="0">
                  <c:v>2024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'8.11'!$A$7:$A$11</c:f>
              <c:strCache>
                <c:ptCount val="5"/>
                <c:pt idx="0">
                  <c:v>Suicides</c:v>
                </c:pt>
                <c:pt idx="1">
                  <c:v>Diving/snorkeling  accidents</c:v>
                </c:pt>
                <c:pt idx="2">
                  <c:v>Traffic accidents</c:v>
                </c:pt>
                <c:pt idx="3">
                  <c:v>Marine Accidents</c:v>
                </c:pt>
                <c:pt idx="4">
                  <c:v>Drowning</c:v>
                </c:pt>
              </c:strCache>
            </c:strRef>
          </c:cat>
          <c:val>
            <c:numRef>
              <c:f>'8.11'!$J$7:$J$11</c:f>
              <c:numCache>
                <c:formatCode>#,##0</c:formatCode>
                <c:ptCount val="5"/>
                <c:pt idx="0">
                  <c:v>23</c:v>
                </c:pt>
                <c:pt idx="1">
                  <c:v>15</c:v>
                </c:pt>
                <c:pt idx="2">
                  <c:v>6</c:v>
                </c:pt>
                <c:pt idx="3">
                  <c:v>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9-43C6-BAC7-B970DD4052CC}"/>
            </c:ext>
          </c:extLst>
        </c:ser>
        <c:ser>
          <c:idx val="3"/>
          <c:order val="2"/>
          <c:tx>
            <c:strRef>
              <c:f>'8.11'!$K$3:$K$4</c:f>
              <c:strCache>
                <c:ptCount val="2"/>
                <c:pt idx="0">
                  <c:v>2025 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'8.11'!$A$7:$A$11</c:f>
              <c:strCache>
                <c:ptCount val="5"/>
                <c:pt idx="0">
                  <c:v>Suicides</c:v>
                </c:pt>
                <c:pt idx="1">
                  <c:v>Diving/snorkeling  accidents</c:v>
                </c:pt>
                <c:pt idx="2">
                  <c:v>Traffic accidents</c:v>
                </c:pt>
                <c:pt idx="3">
                  <c:v>Marine Accidents</c:v>
                </c:pt>
                <c:pt idx="4">
                  <c:v>Drowning</c:v>
                </c:pt>
              </c:strCache>
            </c:strRef>
          </c:cat>
          <c:val>
            <c:numRef>
              <c:f>'8.11'!$K$7:$K$11</c:f>
              <c:numCache>
                <c:formatCode>#,##0</c:formatCode>
                <c:ptCount val="5"/>
                <c:pt idx="0">
                  <c:v>35</c:v>
                </c:pt>
                <c:pt idx="1">
                  <c:v>13</c:v>
                </c:pt>
                <c:pt idx="2">
                  <c:v>9</c:v>
                </c:pt>
                <c:pt idx="3">
                  <c:v>2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9-43C6-BAC7-B970DD405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292352"/>
        <c:axId val="44298240"/>
        <c:extLst/>
      </c:barChart>
      <c:catAx>
        <c:axId val="4429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240"/>
        <c:crosses val="autoZero"/>
        <c:auto val="1"/>
        <c:lblAlgn val="ctr"/>
        <c:lblOffset val="100"/>
        <c:noMultiLvlLbl val="0"/>
      </c:catAx>
      <c:valAx>
        <c:axId val="442982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235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920953546529961"/>
          <c:y val="0.19961856473197467"/>
          <c:w val="0.2467522533632637"/>
          <c:h val="7.6985557811996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231755</xdr:colOff>
      <xdr:row>13</xdr:row>
      <xdr:rowOff>99889</xdr:rowOff>
    </xdr:from>
    <xdr:to>
      <xdr:col>11</xdr:col>
      <xdr:colOff>1081485</xdr:colOff>
      <xdr:row>29</xdr:row>
      <xdr:rowOff>66705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</sheetPr>
  <dimension ref="A1:N14"/>
  <sheetViews>
    <sheetView tabSelected="1" zoomScale="96" zoomScaleNormal="96" workbookViewId="0">
      <selection activeCell="A24" sqref="A24"/>
    </sheetView>
  </sheetViews>
  <sheetFormatPr defaultColWidth="9.140625" defaultRowHeight="15"/>
  <cols>
    <col min="1" max="1" width="26.140625" style="1" customWidth="1"/>
    <col min="2" max="11" width="10.42578125" style="1" customWidth="1"/>
    <col min="12" max="12" width="22.42578125" style="1" customWidth="1"/>
    <col min="13" max="13" width="24.85546875" style="1" customWidth="1"/>
    <col min="14" max="14" width="6.28515625" style="1" customWidth="1"/>
    <col min="15" max="16384" width="9.140625" style="1"/>
  </cols>
  <sheetData>
    <row r="1" spans="1:14" ht="21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5"/>
      <c r="L1" s="24"/>
      <c r="M1" s="24"/>
      <c r="N1" s="9"/>
    </row>
    <row r="2" spans="1:14">
      <c r="A2" s="26" t="s">
        <v>23</v>
      </c>
      <c r="B2" s="26"/>
      <c r="C2" s="26"/>
      <c r="D2" s="26"/>
      <c r="E2" s="26"/>
      <c r="F2" s="27"/>
      <c r="G2" s="28"/>
      <c r="H2" s="29"/>
      <c r="I2" s="29"/>
      <c r="J2" s="29"/>
      <c r="K2" s="30"/>
      <c r="L2" s="26"/>
      <c r="M2" s="26"/>
      <c r="N2" s="10"/>
    </row>
    <row r="3" spans="1:14" ht="34.5">
      <c r="A3" s="31" t="s">
        <v>6</v>
      </c>
      <c r="B3" s="33">
        <v>2016</v>
      </c>
      <c r="C3" s="33">
        <v>2017</v>
      </c>
      <c r="D3" s="33">
        <v>2018</v>
      </c>
      <c r="E3" s="33">
        <v>2019</v>
      </c>
      <c r="F3" s="33">
        <v>2020</v>
      </c>
      <c r="G3" s="33">
        <v>2021</v>
      </c>
      <c r="H3" s="33">
        <v>2022</v>
      </c>
      <c r="I3" s="33">
        <v>2023</v>
      </c>
      <c r="J3" s="33">
        <v>2024</v>
      </c>
      <c r="K3" s="33">
        <v>2025</v>
      </c>
      <c r="L3" s="11" t="s">
        <v>8</v>
      </c>
      <c r="M3" s="35" t="s">
        <v>7</v>
      </c>
      <c r="N3" s="12"/>
    </row>
    <row r="4" spans="1:14" ht="18.75">
      <c r="A4" s="32"/>
      <c r="B4" s="34"/>
      <c r="C4" s="34"/>
      <c r="D4" s="34"/>
      <c r="E4" s="34"/>
      <c r="F4" s="34"/>
      <c r="G4" s="34"/>
      <c r="H4" s="34"/>
      <c r="I4" s="34"/>
      <c r="J4" s="34"/>
      <c r="K4" s="34"/>
      <c r="L4" s="23" t="s">
        <v>22</v>
      </c>
      <c r="M4" s="36"/>
      <c r="N4" s="13"/>
    </row>
    <row r="5" spans="1:14" s="17" customFormat="1" ht="18.75">
      <c r="A5" s="14" t="s">
        <v>0</v>
      </c>
      <c r="B5" s="15">
        <f t="shared" ref="B5:G5" si="0">SUM(B6:B12)</f>
        <v>154</v>
      </c>
      <c r="C5" s="15">
        <f t="shared" si="0"/>
        <v>174</v>
      </c>
      <c r="D5" s="15">
        <f t="shared" si="0"/>
        <v>181</v>
      </c>
      <c r="E5" s="15">
        <f t="shared" si="0"/>
        <v>224</v>
      </c>
      <c r="F5" s="15">
        <f t="shared" si="0"/>
        <v>174</v>
      </c>
      <c r="G5" s="15">
        <f t="shared" si="0"/>
        <v>182</v>
      </c>
      <c r="H5" s="15">
        <f>SUM(H6:H12)</f>
        <v>203</v>
      </c>
      <c r="I5" s="15">
        <f>SUM(I6:I12)</f>
        <v>204</v>
      </c>
      <c r="J5" s="15">
        <f>SUM(J6:J12)</f>
        <v>220</v>
      </c>
      <c r="K5" s="15">
        <f>SUM(K6:K12)</f>
        <v>254</v>
      </c>
      <c r="L5" s="37">
        <f>IFERROR(((K5-J5)/J5)*100,"-")</f>
        <v>15.454545454545453</v>
      </c>
      <c r="M5" s="16" t="s">
        <v>5</v>
      </c>
      <c r="N5" s="22"/>
    </row>
    <row r="6" spans="1:14" s="2" customFormat="1" ht="18.75">
      <c r="A6" s="18" t="s">
        <v>9</v>
      </c>
      <c r="B6" s="5">
        <v>5</v>
      </c>
      <c r="C6" s="5">
        <v>9</v>
      </c>
      <c r="D6" s="5">
        <v>3</v>
      </c>
      <c r="E6" s="5">
        <v>3</v>
      </c>
      <c r="F6" s="5">
        <v>2</v>
      </c>
      <c r="G6" s="5">
        <v>4</v>
      </c>
      <c r="H6" s="5">
        <v>4</v>
      </c>
      <c r="I6" s="5">
        <v>3</v>
      </c>
      <c r="J6" s="5">
        <v>0</v>
      </c>
      <c r="K6" s="5">
        <v>3</v>
      </c>
      <c r="L6" s="38" t="str">
        <f>IFERROR(((K6-J6)/J6)*100,"-")</f>
        <v>-</v>
      </c>
      <c r="M6" s="6" t="s">
        <v>10</v>
      </c>
      <c r="N6" s="5"/>
    </row>
    <row r="7" spans="1:14" s="2" customFormat="1" ht="18.75">
      <c r="A7" s="18" t="s">
        <v>11</v>
      </c>
      <c r="B7" s="5">
        <v>17</v>
      </c>
      <c r="C7" s="5">
        <v>17</v>
      </c>
      <c r="D7" s="5">
        <v>14</v>
      </c>
      <c r="E7" s="5">
        <v>17</v>
      </c>
      <c r="F7" s="5">
        <v>13</v>
      </c>
      <c r="G7" s="5">
        <v>18</v>
      </c>
      <c r="H7" s="5">
        <v>15</v>
      </c>
      <c r="I7" s="5">
        <v>14</v>
      </c>
      <c r="J7" s="5">
        <v>23</v>
      </c>
      <c r="K7" s="5">
        <v>35</v>
      </c>
      <c r="L7" s="38">
        <f>IFERROR(((K7-J7)/J7)*100,"-")</f>
        <v>52.173913043478258</v>
      </c>
      <c r="M7" s="6" t="s">
        <v>12</v>
      </c>
      <c r="N7" s="5"/>
    </row>
    <row r="8" spans="1:14" s="2" customFormat="1" ht="18.75">
      <c r="A8" s="18" t="s">
        <v>13</v>
      </c>
      <c r="B8" s="5">
        <v>16</v>
      </c>
      <c r="C8" s="5">
        <v>19</v>
      </c>
      <c r="D8" s="5">
        <v>15</v>
      </c>
      <c r="E8" s="5">
        <v>28</v>
      </c>
      <c r="F8" s="5">
        <v>11</v>
      </c>
      <c r="G8" s="5">
        <v>4</v>
      </c>
      <c r="H8" s="5">
        <v>9</v>
      </c>
      <c r="I8" s="5">
        <v>11</v>
      </c>
      <c r="J8" s="5">
        <v>15</v>
      </c>
      <c r="K8" s="5">
        <v>13</v>
      </c>
      <c r="L8" s="38">
        <f t="shared" ref="L8:L12" si="1">IFERROR(((K8-J8)/J8)*100,"-")</f>
        <v>-13.333333333333334</v>
      </c>
      <c r="M8" s="6" t="s">
        <v>14</v>
      </c>
      <c r="N8" s="5"/>
    </row>
    <row r="9" spans="1:14" s="2" customFormat="1" ht="18.75">
      <c r="A9" s="18" t="s">
        <v>1</v>
      </c>
      <c r="B9" s="5">
        <v>4</v>
      </c>
      <c r="C9" s="5">
        <v>9</v>
      </c>
      <c r="D9" s="5">
        <v>8</v>
      </c>
      <c r="E9" s="5">
        <v>5</v>
      </c>
      <c r="F9" s="5">
        <v>0</v>
      </c>
      <c r="G9" s="5">
        <v>6</v>
      </c>
      <c r="H9" s="5">
        <v>5</v>
      </c>
      <c r="I9" s="5">
        <v>9</v>
      </c>
      <c r="J9" s="5">
        <v>6</v>
      </c>
      <c r="K9" s="5">
        <v>9</v>
      </c>
      <c r="L9" s="38">
        <f t="shared" si="1"/>
        <v>50</v>
      </c>
      <c r="M9" s="6" t="s">
        <v>15</v>
      </c>
      <c r="N9" s="5"/>
    </row>
    <row r="10" spans="1:14" s="2" customFormat="1" ht="18.75">
      <c r="A10" s="18" t="s">
        <v>20</v>
      </c>
      <c r="B10" s="5" t="s">
        <v>4</v>
      </c>
      <c r="C10" s="5" t="s">
        <v>4</v>
      </c>
      <c r="D10" s="5">
        <v>4</v>
      </c>
      <c r="E10" s="5">
        <v>0</v>
      </c>
      <c r="F10" s="5">
        <v>1</v>
      </c>
      <c r="G10" s="5">
        <v>1</v>
      </c>
      <c r="H10" s="5">
        <v>1</v>
      </c>
      <c r="I10" s="5">
        <v>4</v>
      </c>
      <c r="J10" s="5">
        <v>2</v>
      </c>
      <c r="K10" s="5">
        <v>2</v>
      </c>
      <c r="L10" s="38">
        <f t="shared" si="1"/>
        <v>0</v>
      </c>
      <c r="M10" s="6" t="s">
        <v>21</v>
      </c>
      <c r="N10" s="5"/>
    </row>
    <row r="11" spans="1:14" s="2" customFormat="1" ht="18.75">
      <c r="A11" s="18" t="s">
        <v>16</v>
      </c>
      <c r="B11" s="5">
        <v>12</v>
      </c>
      <c r="C11" s="5">
        <v>12</v>
      </c>
      <c r="D11" s="5">
        <v>22</v>
      </c>
      <c r="E11" s="5">
        <v>7</v>
      </c>
      <c r="F11" s="5">
        <v>9</v>
      </c>
      <c r="G11" s="5">
        <v>22</v>
      </c>
      <c r="H11" s="5">
        <v>15</v>
      </c>
      <c r="I11" s="5">
        <v>23</v>
      </c>
      <c r="J11" s="5">
        <v>25</v>
      </c>
      <c r="K11" s="5">
        <v>24</v>
      </c>
      <c r="L11" s="38">
        <f t="shared" si="1"/>
        <v>-4</v>
      </c>
      <c r="M11" s="6" t="s">
        <v>17</v>
      </c>
      <c r="N11" s="5"/>
    </row>
    <row r="12" spans="1:14" s="2" customFormat="1" ht="18.75">
      <c r="A12" s="19" t="s">
        <v>18</v>
      </c>
      <c r="B12" s="7">
        <v>100</v>
      </c>
      <c r="C12" s="7">
        <v>108</v>
      </c>
      <c r="D12" s="7">
        <v>115</v>
      </c>
      <c r="E12" s="7">
        <v>164</v>
      </c>
      <c r="F12" s="7">
        <v>138</v>
      </c>
      <c r="G12" s="7">
        <v>127</v>
      </c>
      <c r="H12" s="7">
        <v>154</v>
      </c>
      <c r="I12" s="7">
        <v>140</v>
      </c>
      <c r="J12" s="7">
        <v>149</v>
      </c>
      <c r="K12" s="7">
        <v>168</v>
      </c>
      <c r="L12" s="39">
        <f t="shared" si="1"/>
        <v>12.751677852348994</v>
      </c>
      <c r="M12" s="8" t="s">
        <v>19</v>
      </c>
      <c r="N12" s="5"/>
    </row>
    <row r="13" spans="1:14">
      <c r="A13" s="3" t="s">
        <v>2</v>
      </c>
      <c r="M13" s="21" t="s">
        <v>3</v>
      </c>
    </row>
    <row r="14" spans="1:14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N14" s="20"/>
    </row>
  </sheetData>
  <mergeCells count="14">
    <mergeCell ref="D3:D4"/>
    <mergeCell ref="M3:M4"/>
    <mergeCell ref="K3:K4"/>
    <mergeCell ref="A1:M1"/>
    <mergeCell ref="A2:M2"/>
    <mergeCell ref="A3:A4"/>
    <mergeCell ref="B3:B4"/>
    <mergeCell ref="C3:C4"/>
    <mergeCell ref="E3:E4"/>
    <mergeCell ref="F3:F4"/>
    <mergeCell ref="G3:G4"/>
    <mergeCell ref="J3:J4"/>
    <mergeCell ref="H3:H4"/>
    <mergeCell ref="I3:I4"/>
  </mergeCells>
  <pageMargins left="0.7" right="0.7" top="0.75" bottom="0.75" header="0.3" footer="0.3"/>
  <pageSetup scale="41" orientation="portrait" r:id="rId1"/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8.11</vt:lpstr>
      <vt:lpstr>'8.11'!Print_Area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2026-06-25T03:32:36Z</cp:lastPrinted>
  <dcterms:created xsi:type="dcterms:W3CDTF">2019-06-30T04:22:49Z</dcterms:created>
  <dcterms:modified xsi:type="dcterms:W3CDTF">2026-06-25T03:32:41Z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