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8CB645C6-0516-47A0-97C4-FA4AF8465A73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8" sheetId="8" r:id="rId1"/>
  </sheets>
  <definedNames>
    <definedName name="_xlnm.Print_Area" localSheetId="0">'8.8'!$A$1:$N$53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8" l="1"/>
  <c r="I14" i="8"/>
  <c r="I7" i="8"/>
  <c r="AY10" i="8"/>
  <c r="K8" i="8"/>
  <c r="K9" i="8"/>
  <c r="K10" i="8"/>
  <c r="K11" i="8"/>
  <c r="K12" i="8"/>
  <c r="K13" i="8"/>
  <c r="K15" i="8"/>
  <c r="K16" i="8"/>
  <c r="K17" i="8"/>
  <c r="K18" i="8"/>
  <c r="K19" i="8"/>
  <c r="K20" i="8"/>
  <c r="AY8" i="8" l="1"/>
  <c r="AY9" i="8"/>
  <c r="I6" i="8"/>
  <c r="L6" i="8"/>
  <c r="L7" i="8"/>
  <c r="L10" i="8"/>
  <c r="L19" i="8"/>
  <c r="L8" i="8"/>
  <c r="L9" i="8"/>
  <c r="L15" i="8"/>
  <c r="L20" i="8"/>
  <c r="L11" i="8"/>
  <c r="L12" i="8"/>
  <c r="L13" i="8" l="1"/>
  <c r="L16" i="8"/>
  <c r="L14" i="8"/>
  <c r="L17" i="8"/>
  <c r="L18" i="8"/>
  <c r="L21" i="8"/>
  <c r="H14" i="8" l="1"/>
  <c r="K14" i="8" s="1"/>
  <c r="H7" i="8"/>
  <c r="F7" i="8"/>
  <c r="E7" i="8"/>
  <c r="H6" i="8" l="1"/>
  <c r="K6" i="8" s="1"/>
  <c r="K7" i="8"/>
  <c r="K21" i="8"/>
  <c r="G20" i="8" l="1"/>
  <c r="F14" i="8" l="1"/>
  <c r="F6" i="8" l="1"/>
  <c r="E14" i="8" l="1"/>
  <c r="E6" i="8" l="1"/>
  <c r="D14" i="8" l="1"/>
  <c r="D7" i="8"/>
  <c r="D6" i="8" l="1"/>
  <c r="B14" i="8" l="1"/>
  <c r="C14" i="8"/>
  <c r="B7" i="8"/>
  <c r="C7" i="8"/>
  <c r="C6" i="8" l="1"/>
  <c r="B6" i="8" l="1"/>
  <c r="G13" i="8" l="1"/>
</calcChain>
</file>

<file path=xl/sharedStrings.xml><?xml version="1.0" encoding="utf-8"?>
<sst xmlns="http://schemas.openxmlformats.org/spreadsheetml/2006/main" count="48" uniqueCount="33">
  <si>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</si>
  <si>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</si>
  <si>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</si>
  <si>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</si>
  <si>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</si>
  <si>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</si>
  <si>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</si>
  <si>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</si>
  <si>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</si>
  <si>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</si>
  <si>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</si>
  <si>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</si>
  <si>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</si>
  <si>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</si>
  <si>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</si>
  <si>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</si>
  <si>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</si>
  <si>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</si>
  <si>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</si>
  <si>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</si>
  <si>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</si>
  <si>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</si>
  <si>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</si>
  <si>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</si>
  <si>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</si>
  <si>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</si>
  <si>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</si>
  <si>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</si>
  <si>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</si>
  <si>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</si>
  <si>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2024</t>
  </si>
  <si>
    <t>Table 8.8:  DRUG CASES LOGGED BY TYPE, 2018 - 2025</t>
  </si>
  <si>
    <t>ތާވަލު 8.8: ހުށަހެޅިފައިވާ މަސްތުވާތަކެތީގެ މައްސަލަތަކާއި އަދި ބާވަތް، 2018- 2025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</si>
</sst>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8" fillId="0" borderId="6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2" fontId="31" fillId="0" borderId="0"/>
    <xf numFmtId="1" fontId="32" fillId="0" borderId="11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7" fillId="0" borderId="0"/>
    <xf numFmtId="1" fontId="32" fillId="0" borderId="11" applyNumberFormat="0"/>
    <xf numFmtId="0" fontId="1" fillId="0" borderId="0"/>
    <xf numFmtId="0" fontId="30" fillId="0" borderId="0"/>
    <xf numFmtId="0" fontId="20" fillId="0" borderId="0" applyFill="0" applyProtection="0"/>
    <xf numFmtId="1" fontId="32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0" fontId="34" fillId="0" borderId="0"/>
    <xf numFmtId="0" fontId="33" fillId="0" borderId="0"/>
    <xf numFmtId="0" fontId="1" fillId="0" borderId="0"/>
    <xf numFmtId="0" fontId="30" fillId="0" borderId="0"/>
    <xf numFmtId="0" fontId="20" fillId="0" borderId="0" applyFill="0" applyProtection="0"/>
    <xf numFmtId="1" fontId="32" fillId="0" borderId="11" applyNumberFormat="0"/>
    <xf numFmtId="0" fontId="1" fillId="0" borderId="0"/>
    <xf numFmtId="0" fontId="27" fillId="0" borderId="0"/>
    <xf numFmtId="0" fontId="33" fillId="0" borderId="0"/>
    <xf numFmtId="0" fontId="34" fillId="0" borderId="0"/>
    <xf numFmtId="0" fontId="27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35" fillId="0" borderId="0" applyBorder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5" fillId="0" borderId="0" applyBorder="0"/>
    <xf numFmtId="0" fontId="1" fillId="0" borderId="0"/>
    <xf numFmtId="0" fontId="1" fillId="0" borderId="0"/>
    <xf numFmtId="1" fontId="32" fillId="0" borderId="11" applyNumberFormat="0"/>
    <xf numFmtId="1" fontId="32" fillId="0" borderId="11" applyNumberFormat="0"/>
    <xf numFmtId="1" fontId="32" fillId="0" borderId="11" applyNumberFormat="0"/>
    <xf numFmtId="1" fontId="32" fillId="0" borderId="11" applyNumberFormat="0"/>
    <xf numFmtId="0" fontId="36" fillId="0" borderId="0"/>
    <xf numFmtId="0" fontId="36" fillId="0" borderId="0"/>
  </cellStyleXfs>
  <cellXfs count="61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top" wrapText="1"/>
    </xf>
    <xf numFmtId="164" fontId="5" fillId="2" borderId="0" xfId="0" applyNumberFormat="1" applyFont="1" applyFill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1" fontId="0" fillId="2" borderId="0" xfId="0" applyNumberFormat="1" applyFill="1"/>
    <xf numFmtId="3" fontId="10" fillId="2" borderId="0" xfId="0" applyNumberFormat="1" applyFont="1" applyFill="1" applyAlignment="1">
      <alignment horizontal="center" vertical="center"/>
    </xf>
    <xf numFmtId="166" fontId="11" fillId="2" borderId="0" xfId="1" applyNumberFormat="1" applyFont="1" applyFill="1" applyBorder="1" applyAlignment="1">
      <alignment horizontal="center" vertical="center"/>
    </xf>
    <xf numFmtId="164" fontId="29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" fontId="13" fillId="2" borderId="0" xfId="2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3" fontId="10" fillId="2" borderId="1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18" fillId="2" borderId="13" xfId="0" applyNumberFormat="1" applyFont="1" applyFill="1" applyBorder="1" applyAlignment="1">
      <alignment horizontal="center" vertical="center"/>
    </xf>
    <xf numFmtId="164" fontId="24" fillId="2" borderId="3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3" fillId="2" borderId="8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right" vertical="center" wrapText="1"/>
    </xf>
    <xf numFmtId="166" fontId="4" fillId="2" borderId="15" xfId="1" applyNumberFormat="1" applyFont="1" applyFill="1" applyBorder="1" applyAlignment="1">
      <alignment horizontal="right" vertical="center"/>
    </xf>
    <xf numFmtId="1" fontId="10" fillId="2" borderId="0" xfId="2" applyNumberFormat="1" applyFont="1" applyFill="1" applyBorder="1" applyAlignment="1">
      <alignment horizontal="center" vertical="center"/>
    </xf>
    <xf numFmtId="1" fontId="10" fillId="2" borderId="14" xfId="2" applyNumberFormat="1" applyFont="1" applyFill="1" applyBorder="1" applyAlignment="1">
      <alignment horizontal="center" vertical="center"/>
    </xf>
    <xf numFmtId="1" fontId="10" fillId="2" borderId="12" xfId="2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center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" xfId="2" builtinId="5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34567901234565"/>
          <c:y val="0.14857903403196865"/>
          <c:w val="0.34620544226843442"/>
          <c:h val="0.81875339215456433"/>
        </c:manualLayout>
      </c:layout>
      <c:pie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0.11153913453126052"/>
                  <c:y val="-0.246861028319369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'8.8'!$AX$8:$AX$10</c15:sqref>
                  </c15:fullRef>
                </c:ext>
              </c:extLst>
              <c:f>'8.8'!$AX$8:$AX$9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'8.8'!$AY$8:$AY$10</c15:sqref>
                  </c15:fullRef>
                </c:ext>
              </c:extLst>
              <c:f>'8.8'!$AY$8:$AY$9</c:f>
              <c:numCache>
                <c:formatCode>_-* #,##0_-;\-* #,##0_-;_-* "-"??_-;_-@_-</c:formatCode>
                <c:ptCount val="2"/>
                <c:pt idx="0" formatCode="General_)">
                  <c:v>1942</c:v>
                </c:pt>
                <c:pt idx="1">
                  <c:v>131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'8.8'!$AY$10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F9BC-408E-A7A2-3CBB7D4F2D2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'8.8'!$G$3:$G$5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'8.8'!$G$8:$G$13</c:f>
              <c:numCache>
                <c:formatCode>_-* #,##0_-;\-* #,##0_-;_-* "-"??_-;_-@_-</c:formatCode>
                <c:ptCount val="6"/>
                <c:pt idx="0">
                  <c:v>289</c:v>
                </c:pt>
                <c:pt idx="1">
                  <c:v>620</c:v>
                </c:pt>
                <c:pt idx="2">
                  <c:v>0</c:v>
                </c:pt>
                <c:pt idx="3">
                  <c:v>105</c:v>
                </c:pt>
                <c:pt idx="4">
                  <c:v>536</c:v>
                </c:pt>
                <c:pt idx="5">
                  <c:v>18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'8.8'!$H$3:$H$5</c:f>
              <c:strCache>
                <c:ptCount val="3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'8.8'!$H$8:$H$13</c:f>
              <c:numCache>
                <c:formatCode>_-* #,##0_-;\-* #,##0_-;_-* "-"??_-;_-@_-</c:formatCode>
                <c:ptCount val="6"/>
                <c:pt idx="0">
                  <c:v>467</c:v>
                </c:pt>
                <c:pt idx="1">
                  <c:v>348</c:v>
                </c:pt>
                <c:pt idx="2">
                  <c:v>0</c:v>
                </c:pt>
                <c:pt idx="3">
                  <c:v>138</c:v>
                </c:pt>
                <c:pt idx="4">
                  <c:v>544</c:v>
                </c:pt>
                <c:pt idx="5">
                  <c:v>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'8.8'!$I$3:$I$5</c:f>
              <c:strCache>
                <c:ptCount val="3"/>
                <c:pt idx="0">
                  <c:v>2025 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'8.8'!$I$8:$I$13</c:f>
              <c:numCache>
                <c:formatCode>_-* #,##0_-;\-* #,##0_-;_-* "-"??_-;_-@_-</c:formatCode>
                <c:ptCount val="6"/>
                <c:pt idx="0">
                  <c:v>602</c:v>
                </c:pt>
                <c:pt idx="1">
                  <c:v>580</c:v>
                </c:pt>
                <c:pt idx="2">
                  <c:v>0</c:v>
                </c:pt>
                <c:pt idx="3">
                  <c:v>152</c:v>
                </c:pt>
                <c:pt idx="4">
                  <c:v>592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877888"/>
        <c:axId val="43879424"/>
        <c:extLst/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7888"/>
        <c:crosses val="autoZero"/>
        <c:crossBetween val="between"/>
      </c:valAx>
      <c:spPr>
        <a:solidFill>
          <a:srgbClr val="F9FFF3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72348274233374"/>
          <c:y val="0.1765718317119524"/>
          <c:w val="0.20149688491443787"/>
          <c:h val="7.6401036818758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37</xdr:row>
      <xdr:rowOff>142585</xdr:rowOff>
    </xdr:from>
    <xdr:to>
      <xdr:col>11</xdr:col>
      <xdr:colOff>190500</xdr:colOff>
      <xdr:row>52</xdr:row>
      <xdr:rowOff>6438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353008</xdr:colOff>
      <xdr:row>22</xdr:row>
      <xdr:rowOff>150352</xdr:rowOff>
    </xdr:from>
    <xdr:to>
      <xdr:col>11</xdr:col>
      <xdr:colOff>233265</xdr:colOff>
      <xdr:row>36</xdr:row>
      <xdr:rowOff>122659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0.19944</cdr:x>
      <cdr:y>0.02001</cdr:y>
    </cdr:from>
    <cdr:to>
      <cdr:x>0.80484</cdr:x>
      <cdr:y>0.11211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45" y="54455"/>
          <a:ext cx="4048080" cy="2506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2025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0.78431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86582" y="87492"/>
          <a:ext cx="3547417" cy="341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2023- 2025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AY31"/>
  <sheetViews>
    <sheetView tabSelected="1" zoomScaleNormal="100" zoomScaleSheetLayoutView="98" workbookViewId="0">
      <selection activeCell="L6" sqref="L6:L21"/>
    </sheetView>
  </sheetViews>
  <sheetFormatPr defaultColWidth="9.140625" defaultRowHeight="15"/>
  <cols>
    <col min="1" max="1" width="14.5703125" style="1" customWidth="1"/>
    <col min="2" max="9" width="11.42578125" style="1" customWidth="1"/>
    <col min="10" max="10" width="2.7109375" style="1" customWidth="1"/>
    <col min="11" max="11" width="20.5703125" style="1" customWidth="1"/>
    <col min="12" max="12" width="15" style="1" customWidth="1"/>
    <col min="13" max="13" width="20.28515625" style="1" customWidth="1"/>
    <col min="14" max="14" width="2.5703125" style="1" customWidth="1"/>
    <col min="15" max="15" width="9.140625" style="1"/>
    <col min="16" max="21" width="9.28515625" style="1" customWidth="1"/>
    <col min="22" max="22" width="11.140625" style="1" customWidth="1"/>
    <col min="23" max="16384" width="9.140625" style="1"/>
  </cols>
  <sheetData>
    <row r="1" spans="1:51" ht="21">
      <c r="A1" s="44" t="s">
        <v>32</v>
      </c>
      <c r="B1" s="44"/>
      <c r="C1" s="44"/>
      <c r="D1" s="44"/>
      <c r="E1" s="44"/>
      <c r="F1" s="44"/>
      <c r="G1" s="44"/>
      <c r="H1" s="44"/>
      <c r="I1" s="45"/>
      <c r="J1" s="44"/>
      <c r="K1" s="44"/>
      <c r="L1" s="44"/>
      <c r="M1" s="44"/>
    </row>
    <row r="2" spans="1:51" ht="21.75" customHeight="1">
      <c r="A2" s="40" t="s">
        <v>31</v>
      </c>
      <c r="B2" s="40"/>
      <c r="C2" s="41"/>
      <c r="D2" s="41"/>
      <c r="E2" s="42"/>
      <c r="F2" s="43"/>
      <c r="G2" s="43"/>
      <c r="H2" s="43"/>
      <c r="I2" s="43"/>
      <c r="J2" s="40"/>
      <c r="K2" s="51"/>
      <c r="L2" s="51"/>
      <c r="M2" s="40"/>
    </row>
    <row r="3" spans="1:51" ht="17.25">
      <c r="A3" s="48" t="s">
        <v>10</v>
      </c>
      <c r="B3" s="52">
        <v>2018</v>
      </c>
      <c r="C3" s="52">
        <v>2019</v>
      </c>
      <c r="D3" s="52">
        <v>2020</v>
      </c>
      <c r="E3" s="52">
        <v>2021</v>
      </c>
      <c r="F3" s="52">
        <v>2022</v>
      </c>
      <c r="G3" s="52">
        <v>2023</v>
      </c>
      <c r="H3" s="52">
        <v>2024</v>
      </c>
      <c r="I3" s="52">
        <v>2025</v>
      </c>
      <c r="J3" s="20"/>
      <c r="K3" s="35" t="s">
        <v>6</v>
      </c>
      <c r="L3" s="21">
        <v>2025</v>
      </c>
      <c r="M3" s="46" t="s">
        <v>13</v>
      </c>
    </row>
    <row r="4" spans="1:51" ht="27" customHeight="1">
      <c r="A4" s="49"/>
      <c r="B4" s="53"/>
      <c r="C4" s="53"/>
      <c r="D4" s="53"/>
      <c r="E4" s="53"/>
      <c r="F4" s="53"/>
      <c r="G4" s="53"/>
      <c r="H4" s="53"/>
      <c r="I4" s="53"/>
      <c r="J4" s="15"/>
      <c r="K4" s="16" t="s">
        <v>7</v>
      </c>
      <c r="L4" s="15" t="s">
        <v>11</v>
      </c>
      <c r="M4" s="47"/>
      <c r="O4" s="2"/>
      <c r="P4" s="2"/>
      <c r="Q4" s="2"/>
      <c r="R4" s="2"/>
    </row>
    <row r="5" spans="1:51" ht="25.5" customHeight="1">
      <c r="A5" s="50"/>
      <c r="B5" s="54"/>
      <c r="C5" s="54"/>
      <c r="D5" s="54"/>
      <c r="E5" s="54"/>
      <c r="F5" s="54"/>
      <c r="G5" s="54"/>
      <c r="H5" s="54"/>
      <c r="I5" s="54"/>
      <c r="J5" s="18"/>
      <c r="K5" s="18" t="s">
        <v>30</v>
      </c>
      <c r="L5" s="17" t="s">
        <v>12</v>
      </c>
      <c r="M5" s="55"/>
      <c r="O5" s="2"/>
      <c r="P5" s="2"/>
      <c r="Q5" s="2"/>
      <c r="R5" s="2"/>
    </row>
    <row r="6" spans="1:51" s="25" customFormat="1" ht="18.75">
      <c r="A6" s="3" t="s">
        <v>0</v>
      </c>
      <c r="B6" s="22">
        <f t="shared" ref="B6:H6" si="0">B7+B14+B21</f>
        <v>2230</v>
      </c>
      <c r="C6" s="22">
        <f t="shared" si="0"/>
        <v>2188</v>
      </c>
      <c r="D6" s="22">
        <f t="shared" si="0"/>
        <v>1425</v>
      </c>
      <c r="E6" s="22">
        <f t="shared" si="0"/>
        <v>1440</v>
      </c>
      <c r="F6" s="22">
        <f t="shared" si="0"/>
        <v>1429</v>
      </c>
      <c r="G6" s="22">
        <f t="shared" si="0"/>
        <v>1732</v>
      </c>
      <c r="H6" s="22">
        <f t="shared" si="0"/>
        <v>1687</v>
      </c>
      <c r="I6" s="22">
        <f>I7+I14+I21</f>
        <v>2075</v>
      </c>
      <c r="J6" s="23"/>
      <c r="K6" s="59">
        <f>IFERROR(((I6-H6)/H6)*100,"-")</f>
        <v>22.999407231772377</v>
      </c>
      <c r="L6" s="39">
        <f>IFERROR((I6/$I$6*100),"-")</f>
        <v>100</v>
      </c>
      <c r="M6" s="24" t="s">
        <v>9</v>
      </c>
      <c r="O6" s="26"/>
      <c r="P6" s="26"/>
      <c r="Q6" s="26"/>
      <c r="R6" s="26"/>
    </row>
    <row r="7" spans="1:51" s="8" customFormat="1" ht="18.75">
      <c r="A7" s="3" t="s">
        <v>1</v>
      </c>
      <c r="B7" s="23">
        <f t="shared" ref="B7:E7" si="1">SUM(B8:B13)</f>
        <v>2046</v>
      </c>
      <c r="C7" s="23">
        <f t="shared" si="1"/>
        <v>1966</v>
      </c>
      <c r="D7" s="23">
        <f t="shared" si="1"/>
        <v>1280</v>
      </c>
      <c r="E7" s="23">
        <f t="shared" si="1"/>
        <v>1296</v>
      </c>
      <c r="F7" s="23">
        <f>SUM(F8:F13)</f>
        <v>1289</v>
      </c>
      <c r="G7" s="23">
        <v>1568</v>
      </c>
      <c r="H7" s="23">
        <f>SUM(H8:H13)</f>
        <v>1503</v>
      </c>
      <c r="I7" s="23">
        <f>SUM(I8:I13)</f>
        <v>1942</v>
      </c>
      <c r="J7" s="23"/>
      <c r="K7" s="57">
        <f t="shared" ref="K7:K21" si="2">IFERROR(((I7-H7)/H7)*100,"-")</f>
        <v>29.208250166334</v>
      </c>
      <c r="L7" s="32">
        <f t="shared" ref="L7:L21" si="3">IFERROR((I7/$I$6*100),"-")</f>
        <v>93.590361445783131</v>
      </c>
      <c r="M7" s="24" t="s">
        <v>14</v>
      </c>
      <c r="N7" s="23"/>
      <c r="O7" s="26"/>
      <c r="P7" s="26"/>
      <c r="Q7" s="26"/>
      <c r="R7" s="26"/>
    </row>
    <row r="8" spans="1:51" ht="18.75">
      <c r="A8" s="13" t="s">
        <v>15</v>
      </c>
      <c r="B8" s="27">
        <v>718</v>
      </c>
      <c r="C8" s="27">
        <v>561</v>
      </c>
      <c r="D8" s="27">
        <v>174</v>
      </c>
      <c r="E8" s="27">
        <v>344</v>
      </c>
      <c r="F8" s="27">
        <v>142</v>
      </c>
      <c r="G8" s="27">
        <v>289</v>
      </c>
      <c r="H8" s="27">
        <v>467</v>
      </c>
      <c r="I8" s="27">
        <v>602</v>
      </c>
      <c r="J8" s="27"/>
      <c r="K8" s="37">
        <f t="shared" si="2"/>
        <v>28.907922912205571</v>
      </c>
      <c r="L8" s="38">
        <f t="shared" si="3"/>
        <v>29.012048192771083</v>
      </c>
      <c r="M8" s="5" t="s">
        <v>16</v>
      </c>
      <c r="N8" s="27"/>
      <c r="O8" s="2"/>
      <c r="R8" s="2"/>
      <c r="AX8" s="3" t="s">
        <v>1</v>
      </c>
      <c r="AY8" s="2">
        <f>I7</f>
        <v>1942</v>
      </c>
    </row>
    <row r="9" spans="1:51" ht="18.75">
      <c r="A9" s="13" t="s">
        <v>17</v>
      </c>
      <c r="B9" s="27">
        <v>918</v>
      </c>
      <c r="C9" s="27">
        <v>878</v>
      </c>
      <c r="D9" s="27">
        <v>590</v>
      </c>
      <c r="E9" s="27">
        <v>543</v>
      </c>
      <c r="F9" s="27">
        <v>632</v>
      </c>
      <c r="G9" s="27">
        <v>620</v>
      </c>
      <c r="H9" s="27">
        <v>348</v>
      </c>
      <c r="I9" s="27">
        <v>580</v>
      </c>
      <c r="J9" s="27"/>
      <c r="K9" s="37">
        <f t="shared" si="2"/>
        <v>66.666666666666657</v>
      </c>
      <c r="L9" s="38">
        <f t="shared" si="3"/>
        <v>27.951807228915666</v>
      </c>
      <c r="M9" s="5" t="s">
        <v>18</v>
      </c>
      <c r="N9" s="27"/>
      <c r="O9" s="2"/>
      <c r="R9" s="2"/>
      <c r="AX9" s="3" t="s">
        <v>26</v>
      </c>
      <c r="AY9" s="23">
        <f>I14</f>
        <v>131</v>
      </c>
    </row>
    <row r="10" spans="1:51" ht="22.5" customHeight="1">
      <c r="A10" s="13" t="s">
        <v>19</v>
      </c>
      <c r="B10" s="27">
        <v>2</v>
      </c>
      <c r="C10" s="27">
        <v>1</v>
      </c>
      <c r="D10" s="27">
        <v>1</v>
      </c>
      <c r="E10" s="27" t="s">
        <v>8</v>
      </c>
      <c r="F10" s="27" t="s">
        <v>8</v>
      </c>
      <c r="G10" s="27">
        <v>0</v>
      </c>
      <c r="H10" s="27">
        <v>0</v>
      </c>
      <c r="I10" s="27">
        <v>0</v>
      </c>
      <c r="J10" s="33"/>
      <c r="K10" s="37" t="str">
        <f t="shared" si="2"/>
        <v>-</v>
      </c>
      <c r="L10" s="38">
        <f t="shared" si="3"/>
        <v>0</v>
      </c>
      <c r="M10" s="5" t="s">
        <v>20</v>
      </c>
      <c r="N10" s="27"/>
      <c r="O10" s="2"/>
      <c r="R10" s="2"/>
      <c r="AX10" s="28" t="s">
        <v>28</v>
      </c>
      <c r="AY10" s="2">
        <f>I21</f>
        <v>2</v>
      </c>
    </row>
    <row r="11" spans="1:51" ht="18.75">
      <c r="A11" s="13" t="s">
        <v>21</v>
      </c>
      <c r="B11" s="27">
        <v>146</v>
      </c>
      <c r="C11" s="27">
        <v>175</v>
      </c>
      <c r="D11" s="27">
        <v>132</v>
      </c>
      <c r="E11" s="27">
        <v>102</v>
      </c>
      <c r="F11" s="27">
        <v>91</v>
      </c>
      <c r="G11" s="27">
        <v>105</v>
      </c>
      <c r="H11" s="27">
        <v>138</v>
      </c>
      <c r="I11" s="27">
        <v>152</v>
      </c>
      <c r="J11" s="27"/>
      <c r="K11" s="37">
        <f t="shared" si="2"/>
        <v>10.144927536231885</v>
      </c>
      <c r="L11" s="38">
        <f t="shared" si="3"/>
        <v>7.3253012048192776</v>
      </c>
      <c r="M11" s="5" t="s">
        <v>22</v>
      </c>
      <c r="N11" s="27"/>
      <c r="O11" s="2"/>
      <c r="P11" s="2"/>
      <c r="Q11" s="2"/>
      <c r="R11" s="2"/>
    </row>
    <row r="12" spans="1:51" ht="18.75">
      <c r="A12" s="13" t="s">
        <v>23</v>
      </c>
      <c r="B12" s="27">
        <v>207</v>
      </c>
      <c r="C12" s="27">
        <v>305</v>
      </c>
      <c r="D12" s="27">
        <v>334</v>
      </c>
      <c r="E12" s="27">
        <v>277</v>
      </c>
      <c r="F12" s="27">
        <v>400</v>
      </c>
      <c r="G12" s="27">
        <v>536</v>
      </c>
      <c r="H12" s="27">
        <v>544</v>
      </c>
      <c r="I12" s="27">
        <v>592</v>
      </c>
      <c r="J12" s="27"/>
      <c r="K12" s="37">
        <f t="shared" si="2"/>
        <v>8.8235294117647065</v>
      </c>
      <c r="L12" s="38">
        <f t="shared" si="3"/>
        <v>28.53012048192771</v>
      </c>
      <c r="M12" s="5" t="s">
        <v>24</v>
      </c>
      <c r="N12" s="27"/>
      <c r="O12" s="2"/>
      <c r="P12" s="2"/>
      <c r="Q12" s="2"/>
      <c r="R12" s="2"/>
    </row>
    <row r="13" spans="1:51" ht="18.75">
      <c r="A13" s="13" t="s">
        <v>25</v>
      </c>
      <c r="B13" s="27">
        <v>55</v>
      </c>
      <c r="C13" s="27">
        <v>46</v>
      </c>
      <c r="D13" s="27">
        <v>49</v>
      </c>
      <c r="E13" s="27">
        <v>30</v>
      </c>
      <c r="F13" s="27">
        <v>24</v>
      </c>
      <c r="G13" s="27">
        <f>G7-SUM(G8:G12)</f>
        <v>18</v>
      </c>
      <c r="H13" s="27">
        <v>6</v>
      </c>
      <c r="I13" s="27">
        <v>16</v>
      </c>
      <c r="J13" s="27"/>
      <c r="K13" s="37">
        <f t="shared" si="2"/>
        <v>166.66666666666669</v>
      </c>
      <c r="L13" s="38">
        <f t="shared" si="3"/>
        <v>0.77108433734939752</v>
      </c>
      <c r="M13" s="6" t="s">
        <v>3</v>
      </c>
      <c r="N13" s="27"/>
      <c r="O13" s="2"/>
      <c r="P13" s="2"/>
      <c r="Q13" s="2"/>
      <c r="R13" s="2"/>
    </row>
    <row r="14" spans="1:51" s="8" customFormat="1" ht="18.75">
      <c r="A14" s="3" t="s">
        <v>26</v>
      </c>
      <c r="B14" s="23">
        <f t="shared" ref="B14:C14" si="4">SUM(B15:B20)</f>
        <v>178</v>
      </c>
      <c r="C14" s="23">
        <f t="shared" si="4"/>
        <v>216</v>
      </c>
      <c r="D14" s="23">
        <f>SUM(D15:D20)</f>
        <v>141</v>
      </c>
      <c r="E14" s="23">
        <f>SUM(E15:E20)</f>
        <v>143</v>
      </c>
      <c r="F14" s="23">
        <f>SUM(F15:F20)</f>
        <v>138</v>
      </c>
      <c r="G14" s="23">
        <v>162</v>
      </c>
      <c r="H14" s="23">
        <f>SUM(H15:H20)</f>
        <v>182</v>
      </c>
      <c r="I14" s="23">
        <f>SUM(I15:I20)</f>
        <v>131</v>
      </c>
      <c r="J14" s="23"/>
      <c r="K14" s="57">
        <f t="shared" si="2"/>
        <v>-28.021978021978022</v>
      </c>
      <c r="L14" s="32">
        <f t="shared" si="3"/>
        <v>6.3132530120481922</v>
      </c>
      <c r="M14" s="24" t="s">
        <v>27</v>
      </c>
      <c r="N14" s="23"/>
      <c r="O14" s="26"/>
      <c r="P14" s="26"/>
      <c r="Q14" s="26"/>
      <c r="R14" s="26"/>
    </row>
    <row r="15" spans="1:51" ht="18.75">
      <c r="A15" s="13" t="s">
        <v>15</v>
      </c>
      <c r="B15" s="27">
        <v>46</v>
      </c>
      <c r="C15" s="27">
        <v>32</v>
      </c>
      <c r="D15" s="27">
        <v>10</v>
      </c>
      <c r="E15" s="27">
        <v>16</v>
      </c>
      <c r="F15" s="27">
        <v>6</v>
      </c>
      <c r="G15" s="27">
        <v>9</v>
      </c>
      <c r="H15" s="27">
        <v>20</v>
      </c>
      <c r="I15" s="27">
        <v>17</v>
      </c>
      <c r="J15" s="27"/>
      <c r="K15" s="37">
        <f t="shared" si="2"/>
        <v>-15</v>
      </c>
      <c r="L15" s="38">
        <f t="shared" si="3"/>
        <v>0.81927710843373491</v>
      </c>
      <c r="M15" s="5" t="s">
        <v>16</v>
      </c>
      <c r="N15" s="27"/>
      <c r="O15" s="2"/>
      <c r="P15" s="2"/>
      <c r="Q15" s="2"/>
      <c r="R15" s="2"/>
    </row>
    <row r="16" spans="1:51" ht="18.75">
      <c r="A16" s="13" t="s">
        <v>17</v>
      </c>
      <c r="B16" s="27">
        <v>83</v>
      </c>
      <c r="C16" s="27">
        <v>123</v>
      </c>
      <c r="D16" s="27">
        <v>54</v>
      </c>
      <c r="E16" s="27">
        <v>62</v>
      </c>
      <c r="F16" s="27">
        <v>72</v>
      </c>
      <c r="G16" s="27">
        <v>82</v>
      </c>
      <c r="H16" s="27">
        <v>91</v>
      </c>
      <c r="I16" s="27">
        <v>60</v>
      </c>
      <c r="J16" s="27"/>
      <c r="K16" s="37">
        <f t="shared" si="2"/>
        <v>-34.065934065934066</v>
      </c>
      <c r="L16" s="38">
        <f t="shared" si="3"/>
        <v>2.8915662650602409</v>
      </c>
      <c r="M16" s="5" t="s">
        <v>18</v>
      </c>
      <c r="N16" s="27"/>
      <c r="O16" s="2"/>
      <c r="P16" s="2"/>
      <c r="Q16" s="2"/>
      <c r="R16" s="2"/>
    </row>
    <row r="17" spans="1:19" ht="18.75">
      <c r="A17" s="13" t="s">
        <v>19</v>
      </c>
      <c r="B17" s="27">
        <v>9</v>
      </c>
      <c r="C17" s="27">
        <v>11</v>
      </c>
      <c r="D17" s="27">
        <v>25</v>
      </c>
      <c r="E17" s="27">
        <v>1</v>
      </c>
      <c r="F17" s="27">
        <v>4</v>
      </c>
      <c r="G17" s="27">
        <v>6</v>
      </c>
      <c r="H17" s="27">
        <v>6</v>
      </c>
      <c r="I17" s="27">
        <v>5</v>
      </c>
      <c r="J17" s="27"/>
      <c r="K17" s="37">
        <f t="shared" si="2"/>
        <v>-16.666666666666664</v>
      </c>
      <c r="L17" s="38">
        <f t="shared" si="3"/>
        <v>0.24096385542168677</v>
      </c>
      <c r="M17" s="5" t="s">
        <v>20</v>
      </c>
      <c r="N17" s="27"/>
      <c r="O17" s="2"/>
      <c r="P17" s="2"/>
      <c r="Q17" s="2"/>
      <c r="R17" s="2"/>
    </row>
    <row r="18" spans="1:19" ht="18.75">
      <c r="A18" s="13" t="s">
        <v>21</v>
      </c>
      <c r="B18" s="27">
        <v>7</v>
      </c>
      <c r="C18" s="27">
        <v>7</v>
      </c>
      <c r="D18" s="27">
        <v>4</v>
      </c>
      <c r="E18" s="27">
        <v>2</v>
      </c>
      <c r="F18" s="27">
        <v>4</v>
      </c>
      <c r="G18" s="27">
        <v>4</v>
      </c>
      <c r="H18" s="27">
        <v>4</v>
      </c>
      <c r="I18" s="27">
        <v>4</v>
      </c>
      <c r="J18" s="27"/>
      <c r="K18" s="37">
        <f t="shared" si="2"/>
        <v>0</v>
      </c>
      <c r="L18" s="38">
        <f t="shared" si="3"/>
        <v>0.19277108433734938</v>
      </c>
      <c r="M18" s="5" t="s">
        <v>22</v>
      </c>
      <c r="N18" s="27"/>
      <c r="O18" s="2"/>
      <c r="P18" s="2"/>
      <c r="Q18" s="2"/>
      <c r="R18" s="2"/>
    </row>
    <row r="19" spans="1:19" ht="18.75">
      <c r="A19" s="13" t="s">
        <v>23</v>
      </c>
      <c r="B19" s="27">
        <v>29</v>
      </c>
      <c r="C19" s="27">
        <v>41</v>
      </c>
      <c r="D19" s="27">
        <v>38</v>
      </c>
      <c r="E19" s="27">
        <v>48</v>
      </c>
      <c r="F19" s="27">
        <v>44</v>
      </c>
      <c r="G19" s="27">
        <v>39</v>
      </c>
      <c r="H19" s="27">
        <v>45</v>
      </c>
      <c r="I19" s="27">
        <v>31</v>
      </c>
      <c r="J19" s="27"/>
      <c r="K19" s="37">
        <f t="shared" si="2"/>
        <v>-31.111111111111111</v>
      </c>
      <c r="L19" s="38">
        <f t="shared" si="3"/>
        <v>1.493975903614458</v>
      </c>
      <c r="M19" s="5" t="s">
        <v>24</v>
      </c>
      <c r="N19" s="27"/>
      <c r="O19" s="2"/>
      <c r="P19" s="2"/>
      <c r="Q19" s="2"/>
      <c r="R19" s="2"/>
    </row>
    <row r="20" spans="1:19" ht="18.75">
      <c r="A20" s="13" t="s">
        <v>2</v>
      </c>
      <c r="B20" s="27">
        <v>4</v>
      </c>
      <c r="C20" s="27">
        <v>2</v>
      </c>
      <c r="D20" s="27">
        <v>10</v>
      </c>
      <c r="E20" s="27">
        <v>14</v>
      </c>
      <c r="F20" s="27">
        <v>8</v>
      </c>
      <c r="G20" s="27">
        <f>G14-SUM(G15:G19)</f>
        <v>22</v>
      </c>
      <c r="H20" s="27">
        <v>16</v>
      </c>
      <c r="I20" s="27">
        <v>14</v>
      </c>
      <c r="J20" s="27"/>
      <c r="K20" s="37">
        <f t="shared" si="2"/>
        <v>-12.5</v>
      </c>
      <c r="L20" s="38">
        <f t="shared" si="3"/>
        <v>0.67469879518072284</v>
      </c>
      <c r="M20" s="6" t="s">
        <v>3</v>
      </c>
      <c r="N20" s="27"/>
      <c r="O20" s="2"/>
      <c r="P20" s="2"/>
      <c r="Q20" s="2"/>
      <c r="R20" s="2"/>
    </row>
    <row r="21" spans="1:19" s="25" customFormat="1" ht="38.25">
      <c r="A21" s="28" t="s">
        <v>28</v>
      </c>
      <c r="B21" s="29">
        <v>6</v>
      </c>
      <c r="C21" s="29">
        <v>6</v>
      </c>
      <c r="D21" s="29">
        <v>4</v>
      </c>
      <c r="E21" s="29">
        <v>1</v>
      </c>
      <c r="F21" s="29">
        <v>2</v>
      </c>
      <c r="G21" s="56">
        <v>2</v>
      </c>
      <c r="H21" s="29">
        <v>2</v>
      </c>
      <c r="I21" s="29">
        <v>2</v>
      </c>
      <c r="J21" s="30"/>
      <c r="K21" s="58">
        <f t="shared" si="2"/>
        <v>0</v>
      </c>
      <c r="L21" s="60">
        <f t="shared" si="3"/>
        <v>9.638554216867469E-2</v>
      </c>
      <c r="M21" s="36" t="s">
        <v>29</v>
      </c>
      <c r="N21" s="23"/>
      <c r="O21" s="26"/>
      <c r="P21" s="26"/>
      <c r="Q21" s="26"/>
    </row>
    <row r="22" spans="1:19" ht="15.6" customHeight="1">
      <c r="A22" s="10" t="s">
        <v>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9"/>
      <c r="M22" s="34" t="s">
        <v>5</v>
      </c>
      <c r="O22" s="2"/>
      <c r="P22" s="2"/>
      <c r="Q22" s="2"/>
      <c r="R22" s="2"/>
    </row>
    <row r="23" spans="1:19" ht="25.5" customHeight="1">
      <c r="A23" s="14"/>
      <c r="O23" s="2"/>
      <c r="P23" s="2"/>
      <c r="Q23" s="2"/>
      <c r="R23" s="2"/>
    </row>
    <row r="24" spans="1:19">
      <c r="O24" s="2"/>
      <c r="P24" s="2"/>
      <c r="Q24" s="2"/>
      <c r="R24" s="2"/>
    </row>
    <row r="25" spans="1:19">
      <c r="O25" s="2"/>
      <c r="P25" s="2"/>
      <c r="Q25" s="2"/>
      <c r="R25" s="2"/>
    </row>
    <row r="26" spans="1:19">
      <c r="O26" s="2"/>
      <c r="P26" s="2"/>
      <c r="Q26" s="2"/>
      <c r="R26" s="2"/>
    </row>
    <row r="27" spans="1:19">
      <c r="O27" s="2"/>
      <c r="P27" s="2"/>
      <c r="Q27" s="2"/>
      <c r="R27" s="2"/>
    </row>
    <row r="28" spans="1:19" ht="17.25">
      <c r="A28" s="11"/>
      <c r="B28" s="4"/>
      <c r="C28" s="4"/>
      <c r="D28" s="4"/>
      <c r="E28" s="4"/>
      <c r="F28" s="4"/>
      <c r="G28" s="4"/>
      <c r="H28" s="4"/>
      <c r="I28" s="4"/>
      <c r="J28" s="4"/>
      <c r="K28" s="7"/>
      <c r="L28" s="7"/>
      <c r="M28" s="12"/>
      <c r="O28" s="2"/>
      <c r="P28" s="2"/>
      <c r="Q28" s="2"/>
      <c r="R28" s="2"/>
    </row>
    <row r="29" spans="1:19">
      <c r="O29" s="2"/>
      <c r="P29" s="2"/>
      <c r="Q29" s="3"/>
      <c r="R29" s="23"/>
      <c r="S29" s="31"/>
    </row>
    <row r="30" spans="1:19">
      <c r="O30" s="2"/>
      <c r="P30" s="2"/>
      <c r="Q30" s="3"/>
      <c r="R30" s="23"/>
      <c r="S30" s="31"/>
    </row>
    <row r="31" spans="1:19">
      <c r="Q31" s="3"/>
      <c r="R31" s="23"/>
      <c r="S31" s="31"/>
    </row>
  </sheetData>
  <mergeCells count="12">
    <mergeCell ref="B3:B5"/>
    <mergeCell ref="M3:M5"/>
    <mergeCell ref="I3:I5"/>
    <mergeCell ref="A1:M1"/>
    <mergeCell ref="A2:M2"/>
    <mergeCell ref="A3:A5"/>
    <mergeCell ref="C3:C5"/>
    <mergeCell ref="D3:D5"/>
    <mergeCell ref="E3:E5"/>
    <mergeCell ref="H3:H5"/>
    <mergeCell ref="F3:F5"/>
    <mergeCell ref="G3:G5"/>
  </mergeCells>
  <pageMargins left="0.7" right="0.7" top="0.75" bottom="0.75" header="0.3" footer="0.3"/>
  <pageSetup paperSize="9" scale="50" orientation="portrait" horizontalDpi="4294967295" verticalDpi="4294967295" r:id="rId1"/>
  <colBreaks count="1" manualBreakCount="1">
    <brk id="14" max="1048575" man="1"/>
  </colBreaks>
  <ignoredErrors>
    <ignoredError sqref="B14:K14" formulaRange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2026-06-25T03:09:40Z</cp:lastPrinted>
  <dcterms:created xsi:type="dcterms:W3CDTF">2019-06-30T04:22:49Z</dcterms:created>
  <dcterms:modified xsi:type="dcterms:W3CDTF">2026-06-25T03:09:49Z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